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F08D428B-5593-47C0-B990-CE6657EB420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9" r:id="rId1"/>
    <sheet name="Processed" sheetId="1" r:id="rId2"/>
    <sheet name="MCC (goc)" sheetId="13" state="hidden" r:id="rId3"/>
    <sheet name="MCC-clv" sheetId="17" r:id="rId4"/>
    <sheet name="MCC (uni)" sheetId="4" r:id="rId5"/>
    <sheet name="MCC (tt)" sheetId="16" r:id="rId6"/>
    <sheet name="NDFC=clv" sheetId="6" r:id="rId7"/>
    <sheet name="NDFC (uni)" sheetId="18" r:id="rId8"/>
    <sheet name="NDFC (tt)" sheetId="15" r:id="rId9"/>
    <sheet name="NDFC (goc)" sheetId="14" state="hidden" r:id="rId10"/>
  </sheets>
  <definedNames>
    <definedName name="_xlnm._FilterDatabase" localSheetId="2" hidden="1">'MCC (goc)'!$A$27:$BL$68</definedName>
    <definedName name="_xlnm._FilterDatabase" localSheetId="5" hidden="1">'MCC (tt)'!$A$2:$AP$6</definedName>
    <definedName name="_xlnm._FilterDatabase" localSheetId="3" hidden="1">'MCC-clv'!$A$2:$AP$7</definedName>
    <definedName name="_xlnm._FilterDatabase" localSheetId="9" hidden="1">'NDFC (goc)'!$A$50:$BK$75</definedName>
    <definedName name="_xlnm._FilterDatabase" localSheetId="8" hidden="1">'NDFC (tt)'!$A$2:$AP$15</definedName>
    <definedName name="_xlnm._FilterDatabase" localSheetId="1" hidden="1">Processed!$A$2:$AR$2</definedName>
    <definedName name="_xlnm._FilterDatabase" localSheetId="0" hidden="1">Sheet1!$A$4:$AH$329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8" l="1"/>
  <c r="M7" i="18"/>
  <c r="H6" i="18"/>
  <c r="AB5" i="18"/>
  <c r="O5" i="18" s="1"/>
  <c r="H5" i="18"/>
  <c r="H4" i="18"/>
  <c r="AB3" i="18"/>
  <c r="O3" i="18" s="1"/>
  <c r="H3" i="18"/>
  <c r="N20" i="17"/>
  <c r="M20" i="17"/>
  <c r="AB19" i="17"/>
  <c r="O19" i="17" s="1"/>
  <c r="H19" i="17"/>
  <c r="AB18" i="17"/>
  <c r="O18" i="17" s="1"/>
  <c r="U18" i="17" s="1"/>
  <c r="H18" i="17"/>
  <c r="H17" i="17"/>
  <c r="AB16" i="17"/>
  <c r="O16" i="17" s="1"/>
  <c r="T16" i="17" s="1"/>
  <c r="H16" i="17"/>
  <c r="AB15" i="17"/>
  <c r="O15" i="17" s="1"/>
  <c r="H15" i="17"/>
  <c r="N6" i="17"/>
  <c r="N7" i="17" s="1"/>
  <c r="M6" i="17"/>
  <c r="M7" i="17" s="1"/>
  <c r="H5" i="17"/>
  <c r="E6" i="17" s="1"/>
  <c r="H4" i="17"/>
  <c r="AB3" i="17"/>
  <c r="O3" i="17" s="1"/>
  <c r="U3" i="17"/>
  <c r="U6" i="17" s="1"/>
  <c r="T3" i="17"/>
  <c r="T6" i="17" s="1"/>
  <c r="H3" i="17"/>
  <c r="N5" i="16"/>
  <c r="N6" i="16" s="1"/>
  <c r="M5" i="16"/>
  <c r="M6" i="16" s="1"/>
  <c r="H4" i="16"/>
  <c r="E5" i="16" s="1"/>
  <c r="AB3" i="16"/>
  <c r="O3" i="16" s="1"/>
  <c r="U3" i="16"/>
  <c r="U5" i="16" s="1"/>
  <c r="T3" i="16"/>
  <c r="T5" i="16" s="1"/>
  <c r="H3" i="16"/>
  <c r="N14" i="15"/>
  <c r="M14" i="15"/>
  <c r="H13" i="15"/>
  <c r="E14" i="15" s="1"/>
  <c r="H12" i="15"/>
  <c r="H11" i="15"/>
  <c r="AB10" i="15"/>
  <c r="O10" i="15" s="1"/>
  <c r="U10" i="15"/>
  <c r="U14" i="15" s="1"/>
  <c r="T10" i="15"/>
  <c r="T14" i="15" s="1"/>
  <c r="H10" i="15"/>
  <c r="N9" i="15"/>
  <c r="M9" i="15"/>
  <c r="H8" i="15"/>
  <c r="E9" i="15" s="1"/>
  <c r="H7" i="15"/>
  <c r="AB6" i="15"/>
  <c r="O6" i="15" s="1"/>
  <c r="U6" i="15"/>
  <c r="U9" i="15" s="1"/>
  <c r="T6" i="15"/>
  <c r="T9" i="15" s="1"/>
  <c r="H6" i="15"/>
  <c r="N5" i="15"/>
  <c r="M5" i="15"/>
  <c r="H4" i="15"/>
  <c r="E5" i="15" s="1"/>
  <c r="AB3" i="15"/>
  <c r="O3" i="15" s="1"/>
  <c r="U3" i="15"/>
  <c r="U5" i="15" s="1"/>
  <c r="T3" i="15"/>
  <c r="H3" i="15"/>
  <c r="N9" i="6"/>
  <c r="M9" i="6"/>
  <c r="N10" i="4"/>
  <c r="M10" i="4"/>
  <c r="AC76" i="14"/>
  <c r="X75" i="14"/>
  <c r="W75" i="14"/>
  <c r="V75" i="14"/>
  <c r="I75" i="14"/>
  <c r="X74" i="14"/>
  <c r="W74" i="14"/>
  <c r="V74" i="14"/>
  <c r="I74" i="14"/>
  <c r="X73" i="14"/>
  <c r="W73" i="14"/>
  <c r="V73" i="14"/>
  <c r="I73" i="14"/>
  <c r="X72" i="14"/>
  <c r="W72" i="14"/>
  <c r="V72" i="14"/>
  <c r="I72" i="14"/>
  <c r="X71" i="14"/>
  <c r="W71" i="14"/>
  <c r="V71" i="14"/>
  <c r="I71" i="14"/>
  <c r="X70" i="14"/>
  <c r="W70" i="14"/>
  <c r="V70" i="14"/>
  <c r="I70" i="14"/>
  <c r="X69" i="14"/>
  <c r="W69" i="14"/>
  <c r="V69" i="14"/>
  <c r="I69" i="14"/>
  <c r="AL68" i="14"/>
  <c r="Y68" i="14" s="1"/>
  <c r="X68" i="14"/>
  <c r="W68" i="14"/>
  <c r="V68" i="14"/>
  <c r="I68" i="14"/>
  <c r="X67" i="14"/>
  <c r="W67" i="14"/>
  <c r="V67" i="14"/>
  <c r="I67" i="14"/>
  <c r="X66" i="14"/>
  <c r="W66" i="14"/>
  <c r="V66" i="14"/>
  <c r="I66" i="14"/>
  <c r="X65" i="14"/>
  <c r="W65" i="14"/>
  <c r="V65" i="14"/>
  <c r="I65" i="14"/>
  <c r="AL64" i="14"/>
  <c r="Y64" i="14" s="1"/>
  <c r="X64" i="14"/>
  <c r="W64" i="14"/>
  <c r="V64" i="14"/>
  <c r="I64" i="14"/>
  <c r="X63" i="14"/>
  <c r="W63" i="14"/>
  <c r="V63" i="14"/>
  <c r="I63" i="14"/>
  <c r="AL62" i="14"/>
  <c r="Y62" i="14" s="1"/>
  <c r="V62" i="14"/>
  <c r="X62" i="14" s="1"/>
  <c r="I62" i="14"/>
  <c r="X61" i="14"/>
  <c r="W61" i="14"/>
  <c r="V61" i="14"/>
  <c r="I61" i="14"/>
  <c r="X60" i="14"/>
  <c r="W60" i="14"/>
  <c r="V60" i="14"/>
  <c r="I60" i="14"/>
  <c r="X59" i="14"/>
  <c r="V59" i="14"/>
  <c r="W59" i="14" s="1"/>
  <c r="I59" i="14"/>
  <c r="X58" i="14"/>
  <c r="W58" i="14"/>
  <c r="V58" i="14"/>
  <c r="I58" i="14"/>
  <c r="X57" i="14"/>
  <c r="W57" i="14"/>
  <c r="V57" i="14"/>
  <c r="I57" i="14"/>
  <c r="X56" i="14"/>
  <c r="W56" i="14"/>
  <c r="V56" i="14"/>
  <c r="I56" i="14"/>
  <c r="X55" i="14"/>
  <c r="W55" i="14"/>
  <c r="V55" i="14"/>
  <c r="I55" i="14"/>
  <c r="AL54" i="14"/>
  <c r="Y54" i="14" s="1"/>
  <c r="W54" i="14"/>
  <c r="V54" i="14"/>
  <c r="X54" i="14" s="1"/>
  <c r="I54" i="14"/>
  <c r="X53" i="14"/>
  <c r="W53" i="14"/>
  <c r="V53" i="14"/>
  <c r="I53" i="14"/>
  <c r="X52" i="14"/>
  <c r="W52" i="14"/>
  <c r="V52" i="14"/>
  <c r="I52" i="14"/>
  <c r="AL51" i="14"/>
  <c r="Y51" i="14" s="1"/>
  <c r="X51" i="14"/>
  <c r="W51" i="14"/>
  <c r="V51" i="14"/>
  <c r="I51" i="14"/>
  <c r="AE40" i="14"/>
  <c r="AD40" i="14"/>
  <c r="F40" i="14"/>
  <c r="D40" i="14"/>
  <c r="X39" i="14"/>
  <c r="W39" i="14"/>
  <c r="V39" i="14"/>
  <c r="I39" i="14"/>
  <c r="X38" i="14"/>
  <c r="V38" i="14"/>
  <c r="W38" i="14" s="1"/>
  <c r="I38" i="14"/>
  <c r="X37" i="14"/>
  <c r="V37" i="14"/>
  <c r="W37" i="14" s="1"/>
  <c r="I37" i="14"/>
  <c r="X36" i="14"/>
  <c r="W36" i="14"/>
  <c r="V36" i="14"/>
  <c r="I36" i="14"/>
  <c r="X35" i="14"/>
  <c r="W35" i="14"/>
  <c r="V35" i="14"/>
  <c r="I35" i="14"/>
  <c r="X34" i="14"/>
  <c r="W34" i="14"/>
  <c r="V34" i="14"/>
  <c r="I34" i="14"/>
  <c r="X33" i="14"/>
  <c r="W33" i="14"/>
  <c r="V33" i="14"/>
  <c r="I33" i="14"/>
  <c r="X32" i="14"/>
  <c r="W32" i="14"/>
  <c r="V32" i="14"/>
  <c r="I32" i="14"/>
  <c r="X31" i="14"/>
  <c r="W31" i="14"/>
  <c r="V31" i="14"/>
  <c r="I31" i="14"/>
  <c r="X30" i="14"/>
  <c r="W30" i="14"/>
  <c r="V30" i="14"/>
  <c r="I30" i="14"/>
  <c r="X29" i="14"/>
  <c r="V29" i="14"/>
  <c r="I29" i="14"/>
  <c r="AL28" i="14"/>
  <c r="Y28" i="14"/>
  <c r="W28" i="14"/>
  <c r="V28" i="14"/>
  <c r="I28" i="14"/>
  <c r="AW27" i="14"/>
  <c r="F27" i="14"/>
  <c r="D27" i="14"/>
  <c r="X26" i="14"/>
  <c r="W26" i="14"/>
  <c r="V26" i="14"/>
  <c r="I26" i="14"/>
  <c r="X25" i="14"/>
  <c r="V25" i="14"/>
  <c r="W25" i="14" s="1"/>
  <c r="I25" i="14"/>
  <c r="X24" i="14"/>
  <c r="W24" i="14"/>
  <c r="V24" i="14"/>
  <c r="I24" i="14"/>
  <c r="X23" i="14"/>
  <c r="W23" i="14"/>
  <c r="V23" i="14"/>
  <c r="I23" i="14"/>
  <c r="X22" i="14"/>
  <c r="W22" i="14"/>
  <c r="V22" i="14"/>
  <c r="I22" i="14"/>
  <c r="X21" i="14"/>
  <c r="W21" i="14"/>
  <c r="V21" i="14"/>
  <c r="I21" i="14"/>
  <c r="X20" i="14"/>
  <c r="W20" i="14"/>
  <c r="V20" i="14"/>
  <c r="I20" i="14"/>
  <c r="X19" i="14"/>
  <c r="W19" i="14"/>
  <c r="V19" i="14"/>
  <c r="I19" i="14"/>
  <c r="X18" i="14"/>
  <c r="W18" i="14"/>
  <c r="V18" i="14"/>
  <c r="I18" i="14"/>
  <c r="X17" i="14"/>
  <c r="W17" i="14"/>
  <c r="V17" i="14"/>
  <c r="I17" i="14"/>
  <c r="X16" i="14"/>
  <c r="W16" i="14"/>
  <c r="V16" i="14"/>
  <c r="I16" i="14"/>
  <c r="X15" i="14"/>
  <c r="W15" i="14"/>
  <c r="V15" i="14"/>
  <c r="I15" i="14"/>
  <c r="X14" i="14"/>
  <c r="W14" i="14"/>
  <c r="V14" i="14"/>
  <c r="I14" i="14"/>
  <c r="X13" i="14"/>
  <c r="V13" i="14"/>
  <c r="I13" i="14"/>
  <c r="AL12" i="14"/>
  <c r="Y12" i="14" s="1"/>
  <c r="W12" i="14"/>
  <c r="V12" i="14"/>
  <c r="I12" i="14"/>
  <c r="AW11" i="14"/>
  <c r="D11" i="14"/>
  <c r="X10" i="14"/>
  <c r="W10" i="14"/>
  <c r="V10" i="14"/>
  <c r="I10" i="14"/>
  <c r="F11" i="14" s="1"/>
  <c r="X9" i="14"/>
  <c r="V9" i="14"/>
  <c r="I9" i="14"/>
  <c r="X8" i="14"/>
  <c r="W8" i="14"/>
  <c r="V8" i="14"/>
  <c r="I8" i="14"/>
  <c r="X7" i="14"/>
  <c r="W7" i="14"/>
  <c r="V7" i="14"/>
  <c r="I7" i="14"/>
  <c r="X6" i="14"/>
  <c r="W6" i="14"/>
  <c r="V6" i="14"/>
  <c r="I6" i="14"/>
  <c r="X5" i="14"/>
  <c r="W5" i="14"/>
  <c r="V5" i="14"/>
  <c r="I5" i="14"/>
  <c r="X4" i="14"/>
  <c r="W4" i="14"/>
  <c r="V4" i="14"/>
  <c r="I4" i="14"/>
  <c r="AL3" i="14"/>
  <c r="Y3" i="14" s="1"/>
  <c r="V3" i="14"/>
  <c r="V11" i="14" s="1"/>
  <c r="I3" i="14"/>
  <c r="AC69" i="13"/>
  <c r="X68" i="13"/>
  <c r="W68" i="13"/>
  <c r="V68" i="13"/>
  <c r="I68" i="13"/>
  <c r="X67" i="13"/>
  <c r="W67" i="13"/>
  <c r="V67" i="13"/>
  <c r="I67" i="13"/>
  <c r="X66" i="13"/>
  <c r="V66" i="13"/>
  <c r="W66" i="13" s="1"/>
  <c r="I66" i="13"/>
  <c r="AL65" i="13"/>
  <c r="Y65" i="13"/>
  <c r="X65" i="13"/>
  <c r="AE65" i="13" s="1"/>
  <c r="W65" i="13"/>
  <c r="V65" i="13"/>
  <c r="I65" i="13"/>
  <c r="X64" i="13"/>
  <c r="W64" i="13"/>
  <c r="V64" i="13"/>
  <c r="I64" i="13"/>
  <c r="X63" i="13"/>
  <c r="W63" i="13"/>
  <c r="V63" i="13"/>
  <c r="I63" i="13"/>
  <c r="X62" i="13"/>
  <c r="W62" i="13"/>
  <c r="V62" i="13"/>
  <c r="I62" i="13"/>
  <c r="AL61" i="13"/>
  <c r="Y61" i="13" s="1"/>
  <c r="X61" i="13"/>
  <c r="W61" i="13"/>
  <c r="V61" i="13"/>
  <c r="I61" i="13"/>
  <c r="X60" i="13"/>
  <c r="W60" i="13"/>
  <c r="V60" i="13"/>
  <c r="I60" i="13"/>
  <c r="X59" i="13"/>
  <c r="W59" i="13"/>
  <c r="V59" i="13"/>
  <c r="I59" i="13"/>
  <c r="X58" i="13"/>
  <c r="W58" i="13"/>
  <c r="V58" i="13"/>
  <c r="I58" i="13"/>
  <c r="X57" i="13"/>
  <c r="W57" i="13"/>
  <c r="V57" i="13"/>
  <c r="I57" i="13"/>
  <c r="X56" i="13"/>
  <c r="W56" i="13"/>
  <c r="V56" i="13"/>
  <c r="I56" i="13"/>
  <c r="X55" i="13"/>
  <c r="V55" i="13"/>
  <c r="W55" i="13" s="1"/>
  <c r="I55" i="13"/>
  <c r="X54" i="13"/>
  <c r="W54" i="13"/>
  <c r="V54" i="13"/>
  <c r="I54" i="13"/>
  <c r="X53" i="13"/>
  <c r="W53" i="13"/>
  <c r="V53" i="13"/>
  <c r="I53" i="13"/>
  <c r="X52" i="13"/>
  <c r="W52" i="13"/>
  <c r="V52" i="13"/>
  <c r="I52" i="13"/>
  <c r="X51" i="13"/>
  <c r="W51" i="13"/>
  <c r="V51" i="13"/>
  <c r="I51" i="13"/>
  <c r="X50" i="13"/>
  <c r="W50" i="13"/>
  <c r="V50" i="13"/>
  <c r="I50" i="13"/>
  <c r="X49" i="13"/>
  <c r="W49" i="13"/>
  <c r="V49" i="13"/>
  <c r="I49" i="13"/>
  <c r="X48" i="13"/>
  <c r="W48" i="13"/>
  <c r="V48" i="13"/>
  <c r="I48" i="13"/>
  <c r="X47" i="13"/>
  <c r="W47" i="13"/>
  <c r="V47" i="13"/>
  <c r="I47" i="13"/>
  <c r="X46" i="13"/>
  <c r="W46" i="13"/>
  <c r="V46" i="13"/>
  <c r="I46" i="13"/>
  <c r="X45" i="13"/>
  <c r="V45" i="13"/>
  <c r="W45" i="13" s="1"/>
  <c r="I45" i="13"/>
  <c r="X44" i="13"/>
  <c r="W44" i="13"/>
  <c r="V44" i="13"/>
  <c r="I44" i="13"/>
  <c r="X43" i="13"/>
  <c r="W43" i="13"/>
  <c r="V43" i="13"/>
  <c r="I43" i="13"/>
  <c r="AL42" i="13"/>
  <c r="Y42" i="13"/>
  <c r="V42" i="13"/>
  <c r="X42" i="13" s="1"/>
  <c r="AE42" i="13" s="1"/>
  <c r="I42" i="13"/>
  <c r="AL41" i="13"/>
  <c r="Y41" i="13" s="1"/>
  <c r="V41" i="13"/>
  <c r="X41" i="13" s="1"/>
  <c r="I41" i="13"/>
  <c r="X40" i="13"/>
  <c r="W40" i="13"/>
  <c r="V40" i="13"/>
  <c r="I40" i="13"/>
  <c r="X39" i="13"/>
  <c r="W39" i="13"/>
  <c r="V39" i="13"/>
  <c r="I39" i="13"/>
  <c r="X38" i="13"/>
  <c r="W38" i="13"/>
  <c r="V38" i="13"/>
  <c r="I38" i="13"/>
  <c r="X37" i="13"/>
  <c r="W37" i="13"/>
  <c r="V37" i="13"/>
  <c r="I37" i="13"/>
  <c r="X36" i="13"/>
  <c r="W36" i="13"/>
  <c r="V36" i="13"/>
  <c r="I36" i="13"/>
  <c r="X35" i="13"/>
  <c r="W35" i="13"/>
  <c r="V35" i="13"/>
  <c r="I35" i="13"/>
  <c r="X34" i="13"/>
  <c r="W34" i="13"/>
  <c r="V34" i="13"/>
  <c r="I34" i="13"/>
  <c r="AL33" i="13"/>
  <c r="Y33" i="13" s="1"/>
  <c r="V33" i="13"/>
  <c r="X33" i="13" s="1"/>
  <c r="I33" i="13"/>
  <c r="X32" i="13"/>
  <c r="W32" i="13"/>
  <c r="V32" i="13"/>
  <c r="I32" i="13"/>
  <c r="X31" i="13"/>
  <c r="W31" i="13"/>
  <c r="V31" i="13"/>
  <c r="I31" i="13"/>
  <c r="X30" i="13"/>
  <c r="W30" i="13"/>
  <c r="V30" i="13"/>
  <c r="I30" i="13"/>
  <c r="X29" i="13"/>
  <c r="W29" i="13"/>
  <c r="V29" i="13"/>
  <c r="I29" i="13"/>
  <c r="AL28" i="13"/>
  <c r="Y28" i="13" s="1"/>
  <c r="V28" i="13"/>
  <c r="I28" i="13"/>
  <c r="D19" i="13"/>
  <c r="X18" i="13"/>
  <c r="W18" i="13"/>
  <c r="V18" i="13"/>
  <c r="I18" i="13"/>
  <c r="F19" i="13" s="1"/>
  <c r="X17" i="13"/>
  <c r="W17" i="13"/>
  <c r="V17" i="13"/>
  <c r="I17" i="13"/>
  <c r="X16" i="13"/>
  <c r="W16" i="13"/>
  <c r="V16" i="13"/>
  <c r="I16" i="13"/>
  <c r="X15" i="13"/>
  <c r="W15" i="13"/>
  <c r="V15" i="13"/>
  <c r="I15" i="13"/>
  <c r="X14" i="13"/>
  <c r="V14" i="13"/>
  <c r="I14" i="13"/>
  <c r="X13" i="13"/>
  <c r="V13" i="13"/>
  <c r="W13" i="13" s="1"/>
  <c r="I13" i="13"/>
  <c r="AL12" i="13"/>
  <c r="Y12" i="13" s="1"/>
  <c r="V12" i="13"/>
  <c r="X12" i="13" s="1"/>
  <c r="I12" i="13"/>
  <c r="D11" i="13"/>
  <c r="X10" i="13"/>
  <c r="V10" i="13"/>
  <c r="W10" i="13" s="1"/>
  <c r="I10" i="13"/>
  <c r="F11" i="13" s="1"/>
  <c r="X9" i="13"/>
  <c r="W9" i="13"/>
  <c r="V9" i="13"/>
  <c r="I9" i="13"/>
  <c r="X8" i="13"/>
  <c r="W8" i="13"/>
  <c r="V8" i="13"/>
  <c r="I8" i="13"/>
  <c r="X7" i="13"/>
  <c r="W7" i="13"/>
  <c r="V7" i="13"/>
  <c r="I7" i="13"/>
  <c r="X6" i="13"/>
  <c r="W6" i="13"/>
  <c r="V6" i="13"/>
  <c r="I6" i="13"/>
  <c r="X5" i="13"/>
  <c r="W5" i="13"/>
  <c r="V5" i="13"/>
  <c r="I5" i="13"/>
  <c r="X4" i="13"/>
  <c r="W4" i="13"/>
  <c r="V4" i="13"/>
  <c r="I4" i="13"/>
  <c r="AL3" i="13"/>
  <c r="Y3" i="13" s="1"/>
  <c r="V3" i="13"/>
  <c r="I3" i="13"/>
  <c r="H9" i="4"/>
  <c r="AB8" i="4"/>
  <c r="O8" i="4" s="1"/>
  <c r="H8" i="4"/>
  <c r="H7" i="4"/>
  <c r="H6" i="4"/>
  <c r="H5" i="4"/>
  <c r="H4" i="4"/>
  <c r="AB3" i="4"/>
  <c r="O3" i="4" s="1"/>
  <c r="H3" i="4"/>
  <c r="AB8" i="6"/>
  <c r="O8" i="6" s="1"/>
  <c r="H8" i="6"/>
  <c r="H7" i="6"/>
  <c r="H6" i="6"/>
  <c r="AB5" i="6"/>
  <c r="O5" i="6" s="1"/>
  <c r="H5" i="6"/>
  <c r="H4" i="6"/>
  <c r="AB3" i="6"/>
  <c r="O3" i="6" s="1"/>
  <c r="H3" i="6"/>
  <c r="W62" i="14" l="1"/>
  <c r="V27" i="14"/>
  <c r="V69" i="13"/>
  <c r="W42" i="13"/>
  <c r="M15" i="15"/>
  <c r="V40" i="14"/>
  <c r="W9" i="14"/>
  <c r="V76" i="14"/>
  <c r="W76" i="14"/>
  <c r="W14" i="13"/>
  <c r="X28" i="13"/>
  <c r="X69" i="13" s="1"/>
  <c r="W33" i="13"/>
  <c r="AD42" i="13"/>
  <c r="X76" i="14"/>
  <c r="W41" i="13"/>
  <c r="X3" i="13"/>
  <c r="AD3" i="13" s="1"/>
  <c r="W28" i="13"/>
  <c r="U3" i="18"/>
  <c r="T3" i="18"/>
  <c r="U5" i="18"/>
  <c r="T5" i="18"/>
  <c r="T7" i="17"/>
  <c r="U7" i="17"/>
  <c r="U15" i="17"/>
  <c r="T15" i="17"/>
  <c r="U19" i="17"/>
  <c r="T19" i="17"/>
  <c r="U16" i="17"/>
  <c r="T18" i="17"/>
  <c r="T6" i="16"/>
  <c r="U6" i="16"/>
  <c r="N15" i="15"/>
  <c r="U15" i="15"/>
  <c r="T5" i="15"/>
  <c r="T15" i="15" s="1"/>
  <c r="AE64" i="14"/>
  <c r="AD64" i="14"/>
  <c r="AE62" i="14"/>
  <c r="AD62" i="14"/>
  <c r="AD51" i="14"/>
  <c r="AE51" i="14"/>
  <c r="AE76" i="14" s="1"/>
  <c r="AD68" i="14"/>
  <c r="AE68" i="14"/>
  <c r="AE54" i="14"/>
  <c r="AD54" i="14"/>
  <c r="W29" i="14"/>
  <c r="W40" i="14" s="1"/>
  <c r="W13" i="14"/>
  <c r="W27" i="14" s="1"/>
  <c r="X12" i="14"/>
  <c r="X28" i="14"/>
  <c r="X3" i="14"/>
  <c r="W3" i="14"/>
  <c r="AE12" i="13"/>
  <c r="AE19" i="13" s="1"/>
  <c r="AD12" i="13"/>
  <c r="AD19" i="13" s="1"/>
  <c r="X19" i="13"/>
  <c r="AE41" i="13"/>
  <c r="AD41" i="13"/>
  <c r="AE61" i="13"/>
  <c r="AD61" i="13"/>
  <c r="AE33" i="13"/>
  <c r="AD33" i="13"/>
  <c r="V19" i="13"/>
  <c r="AD65" i="13"/>
  <c r="W12" i="13"/>
  <c r="W3" i="13"/>
  <c r="V11" i="13"/>
  <c r="W69" i="13" l="1"/>
  <c r="AE28" i="13"/>
  <c r="W19" i="13"/>
  <c r="AD28" i="13"/>
  <c r="AD69" i="13" s="1"/>
  <c r="X11" i="13"/>
  <c r="X20" i="13" s="1"/>
  <c r="AE3" i="13"/>
  <c r="AE11" i="13" s="1"/>
  <c r="AE20" i="13" s="1"/>
  <c r="T7" i="18"/>
  <c r="U7" i="18"/>
  <c r="U20" i="17"/>
  <c r="T20" i="17"/>
  <c r="X40" i="14"/>
  <c r="AE28" i="14"/>
  <c r="AD28" i="14"/>
  <c r="X27" i="14"/>
  <c r="AE12" i="14"/>
  <c r="AE27" i="14" s="1"/>
  <c r="AE41" i="14" s="1"/>
  <c r="AD12" i="14"/>
  <c r="AD27" i="14" s="1"/>
  <c r="W11" i="14"/>
  <c r="W41" i="14" s="1"/>
  <c r="AD76" i="14"/>
  <c r="X11" i="14"/>
  <c r="AE3" i="14"/>
  <c r="AE11" i="14" s="1"/>
  <c r="AD3" i="14"/>
  <c r="AD20" i="13"/>
  <c r="AD11" i="13"/>
  <c r="W11" i="13"/>
  <c r="W20" i="13"/>
  <c r="AE69" i="13"/>
  <c r="X41" i="14" l="1"/>
  <c r="AD11" i="14"/>
  <c r="AD41" i="14" s="1"/>
  <c r="S357" i="1" l="1"/>
  <c r="X357" i="1" s="1"/>
  <c r="U357" i="1"/>
  <c r="V357" i="1"/>
  <c r="W357" i="1"/>
  <c r="R357" i="1"/>
  <c r="X291" i="1"/>
  <c r="S291" i="1"/>
  <c r="W291" i="1"/>
  <c r="R291" i="1"/>
  <c r="S59" i="1"/>
  <c r="U59" i="1"/>
  <c r="W59" i="1"/>
  <c r="R59" i="1"/>
  <c r="X59" i="1" l="1"/>
  <c r="U8" i="4" l="1"/>
  <c r="T8" i="4"/>
  <c r="T3" i="4"/>
  <c r="U3" i="4"/>
  <c r="T3" i="6"/>
  <c r="U3" i="6"/>
  <c r="U5" i="6"/>
  <c r="T5" i="6"/>
  <c r="U8" i="6"/>
  <c r="T8" i="6"/>
  <c r="T10" i="4" l="1"/>
  <c r="U10" i="4"/>
  <c r="U9" i="6"/>
  <c r="T9" i="6"/>
</calcChain>
</file>

<file path=xl/sharedStrings.xml><?xml version="1.0" encoding="utf-8"?>
<sst xmlns="http://schemas.openxmlformats.org/spreadsheetml/2006/main" count="28793" uniqueCount="1576">
  <si>
    <t>Mã nhà cung cấp</t>
  </si>
  <si>
    <t>Số hóa đơn</t>
  </si>
  <si>
    <t>Ngày hóa đơn</t>
  </si>
  <si>
    <t>Số tàu</t>
  </si>
  <si>
    <t>Mã khách hàng</t>
  </si>
  <si>
    <t>Tên khách hàng</t>
  </si>
  <si>
    <t>Địa chỉ giao hàng</t>
  </si>
  <si>
    <t>Khung giá</t>
  </si>
  <si>
    <t>Đơn vị tính</t>
  </si>
  <si>
    <t>Mã hàng hóa</t>
  </si>
  <si>
    <t>Tên hàng hóa (Vie)</t>
  </si>
  <si>
    <t>Tên hàng hóa (En)</t>
  </si>
  <si>
    <t>Mã liên hệ giao hàng</t>
  </si>
  <si>
    <t>Mã DVT</t>
  </si>
  <si>
    <t>Số lượng (DVT bán hàng)</t>
  </si>
  <si>
    <t>SP Trọng lượng net</t>
  </si>
  <si>
    <t>HĐ Trọng lượng (Net)</t>
  </si>
  <si>
    <t>Round(MT)</t>
  </si>
  <si>
    <t>CLF</t>
  </si>
  <si>
    <t>VFM</t>
  </si>
  <si>
    <t>MCC</t>
  </si>
  <si>
    <t>CLV</t>
  </si>
  <si>
    <t>NDFC</t>
  </si>
  <si>
    <t/>
  </si>
  <si>
    <t>Tài xế</t>
  </si>
  <si>
    <t>Thông tin bổ sung</t>
  </si>
  <si>
    <t>Slot</t>
  </si>
  <si>
    <t>Diễn giải</t>
  </si>
  <si>
    <t>Channel</t>
  </si>
  <si>
    <t>SubChannel</t>
  </si>
  <si>
    <t>SlotNo</t>
  </si>
  <si>
    <t>user tạo HĐ</t>
  </si>
  <si>
    <t>User tạo PXK</t>
  </si>
  <si>
    <t>PO number</t>
  </si>
  <si>
    <t>Warehouse No</t>
  </si>
  <si>
    <t>Warehouse Name</t>
  </si>
  <si>
    <t>Phiếu XK</t>
  </si>
  <si>
    <t>Chứng từ ghi sổ</t>
  </si>
  <si>
    <t>Số seri</t>
  </si>
  <si>
    <t>Loại hàng</t>
  </si>
  <si>
    <t>Tuyến cũ</t>
  </si>
  <si>
    <t>Tuyến mới</t>
  </si>
  <si>
    <t>Tuyến lên hóa đơn</t>
  </si>
  <si>
    <t>00013659</t>
  </si>
  <si>
    <t>30/06/2026</t>
  </si>
  <si>
    <t>50E 40746</t>
  </si>
  <si>
    <t>5100028515</t>
  </si>
  <si>
    <t>CÔNG TY TNHH THƯƠNG MẠI DỊCH VỤ PHAN MINH VŨ</t>
  </si>
  <si>
    <t>SỐ 768, TỔ 10, KP3, PHƯỜNG TRẢNG DÀI, THÀNH PHỐ ĐỒNG NAI, VIỆT NAM</t>
  </si>
  <si>
    <t>&gt;8-16 tấn</t>
  </si>
  <si>
    <t>Tấn</t>
  </si>
  <si>
    <t>7.E3801789985I938</t>
  </si>
  <si>
    <t>SỮA TIỆT TRÙNG GIÀU CANXI ÍT BÉO NHÃN HIỆU MEADOW FRESH 1LX12, XUẤT XỨ NEW ZEALAND</t>
  </si>
  <si>
    <t>MEADOW FRESH UHT LOW FAT CALCI MILK 1LX12, NEW ZEALAND ORIGIN</t>
  </si>
  <si>
    <t>CAR</t>
  </si>
  <si>
    <t>15</t>
  </si>
  <si>
    <t>12.336</t>
  </si>
  <si>
    <t>185.04</t>
  </si>
  <si>
    <t>2606290046</t>
  </si>
  <si>
    <t>GST01_CLV HP</t>
  </si>
  <si>
    <t>Bán hàng theo đơn hàng: TS126060000764;</t>
  </si>
  <si>
    <t>RETAILS</t>
  </si>
  <si>
    <t>PDS</t>
  </si>
  <si>
    <t>TW14</t>
  </si>
  <si>
    <t>ho_log18</t>
  </si>
  <si>
    <t>ho_log17</t>
  </si>
  <si>
    <t>GST01</t>
  </si>
  <si>
    <t>HO-GENERAL WAREHOUSE</t>
  </si>
  <si>
    <t>TI126060001486</t>
  </si>
  <si>
    <t>TB126060001464</t>
  </si>
  <si>
    <t>C26TTD</t>
  </si>
  <si>
    <t>TAN</t>
  </si>
  <si>
    <t>7.92521B699320108</t>
  </si>
  <si>
    <t>XỐT ME CHUA NGỌT NHÃN HIỆU DHFOODS 200G X 24 CHAI ĐÓNG TRONG THÙNG CARTON</t>
  </si>
  <si>
    <t>DHFOODS SWEET &amp; SOUR TAMARIND SAUCE 200G X 24 PCS IN CARTON</t>
  </si>
  <si>
    <t>2</t>
  </si>
  <si>
    <t>4.8</t>
  </si>
  <si>
    <t>9.6</t>
  </si>
  <si>
    <t>7.92524B69947L2D9</t>
  </si>
  <si>
    <t>XỐT GIA VỊ HOÀN CHỈNH BÒ KHO NHÃN HIỆU DHFOODS 80G X 20 X 6 HỘP ĐÓNG TRONG THÙNG CARTON</t>
  </si>
  <si>
    <t>DHFOODS SOUP BASE FOR BEEF STEW 80GR X 20 X 6 BOXES IN CARTON</t>
  </si>
  <si>
    <t>19.2</t>
  </si>
  <si>
    <t>7.92524B6996001E1</t>
  </si>
  <si>
    <t>XỐT PHÔ MAI NHÃN HIỆU DHFOODS 100G X 24 CHAI ĐÓNG TRONG THÙNG CARTON</t>
  </si>
  <si>
    <t>DHFOODS CHEESE SAUCE 100GR X 24 PCS IN CARTON</t>
  </si>
  <si>
    <t>2.4</t>
  </si>
  <si>
    <t>7.92524B6993201E2</t>
  </si>
  <si>
    <t>XỐT THÁI SẢ TẮC NHÃN HIỆU DHFOODS 200G X 24 CHAI ĐÓNG TRONG THÙNG CARTON</t>
  </si>
  <si>
    <t>DHFOODS THAI-STYLE LEMONGRASS &amp; KUMQUAT SAUCE 200GR X 24 PCS IN CARTON</t>
  </si>
  <si>
    <t>7.J43021099050199</t>
  </si>
  <si>
    <t>HẠT MÈ (VỪNG) TÁCH VỎ 99.97% ĐÓNG TRONG BAO 25KG</t>
  </si>
  <si>
    <t>HULLED SESAME SEED 99.97% IN 25KG PP BAG</t>
  </si>
  <si>
    <t>BAG</t>
  </si>
  <si>
    <t>25</t>
  </si>
  <si>
    <t>50</t>
  </si>
  <si>
    <t>00013660</t>
  </si>
  <si>
    <t>1</t>
  </si>
  <si>
    <t>Bán hàng theo đơn hàng: TS126060000765;</t>
  </si>
  <si>
    <t>[NB]</t>
  </si>
  <si>
    <t>TI126060001487</t>
  </si>
  <si>
    <t>TB126060001465</t>
  </si>
  <si>
    <t>2000000001</t>
  </si>
  <si>
    <t>00106505</t>
  </si>
  <si>
    <t>7.460050030105030</t>
  </si>
  <si>
    <t>DẦU GẠO LỨT NHÃN HIỆU SIMPLY 1L</t>
  </si>
  <si>
    <t>SIMPLY RBDRBO 1L X 12 BTL</t>
  </si>
  <si>
    <t>10</t>
  </si>
  <si>
    <t>10.92</t>
  </si>
  <si>
    <t>109.2</t>
  </si>
  <si>
    <t>CH_WH HP2 MANU PRD</t>
  </si>
  <si>
    <t>Bán hàng theo đơn hàng: ASOD2606013433;</t>
  </si>
  <si>
    <t>TW04</t>
  </si>
  <si>
    <t>ac_vak</t>
  </si>
  <si>
    <t>ac.chwrh02</t>
  </si>
  <si>
    <t>CH05</t>
  </si>
  <si>
    <t>AC_CALOFICHP_CH05</t>
  </si>
  <si>
    <t>ASID2606015378</t>
  </si>
  <si>
    <t>AINE2606014999</t>
  </si>
  <si>
    <t>C26TAG</t>
  </si>
  <si>
    <t>7.451050440106000</t>
  </si>
  <si>
    <t>DẦU ĐẬU NÀNH NHÃN HIỆU SIMPLY 400 ML</t>
  </si>
  <si>
    <t>CO-SIMPLY SBO 0.4L X 24 BTL</t>
  </si>
  <si>
    <t>4</t>
  </si>
  <si>
    <t>8.736</t>
  </si>
  <si>
    <t>34.944</t>
  </si>
  <si>
    <t>7.45105005010400</t>
  </si>
  <si>
    <t>DẦU ĐẬU NÀNH NHÃN HIỆU SIMPLY 2L</t>
  </si>
  <si>
    <t>CO-SIMPLY SBO 2L X 6 BTL</t>
  </si>
  <si>
    <t>65</t>
  </si>
  <si>
    <t>709.8</t>
  </si>
  <si>
    <t>7.455051R11706010</t>
  </si>
  <si>
    <t>DẦU MÈ THƠM NHÃN HIỆU MEIZAN 100ML</t>
  </si>
  <si>
    <t>MEIZAN SESAME OIL 0.1L X 24 BOTTLE</t>
  </si>
  <si>
    <t>2.184</t>
  </si>
  <si>
    <t>21.840000000000003</t>
  </si>
  <si>
    <t>7.45505101010501</t>
  </si>
  <si>
    <t>DẦU MÈ THƠM NHÃN HIỆU MEIZAN 250 ML</t>
  </si>
  <si>
    <t>CO-MEIZAN SESAME 0.25L X 12 BTL</t>
  </si>
  <si>
    <t>40</t>
  </si>
  <si>
    <t>2.73</t>
  </si>
  <si>
    <t>7.131009031705O90</t>
  </si>
  <si>
    <t>DẦU THỰC VẬT HẢO HẠNG NHÃN HIỆU CÁI LÂN 1L</t>
  </si>
  <si>
    <t>CAILAN PR VEGOIL(99.5OL+0.5SBO) 1LX12BTL</t>
  </si>
  <si>
    <t>85</t>
  </si>
  <si>
    <t>928.2</t>
  </si>
  <si>
    <t>7.131009061703O90</t>
  </si>
  <si>
    <t>DẦU THỰC VẬT HẢO HẠNG NHÃN HIỆU CÁI LÂN 5L</t>
  </si>
  <si>
    <t>CAILAN PR VEGOIL(99.5OL+0.5SBO) 5LX4BTL</t>
  </si>
  <si>
    <t>36</t>
  </si>
  <si>
    <t>18.2</t>
  </si>
  <si>
    <t>655.1999999999999</t>
  </si>
  <si>
    <t>7.131103A41703P20</t>
  </si>
  <si>
    <t>DẦU THỰC VẬT HẢO HẠNG NHÃN HIỆU ORCHID 5L</t>
  </si>
  <si>
    <t>ORCHID PR 99.5%ROLIV56+0.5%SBO 5L*4BTL</t>
  </si>
  <si>
    <t>180</t>
  </si>
  <si>
    <t>3276</t>
  </si>
  <si>
    <t>7.131103F01703P20</t>
  </si>
  <si>
    <t>DẦU THỰC VẬT HẢO HẠNG NHÃN HIỆU ORCHID 4.5L</t>
  </si>
  <si>
    <t>ORCHID PR 99.5%ROLIV56+0.5%SBO 4.5L*4BTL</t>
  </si>
  <si>
    <t>16.38</t>
  </si>
  <si>
    <t>589.68</t>
  </si>
  <si>
    <t>7.47505601010500</t>
  </si>
  <si>
    <t>DẦU Ô-LIU EXTRA VIRGIN NHÃN HIỆU OLIVOILÀ 250 ML</t>
  </si>
  <si>
    <t>CO-OLIVOILÀ OLIVE OIL 0.25L X 12 BTL</t>
  </si>
  <si>
    <t>20</t>
  </si>
  <si>
    <t>54.6</t>
  </si>
  <si>
    <t>CH_WH HP2 TRADE PRD</t>
  </si>
  <si>
    <t>TW03</t>
  </si>
  <si>
    <t>CH04</t>
  </si>
  <si>
    <t>AC_CALOFICHP_CH04</t>
  </si>
  <si>
    <t>7.10408930480801</t>
  </si>
  <si>
    <t>SHORTENING HIỆU SATELLITE 25 KG</t>
  </si>
  <si>
    <t>SATELLITE SHORTENING  RED @ 25 KG</t>
  </si>
  <si>
    <t>500</t>
  </si>
  <si>
    <t>7.107014089103300</t>
  </si>
  <si>
    <t>DẦU BƠ THAY THẾ HIỆU SATELLITE 18KG</t>
  </si>
  <si>
    <t>SATELLITE BOS IN PLASTIC BUCKET @ 18 KG</t>
  </si>
  <si>
    <t>PAI</t>
  </si>
  <si>
    <t>70</t>
  </si>
  <si>
    <t>18</t>
  </si>
  <si>
    <t>1260</t>
  </si>
  <si>
    <t>7.1070120892033009</t>
  </si>
  <si>
    <t>DẦU BƠ THAY THẾ HIỆU MEIZAN TRONG THÙNG NHỰA 18 KG (NHÃN VÀNG)</t>
  </si>
  <si>
    <t>MEIZAN BOS IN PLASTIC BUCKET35-38@18KG P</t>
  </si>
  <si>
    <t>7.707583E928174002</t>
  </si>
  <si>
    <t>NƯỚC RỬA CHÉN POWER100 TIẾT KIỆM HƯƠNG CHANH 750G*12</t>
  </si>
  <si>
    <t>POWER100 SAVING DWL LEMON 750G*12BTL</t>
  </si>
  <si>
    <t>9</t>
  </si>
  <si>
    <t>90</t>
  </si>
  <si>
    <t>CH0C_WH HP2 TRADE PRD</t>
  </si>
  <si>
    <t>CH0C</t>
  </si>
  <si>
    <t>AC_CALOFICHP_CH0C</t>
  </si>
  <si>
    <t>7.707583E92817400N</t>
  </si>
  <si>
    <t>NƯỚC RỬA CHÉN POWER100 TIẾT KIỆM HƯƠNG CHANH 750G*16</t>
  </si>
  <si>
    <t>POWER100 SAVING DWL LEMON 750G*16BTL</t>
  </si>
  <si>
    <t>5</t>
  </si>
  <si>
    <t>12</t>
  </si>
  <si>
    <t>60</t>
  </si>
  <si>
    <t>7.707583N32817000K</t>
  </si>
  <si>
    <t>NƯỚC RỬA CHÉN POWER100 TIẾT KIỆM HƯƠNG CHANH 1.4KG*8</t>
  </si>
  <si>
    <t>POWER100 SAVING DWL LEMON@1.4KG*8BTL</t>
  </si>
  <si>
    <t>11.2</t>
  </si>
  <si>
    <t>168</t>
  </si>
  <si>
    <t>7.707584P53717000H</t>
  </si>
  <si>
    <t>NƯỚC RỬA CHÉN POWER100 TIẾT KIỆM HƯƠNG CHANH 3.2KG*4 TÚI</t>
  </si>
  <si>
    <t>POWER100 DWL SAVING LEMON 3.2KG X 4PCH</t>
  </si>
  <si>
    <t>22</t>
  </si>
  <si>
    <t>12.8</t>
  </si>
  <si>
    <t>281.6</t>
  </si>
  <si>
    <t>7.707583N528174000</t>
  </si>
  <si>
    <t>NƯỚC RỬA CHÉN POWER100 TIẾT KIỆM HƯƠNG CHANH 9.0KG</t>
  </si>
  <si>
    <t>POWER100 SAVING DWL LEMON BTL @9KG</t>
  </si>
  <si>
    <t>BOT</t>
  </si>
  <si>
    <t>37</t>
  </si>
  <si>
    <t>333</t>
  </si>
  <si>
    <t>7.707662F62817000A</t>
  </si>
  <si>
    <t>NƯỚC RỬA CHÉN POWER100 TINH DẦU CHANH 400G*24</t>
  </si>
  <si>
    <t>POWER100 DWLLEMON ESSENTIALOIL400G*24BTL</t>
  </si>
  <si>
    <t>96</t>
  </si>
  <si>
    <t>7.707662N32817000K</t>
  </si>
  <si>
    <t>NƯỚC RỬA CHÉN POWER100 TINH DẦU CHANH 1.4KG*8</t>
  </si>
  <si>
    <t>POWER100 DWLLEMON ESSENTIALOIL1.4KG*8BTL</t>
  </si>
  <si>
    <t>7.707662652817000H</t>
  </si>
  <si>
    <t>NƯỚC RỬA CHÉN POWER100 TINH DẦU CHANH 3.5KG*4</t>
  </si>
  <si>
    <t>POWER100 DWLLEMON ESSENTIALOIL3.5KG*4BTL</t>
  </si>
  <si>
    <t>160</t>
  </si>
  <si>
    <t>14</t>
  </si>
  <si>
    <t>2240</t>
  </si>
  <si>
    <t>7.707662N528170000</t>
  </si>
  <si>
    <t>NƯỚC RỬA CHÉN POWER100 TINH DẦU CHANH 9.0KG</t>
  </si>
  <si>
    <t>POWER100 DWLLEMON ESSENTIALOIL BTL@9KG</t>
  </si>
  <si>
    <t>55</t>
  </si>
  <si>
    <t>495</t>
  </si>
  <si>
    <t>7.704228P53717000H</t>
  </si>
  <si>
    <t>NƯỚC GIẶT XẢ POWER100 HƯƠNG NƯỚC HOA PHÁP QUYẾN RŨ 3.2KG*4</t>
  </si>
  <si>
    <t>POWER100 LD CHARMINGFRENCH PF 3.2KG*4PCH</t>
  </si>
  <si>
    <t>512</t>
  </si>
  <si>
    <t>7.704229P53717000H</t>
  </si>
  <si>
    <t>NƯỚC GIẶT XẢ POWER100 HƯƠNG NƯỚC HOA PHÁP ĐAM MÊ 3.2KG*4</t>
  </si>
  <si>
    <t>POWER100 LD PASSION FRENCH 3.2KG X 4PCH</t>
  </si>
  <si>
    <t>00106514</t>
  </si>
  <si>
    <t>7.45105003010500</t>
  </si>
  <si>
    <t>DẦU ĐẬU NÀNH NHÃN HIỆU SIMPLY 1L</t>
  </si>
  <si>
    <t>CO-SIMPLY SBO 1L X 12 BTL</t>
  </si>
  <si>
    <t>9900010221</t>
  </si>
  <si>
    <t>Bán hàng theo đơn hàng: ASOD2606013437;</t>
  </si>
  <si>
    <t>ASID2606015380</t>
  </si>
  <si>
    <t>AINE2606015003</t>
  </si>
  <si>
    <t>00106517</t>
  </si>
  <si>
    <t>24</t>
  </si>
  <si>
    <t>262.08</t>
  </si>
  <si>
    <t>Bán hàng theo đơn hàng: ASOD2606013441;</t>
  </si>
  <si>
    <t>ASID2606015382</t>
  </si>
  <si>
    <t>AINE2606015006</t>
  </si>
  <si>
    <t>2100000002</t>
  </si>
  <si>
    <t>00106660</t>
  </si>
  <si>
    <t>50E 56521</t>
  </si>
  <si>
    <t>5101031620</t>
  </si>
  <si>
    <t>CÔNG TY TNHH TRUNG TÂM NGUYÊN LIỆU HUBCAKE</t>
  </si>
  <si>
    <t>121 NGUYỄN THỊ KIỂU, P. TÂN THỚI HIỆP, TP HỒ CHÍ MINH</t>
  </si>
  <si>
    <t>≤2.5 tấn</t>
  </si>
  <si>
    <t>Chuyến</t>
  </si>
  <si>
    <t>7.522112071922710</t>
  </si>
  <si>
    <t>BỘT MÌ ĐA DỤNG CAO CẤP HIỆU MEIZAN (1KG*10 GÓI/THÙNG)</t>
  </si>
  <si>
    <t>MEIZAN MULTIPURPOSE W/FE,ZN,VIT 1KG*10BG</t>
  </si>
  <si>
    <t>9901011688</t>
  </si>
  <si>
    <t>2606290135</t>
  </si>
  <si>
    <t>Wh CLF Hiep Phuoc</t>
  </si>
  <si>
    <t>Bán hàng theo đơn hàng: ASOD2606013720;</t>
  </si>
  <si>
    <t>BAKERIES</t>
  </si>
  <si>
    <t>WHOLESALER</t>
  </si>
  <si>
    <t>CS16</t>
  </si>
  <si>
    <t>ac.chwrh03</t>
  </si>
  <si>
    <t>VB04</t>
  </si>
  <si>
    <t>CONSIGNMENT FOR FACTORY</t>
  </si>
  <si>
    <t>ASID2606015561</t>
  </si>
  <si>
    <t>AINE2606015179</t>
  </si>
  <si>
    <t>00106663</t>
  </si>
  <si>
    <t>5100031620</t>
  </si>
  <si>
    <t>9900011688</t>
  </si>
  <si>
    <t>MT</t>
  </si>
  <si>
    <t>0.75</t>
  </si>
  <si>
    <t>750</t>
  </si>
  <si>
    <t>CH02_WH PACK PRODUCT</t>
  </si>
  <si>
    <t>Bán hàng theo đơn hàng: ASOD2606013721;</t>
  </si>
  <si>
    <t>TW10</t>
  </si>
  <si>
    <t>ASCD260600099</t>
  </si>
  <si>
    <t>ASID2606015562</t>
  </si>
  <si>
    <t>AINE2606015183</t>
  </si>
  <si>
    <t>00106314</t>
  </si>
  <si>
    <t>50E 65434</t>
  </si>
  <si>
    <t>5100031021</t>
  </si>
  <si>
    <t>CÔNG TY TNHH THƯƠNG MẠI DỊCH VỤ PHÚC LỘC PHÁT PLP</t>
  </si>
  <si>
    <t>30/1 NGUYỄN VĂN QUỲ, PHƯỜNG PHÚ THUẬN, THÀNH PHỐ HỒ CHÍ MINH, VIỆT NAM</t>
  </si>
  <si>
    <t>Pallet</t>
  </si>
  <si>
    <t>7.131078031705E10</t>
  </si>
  <si>
    <t>DẦU ĂN CAO CẤP NHÃN HIỆU MEIZAN GOLD 1L</t>
  </si>
  <si>
    <t>CO-MEIZAN GOLD 1L X 12 BTL</t>
  </si>
  <si>
    <t>9900011256</t>
  </si>
  <si>
    <t>2606290047</t>
  </si>
  <si>
    <t>Bán hàng theo đơn hàng: ASOD2606013525;</t>
  </si>
  <si>
    <t>ASID2606015178</t>
  </si>
  <si>
    <t>AINE2606014832</t>
  </si>
  <si>
    <t>TP, Hồ Chí Minh</t>
  </si>
  <si>
    <t>TP. Hồ Chí Minh - Phú Thuận</t>
  </si>
  <si>
    <t>TP. Hồ Chí Minh - Phú Thuận Pallet (50E 65434)</t>
  </si>
  <si>
    <t>7.131103D11705P20</t>
  </si>
  <si>
    <t>DẦU THỰC VẬT HẢO HẠNG NHÃN HIỆU ORCHID 880ML</t>
  </si>
  <si>
    <t>ORCHID PR 99.5%ROL+0.5%SBO 0.88L*12BTL</t>
  </si>
  <si>
    <t>9.61</t>
  </si>
  <si>
    <t>816.8499999999999</t>
  </si>
  <si>
    <t>2000000008</t>
  </si>
  <si>
    <t>00106480</t>
  </si>
  <si>
    <t>7.551460E6Y8000680</t>
  </si>
  <si>
    <t>NƯỚC TƯƠNG THƯỢNG HẠNG 500ML X 24 CHAI/THÙNG</t>
  </si>
  <si>
    <t>NAMDUONG PREMIUM SOY SAUCE 500ML X 24BTL</t>
  </si>
  <si>
    <t>42</t>
  </si>
  <si>
    <t>13.386</t>
  </si>
  <si>
    <t>562.212</t>
  </si>
  <si>
    <t>78693</t>
  </si>
  <si>
    <t>UNI 1</t>
  </si>
  <si>
    <t>CS52</t>
  </si>
  <si>
    <t>ac_ndlog1</t>
  </si>
  <si>
    <t>ND04</t>
  </si>
  <si>
    <t>NDFC CONSIGNMENT FOR FACTORY_ND04</t>
  </si>
  <si>
    <t>ASID2606015316</t>
  </si>
  <si>
    <t>AINE2606014979</t>
  </si>
  <si>
    <t>Thành phố Hồ Chí Minh, Phú Thuận</t>
  </si>
  <si>
    <t>Thành phố Hồ Chí Minh, Phú Thuận &gt;8-16 tấn (50E 65434)</t>
  </si>
  <si>
    <t>7.515006333017050</t>
  </si>
  <si>
    <t>TƯƠNG ỚT HÀNG VIỆT 800G X 12 CHAI/ THÙNG</t>
  </si>
  <si>
    <t>NAMDUONG HANGVIET CHILISAUCE 800G*12BTL</t>
  </si>
  <si>
    <t>63</t>
  </si>
  <si>
    <t>604.8</t>
  </si>
  <si>
    <t>7.5180032102408040</t>
  </si>
  <si>
    <t>HẠT NÊM MEIZAN THỊT, XƯƠNG ỐNG, TỦY, CÀ RỐT – VỊ HEO 1,8 KG X 6 GÓI/THÙNG</t>
  </si>
  <si>
    <t>MEIZAN PORK BOUILLON GRANULE 1.8KG*6BAG</t>
  </si>
  <si>
    <t>45</t>
  </si>
  <si>
    <t>10.8</t>
  </si>
  <si>
    <t>486.00000000000006</t>
  </si>
  <si>
    <t>7.5180072302408A50</t>
  </si>
  <si>
    <t>HẠT NÊM ORCHID THỊT, XƯƠNG ỐNG VÀ TỦY 10KG X 2 TÚI/BAO</t>
  </si>
  <si>
    <t>ORCHID PORK BOUILLON GRANULE 10KG*2BAG</t>
  </si>
  <si>
    <t>MBG</t>
  </si>
  <si>
    <t>21</t>
  </si>
  <si>
    <t>420</t>
  </si>
  <si>
    <t>7.5180031502518050</t>
  </si>
  <si>
    <t>BỘT NGỌT MEIZAN (CÁNH VỪA) 1KG X 12 TÚI/ THÙNG</t>
  </si>
  <si>
    <t>MEIZAN MONOSODIUM GLUTAMATE 1KG X 12PCH</t>
  </si>
  <si>
    <t>600</t>
  </si>
  <si>
    <t>7.5180031702518080</t>
  </si>
  <si>
    <t>BỘT NGỌT MEIZAN (CÁNH VỪA) 5KG X 3 TÚI/ THÙNG</t>
  </si>
  <si>
    <t>MEIZAN MONOSODIUM GLUTAMATE 5KG*3PCH</t>
  </si>
  <si>
    <t>48</t>
  </si>
  <si>
    <t>720</t>
  </si>
  <si>
    <t>00106482</t>
  </si>
  <si>
    <t>7</t>
  </si>
  <si>
    <t>67.2</t>
  </si>
  <si>
    <t>Bán hàng theo đơn hàng: ASOD2606013527;</t>
  </si>
  <si>
    <t>ASID2606015317</t>
  </si>
  <si>
    <t>AINE2606014980</t>
  </si>
  <si>
    <t>3</t>
  </si>
  <si>
    <t>32.400000000000006</t>
  </si>
  <si>
    <t>2000000007</t>
  </si>
  <si>
    <t>00106522</t>
  </si>
  <si>
    <t>7.5221120707Y0210</t>
  </si>
  <si>
    <t>BỘT CHIÊN GIÒN MEIZAN 1KG X 10 GÓI</t>
  </si>
  <si>
    <t>MEIZAN CRISPY FRYING MIX 1KG X 10BAG</t>
  </si>
  <si>
    <t>PPH-G</t>
  </si>
  <si>
    <t>UN1691</t>
  </si>
  <si>
    <t>CS50</t>
  </si>
  <si>
    <t>ac_mclog1</t>
  </si>
  <si>
    <t>ac_mclog4</t>
  </si>
  <si>
    <t>MZ04</t>
  </si>
  <si>
    <t>MCC CONSIGNMENT FOR FACTORY_MZ04</t>
  </si>
  <si>
    <t>ASID2606015404</t>
  </si>
  <si>
    <t>AINE2606015010</t>
  </si>
  <si>
    <t>Thành phố Hồ Chí Minh - Phú Thuận</t>
  </si>
  <si>
    <t>Thành phố Hồ Chí Minh - Phú Thuận ≤2.5 tấn (50E 65434)</t>
  </si>
  <si>
    <t>7.522B850640701140</t>
  </si>
  <si>
    <t>MÌ TRỨNG CAO CẤP MEIZAN 500G X 12 GÓI</t>
  </si>
  <si>
    <t>MEIZAN PREMIUM EGG NOODLE 500G X 12BAG</t>
  </si>
  <si>
    <t>6</t>
  </si>
  <si>
    <t>216</t>
  </si>
  <si>
    <t>7.522B856170701140</t>
  </si>
  <si>
    <t>MÌ TRỨNG CAO CẤP MEIZAN - SỢI DẸT 500G X 12 GÓI</t>
  </si>
  <si>
    <t>MEIZAN EGGNOODLE FLATSTRING 500G*12BAG</t>
  </si>
  <si>
    <t>7.522B856160701140</t>
  </si>
  <si>
    <t>MÌ TRỨNG CAO CẤP MEIZAN - SỢI NHỎ 500G X 12 GÓI</t>
  </si>
  <si>
    <t>MEIZAN THINROUNDSTRING NOODLE 500G*12BAG</t>
  </si>
  <si>
    <t>7.522H850301201140</t>
  </si>
  <si>
    <t>NUI CAO CẤP MEIZAN 400G X 12 GÓI</t>
  </si>
  <si>
    <t>MEIZAN MACARONI LONG TUBE 400G*12BAG</t>
  </si>
  <si>
    <t>80</t>
  </si>
  <si>
    <t>384</t>
  </si>
  <si>
    <t>7.522H870300803000</t>
  </si>
  <si>
    <t>NUI LA BÀN ĐỎ - ỐNG DÀI 10KG</t>
  </si>
  <si>
    <t>REDCOMPASS MACARONILONGTUBE WOVENBG@10KG</t>
  </si>
  <si>
    <t>30</t>
  </si>
  <si>
    <t>300</t>
  </si>
  <si>
    <t>7.585D130830080110</t>
  </si>
  <si>
    <t>BÁNH TRÁNG MEIZAN 120G</t>
  </si>
  <si>
    <t>MEIZAN RICE PAPER ROLL 120G X 40BAG</t>
  </si>
  <si>
    <t>240</t>
  </si>
  <si>
    <t>MZ03</t>
  </si>
  <si>
    <t>MCC CONSIGNMENT FOR TRADING_MZ03</t>
  </si>
  <si>
    <t>00106524</t>
  </si>
  <si>
    <t>ASID2606015410</t>
  </si>
  <si>
    <t>AINE2606015012</t>
  </si>
  <si>
    <t>00106737</t>
  </si>
  <si>
    <t>50E 75774</t>
  </si>
  <si>
    <t>5100024115</t>
  </si>
  <si>
    <t>CÔNG TY TNHH MTV HOÀNG KHA PHÚ QUỐC</t>
  </si>
  <si>
    <t>TỔ 6, KHU PHỐ 10, ĐẶC KHU PHÚ QUỐC, TỈNH AN GIANG, VIỆT NAM</t>
  </si>
  <si>
    <t>7.45105103010500</t>
  </si>
  <si>
    <t>DẦU ĐẬU NÀNH NHÃN HIỆU MEIZAN 1L</t>
  </si>
  <si>
    <t>CO-MEIZAN SBO 1L X 12 BTL</t>
  </si>
  <si>
    <t>2606290024</t>
  </si>
  <si>
    <t>Bán hàng theo đơn hàng: ASOD2606013406;</t>
  </si>
  <si>
    <t>ASID2606015618</t>
  </si>
  <si>
    <t>AINE2606015251</t>
  </si>
  <si>
    <t>170</t>
  </si>
  <si>
    <t>1856.4</t>
  </si>
  <si>
    <t>108</t>
  </si>
  <si>
    <t>1965.6</t>
  </si>
  <si>
    <t>7.101306591201A60</t>
  </si>
  <si>
    <t>DẦU THỰC VẬT HẢO HẠNG NHÃN HIỆU ORCHID (KÍCH CỠ ĐÓNG GÓI LỚN) ÐÓNG CAN 25KG</t>
  </si>
  <si>
    <t>ORCHID PR ROL IV 56 IN JERRYCAN@25KG</t>
  </si>
  <si>
    <t>JRG</t>
  </si>
  <si>
    <t>105</t>
  </si>
  <si>
    <t>2625</t>
  </si>
  <si>
    <t>7.131009591201O50</t>
  </si>
  <si>
    <t>DẦU THỰC VẬT HẢO HẠNG NHÃN HIỆU CÁI LÂN (KÍCH CỠ ĐÓNG GÓI LỚN) ĐÓNG CAN 25KG</t>
  </si>
  <si>
    <t>CAILANPREMIUMVEG OIL(100%OLIV58)JRG@25KG</t>
  </si>
  <si>
    <t>2250</t>
  </si>
  <si>
    <t>00013770</t>
  </si>
  <si>
    <t>50H 44024</t>
  </si>
  <si>
    <t>5100023384</t>
  </si>
  <si>
    <t>CÔNG TY TNHH THƯƠNG MẠI DỊCH VỤ SẢN XUẤT VỊ NGỌT HAPPY</t>
  </si>
  <si>
    <t>123 TÂN HIỆP 4, XÃ HÓC MÔN, THÀNH PHỐ HỒ CHÍ MINH, VIỆT NAM</t>
  </si>
  <si>
    <t>7.92419B799D001A3</t>
  </si>
  <si>
    <t>NƯỚC MẮM CÁ CƠM 12° ĐẠM CHAI PET 5L X 4 CHAI ĐÓNG TRONG THÙNG CARTON</t>
  </si>
  <si>
    <t>ANCHOVY FISH SAUCE 12°N PLASTIC BOTTLES 5 LITRE X 4 BOT IN CARTON</t>
  </si>
  <si>
    <t>8</t>
  </si>
  <si>
    <t>23.52</t>
  </si>
  <si>
    <t>188.16</t>
  </si>
  <si>
    <t>2606290096</t>
  </si>
  <si>
    <t>Bán hàng theo đơn hàng: TS126060000772;</t>
  </si>
  <si>
    <t>TI126060001520</t>
  </si>
  <si>
    <t>TB126060001500</t>
  </si>
  <si>
    <t>Đồng Nai - Biên Hòa</t>
  </si>
  <si>
    <t>Đồng Nai - Long Bình</t>
  </si>
  <si>
    <t>Đồng Nai - Long Bình ≤2.5 tấn (50H 44024)</t>
  </si>
  <si>
    <t>00107024</t>
  </si>
  <si>
    <t>7.45105008010300</t>
  </si>
  <si>
    <t>DẦU ĐẬU NÀNH NHÃN HIỆU SIMPLY 5L</t>
  </si>
  <si>
    <t>CO-SIMPLY SBO 5L X 4 BTL</t>
  </si>
  <si>
    <t>182</t>
  </si>
  <si>
    <t>Bán hàng theo đơn hàng: ASOD2606013534;</t>
  </si>
  <si>
    <t>ac_chlog2</t>
  </si>
  <si>
    <t>ASID2606015784</t>
  </si>
  <si>
    <t>AINE2606015472</t>
  </si>
  <si>
    <t>1250</t>
  </si>
  <si>
    <t>7.707591M328170002</t>
  </si>
  <si>
    <t>NƯỚC TẨY BỒN CẦU VÀ NHÀ TẮM POWER100 HƯƠNG BẠC HÀ 900ML*12</t>
  </si>
  <si>
    <t>POWER100 TOILET CLEANER MINT 900ML*12BTL</t>
  </si>
  <si>
    <t>11.556</t>
  </si>
  <si>
    <t>80.892</t>
  </si>
  <si>
    <t>CH0C_WH Pack Product</t>
  </si>
  <si>
    <t>TW00</t>
  </si>
  <si>
    <t>7.55601041671206</t>
  </si>
  <si>
    <t>BỘT BẮP MEIZAN 1KG X 10 GÓI</t>
  </si>
  <si>
    <t>MEIZAN CORN STARCH 1KG X 10 PLASTIC BAG</t>
  </si>
  <si>
    <t>CALOFIC HP</t>
  </si>
  <si>
    <t>CS38</t>
  </si>
  <si>
    <t>7.01410705050210</t>
  </si>
  <si>
    <t>BỘT NĂNG ĐA DỤNG MEIZAN 1KG</t>
  </si>
  <si>
    <t>MEIZAN ALLPURPOSETAPIOCASTARCH 1KG*10BAG</t>
  </si>
  <si>
    <t>7.01410701050101</t>
  </si>
  <si>
    <t>BỘT NĂNG ĐA DỤNG MEIZAN 10KG</t>
  </si>
  <si>
    <t>MEIZAN ALL PURP TAPIOCA STARCH BAG@10KG</t>
  </si>
  <si>
    <t>7.585D130180080101</t>
  </si>
  <si>
    <t>BÁNH TRÁNG MEIZAN 450G X 20 GÓI</t>
  </si>
  <si>
    <t>MEIZAN RICE PAPER ROLL 450G X 20BAG</t>
  </si>
  <si>
    <t>7.5630080260030602</t>
  </si>
  <si>
    <t>TƯƠNG CÀ NAM DƯƠNG 2.2KG X 6 CHAI/ THÙNG</t>
  </si>
  <si>
    <t>NAM DUONG TOMATO SAUCE 2.2KG X 6BTL</t>
  </si>
  <si>
    <t>13.2</t>
  </si>
  <si>
    <t>26.4</t>
  </si>
  <si>
    <t>7.5180030702518200</t>
  </si>
  <si>
    <t>BỘT NGỌT MEIZAN 400G x 30 TÚI/ THÙNG</t>
  </si>
  <si>
    <t>MEIZAN MONOSODIUM GLUTAMAT 400G*30PCH</t>
  </si>
  <si>
    <t>00107028</t>
  </si>
  <si>
    <t>N04.0019026.00412</t>
  </si>
  <si>
    <t>ÁO THUN DẦU HÀO NAM DƯƠNG CAM</t>
  </si>
  <si>
    <t>UNIFORM, TYPE:POLO T-SHIRT, MODEL:SHORT SLEEVE, COLOR:WHITE / ORANGE, MARKING:FRONT: NAM DUONG, ADDITIONAL DETAILS:BACK MARKING: NAM DUONG, OYSTER SAUCE</t>
  </si>
  <si>
    <t>UN</t>
  </si>
  <si>
    <t>0</t>
  </si>
  <si>
    <t>Bán hàng theo đơn hàng: ASOD2606013455;</t>
  </si>
  <si>
    <t>ASID2606015777</t>
  </si>
  <si>
    <t>AINE2606015476</t>
  </si>
  <si>
    <t>ZTAN</t>
  </si>
  <si>
    <t>00106585</t>
  </si>
  <si>
    <t>5100031380</t>
  </si>
  <si>
    <t>CÔNG TY TNHH SÔNG HỒNG TÂN</t>
  </si>
  <si>
    <t>SỐ 753, ĐƯỜNG XA LỘ HÀ NỘI, KHU PHỐ 29, PHƯỜNG LONG BÌNH, THÀNH PHỐ ĐỒNG NAI, VIỆT NAM</t>
  </si>
  <si>
    <t>72</t>
  </si>
  <si>
    <t>1800</t>
  </si>
  <si>
    <t>2606290058</t>
  </si>
  <si>
    <t>Bán hàng theo đơn hàng: ASOD2606013403;</t>
  </si>
  <si>
    <t>ASID2606015420</t>
  </si>
  <si>
    <t>AINE2606015084</t>
  </si>
  <si>
    <t>00106905</t>
  </si>
  <si>
    <t>50H 44328</t>
  </si>
  <si>
    <t>5100008159</t>
  </si>
  <si>
    <t>CÔNG TY CỔ PHẦN THƯƠNG MẠI BÁCH HÓA XANH</t>
  </si>
  <si>
    <t>Số 38/1 Tổ 1, Khu Phố Bình Phước A, Phường Bình Chuẩn, Thị xã Thuận An, Tỉnh Bình Dương, Việt Nam</t>
  </si>
  <si>
    <t>9900005121</t>
  </si>
  <si>
    <t>120</t>
  </si>
  <si>
    <t>1310.4</t>
  </si>
  <si>
    <t>2606290084</t>
  </si>
  <si>
    <t>Bán hàng theo đơn hàng: ASOD2606013705;</t>
  </si>
  <si>
    <t>KA</t>
  </si>
  <si>
    <t>05851PO2606437899</t>
  </si>
  <si>
    <t>ASID2606015757</t>
  </si>
  <si>
    <t>AINE2606015378</t>
  </si>
  <si>
    <t>Bình Dương - Thuận An</t>
  </si>
  <si>
    <t>Hồ Chí Minh - An Phú</t>
  </si>
  <si>
    <t>Hồ Chí Minh - An Phú ≤2.5 tấn (50H 44328)</t>
  </si>
  <si>
    <t>00013654</t>
  </si>
  <si>
    <t>5110007313</t>
  </si>
  <si>
    <t>CÔNG TY TNHH DỊCH VỤ EB</t>
  </si>
  <si>
    <t>Tầng trệt, tầng 1 và tầng 2, Lô A, Khu Dân cư Cityland,  số 99, Đường Nguyễn Thị Thập, Phường Tân Mỹ, Thành phố Hồ Chí Minh, Việt Nam</t>
  </si>
  <si>
    <t>7.E3803789913I932</t>
  </si>
  <si>
    <t xml:space="preserve">SỮA TIỆT TRÙNG NGUYÊN KEM NHÃN HIỆU MEADOW FRESH 200MLX24, XUẤT XỨ NEW ZEALAND </t>
  </si>
  <si>
    <t>MEADOW FRESH UHT FULL CREAM MILK 200MLX24, NEW ZEALAND ORIGIN</t>
  </si>
  <si>
    <t>9910002976</t>
  </si>
  <si>
    <t>4.93</t>
  </si>
  <si>
    <t>49.3</t>
  </si>
  <si>
    <t>2606290055</t>
  </si>
  <si>
    <t>Bán hàng theo đơn hàng: TS126060000778;</t>
  </si>
  <si>
    <t>2626056936163</t>
  </si>
  <si>
    <t>TI126060001477</t>
  </si>
  <si>
    <t>TB126060001461</t>
  </si>
  <si>
    <t>TP. Hồ Chí Minh</t>
  </si>
  <si>
    <t>TP. Hồ Chí Minh - Tân Mỹ</t>
  </si>
  <si>
    <t>TP. Hồ Chí Minh - Tân Mỹ ≤2.5 tấn (50H 44328)</t>
  </si>
  <si>
    <t>7.E38017899F00135</t>
  </si>
  <si>
    <t>SỮA TƯƠI TIỆT TRÙNG ÍT BÉO NHÃN HIỆU MEADOW FRESH 200mlx24, XUẤT XỨ NEW ZEALAND</t>
  </si>
  <si>
    <t>MEADOW FRESH UHT LOW FAT MILK 200MLX24</t>
  </si>
  <si>
    <t>4.95</t>
  </si>
  <si>
    <t>24.75</t>
  </si>
  <si>
    <t>7.E38017899F00138</t>
  </si>
  <si>
    <t>SỮA TIỆT TRÙNG GIÀU CANXI ÍT BÉO NHÃN HIỆU MEADOW FRESH 200mlx24, XUẤT XỨ NEW ZEALAND</t>
  </si>
  <si>
    <t>MEADOW FRESH UHT LOW FAT CALCI MILK 200MLX24</t>
  </si>
  <si>
    <t>5.02</t>
  </si>
  <si>
    <t>50.199999999999996</t>
  </si>
  <si>
    <t>123.36</t>
  </si>
  <si>
    <t>7.E3801789985I935</t>
  </si>
  <si>
    <t>SỮA TƯƠI TIỆT TRÙNG ÍT BÉO NHÃN HIỆU MEADOW FRESH 1LX12, XUẤT XỨ NEW ZEALAND</t>
  </si>
  <si>
    <t>MEADOW FRESH UHT LOW FAT MILK 1LX12, NEW ZEALAND ORIGIN</t>
  </si>
  <si>
    <t>61.68</t>
  </si>
  <si>
    <t>00013655</t>
  </si>
  <si>
    <t>14.79</t>
  </si>
  <si>
    <t>Hàng KM của hóa đơn số: 00013654 (30.06)</t>
  </si>
  <si>
    <t>TI126060001478</t>
  </si>
  <si>
    <t>TB126060001462</t>
  </si>
  <si>
    <t>TANN</t>
  </si>
  <si>
    <t>15.059999999999999</t>
  </si>
  <si>
    <t>24.672</t>
  </si>
  <si>
    <t>00106443</t>
  </si>
  <si>
    <t>5100004741</t>
  </si>
  <si>
    <t>7.131087061703H10</t>
  </si>
  <si>
    <t>DẦU ĂN THƯỢNG HẠNG NHÃN HIỆU NEPTUNE LIGHT 5L</t>
  </si>
  <si>
    <t>CO-NEPTUNE LIGHT 5L X 4 BTL</t>
  </si>
  <si>
    <t>9900002976</t>
  </si>
  <si>
    <t>Bán hàng theo đơn hàng: ASOD2606013809;</t>
  </si>
  <si>
    <t>ac_nntl</t>
  </si>
  <si>
    <t>2626056936845</t>
  </si>
  <si>
    <t>ASID2606015273</t>
  </si>
  <si>
    <t>AINE2606014944</t>
  </si>
  <si>
    <t>7.131010061703O30</t>
  </si>
  <si>
    <t>CAILAN S [70%OL IV58+30%NBDSBO] 5L*4BTL</t>
  </si>
  <si>
    <t>91</t>
  </si>
  <si>
    <t>7.131010031705O30</t>
  </si>
  <si>
    <t>CAILAN S [70%OL IV58+30%NBDSBO] 1L*12BTL</t>
  </si>
  <si>
    <t>16</t>
  </si>
  <si>
    <t>174.72</t>
  </si>
  <si>
    <t>10.920000000000002</t>
  </si>
  <si>
    <t>13.65</t>
  </si>
  <si>
    <t>CH01_WH PACK PRODUCT</t>
  </si>
  <si>
    <t>7.47505617010400</t>
  </si>
  <si>
    <t>DẦU Ô-LIU EXTRA VIRGIN NHÃN HIỆU OLIVOILÀ 750 ML</t>
  </si>
  <si>
    <t>CO-OLIVOILÀ OLIVE OIL @ 0.75L X 6 BTL</t>
  </si>
  <si>
    <t>4.095</t>
  </si>
  <si>
    <t>20.474999999999998</t>
  </si>
  <si>
    <t>218.4</t>
  </si>
  <si>
    <t>00106445</t>
  </si>
  <si>
    <t>Hàng KM của hóa đơn số: 00106443 (30.06)</t>
  </si>
  <si>
    <t>ASID2606015274</t>
  </si>
  <si>
    <t>AINE2606014946</t>
  </si>
  <si>
    <t>7.131078121706H60</t>
  </si>
  <si>
    <t>DẦU ĂN CAO CẤP NHÃN HIỆU MEIZAN GOLD 400 ML</t>
  </si>
  <si>
    <t>MEIZAN GOLD 0.4L X 24BTL</t>
  </si>
  <si>
    <t>26.208000000000002</t>
  </si>
  <si>
    <t>00106446</t>
  </si>
  <si>
    <t>5105007313</t>
  </si>
  <si>
    <t>7.5221125707Y0206</t>
  </si>
  <si>
    <t>BỘT CHIÊN GIÒN MEIZAN 150G X 24 GÓI</t>
  </si>
  <si>
    <t>MEIZAN CRISPY FRYING MIX 150G X 24BAG</t>
  </si>
  <si>
    <t>9905002976</t>
  </si>
  <si>
    <t>3.6</t>
  </si>
  <si>
    <t>Bán hàng theo đơn hàng: ASOD2606013815;</t>
  </si>
  <si>
    <t>2626056936791</t>
  </si>
  <si>
    <t>ASID2606015275</t>
  </si>
  <si>
    <t>AINE2606014947</t>
  </si>
  <si>
    <t>7.01410721050205</t>
  </si>
  <si>
    <t>BỘT NĂNG ĐA DỤNG MEIZAN 400G X 12 GÓI</t>
  </si>
  <si>
    <t>MEIZAN ALLPURP TAPIOCA STARCH 400G*12BAG</t>
  </si>
  <si>
    <t>7.55601010672006</t>
  </si>
  <si>
    <t>BỘT BẮP MEIZAN 150G X 22 GÓI</t>
  </si>
  <si>
    <t>MEIZAN CORN STARCH 150G X 22 PLASTIC BAG</t>
  </si>
  <si>
    <t>3.3</t>
  </si>
  <si>
    <t>16.5</t>
  </si>
  <si>
    <t>7.522H850041201140</t>
  </si>
  <si>
    <t>NUI CAO CẤP MEIZAN - CHỮ "C" 400G X 12 GÓI</t>
  </si>
  <si>
    <t>MEIZAN MACARONI ELBOW 400G X 12BAG</t>
  </si>
  <si>
    <t>7.522H850251401140</t>
  </si>
  <si>
    <t>NUI CAO CẤP MEIZAN - HÌNH XOẮN 300G X 12 GÓI</t>
  </si>
  <si>
    <t>MEIZAN MACARONI SPIRAL 300G X 12BAG</t>
  </si>
  <si>
    <t>00106448</t>
  </si>
  <si>
    <t>5104007313</t>
  </si>
  <si>
    <t>7.551460F9S52N0680</t>
  </si>
  <si>
    <t>NƯỚC TƯƠNG TỎI ỚT TƯƠI 310G X 24CHAI/THÙNG</t>
  </si>
  <si>
    <t>NAMDUONG GARLIC CHILISOYSAUCE 310G*24BTL</t>
  </si>
  <si>
    <t>9904002976</t>
  </si>
  <si>
    <t>7.44</t>
  </si>
  <si>
    <t>14.88</t>
  </si>
  <si>
    <t>Bán hàng theo đơn hàng: ASOD2606013816;</t>
  </si>
  <si>
    <t>ASID2606015276</t>
  </si>
  <si>
    <t>AINE2606014951</t>
  </si>
  <si>
    <t>7.515006130617050</t>
  </si>
  <si>
    <t>TƯƠNG ỚT 470G X 12 CHAI/THÙNG</t>
  </si>
  <si>
    <t>NAM DUONG CHILI SAUCE 470G X 12BTL</t>
  </si>
  <si>
    <t>5.64</t>
  </si>
  <si>
    <t>16.919999999999998</t>
  </si>
  <si>
    <t>7.118110B419217060</t>
  </si>
  <si>
    <t>MAYONNAISE HƯƠNG GẠO RANG 230G X 24 CHAI/ THÙNG</t>
  </si>
  <si>
    <t>SIMPLY MAYO RICE ROASTED FLVR 230G*24BTL</t>
  </si>
  <si>
    <t>5.52</t>
  </si>
  <si>
    <t>55.199999999999996</t>
  </si>
  <si>
    <t>7.58810402204R1318</t>
  </si>
  <si>
    <t>SỐT DẦU DẤM TRỘN SALAD 250G</t>
  </si>
  <si>
    <t>NAM DUONG SALAD DRESSING 250G X 24BTL</t>
  </si>
  <si>
    <t>00106450</t>
  </si>
  <si>
    <t>27.599999999999998</t>
  </si>
  <si>
    <t>Hàng KM của hóa đơn số: 00106448 (30.06)</t>
  </si>
  <si>
    <t>ASID2606015277</t>
  </si>
  <si>
    <t>AINE2606014954</t>
  </si>
  <si>
    <t>00106452</t>
  </si>
  <si>
    <t>7.515006413217060</t>
  </si>
  <si>
    <t>TƯƠNG ỚT ĐẶC BIỆT CAY 400G</t>
  </si>
  <si>
    <t>NAMDUONG SPECIAL HOT CHILI SC 400G*24BTL</t>
  </si>
  <si>
    <t>Bán hàng theo đơn hàng: ASOD2606013819;</t>
  </si>
  <si>
    <t>2626056957389</t>
  </si>
  <si>
    <t>ASID2606015280</t>
  </si>
  <si>
    <t>AINE2606014958</t>
  </si>
  <si>
    <t>00106455</t>
  </si>
  <si>
    <t>Bán hàng theo đơn hàng: ASOD2606013820;</t>
  </si>
  <si>
    <t>ASID2606015284</t>
  </si>
  <si>
    <t>AINE2606014961</t>
  </si>
  <si>
    <t>00106689</t>
  </si>
  <si>
    <t>50H 50999</t>
  </si>
  <si>
    <t>0.25</t>
  </si>
  <si>
    <t>250</t>
  </si>
  <si>
    <t>2606290136</t>
  </si>
  <si>
    <t>ASID2606015581</t>
  </si>
  <si>
    <t>AINE2606015226</t>
  </si>
  <si>
    <t>00106692</t>
  </si>
  <si>
    <t>7.1070140214008010</t>
  </si>
  <si>
    <t>BƠ THƠM NHÃN HIỆU SATELLITE TRONG THÙNG 20KG</t>
  </si>
  <si>
    <t>SATELLITE BAKERY MARGARINE PEBAG@20KG</t>
  </si>
  <si>
    <t>1000</t>
  </si>
  <si>
    <t>Bán hàng theo đơn hàng: ASOD2606013722;</t>
  </si>
  <si>
    <t>ASCD260600316</t>
  </si>
  <si>
    <t>ASID2606015582</t>
  </si>
  <si>
    <t>AINE2606015228</t>
  </si>
  <si>
    <t>00106698</t>
  </si>
  <si>
    <t>50H 55443</t>
  </si>
  <si>
    <t>5100023708</t>
  </si>
  <si>
    <t>CÔNG TY CỔ PHẦN HƯƠNG LIỆU VÀ NGUYÊN LIỆU THỰC PHẨM HOÀNG ANH</t>
  </si>
  <si>
    <t>LÔ B10, Khu công nghiệp Hiệp Phước, Xã Hiệp Phước, Thành phố Hồ Chí Minh, Việt Nam</t>
  </si>
  <si>
    <t>7.10108957090101</t>
  </si>
  <si>
    <t>DẦU OLEIN TINH LUYỆN HIỆU SATELLITE TRONG TÚI BÓNG 18KG</t>
  </si>
  <si>
    <t>SATELLITE-OL1005 BIB @18KG</t>
  </si>
  <si>
    <t>1.8</t>
  </si>
  <si>
    <t>1800.0000000000016</t>
  </si>
  <si>
    <t>2606290140</t>
  </si>
  <si>
    <t>Bán hàng theo đơn hàng: ASOD2606013234;</t>
  </si>
  <si>
    <t>IEUS</t>
  </si>
  <si>
    <t>FOODINDUSTRY</t>
  </si>
  <si>
    <t>ASCD260300098</t>
  </si>
  <si>
    <t>ASID2606015579</t>
  </si>
  <si>
    <t>AINE2606015230</t>
  </si>
  <si>
    <t>00013635</t>
  </si>
  <si>
    <t>50H 60635</t>
  </si>
  <si>
    <t>5100023470</t>
  </si>
  <si>
    <t>CÔNG TY TNHH ĐẦU TƯ THƯƠNG MẠI ANFOOD</t>
  </si>
  <si>
    <t>726 ĐƯỜNG LÊ VĂN KHƯƠNG, PHƯỜNG THỚI AN, THÀNH PHỐ HỒ CHÍ MINH, VIỆT NAM</t>
  </si>
  <si>
    <t>9900009922</t>
  </si>
  <si>
    <t>235.2</t>
  </si>
  <si>
    <t>2606270036</t>
  </si>
  <si>
    <t>Bán hàng theo đơn hàng: TS126060000738;</t>
  </si>
  <si>
    <t>TI126060001474</t>
  </si>
  <si>
    <t>TB126060001457</t>
  </si>
  <si>
    <t>TP. Hồ Chí Minh - Thới An</t>
  </si>
  <si>
    <t>TP. Hồ Chí Minh - Thới An ≤2.5 tấn (50H 60635)</t>
  </si>
  <si>
    <t>00106323</t>
  </si>
  <si>
    <t>375</t>
  </si>
  <si>
    <t>Bán hàng theo đơn hàng: ASOD2606013149;</t>
  </si>
  <si>
    <t>ASID2606015175</t>
  </si>
  <si>
    <t>AINE2606014841</t>
  </si>
  <si>
    <t>7.707583652817400H</t>
  </si>
  <si>
    <t>NƯỚC RỬA CHÉN POWER100 TIẾT KIỆM HƯƠNG CHANH 3.5KG*4</t>
  </si>
  <si>
    <t>POWER100 SAVING DWL LEMON 3.5KG*4BTL</t>
  </si>
  <si>
    <t>140</t>
  </si>
  <si>
    <t>00106325</t>
  </si>
  <si>
    <t>1125</t>
  </si>
  <si>
    <t>Bán hàng theo đơn hàng: ASOD2606013150;</t>
  </si>
  <si>
    <t>CQOI2226.CEE2</t>
  </si>
  <si>
    <t>ASID2606015176</t>
  </si>
  <si>
    <t>AINE2606014843</t>
  </si>
  <si>
    <t>00013646</t>
  </si>
  <si>
    <t>50H 63174</t>
  </si>
  <si>
    <t>5100008776</t>
  </si>
  <si>
    <t>CÔNG TY TNHH ĐẦU TƯ VÀ THƯƠNG MẠI NGUYỄN TRƯƠNG</t>
  </si>
  <si>
    <t>21 Lê Đình Thụ, Phường Phú Thọ Hòa, Thành phố Hồ Chí Minh, Việt Nam</t>
  </si>
  <si>
    <t>7.1340551233401</t>
  </si>
  <si>
    <t>DẦU BƠ THAY THẾ NHÃN HIỆU GOLDEN CROWN ĐÓNG TRONG THÙNG THÉP 18KG</t>
  </si>
  <si>
    <t>GOLDEN CROWN BUTTER OIL SUBSTITUTE IN TIN 18KG</t>
  </si>
  <si>
    <t>0.09</t>
  </si>
  <si>
    <t>90.00000000000006</t>
  </si>
  <si>
    <t>2606290057</t>
  </si>
  <si>
    <t>Bán hàng theo đơn hàng: TS126060000782;</t>
  </si>
  <si>
    <t>BAKERY</t>
  </si>
  <si>
    <t>TT12606000060</t>
  </si>
  <si>
    <t>TI126060001479</t>
  </si>
  <si>
    <t>TB126060001460</t>
  </si>
  <si>
    <t>TP. Hồ Chí Minh - Phú Thọ Hòa</t>
  </si>
  <si>
    <t>TP. Hồ Chí Minh - Phú Thọ Hòa ≤2.5 tấn (50H 63174)</t>
  </si>
  <si>
    <t>00106396</t>
  </si>
  <si>
    <t>0.5</t>
  </si>
  <si>
    <t>Bán hàng theo đơn hàng: ASOD2606013872;</t>
  </si>
  <si>
    <t>ASCD260600385</t>
  </si>
  <si>
    <t>ASID2606015290</t>
  </si>
  <si>
    <t>AINE2606014920</t>
  </si>
  <si>
    <t>0.36</t>
  </si>
  <si>
    <t>360.0000000000002</t>
  </si>
  <si>
    <t>0.27</t>
  </si>
  <si>
    <t>270.0000000000002</t>
  </si>
  <si>
    <t>7.1070140295008010</t>
  </si>
  <si>
    <t>DẦU BƠ THAY THẾ NHÃN HIỆU SATELLITE (NHÃN MÀU CAM) TRONG THÙNG 20KG</t>
  </si>
  <si>
    <t>SATELLITE BOS ORANGE IN PEBAG@20KG</t>
  </si>
  <si>
    <t>0.2</t>
  </si>
  <si>
    <t>200</t>
  </si>
  <si>
    <t>00106422</t>
  </si>
  <si>
    <t>Bán hàng theo đơn hàng: OSZ26060000228;</t>
  </si>
  <si>
    <t>OIZ26060000213</t>
  </si>
  <si>
    <t>00106679</t>
  </si>
  <si>
    <t>5100008730</t>
  </si>
  <si>
    <t>CÔNG TY CỔ PHẦN TẬP ĐOÀN KIDO</t>
  </si>
  <si>
    <t>NHÀ MÁY BÁNH KẸO KIDO'S BAKERY, LÔ 6-12 (KHU A5) KHU CÔNG NGHIỆP TÂN THỚI HIỆP, PHƯỜNG TÂN THỚI HIỆP, THÀNH PHỐ HỒ CHÍ MINH, VIỆT NAM</t>
  </si>
  <si>
    <t>7.706102031501200</t>
  </si>
  <si>
    <t>PHỤ GIA THỰC PHẨM GLYXERIN TINH KHIẾT 99,7% - WILFARIN, ĐÓNG TRONG PHUY SẮT 250KG</t>
  </si>
  <si>
    <t>WILFARIN REFGLYCERINE99.7 STEELDRM@250KG</t>
  </si>
  <si>
    <t>2000</t>
  </si>
  <si>
    <t>2606290143</t>
  </si>
  <si>
    <t>VNPOST</t>
  </si>
  <si>
    <t>Bán hàng theo đơn hàng: ASOD2606000002;</t>
  </si>
  <si>
    <t>CS01</t>
  </si>
  <si>
    <t>ac_ntkk</t>
  </si>
  <si>
    <t>ASCD260300157</t>
  </si>
  <si>
    <t>ASID2606015599</t>
  </si>
  <si>
    <t>AINE2606015205</t>
  </si>
  <si>
    <t>TP. Hồ Chí Minh - Tân Thới Hiệp</t>
  </si>
  <si>
    <t>TP. Hồ Chí Minh - Tân Thới Hiệp ≤2.5 tấn (50H 63174)</t>
  </si>
  <si>
    <t>00106769</t>
  </si>
  <si>
    <t>50H 64316</t>
  </si>
  <si>
    <t>5100031123</t>
  </si>
  <si>
    <t>CÔNG TY TNHH SẢN XUẤT VÀ XUẤT NHẬP KHẨU BỘT MÌ LIÊN NGUYỄN</t>
  </si>
  <si>
    <t>117/28/2 HỒ VĂN LONG, PHƯỜNG BÌNH TÂN, THÀNH PHỐ HỒ CHÍ MINH, VIỆT NAM</t>
  </si>
  <si>
    <t>9900011147</t>
  </si>
  <si>
    <t>2606290137</t>
  </si>
  <si>
    <t>Bán hàng theo đơn hàng: ASOD2606013663;</t>
  </si>
  <si>
    <t>ac_chlog4</t>
  </si>
  <si>
    <t>ASCD260600430</t>
  </si>
  <si>
    <t>ASID2606015587</t>
  </si>
  <si>
    <t>AINE2606015274</t>
  </si>
  <si>
    <t>TP. Hồ Chí Minh - Bình Tân</t>
  </si>
  <si>
    <t>TP. Hồ Chí Minh - Bình Tân ≤2.5 tấn (50H 64316)</t>
  </si>
  <si>
    <t>00106775</t>
  </si>
  <si>
    <t>7.10108959120002</t>
  </si>
  <si>
    <t>DẦU OLEIN TINH LUYỆN HIỆU SATELLITE TRONG CAN 25KG</t>
  </si>
  <si>
    <t>SATELLITE-OL1008 JRG @25 KG</t>
  </si>
  <si>
    <t>Bán hàng theo đơn hàng: ASOD2606013664;</t>
  </si>
  <si>
    <t>ASCD260600421</t>
  </si>
  <si>
    <t>ASID2606015590</t>
  </si>
  <si>
    <t>AINE2606015277</t>
  </si>
  <si>
    <t>0.125</t>
  </si>
  <si>
    <t>125</t>
  </si>
  <si>
    <t>00106386</t>
  </si>
  <si>
    <t>50H 66347</t>
  </si>
  <si>
    <t>2606290044</t>
  </si>
  <si>
    <t>ASID2606015201</t>
  </si>
  <si>
    <t>AINE2606014914</t>
  </si>
  <si>
    <t>TP. Hồ Chí Minh - Phú Thuận Pallet (50H 66347)</t>
  </si>
  <si>
    <t>7.131009121706O90</t>
  </si>
  <si>
    <t>DẦU THỰC VẬT HẢO HẠNG NHÃN HIỆU CÁI LÂN 400ML</t>
  </si>
  <si>
    <t>CAILANPRVEGOIL(99.5OL+0.5SBO)400MLX24BTL</t>
  </si>
  <si>
    <t>78</t>
  </si>
  <si>
    <t>681.408</t>
  </si>
  <si>
    <t>144</t>
  </si>
  <si>
    <t>2620.7999999999997</t>
  </si>
  <si>
    <t>7.131103281705P20</t>
  </si>
  <si>
    <t>DẦU THỰC VẬT HẢO HẠNG NHÃN HIỆU ORCHID 1L</t>
  </si>
  <si>
    <t>ORCHID PR 99.5%ROLIV56+0.5%SBO 1L*12BTL</t>
  </si>
  <si>
    <t>3931.2</t>
  </si>
  <si>
    <t>28</t>
  </si>
  <si>
    <t>700</t>
  </si>
  <si>
    <t>00106664</t>
  </si>
  <si>
    <t>50H 66445</t>
  </si>
  <si>
    <t>5100000075</t>
  </si>
  <si>
    <t>CÔNG TY CỔ PHẦN S.P.M</t>
  </si>
  <si>
    <t>LÔ SỐ 51 - 53 KHU CÔNG NGHIỆP TÂN TẠO ĐƯỜNG SỐ 2, PHƯỜNG TÂN TẠO, THÀNH PHỐ HỒ CHÍ MINH, VIỆT NAM.</t>
  </si>
  <si>
    <t>7.45105279090100</t>
  </si>
  <si>
    <t>DẦU ĐẬU NÀNH TINH LUYỆN HIỆU SATELLITE TRONG TÚI BÓNG 18 KG</t>
  </si>
  <si>
    <t>SATELLITE-SBO BIB @18 KG</t>
  </si>
  <si>
    <t>0.702</t>
  </si>
  <si>
    <t>702.0000000000005</t>
  </si>
  <si>
    <t>2606290142</t>
  </si>
  <si>
    <t>Bán hàng theo đơn hàng: ASOD2606013903;</t>
  </si>
  <si>
    <t>08-2026</t>
  </si>
  <si>
    <t>ASID2606015572</t>
  </si>
  <si>
    <t>AINE2606015184</t>
  </si>
  <si>
    <t>TP. Hồ Chí Minh - Tân Tạo</t>
  </si>
  <si>
    <t>TP. Hồ Chí Minh - Tân Tạo ≤2.5 tấn (50H 66445)</t>
  </si>
  <si>
    <t>7.101089580800910</t>
  </si>
  <si>
    <t>DẦU CỌ CHUYÊN DỤNG NHÃN HIỆU SATELLITE 20KG</t>
  </si>
  <si>
    <t>SATELLITE TEXTURIZED RBDPO CARTON@20KG</t>
  </si>
  <si>
    <t>0.3</t>
  </si>
  <si>
    <t>00106667</t>
  </si>
  <si>
    <t>0.306</t>
  </si>
  <si>
    <t>306.0000000000002</t>
  </si>
  <si>
    <t>Bán hàng theo đơn hàng: ASOD2606013904;</t>
  </si>
  <si>
    <t>09-2026</t>
  </si>
  <si>
    <t>ASID2606015573</t>
  </si>
  <si>
    <t>AINE2606015192</t>
  </si>
  <si>
    <t>00106589</t>
  </si>
  <si>
    <t>50H 69501</t>
  </si>
  <si>
    <t>5100003096</t>
  </si>
  <si>
    <t>CÔNG TY TNHH PAPPAROTI VIỆT NAM</t>
  </si>
  <si>
    <t>SỐ 51 ĐƯỜNG TRẦN VĂN ƠN, PHƯỜNG TÂN SƠN NHÌ, THÀNH PHỐ HỒ CHÍ MINH, VIỆT NAM</t>
  </si>
  <si>
    <t>7.1070120803408010</t>
  </si>
  <si>
    <t>BƠ THỰC VẬT CAO CẤP HIỆU MEIZAN TRONG THÙNG 18KG (MÀU XANH )</t>
  </si>
  <si>
    <t>MEIZAN MARGARINE MP 42-44 IN PEBAG@18KG</t>
  </si>
  <si>
    <t>1.08</t>
  </si>
  <si>
    <t>1080.000000000001</t>
  </si>
  <si>
    <t>2606290134</t>
  </si>
  <si>
    <t>Bán hàng theo đơn hàng: ASOD2606012939;</t>
  </si>
  <si>
    <t>ASCD260600017</t>
  </si>
  <si>
    <t>ASID2606015465</t>
  </si>
  <si>
    <t>AINE2606015090</t>
  </si>
  <si>
    <t>TP. Hồ Chí Minh - Tân Sơn Nhì</t>
  </si>
  <si>
    <t>TP. Hồ Chí Minh - Tân Sơn Nhì ≤2.5 tấn (50H 69501)</t>
  </si>
  <si>
    <t>00107004</t>
  </si>
  <si>
    <t>5100002892</t>
  </si>
  <si>
    <t>CÔNG TY TNHH ĐẠI HIỀN TÂM</t>
  </si>
  <si>
    <t>34/23 CÂY BÀI, XÃ PHƯỚC VĨNH AN, CỦ CHI</t>
  </si>
  <si>
    <t>7.10601202425C1010</t>
  </si>
  <si>
    <t>CHẤT BÉO CHOCO 400 NHÃN HIỆU MEIZAN ĐÓNG TRONG THÙNG 20KG</t>
  </si>
  <si>
    <t>MEIZAN CHOCOFAT 400 MP 40-43 CARTON@20KG</t>
  </si>
  <si>
    <t>1.6</t>
  </si>
  <si>
    <t>1600</t>
  </si>
  <si>
    <t>2606290139</t>
  </si>
  <si>
    <t>AJLONGHAU</t>
  </si>
  <si>
    <t>Bán hàng theo đơn hàng: ASOD2606012427;</t>
  </si>
  <si>
    <t>CONFECTIONARY</t>
  </si>
  <si>
    <t>CS02</t>
  </si>
  <si>
    <t>ac_ptnm</t>
  </si>
  <si>
    <t>ASCD260300406</t>
  </si>
  <si>
    <t>ASID2606015749</t>
  </si>
  <si>
    <t>AINE2606015460</t>
  </si>
  <si>
    <t>TP HCM (Củ Chi)</t>
  </si>
  <si>
    <t>Hồ Chí Minh - Củ Chi</t>
  </si>
  <si>
    <t>Hồ Chí Minh - Củ Chi ≤2.5 tấn (50H 69501)</t>
  </si>
  <si>
    <t>00106428</t>
  </si>
  <si>
    <t>50H 70216</t>
  </si>
  <si>
    <t>5100001547</t>
  </si>
  <si>
    <t>CÔNG TY TNHH MTV CHẾ BIẾN THỰC PHẨM THỌ PHÁT</t>
  </si>
  <si>
    <t>Lô HT-F2-4&amp;5, Đường số 1, Khu công nghiệp Hiệp Phước, Xã Hiệp Phước, Thành phố Hồ Chí Minh, Việt Nam</t>
  </si>
  <si>
    <t>7.1060140239008010</t>
  </si>
  <si>
    <t>SHORTENING NHÃN HIỆU SATELLITE 20KG</t>
  </si>
  <si>
    <t>SATELLITE SHT MP 48-51 IV 43 PEBAG@20KG</t>
  </si>
  <si>
    <t>2606290056</t>
  </si>
  <si>
    <t>Bán hàng theo đơn hàng: ASOD2606012947;</t>
  </si>
  <si>
    <t>ASCD260300222</t>
  </si>
  <si>
    <t>ASID2606015199</t>
  </si>
  <si>
    <t>AINE2606014933</t>
  </si>
  <si>
    <t>KCN Hiệp Phước, Nhà Bè</t>
  </si>
  <si>
    <t>Hồ Chí Minh - KCN Hiệp Phước</t>
  </si>
  <si>
    <t>Hồ Chí Minh - KCN Hiệp Phước ≤2.5 tấn (50H 70216)</t>
  </si>
  <si>
    <t>00106705</t>
  </si>
  <si>
    <t>50H 74619</t>
  </si>
  <si>
    <t>1.692</t>
  </si>
  <si>
    <t>1692.0000000000014</t>
  </si>
  <si>
    <t>2606290141</t>
  </si>
  <si>
    <t>ASID2606015594</t>
  </si>
  <si>
    <t>AINE2606015231</t>
  </si>
  <si>
    <t>00107000</t>
  </si>
  <si>
    <t>0.4</t>
  </si>
  <si>
    <t>400</t>
  </si>
  <si>
    <t>2606290138</t>
  </si>
  <si>
    <t>ASID2606015751</t>
  </si>
  <si>
    <t>AINE2606015456</t>
  </si>
  <si>
    <t>Hồ Chí Minh - Củ Chi ≤2.5 tấn (50H 74619)</t>
  </si>
  <si>
    <t>00107002</t>
  </si>
  <si>
    <t>7.10108957090104</t>
  </si>
  <si>
    <t>DẦU CỌ TINH LUYỆN HIỆU SATELLITE TRONG TÚI BÓNG 18KG</t>
  </si>
  <si>
    <t>SATELLITE RBD PALM OIL IN BIB @18KG</t>
  </si>
  <si>
    <t>1.008</t>
  </si>
  <si>
    <t>1008.0000000000008</t>
  </si>
  <si>
    <t>Bán hàng theo đơn hàng: ASOD2606005823;</t>
  </si>
  <si>
    <t>ASCD260500287</t>
  </si>
  <si>
    <t>ASID2606015753</t>
  </si>
  <si>
    <t>AINE2606015458</t>
  </si>
  <si>
    <t>00106536</t>
  </si>
  <si>
    <t>50H 75206</t>
  </si>
  <si>
    <t>5100003055</t>
  </si>
  <si>
    <t>CÔNG TY TNHH NESTLE VIỆT NAM</t>
  </si>
  <si>
    <t>SỐ 7, ĐƯỜNG 17A, KCN BIÊN HÒA II, PHƯỜNG TRẤN BIÊN, THÀNH PHỐ ĐỒNG NAI, VIỆT NAM</t>
  </si>
  <si>
    <t>6.1212A98</t>
  </si>
  <si>
    <t>DẦU OLEIN CỌ TINH LUYỆN TRONG XE BỒN (TTP/LC1)</t>
  </si>
  <si>
    <t>RE-REFINED PALM OLEIN (TTP/LC1)</t>
  </si>
  <si>
    <t>6.72</t>
  </si>
  <si>
    <t>6720</t>
  </si>
  <si>
    <t>19759-0364288</t>
  </si>
  <si>
    <t>CH02_TF/PUMP HOUSE</t>
  </si>
  <si>
    <t>Bán hàng theo đơn hàng: ASOD2606013967;</t>
  </si>
  <si>
    <t>TW11</t>
  </si>
  <si>
    <t>9640048302/4563535631</t>
  </si>
  <si>
    <t>ASID2606015402</t>
  </si>
  <si>
    <t>AINE2606015029</t>
  </si>
  <si>
    <t>00106432</t>
  </si>
  <si>
    <t>50H 86564</t>
  </si>
  <si>
    <t>2606290094</t>
  </si>
  <si>
    <t>ASID2606015219</t>
  </si>
  <si>
    <t>AINE2606014935</t>
  </si>
  <si>
    <t>00106374</t>
  </si>
  <si>
    <t>50H 87055</t>
  </si>
  <si>
    <t>5100008705</t>
  </si>
  <si>
    <t>CÔNG TY TNHH ĐẦU TƯ THƯƠNG MẠI DỊCH VỤ THẮNG NGUYỄN</t>
  </si>
  <si>
    <t>50C XA LỘ HÀ NỘI, PHƯỜNG PHƯỚC LONG, TP. HỒ CHÍ MINH, VIỆT NAM</t>
  </si>
  <si>
    <t xml:space="preserve">2606290093 </t>
  </si>
  <si>
    <t>Bán hàng theo đơn hàng: OSZ26060000227;</t>
  </si>
  <si>
    <t>OIZ26060000212</t>
  </si>
  <si>
    <t>TP, Hồ Chí Minh (Đường nhỏ)</t>
  </si>
  <si>
    <t>Thành phố Hồ Chí Minh (Đường nhỏ), Phước Long</t>
  </si>
  <si>
    <t>Thành phố Hồ Chí Minh (Đường nhỏ), Phước Long Pallet (50H 87055)</t>
  </si>
  <si>
    <t>00106908</t>
  </si>
  <si>
    <t>50H 87442</t>
  </si>
  <si>
    <t>5101004863</t>
  </si>
  <si>
    <t>CÔNG TY TNHH AEON VIỆT NAM</t>
  </si>
  <si>
    <t>KHO VIETTEL POST - KHO AEON RDC: SỐ 2 BIS, KHU Z11, QUỐC LỘ 1A, KHU PHỐ 2, PHƯỜNG TRUNG MỸ TÂY, THÀNH PHỐ HỒ CHÍ MINH, VIỆT NAM</t>
  </si>
  <si>
    <t>7.522112292032712</t>
  </si>
  <si>
    <t>BỘT MÌ ĐA DỤNG CAO CẤP HIỆU MEIZAN (0.5KG*20 GÓI/THÙNG)</t>
  </si>
  <si>
    <t>MEIZAN MULTIFL 9.5-12%W/FE&amp;ZN 500G*20BAG</t>
  </si>
  <si>
    <t>9901011102</t>
  </si>
  <si>
    <t>WH Unidepot</t>
  </si>
  <si>
    <t>Bán hàng theo đơn hàng: ASOD2606013659;</t>
  </si>
  <si>
    <t>CS43</t>
  </si>
  <si>
    <t>ho_tna</t>
  </si>
  <si>
    <t>80034001308632</t>
  </si>
  <si>
    <t>ASID2606015775</t>
  </si>
  <si>
    <t>AINE2606015381</t>
  </si>
  <si>
    <t>TP. Hồ Chí Minh - Trung Mỹ Tây</t>
  </si>
  <si>
    <t>TP. Hồ Chí Minh - Trung Mỹ Tây ≤2.5 tấn (50H 87442)</t>
  </si>
  <si>
    <t>00106911</t>
  </si>
  <si>
    <t>Kho Viettel Post - Kho Aeon RDC: Số 2 Bis, Khu Z11, Quốc Lộ 1A, Khu Phố 2, Phường Trung Mỹ Tây, Thành Phố Hồ Chí Minh, Việt Nam</t>
  </si>
  <si>
    <t>9901009982</t>
  </si>
  <si>
    <t>Bán hàng theo đơn hàng: ASOD2606013649;</t>
  </si>
  <si>
    <t>80034001308659-DLC</t>
  </si>
  <si>
    <t>ASID2606015786</t>
  </si>
  <si>
    <t>AINE2606015384</t>
  </si>
  <si>
    <t>7.522B856158101140</t>
  </si>
  <si>
    <t>MÌ CHAY CAO CẤP MEIZAN 250G X 12 GÓI</t>
  </si>
  <si>
    <t>MEIZAN PREMIUM VEG NOODLE 250G X 12BAG</t>
  </si>
  <si>
    <t>00106914</t>
  </si>
  <si>
    <t>5100004863</t>
  </si>
  <si>
    <t>9900009982</t>
  </si>
  <si>
    <t>Bán hàng theo đơn hàng: ASOD2606013648;</t>
  </si>
  <si>
    <t>ASID2606015789</t>
  </si>
  <si>
    <t>AINE2606015387</t>
  </si>
  <si>
    <t>00106919</t>
  </si>
  <si>
    <t>Bán hàng theo đơn hàng: ASOD2606013647;</t>
  </si>
  <si>
    <t>80034001308660-DLC</t>
  </si>
  <si>
    <t>ASID2606015794</t>
  </si>
  <si>
    <t>AINE2606015392</t>
  </si>
  <si>
    <t>00106928</t>
  </si>
  <si>
    <t>5104004863</t>
  </si>
  <si>
    <t>7.551460E6Y9000680</t>
  </si>
  <si>
    <t>NƯỚC TƯƠNG NAM DƯƠNG ĐẬM ĐẶC 500ML X 24 CHAI/ THÙNG</t>
  </si>
  <si>
    <t>NAMDUONG CONDENSED SOY SAUCE 500ML*24BTL</t>
  </si>
  <si>
    <t>9904011102</t>
  </si>
  <si>
    <t>13.458</t>
  </si>
  <si>
    <t>UNI 3</t>
  </si>
  <si>
    <t>Bán hàng theo đơn hàng: ASOD2606013646;</t>
  </si>
  <si>
    <t>80034001308639</t>
  </si>
  <si>
    <t>ASID2606015796</t>
  </si>
  <si>
    <t>AINE2606015398</t>
  </si>
  <si>
    <t>00106934</t>
  </si>
  <si>
    <t>Bán hàng theo đơn hàng: ASOD2606013645;</t>
  </si>
  <si>
    <t>ASID2606015804</t>
  </si>
  <si>
    <t>AINE2606015402</t>
  </si>
  <si>
    <t>7.522112732590205</t>
  </si>
  <si>
    <t>BỘT NẾP MEIZAN 400G X 12 GÓI</t>
  </si>
  <si>
    <t>MEIZAN GLUTINOUS RICE FLOUR 400G*12BAG</t>
  </si>
  <si>
    <t>00106940</t>
  </si>
  <si>
    <t>9900011102</t>
  </si>
  <si>
    <t>65.52</t>
  </si>
  <si>
    <t>Bán hàng theo đơn hàng: ASOD2606013644;</t>
  </si>
  <si>
    <t>80034001308642</t>
  </si>
  <si>
    <t>ASID2606015815</t>
  </si>
  <si>
    <t>AINE2606015407</t>
  </si>
  <si>
    <t>7.131078041704E10</t>
  </si>
  <si>
    <t>DẦU ĂN CAO CẤP NHÃN HIỆU MEIZAN GOLD 2L</t>
  </si>
  <si>
    <t>CO-MEIZAN GOLD 2L X 6 BTL</t>
  </si>
  <si>
    <t>43.68</t>
  </si>
  <si>
    <t>7.131010041704O30</t>
  </si>
  <si>
    <t>DẦU THỰC VẬT HẢO HẠNG NHÃN HIỆU CÁI LÂN 2L</t>
  </si>
  <si>
    <t>CAILAN S [70%OL IV58+30%NBDSBO] 2L*6BTL</t>
  </si>
  <si>
    <t>00106945</t>
  </si>
  <si>
    <t>9901009980</t>
  </si>
  <si>
    <t>Bán hàng theo đơn hàng: ASOD2606013660;</t>
  </si>
  <si>
    <t>80034001307196</t>
  </si>
  <si>
    <t>ASID2606015819</t>
  </si>
  <si>
    <t>AINE2606015410</t>
  </si>
  <si>
    <t>00106950</t>
  </si>
  <si>
    <t>5100019833</t>
  </si>
  <si>
    <t>7.707587L82817000A</t>
  </si>
  <si>
    <t>NƯỚC LAU KÍNH POWER100 HƯƠNG BẠC HÀ 500ML*24</t>
  </si>
  <si>
    <t>POWER100 GLASS CLEANER MINT 500ML*24BTL</t>
  </si>
  <si>
    <t>9900009981</t>
  </si>
  <si>
    <t>11.904</t>
  </si>
  <si>
    <t>Bán hàng theo đơn hàng: ASOD2606013656;</t>
  </si>
  <si>
    <t>80034001307886</t>
  </si>
  <si>
    <t>ASID2606015824</t>
  </si>
  <si>
    <t>AINE2606015415</t>
  </si>
  <si>
    <t>7.704233Q83717001I</t>
  </si>
  <si>
    <t>BỘT GIẶT POWER100 HƯƠNG NƯỚC HOA PHÁP QUYẾN RŨ 5.3KG*3</t>
  </si>
  <si>
    <t>POWER100 PD CHARMINGFRENCH PF 5.3KG*3PCH</t>
  </si>
  <si>
    <t>15.9</t>
  </si>
  <si>
    <t>31.8</t>
  </si>
  <si>
    <t>00106952</t>
  </si>
  <si>
    <t>9901010983</t>
  </si>
  <si>
    <t>Bán hàng theo đơn hàng: ASOD2606013655;</t>
  </si>
  <si>
    <t>80034001307899-DLC</t>
  </si>
  <si>
    <t>ASID2606015826</t>
  </si>
  <si>
    <t>AINE2606015416</t>
  </si>
  <si>
    <t>00106954</t>
  </si>
  <si>
    <t>9900010983</t>
  </si>
  <si>
    <t>5.46</t>
  </si>
  <si>
    <t>Bán hàng theo đơn hàng: ASOD2606013651;</t>
  </si>
  <si>
    <t>80034001308376-DLC</t>
  </si>
  <si>
    <t>ASID2606015829</t>
  </si>
  <si>
    <t>AINE2606015418</t>
  </si>
  <si>
    <t>00106960</t>
  </si>
  <si>
    <t>9900009978</t>
  </si>
  <si>
    <t>Bán hàng theo đơn hàng: ASOD2606013650;</t>
  </si>
  <si>
    <t>80034001308565-BKR</t>
  </si>
  <si>
    <t>ASID2606015832</t>
  </si>
  <si>
    <t>AINE2606015423</t>
  </si>
  <si>
    <t>00106963</t>
  </si>
  <si>
    <t>Bán hàng theo đơn hàng: ASOD2606013643;</t>
  </si>
  <si>
    <t>80034001308875-DLC</t>
  </si>
  <si>
    <t>ASID2606015834</t>
  </si>
  <si>
    <t>AINE2606015426</t>
  </si>
  <si>
    <t>00106967</t>
  </si>
  <si>
    <t>9900009980</t>
  </si>
  <si>
    <t>Bán hàng theo đơn hàng: ASOD2606013641;</t>
  </si>
  <si>
    <t>ASID2606015838</t>
  </si>
  <si>
    <t>AINE2606015429</t>
  </si>
  <si>
    <t>00106970</t>
  </si>
  <si>
    <t>Bán hàng theo đơn hàng: ASOD2606013639;</t>
  </si>
  <si>
    <t>ASID2606015840</t>
  </si>
  <si>
    <t>AINE2606015431</t>
  </si>
  <si>
    <t>7.090026641990913</t>
  </si>
  <si>
    <t>BỘT BÁNH XÈO MEIZAN 400G X 12 GÓI</t>
  </si>
  <si>
    <t>MEIZAN VIETNAMESE PANCAKE MIX 400G*12BAG</t>
  </si>
  <si>
    <t>00106974</t>
  </si>
  <si>
    <t>7.1070123022552230</t>
  </si>
  <si>
    <t>BƠ THỰC VẬT NHÃN HIỆU MEIZAN 80G</t>
  </si>
  <si>
    <t>MEIZAN MARGARINE MP 39-42 80G X 60TUB</t>
  </si>
  <si>
    <t>Bán hàng theo đơn hàng: ASOD2606013638;</t>
  </si>
  <si>
    <t>80034001306987</t>
  </si>
  <si>
    <t>ASID2606015842</t>
  </si>
  <si>
    <t>AINE2606015434</t>
  </si>
  <si>
    <t>7.1070123122552250</t>
  </si>
  <si>
    <t>BƠ THỰC VẬT NHÃN HIỆU MEIZAN 200G</t>
  </si>
  <si>
    <t>MEIZAN MARGARINE MP 39-42 200G X 36TUB</t>
  </si>
  <si>
    <t>7.2</t>
  </si>
  <si>
    <t>00107055</t>
  </si>
  <si>
    <t>7.5180061402308120</t>
  </si>
  <si>
    <t>HẠT NÊM TAM BẢO VỊ NẤM 380G</t>
  </si>
  <si>
    <t>NEPTUNE MUSHROOM BOUILLON 380G*20PEBAG</t>
  </si>
  <si>
    <t>9904009980</t>
  </si>
  <si>
    <t>7.6</t>
  </si>
  <si>
    <t>Bán hàng theo đơn hàng: ASOD2606013642;</t>
  </si>
  <si>
    <t>ASID2606015882</t>
  </si>
  <si>
    <t>AINE2606015499</t>
  </si>
  <si>
    <t>00106813</t>
  </si>
  <si>
    <t>50H 88294</t>
  </si>
  <si>
    <t>7.707710E92817000N</t>
  </si>
  <si>
    <t>NƯỚC RỬA CHÉN POWER100 NATURAL TINH CHẤT LÔ HỘI 750G*16</t>
  </si>
  <si>
    <t>POWER100 NTRL DWL ALOEVERA EO 750G*16BTL</t>
  </si>
  <si>
    <t>9900009583</t>
  </si>
  <si>
    <t>Bán hàng theo đơn hàng: ASOD2606013653;</t>
  </si>
  <si>
    <t>ho_nhquan</t>
  </si>
  <si>
    <t>80011000035932</t>
  </si>
  <si>
    <t>ASID2606015690</t>
  </si>
  <si>
    <t>AINE2606015314</t>
  </si>
  <si>
    <t>TP. Hồ Chí Minh - Trung Mỹ Tây ≤2.5 tấn (50H 88294)</t>
  </si>
  <si>
    <t>100</t>
  </si>
  <si>
    <t>1280</t>
  </si>
  <si>
    <t>00106327</t>
  </si>
  <si>
    <t>50H 92136</t>
  </si>
  <si>
    <t>2606270035</t>
  </si>
  <si>
    <t>ASID2606015174</t>
  </si>
  <si>
    <t>AINE2606014845</t>
  </si>
  <si>
    <t>TP. Hồ Chí Minh - Thới An ≤2.5 tấn (50H 92136)</t>
  </si>
  <si>
    <t>7.551460F37C6M0380</t>
  </si>
  <si>
    <t>NƯỚC CHẤM ĐẬU NÀNH HÀNG VIỆT HORECA 4 LÍT X 4 CHAI/THÙNG</t>
  </si>
  <si>
    <t>NAMDUONG HANGVIETHORECA SOYSAUCE 4L*4BTL</t>
  </si>
  <si>
    <t>17.088</t>
  </si>
  <si>
    <t>170.88</t>
  </si>
  <si>
    <t>672</t>
  </si>
  <si>
    <t>7.515006302917030</t>
  </si>
  <si>
    <t>TƯƠNG ỚT HÀNG VIỆT HORECA 4,2KG X 4 CHAI/THÙNG</t>
  </si>
  <si>
    <t>NAMDUONG HORECA HV CHILISAUCE 4.2KG*4BTL</t>
  </si>
  <si>
    <t>16.8</t>
  </si>
  <si>
    <t>7.1180129103976030</t>
  </si>
  <si>
    <t>MAYONNAISE MEIZAN 3KG X 4 HỘP/ THÙNG</t>
  </si>
  <si>
    <t>MEIZAN MAYONNAISE 3KG X 4BOX</t>
  </si>
  <si>
    <t>00106433</t>
  </si>
  <si>
    <t>51D 38021</t>
  </si>
  <si>
    <t>5104020255</t>
  </si>
  <si>
    <t>CÔNG TY TNHH THISO RETAIL</t>
  </si>
  <si>
    <t>TẦNG HẦM 01 (B1 ), KHU CAO ỐC VĂN PHÒNG - THƯƠNG MẠI - DỊCH VỤ TẠI LÔ 5.5, SỐ 8 - 10 ĐƯỜNG MAI CHÍ THỌ, PHƯỜNG AN KHÁNH, TP HCM</t>
  </si>
  <si>
    <t>9904007186</t>
  </si>
  <si>
    <t>Bán hàng theo đơn hàng: ASOD2606013890;</t>
  </si>
  <si>
    <t>4501833659</t>
  </si>
  <si>
    <t>ASID2606015320</t>
  </si>
  <si>
    <t>AINE2606014936</t>
  </si>
  <si>
    <t>Hồ Chí Minh</t>
  </si>
  <si>
    <t>TP. Hồ Chí Minh - An Khánh</t>
  </si>
  <si>
    <t>TP. Hồ Chí Minh - An Khánh ≤2.5 tấn (51D 38021)</t>
  </si>
  <si>
    <t>26.916</t>
  </si>
  <si>
    <t>53.832</t>
  </si>
  <si>
    <t>7.118110B418217060</t>
  </si>
  <si>
    <t>MAYONNAISE (CHẤM VÀ TRỘN ĐỀU NGON) 230G X 24 CHAI/ THÙNG</t>
  </si>
  <si>
    <t>SIMPLY MULTIPURPOSE MAYO 230G X 24BTL</t>
  </si>
  <si>
    <t>16.56</t>
  </si>
  <si>
    <t>33.12</t>
  </si>
  <si>
    <t>7.551460F26C000580</t>
  </si>
  <si>
    <t>NƯỚC TƯƠNG NAM DƯƠNG ĐẬU NÀNH LÊN MEN TỰ NHIÊN 710ML X 12 CHAI/THÙNG</t>
  </si>
  <si>
    <t>NAMDUONG FERMENTED SOY SAUCE 710ML*12BTL</t>
  </si>
  <si>
    <t>9.7793</t>
  </si>
  <si>
    <t>29.337899999999998</t>
  </si>
  <si>
    <t>00106441</t>
  </si>
  <si>
    <t>7.5180061602408100</t>
  </si>
  <si>
    <t>HẠT NÊM 4 TRONG 1 VỊ HEO 850G X 10 GÓI/ THÙNG</t>
  </si>
  <si>
    <t>NEPTUNE PORK BOUILLON 850G X 10PEBAG</t>
  </si>
  <si>
    <t>8.5</t>
  </si>
  <si>
    <t>51</t>
  </si>
  <si>
    <t>Bán hàng theo đơn hàng: ASOD2606013887;</t>
  </si>
  <si>
    <t>4501833341</t>
  </si>
  <si>
    <t>ASID2606015326</t>
  </si>
  <si>
    <t>AINE2606014942</t>
  </si>
  <si>
    <t>102</t>
  </si>
  <si>
    <t>00106444</t>
  </si>
  <si>
    <t>5105020255</t>
  </si>
  <si>
    <t>9905007186</t>
  </si>
  <si>
    <t>Bán hàng theo đơn hàng: ASOD2606013883;</t>
  </si>
  <si>
    <t>ASID2606015334</t>
  </si>
  <si>
    <t>AINE2606014945</t>
  </si>
  <si>
    <t>00106447</t>
  </si>
  <si>
    <t>7.522H850300101020</t>
  </si>
  <si>
    <t>NUI CAO CẤP MEIZAN 200G X 24 GÓI</t>
  </si>
  <si>
    <t>MEIZAN MACARONI LONG TUBE 200G*24BAG</t>
  </si>
  <si>
    <t>Bán hàng theo đơn hàng: ASOD2606013881;</t>
  </si>
  <si>
    <t>ASID2606015342</t>
  </si>
  <si>
    <t>AINE2606014948</t>
  </si>
  <si>
    <t>7.522H850260101020</t>
  </si>
  <si>
    <t>NUI GẠO CAO CẤP MEIZAN - CHỮ "C" 200G X 24 GÓI</t>
  </si>
  <si>
    <t>MEIZAN RICE MACARONI ELBOW 200G X 24BAG</t>
  </si>
  <si>
    <t>7.522H850240101020</t>
  </si>
  <si>
    <t>NUI CAO CẤP MEIZAN - HÌNH SAO 200G X 24 GÓI</t>
  </si>
  <si>
    <t>MEIZAN MACARONI STELLINE 200G X 24BAG</t>
  </si>
  <si>
    <t>14.399999999999999</t>
  </si>
  <si>
    <t>00106453</t>
  </si>
  <si>
    <t>5100020255</t>
  </si>
  <si>
    <t>7.460050B91704030</t>
  </si>
  <si>
    <t>DẦU GẠO LỨT NHÃN HIỆU SIMPLY 2L</t>
  </si>
  <si>
    <t>SIMPLY RBDRBO 2L X 6BTL</t>
  </si>
  <si>
    <t>9900007186</t>
  </si>
  <si>
    <t>21.84</t>
  </si>
  <si>
    <t>Bán hàng theo đơn hàng: ASOD2606013877;</t>
  </si>
  <si>
    <t>ASID2606015345</t>
  </si>
  <si>
    <t>AINE2606014959</t>
  </si>
  <si>
    <t>109.19999999999999</t>
  </si>
  <si>
    <t>7.45705003010500</t>
  </si>
  <si>
    <t>DẦU HẠT CẢI NHÃN HIỆU SIMPLY 1L</t>
  </si>
  <si>
    <t>CO-SIMPLY CANOLA 1L X 12 BTL</t>
  </si>
  <si>
    <t>7.131087041704H10</t>
  </si>
  <si>
    <t>DẦU ĂN THƯỢNG HẠNG NHÃN HIỆU NEPTUNE LIGHT 2L</t>
  </si>
  <si>
    <t>CO-NEPTUNE LIGHT 2L X 6 BTL</t>
  </si>
  <si>
    <t>19.11</t>
  </si>
  <si>
    <t>7.475056171704020</t>
  </si>
  <si>
    <t>DẦU Ô-LIU POMACE NHÃN HIỆU OLIVOILÀ 750ML</t>
  </si>
  <si>
    <t>CO-OLIVOILA POMACE OLIVE OIL 750ML*6BTL</t>
  </si>
  <si>
    <t>8.19</t>
  </si>
  <si>
    <t>00106456</t>
  </si>
  <si>
    <t>Bán hàng theo đơn hàng: ASOD2606013875;</t>
  </si>
  <si>
    <t>ASID2606015352</t>
  </si>
  <si>
    <t>AINE2606014962</t>
  </si>
  <si>
    <t>00106459</t>
  </si>
  <si>
    <t>5101020255</t>
  </si>
  <si>
    <t>9901007186</t>
  </si>
  <si>
    <t>Bán hàng theo đơn hàng: ASOD2606013847;</t>
  </si>
  <si>
    <t>ASID2606015354</t>
  </si>
  <si>
    <t>AINE2606014966</t>
  </si>
  <si>
    <t>00106315</t>
  </si>
  <si>
    <t>51D 55829</t>
  </si>
  <si>
    <t>75</t>
  </si>
  <si>
    <t>1875</t>
  </si>
  <si>
    <t>2606270037</t>
  </si>
  <si>
    <t>ASID2606015177</t>
  </si>
  <si>
    <t>AINE2606014833</t>
  </si>
  <si>
    <t>TP. Hồ Chí Minh - Thới An ≤2.5 tấn (51D 55829)</t>
  </si>
  <si>
    <t>00106317</t>
  </si>
  <si>
    <t>67C 02626</t>
  </si>
  <si>
    <t>5100012242</t>
  </si>
  <si>
    <t>Công ty TNHH MTV Thương Mại Dịch Vụ Bách Hoành</t>
  </si>
  <si>
    <t>ĐƯỜNG TÔN ĐỨC THẮNG, TỔ 20, KHÓM MỸ THÀNH, PHƯỜNG CHÂU ĐỐC, TỈNH AN GIANG, VIỆT NAM</t>
  </si>
  <si>
    <t>2606290091</t>
  </si>
  <si>
    <t>Bán hàng theo đơn hàng: ASOD2606013544;</t>
  </si>
  <si>
    <t>ASID2606015182</t>
  </si>
  <si>
    <t>AINE2606014835</t>
  </si>
  <si>
    <t>1310.3999999999999</t>
  </si>
  <si>
    <t>00106319</t>
  </si>
  <si>
    <t>Bán hàng theo đơn hàng: ASOD2606013545;</t>
  </si>
  <si>
    <t>ASID2606015183</t>
  </si>
  <si>
    <t>AINE2606014837</t>
  </si>
  <si>
    <t>00106568</t>
  </si>
  <si>
    <t>78680</t>
  </si>
  <si>
    <t>Bán hàng theo đơn hàng: ASOD2606013311;</t>
  </si>
  <si>
    <t>ASID2606015318</t>
  </si>
  <si>
    <t>AINE2606015059</t>
  </si>
  <si>
    <t>00106569</t>
  </si>
  <si>
    <t>7.551460E4Y8000680</t>
  </si>
  <si>
    <t>NƯỚC TƯƠNG THƯỢNG HẠNG 210ML X 24 CHAI / THÙNG</t>
  </si>
  <si>
    <t>NAMDUONG PREMIUM SOY SAUCE 210ML X 24BTL</t>
  </si>
  <si>
    <t>5.622</t>
  </si>
  <si>
    <t>56.22</t>
  </si>
  <si>
    <t>ASID2606015323</t>
  </si>
  <si>
    <t>AINE2606015062</t>
  </si>
  <si>
    <t>7.551460E67C5M0680</t>
  </si>
  <si>
    <t>NƯỚC CHẤM ĐẬU NÀNH HÀNG VIỆT THANH VỊ 500 ML X 24 CHAI/THÙNG</t>
  </si>
  <si>
    <t>NAMDUONG HANGVIETTHANHVI SOY 500ML*24BTL</t>
  </si>
  <si>
    <t>360</t>
  </si>
  <si>
    <t>13.096</t>
  </si>
  <si>
    <t>4714.56</t>
  </si>
  <si>
    <t>7.515006143217060</t>
  </si>
  <si>
    <t>TƯƠNG ỚT ĐẶC BIỆT CAY 255G X 24 CHAI/THÙNG</t>
  </si>
  <si>
    <t>NAMDUONG SPECIAL HOT CHILI SC 255G*24BTL</t>
  </si>
  <si>
    <t>6.12</t>
  </si>
  <si>
    <t>73.44</t>
  </si>
  <si>
    <t>7.515006312917040</t>
  </si>
  <si>
    <t>TƯƠNG ỚT HÀNG VIỆT HORECA 2,1KG X 6 CHAI/THÙNG</t>
  </si>
  <si>
    <t>NAMDUONG HORECA HV CHILISAUCE 2.1KG*6BTL</t>
  </si>
  <si>
    <t>12.6</t>
  </si>
  <si>
    <t>50.4</t>
  </si>
  <si>
    <t>7.5630080190030604</t>
  </si>
  <si>
    <t>TƯƠNG CÀ NAM DƯƠNG 255G X 24 CHAI/ THÙNG</t>
  </si>
  <si>
    <t>NAM DUONG TOMATO SAUCE 255G X 24BTL</t>
  </si>
  <si>
    <t>18.36</t>
  </si>
  <si>
    <t>39.599999999999994</t>
  </si>
  <si>
    <t>7.551460F56C7M0680</t>
  </si>
  <si>
    <t>TƯƠNG ĐEN 255G X 24 CHAI/THÙNG</t>
  </si>
  <si>
    <t>NAM DUONG HOISIN SOY SAUCE 255G X 24BTL</t>
  </si>
  <si>
    <t>12.24</t>
  </si>
  <si>
    <t>7.5180030702408060</t>
  </si>
  <si>
    <t>HẠT NÊM MEIZAN THỊT, XƯƠNG ỐNG, TUỶ, CÀ RỐT- VỊ HEO 400G X 24 GÓI/THÙNG</t>
  </si>
  <si>
    <t>MEIZAN PORKBOUILLON GRANULE 400G*24PEBAG</t>
  </si>
  <si>
    <t>192</t>
  </si>
  <si>
    <t>432</t>
  </si>
  <si>
    <t>7.5180071702408080</t>
  </si>
  <si>
    <t>HẠT NÊM ORCHID THỊT, XƯƠNG ỐNG VÀ TỦY 5KG X 3 TÚI/THÙNG</t>
  </si>
  <si>
    <t>ORCHID PORK BOUILLON GRANULE 5KG*3PEBAG</t>
  </si>
  <si>
    <t>7.5180031502508050</t>
  </si>
  <si>
    <t>BỘT NGỌT MEIZAN 1KG x 12 TÚI/ THÙNG</t>
  </si>
  <si>
    <t>MEIZAN MONOSODIUM GLUTAMAT 1KG*12PEBAG</t>
  </si>
  <si>
    <t>00106571</t>
  </si>
  <si>
    <t>1047.68</t>
  </si>
  <si>
    <t>ASID2606015327</t>
  </si>
  <si>
    <t>AINE2606015064</t>
  </si>
  <si>
    <t>00106789</t>
  </si>
  <si>
    <t>67H 02034</t>
  </si>
  <si>
    <t>5100024973</t>
  </si>
  <si>
    <t>CÔNG TY TNHH NGỌC TRƯƠNG</t>
  </si>
  <si>
    <t>SỐ 26 28 TRẦN KHÁNH DƯ, PHƯỜNG LÂM VIÊN ĐÀ LẠT, TỈNH LÂM ĐỒNG, VIỆT NAM</t>
  </si>
  <si>
    <t>162</t>
  </si>
  <si>
    <t>1769.04</t>
  </si>
  <si>
    <t>2606290092</t>
  </si>
  <si>
    <t>Bán hàng theo đơn hàng: ASOD2606013474;</t>
  </si>
  <si>
    <t>ASID2606015557</t>
  </si>
  <si>
    <t>AINE2606015292</t>
  </si>
  <si>
    <t>Lâm Đồng - Đà Lạt</t>
  </si>
  <si>
    <t>Lâm Đồng - Lâm Viên-Đà Lạt</t>
  </si>
  <si>
    <t>Lâm Đồng - Lâm Viên-Đà Lạt &gt;8-16 tấn (67H 02034)</t>
  </si>
  <si>
    <t>68</t>
  </si>
  <si>
    <t>742.56</t>
  </si>
  <si>
    <t>7.131104A41703P10</t>
  </si>
  <si>
    <t>ORCHID S PR 75%ROL+25%SBO 5L*4BTL</t>
  </si>
  <si>
    <t>7.101307591201C20</t>
  </si>
  <si>
    <t>ORCHID S PR ROL IV58 IN JERRYCAN@25KG</t>
  </si>
  <si>
    <t>3000</t>
  </si>
  <si>
    <t>7.131014591200E30</t>
  </si>
  <si>
    <t>DẦU THỰC VẬT CHO ĐẦU BẾP CHUYÊN NGHIỆP NHÃN HIỆU SATELLITE ĐÓNG TRONG CAN 25KG</t>
  </si>
  <si>
    <t>SATELLITE VEG.OIL FOR PRO.CHEF INJC@25KG</t>
  </si>
  <si>
    <t>7.131010591201O40</t>
  </si>
  <si>
    <t>CAILAN S PREMVEGOIL(100%OLIV56) JRG@25KG</t>
  </si>
  <si>
    <t>1500</t>
  </si>
  <si>
    <t>00106816</t>
  </si>
  <si>
    <t>79C 00793</t>
  </si>
  <si>
    <t>5100006526</t>
  </si>
  <si>
    <t>CÔNG TY TNHH QUỐC PHONG NHA TRANG</t>
  </si>
  <si>
    <t>Thôn Võ Cang, Phường Tây Nha Trang, Tỉnh Khánh Hòa, Việt Nam</t>
  </si>
  <si>
    <t>255</t>
  </si>
  <si>
    <t>2784.6</t>
  </si>
  <si>
    <t>2606290121</t>
  </si>
  <si>
    <t>Bán hàng theo đơn hàng: ASOD2606013510;</t>
  </si>
  <si>
    <t>ASID2606015657</t>
  </si>
  <si>
    <t>AINE2606015317</t>
  </si>
  <si>
    <t>Khánh Hòa</t>
  </si>
  <si>
    <t>Khánh Hòa - Tây Nha Trang</t>
  </si>
  <si>
    <t>Khánh Hòa - Tây Nha Trang Pallet (79C 00793)</t>
  </si>
  <si>
    <t>340</t>
  </si>
  <si>
    <t>3712.8</t>
  </si>
  <si>
    <t>00013658</t>
  </si>
  <si>
    <t>95G 00283</t>
  </si>
  <si>
    <t>5100025249</t>
  </si>
  <si>
    <t>CÔNG TY TNHH MỘT THÀNH VIÊN TÂN VĨNH LỢI HÀ TIÊN</t>
  </si>
  <si>
    <t>LÔ C6 ĐƯỜNG NGUYỄN THỊ ĐỊNH, KĐT MỚI HÀ TIÊN, PHƯỜNG HÀ TIÊN, TỈNH AN GIANG.</t>
  </si>
  <si>
    <t>2606290020</t>
  </si>
  <si>
    <t>Bán hàng theo đơn hàng: TS126060000769;</t>
  </si>
  <si>
    <t>TI126060001484</t>
  </si>
  <si>
    <t>TB126060001463</t>
  </si>
  <si>
    <t>Kiên Giang - Hà Tiên</t>
  </si>
  <si>
    <t>An Giang - Hà Tiên</t>
  </si>
  <si>
    <t>An Giang - Hà Tiên &gt;8-16 tấn (95G 00283)</t>
  </si>
  <si>
    <t>7.92419B7993701B9</t>
  </si>
  <si>
    <t>NƯỚC MẮM CÁ CƠM 15° ĐẠM HIỆU 584 NHA TRANG CHAI PET 500ML X 20 CHAI ĐÓNG TRONG THÙNG CARTON</t>
  </si>
  <si>
    <t>584 NHA TRANG ANCHOVY FISH SAUCE 15°N OF PET BOTTLES 500ML X 20 PCS IN CARTON</t>
  </si>
  <si>
    <t>11.98</t>
  </si>
  <si>
    <t>47.92</t>
  </si>
  <si>
    <t>00106454</t>
  </si>
  <si>
    <t>N16.0388003.00141</t>
  </si>
  <si>
    <t>MÓC TREO CÁC SẢN PHẨM NUI - BỘT (MEIZAN)</t>
  </si>
  <si>
    <t>HANGER,HANGER, MATERIAL:GALVANIZED STEEL, ADDITIONAL DETAILS:FOR PASTA FLOUR PRODUCT, CIRCLE DIAMETER 12 MM, HOOK LENGTH 140 MM, WIRE DIAMETER 2.7 MM</t>
  </si>
  <si>
    <t>SET</t>
  </si>
  <si>
    <t>Bán hàng theo đơn hàng: ASOD2606013219;</t>
  </si>
  <si>
    <t>ASID2606015329</t>
  </si>
  <si>
    <t>AINE2606014960</t>
  </si>
  <si>
    <t>00106457</t>
  </si>
  <si>
    <t>N16.0388003.00169</t>
  </si>
  <si>
    <t>DÂY NHỰA TREO</t>
  </si>
  <si>
    <t>HANGER,HANGER, SIZE:L.380 X W.22 MM, MATERIAL:HDPE</t>
  </si>
  <si>
    <t>PC</t>
  </si>
  <si>
    <t>Bán hàng theo đơn hàng: ASOD2606013221;</t>
  </si>
  <si>
    <t>ASID2606015332</t>
  </si>
  <si>
    <t>AINE2606014963</t>
  </si>
  <si>
    <t>00106462</t>
  </si>
  <si>
    <t>Bán hàng theo đơn hàng: ASOD2606013504;</t>
  </si>
  <si>
    <t>ASID2606015343</t>
  </si>
  <si>
    <t>AINE2606014968</t>
  </si>
  <si>
    <t>327.6</t>
  </si>
  <si>
    <t>7.131009041704O90</t>
  </si>
  <si>
    <t>CAILAN PR VEGOIL(99.5OL+0.5SBO) 2LX6BTL</t>
  </si>
  <si>
    <t>7.707583F62817400G</t>
  </si>
  <si>
    <t>NƯỚC RỬA CHÉN POWER100 TIẾT KIỆM HƯƠNG CHANH 400G*28</t>
  </si>
  <si>
    <t>POWER100 SAVING DWL LEMON 400G*28BOTTLE</t>
  </si>
  <si>
    <t>135</t>
  </si>
  <si>
    <t>112</t>
  </si>
  <si>
    <t>560</t>
  </si>
  <si>
    <t>27</t>
  </si>
  <si>
    <t>840</t>
  </si>
  <si>
    <t>7.707663652817000H</t>
  </si>
  <si>
    <t>NƯỚC LAU SÀN POWER100 TINH DẦU HOA THIÊN NHIÊN 3.5KG*4</t>
  </si>
  <si>
    <t>POWER100 FCFLORAL ESSENTIALOIL3.5KG*4BTL</t>
  </si>
  <si>
    <t>210</t>
  </si>
  <si>
    <t>7.707664652817000H</t>
  </si>
  <si>
    <t>NƯỚC LAU SÀN POWER100 TINH DẦU CHANH SẢ 3.5KG*4</t>
  </si>
  <si>
    <t>POWER100 FC LEMONGRASS ESSENTIAL OIL 3.5KG*4BTL</t>
  </si>
  <si>
    <t>7.707705P42817000H</t>
  </si>
  <si>
    <t>NƯỚC GIẶT XẢ POWER100 HƯƠNG NƯỚC HOA PHÁP QUYẾN RŨ 3.4KG*4</t>
  </si>
  <si>
    <t>POWER100 LDCHARMINGFRNCPERFUME3.4KG*4BTL</t>
  </si>
  <si>
    <t>13.6</t>
  </si>
  <si>
    <t>272</t>
  </si>
  <si>
    <t>7.704229P42817000H</t>
  </si>
  <si>
    <t>NƯỚC GIẶT XẢ POWER100 HƯƠNG NƯỚC HOA PHÁP ĐAM MÊ 3.4KG*4</t>
  </si>
  <si>
    <t>POWER100 LD PASSION FRENCH 3.4KG X 4BTL</t>
  </si>
  <si>
    <t>408</t>
  </si>
  <si>
    <t>7.704235913717001L</t>
  </si>
  <si>
    <t>BỘT GIẶT POWER100 SAVING 3 TRONG 1 350G*36</t>
  </si>
  <si>
    <t>POWER100 SAVING PD 3IN1 350G X 36PCH</t>
  </si>
  <si>
    <t>7.5221125707Z0223</t>
  </si>
  <si>
    <t>BỘT CHIÊN GIÒN MEIZAN ĐÃ NÊM SẴN GIA VỊ 150G X 60 GÓI</t>
  </si>
  <si>
    <t>MEIZAN SEASONED CRISPYFRYMIX 150G*60BAG</t>
  </si>
  <si>
    <t>49.5</t>
  </si>
  <si>
    <t>7.522112732350205</t>
  </si>
  <si>
    <t>BỘT GẠO MEIZAN 400G X 12 GÓI</t>
  </si>
  <si>
    <t>MEIZAN RICE FLOUR 400G X 12BAG</t>
  </si>
  <si>
    <t>00106464</t>
  </si>
  <si>
    <t>150</t>
  </si>
  <si>
    <t>1638</t>
  </si>
  <si>
    <t>Bán hàng theo đơn hàng: ASOD2606013505;</t>
  </si>
  <si>
    <t>CQOI2326.E9H0</t>
  </si>
  <si>
    <t>ASID2606015338</t>
  </si>
  <si>
    <t>AINE2606014970</t>
  </si>
  <si>
    <t>00106470</t>
  </si>
  <si>
    <t>163.8</t>
  </si>
  <si>
    <t>Bán hàng theo đơn hàng: ASOD2606013507;</t>
  </si>
  <si>
    <t>ASID2606015339</t>
  </si>
  <si>
    <t>AINE2606014974</t>
  </si>
  <si>
    <t>00106612</t>
  </si>
  <si>
    <t>78697</t>
  </si>
  <si>
    <t>Bán hàng theo đơn hàng: ASOD2606013173;</t>
  </si>
  <si>
    <t>ASID2606015389</t>
  </si>
  <si>
    <t>AINE2606015119</t>
  </si>
  <si>
    <t>00106616</t>
  </si>
  <si>
    <t>2357.28</t>
  </si>
  <si>
    <t>ASID2606015393</t>
  </si>
  <si>
    <t>AINE2606015122</t>
  </si>
  <si>
    <t>84</t>
  </si>
  <si>
    <t>30.6</t>
  </si>
  <si>
    <t>00106618</t>
  </si>
  <si>
    <t>7.51800009025B2010</t>
  </si>
  <si>
    <t>BỘT NGỌT 25KG (S)</t>
  </si>
  <si>
    <t>MONOSODIUM GLUTAMATE PLASTICBAG@25KG</t>
  </si>
  <si>
    <t>ND03</t>
  </si>
  <si>
    <t>NDFC CONSIGNMENT FOR TRADING_ND03</t>
  </si>
  <si>
    <t>ASID2606015397</t>
  </si>
  <si>
    <t>AINE2606015124</t>
  </si>
  <si>
    <t>00106619</t>
  </si>
  <si>
    <t>196.44</t>
  </si>
  <si>
    <t>ASID2606015400</t>
  </si>
  <si>
    <t>AINE2606015125</t>
  </si>
  <si>
    <t>7.5180062202408040</t>
  </si>
  <si>
    <t>HẠT NÊM 4 TRONG 1 - VỊ HEO 2KG X 6 GÓI</t>
  </si>
  <si>
    <t>NEPTUNE PORK BOUILLON GRANULE 2KG*6PEBAG</t>
  </si>
  <si>
    <t>GẠO</t>
  </si>
  <si>
    <t>CÔNG TY TNHH WILMAR MARKETING CLV</t>
  </si>
  <si>
    <t>TẦNG 2 VÀ TẦNG 10, TÒA NHÀ CORNERSTONE, SỐ 16 PHAN CHU TRINH, PHƯỜNG CỬA NAM, TP HÀ NỘI, VIỆT NAM.</t>
  </si>
  <si>
    <t>SỔ CHI TIẾT BÁN HÀNG</t>
  </si>
  <si>
    <t>Sub-channel</t>
  </si>
  <si>
    <t>Diễn giải chi tiết (HĐ)</t>
  </si>
  <si>
    <t>Waybill No</t>
  </si>
  <si>
    <t>Slot No</t>
  </si>
  <si>
    <t>User tạo Hóa đơn</t>
  </si>
  <si>
    <t>Usser tạo PXK</t>
  </si>
  <si>
    <t>PO Number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</si>
  <si>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</si>
  <si>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</si>
  <si>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</si>
  <si>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</si>
  <si>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</si>
  <si>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</si>
  <si>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</si>
  <si>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</si>
  <si>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Số tàu/ Số xe</t>
  </si>
  <si>
    <t>Số Cont</t>
  </si>
  <si>
    <t>Thông tin bổ sung 08</t>
  </si>
  <si>
    <t>PPH-50H 69501</t>
  </si>
  <si>
    <t>PPH-P-50E 65434</t>
  </si>
  <si>
    <t>PPH-P-50H 66347</t>
  </si>
  <si>
    <t>PPH-G-P-50E 65434</t>
  </si>
  <si>
    <t>PPH-G-50E 65434</t>
  </si>
  <si>
    <t>PPH-50E 56521</t>
  </si>
  <si>
    <t>PPH-50H 50999</t>
  </si>
  <si>
    <t>PPH 50H 87442</t>
  </si>
  <si>
    <t>PPH-67C 02626</t>
  </si>
  <si>
    <t>PPH-50H 63174</t>
  </si>
  <si>
    <t>PPH-51D 38021</t>
  </si>
  <si>
    <t>PPH-50H 88294</t>
  </si>
  <si>
    <t>PPH-G-67C 02626</t>
  </si>
  <si>
    <t>PPH-50H 75206</t>
  </si>
  <si>
    <t>PPH-P-79C 00793</t>
  </si>
  <si>
    <t>PPH-50H 55443</t>
  </si>
  <si>
    <t>PPH-50H 74619</t>
  </si>
  <si>
    <t>PPH-50H 44328</t>
  </si>
  <si>
    <t>PPH-50H 44024</t>
  </si>
  <si>
    <t>PPH-50H 92136</t>
  </si>
  <si>
    <t>PPH-50H 60635</t>
  </si>
  <si>
    <t>PPH-51D 55829</t>
  </si>
  <si>
    <t>PPH-P-50H 87055</t>
  </si>
  <si>
    <t>PPH-95G 00283</t>
  </si>
  <si>
    <t>PPH-50E 40746</t>
  </si>
  <si>
    <t>Điều chỉnh hóa đơn 00104445 ngày 26/06/2026 ký hiệu 1C26TAG</t>
  </si>
  <si>
    <t>4501829952</t>
  </si>
  <si>
    <t>DINA2606000047</t>
  </si>
  <si>
    <t>SỐ 366 PHAN VĂN TRỊ, PHƯỜNG AN NHƠN, THÀNH PHỐ HỒ CHÍ MINH, VIỆT NAM</t>
  </si>
  <si>
    <t>BỘT MÌ HIỆU MEIZAN BÁNH BÔNG LAN (1KG *10 GÓI/THÙNG)</t>
  </si>
  <si>
    <t>7.5221120705D2710</t>
  </si>
  <si>
    <t>MEIZAN CAKE FL 7-9% W/FE&amp;ZN 1KG X 10BAG</t>
  </si>
  <si>
    <t>PPH-50E 16461</t>
  </si>
  <si>
    <t>00107227</t>
  </si>
  <si>
    <t>Theo PO 5500026896</t>
  </si>
  <si>
    <t>PPH-50H 70216</t>
  </si>
  <si>
    <t>PPH-50H 86564</t>
  </si>
  <si>
    <t>PPH-G-95G 00283</t>
  </si>
  <si>
    <t>PPH-67H 02034</t>
  </si>
  <si>
    <t>PPH-50H 64316</t>
  </si>
  <si>
    <t>PPH-P-50E 75774</t>
  </si>
  <si>
    <t>PPH-50H 66445</t>
  </si>
  <si>
    <t>Theo PO 5100092118</t>
  </si>
  <si>
    <t>ĐẠI LÝ</t>
  </si>
  <si>
    <t>ĐIỂM GIAO HÀNG THỰC TẾ</t>
  </si>
  <si>
    <t xml:space="preserve">ĐIỂM GIAO HÀNG TÍNH PHÍ
</t>
  </si>
  <si>
    <t>Hóa đơn</t>
  </si>
  <si>
    <t>SỐ XE</t>
  </si>
  <si>
    <t>Aeon Citimart</t>
  </si>
  <si>
    <t>Các Phường/Xã khác trực thuộc TP. Hồ Chí Minh</t>
  </si>
  <si>
    <t>Anfood</t>
  </si>
  <si>
    <t>EB Nguyễn Thị Thập</t>
  </si>
  <si>
    <t>Tân Vĩnh Lợi Hà Tiên</t>
  </si>
  <si>
    <t>Bách Hoành</t>
  </si>
  <si>
    <t>An Giang - Châu Đốc</t>
  </si>
  <si>
    <t>Emart Sala</t>
  </si>
  <si>
    <t>Phúc Lộc Phát PLP</t>
  </si>
  <si>
    <t>Vị Ngọt Happy</t>
  </si>
  <si>
    <t>TP. Hồ Chí Minh - Hóc Môn</t>
  </si>
  <si>
    <t>Bột Mì Liên Nguyễn</t>
  </si>
  <si>
    <t>ROUND
 (MT)</t>
  </si>
  <si>
    <t>Trọng lượng 
(Tấn/Hóa đơn)</t>
  </si>
  <si>
    <t>Trọng lượng
(Tấn/Chuyến)</t>
  </si>
  <si>
    <t>Tổng trọng lượng chuyến</t>
  </si>
  <si>
    <t>Đơn giá 
vận chuyển
(Đồng)</t>
  </si>
  <si>
    <t>Phí 
bốc xếp
(Đồng)</t>
  </si>
  <si>
    <t>Phí 
chuyển tải
(Đồng)</t>
  </si>
  <si>
    <t>Phí 
ghép điểm
(Đồng)</t>
  </si>
  <si>
    <t>Thành tiền
check
 (Đồng)</t>
  </si>
  <si>
    <t>Thành tiền
hóa đơn
 (Đồng)</t>
  </si>
  <si>
    <t>SITE</t>
  </si>
  <si>
    <t>KHU VỰC</t>
  </si>
  <si>
    <t>Số dòng trên HĐ</t>
  </si>
  <si>
    <t>Điều chỉnh Hóa đơn</t>
  </si>
  <si>
    <t>5 nhà</t>
  </si>
  <si>
    <t>ST</t>
  </si>
  <si>
    <t>UNI-NDFC</t>
  </si>
  <si>
    <t>TINH</t>
  </si>
  <si>
    <t>UNI-MCC</t>
  </si>
  <si>
    <t>TỔNG CỘNG B</t>
  </si>
  <si>
    <t>Tổng cộng</t>
  </si>
  <si>
    <t>TỔNG CỘNG A</t>
  </si>
  <si>
    <t>An Giang, Châu Đốc</t>
  </si>
  <si>
    <t>An Giang, Hà Tiên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</si>
</sst>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0"/>
    <numFmt numFmtId="165" formatCode="0.000"/>
    <numFmt numFmtId="166" formatCode="#,##0.0000"/>
    <numFmt numFmtId="167" formatCode="dd/mm/yyyy"/>
    <numFmt numFmtId="168" formatCode="_(* #,##0.000_);_(* \(#,##0.000\);_(* &quot;-&quot;??_);_(@_)"/>
    <numFmt numFmtId="169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</font>
    <font>
      <sz val="8.25"/>
      <color rgb="FF000000"/>
      <name val="Tahoma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9"/>
      <color rgb="FFFF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8.25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auto="1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auto="1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A9A9A9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0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4" fillId="3" borderId="0" xfId="0" applyFont="1" applyFill="1"/>
    <xf numFmtId="164" fontId="0" fillId="5" borderId="0" xfId="0" applyNumberFormat="1" applyFill="1"/>
    <xf numFmtId="165" fontId="5" fillId="0" borderId="0" xfId="0" applyNumberFormat="1" applyFont="1"/>
    <xf numFmtId="0" fontId="5" fillId="0" borderId="0" xfId="0" applyFont="1"/>
    <xf numFmtId="49" fontId="8" fillId="6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right" vertical="center"/>
    </xf>
    <xf numFmtId="166" fontId="9" fillId="7" borderId="1" xfId="0" applyNumberFormat="1" applyFont="1" applyFill="1" applyBorder="1" applyAlignment="1">
      <alignment horizontal="right" vertical="center"/>
    </xf>
    <xf numFmtId="167" fontId="9" fillId="7" borderId="1" xfId="0" applyNumberFormat="1" applyFont="1" applyFill="1" applyBorder="1" applyAlignment="1">
      <alignment horizontal="left" vertical="center"/>
    </xf>
    <xf numFmtId="0" fontId="10" fillId="2" borderId="0" xfId="0" applyFont="1" applyFill="1"/>
    <xf numFmtId="49" fontId="10" fillId="2" borderId="0" xfId="0" applyNumberFormat="1" applyFont="1" applyFill="1"/>
    <xf numFmtId="0" fontId="10" fillId="2" borderId="0" xfId="0" applyFont="1" applyFill="1" applyAlignment="1">
      <alignment horizontal="left"/>
    </xf>
    <xf numFmtId="49" fontId="5" fillId="0" borderId="0" xfId="0" applyNumberFormat="1" applyFont="1"/>
    <xf numFmtId="14" fontId="5" fillId="0" borderId="0" xfId="0" applyNumberFormat="1" applyFont="1" applyAlignment="1">
      <alignment horizontal="left"/>
    </xf>
    <xf numFmtId="164" fontId="5" fillId="0" borderId="0" xfId="0" applyNumberFormat="1" applyFont="1"/>
    <xf numFmtId="0" fontId="5" fillId="0" borderId="0" xfId="0" applyFont="1" applyAlignment="1">
      <alignment horizontal="left"/>
    </xf>
    <xf numFmtId="49" fontId="11" fillId="8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49" fontId="11" fillId="8" borderId="2" xfId="1" applyNumberFormat="1" applyFont="1" applyFill="1" applyBorder="1" applyAlignment="1">
      <alignment horizontal="center" vertical="center"/>
    </xf>
    <xf numFmtId="49" fontId="13" fillId="0" borderId="4" xfId="0" applyNumberFormat="1" applyFont="1" applyBorder="1" applyAlignment="1">
      <alignment horizontal="left" vertical="center"/>
    </xf>
    <xf numFmtId="0" fontId="14" fillId="0" borderId="4" xfId="0" applyFont="1" applyBorder="1"/>
    <xf numFmtId="49" fontId="15" fillId="12" borderId="1" xfId="0" applyNumberFormat="1" applyFont="1" applyFill="1" applyBorder="1" applyAlignment="1">
      <alignment horizontal="center" vertical="center" wrapText="1"/>
    </xf>
    <xf numFmtId="49" fontId="11" fillId="8" borderId="3" xfId="0" applyNumberFormat="1" applyFont="1" applyFill="1" applyBorder="1" applyAlignment="1">
      <alignment horizontal="center" vertical="center" wrapText="1"/>
    </xf>
    <xf numFmtId="49" fontId="16" fillId="13" borderId="3" xfId="0" applyNumberFormat="1" applyFont="1" applyFill="1" applyBorder="1" applyAlignment="1">
      <alignment horizontal="center" vertical="center" wrapText="1"/>
    </xf>
    <xf numFmtId="3" fontId="11" fillId="8" borderId="3" xfId="0" applyNumberFormat="1" applyFont="1" applyFill="1" applyBorder="1" applyAlignment="1">
      <alignment horizontal="center" vertical="center" wrapText="1"/>
    </xf>
    <xf numFmtId="3" fontId="17" fillId="8" borderId="3" xfId="1" applyNumberFormat="1" applyFont="1" applyFill="1" applyBorder="1" applyAlignment="1">
      <alignment horizontal="center" vertical="center" wrapText="1"/>
    </xf>
    <xf numFmtId="49" fontId="11" fillId="5" borderId="2" xfId="0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49" fontId="16" fillId="5" borderId="2" xfId="0" applyNumberFormat="1" applyFont="1" applyFill="1" applyBorder="1" applyAlignment="1">
      <alignment horizontal="center" vertical="center" wrapText="1"/>
    </xf>
    <xf numFmtId="49" fontId="15" fillId="10" borderId="3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5" fillId="0" borderId="1" xfId="0" quotePrefix="1" applyNumberFormat="1" applyFont="1" applyBorder="1"/>
    <xf numFmtId="49" fontId="13" fillId="7" borderId="2" xfId="0" applyNumberFormat="1" applyFont="1" applyFill="1" applyBorder="1" applyAlignment="1">
      <alignment horizontal="left" vertical="center"/>
    </xf>
    <xf numFmtId="14" fontId="13" fillId="7" borderId="2" xfId="0" applyNumberFormat="1" applyFont="1" applyFill="1" applyBorder="1" applyAlignment="1">
      <alignment horizontal="left" vertical="center"/>
    </xf>
    <xf numFmtId="2" fontId="13" fillId="7" borderId="2" xfId="0" applyNumberFormat="1" applyFont="1" applyFill="1" applyBorder="1" applyAlignment="1">
      <alignment horizontal="left" vertical="center"/>
    </xf>
    <xf numFmtId="166" fontId="13" fillId="7" borderId="2" xfId="0" applyNumberFormat="1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right" vertical="center"/>
    </xf>
    <xf numFmtId="168" fontId="13" fillId="7" borderId="2" xfId="1" applyNumberFormat="1" applyFont="1" applyFill="1" applyBorder="1" applyAlignment="1">
      <alignment horizontal="right" vertical="center"/>
    </xf>
    <xf numFmtId="3" fontId="13" fillId="7" borderId="2" xfId="1" applyNumberFormat="1" applyFont="1" applyFill="1" applyBorder="1" applyAlignment="1">
      <alignment horizontal="right" vertical="center"/>
    </xf>
    <xf numFmtId="37" fontId="13" fillId="7" borderId="2" xfId="1" applyNumberFormat="1" applyFont="1" applyFill="1" applyBorder="1" applyAlignment="1">
      <alignment horizontal="right" vertical="center"/>
    </xf>
    <xf numFmtId="165" fontId="5" fillId="0" borderId="0" xfId="0" quotePrefix="1" applyNumberFormat="1" applyFont="1"/>
    <xf numFmtId="49" fontId="13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right" vertical="center"/>
    </xf>
    <xf numFmtId="2" fontId="13" fillId="7" borderId="0" xfId="0" applyNumberFormat="1" applyFont="1" applyFill="1" applyAlignment="1">
      <alignment horizontal="center" vertical="center"/>
    </xf>
    <xf numFmtId="2" fontId="13" fillId="7" borderId="0" xfId="0" applyNumberFormat="1" applyFont="1" applyFill="1" applyAlignment="1">
      <alignment horizontal="left" vertical="center" wrapText="1"/>
    </xf>
    <xf numFmtId="49" fontId="19" fillId="5" borderId="2" xfId="0" applyNumberFormat="1" applyFont="1" applyFill="1" applyBorder="1" applyAlignment="1">
      <alignment horizontal="left" vertical="center"/>
    </xf>
    <xf numFmtId="14" fontId="19" fillId="5" borderId="2" xfId="0" applyNumberFormat="1" applyFont="1" applyFill="1" applyBorder="1" applyAlignment="1">
      <alignment horizontal="left" vertical="center"/>
    </xf>
    <xf numFmtId="2" fontId="19" fillId="5" borderId="2" xfId="0" applyNumberFormat="1" applyFont="1" applyFill="1" applyBorder="1" applyAlignment="1">
      <alignment horizontal="left" vertical="center"/>
    </xf>
    <xf numFmtId="0" fontId="19" fillId="5" borderId="2" xfId="0" applyFont="1" applyFill="1" applyBorder="1" applyAlignment="1">
      <alignment horizontal="left" vertical="center"/>
    </xf>
    <xf numFmtId="2" fontId="10" fillId="5" borderId="2" xfId="0" applyNumberFormat="1" applyFont="1" applyFill="1" applyBorder="1" applyAlignment="1">
      <alignment horizontal="left" vertical="center"/>
    </xf>
    <xf numFmtId="166" fontId="19" fillId="5" borderId="2" xfId="0" applyNumberFormat="1" applyFont="1" applyFill="1" applyBorder="1" applyAlignment="1">
      <alignment horizontal="right" vertical="center"/>
    </xf>
    <xf numFmtId="0" fontId="19" fillId="5" borderId="2" xfId="0" applyFont="1" applyFill="1" applyBorder="1" applyAlignment="1">
      <alignment horizontal="right" vertical="center"/>
    </xf>
    <xf numFmtId="165" fontId="19" fillId="5" borderId="2" xfId="0" applyNumberFormat="1" applyFont="1" applyFill="1" applyBorder="1" applyAlignment="1">
      <alignment horizontal="right" vertical="center"/>
    </xf>
    <xf numFmtId="3" fontId="19" fillId="5" borderId="2" xfId="0" applyNumberFormat="1" applyFont="1" applyFill="1" applyBorder="1" applyAlignment="1">
      <alignment horizontal="right" vertical="center"/>
    </xf>
    <xf numFmtId="165" fontId="5" fillId="0" borderId="1" xfId="0" quotePrefix="1" applyNumberFormat="1" applyFont="1" applyBorder="1"/>
    <xf numFmtId="0" fontId="13" fillId="7" borderId="1" xfId="0" applyFont="1" applyFill="1" applyBorder="1" applyAlignment="1">
      <alignment horizontal="right" vertical="center"/>
    </xf>
    <xf numFmtId="49" fontId="13" fillId="7" borderId="1" xfId="0" applyNumberFormat="1" applyFont="1" applyFill="1" applyBorder="1" applyAlignment="1">
      <alignment horizontal="left" vertical="center"/>
    </xf>
    <xf numFmtId="2" fontId="13" fillId="7" borderId="1" xfId="0" applyNumberFormat="1" applyFont="1" applyFill="1" applyBorder="1" applyAlignment="1">
      <alignment horizontal="left" vertical="center" wrapText="1"/>
    </xf>
    <xf numFmtId="169" fontId="13" fillId="7" borderId="2" xfId="1" applyNumberFormat="1" applyFont="1" applyFill="1" applyBorder="1" applyAlignment="1">
      <alignment horizontal="right" vertical="center"/>
    </xf>
    <xf numFmtId="2" fontId="13" fillId="7" borderId="2" xfId="0" applyNumberFormat="1" applyFont="1" applyFill="1" applyBorder="1" applyAlignment="1">
      <alignment horizontal="center" vertical="center"/>
    </xf>
    <xf numFmtId="0" fontId="2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3" fontId="5" fillId="0" borderId="8" xfId="0" applyNumberFormat="1" applyFont="1" applyBorder="1" applyAlignment="1">
      <alignment horizontal="right" vertical="center"/>
    </xf>
    <xf numFmtId="3" fontId="5" fillId="0" borderId="9" xfId="0" applyNumberFormat="1" applyFont="1" applyBorder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F30A-E110-4F13-A410-7E77E65A7892}">
  <dimension ref="A1:AH329"/>
  <sheetViews>
    <sheetView topLeftCell="M1" workbookViewId="0">
      <selection activeCell="T151" sqref="T151"/>
    </sheetView>
  </sheetViews>
  <sheetFormatPr defaultRowHeight="15" x14ac:dyDescent="0.25"/>
  <cols>
    <col min="2" max="2" width="11.42578125" customWidth="1"/>
    <col min="3" max="3" width="19" customWidth="1"/>
    <col min="6" max="6" width="10" customWidth="1"/>
    <col min="8" max="8" width="15.28515625" customWidth="1"/>
    <col min="9" max="9" width="12.7109375" customWidth="1"/>
    <col min="10" max="10" width="10.5703125" customWidth="1"/>
    <col min="11" max="11" width="13.140625" customWidth="1"/>
    <col min="12" max="12" width="15.5703125" customWidth="1"/>
    <col min="14" max="14" width="16.42578125" customWidth="1"/>
    <col min="16" max="16" width="19.140625" customWidth="1"/>
    <col min="17" max="17" width="12.28515625" customWidth="1"/>
    <col min="18" max="18" width="17" customWidth="1"/>
    <col min="19" max="19" width="18.28515625" customWidth="1"/>
    <col min="20" max="20" width="20.140625" customWidth="1"/>
    <col min="21" max="21" width="14.85546875" customWidth="1"/>
    <col min="22" max="22" width="13.5703125" customWidth="1"/>
    <col min="23" max="23" width="14.140625" customWidth="1"/>
    <col min="24" max="24" width="11.7109375" customWidth="1"/>
    <col min="25" max="25" width="16.140625" customWidth="1"/>
    <col min="27" max="27" width="18" customWidth="1"/>
    <col min="28" max="28" width="21.7109375" customWidth="1"/>
    <col min="29" max="29" width="12.28515625" customWidth="1"/>
    <col min="32" max="32" width="12.42578125" customWidth="1"/>
    <col min="33" max="33" width="10.28515625" customWidth="1"/>
    <col min="34" max="34" width="18.42578125" customWidth="1"/>
  </cols>
  <sheetData>
    <row r="1" spans="1:34" x14ac:dyDescent="0.25">
      <c r="A1" s="69" t="s">
        <v>1471</v>
      </c>
      <c r="B1" s="69" t="s">
        <v>1471</v>
      </c>
      <c r="C1" s="69" t="s">
        <v>1471</v>
      </c>
      <c r="D1" s="69" t="s">
        <v>1471</v>
      </c>
      <c r="E1" s="69" t="s">
        <v>1471</v>
      </c>
      <c r="F1" s="69" t="s">
        <v>1471</v>
      </c>
      <c r="G1" s="69" t="s">
        <v>1471</v>
      </c>
      <c r="H1" s="69" t="s">
        <v>1471</v>
      </c>
      <c r="I1" s="69" t="s">
        <v>1471</v>
      </c>
      <c r="J1" s="69" t="s">
        <v>1471</v>
      </c>
      <c r="K1" s="69" t="s">
        <v>1471</v>
      </c>
      <c r="L1" s="69" t="s">
        <v>1471</v>
      </c>
      <c r="M1" s="69" t="s">
        <v>1471</v>
      </c>
      <c r="N1" s="69" t="s">
        <v>1471</v>
      </c>
      <c r="O1" s="69" t="s">
        <v>1471</v>
      </c>
      <c r="P1" s="69" t="s">
        <v>1471</v>
      </c>
      <c r="Q1" s="69" t="s">
        <v>1471</v>
      </c>
      <c r="R1" s="69" t="s">
        <v>1471</v>
      </c>
      <c r="S1" s="69" t="s">
        <v>1471</v>
      </c>
      <c r="T1" s="69" t="s">
        <v>1471</v>
      </c>
      <c r="U1" s="69" t="s">
        <v>1471</v>
      </c>
      <c r="V1" s="69" t="s">
        <v>1471</v>
      </c>
      <c r="W1" s="69" t="s">
        <v>1471</v>
      </c>
      <c r="X1" s="69" t="s">
        <v>1471</v>
      </c>
      <c r="Y1" s="69" t="s">
        <v>1471</v>
      </c>
      <c r="Z1" s="69" t="s">
        <v>1471</v>
      </c>
      <c r="AA1" s="69" t="s">
        <v>1471</v>
      </c>
      <c r="AB1" s="69" t="s">
        <v>1471</v>
      </c>
      <c r="AC1" s="69" t="s">
        <v>1471</v>
      </c>
      <c r="AD1" s="69" t="s">
        <v>1471</v>
      </c>
      <c r="AE1" s="69" t="s">
        <v>1471</v>
      </c>
      <c r="AF1" s="69" t="s">
        <v>1471</v>
      </c>
      <c r="AG1" s="69" t="s">
        <v>1471</v>
      </c>
      <c r="AH1" s="69" t="s">
        <v>1471</v>
      </c>
    </row>
    <row r="2" spans="1:34" x14ac:dyDescent="0.25">
      <c r="A2" s="69" t="s">
        <v>1472</v>
      </c>
      <c r="B2" s="69" t="s">
        <v>1472</v>
      </c>
      <c r="C2" s="69" t="s">
        <v>1472</v>
      </c>
      <c r="D2" s="69" t="s">
        <v>1472</v>
      </c>
      <c r="E2" s="69" t="s">
        <v>1472</v>
      </c>
      <c r="F2" s="69" t="s">
        <v>1472</v>
      </c>
      <c r="G2" s="69" t="s">
        <v>1472</v>
      </c>
      <c r="H2" s="69" t="s">
        <v>1472</v>
      </c>
      <c r="I2" s="69" t="s">
        <v>1472</v>
      </c>
      <c r="J2" s="69" t="s">
        <v>1472</v>
      </c>
      <c r="K2" s="69" t="s">
        <v>1472</v>
      </c>
      <c r="L2" s="69" t="s">
        <v>1472</v>
      </c>
      <c r="M2" s="69" t="s">
        <v>1472</v>
      </c>
      <c r="N2" s="69" t="s">
        <v>1472</v>
      </c>
      <c r="O2" s="69" t="s">
        <v>1472</v>
      </c>
      <c r="P2" s="69" t="s">
        <v>1472</v>
      </c>
      <c r="Q2" s="69" t="s">
        <v>1472</v>
      </c>
      <c r="R2" s="69" t="s">
        <v>1472</v>
      </c>
      <c r="S2" s="69" t="s">
        <v>1472</v>
      </c>
      <c r="T2" s="69" t="s">
        <v>1472</v>
      </c>
      <c r="U2" s="69" t="s">
        <v>1472</v>
      </c>
      <c r="V2" s="69" t="s">
        <v>1472</v>
      </c>
      <c r="W2" s="69" t="s">
        <v>1472</v>
      </c>
      <c r="X2" s="69" t="s">
        <v>1472</v>
      </c>
      <c r="Y2" s="69" t="s">
        <v>1472</v>
      </c>
      <c r="Z2" s="69" t="s">
        <v>1472</v>
      </c>
      <c r="AA2" s="69" t="s">
        <v>1472</v>
      </c>
      <c r="AB2" s="69" t="s">
        <v>1472</v>
      </c>
      <c r="AC2" s="69" t="s">
        <v>1472</v>
      </c>
      <c r="AD2" s="69" t="s">
        <v>1472</v>
      </c>
      <c r="AE2" s="69" t="s">
        <v>1472</v>
      </c>
      <c r="AF2" s="69" t="s">
        <v>1472</v>
      </c>
      <c r="AG2" s="69" t="s">
        <v>1472</v>
      </c>
      <c r="AH2" s="69" t="s">
        <v>1472</v>
      </c>
    </row>
    <row r="3" spans="1:34" ht="50.1" customHeight="1" x14ac:dyDescent="0.25">
      <c r="A3" s="70" t="s">
        <v>1473</v>
      </c>
      <c r="B3" s="70" t="s">
        <v>1473</v>
      </c>
      <c r="C3" s="70" t="s">
        <v>1473</v>
      </c>
      <c r="D3" s="70" t="s">
        <v>1473</v>
      </c>
      <c r="E3" s="70" t="s">
        <v>1473</v>
      </c>
      <c r="F3" s="70" t="s">
        <v>1473</v>
      </c>
      <c r="G3" s="70" t="s">
        <v>1473</v>
      </c>
      <c r="H3" s="70" t="s">
        <v>1473</v>
      </c>
      <c r="I3" s="70" t="s">
        <v>1473</v>
      </c>
      <c r="J3" s="70" t="s">
        <v>1473</v>
      </c>
      <c r="K3" s="70" t="s">
        <v>1473</v>
      </c>
      <c r="L3" s="70" t="s">
        <v>1473</v>
      </c>
      <c r="M3" s="70" t="s">
        <v>1473</v>
      </c>
      <c r="N3" s="70" t="s">
        <v>1473</v>
      </c>
      <c r="O3" s="70" t="s">
        <v>1473</v>
      </c>
      <c r="P3" s="70" t="s">
        <v>1473</v>
      </c>
      <c r="Q3" s="70" t="s">
        <v>1473</v>
      </c>
      <c r="R3" s="70" t="s">
        <v>1473</v>
      </c>
      <c r="S3" s="70" t="s">
        <v>1473</v>
      </c>
      <c r="T3" s="70" t="s">
        <v>1473</v>
      </c>
      <c r="U3" s="70" t="s">
        <v>1473</v>
      </c>
      <c r="V3" s="70" t="s">
        <v>1473</v>
      </c>
      <c r="W3" s="70" t="s">
        <v>1473</v>
      </c>
      <c r="X3" s="70" t="s">
        <v>1473</v>
      </c>
      <c r="Y3" s="70" t="s">
        <v>1473</v>
      </c>
      <c r="Z3" s="70" t="s">
        <v>1473</v>
      </c>
      <c r="AA3" s="70" t="s">
        <v>1473</v>
      </c>
      <c r="AB3" s="70" t="s">
        <v>1473</v>
      </c>
      <c r="AC3" s="70" t="s">
        <v>1473</v>
      </c>
      <c r="AD3" s="70" t="s">
        <v>1473</v>
      </c>
      <c r="AE3" s="70" t="s">
        <v>1473</v>
      </c>
      <c r="AF3" s="70" t="s">
        <v>1473</v>
      </c>
      <c r="AG3" s="70" t="s">
        <v>1473</v>
      </c>
      <c r="AH3" s="70" t="s">
        <v>1473</v>
      </c>
    </row>
    <row r="4" spans="1:34" ht="12.75" customHeight="1" x14ac:dyDescent="0.25">
      <c r="A4" s="10" t="s">
        <v>28</v>
      </c>
      <c r="B4" s="10" t="s">
        <v>1474</v>
      </c>
      <c r="C4" s="10" t="s">
        <v>1475</v>
      </c>
      <c r="D4" s="10" t="s">
        <v>27</v>
      </c>
      <c r="E4" s="10" t="s">
        <v>26</v>
      </c>
      <c r="F4" s="10" t="s">
        <v>1476</v>
      </c>
      <c r="G4" s="10" t="s">
        <v>1477</v>
      </c>
      <c r="H4" s="10" t="s">
        <v>1478</v>
      </c>
      <c r="I4" s="10" t="s">
        <v>1479</v>
      </c>
      <c r="J4" s="10" t="s">
        <v>1480</v>
      </c>
      <c r="K4" s="10" t="s">
        <v>34</v>
      </c>
      <c r="L4" s="10" t="s">
        <v>35</v>
      </c>
      <c r="M4" s="10" t="s">
        <v>1481</v>
      </c>
      <c r="N4" s="10" t="s">
        <v>1482</v>
      </c>
      <c r="O4" s="10" t="s">
        <v>1483</v>
      </c>
      <c r="P4" s="10" t="s">
        <v>1484</v>
      </c>
      <c r="Q4" s="10" t="s">
        <v>1485</v>
      </c>
      <c r="R4" s="10" t="s">
        <v>1486</v>
      </c>
      <c r="S4" s="10" t="s">
        <v>1487</v>
      </c>
      <c r="T4" s="10" t="s">
        <v>1488</v>
      </c>
      <c r="U4" s="10" t="s">
        <v>0</v>
      </c>
      <c r="V4" s="10" t="s">
        <v>4</v>
      </c>
      <c r="W4" s="10" t="s">
        <v>5</v>
      </c>
      <c r="X4" s="10" t="s">
        <v>9</v>
      </c>
      <c r="Y4" s="10" t="s">
        <v>11</v>
      </c>
      <c r="Z4" s="10" t="s">
        <v>39</v>
      </c>
      <c r="AA4" s="10" t="s">
        <v>12</v>
      </c>
      <c r="AB4" s="10" t="s">
        <v>14</v>
      </c>
      <c r="AC4" s="10" t="s">
        <v>1489</v>
      </c>
      <c r="AD4" s="10" t="s">
        <v>24</v>
      </c>
      <c r="AE4" s="10" t="s">
        <v>1490</v>
      </c>
      <c r="AF4" s="10" t="s">
        <v>2</v>
      </c>
      <c r="AG4" s="10" t="s">
        <v>1</v>
      </c>
      <c r="AH4" s="10" t="s">
        <v>1491</v>
      </c>
    </row>
    <row r="5" spans="1:34" ht="17.25" customHeight="1" x14ac:dyDescent="0.25">
      <c r="A5" s="11" t="s">
        <v>699</v>
      </c>
      <c r="B5" s="11" t="s">
        <v>744</v>
      </c>
      <c r="C5" s="11"/>
      <c r="D5" s="11" t="s">
        <v>868</v>
      </c>
      <c r="E5" s="11" t="s">
        <v>283</v>
      </c>
      <c r="F5" s="11"/>
      <c r="G5" s="11" t="s">
        <v>285</v>
      </c>
      <c r="H5" s="11" t="s">
        <v>112</v>
      </c>
      <c r="I5" s="11" t="s">
        <v>272</v>
      </c>
      <c r="J5" s="11" t="s">
        <v>869</v>
      </c>
      <c r="K5" s="11" t="s">
        <v>114</v>
      </c>
      <c r="L5" s="11" t="s">
        <v>115</v>
      </c>
      <c r="M5" s="11" t="s">
        <v>870</v>
      </c>
      <c r="N5" s="11" t="s">
        <v>871</v>
      </c>
      <c r="O5" s="11" t="s">
        <v>118</v>
      </c>
      <c r="P5" s="11" t="s">
        <v>861</v>
      </c>
      <c r="Q5" s="11" t="s">
        <v>863</v>
      </c>
      <c r="R5" s="11" t="s">
        <v>280</v>
      </c>
      <c r="S5" s="12">
        <v>18</v>
      </c>
      <c r="T5" s="12">
        <v>1080.0000000000009</v>
      </c>
      <c r="U5" s="11" t="s">
        <v>101</v>
      </c>
      <c r="V5" s="11" t="s">
        <v>859</v>
      </c>
      <c r="W5" s="11" t="s">
        <v>860</v>
      </c>
      <c r="X5" s="11" t="s">
        <v>862</v>
      </c>
      <c r="Y5" s="11" t="s">
        <v>864</v>
      </c>
      <c r="Z5" s="11" t="s">
        <v>71</v>
      </c>
      <c r="AA5" s="11"/>
      <c r="AB5" s="13">
        <v>1.08</v>
      </c>
      <c r="AC5" s="11" t="s">
        <v>1492</v>
      </c>
      <c r="AD5" s="11"/>
      <c r="AE5" s="11"/>
      <c r="AF5" s="14">
        <v>46203</v>
      </c>
      <c r="AG5" s="11" t="s">
        <v>857</v>
      </c>
      <c r="AH5" s="11" t="s">
        <v>867</v>
      </c>
    </row>
    <row r="6" spans="1:34" ht="17.25" customHeight="1" x14ac:dyDescent="0.25">
      <c r="A6" s="11" t="s">
        <v>61</v>
      </c>
      <c r="B6" s="11" t="s">
        <v>62</v>
      </c>
      <c r="C6" s="11"/>
      <c r="D6" s="11" t="s">
        <v>300</v>
      </c>
      <c r="E6" s="11" t="s">
        <v>109</v>
      </c>
      <c r="F6" s="11"/>
      <c r="G6" s="11" t="s">
        <v>111</v>
      </c>
      <c r="H6" s="11" t="s">
        <v>112</v>
      </c>
      <c r="I6" s="11" t="s">
        <v>113</v>
      </c>
      <c r="J6" s="11"/>
      <c r="K6" s="11" t="s">
        <v>114</v>
      </c>
      <c r="L6" s="11" t="s">
        <v>115</v>
      </c>
      <c r="M6" s="11" t="s">
        <v>301</v>
      </c>
      <c r="N6" s="11" t="s">
        <v>302</v>
      </c>
      <c r="O6" s="11" t="s">
        <v>118</v>
      </c>
      <c r="P6" s="11" t="s">
        <v>293</v>
      </c>
      <c r="Q6" s="11" t="s">
        <v>296</v>
      </c>
      <c r="R6" s="11" t="s">
        <v>54</v>
      </c>
      <c r="S6" s="12">
        <v>10.92</v>
      </c>
      <c r="T6" s="12">
        <v>928.2</v>
      </c>
      <c r="U6" s="11" t="s">
        <v>101</v>
      </c>
      <c r="V6" s="11" t="s">
        <v>291</v>
      </c>
      <c r="W6" s="11" t="s">
        <v>292</v>
      </c>
      <c r="X6" s="11" t="s">
        <v>295</v>
      </c>
      <c r="Y6" s="11" t="s">
        <v>297</v>
      </c>
      <c r="Z6" s="11" t="s">
        <v>71</v>
      </c>
      <c r="AA6" s="11" t="s">
        <v>298</v>
      </c>
      <c r="AB6" s="13">
        <v>85</v>
      </c>
      <c r="AC6" s="11" t="s">
        <v>1493</v>
      </c>
      <c r="AD6" s="11"/>
      <c r="AE6" s="11"/>
      <c r="AF6" s="14">
        <v>46203</v>
      </c>
      <c r="AG6" s="11" t="s">
        <v>289</v>
      </c>
      <c r="AH6" s="11" t="s">
        <v>299</v>
      </c>
    </row>
    <row r="7" spans="1:34" ht="17.25" customHeight="1" x14ac:dyDescent="0.25">
      <c r="A7" s="11" t="s">
        <v>61</v>
      </c>
      <c r="B7" s="11" t="s">
        <v>62</v>
      </c>
      <c r="C7" s="11"/>
      <c r="D7" s="11" t="s">
        <v>300</v>
      </c>
      <c r="E7" s="11" t="s">
        <v>109</v>
      </c>
      <c r="F7" s="11"/>
      <c r="G7" s="11" t="s">
        <v>111</v>
      </c>
      <c r="H7" s="11" t="s">
        <v>112</v>
      </c>
      <c r="I7" s="11" t="s">
        <v>113</v>
      </c>
      <c r="J7" s="11"/>
      <c r="K7" s="11" t="s">
        <v>114</v>
      </c>
      <c r="L7" s="11" t="s">
        <v>115</v>
      </c>
      <c r="M7" s="11" t="s">
        <v>301</v>
      </c>
      <c r="N7" s="11" t="s">
        <v>302</v>
      </c>
      <c r="O7" s="11" t="s">
        <v>118</v>
      </c>
      <c r="P7" s="11" t="s">
        <v>293</v>
      </c>
      <c r="Q7" s="11" t="s">
        <v>141</v>
      </c>
      <c r="R7" s="11" t="s">
        <v>54</v>
      </c>
      <c r="S7" s="12">
        <v>10.92</v>
      </c>
      <c r="T7" s="12">
        <v>928.2</v>
      </c>
      <c r="U7" s="11" t="s">
        <v>101</v>
      </c>
      <c r="V7" s="11" t="s">
        <v>291</v>
      </c>
      <c r="W7" s="11" t="s">
        <v>292</v>
      </c>
      <c r="X7" s="11" t="s">
        <v>140</v>
      </c>
      <c r="Y7" s="11" t="s">
        <v>142</v>
      </c>
      <c r="Z7" s="11" t="s">
        <v>71</v>
      </c>
      <c r="AA7" s="11" t="s">
        <v>298</v>
      </c>
      <c r="AB7" s="13">
        <v>85</v>
      </c>
      <c r="AC7" s="11" t="s">
        <v>1493</v>
      </c>
      <c r="AD7" s="11"/>
      <c r="AE7" s="11"/>
      <c r="AF7" s="14">
        <v>46203</v>
      </c>
      <c r="AG7" s="11" t="s">
        <v>289</v>
      </c>
      <c r="AH7" s="11" t="s">
        <v>299</v>
      </c>
    </row>
    <row r="8" spans="1:34" ht="17.25" customHeight="1" x14ac:dyDescent="0.25">
      <c r="A8" s="11" t="s">
        <v>61</v>
      </c>
      <c r="B8" s="11" t="s">
        <v>62</v>
      </c>
      <c r="C8" s="11"/>
      <c r="D8" s="11" t="s">
        <v>300</v>
      </c>
      <c r="E8" s="11" t="s">
        <v>109</v>
      </c>
      <c r="F8" s="11"/>
      <c r="G8" s="11" t="s">
        <v>111</v>
      </c>
      <c r="H8" s="11" t="s">
        <v>112</v>
      </c>
      <c r="I8" s="11" t="s">
        <v>113</v>
      </c>
      <c r="J8" s="11"/>
      <c r="K8" s="11" t="s">
        <v>114</v>
      </c>
      <c r="L8" s="11" t="s">
        <v>115</v>
      </c>
      <c r="M8" s="11" t="s">
        <v>301</v>
      </c>
      <c r="N8" s="11" t="s">
        <v>302</v>
      </c>
      <c r="O8" s="11" t="s">
        <v>118</v>
      </c>
      <c r="P8" s="11" t="s">
        <v>293</v>
      </c>
      <c r="Q8" s="11" t="s">
        <v>307</v>
      </c>
      <c r="R8" s="11" t="s">
        <v>54</v>
      </c>
      <c r="S8" s="12">
        <v>9.61</v>
      </c>
      <c r="T8" s="12">
        <v>816.84999999999991</v>
      </c>
      <c r="U8" s="11" t="s">
        <v>101</v>
      </c>
      <c r="V8" s="11" t="s">
        <v>291</v>
      </c>
      <c r="W8" s="11" t="s">
        <v>292</v>
      </c>
      <c r="X8" s="11" t="s">
        <v>306</v>
      </c>
      <c r="Y8" s="11" t="s">
        <v>308</v>
      </c>
      <c r="Z8" s="11" t="s">
        <v>71</v>
      </c>
      <c r="AA8" s="11" t="s">
        <v>298</v>
      </c>
      <c r="AB8" s="13">
        <v>85</v>
      </c>
      <c r="AC8" s="11" t="s">
        <v>1493</v>
      </c>
      <c r="AD8" s="11"/>
      <c r="AE8" s="11"/>
      <c r="AF8" s="14">
        <v>46203</v>
      </c>
      <c r="AG8" s="11" t="s">
        <v>289</v>
      </c>
      <c r="AH8" s="11" t="s">
        <v>299</v>
      </c>
    </row>
    <row r="9" spans="1:34" ht="17.25" customHeight="1" x14ac:dyDescent="0.25">
      <c r="A9" s="11" t="s">
        <v>61</v>
      </c>
      <c r="B9" s="11" t="s">
        <v>62</v>
      </c>
      <c r="C9" s="11"/>
      <c r="D9" s="11" t="s">
        <v>300</v>
      </c>
      <c r="E9" s="11" t="s">
        <v>109</v>
      </c>
      <c r="F9" s="11"/>
      <c r="G9" s="11" t="s">
        <v>111</v>
      </c>
      <c r="H9" s="11" t="s">
        <v>112</v>
      </c>
      <c r="I9" s="11" t="s">
        <v>113</v>
      </c>
      <c r="J9" s="11"/>
      <c r="K9" s="11" t="s">
        <v>114</v>
      </c>
      <c r="L9" s="11" t="s">
        <v>115</v>
      </c>
      <c r="M9" s="11" t="s">
        <v>813</v>
      </c>
      <c r="N9" s="11" t="s">
        <v>814</v>
      </c>
      <c r="O9" s="11" t="s">
        <v>118</v>
      </c>
      <c r="P9" s="11" t="s">
        <v>293</v>
      </c>
      <c r="Q9" s="11" t="s">
        <v>573</v>
      </c>
      <c r="R9" s="11" t="s">
        <v>54</v>
      </c>
      <c r="S9" s="12">
        <v>18.2</v>
      </c>
      <c r="T9" s="12">
        <v>655.19999999999993</v>
      </c>
      <c r="U9" s="11" t="s">
        <v>101</v>
      </c>
      <c r="V9" s="11" t="s">
        <v>291</v>
      </c>
      <c r="W9" s="11" t="s">
        <v>292</v>
      </c>
      <c r="X9" s="11" t="s">
        <v>572</v>
      </c>
      <c r="Y9" s="11" t="s">
        <v>574</v>
      </c>
      <c r="Z9" s="11" t="s">
        <v>71</v>
      </c>
      <c r="AA9" s="11" t="s">
        <v>298</v>
      </c>
      <c r="AB9" s="13">
        <v>36</v>
      </c>
      <c r="AC9" s="11" t="s">
        <v>1494</v>
      </c>
      <c r="AD9" s="11"/>
      <c r="AE9" s="11"/>
      <c r="AF9" s="14">
        <v>46203</v>
      </c>
      <c r="AG9" s="11" t="s">
        <v>810</v>
      </c>
      <c r="AH9" s="11" t="s">
        <v>812</v>
      </c>
    </row>
    <row r="10" spans="1:34" ht="17.25" customHeight="1" x14ac:dyDescent="0.25">
      <c r="A10" s="11" t="s">
        <v>61</v>
      </c>
      <c r="B10" s="11" t="s">
        <v>62</v>
      </c>
      <c r="C10" s="11"/>
      <c r="D10" s="11" t="s">
        <v>300</v>
      </c>
      <c r="E10" s="11" t="s">
        <v>109</v>
      </c>
      <c r="F10" s="11"/>
      <c r="G10" s="11" t="s">
        <v>111</v>
      </c>
      <c r="H10" s="11" t="s">
        <v>112</v>
      </c>
      <c r="I10" s="11" t="s">
        <v>113</v>
      </c>
      <c r="J10" s="11"/>
      <c r="K10" s="11" t="s">
        <v>114</v>
      </c>
      <c r="L10" s="11" t="s">
        <v>115</v>
      </c>
      <c r="M10" s="11" t="s">
        <v>813</v>
      </c>
      <c r="N10" s="11" t="s">
        <v>814</v>
      </c>
      <c r="O10" s="11" t="s">
        <v>118</v>
      </c>
      <c r="P10" s="11" t="s">
        <v>293</v>
      </c>
      <c r="Q10" s="11" t="s">
        <v>455</v>
      </c>
      <c r="R10" s="11" t="s">
        <v>54</v>
      </c>
      <c r="S10" s="12">
        <v>18.2</v>
      </c>
      <c r="T10" s="12">
        <v>655.19999999999993</v>
      </c>
      <c r="U10" s="11" t="s">
        <v>101</v>
      </c>
      <c r="V10" s="11" t="s">
        <v>291</v>
      </c>
      <c r="W10" s="11" t="s">
        <v>292</v>
      </c>
      <c r="X10" s="11" t="s">
        <v>454</v>
      </c>
      <c r="Y10" s="11" t="s">
        <v>456</v>
      </c>
      <c r="Z10" s="11" t="s">
        <v>71</v>
      </c>
      <c r="AA10" s="11" t="s">
        <v>298</v>
      </c>
      <c r="AB10" s="13">
        <v>36</v>
      </c>
      <c r="AC10" s="11" t="s">
        <v>1494</v>
      </c>
      <c r="AD10" s="11"/>
      <c r="AE10" s="11"/>
      <c r="AF10" s="14">
        <v>46203</v>
      </c>
      <c r="AG10" s="11" t="s">
        <v>810</v>
      </c>
      <c r="AH10" s="11" t="s">
        <v>812</v>
      </c>
    </row>
    <row r="11" spans="1:34" ht="17.25" customHeight="1" x14ac:dyDescent="0.25">
      <c r="A11" s="11" t="s">
        <v>61</v>
      </c>
      <c r="B11" s="11" t="s">
        <v>62</v>
      </c>
      <c r="C11" s="11"/>
      <c r="D11" s="11" t="s">
        <v>300</v>
      </c>
      <c r="E11" s="11" t="s">
        <v>109</v>
      </c>
      <c r="F11" s="11"/>
      <c r="G11" s="11" t="s">
        <v>111</v>
      </c>
      <c r="H11" s="11" t="s">
        <v>112</v>
      </c>
      <c r="I11" s="11" t="s">
        <v>113</v>
      </c>
      <c r="J11" s="11"/>
      <c r="K11" s="11" t="s">
        <v>114</v>
      </c>
      <c r="L11" s="11" t="s">
        <v>115</v>
      </c>
      <c r="M11" s="11" t="s">
        <v>813</v>
      </c>
      <c r="N11" s="11" t="s">
        <v>814</v>
      </c>
      <c r="O11" s="11" t="s">
        <v>118</v>
      </c>
      <c r="P11" s="11" t="s">
        <v>293</v>
      </c>
      <c r="Q11" s="11" t="s">
        <v>817</v>
      </c>
      <c r="R11" s="11" t="s">
        <v>54</v>
      </c>
      <c r="S11" s="12">
        <v>8.7360000000000007</v>
      </c>
      <c r="T11" s="12">
        <v>681.40800000000002</v>
      </c>
      <c r="U11" s="11" t="s">
        <v>101</v>
      </c>
      <c r="V11" s="11" t="s">
        <v>291</v>
      </c>
      <c r="W11" s="11" t="s">
        <v>292</v>
      </c>
      <c r="X11" s="11" t="s">
        <v>816</v>
      </c>
      <c r="Y11" s="11" t="s">
        <v>818</v>
      </c>
      <c r="Z11" s="11" t="s">
        <v>71</v>
      </c>
      <c r="AA11" s="11" t="s">
        <v>298</v>
      </c>
      <c r="AB11" s="13">
        <v>78</v>
      </c>
      <c r="AC11" s="11" t="s">
        <v>1494</v>
      </c>
      <c r="AD11" s="11"/>
      <c r="AE11" s="11"/>
      <c r="AF11" s="14">
        <v>46203</v>
      </c>
      <c r="AG11" s="11" t="s">
        <v>810</v>
      </c>
      <c r="AH11" s="11" t="s">
        <v>812</v>
      </c>
    </row>
    <row r="12" spans="1:34" ht="17.25" customHeight="1" x14ac:dyDescent="0.25">
      <c r="A12" s="11" t="s">
        <v>61</v>
      </c>
      <c r="B12" s="11" t="s">
        <v>62</v>
      </c>
      <c r="C12" s="11"/>
      <c r="D12" s="11" t="s">
        <v>300</v>
      </c>
      <c r="E12" s="11" t="s">
        <v>109</v>
      </c>
      <c r="F12" s="11"/>
      <c r="G12" s="11" t="s">
        <v>111</v>
      </c>
      <c r="H12" s="11" t="s">
        <v>112</v>
      </c>
      <c r="I12" s="11" t="s">
        <v>113</v>
      </c>
      <c r="J12" s="11"/>
      <c r="K12" s="11" t="s">
        <v>114</v>
      </c>
      <c r="L12" s="11" t="s">
        <v>115</v>
      </c>
      <c r="M12" s="11" t="s">
        <v>813</v>
      </c>
      <c r="N12" s="11" t="s">
        <v>814</v>
      </c>
      <c r="O12" s="11" t="s">
        <v>118</v>
      </c>
      <c r="P12" s="11" t="s">
        <v>293</v>
      </c>
      <c r="Q12" s="11" t="s">
        <v>146</v>
      </c>
      <c r="R12" s="11" t="s">
        <v>54</v>
      </c>
      <c r="S12" s="12">
        <v>18.2</v>
      </c>
      <c r="T12" s="12">
        <v>2620.7999999999997</v>
      </c>
      <c r="U12" s="11" t="s">
        <v>101</v>
      </c>
      <c r="V12" s="11" t="s">
        <v>291</v>
      </c>
      <c r="W12" s="11" t="s">
        <v>292</v>
      </c>
      <c r="X12" s="11" t="s">
        <v>145</v>
      </c>
      <c r="Y12" s="11" t="s">
        <v>147</v>
      </c>
      <c r="Z12" s="11" t="s">
        <v>71</v>
      </c>
      <c r="AA12" s="11" t="s">
        <v>298</v>
      </c>
      <c r="AB12" s="13">
        <v>144</v>
      </c>
      <c r="AC12" s="11" t="s">
        <v>1494</v>
      </c>
      <c r="AD12" s="11"/>
      <c r="AE12" s="11"/>
      <c r="AF12" s="14">
        <v>46203</v>
      </c>
      <c r="AG12" s="11" t="s">
        <v>810</v>
      </c>
      <c r="AH12" s="11" t="s">
        <v>812</v>
      </c>
    </row>
    <row r="13" spans="1:34" ht="17.25" customHeight="1" x14ac:dyDescent="0.25">
      <c r="A13" s="11" t="s">
        <v>61</v>
      </c>
      <c r="B13" s="11" t="s">
        <v>62</v>
      </c>
      <c r="C13" s="11"/>
      <c r="D13" s="11" t="s">
        <v>300</v>
      </c>
      <c r="E13" s="11" t="s">
        <v>109</v>
      </c>
      <c r="F13" s="11"/>
      <c r="G13" s="11" t="s">
        <v>111</v>
      </c>
      <c r="H13" s="11" t="s">
        <v>112</v>
      </c>
      <c r="I13" s="11" t="s">
        <v>113</v>
      </c>
      <c r="J13" s="11"/>
      <c r="K13" s="11" t="s">
        <v>114</v>
      </c>
      <c r="L13" s="11" t="s">
        <v>115</v>
      </c>
      <c r="M13" s="11" t="s">
        <v>813</v>
      </c>
      <c r="N13" s="11" t="s">
        <v>814</v>
      </c>
      <c r="O13" s="11" t="s">
        <v>118</v>
      </c>
      <c r="P13" s="11" t="s">
        <v>293</v>
      </c>
      <c r="Q13" s="11" t="s">
        <v>824</v>
      </c>
      <c r="R13" s="11" t="s">
        <v>54</v>
      </c>
      <c r="S13" s="12">
        <v>10.92</v>
      </c>
      <c r="T13" s="12">
        <v>928.2</v>
      </c>
      <c r="U13" s="11" t="s">
        <v>101</v>
      </c>
      <c r="V13" s="11" t="s">
        <v>291</v>
      </c>
      <c r="W13" s="11" t="s">
        <v>292</v>
      </c>
      <c r="X13" s="11" t="s">
        <v>823</v>
      </c>
      <c r="Y13" s="11" t="s">
        <v>825</v>
      </c>
      <c r="Z13" s="11" t="s">
        <v>71</v>
      </c>
      <c r="AA13" s="11" t="s">
        <v>298</v>
      </c>
      <c r="AB13" s="13">
        <v>85</v>
      </c>
      <c r="AC13" s="11" t="s">
        <v>1494</v>
      </c>
      <c r="AD13" s="11"/>
      <c r="AE13" s="11"/>
      <c r="AF13" s="14">
        <v>46203</v>
      </c>
      <c r="AG13" s="11" t="s">
        <v>810</v>
      </c>
      <c r="AH13" s="11" t="s">
        <v>812</v>
      </c>
    </row>
    <row r="14" spans="1:34" ht="17.25" customHeight="1" x14ac:dyDescent="0.25">
      <c r="A14" s="11" t="s">
        <v>61</v>
      </c>
      <c r="B14" s="11" t="s">
        <v>62</v>
      </c>
      <c r="C14" s="11"/>
      <c r="D14" s="11" t="s">
        <v>300</v>
      </c>
      <c r="E14" s="11" t="s">
        <v>109</v>
      </c>
      <c r="F14" s="11"/>
      <c r="G14" s="11" t="s">
        <v>111</v>
      </c>
      <c r="H14" s="11" t="s">
        <v>112</v>
      </c>
      <c r="I14" s="11" t="s">
        <v>113</v>
      </c>
      <c r="J14" s="11"/>
      <c r="K14" s="11" t="s">
        <v>114</v>
      </c>
      <c r="L14" s="11" t="s">
        <v>115</v>
      </c>
      <c r="M14" s="11" t="s">
        <v>813</v>
      </c>
      <c r="N14" s="11" t="s">
        <v>814</v>
      </c>
      <c r="O14" s="11" t="s">
        <v>118</v>
      </c>
      <c r="P14" s="11" t="s">
        <v>293</v>
      </c>
      <c r="Q14" s="11" t="s">
        <v>152</v>
      </c>
      <c r="R14" s="11" t="s">
        <v>54</v>
      </c>
      <c r="S14" s="12">
        <v>18.2</v>
      </c>
      <c r="T14" s="12">
        <v>3931.2</v>
      </c>
      <c r="U14" s="11" t="s">
        <v>101</v>
      </c>
      <c r="V14" s="11" t="s">
        <v>291</v>
      </c>
      <c r="W14" s="11" t="s">
        <v>292</v>
      </c>
      <c r="X14" s="11" t="s">
        <v>151</v>
      </c>
      <c r="Y14" s="11" t="s">
        <v>153</v>
      </c>
      <c r="Z14" s="11" t="s">
        <v>71</v>
      </c>
      <c r="AA14" s="11" t="s">
        <v>298</v>
      </c>
      <c r="AB14" s="13">
        <v>216</v>
      </c>
      <c r="AC14" s="11" t="s">
        <v>1494</v>
      </c>
      <c r="AD14" s="11"/>
      <c r="AE14" s="11"/>
      <c r="AF14" s="14">
        <v>46203</v>
      </c>
      <c r="AG14" s="11" t="s">
        <v>810</v>
      </c>
      <c r="AH14" s="11" t="s">
        <v>812</v>
      </c>
    </row>
    <row r="15" spans="1:34" ht="17.25" customHeight="1" x14ac:dyDescent="0.25">
      <c r="A15" s="11" t="s">
        <v>61</v>
      </c>
      <c r="B15" s="11" t="s">
        <v>62</v>
      </c>
      <c r="C15" s="11"/>
      <c r="D15" s="11" t="s">
        <v>300</v>
      </c>
      <c r="E15" s="11" t="s">
        <v>109</v>
      </c>
      <c r="F15" s="11"/>
      <c r="G15" s="11" t="s">
        <v>111</v>
      </c>
      <c r="H15" s="11" t="s">
        <v>112</v>
      </c>
      <c r="I15" s="11" t="s">
        <v>113</v>
      </c>
      <c r="J15" s="11"/>
      <c r="K15" s="11" t="s">
        <v>114</v>
      </c>
      <c r="L15" s="11" t="s">
        <v>115</v>
      </c>
      <c r="M15" s="11" t="s">
        <v>813</v>
      </c>
      <c r="N15" s="11" t="s">
        <v>814</v>
      </c>
      <c r="O15" s="11" t="s">
        <v>118</v>
      </c>
      <c r="P15" s="11" t="s">
        <v>293</v>
      </c>
      <c r="Q15" s="11" t="s">
        <v>157</v>
      </c>
      <c r="R15" s="11" t="s">
        <v>54</v>
      </c>
      <c r="S15" s="12">
        <v>16.38</v>
      </c>
      <c r="T15" s="12">
        <v>589.67999999999995</v>
      </c>
      <c r="U15" s="11" t="s">
        <v>101</v>
      </c>
      <c r="V15" s="11" t="s">
        <v>291</v>
      </c>
      <c r="W15" s="11" t="s">
        <v>292</v>
      </c>
      <c r="X15" s="11" t="s">
        <v>156</v>
      </c>
      <c r="Y15" s="11" t="s">
        <v>158</v>
      </c>
      <c r="Z15" s="11" t="s">
        <v>71</v>
      </c>
      <c r="AA15" s="11" t="s">
        <v>298</v>
      </c>
      <c r="AB15" s="13">
        <v>36</v>
      </c>
      <c r="AC15" s="11" t="s">
        <v>1494</v>
      </c>
      <c r="AD15" s="11"/>
      <c r="AE15" s="11"/>
      <c r="AF15" s="14">
        <v>46203</v>
      </c>
      <c r="AG15" s="11" t="s">
        <v>810</v>
      </c>
      <c r="AH15" s="11" t="s">
        <v>812</v>
      </c>
    </row>
    <row r="16" spans="1:34" ht="17.25" customHeight="1" x14ac:dyDescent="0.25">
      <c r="A16" s="11" t="s">
        <v>61</v>
      </c>
      <c r="B16" s="11" t="s">
        <v>62</v>
      </c>
      <c r="C16" s="11"/>
      <c r="D16" s="11" t="s">
        <v>300</v>
      </c>
      <c r="E16" s="11" t="s">
        <v>109</v>
      </c>
      <c r="F16" s="11"/>
      <c r="G16" s="11" t="s">
        <v>111</v>
      </c>
      <c r="H16" s="11" t="s">
        <v>112</v>
      </c>
      <c r="I16" s="11" t="s">
        <v>113</v>
      </c>
      <c r="J16" s="11"/>
      <c r="K16" s="11" t="s">
        <v>114</v>
      </c>
      <c r="L16" s="11" t="s">
        <v>115</v>
      </c>
      <c r="M16" s="11" t="s">
        <v>813</v>
      </c>
      <c r="N16" s="11" t="s">
        <v>814</v>
      </c>
      <c r="O16" s="11" t="s">
        <v>118</v>
      </c>
      <c r="P16" s="11" t="s">
        <v>293</v>
      </c>
      <c r="Q16" s="11" t="s">
        <v>171</v>
      </c>
      <c r="R16" s="11" t="s">
        <v>54</v>
      </c>
      <c r="S16" s="12">
        <v>25</v>
      </c>
      <c r="T16" s="12">
        <v>700</v>
      </c>
      <c r="U16" s="11" t="s">
        <v>101</v>
      </c>
      <c r="V16" s="11" t="s">
        <v>291</v>
      </c>
      <c r="W16" s="11" t="s">
        <v>292</v>
      </c>
      <c r="X16" s="11" t="s">
        <v>170</v>
      </c>
      <c r="Y16" s="11" t="s">
        <v>172</v>
      </c>
      <c r="Z16" s="11" t="s">
        <v>71</v>
      </c>
      <c r="AA16" s="11" t="s">
        <v>298</v>
      </c>
      <c r="AB16" s="13">
        <v>28</v>
      </c>
      <c r="AC16" s="11" t="s">
        <v>1494</v>
      </c>
      <c r="AD16" s="11"/>
      <c r="AE16" s="11"/>
      <c r="AF16" s="14">
        <v>46203</v>
      </c>
      <c r="AG16" s="11" t="s">
        <v>810</v>
      </c>
      <c r="AH16" s="11" t="s">
        <v>812</v>
      </c>
    </row>
    <row r="17" spans="1:34" ht="17.25" customHeight="1" x14ac:dyDescent="0.25">
      <c r="A17" s="11" t="s">
        <v>61</v>
      </c>
      <c r="B17" s="11" t="s">
        <v>62</v>
      </c>
      <c r="C17" s="11"/>
      <c r="D17" s="11" t="s">
        <v>300</v>
      </c>
      <c r="E17" s="11" t="s">
        <v>320</v>
      </c>
      <c r="F17" s="11"/>
      <c r="G17" s="11" t="s">
        <v>321</v>
      </c>
      <c r="H17" s="11" t="s">
        <v>322</v>
      </c>
      <c r="I17" s="11" t="s">
        <v>322</v>
      </c>
      <c r="J17" s="11"/>
      <c r="K17" s="11" t="s">
        <v>323</v>
      </c>
      <c r="L17" s="11" t="s">
        <v>324</v>
      </c>
      <c r="M17" s="11" t="s">
        <v>325</v>
      </c>
      <c r="N17" s="11" t="s">
        <v>326</v>
      </c>
      <c r="O17" s="11" t="s">
        <v>118</v>
      </c>
      <c r="P17" s="11" t="s">
        <v>293</v>
      </c>
      <c r="Q17" s="11" t="s">
        <v>314</v>
      </c>
      <c r="R17" s="11" t="s">
        <v>54</v>
      </c>
      <c r="S17" s="12">
        <v>13.385999999999999</v>
      </c>
      <c r="T17" s="12">
        <v>562.21199999999999</v>
      </c>
      <c r="U17" s="11" t="s">
        <v>311</v>
      </c>
      <c r="V17" s="11" t="s">
        <v>291</v>
      </c>
      <c r="W17" s="11" t="s">
        <v>292</v>
      </c>
      <c r="X17" s="11" t="s">
        <v>313</v>
      </c>
      <c r="Y17" s="11" t="s">
        <v>315</v>
      </c>
      <c r="Z17" s="11" t="s">
        <v>71</v>
      </c>
      <c r="AA17" s="11" t="s">
        <v>298</v>
      </c>
      <c r="AB17" s="13">
        <v>42</v>
      </c>
      <c r="AC17" s="11" t="s">
        <v>1495</v>
      </c>
      <c r="AD17" s="11"/>
      <c r="AE17" s="11"/>
      <c r="AF17" s="14">
        <v>46203</v>
      </c>
      <c r="AG17" s="11" t="s">
        <v>312</v>
      </c>
      <c r="AH17" s="11" t="s">
        <v>319</v>
      </c>
    </row>
    <row r="18" spans="1:34" ht="17.25" customHeight="1" x14ac:dyDescent="0.25">
      <c r="A18" s="11" t="s">
        <v>61</v>
      </c>
      <c r="B18" s="11" t="s">
        <v>62</v>
      </c>
      <c r="C18" s="11"/>
      <c r="D18" s="11" t="s">
        <v>300</v>
      </c>
      <c r="E18" s="11" t="s">
        <v>320</v>
      </c>
      <c r="F18" s="11"/>
      <c r="G18" s="11" t="s">
        <v>321</v>
      </c>
      <c r="H18" s="11" t="s">
        <v>322</v>
      </c>
      <c r="I18" s="11" t="s">
        <v>322</v>
      </c>
      <c r="J18" s="11"/>
      <c r="K18" s="11" t="s">
        <v>323</v>
      </c>
      <c r="L18" s="11" t="s">
        <v>324</v>
      </c>
      <c r="M18" s="11" t="s">
        <v>325</v>
      </c>
      <c r="N18" s="11" t="s">
        <v>326</v>
      </c>
      <c r="O18" s="11" t="s">
        <v>118</v>
      </c>
      <c r="P18" s="11" t="s">
        <v>293</v>
      </c>
      <c r="Q18" s="11" t="s">
        <v>330</v>
      </c>
      <c r="R18" s="11" t="s">
        <v>54</v>
      </c>
      <c r="S18" s="12">
        <v>9.6</v>
      </c>
      <c r="T18" s="12">
        <v>604.79999999999995</v>
      </c>
      <c r="U18" s="11" t="s">
        <v>311</v>
      </c>
      <c r="V18" s="11" t="s">
        <v>291</v>
      </c>
      <c r="W18" s="11" t="s">
        <v>292</v>
      </c>
      <c r="X18" s="11" t="s">
        <v>329</v>
      </c>
      <c r="Y18" s="11" t="s">
        <v>331</v>
      </c>
      <c r="Z18" s="11" t="s">
        <v>71</v>
      </c>
      <c r="AA18" s="11" t="s">
        <v>298</v>
      </c>
      <c r="AB18" s="13">
        <v>63</v>
      </c>
      <c r="AC18" s="11" t="s">
        <v>1495</v>
      </c>
      <c r="AD18" s="11"/>
      <c r="AE18" s="11"/>
      <c r="AF18" s="14">
        <v>46203</v>
      </c>
      <c r="AG18" s="11" t="s">
        <v>312</v>
      </c>
      <c r="AH18" s="11" t="s">
        <v>319</v>
      </c>
    </row>
    <row r="19" spans="1:34" ht="17.25" customHeight="1" x14ac:dyDescent="0.25">
      <c r="A19" s="11" t="s">
        <v>61</v>
      </c>
      <c r="B19" s="11" t="s">
        <v>62</v>
      </c>
      <c r="C19" s="11"/>
      <c r="D19" s="11" t="s">
        <v>300</v>
      </c>
      <c r="E19" s="11" t="s">
        <v>320</v>
      </c>
      <c r="F19" s="11"/>
      <c r="G19" s="11" t="s">
        <v>321</v>
      </c>
      <c r="H19" s="11" t="s">
        <v>322</v>
      </c>
      <c r="I19" s="11" t="s">
        <v>322</v>
      </c>
      <c r="J19" s="11"/>
      <c r="K19" s="11" t="s">
        <v>323</v>
      </c>
      <c r="L19" s="11" t="s">
        <v>324</v>
      </c>
      <c r="M19" s="11" t="s">
        <v>325</v>
      </c>
      <c r="N19" s="11" t="s">
        <v>326</v>
      </c>
      <c r="O19" s="11" t="s">
        <v>118</v>
      </c>
      <c r="P19" s="11" t="s">
        <v>293</v>
      </c>
      <c r="Q19" s="11" t="s">
        <v>335</v>
      </c>
      <c r="R19" s="11" t="s">
        <v>54</v>
      </c>
      <c r="S19" s="12">
        <v>10.8</v>
      </c>
      <c r="T19" s="12">
        <v>486.00000000000006</v>
      </c>
      <c r="U19" s="11" t="s">
        <v>311</v>
      </c>
      <c r="V19" s="11" t="s">
        <v>291</v>
      </c>
      <c r="W19" s="11" t="s">
        <v>292</v>
      </c>
      <c r="X19" s="11" t="s">
        <v>334</v>
      </c>
      <c r="Y19" s="11" t="s">
        <v>336</v>
      </c>
      <c r="Z19" s="11" t="s">
        <v>71</v>
      </c>
      <c r="AA19" s="11" t="s">
        <v>298</v>
      </c>
      <c r="AB19" s="13">
        <v>45</v>
      </c>
      <c r="AC19" s="11" t="s">
        <v>1495</v>
      </c>
      <c r="AD19" s="11"/>
      <c r="AE19" s="11"/>
      <c r="AF19" s="14">
        <v>46203</v>
      </c>
      <c r="AG19" s="11" t="s">
        <v>312</v>
      </c>
      <c r="AH19" s="11" t="s">
        <v>319</v>
      </c>
    </row>
    <row r="20" spans="1:34" ht="17.25" customHeight="1" x14ac:dyDescent="0.25">
      <c r="A20" s="11" t="s">
        <v>61</v>
      </c>
      <c r="B20" s="11" t="s">
        <v>62</v>
      </c>
      <c r="C20" s="11"/>
      <c r="D20" s="11" t="s">
        <v>300</v>
      </c>
      <c r="E20" s="11" t="s">
        <v>320</v>
      </c>
      <c r="F20" s="11"/>
      <c r="G20" s="11" t="s">
        <v>321</v>
      </c>
      <c r="H20" s="11" t="s">
        <v>322</v>
      </c>
      <c r="I20" s="11" t="s">
        <v>322</v>
      </c>
      <c r="J20" s="11"/>
      <c r="K20" s="11" t="s">
        <v>323</v>
      </c>
      <c r="L20" s="11" t="s">
        <v>324</v>
      </c>
      <c r="M20" s="11" t="s">
        <v>325</v>
      </c>
      <c r="N20" s="11" t="s">
        <v>326</v>
      </c>
      <c r="O20" s="11" t="s">
        <v>118</v>
      </c>
      <c r="P20" s="11" t="s">
        <v>293</v>
      </c>
      <c r="Q20" s="11" t="s">
        <v>341</v>
      </c>
      <c r="R20" s="11" t="s">
        <v>343</v>
      </c>
      <c r="S20" s="12">
        <v>20</v>
      </c>
      <c r="T20" s="12">
        <v>420</v>
      </c>
      <c r="U20" s="11" t="s">
        <v>311</v>
      </c>
      <c r="V20" s="11" t="s">
        <v>291</v>
      </c>
      <c r="W20" s="11" t="s">
        <v>292</v>
      </c>
      <c r="X20" s="11" t="s">
        <v>340</v>
      </c>
      <c r="Y20" s="11" t="s">
        <v>342</v>
      </c>
      <c r="Z20" s="11" t="s">
        <v>71</v>
      </c>
      <c r="AA20" s="11" t="s">
        <v>298</v>
      </c>
      <c r="AB20" s="13">
        <v>21</v>
      </c>
      <c r="AC20" s="11" t="s">
        <v>1495</v>
      </c>
      <c r="AD20" s="11"/>
      <c r="AE20" s="11"/>
      <c r="AF20" s="14">
        <v>46203</v>
      </c>
      <c r="AG20" s="11" t="s">
        <v>312</v>
      </c>
      <c r="AH20" s="11" t="s">
        <v>319</v>
      </c>
    </row>
    <row r="21" spans="1:34" ht="17.25" customHeight="1" x14ac:dyDescent="0.25">
      <c r="A21" s="11" t="s">
        <v>61</v>
      </c>
      <c r="B21" s="11" t="s">
        <v>62</v>
      </c>
      <c r="C21" s="11"/>
      <c r="D21" s="11" t="s">
        <v>300</v>
      </c>
      <c r="E21" s="11" t="s">
        <v>320</v>
      </c>
      <c r="F21" s="11"/>
      <c r="G21" s="11" t="s">
        <v>321</v>
      </c>
      <c r="H21" s="11" t="s">
        <v>322</v>
      </c>
      <c r="I21" s="11" t="s">
        <v>322</v>
      </c>
      <c r="J21" s="11"/>
      <c r="K21" s="11" t="s">
        <v>323</v>
      </c>
      <c r="L21" s="11" t="s">
        <v>324</v>
      </c>
      <c r="M21" s="11" t="s">
        <v>325</v>
      </c>
      <c r="N21" s="11" t="s">
        <v>326</v>
      </c>
      <c r="O21" s="11" t="s">
        <v>118</v>
      </c>
      <c r="P21" s="11" t="s">
        <v>293</v>
      </c>
      <c r="Q21" s="11" t="s">
        <v>347</v>
      </c>
      <c r="R21" s="11" t="s">
        <v>54</v>
      </c>
      <c r="S21" s="12">
        <v>12</v>
      </c>
      <c r="T21" s="12">
        <v>600</v>
      </c>
      <c r="U21" s="11" t="s">
        <v>311</v>
      </c>
      <c r="V21" s="11" t="s">
        <v>291</v>
      </c>
      <c r="W21" s="11" t="s">
        <v>292</v>
      </c>
      <c r="X21" s="11" t="s">
        <v>346</v>
      </c>
      <c r="Y21" s="11" t="s">
        <v>348</v>
      </c>
      <c r="Z21" s="11" t="s">
        <v>71</v>
      </c>
      <c r="AA21" s="11" t="s">
        <v>298</v>
      </c>
      <c r="AB21" s="13">
        <v>50</v>
      </c>
      <c r="AC21" s="11" t="s">
        <v>1495</v>
      </c>
      <c r="AD21" s="11"/>
      <c r="AE21" s="11"/>
      <c r="AF21" s="14">
        <v>46203</v>
      </c>
      <c r="AG21" s="11" t="s">
        <v>312</v>
      </c>
      <c r="AH21" s="11" t="s">
        <v>319</v>
      </c>
    </row>
    <row r="22" spans="1:34" ht="17.25" customHeight="1" x14ac:dyDescent="0.25">
      <c r="A22" s="11" t="s">
        <v>61</v>
      </c>
      <c r="B22" s="11" t="s">
        <v>62</v>
      </c>
      <c r="C22" s="11"/>
      <c r="D22" s="11" t="s">
        <v>300</v>
      </c>
      <c r="E22" s="11" t="s">
        <v>320</v>
      </c>
      <c r="F22" s="11"/>
      <c r="G22" s="11" t="s">
        <v>321</v>
      </c>
      <c r="H22" s="11" t="s">
        <v>322</v>
      </c>
      <c r="I22" s="11" t="s">
        <v>322</v>
      </c>
      <c r="J22" s="11"/>
      <c r="K22" s="11" t="s">
        <v>323</v>
      </c>
      <c r="L22" s="11" t="s">
        <v>324</v>
      </c>
      <c r="M22" s="11" t="s">
        <v>325</v>
      </c>
      <c r="N22" s="11" t="s">
        <v>326</v>
      </c>
      <c r="O22" s="11" t="s">
        <v>118</v>
      </c>
      <c r="P22" s="11" t="s">
        <v>293</v>
      </c>
      <c r="Q22" s="11" t="s">
        <v>351</v>
      </c>
      <c r="R22" s="11" t="s">
        <v>54</v>
      </c>
      <c r="S22" s="12">
        <v>15</v>
      </c>
      <c r="T22" s="12">
        <v>720</v>
      </c>
      <c r="U22" s="11" t="s">
        <v>311</v>
      </c>
      <c r="V22" s="11" t="s">
        <v>291</v>
      </c>
      <c r="W22" s="11" t="s">
        <v>292</v>
      </c>
      <c r="X22" s="11" t="s">
        <v>350</v>
      </c>
      <c r="Y22" s="11" t="s">
        <v>352</v>
      </c>
      <c r="Z22" s="11" t="s">
        <v>71</v>
      </c>
      <c r="AA22" s="11" t="s">
        <v>298</v>
      </c>
      <c r="AB22" s="13">
        <v>48</v>
      </c>
      <c r="AC22" s="11" t="s">
        <v>1495</v>
      </c>
      <c r="AD22" s="11"/>
      <c r="AE22" s="11"/>
      <c r="AF22" s="14">
        <v>46203</v>
      </c>
      <c r="AG22" s="11" t="s">
        <v>312</v>
      </c>
      <c r="AH22" s="11" t="s">
        <v>319</v>
      </c>
    </row>
    <row r="23" spans="1:34" ht="17.25" customHeight="1" x14ac:dyDescent="0.25">
      <c r="A23" s="11" t="s">
        <v>61</v>
      </c>
      <c r="B23" s="11" t="s">
        <v>62</v>
      </c>
      <c r="C23" s="11"/>
      <c r="D23" s="11" t="s">
        <v>358</v>
      </c>
      <c r="E23" s="11" t="s">
        <v>320</v>
      </c>
      <c r="F23" s="11"/>
      <c r="G23" s="11" t="s">
        <v>321</v>
      </c>
      <c r="H23" s="11" t="s">
        <v>322</v>
      </c>
      <c r="I23" s="11" t="s">
        <v>322</v>
      </c>
      <c r="J23" s="11" t="s">
        <v>98</v>
      </c>
      <c r="K23" s="11" t="s">
        <v>323</v>
      </c>
      <c r="L23" s="11" t="s">
        <v>324</v>
      </c>
      <c r="M23" s="11" t="s">
        <v>359</v>
      </c>
      <c r="N23" s="11" t="s">
        <v>360</v>
      </c>
      <c r="O23" s="11" t="s">
        <v>118</v>
      </c>
      <c r="P23" s="11" t="s">
        <v>293</v>
      </c>
      <c r="Q23" s="11" t="s">
        <v>330</v>
      </c>
      <c r="R23" s="11" t="s">
        <v>54</v>
      </c>
      <c r="S23" s="12">
        <v>9.6</v>
      </c>
      <c r="T23" s="12">
        <v>67.2</v>
      </c>
      <c r="U23" s="11" t="s">
        <v>311</v>
      </c>
      <c r="V23" s="11" t="s">
        <v>291</v>
      </c>
      <c r="W23" s="11" t="s">
        <v>292</v>
      </c>
      <c r="X23" s="11" t="s">
        <v>329</v>
      </c>
      <c r="Y23" s="11" t="s">
        <v>331</v>
      </c>
      <c r="Z23" s="11" t="s">
        <v>71</v>
      </c>
      <c r="AA23" s="11" t="s">
        <v>298</v>
      </c>
      <c r="AB23" s="13">
        <v>7</v>
      </c>
      <c r="AC23" s="11" t="s">
        <v>1495</v>
      </c>
      <c r="AD23" s="11"/>
      <c r="AE23" s="11"/>
      <c r="AF23" s="14">
        <v>46203</v>
      </c>
      <c r="AG23" s="11" t="s">
        <v>355</v>
      </c>
      <c r="AH23" s="11" t="s">
        <v>319</v>
      </c>
    </row>
    <row r="24" spans="1:34" ht="17.25" customHeight="1" x14ac:dyDescent="0.25">
      <c r="A24" s="11" t="s">
        <v>61</v>
      </c>
      <c r="B24" s="11" t="s">
        <v>62</v>
      </c>
      <c r="C24" s="11"/>
      <c r="D24" s="11" t="s">
        <v>358</v>
      </c>
      <c r="E24" s="11" t="s">
        <v>320</v>
      </c>
      <c r="F24" s="11"/>
      <c r="G24" s="11" t="s">
        <v>321</v>
      </c>
      <c r="H24" s="11" t="s">
        <v>322</v>
      </c>
      <c r="I24" s="11" t="s">
        <v>322</v>
      </c>
      <c r="J24" s="11" t="s">
        <v>98</v>
      </c>
      <c r="K24" s="11" t="s">
        <v>323</v>
      </c>
      <c r="L24" s="11" t="s">
        <v>324</v>
      </c>
      <c r="M24" s="11" t="s">
        <v>359</v>
      </c>
      <c r="N24" s="11" t="s">
        <v>360</v>
      </c>
      <c r="O24" s="11" t="s">
        <v>118</v>
      </c>
      <c r="P24" s="11" t="s">
        <v>293</v>
      </c>
      <c r="Q24" s="11" t="s">
        <v>335</v>
      </c>
      <c r="R24" s="11" t="s">
        <v>54</v>
      </c>
      <c r="S24" s="12">
        <v>10.8</v>
      </c>
      <c r="T24" s="12">
        <v>32.400000000000006</v>
      </c>
      <c r="U24" s="11" t="s">
        <v>311</v>
      </c>
      <c r="V24" s="11" t="s">
        <v>291</v>
      </c>
      <c r="W24" s="11" t="s">
        <v>292</v>
      </c>
      <c r="X24" s="11" t="s">
        <v>334</v>
      </c>
      <c r="Y24" s="11" t="s">
        <v>336</v>
      </c>
      <c r="Z24" s="11" t="s">
        <v>71</v>
      </c>
      <c r="AA24" s="11" t="s">
        <v>298</v>
      </c>
      <c r="AB24" s="13">
        <v>3</v>
      </c>
      <c r="AC24" s="11" t="s">
        <v>1495</v>
      </c>
      <c r="AD24" s="11"/>
      <c r="AE24" s="11"/>
      <c r="AF24" s="14">
        <v>46203</v>
      </c>
      <c r="AG24" s="11" t="s">
        <v>355</v>
      </c>
      <c r="AH24" s="11" t="s">
        <v>319</v>
      </c>
    </row>
    <row r="25" spans="1:34" ht="17.25" customHeight="1" x14ac:dyDescent="0.25">
      <c r="A25" s="11" t="s">
        <v>61</v>
      </c>
      <c r="B25" s="11" t="s">
        <v>62</v>
      </c>
      <c r="C25" s="11"/>
      <c r="D25" s="11" t="s">
        <v>300</v>
      </c>
      <c r="E25" s="11" t="s">
        <v>320</v>
      </c>
      <c r="F25" s="11"/>
      <c r="G25" s="11" t="s">
        <v>370</v>
      </c>
      <c r="H25" s="11" t="s">
        <v>371</v>
      </c>
      <c r="I25" s="11" t="s">
        <v>372</v>
      </c>
      <c r="J25" s="11"/>
      <c r="K25" s="11" t="s">
        <v>373</v>
      </c>
      <c r="L25" s="11" t="s">
        <v>374</v>
      </c>
      <c r="M25" s="11" t="s">
        <v>375</v>
      </c>
      <c r="N25" s="11" t="s">
        <v>376</v>
      </c>
      <c r="O25" s="11" t="s">
        <v>118</v>
      </c>
      <c r="P25" s="11" t="s">
        <v>293</v>
      </c>
      <c r="Q25" s="11" t="s">
        <v>366</v>
      </c>
      <c r="R25" s="11" t="s">
        <v>54</v>
      </c>
      <c r="S25" s="12">
        <v>10</v>
      </c>
      <c r="T25" s="12">
        <v>600</v>
      </c>
      <c r="U25" s="11" t="s">
        <v>363</v>
      </c>
      <c r="V25" s="11" t="s">
        <v>291</v>
      </c>
      <c r="W25" s="11" t="s">
        <v>292</v>
      </c>
      <c r="X25" s="11" t="s">
        <v>365</v>
      </c>
      <c r="Y25" s="11" t="s">
        <v>367</v>
      </c>
      <c r="Z25" s="11" t="s">
        <v>71</v>
      </c>
      <c r="AA25" s="11" t="s">
        <v>298</v>
      </c>
      <c r="AB25" s="13">
        <v>60</v>
      </c>
      <c r="AC25" s="11" t="s">
        <v>1496</v>
      </c>
      <c r="AD25" s="11" t="s">
        <v>368</v>
      </c>
      <c r="AE25" s="11"/>
      <c r="AF25" s="14">
        <v>46203</v>
      </c>
      <c r="AG25" s="11" t="s">
        <v>364</v>
      </c>
      <c r="AH25" s="11" t="s">
        <v>369</v>
      </c>
    </row>
    <row r="26" spans="1:34" ht="17.25" customHeight="1" x14ac:dyDescent="0.25">
      <c r="A26" s="11" t="s">
        <v>61</v>
      </c>
      <c r="B26" s="11" t="s">
        <v>62</v>
      </c>
      <c r="C26" s="11"/>
      <c r="D26" s="11" t="s">
        <v>300</v>
      </c>
      <c r="E26" s="11" t="s">
        <v>320</v>
      </c>
      <c r="F26" s="11"/>
      <c r="G26" s="11" t="s">
        <v>370</v>
      </c>
      <c r="H26" s="11" t="s">
        <v>371</v>
      </c>
      <c r="I26" s="11" t="s">
        <v>372</v>
      </c>
      <c r="J26" s="11"/>
      <c r="K26" s="11" t="s">
        <v>373</v>
      </c>
      <c r="L26" s="11" t="s">
        <v>374</v>
      </c>
      <c r="M26" s="11" t="s">
        <v>375</v>
      </c>
      <c r="N26" s="11" t="s">
        <v>376</v>
      </c>
      <c r="O26" s="11" t="s">
        <v>118</v>
      </c>
      <c r="P26" s="11" t="s">
        <v>293</v>
      </c>
      <c r="Q26" s="11" t="s">
        <v>380</v>
      </c>
      <c r="R26" s="11" t="s">
        <v>54</v>
      </c>
      <c r="S26" s="12">
        <v>6</v>
      </c>
      <c r="T26" s="12">
        <v>216</v>
      </c>
      <c r="U26" s="11" t="s">
        <v>363</v>
      </c>
      <c r="V26" s="11" t="s">
        <v>291</v>
      </c>
      <c r="W26" s="11" t="s">
        <v>292</v>
      </c>
      <c r="X26" s="11" t="s">
        <v>379</v>
      </c>
      <c r="Y26" s="11" t="s">
        <v>381</v>
      </c>
      <c r="Z26" s="11" t="s">
        <v>71</v>
      </c>
      <c r="AA26" s="11" t="s">
        <v>298</v>
      </c>
      <c r="AB26" s="13">
        <v>36</v>
      </c>
      <c r="AC26" s="11" t="s">
        <v>1496</v>
      </c>
      <c r="AD26" s="11" t="s">
        <v>368</v>
      </c>
      <c r="AE26" s="11"/>
      <c r="AF26" s="14">
        <v>46203</v>
      </c>
      <c r="AG26" s="11" t="s">
        <v>364</v>
      </c>
      <c r="AH26" s="11" t="s">
        <v>369</v>
      </c>
    </row>
    <row r="27" spans="1:34" ht="17.25" customHeight="1" x14ac:dyDescent="0.25">
      <c r="A27" s="11" t="s">
        <v>61</v>
      </c>
      <c r="B27" s="11" t="s">
        <v>62</v>
      </c>
      <c r="C27" s="11"/>
      <c r="D27" s="11" t="s">
        <v>300</v>
      </c>
      <c r="E27" s="11" t="s">
        <v>320</v>
      </c>
      <c r="F27" s="11"/>
      <c r="G27" s="11" t="s">
        <v>370</v>
      </c>
      <c r="H27" s="11" t="s">
        <v>371</v>
      </c>
      <c r="I27" s="11" t="s">
        <v>372</v>
      </c>
      <c r="J27" s="11"/>
      <c r="K27" s="11" t="s">
        <v>373</v>
      </c>
      <c r="L27" s="11" t="s">
        <v>374</v>
      </c>
      <c r="M27" s="11" t="s">
        <v>375</v>
      </c>
      <c r="N27" s="11" t="s">
        <v>376</v>
      </c>
      <c r="O27" s="11" t="s">
        <v>118</v>
      </c>
      <c r="P27" s="11" t="s">
        <v>293</v>
      </c>
      <c r="Q27" s="11" t="s">
        <v>385</v>
      </c>
      <c r="R27" s="11" t="s">
        <v>54</v>
      </c>
      <c r="S27" s="12">
        <v>6</v>
      </c>
      <c r="T27" s="12">
        <v>216</v>
      </c>
      <c r="U27" s="11" t="s">
        <v>363</v>
      </c>
      <c r="V27" s="11" t="s">
        <v>291</v>
      </c>
      <c r="W27" s="11" t="s">
        <v>292</v>
      </c>
      <c r="X27" s="11" t="s">
        <v>384</v>
      </c>
      <c r="Y27" s="11" t="s">
        <v>386</v>
      </c>
      <c r="Z27" s="11" t="s">
        <v>71</v>
      </c>
      <c r="AA27" s="11" t="s">
        <v>298</v>
      </c>
      <c r="AB27" s="13">
        <v>36</v>
      </c>
      <c r="AC27" s="11" t="s">
        <v>1496</v>
      </c>
      <c r="AD27" s="11" t="s">
        <v>368</v>
      </c>
      <c r="AE27" s="11"/>
      <c r="AF27" s="14">
        <v>46203</v>
      </c>
      <c r="AG27" s="11" t="s">
        <v>364</v>
      </c>
      <c r="AH27" s="11" t="s">
        <v>369</v>
      </c>
    </row>
    <row r="28" spans="1:34" ht="17.25" customHeight="1" x14ac:dyDescent="0.25">
      <c r="A28" s="11" t="s">
        <v>61</v>
      </c>
      <c r="B28" s="11" t="s">
        <v>62</v>
      </c>
      <c r="C28" s="11"/>
      <c r="D28" s="11" t="s">
        <v>300</v>
      </c>
      <c r="E28" s="11" t="s">
        <v>320</v>
      </c>
      <c r="F28" s="11"/>
      <c r="G28" s="11" t="s">
        <v>370</v>
      </c>
      <c r="H28" s="11" t="s">
        <v>371</v>
      </c>
      <c r="I28" s="11" t="s">
        <v>372</v>
      </c>
      <c r="J28" s="11"/>
      <c r="K28" s="11" t="s">
        <v>373</v>
      </c>
      <c r="L28" s="11" t="s">
        <v>374</v>
      </c>
      <c r="M28" s="11" t="s">
        <v>375</v>
      </c>
      <c r="N28" s="11" t="s">
        <v>376</v>
      </c>
      <c r="O28" s="11" t="s">
        <v>118</v>
      </c>
      <c r="P28" s="11" t="s">
        <v>293</v>
      </c>
      <c r="Q28" s="11" t="s">
        <v>388</v>
      </c>
      <c r="R28" s="11" t="s">
        <v>54</v>
      </c>
      <c r="S28" s="12">
        <v>6</v>
      </c>
      <c r="T28" s="12">
        <v>216</v>
      </c>
      <c r="U28" s="11" t="s">
        <v>363</v>
      </c>
      <c r="V28" s="11" t="s">
        <v>291</v>
      </c>
      <c r="W28" s="11" t="s">
        <v>292</v>
      </c>
      <c r="X28" s="11" t="s">
        <v>387</v>
      </c>
      <c r="Y28" s="11" t="s">
        <v>389</v>
      </c>
      <c r="Z28" s="11" t="s">
        <v>71</v>
      </c>
      <c r="AA28" s="11" t="s">
        <v>298</v>
      </c>
      <c r="AB28" s="13">
        <v>36</v>
      </c>
      <c r="AC28" s="11" t="s">
        <v>1496</v>
      </c>
      <c r="AD28" s="11" t="s">
        <v>368</v>
      </c>
      <c r="AE28" s="11"/>
      <c r="AF28" s="14">
        <v>46203</v>
      </c>
      <c r="AG28" s="11" t="s">
        <v>364</v>
      </c>
      <c r="AH28" s="11" t="s">
        <v>369</v>
      </c>
    </row>
    <row r="29" spans="1:34" ht="17.25" customHeight="1" x14ac:dyDescent="0.25">
      <c r="A29" s="11" t="s">
        <v>61</v>
      </c>
      <c r="B29" s="11" t="s">
        <v>62</v>
      </c>
      <c r="C29" s="11"/>
      <c r="D29" s="11" t="s">
        <v>300</v>
      </c>
      <c r="E29" s="11" t="s">
        <v>320</v>
      </c>
      <c r="F29" s="11"/>
      <c r="G29" s="11" t="s">
        <v>370</v>
      </c>
      <c r="H29" s="11" t="s">
        <v>371</v>
      </c>
      <c r="I29" s="11" t="s">
        <v>372</v>
      </c>
      <c r="J29" s="11"/>
      <c r="K29" s="11" t="s">
        <v>373</v>
      </c>
      <c r="L29" s="11" t="s">
        <v>374</v>
      </c>
      <c r="M29" s="11" t="s">
        <v>375</v>
      </c>
      <c r="N29" s="11" t="s">
        <v>376</v>
      </c>
      <c r="O29" s="11" t="s">
        <v>118</v>
      </c>
      <c r="P29" s="11" t="s">
        <v>293</v>
      </c>
      <c r="Q29" s="11" t="s">
        <v>391</v>
      </c>
      <c r="R29" s="11" t="s">
        <v>54</v>
      </c>
      <c r="S29" s="12">
        <v>4.8</v>
      </c>
      <c r="T29" s="12">
        <v>384</v>
      </c>
      <c r="U29" s="11" t="s">
        <v>363</v>
      </c>
      <c r="V29" s="11" t="s">
        <v>291</v>
      </c>
      <c r="W29" s="11" t="s">
        <v>292</v>
      </c>
      <c r="X29" s="11" t="s">
        <v>390</v>
      </c>
      <c r="Y29" s="11" t="s">
        <v>392</v>
      </c>
      <c r="Z29" s="11" t="s">
        <v>71</v>
      </c>
      <c r="AA29" s="11" t="s">
        <v>298</v>
      </c>
      <c r="AB29" s="13">
        <v>80</v>
      </c>
      <c r="AC29" s="11" t="s">
        <v>1496</v>
      </c>
      <c r="AD29" s="11" t="s">
        <v>368</v>
      </c>
      <c r="AE29" s="11"/>
      <c r="AF29" s="14">
        <v>46203</v>
      </c>
      <c r="AG29" s="11" t="s">
        <v>364</v>
      </c>
      <c r="AH29" s="11" t="s">
        <v>369</v>
      </c>
    </row>
    <row r="30" spans="1:34" ht="17.25" customHeight="1" x14ac:dyDescent="0.25">
      <c r="A30" s="11" t="s">
        <v>61</v>
      </c>
      <c r="B30" s="11" t="s">
        <v>62</v>
      </c>
      <c r="C30" s="11"/>
      <c r="D30" s="11" t="s">
        <v>300</v>
      </c>
      <c r="E30" s="11" t="s">
        <v>320</v>
      </c>
      <c r="F30" s="11"/>
      <c r="G30" s="11" t="s">
        <v>370</v>
      </c>
      <c r="H30" s="11" t="s">
        <v>371</v>
      </c>
      <c r="I30" s="11" t="s">
        <v>372</v>
      </c>
      <c r="J30" s="11"/>
      <c r="K30" s="11" t="s">
        <v>373</v>
      </c>
      <c r="L30" s="11" t="s">
        <v>374</v>
      </c>
      <c r="M30" s="11" t="s">
        <v>375</v>
      </c>
      <c r="N30" s="11" t="s">
        <v>376</v>
      </c>
      <c r="O30" s="11" t="s">
        <v>118</v>
      </c>
      <c r="P30" s="11" t="s">
        <v>293</v>
      </c>
      <c r="Q30" s="11" t="s">
        <v>396</v>
      </c>
      <c r="R30" s="11" t="s">
        <v>92</v>
      </c>
      <c r="S30" s="12">
        <v>10</v>
      </c>
      <c r="T30" s="12">
        <v>300</v>
      </c>
      <c r="U30" s="11" t="s">
        <v>363</v>
      </c>
      <c r="V30" s="11" t="s">
        <v>291</v>
      </c>
      <c r="W30" s="11" t="s">
        <v>292</v>
      </c>
      <c r="X30" s="11" t="s">
        <v>395</v>
      </c>
      <c r="Y30" s="11" t="s">
        <v>397</v>
      </c>
      <c r="Z30" s="11" t="s">
        <v>71</v>
      </c>
      <c r="AA30" s="11" t="s">
        <v>298</v>
      </c>
      <c r="AB30" s="13">
        <v>30</v>
      </c>
      <c r="AC30" s="11" t="s">
        <v>1496</v>
      </c>
      <c r="AD30" s="11" t="s">
        <v>368</v>
      </c>
      <c r="AE30" s="11"/>
      <c r="AF30" s="14">
        <v>46203</v>
      </c>
      <c r="AG30" s="11" t="s">
        <v>364</v>
      </c>
      <c r="AH30" s="11" t="s">
        <v>369</v>
      </c>
    </row>
    <row r="31" spans="1:34" ht="17.25" customHeight="1" x14ac:dyDescent="0.25">
      <c r="A31" s="11" t="s">
        <v>61</v>
      </c>
      <c r="B31" s="11" t="s">
        <v>62</v>
      </c>
      <c r="C31" s="11"/>
      <c r="D31" s="11" t="s">
        <v>300</v>
      </c>
      <c r="E31" s="11" t="s">
        <v>320</v>
      </c>
      <c r="F31" s="11"/>
      <c r="G31" s="11" t="s">
        <v>370</v>
      </c>
      <c r="H31" s="11" t="s">
        <v>371</v>
      </c>
      <c r="I31" s="11" t="s">
        <v>372</v>
      </c>
      <c r="J31" s="11"/>
      <c r="K31" s="11" t="s">
        <v>404</v>
      </c>
      <c r="L31" s="11" t="s">
        <v>405</v>
      </c>
      <c r="M31" s="11" t="s">
        <v>375</v>
      </c>
      <c r="N31" s="11" t="s">
        <v>376</v>
      </c>
      <c r="O31" s="11" t="s">
        <v>118</v>
      </c>
      <c r="P31" s="11" t="s">
        <v>293</v>
      </c>
      <c r="Q31" s="11" t="s">
        <v>401</v>
      </c>
      <c r="R31" s="11" t="s">
        <v>54</v>
      </c>
      <c r="S31" s="12">
        <v>4.8</v>
      </c>
      <c r="T31" s="12">
        <v>240</v>
      </c>
      <c r="U31" s="11" t="s">
        <v>363</v>
      </c>
      <c r="V31" s="11" t="s">
        <v>291</v>
      </c>
      <c r="W31" s="11" t="s">
        <v>292</v>
      </c>
      <c r="X31" s="11" t="s">
        <v>400</v>
      </c>
      <c r="Y31" s="11" t="s">
        <v>402</v>
      </c>
      <c r="Z31" s="11" t="s">
        <v>71</v>
      </c>
      <c r="AA31" s="11" t="s">
        <v>298</v>
      </c>
      <c r="AB31" s="13">
        <v>50</v>
      </c>
      <c r="AC31" s="11" t="s">
        <v>1496</v>
      </c>
      <c r="AD31" s="11" t="s">
        <v>368</v>
      </c>
      <c r="AE31" s="11"/>
      <c r="AF31" s="14">
        <v>46203</v>
      </c>
      <c r="AG31" s="11" t="s">
        <v>364</v>
      </c>
      <c r="AH31" s="11" t="s">
        <v>369</v>
      </c>
    </row>
    <row r="32" spans="1:34" ht="17.25" customHeight="1" x14ac:dyDescent="0.25">
      <c r="A32" s="11" t="s">
        <v>61</v>
      </c>
      <c r="B32" s="11" t="s">
        <v>62</v>
      </c>
      <c r="C32" s="11"/>
      <c r="D32" s="11" t="s">
        <v>358</v>
      </c>
      <c r="E32" s="11" t="s">
        <v>320</v>
      </c>
      <c r="F32" s="11"/>
      <c r="G32" s="11" t="s">
        <v>370</v>
      </c>
      <c r="H32" s="11" t="s">
        <v>371</v>
      </c>
      <c r="I32" s="11" t="s">
        <v>372</v>
      </c>
      <c r="J32" s="11" t="s">
        <v>98</v>
      </c>
      <c r="K32" s="11" t="s">
        <v>373</v>
      </c>
      <c r="L32" s="11" t="s">
        <v>374</v>
      </c>
      <c r="M32" s="11" t="s">
        <v>407</v>
      </c>
      <c r="N32" s="11" t="s">
        <v>408</v>
      </c>
      <c r="O32" s="11" t="s">
        <v>118</v>
      </c>
      <c r="P32" s="11" t="s">
        <v>293</v>
      </c>
      <c r="Q32" s="11" t="s">
        <v>366</v>
      </c>
      <c r="R32" s="11" t="s">
        <v>54</v>
      </c>
      <c r="S32" s="12">
        <v>10</v>
      </c>
      <c r="T32" s="12">
        <v>60</v>
      </c>
      <c r="U32" s="11" t="s">
        <v>363</v>
      </c>
      <c r="V32" s="11" t="s">
        <v>291</v>
      </c>
      <c r="W32" s="11" t="s">
        <v>292</v>
      </c>
      <c r="X32" s="11" t="s">
        <v>365</v>
      </c>
      <c r="Y32" s="11" t="s">
        <v>367</v>
      </c>
      <c r="Z32" s="11" t="s">
        <v>71</v>
      </c>
      <c r="AA32" s="11" t="s">
        <v>298</v>
      </c>
      <c r="AB32" s="13">
        <v>6</v>
      </c>
      <c r="AC32" s="11" t="s">
        <v>1496</v>
      </c>
      <c r="AD32" s="11" t="s">
        <v>368</v>
      </c>
      <c r="AE32" s="11"/>
      <c r="AF32" s="14">
        <v>46203</v>
      </c>
      <c r="AG32" s="11" t="s">
        <v>406</v>
      </c>
      <c r="AH32" s="11" t="s">
        <v>369</v>
      </c>
    </row>
    <row r="33" spans="1:34" ht="17.25" customHeight="1" x14ac:dyDescent="0.25">
      <c r="A33" s="11" t="s">
        <v>269</v>
      </c>
      <c r="B33" s="11" t="s">
        <v>270</v>
      </c>
      <c r="C33" s="11"/>
      <c r="D33" s="11" t="s">
        <v>284</v>
      </c>
      <c r="E33" s="11" t="s">
        <v>283</v>
      </c>
      <c r="F33" s="11"/>
      <c r="G33" s="11" t="s">
        <v>285</v>
      </c>
      <c r="H33" s="11" t="s">
        <v>112</v>
      </c>
      <c r="I33" s="11" t="s">
        <v>272</v>
      </c>
      <c r="J33" s="11" t="s">
        <v>286</v>
      </c>
      <c r="K33" s="11" t="s">
        <v>114</v>
      </c>
      <c r="L33" s="11" t="s">
        <v>115</v>
      </c>
      <c r="M33" s="11" t="s">
        <v>287</v>
      </c>
      <c r="N33" s="11" t="s">
        <v>288</v>
      </c>
      <c r="O33" s="11" t="s">
        <v>118</v>
      </c>
      <c r="P33" s="11" t="s">
        <v>259</v>
      </c>
      <c r="Q33" s="11" t="s">
        <v>171</v>
      </c>
      <c r="R33" s="11" t="s">
        <v>280</v>
      </c>
      <c r="S33" s="12">
        <v>25</v>
      </c>
      <c r="T33" s="12">
        <v>750</v>
      </c>
      <c r="U33" s="11" t="s">
        <v>101</v>
      </c>
      <c r="V33" s="11" t="s">
        <v>278</v>
      </c>
      <c r="W33" s="11" t="s">
        <v>258</v>
      </c>
      <c r="X33" s="11" t="s">
        <v>170</v>
      </c>
      <c r="Y33" s="11" t="s">
        <v>172</v>
      </c>
      <c r="Z33" s="11" t="s">
        <v>71</v>
      </c>
      <c r="AA33" s="11" t="s">
        <v>279</v>
      </c>
      <c r="AB33" s="13">
        <v>0.75</v>
      </c>
      <c r="AC33" s="11" t="s">
        <v>1497</v>
      </c>
      <c r="AD33" s="11"/>
      <c r="AE33" s="11"/>
      <c r="AF33" s="14">
        <v>46203</v>
      </c>
      <c r="AG33" s="11" t="s">
        <v>277</v>
      </c>
      <c r="AH33" s="11" t="s">
        <v>266</v>
      </c>
    </row>
    <row r="34" spans="1:34" ht="17.25" customHeight="1" x14ac:dyDescent="0.25">
      <c r="A34" s="11" t="s">
        <v>269</v>
      </c>
      <c r="B34" s="11" t="s">
        <v>270</v>
      </c>
      <c r="C34" s="11"/>
      <c r="D34" s="11" t="s">
        <v>284</v>
      </c>
      <c r="E34" s="11" t="s">
        <v>283</v>
      </c>
      <c r="F34" s="11"/>
      <c r="G34" s="11" t="s">
        <v>285</v>
      </c>
      <c r="H34" s="11" t="s">
        <v>459</v>
      </c>
      <c r="I34" s="11" t="s">
        <v>272</v>
      </c>
      <c r="J34" s="11" t="s">
        <v>286</v>
      </c>
      <c r="K34" s="11" t="s">
        <v>114</v>
      </c>
      <c r="L34" s="11" t="s">
        <v>115</v>
      </c>
      <c r="M34" s="11" t="s">
        <v>676</v>
      </c>
      <c r="N34" s="11" t="s">
        <v>677</v>
      </c>
      <c r="O34" s="11" t="s">
        <v>118</v>
      </c>
      <c r="P34" s="11" t="s">
        <v>259</v>
      </c>
      <c r="Q34" s="11" t="s">
        <v>171</v>
      </c>
      <c r="R34" s="11" t="s">
        <v>280</v>
      </c>
      <c r="S34" s="12">
        <v>25</v>
      </c>
      <c r="T34" s="12">
        <v>250</v>
      </c>
      <c r="U34" s="11" t="s">
        <v>101</v>
      </c>
      <c r="V34" s="11" t="s">
        <v>278</v>
      </c>
      <c r="W34" s="11" t="s">
        <v>258</v>
      </c>
      <c r="X34" s="11" t="s">
        <v>170</v>
      </c>
      <c r="Y34" s="11" t="s">
        <v>172</v>
      </c>
      <c r="Z34" s="11" t="s">
        <v>71</v>
      </c>
      <c r="AA34" s="11" t="s">
        <v>279</v>
      </c>
      <c r="AB34" s="13">
        <v>0.25</v>
      </c>
      <c r="AC34" s="11" t="s">
        <v>1498</v>
      </c>
      <c r="AD34" s="11"/>
      <c r="AE34" s="11"/>
      <c r="AF34" s="14">
        <v>46203</v>
      </c>
      <c r="AG34" s="11" t="s">
        <v>671</v>
      </c>
      <c r="AH34" s="11" t="s">
        <v>675</v>
      </c>
    </row>
    <row r="35" spans="1:34" ht="17.25" customHeight="1" x14ac:dyDescent="0.25">
      <c r="A35" s="11" t="s">
        <v>269</v>
      </c>
      <c r="B35" s="11" t="s">
        <v>270</v>
      </c>
      <c r="C35" s="11"/>
      <c r="D35" s="11" t="s">
        <v>683</v>
      </c>
      <c r="E35" s="11" t="s">
        <v>283</v>
      </c>
      <c r="F35" s="11"/>
      <c r="G35" s="11" t="s">
        <v>285</v>
      </c>
      <c r="H35" s="11" t="s">
        <v>459</v>
      </c>
      <c r="I35" s="11" t="s">
        <v>272</v>
      </c>
      <c r="J35" s="11" t="s">
        <v>684</v>
      </c>
      <c r="K35" s="11" t="s">
        <v>114</v>
      </c>
      <c r="L35" s="11" t="s">
        <v>115</v>
      </c>
      <c r="M35" s="11" t="s">
        <v>685</v>
      </c>
      <c r="N35" s="11" t="s">
        <v>686</v>
      </c>
      <c r="O35" s="11" t="s">
        <v>118</v>
      </c>
      <c r="P35" s="11" t="s">
        <v>259</v>
      </c>
      <c r="Q35" s="11" t="s">
        <v>680</v>
      </c>
      <c r="R35" s="11" t="s">
        <v>280</v>
      </c>
      <c r="S35" s="12">
        <v>20</v>
      </c>
      <c r="T35" s="12">
        <v>1000</v>
      </c>
      <c r="U35" s="11" t="s">
        <v>101</v>
      </c>
      <c r="V35" s="11" t="s">
        <v>278</v>
      </c>
      <c r="W35" s="11" t="s">
        <v>258</v>
      </c>
      <c r="X35" s="11" t="s">
        <v>679</v>
      </c>
      <c r="Y35" s="11" t="s">
        <v>681</v>
      </c>
      <c r="Z35" s="11" t="s">
        <v>71</v>
      </c>
      <c r="AA35" s="11" t="s">
        <v>279</v>
      </c>
      <c r="AB35" s="13">
        <v>1</v>
      </c>
      <c r="AC35" s="11" t="s">
        <v>1498</v>
      </c>
      <c r="AD35" s="11"/>
      <c r="AE35" s="11"/>
      <c r="AF35" s="14">
        <v>46203</v>
      </c>
      <c r="AG35" s="11" t="s">
        <v>678</v>
      </c>
      <c r="AH35" s="11" t="s">
        <v>675</v>
      </c>
    </row>
    <row r="36" spans="1:34" ht="17.25" customHeight="1" x14ac:dyDescent="0.25">
      <c r="A36" s="11" t="s">
        <v>61</v>
      </c>
      <c r="B36" s="11" t="s">
        <v>522</v>
      </c>
      <c r="C36" s="11"/>
      <c r="D36" s="11" t="s">
        <v>1020</v>
      </c>
      <c r="E36" s="11" t="s">
        <v>977</v>
      </c>
      <c r="F36" s="11"/>
      <c r="G36" s="11" t="s">
        <v>979</v>
      </c>
      <c r="H36" s="11" t="s">
        <v>980</v>
      </c>
      <c r="I36" s="11" t="s">
        <v>980</v>
      </c>
      <c r="J36" s="11" t="s">
        <v>981</v>
      </c>
      <c r="K36" s="11" t="s">
        <v>373</v>
      </c>
      <c r="L36" s="11" t="s">
        <v>374</v>
      </c>
      <c r="M36" s="11" t="s">
        <v>1021</v>
      </c>
      <c r="N36" s="11" t="s">
        <v>1022</v>
      </c>
      <c r="O36" s="11" t="s">
        <v>118</v>
      </c>
      <c r="P36" s="11" t="s">
        <v>972</v>
      </c>
      <c r="Q36" s="11" t="s">
        <v>608</v>
      </c>
      <c r="R36" s="11" t="s">
        <v>54</v>
      </c>
      <c r="S36" s="12">
        <v>3.6</v>
      </c>
      <c r="T36" s="12">
        <v>3.6</v>
      </c>
      <c r="U36" s="11" t="s">
        <v>363</v>
      </c>
      <c r="V36" s="11" t="s">
        <v>970</v>
      </c>
      <c r="W36" s="11" t="s">
        <v>971</v>
      </c>
      <c r="X36" s="11" t="s">
        <v>607</v>
      </c>
      <c r="Y36" s="11" t="s">
        <v>609</v>
      </c>
      <c r="Z36" s="11" t="s">
        <v>71</v>
      </c>
      <c r="AA36" s="11" t="s">
        <v>976</v>
      </c>
      <c r="AB36" s="13">
        <v>1</v>
      </c>
      <c r="AC36" s="11" t="s">
        <v>1499</v>
      </c>
      <c r="AD36" s="11"/>
      <c r="AE36" s="11"/>
      <c r="AF36" s="14">
        <v>46203</v>
      </c>
      <c r="AG36" s="11" t="s">
        <v>1019</v>
      </c>
      <c r="AH36" s="11"/>
    </row>
    <row r="37" spans="1:34" ht="17.25" customHeight="1" x14ac:dyDescent="0.25">
      <c r="A37" s="11" t="s">
        <v>61</v>
      </c>
      <c r="B37" s="11" t="s">
        <v>522</v>
      </c>
      <c r="C37" s="11"/>
      <c r="D37" s="11" t="s">
        <v>1020</v>
      </c>
      <c r="E37" s="11" t="s">
        <v>977</v>
      </c>
      <c r="F37" s="11"/>
      <c r="G37" s="11" t="s">
        <v>979</v>
      </c>
      <c r="H37" s="11" t="s">
        <v>980</v>
      </c>
      <c r="I37" s="11" t="s">
        <v>980</v>
      </c>
      <c r="J37" s="11" t="s">
        <v>981</v>
      </c>
      <c r="K37" s="11" t="s">
        <v>373</v>
      </c>
      <c r="L37" s="11" t="s">
        <v>374</v>
      </c>
      <c r="M37" s="11" t="s">
        <v>1021</v>
      </c>
      <c r="N37" s="11" t="s">
        <v>1022</v>
      </c>
      <c r="O37" s="11" t="s">
        <v>118</v>
      </c>
      <c r="P37" s="11" t="s">
        <v>972</v>
      </c>
      <c r="Q37" s="11" t="s">
        <v>391</v>
      </c>
      <c r="R37" s="11" t="s">
        <v>54</v>
      </c>
      <c r="S37" s="12">
        <v>4.8</v>
      </c>
      <c r="T37" s="12">
        <v>4.8</v>
      </c>
      <c r="U37" s="11" t="s">
        <v>363</v>
      </c>
      <c r="V37" s="11" t="s">
        <v>970</v>
      </c>
      <c r="W37" s="11" t="s">
        <v>971</v>
      </c>
      <c r="X37" s="11" t="s">
        <v>390</v>
      </c>
      <c r="Y37" s="11" t="s">
        <v>392</v>
      </c>
      <c r="Z37" s="11" t="s">
        <v>71</v>
      </c>
      <c r="AA37" s="11" t="s">
        <v>976</v>
      </c>
      <c r="AB37" s="13">
        <v>1</v>
      </c>
      <c r="AC37" s="11" t="s">
        <v>1499</v>
      </c>
      <c r="AD37" s="11"/>
      <c r="AE37" s="11"/>
      <c r="AF37" s="14">
        <v>46203</v>
      </c>
      <c r="AG37" s="11" t="s">
        <v>1019</v>
      </c>
      <c r="AH37" s="11"/>
    </row>
    <row r="38" spans="1:34" ht="17.25" customHeight="1" x14ac:dyDescent="0.25">
      <c r="A38" s="11" t="s">
        <v>61</v>
      </c>
      <c r="B38" s="11" t="s">
        <v>522</v>
      </c>
      <c r="C38" s="11"/>
      <c r="D38" s="11" t="s">
        <v>1029</v>
      </c>
      <c r="E38" s="11" t="s">
        <v>977</v>
      </c>
      <c r="F38" s="11"/>
      <c r="G38" s="11" t="s">
        <v>979</v>
      </c>
      <c r="H38" s="11" t="s">
        <v>980</v>
      </c>
      <c r="I38" s="11" t="s">
        <v>980</v>
      </c>
      <c r="J38" s="11" t="s">
        <v>1030</v>
      </c>
      <c r="K38" s="11" t="s">
        <v>114</v>
      </c>
      <c r="L38" s="11" t="s">
        <v>115</v>
      </c>
      <c r="M38" s="11" t="s">
        <v>1031</v>
      </c>
      <c r="N38" s="11" t="s">
        <v>1032</v>
      </c>
      <c r="O38" s="11" t="s">
        <v>118</v>
      </c>
      <c r="P38" s="11" t="s">
        <v>972</v>
      </c>
      <c r="Q38" s="11" t="s">
        <v>126</v>
      </c>
      <c r="R38" s="11" t="s">
        <v>54</v>
      </c>
      <c r="S38" s="12">
        <v>10.92</v>
      </c>
      <c r="T38" s="12">
        <v>65.52</v>
      </c>
      <c r="U38" s="11" t="s">
        <v>101</v>
      </c>
      <c r="V38" s="11" t="s">
        <v>997</v>
      </c>
      <c r="W38" s="11" t="s">
        <v>971</v>
      </c>
      <c r="X38" s="11" t="s">
        <v>125</v>
      </c>
      <c r="Y38" s="11" t="s">
        <v>127</v>
      </c>
      <c r="Z38" s="11" t="s">
        <v>71</v>
      </c>
      <c r="AA38" s="11" t="s">
        <v>1027</v>
      </c>
      <c r="AB38" s="13">
        <v>6</v>
      </c>
      <c r="AC38" s="11" t="s">
        <v>1499</v>
      </c>
      <c r="AD38" s="11"/>
      <c r="AE38" s="11"/>
      <c r="AF38" s="14">
        <v>46203</v>
      </c>
      <c r="AG38" s="11" t="s">
        <v>1026</v>
      </c>
      <c r="AH38" s="11"/>
    </row>
    <row r="39" spans="1:34" ht="17.25" customHeight="1" x14ac:dyDescent="0.25">
      <c r="A39" s="11" t="s">
        <v>61</v>
      </c>
      <c r="B39" s="11" t="s">
        <v>522</v>
      </c>
      <c r="C39" s="11"/>
      <c r="D39" s="11" t="s">
        <v>1029</v>
      </c>
      <c r="E39" s="11" t="s">
        <v>977</v>
      </c>
      <c r="F39" s="11"/>
      <c r="G39" s="11" t="s">
        <v>979</v>
      </c>
      <c r="H39" s="11" t="s">
        <v>980</v>
      </c>
      <c r="I39" s="11" t="s">
        <v>980</v>
      </c>
      <c r="J39" s="11" t="s">
        <v>1030</v>
      </c>
      <c r="K39" s="11" t="s">
        <v>114</v>
      </c>
      <c r="L39" s="11" t="s">
        <v>115</v>
      </c>
      <c r="M39" s="11" t="s">
        <v>1031</v>
      </c>
      <c r="N39" s="11" t="s">
        <v>1032</v>
      </c>
      <c r="O39" s="11" t="s">
        <v>118</v>
      </c>
      <c r="P39" s="11" t="s">
        <v>972</v>
      </c>
      <c r="Q39" s="11" t="s">
        <v>126</v>
      </c>
      <c r="R39" s="11" t="s">
        <v>54</v>
      </c>
      <c r="S39" s="12">
        <v>10.92</v>
      </c>
      <c r="T39" s="12">
        <v>10.92</v>
      </c>
      <c r="U39" s="11" t="s">
        <v>101</v>
      </c>
      <c r="V39" s="11" t="s">
        <v>997</v>
      </c>
      <c r="W39" s="11" t="s">
        <v>971</v>
      </c>
      <c r="X39" s="11" t="s">
        <v>125</v>
      </c>
      <c r="Y39" s="11" t="s">
        <v>127</v>
      </c>
      <c r="Z39" s="11" t="s">
        <v>567</v>
      </c>
      <c r="AA39" s="11" t="s">
        <v>1027</v>
      </c>
      <c r="AB39" s="13">
        <v>1</v>
      </c>
      <c r="AC39" s="11" t="s">
        <v>1499</v>
      </c>
      <c r="AD39" s="11"/>
      <c r="AE39" s="11"/>
      <c r="AF39" s="14">
        <v>46203</v>
      </c>
      <c r="AG39" s="11" t="s">
        <v>1026</v>
      </c>
      <c r="AH39" s="11"/>
    </row>
    <row r="40" spans="1:34" ht="17.25" customHeight="1" x14ac:dyDescent="0.25">
      <c r="A40" s="11" t="s">
        <v>61</v>
      </c>
      <c r="B40" s="11" t="s">
        <v>522</v>
      </c>
      <c r="C40" s="11"/>
      <c r="D40" s="11" t="s">
        <v>1029</v>
      </c>
      <c r="E40" s="11" t="s">
        <v>977</v>
      </c>
      <c r="F40" s="11"/>
      <c r="G40" s="11" t="s">
        <v>979</v>
      </c>
      <c r="H40" s="11" t="s">
        <v>980</v>
      </c>
      <c r="I40" s="11" t="s">
        <v>980</v>
      </c>
      <c r="J40" s="11" t="s">
        <v>1030</v>
      </c>
      <c r="K40" s="11" t="s">
        <v>114</v>
      </c>
      <c r="L40" s="11" t="s">
        <v>115</v>
      </c>
      <c r="M40" s="11" t="s">
        <v>1031</v>
      </c>
      <c r="N40" s="11" t="s">
        <v>1032</v>
      </c>
      <c r="O40" s="11" t="s">
        <v>118</v>
      </c>
      <c r="P40" s="11" t="s">
        <v>972</v>
      </c>
      <c r="Q40" s="11" t="s">
        <v>242</v>
      </c>
      <c r="R40" s="11" t="s">
        <v>54</v>
      </c>
      <c r="S40" s="12">
        <v>10.92</v>
      </c>
      <c r="T40" s="12">
        <v>54.6</v>
      </c>
      <c r="U40" s="11" t="s">
        <v>101</v>
      </c>
      <c r="V40" s="11" t="s">
        <v>997</v>
      </c>
      <c r="W40" s="11" t="s">
        <v>971</v>
      </c>
      <c r="X40" s="11" t="s">
        <v>241</v>
      </c>
      <c r="Y40" s="11" t="s">
        <v>243</v>
      </c>
      <c r="Z40" s="11" t="s">
        <v>71</v>
      </c>
      <c r="AA40" s="11" t="s">
        <v>1027</v>
      </c>
      <c r="AB40" s="13">
        <v>5</v>
      </c>
      <c r="AC40" s="11" t="s">
        <v>1499</v>
      </c>
      <c r="AD40" s="11"/>
      <c r="AE40" s="11"/>
      <c r="AF40" s="14">
        <v>46203</v>
      </c>
      <c r="AG40" s="11" t="s">
        <v>1026</v>
      </c>
      <c r="AH40" s="11"/>
    </row>
    <row r="41" spans="1:34" ht="17.25" customHeight="1" x14ac:dyDescent="0.25">
      <c r="A41" s="11" t="s">
        <v>61</v>
      </c>
      <c r="B41" s="11" t="s">
        <v>522</v>
      </c>
      <c r="C41" s="11"/>
      <c r="D41" s="11" t="s">
        <v>1029</v>
      </c>
      <c r="E41" s="11" t="s">
        <v>977</v>
      </c>
      <c r="F41" s="11"/>
      <c r="G41" s="11" t="s">
        <v>979</v>
      </c>
      <c r="H41" s="11" t="s">
        <v>980</v>
      </c>
      <c r="I41" s="11" t="s">
        <v>980</v>
      </c>
      <c r="J41" s="11" t="s">
        <v>1030</v>
      </c>
      <c r="K41" s="11" t="s">
        <v>114</v>
      </c>
      <c r="L41" s="11" t="s">
        <v>115</v>
      </c>
      <c r="M41" s="11" t="s">
        <v>1031</v>
      </c>
      <c r="N41" s="11" t="s">
        <v>1032</v>
      </c>
      <c r="O41" s="11" t="s">
        <v>118</v>
      </c>
      <c r="P41" s="11" t="s">
        <v>972</v>
      </c>
      <c r="Q41" s="11" t="s">
        <v>242</v>
      </c>
      <c r="R41" s="11" t="s">
        <v>54</v>
      </c>
      <c r="S41" s="12">
        <v>10.92</v>
      </c>
      <c r="T41" s="12">
        <v>10.92</v>
      </c>
      <c r="U41" s="11" t="s">
        <v>101</v>
      </c>
      <c r="V41" s="11" t="s">
        <v>997</v>
      </c>
      <c r="W41" s="11" t="s">
        <v>971</v>
      </c>
      <c r="X41" s="11" t="s">
        <v>241</v>
      </c>
      <c r="Y41" s="11" t="s">
        <v>243</v>
      </c>
      <c r="Z41" s="11" t="s">
        <v>567</v>
      </c>
      <c r="AA41" s="11" t="s">
        <v>1027</v>
      </c>
      <c r="AB41" s="13">
        <v>1</v>
      </c>
      <c r="AC41" s="11" t="s">
        <v>1499</v>
      </c>
      <c r="AD41" s="11"/>
      <c r="AE41" s="11"/>
      <c r="AF41" s="14">
        <v>46203</v>
      </c>
      <c r="AG41" s="11" t="s">
        <v>1026</v>
      </c>
      <c r="AH41" s="11"/>
    </row>
    <row r="42" spans="1:34" ht="17.25" customHeight="1" x14ac:dyDescent="0.25">
      <c r="A42" s="11" t="s">
        <v>61</v>
      </c>
      <c r="B42" s="11" t="s">
        <v>522</v>
      </c>
      <c r="C42" s="11"/>
      <c r="D42" s="11" t="s">
        <v>1029</v>
      </c>
      <c r="E42" s="11" t="s">
        <v>977</v>
      </c>
      <c r="F42" s="11"/>
      <c r="G42" s="11" t="s">
        <v>979</v>
      </c>
      <c r="H42" s="11" t="s">
        <v>980</v>
      </c>
      <c r="I42" s="11" t="s">
        <v>980</v>
      </c>
      <c r="J42" s="11" t="s">
        <v>1030</v>
      </c>
      <c r="K42" s="11" t="s">
        <v>114</v>
      </c>
      <c r="L42" s="11" t="s">
        <v>115</v>
      </c>
      <c r="M42" s="11" t="s">
        <v>1031</v>
      </c>
      <c r="N42" s="11" t="s">
        <v>1032</v>
      </c>
      <c r="O42" s="11" t="s">
        <v>118</v>
      </c>
      <c r="P42" s="11" t="s">
        <v>972</v>
      </c>
      <c r="Q42" s="11" t="s">
        <v>296</v>
      </c>
      <c r="R42" s="11" t="s">
        <v>54</v>
      </c>
      <c r="S42" s="12">
        <v>10.92</v>
      </c>
      <c r="T42" s="12">
        <v>10.92</v>
      </c>
      <c r="U42" s="11" t="s">
        <v>101</v>
      </c>
      <c r="V42" s="11" t="s">
        <v>997</v>
      </c>
      <c r="W42" s="11" t="s">
        <v>971</v>
      </c>
      <c r="X42" s="11" t="s">
        <v>295</v>
      </c>
      <c r="Y42" s="11" t="s">
        <v>297</v>
      </c>
      <c r="Z42" s="11" t="s">
        <v>71</v>
      </c>
      <c r="AA42" s="11" t="s">
        <v>1027</v>
      </c>
      <c r="AB42" s="13">
        <v>1</v>
      </c>
      <c r="AC42" s="11" t="s">
        <v>1499</v>
      </c>
      <c r="AD42" s="11"/>
      <c r="AE42" s="11"/>
      <c r="AF42" s="14">
        <v>46203</v>
      </c>
      <c r="AG42" s="11" t="s">
        <v>1026</v>
      </c>
      <c r="AH42" s="11"/>
    </row>
    <row r="43" spans="1:34" ht="17.25" customHeight="1" x14ac:dyDescent="0.25">
      <c r="A43" s="11" t="s">
        <v>61</v>
      </c>
      <c r="B43" s="11" t="s">
        <v>522</v>
      </c>
      <c r="C43" s="11"/>
      <c r="D43" s="11" t="s">
        <v>1029</v>
      </c>
      <c r="E43" s="11" t="s">
        <v>977</v>
      </c>
      <c r="F43" s="11"/>
      <c r="G43" s="11" t="s">
        <v>979</v>
      </c>
      <c r="H43" s="11" t="s">
        <v>980</v>
      </c>
      <c r="I43" s="11" t="s">
        <v>980</v>
      </c>
      <c r="J43" s="11" t="s">
        <v>1030</v>
      </c>
      <c r="K43" s="11" t="s">
        <v>114</v>
      </c>
      <c r="L43" s="11" t="s">
        <v>115</v>
      </c>
      <c r="M43" s="11" t="s">
        <v>1031</v>
      </c>
      <c r="N43" s="11" t="s">
        <v>1032</v>
      </c>
      <c r="O43" s="11" t="s">
        <v>118</v>
      </c>
      <c r="P43" s="11" t="s">
        <v>972</v>
      </c>
      <c r="Q43" s="11" t="s">
        <v>1034</v>
      </c>
      <c r="R43" s="11" t="s">
        <v>54</v>
      </c>
      <c r="S43" s="12">
        <v>10.92</v>
      </c>
      <c r="T43" s="12">
        <v>43.68</v>
      </c>
      <c r="U43" s="11" t="s">
        <v>101</v>
      </c>
      <c r="V43" s="11" t="s">
        <v>997</v>
      </c>
      <c r="W43" s="11" t="s">
        <v>971</v>
      </c>
      <c r="X43" s="11" t="s">
        <v>1033</v>
      </c>
      <c r="Y43" s="11" t="s">
        <v>1035</v>
      </c>
      <c r="Z43" s="11" t="s">
        <v>71</v>
      </c>
      <c r="AA43" s="11" t="s">
        <v>1027</v>
      </c>
      <c r="AB43" s="13">
        <v>4</v>
      </c>
      <c r="AC43" s="11" t="s">
        <v>1499</v>
      </c>
      <c r="AD43" s="11"/>
      <c r="AE43" s="11"/>
      <c r="AF43" s="14">
        <v>46203</v>
      </c>
      <c r="AG43" s="11" t="s">
        <v>1026</v>
      </c>
      <c r="AH43" s="11"/>
    </row>
    <row r="44" spans="1:34" ht="17.25" customHeight="1" x14ac:dyDescent="0.25">
      <c r="A44" s="11" t="s">
        <v>61</v>
      </c>
      <c r="B44" s="11" t="s">
        <v>522</v>
      </c>
      <c r="C44" s="11"/>
      <c r="D44" s="11" t="s">
        <v>1029</v>
      </c>
      <c r="E44" s="11" t="s">
        <v>977</v>
      </c>
      <c r="F44" s="11"/>
      <c r="G44" s="11" t="s">
        <v>979</v>
      </c>
      <c r="H44" s="11" t="s">
        <v>980</v>
      </c>
      <c r="I44" s="11" t="s">
        <v>980</v>
      </c>
      <c r="J44" s="11" t="s">
        <v>1030</v>
      </c>
      <c r="K44" s="11" t="s">
        <v>114</v>
      </c>
      <c r="L44" s="11" t="s">
        <v>115</v>
      </c>
      <c r="M44" s="11" t="s">
        <v>1031</v>
      </c>
      <c r="N44" s="11" t="s">
        <v>1032</v>
      </c>
      <c r="O44" s="11" t="s">
        <v>118</v>
      </c>
      <c r="P44" s="11" t="s">
        <v>972</v>
      </c>
      <c r="Q44" s="11" t="s">
        <v>602</v>
      </c>
      <c r="R44" s="11" t="s">
        <v>54</v>
      </c>
      <c r="S44" s="12">
        <v>8.7360000000000007</v>
      </c>
      <c r="T44" s="12">
        <v>8.7360000000000007</v>
      </c>
      <c r="U44" s="11" t="s">
        <v>101</v>
      </c>
      <c r="V44" s="11" t="s">
        <v>997</v>
      </c>
      <c r="W44" s="11" t="s">
        <v>971</v>
      </c>
      <c r="X44" s="11" t="s">
        <v>601</v>
      </c>
      <c r="Y44" s="11" t="s">
        <v>603</v>
      </c>
      <c r="Z44" s="11" t="s">
        <v>567</v>
      </c>
      <c r="AA44" s="11" t="s">
        <v>1027</v>
      </c>
      <c r="AB44" s="13">
        <v>1</v>
      </c>
      <c r="AC44" s="11" t="s">
        <v>1499</v>
      </c>
      <c r="AD44" s="11"/>
      <c r="AE44" s="11"/>
      <c r="AF44" s="14">
        <v>46203</v>
      </c>
      <c r="AG44" s="11" t="s">
        <v>1026</v>
      </c>
      <c r="AH44" s="11"/>
    </row>
    <row r="45" spans="1:34" ht="17.25" customHeight="1" x14ac:dyDescent="0.25">
      <c r="A45" s="11" t="s">
        <v>61</v>
      </c>
      <c r="B45" s="11" t="s">
        <v>522</v>
      </c>
      <c r="C45" s="11"/>
      <c r="D45" s="11" t="s">
        <v>1029</v>
      </c>
      <c r="E45" s="11" t="s">
        <v>977</v>
      </c>
      <c r="F45" s="11"/>
      <c r="G45" s="11" t="s">
        <v>979</v>
      </c>
      <c r="H45" s="11" t="s">
        <v>980</v>
      </c>
      <c r="I45" s="11" t="s">
        <v>980</v>
      </c>
      <c r="J45" s="11" t="s">
        <v>1030</v>
      </c>
      <c r="K45" s="11" t="s">
        <v>114</v>
      </c>
      <c r="L45" s="11" t="s">
        <v>115</v>
      </c>
      <c r="M45" s="11" t="s">
        <v>1031</v>
      </c>
      <c r="N45" s="11" t="s">
        <v>1032</v>
      </c>
      <c r="O45" s="11" t="s">
        <v>118</v>
      </c>
      <c r="P45" s="11" t="s">
        <v>972</v>
      </c>
      <c r="Q45" s="11" t="s">
        <v>415</v>
      </c>
      <c r="R45" s="11" t="s">
        <v>54</v>
      </c>
      <c r="S45" s="12">
        <v>10.92</v>
      </c>
      <c r="T45" s="12">
        <v>10.92</v>
      </c>
      <c r="U45" s="11" t="s">
        <v>101</v>
      </c>
      <c r="V45" s="11" t="s">
        <v>997</v>
      </c>
      <c r="W45" s="11" t="s">
        <v>971</v>
      </c>
      <c r="X45" s="11" t="s">
        <v>414</v>
      </c>
      <c r="Y45" s="11" t="s">
        <v>416</v>
      </c>
      <c r="Z45" s="11" t="s">
        <v>71</v>
      </c>
      <c r="AA45" s="11" t="s">
        <v>1027</v>
      </c>
      <c r="AB45" s="13">
        <v>1</v>
      </c>
      <c r="AC45" s="11" t="s">
        <v>1499</v>
      </c>
      <c r="AD45" s="11"/>
      <c r="AE45" s="11"/>
      <c r="AF45" s="14">
        <v>46203</v>
      </c>
      <c r="AG45" s="11" t="s">
        <v>1026</v>
      </c>
      <c r="AH45" s="11"/>
    </row>
    <row r="46" spans="1:34" ht="17.25" customHeight="1" x14ac:dyDescent="0.25">
      <c r="A46" s="11" t="s">
        <v>61</v>
      </c>
      <c r="B46" s="11" t="s">
        <v>522</v>
      </c>
      <c r="C46" s="11"/>
      <c r="D46" s="11" t="s">
        <v>1029</v>
      </c>
      <c r="E46" s="11" t="s">
        <v>977</v>
      </c>
      <c r="F46" s="11"/>
      <c r="G46" s="11" t="s">
        <v>979</v>
      </c>
      <c r="H46" s="11" t="s">
        <v>980</v>
      </c>
      <c r="I46" s="11" t="s">
        <v>980</v>
      </c>
      <c r="J46" s="11" t="s">
        <v>1030</v>
      </c>
      <c r="K46" s="11" t="s">
        <v>114</v>
      </c>
      <c r="L46" s="11" t="s">
        <v>115</v>
      </c>
      <c r="M46" s="11" t="s">
        <v>1031</v>
      </c>
      <c r="N46" s="11" t="s">
        <v>1032</v>
      </c>
      <c r="O46" s="11" t="s">
        <v>118</v>
      </c>
      <c r="P46" s="11" t="s">
        <v>972</v>
      </c>
      <c r="Q46" s="11" t="s">
        <v>1038</v>
      </c>
      <c r="R46" s="11" t="s">
        <v>54</v>
      </c>
      <c r="S46" s="12">
        <v>10.92</v>
      </c>
      <c r="T46" s="12">
        <v>10.92</v>
      </c>
      <c r="U46" s="11" t="s">
        <v>101</v>
      </c>
      <c r="V46" s="11" t="s">
        <v>997</v>
      </c>
      <c r="W46" s="11" t="s">
        <v>971</v>
      </c>
      <c r="X46" s="11" t="s">
        <v>1037</v>
      </c>
      <c r="Y46" s="11" t="s">
        <v>1039</v>
      </c>
      <c r="Z46" s="11" t="s">
        <v>71</v>
      </c>
      <c r="AA46" s="11" t="s">
        <v>1027</v>
      </c>
      <c r="AB46" s="13">
        <v>1</v>
      </c>
      <c r="AC46" s="11" t="s">
        <v>1499</v>
      </c>
      <c r="AD46" s="11"/>
      <c r="AE46" s="11"/>
      <c r="AF46" s="14">
        <v>46203</v>
      </c>
      <c r="AG46" s="11" t="s">
        <v>1026</v>
      </c>
      <c r="AH46" s="11"/>
    </row>
    <row r="47" spans="1:34" ht="17.25" customHeight="1" x14ac:dyDescent="0.25">
      <c r="A47" s="11" t="s">
        <v>61</v>
      </c>
      <c r="B47" s="11" t="s">
        <v>522</v>
      </c>
      <c r="C47" s="11"/>
      <c r="D47" s="11" t="s">
        <v>1029</v>
      </c>
      <c r="E47" s="11" t="s">
        <v>977</v>
      </c>
      <c r="F47" s="11"/>
      <c r="G47" s="11" t="s">
        <v>979</v>
      </c>
      <c r="H47" s="11" t="s">
        <v>980</v>
      </c>
      <c r="I47" s="11" t="s">
        <v>980</v>
      </c>
      <c r="J47" s="11" t="s">
        <v>1030</v>
      </c>
      <c r="K47" s="11" t="s">
        <v>114</v>
      </c>
      <c r="L47" s="11" t="s">
        <v>115</v>
      </c>
      <c r="M47" s="11" t="s">
        <v>1031</v>
      </c>
      <c r="N47" s="11" t="s">
        <v>1032</v>
      </c>
      <c r="O47" s="11" t="s">
        <v>118</v>
      </c>
      <c r="P47" s="11" t="s">
        <v>972</v>
      </c>
      <c r="Q47" s="11" t="s">
        <v>131</v>
      </c>
      <c r="R47" s="11" t="s">
        <v>54</v>
      </c>
      <c r="S47" s="12">
        <v>2.1840000000000002</v>
      </c>
      <c r="T47" s="12">
        <v>2.1840000000000002</v>
      </c>
      <c r="U47" s="11" t="s">
        <v>101</v>
      </c>
      <c r="V47" s="11" t="s">
        <v>997</v>
      </c>
      <c r="W47" s="11" t="s">
        <v>971</v>
      </c>
      <c r="X47" s="11" t="s">
        <v>130</v>
      </c>
      <c r="Y47" s="11" t="s">
        <v>132</v>
      </c>
      <c r="Z47" s="11" t="s">
        <v>71</v>
      </c>
      <c r="AA47" s="11" t="s">
        <v>1027</v>
      </c>
      <c r="AB47" s="13">
        <v>1</v>
      </c>
      <c r="AC47" s="11" t="s">
        <v>1499</v>
      </c>
      <c r="AD47" s="11"/>
      <c r="AE47" s="11"/>
      <c r="AF47" s="14">
        <v>46203</v>
      </c>
      <c r="AG47" s="11" t="s">
        <v>1026</v>
      </c>
      <c r="AH47" s="11"/>
    </row>
    <row r="48" spans="1:34" ht="17.25" customHeight="1" x14ac:dyDescent="0.25">
      <c r="A48" s="11" t="s">
        <v>61</v>
      </c>
      <c r="B48" s="11" t="s">
        <v>522</v>
      </c>
      <c r="C48" s="11"/>
      <c r="D48" s="11" t="s">
        <v>1082</v>
      </c>
      <c r="E48" s="11" t="s">
        <v>977</v>
      </c>
      <c r="F48" s="11"/>
      <c r="G48" s="11" t="s">
        <v>979</v>
      </c>
      <c r="H48" s="11" t="s">
        <v>980</v>
      </c>
      <c r="I48" s="11" t="s">
        <v>980</v>
      </c>
      <c r="J48" s="11" t="s">
        <v>1083</v>
      </c>
      <c r="K48" s="11" t="s">
        <v>373</v>
      </c>
      <c r="L48" s="11" t="s">
        <v>374</v>
      </c>
      <c r="M48" s="11" t="s">
        <v>1084</v>
      </c>
      <c r="N48" s="11" t="s">
        <v>1085</v>
      </c>
      <c r="O48" s="11" t="s">
        <v>118</v>
      </c>
      <c r="P48" s="11" t="s">
        <v>987</v>
      </c>
      <c r="Q48" s="11" t="s">
        <v>391</v>
      </c>
      <c r="R48" s="11" t="s">
        <v>54</v>
      </c>
      <c r="S48" s="12">
        <v>4.8</v>
      </c>
      <c r="T48" s="12">
        <v>4.8</v>
      </c>
      <c r="U48" s="11" t="s">
        <v>363</v>
      </c>
      <c r="V48" s="11" t="s">
        <v>970</v>
      </c>
      <c r="W48" s="11" t="s">
        <v>971</v>
      </c>
      <c r="X48" s="11" t="s">
        <v>390</v>
      </c>
      <c r="Y48" s="11" t="s">
        <v>392</v>
      </c>
      <c r="Z48" s="11" t="s">
        <v>71</v>
      </c>
      <c r="AA48" s="11" t="s">
        <v>1041</v>
      </c>
      <c r="AB48" s="13">
        <v>1</v>
      </c>
      <c r="AC48" s="11" t="s">
        <v>1499</v>
      </c>
      <c r="AD48" s="11"/>
      <c r="AE48" s="11"/>
      <c r="AF48" s="14">
        <v>46203</v>
      </c>
      <c r="AG48" s="11" t="s">
        <v>1081</v>
      </c>
      <c r="AH48" s="11"/>
    </row>
    <row r="49" spans="1:34" ht="17.25" customHeight="1" x14ac:dyDescent="0.25">
      <c r="A49" s="11" t="s">
        <v>61</v>
      </c>
      <c r="B49" s="11" t="s">
        <v>522</v>
      </c>
      <c r="C49" s="11"/>
      <c r="D49" s="11" t="s">
        <v>1082</v>
      </c>
      <c r="E49" s="11" t="s">
        <v>977</v>
      </c>
      <c r="F49" s="11"/>
      <c r="G49" s="11" t="s">
        <v>979</v>
      </c>
      <c r="H49" s="11" t="s">
        <v>980</v>
      </c>
      <c r="I49" s="11" t="s">
        <v>980</v>
      </c>
      <c r="J49" s="11" t="s">
        <v>1083</v>
      </c>
      <c r="K49" s="11" t="s">
        <v>373</v>
      </c>
      <c r="L49" s="11" t="s">
        <v>374</v>
      </c>
      <c r="M49" s="11" t="s">
        <v>1084</v>
      </c>
      <c r="N49" s="11" t="s">
        <v>1085</v>
      </c>
      <c r="O49" s="11" t="s">
        <v>118</v>
      </c>
      <c r="P49" s="11" t="s">
        <v>987</v>
      </c>
      <c r="Q49" s="11" t="s">
        <v>388</v>
      </c>
      <c r="R49" s="11" t="s">
        <v>54</v>
      </c>
      <c r="S49" s="12">
        <v>6</v>
      </c>
      <c r="T49" s="12">
        <v>12</v>
      </c>
      <c r="U49" s="11" t="s">
        <v>363</v>
      </c>
      <c r="V49" s="11" t="s">
        <v>970</v>
      </c>
      <c r="W49" s="11" t="s">
        <v>971</v>
      </c>
      <c r="X49" s="11" t="s">
        <v>387</v>
      </c>
      <c r="Y49" s="11" t="s">
        <v>389</v>
      </c>
      <c r="Z49" s="11" t="s">
        <v>71</v>
      </c>
      <c r="AA49" s="11" t="s">
        <v>1041</v>
      </c>
      <c r="AB49" s="13">
        <v>2</v>
      </c>
      <c r="AC49" s="11" t="s">
        <v>1499</v>
      </c>
      <c r="AD49" s="11"/>
      <c r="AE49" s="11"/>
      <c r="AF49" s="14">
        <v>46203</v>
      </c>
      <c r="AG49" s="11" t="s">
        <v>1081</v>
      </c>
      <c r="AH49" s="11"/>
    </row>
    <row r="50" spans="1:34" ht="17.25" customHeight="1" x14ac:dyDescent="0.25">
      <c r="A50" s="11" t="s">
        <v>61</v>
      </c>
      <c r="B50" s="11" t="s">
        <v>522</v>
      </c>
      <c r="C50" s="11"/>
      <c r="D50" s="11" t="s">
        <v>1088</v>
      </c>
      <c r="E50" s="11" t="s">
        <v>977</v>
      </c>
      <c r="F50" s="11"/>
      <c r="G50" s="11" t="s">
        <v>979</v>
      </c>
      <c r="H50" s="11" t="s">
        <v>980</v>
      </c>
      <c r="I50" s="11" t="s">
        <v>980</v>
      </c>
      <c r="J50" s="11" t="s">
        <v>1083</v>
      </c>
      <c r="K50" s="11" t="s">
        <v>114</v>
      </c>
      <c r="L50" s="11" t="s">
        <v>115</v>
      </c>
      <c r="M50" s="11" t="s">
        <v>1089</v>
      </c>
      <c r="N50" s="11" t="s">
        <v>1090</v>
      </c>
      <c r="O50" s="11" t="s">
        <v>118</v>
      </c>
      <c r="P50" s="11" t="s">
        <v>987</v>
      </c>
      <c r="Q50" s="11" t="s">
        <v>136</v>
      </c>
      <c r="R50" s="11" t="s">
        <v>54</v>
      </c>
      <c r="S50" s="12">
        <v>2.73</v>
      </c>
      <c r="T50" s="12">
        <v>2.73</v>
      </c>
      <c r="U50" s="11" t="s">
        <v>101</v>
      </c>
      <c r="V50" s="11" t="s">
        <v>997</v>
      </c>
      <c r="W50" s="11" t="s">
        <v>971</v>
      </c>
      <c r="X50" s="11" t="s">
        <v>135</v>
      </c>
      <c r="Y50" s="11" t="s">
        <v>137</v>
      </c>
      <c r="Z50" s="11" t="s">
        <v>71</v>
      </c>
      <c r="AA50" s="11" t="s">
        <v>1087</v>
      </c>
      <c r="AB50" s="13">
        <v>1</v>
      </c>
      <c r="AC50" s="11" t="s">
        <v>1499</v>
      </c>
      <c r="AD50" s="11"/>
      <c r="AE50" s="11"/>
      <c r="AF50" s="14">
        <v>46203</v>
      </c>
      <c r="AG50" s="11" t="s">
        <v>1086</v>
      </c>
      <c r="AH50" s="11"/>
    </row>
    <row r="51" spans="1:34" ht="17.25" customHeight="1" x14ac:dyDescent="0.25">
      <c r="A51" s="11" t="s">
        <v>61</v>
      </c>
      <c r="B51" s="11" t="s">
        <v>522</v>
      </c>
      <c r="C51" s="11"/>
      <c r="D51" s="11" t="s">
        <v>1092</v>
      </c>
      <c r="E51" s="11" t="s">
        <v>977</v>
      </c>
      <c r="F51" s="11"/>
      <c r="G51" s="11" t="s">
        <v>979</v>
      </c>
      <c r="H51" s="11" t="s">
        <v>980</v>
      </c>
      <c r="I51" s="11" t="s">
        <v>980</v>
      </c>
      <c r="J51" s="11" t="s">
        <v>1043</v>
      </c>
      <c r="K51" s="11" t="s">
        <v>373</v>
      </c>
      <c r="L51" s="11" t="s">
        <v>374</v>
      </c>
      <c r="M51" s="11" t="s">
        <v>1093</v>
      </c>
      <c r="N51" s="11" t="s">
        <v>1094</v>
      </c>
      <c r="O51" s="11" t="s">
        <v>118</v>
      </c>
      <c r="P51" s="11" t="s">
        <v>987</v>
      </c>
      <c r="Q51" s="11" t="s">
        <v>608</v>
      </c>
      <c r="R51" s="11" t="s">
        <v>54</v>
      </c>
      <c r="S51" s="12">
        <v>3.6</v>
      </c>
      <c r="T51" s="12">
        <v>10.8</v>
      </c>
      <c r="U51" s="11" t="s">
        <v>363</v>
      </c>
      <c r="V51" s="11" t="s">
        <v>970</v>
      </c>
      <c r="W51" s="11" t="s">
        <v>971</v>
      </c>
      <c r="X51" s="11" t="s">
        <v>607</v>
      </c>
      <c r="Y51" s="11" t="s">
        <v>609</v>
      </c>
      <c r="Z51" s="11" t="s">
        <v>71</v>
      </c>
      <c r="AA51" s="11" t="s">
        <v>1041</v>
      </c>
      <c r="AB51" s="13">
        <v>3</v>
      </c>
      <c r="AC51" s="11" t="s">
        <v>1499</v>
      </c>
      <c r="AD51" s="11"/>
      <c r="AE51" s="11"/>
      <c r="AF51" s="14">
        <v>46203</v>
      </c>
      <c r="AG51" s="11" t="s">
        <v>1091</v>
      </c>
      <c r="AH51" s="11"/>
    </row>
    <row r="52" spans="1:34" ht="17.25" customHeight="1" x14ac:dyDescent="0.25">
      <c r="A52" s="11" t="s">
        <v>61</v>
      </c>
      <c r="B52" s="11" t="s">
        <v>522</v>
      </c>
      <c r="C52" s="11"/>
      <c r="D52" s="11" t="s">
        <v>1092</v>
      </c>
      <c r="E52" s="11" t="s">
        <v>977</v>
      </c>
      <c r="F52" s="11"/>
      <c r="G52" s="11" t="s">
        <v>979</v>
      </c>
      <c r="H52" s="11" t="s">
        <v>980</v>
      </c>
      <c r="I52" s="11" t="s">
        <v>980</v>
      </c>
      <c r="J52" s="11" t="s">
        <v>1043</v>
      </c>
      <c r="K52" s="11" t="s">
        <v>373</v>
      </c>
      <c r="L52" s="11" t="s">
        <v>374</v>
      </c>
      <c r="M52" s="11" t="s">
        <v>1093</v>
      </c>
      <c r="N52" s="11" t="s">
        <v>1094</v>
      </c>
      <c r="O52" s="11" t="s">
        <v>118</v>
      </c>
      <c r="P52" s="11" t="s">
        <v>987</v>
      </c>
      <c r="Q52" s="11" t="s">
        <v>380</v>
      </c>
      <c r="R52" s="11" t="s">
        <v>54</v>
      </c>
      <c r="S52" s="12">
        <v>6</v>
      </c>
      <c r="T52" s="12">
        <v>18</v>
      </c>
      <c r="U52" s="11" t="s">
        <v>363</v>
      </c>
      <c r="V52" s="11" t="s">
        <v>970</v>
      </c>
      <c r="W52" s="11" t="s">
        <v>971</v>
      </c>
      <c r="X52" s="11" t="s">
        <v>379</v>
      </c>
      <c r="Y52" s="11" t="s">
        <v>381</v>
      </c>
      <c r="Z52" s="11" t="s">
        <v>71</v>
      </c>
      <c r="AA52" s="11" t="s">
        <v>1041</v>
      </c>
      <c r="AB52" s="13">
        <v>3</v>
      </c>
      <c r="AC52" s="11" t="s">
        <v>1499</v>
      </c>
      <c r="AD52" s="11"/>
      <c r="AE52" s="11"/>
      <c r="AF52" s="14">
        <v>46203</v>
      </c>
      <c r="AG52" s="11" t="s">
        <v>1091</v>
      </c>
      <c r="AH52" s="11"/>
    </row>
    <row r="53" spans="1:34" ht="17.25" customHeight="1" x14ac:dyDescent="0.25">
      <c r="A53" s="11" t="s">
        <v>61</v>
      </c>
      <c r="B53" s="11" t="s">
        <v>522</v>
      </c>
      <c r="C53" s="11"/>
      <c r="D53" s="11" t="s">
        <v>1092</v>
      </c>
      <c r="E53" s="11" t="s">
        <v>977</v>
      </c>
      <c r="F53" s="11"/>
      <c r="G53" s="11" t="s">
        <v>979</v>
      </c>
      <c r="H53" s="11" t="s">
        <v>980</v>
      </c>
      <c r="I53" s="11" t="s">
        <v>980</v>
      </c>
      <c r="J53" s="11" t="s">
        <v>1043</v>
      </c>
      <c r="K53" s="11" t="s">
        <v>373</v>
      </c>
      <c r="L53" s="11" t="s">
        <v>374</v>
      </c>
      <c r="M53" s="11" t="s">
        <v>1093</v>
      </c>
      <c r="N53" s="11" t="s">
        <v>1094</v>
      </c>
      <c r="O53" s="11" t="s">
        <v>118</v>
      </c>
      <c r="P53" s="11" t="s">
        <v>987</v>
      </c>
      <c r="Q53" s="11" t="s">
        <v>1096</v>
      </c>
      <c r="R53" s="11" t="s">
        <v>54</v>
      </c>
      <c r="S53" s="12">
        <v>4.8</v>
      </c>
      <c r="T53" s="12">
        <v>9.6</v>
      </c>
      <c r="U53" s="11" t="s">
        <v>363</v>
      </c>
      <c r="V53" s="11" t="s">
        <v>970</v>
      </c>
      <c r="W53" s="11" t="s">
        <v>971</v>
      </c>
      <c r="X53" s="11" t="s">
        <v>1095</v>
      </c>
      <c r="Y53" s="11" t="s">
        <v>1097</v>
      </c>
      <c r="Z53" s="11" t="s">
        <v>71</v>
      </c>
      <c r="AA53" s="11" t="s">
        <v>1041</v>
      </c>
      <c r="AB53" s="13">
        <v>2</v>
      </c>
      <c r="AC53" s="11" t="s">
        <v>1499</v>
      </c>
      <c r="AD53" s="11"/>
      <c r="AE53" s="11"/>
      <c r="AF53" s="14">
        <v>46203</v>
      </c>
      <c r="AG53" s="11" t="s">
        <v>1091</v>
      </c>
      <c r="AH53" s="11"/>
    </row>
    <row r="54" spans="1:34" ht="17.25" customHeight="1" x14ac:dyDescent="0.25">
      <c r="A54" s="11" t="s">
        <v>61</v>
      </c>
      <c r="B54" s="11" t="s">
        <v>522</v>
      </c>
      <c r="C54" s="11"/>
      <c r="D54" s="11" t="s">
        <v>1092</v>
      </c>
      <c r="E54" s="11" t="s">
        <v>977</v>
      </c>
      <c r="F54" s="11"/>
      <c r="G54" s="11" t="s">
        <v>979</v>
      </c>
      <c r="H54" s="11" t="s">
        <v>980</v>
      </c>
      <c r="I54" s="11" t="s">
        <v>980</v>
      </c>
      <c r="J54" s="11" t="s">
        <v>1043</v>
      </c>
      <c r="K54" s="11" t="s">
        <v>373</v>
      </c>
      <c r="L54" s="11" t="s">
        <v>374</v>
      </c>
      <c r="M54" s="11" t="s">
        <v>1093</v>
      </c>
      <c r="N54" s="11" t="s">
        <v>1094</v>
      </c>
      <c r="O54" s="11" t="s">
        <v>118</v>
      </c>
      <c r="P54" s="11" t="s">
        <v>987</v>
      </c>
      <c r="Q54" s="11" t="s">
        <v>994</v>
      </c>
      <c r="R54" s="11" t="s">
        <v>54</v>
      </c>
      <c r="S54" s="12">
        <v>3</v>
      </c>
      <c r="T54" s="12">
        <v>6</v>
      </c>
      <c r="U54" s="11" t="s">
        <v>363</v>
      </c>
      <c r="V54" s="11" t="s">
        <v>970</v>
      </c>
      <c r="W54" s="11" t="s">
        <v>971</v>
      </c>
      <c r="X54" s="11" t="s">
        <v>993</v>
      </c>
      <c r="Y54" s="11" t="s">
        <v>995</v>
      </c>
      <c r="Z54" s="11" t="s">
        <v>71</v>
      </c>
      <c r="AA54" s="11" t="s">
        <v>1041</v>
      </c>
      <c r="AB54" s="13">
        <v>2</v>
      </c>
      <c r="AC54" s="11" t="s">
        <v>1499</v>
      </c>
      <c r="AD54" s="11"/>
      <c r="AE54" s="11"/>
      <c r="AF54" s="14">
        <v>46203</v>
      </c>
      <c r="AG54" s="11" t="s">
        <v>1091</v>
      </c>
      <c r="AH54" s="11"/>
    </row>
    <row r="55" spans="1:34" ht="17.25" customHeight="1" x14ac:dyDescent="0.25">
      <c r="A55" s="11" t="s">
        <v>61</v>
      </c>
      <c r="B55" s="11" t="s">
        <v>522</v>
      </c>
      <c r="C55" s="11"/>
      <c r="D55" s="11" t="s">
        <v>1092</v>
      </c>
      <c r="E55" s="11" t="s">
        <v>977</v>
      </c>
      <c r="F55" s="11"/>
      <c r="G55" s="11" t="s">
        <v>979</v>
      </c>
      <c r="H55" s="11" t="s">
        <v>980</v>
      </c>
      <c r="I55" s="11" t="s">
        <v>980</v>
      </c>
      <c r="J55" s="11" t="s">
        <v>1043</v>
      </c>
      <c r="K55" s="11" t="s">
        <v>373</v>
      </c>
      <c r="L55" s="11" t="s">
        <v>374</v>
      </c>
      <c r="M55" s="11" t="s">
        <v>1093</v>
      </c>
      <c r="N55" s="11" t="s">
        <v>1094</v>
      </c>
      <c r="O55" s="11" t="s">
        <v>118</v>
      </c>
      <c r="P55" s="11" t="s">
        <v>987</v>
      </c>
      <c r="Q55" s="11" t="s">
        <v>388</v>
      </c>
      <c r="R55" s="11" t="s">
        <v>54</v>
      </c>
      <c r="S55" s="12">
        <v>6</v>
      </c>
      <c r="T55" s="12">
        <v>12</v>
      </c>
      <c r="U55" s="11" t="s">
        <v>363</v>
      </c>
      <c r="V55" s="11" t="s">
        <v>970</v>
      </c>
      <c r="W55" s="11" t="s">
        <v>971</v>
      </c>
      <c r="X55" s="11" t="s">
        <v>387</v>
      </c>
      <c r="Y55" s="11" t="s">
        <v>389</v>
      </c>
      <c r="Z55" s="11" t="s">
        <v>71</v>
      </c>
      <c r="AA55" s="11" t="s">
        <v>1041</v>
      </c>
      <c r="AB55" s="13">
        <v>2</v>
      </c>
      <c r="AC55" s="11" t="s">
        <v>1499</v>
      </c>
      <c r="AD55" s="11"/>
      <c r="AE55" s="11"/>
      <c r="AF55" s="14">
        <v>46203</v>
      </c>
      <c r="AG55" s="11" t="s">
        <v>1091</v>
      </c>
      <c r="AH55" s="11"/>
    </row>
    <row r="56" spans="1:34" ht="17.25" customHeight="1" x14ac:dyDescent="0.25">
      <c r="A56" s="11" t="s">
        <v>61</v>
      </c>
      <c r="B56" s="11" t="s">
        <v>522</v>
      </c>
      <c r="C56" s="11"/>
      <c r="D56" s="11" t="s">
        <v>1092</v>
      </c>
      <c r="E56" s="11" t="s">
        <v>977</v>
      </c>
      <c r="F56" s="11"/>
      <c r="G56" s="11" t="s">
        <v>979</v>
      </c>
      <c r="H56" s="11" t="s">
        <v>980</v>
      </c>
      <c r="I56" s="11" t="s">
        <v>980</v>
      </c>
      <c r="J56" s="11" t="s">
        <v>1043</v>
      </c>
      <c r="K56" s="11" t="s">
        <v>373</v>
      </c>
      <c r="L56" s="11" t="s">
        <v>374</v>
      </c>
      <c r="M56" s="11" t="s">
        <v>1093</v>
      </c>
      <c r="N56" s="11" t="s">
        <v>1094</v>
      </c>
      <c r="O56" s="11" t="s">
        <v>118</v>
      </c>
      <c r="P56" s="11" t="s">
        <v>987</v>
      </c>
      <c r="Q56" s="11" t="s">
        <v>1024</v>
      </c>
      <c r="R56" s="11" t="s">
        <v>54</v>
      </c>
      <c r="S56" s="12">
        <v>4.8</v>
      </c>
      <c r="T56" s="12">
        <v>9.6</v>
      </c>
      <c r="U56" s="11" t="s">
        <v>363</v>
      </c>
      <c r="V56" s="11" t="s">
        <v>970</v>
      </c>
      <c r="W56" s="11" t="s">
        <v>971</v>
      </c>
      <c r="X56" s="11" t="s">
        <v>1023</v>
      </c>
      <c r="Y56" s="11" t="s">
        <v>1025</v>
      </c>
      <c r="Z56" s="11" t="s">
        <v>71</v>
      </c>
      <c r="AA56" s="11" t="s">
        <v>1041</v>
      </c>
      <c r="AB56" s="13">
        <v>2</v>
      </c>
      <c r="AC56" s="11" t="s">
        <v>1499</v>
      </c>
      <c r="AD56" s="11"/>
      <c r="AE56" s="11"/>
      <c r="AF56" s="14">
        <v>46203</v>
      </c>
      <c r="AG56" s="11" t="s">
        <v>1091</v>
      </c>
      <c r="AH56" s="11"/>
    </row>
    <row r="57" spans="1:34" ht="17.25" customHeight="1" x14ac:dyDescent="0.25">
      <c r="A57" s="11" t="s">
        <v>61</v>
      </c>
      <c r="B57" s="11" t="s">
        <v>522</v>
      </c>
      <c r="C57" s="11"/>
      <c r="D57" s="11" t="s">
        <v>1102</v>
      </c>
      <c r="E57" s="11" t="s">
        <v>977</v>
      </c>
      <c r="F57" s="11"/>
      <c r="G57" s="11" t="s">
        <v>979</v>
      </c>
      <c r="H57" s="11" t="s">
        <v>980</v>
      </c>
      <c r="I57" s="11" t="s">
        <v>980</v>
      </c>
      <c r="J57" s="11" t="s">
        <v>1103</v>
      </c>
      <c r="K57" s="11" t="s">
        <v>168</v>
      </c>
      <c r="L57" s="11" t="s">
        <v>169</v>
      </c>
      <c r="M57" s="11" t="s">
        <v>1104</v>
      </c>
      <c r="N57" s="11" t="s">
        <v>1105</v>
      </c>
      <c r="O57" s="11" t="s">
        <v>118</v>
      </c>
      <c r="P57" s="11" t="s">
        <v>987</v>
      </c>
      <c r="Q57" s="11" t="s">
        <v>1100</v>
      </c>
      <c r="R57" s="11" t="s">
        <v>54</v>
      </c>
      <c r="S57" s="12">
        <v>4.8</v>
      </c>
      <c r="T57" s="12">
        <v>4.8</v>
      </c>
      <c r="U57" s="11" t="s">
        <v>101</v>
      </c>
      <c r="V57" s="11" t="s">
        <v>997</v>
      </c>
      <c r="W57" s="11" t="s">
        <v>971</v>
      </c>
      <c r="X57" s="11" t="s">
        <v>1099</v>
      </c>
      <c r="Y57" s="11" t="s">
        <v>1101</v>
      </c>
      <c r="Z57" s="11" t="s">
        <v>71</v>
      </c>
      <c r="AA57" s="11" t="s">
        <v>1076</v>
      </c>
      <c r="AB57" s="13">
        <v>1</v>
      </c>
      <c r="AC57" s="11" t="s">
        <v>1499</v>
      </c>
      <c r="AD57" s="11"/>
      <c r="AE57" s="11"/>
      <c r="AF57" s="14">
        <v>46203</v>
      </c>
      <c r="AG57" s="11" t="s">
        <v>1098</v>
      </c>
      <c r="AH57" s="11"/>
    </row>
    <row r="58" spans="1:34" ht="17.25" customHeight="1" x14ac:dyDescent="0.25">
      <c r="A58" s="11" t="s">
        <v>61</v>
      </c>
      <c r="B58" s="11" t="s">
        <v>522</v>
      </c>
      <c r="C58" s="11"/>
      <c r="D58" s="11" t="s">
        <v>1102</v>
      </c>
      <c r="E58" s="11" t="s">
        <v>977</v>
      </c>
      <c r="F58" s="11"/>
      <c r="G58" s="11" t="s">
        <v>979</v>
      </c>
      <c r="H58" s="11" t="s">
        <v>980</v>
      </c>
      <c r="I58" s="11" t="s">
        <v>980</v>
      </c>
      <c r="J58" s="11" t="s">
        <v>1103</v>
      </c>
      <c r="K58" s="11" t="s">
        <v>168</v>
      </c>
      <c r="L58" s="11" t="s">
        <v>169</v>
      </c>
      <c r="M58" s="11" t="s">
        <v>1104</v>
      </c>
      <c r="N58" s="11" t="s">
        <v>1105</v>
      </c>
      <c r="O58" s="11" t="s">
        <v>118</v>
      </c>
      <c r="P58" s="11" t="s">
        <v>987</v>
      </c>
      <c r="Q58" s="11" t="s">
        <v>1107</v>
      </c>
      <c r="R58" s="11" t="s">
        <v>54</v>
      </c>
      <c r="S58" s="12">
        <v>7.2</v>
      </c>
      <c r="T58" s="12">
        <v>7.2</v>
      </c>
      <c r="U58" s="11" t="s">
        <v>101</v>
      </c>
      <c r="V58" s="11" t="s">
        <v>997</v>
      </c>
      <c r="W58" s="11" t="s">
        <v>971</v>
      </c>
      <c r="X58" s="11" t="s">
        <v>1106</v>
      </c>
      <c r="Y58" s="11" t="s">
        <v>1108</v>
      </c>
      <c r="Z58" s="11" t="s">
        <v>71</v>
      </c>
      <c r="AA58" s="11" t="s">
        <v>1076</v>
      </c>
      <c r="AB58" s="13">
        <v>1</v>
      </c>
      <c r="AC58" s="11" t="s">
        <v>1499</v>
      </c>
      <c r="AD58" s="11"/>
      <c r="AE58" s="11"/>
      <c r="AF58" s="14">
        <v>46203</v>
      </c>
      <c r="AG58" s="11" t="s">
        <v>1098</v>
      </c>
      <c r="AH58" s="11"/>
    </row>
    <row r="59" spans="1:34" ht="17.25" customHeight="1" x14ac:dyDescent="0.25">
      <c r="A59" s="11" t="s">
        <v>61</v>
      </c>
      <c r="B59" s="11" t="s">
        <v>62</v>
      </c>
      <c r="C59" s="11"/>
      <c r="D59" s="11" t="s">
        <v>1254</v>
      </c>
      <c r="E59" s="11" t="s">
        <v>109</v>
      </c>
      <c r="F59" s="11"/>
      <c r="G59" s="11" t="s">
        <v>111</v>
      </c>
      <c r="H59" s="11" t="s">
        <v>112</v>
      </c>
      <c r="I59" s="11" t="s">
        <v>113</v>
      </c>
      <c r="J59" s="11"/>
      <c r="K59" s="11" t="s">
        <v>114</v>
      </c>
      <c r="L59" s="11" t="s">
        <v>115</v>
      </c>
      <c r="M59" s="11" t="s">
        <v>1255</v>
      </c>
      <c r="N59" s="11" t="s">
        <v>1256</v>
      </c>
      <c r="O59" s="11" t="s">
        <v>118</v>
      </c>
      <c r="P59" s="11" t="s">
        <v>1252</v>
      </c>
      <c r="Q59" s="11" t="s">
        <v>242</v>
      </c>
      <c r="R59" s="11" t="s">
        <v>54</v>
      </c>
      <c r="S59" s="12">
        <v>10.92</v>
      </c>
      <c r="T59" s="12">
        <v>928.2</v>
      </c>
      <c r="U59" s="11" t="s">
        <v>101</v>
      </c>
      <c r="V59" s="11" t="s">
        <v>1250</v>
      </c>
      <c r="W59" s="11" t="s">
        <v>1251</v>
      </c>
      <c r="X59" s="11" t="s">
        <v>241</v>
      </c>
      <c r="Y59" s="11" t="s">
        <v>243</v>
      </c>
      <c r="Z59" s="11" t="s">
        <v>71</v>
      </c>
      <c r="AA59" s="11"/>
      <c r="AB59" s="13">
        <v>85</v>
      </c>
      <c r="AC59" s="11" t="s">
        <v>1500</v>
      </c>
      <c r="AD59" s="11"/>
      <c r="AE59" s="11"/>
      <c r="AF59" s="14">
        <v>46203</v>
      </c>
      <c r="AG59" s="11" t="s">
        <v>1248</v>
      </c>
      <c r="AH59" s="11" t="s">
        <v>1253</v>
      </c>
    </row>
    <row r="60" spans="1:34" ht="17.25" customHeight="1" x14ac:dyDescent="0.25">
      <c r="A60" s="11" t="s">
        <v>61</v>
      </c>
      <c r="B60" s="11" t="s">
        <v>62</v>
      </c>
      <c r="C60" s="11"/>
      <c r="D60" s="11" t="s">
        <v>1254</v>
      </c>
      <c r="E60" s="11" t="s">
        <v>109</v>
      </c>
      <c r="F60" s="11"/>
      <c r="G60" s="11" t="s">
        <v>111</v>
      </c>
      <c r="H60" s="11" t="s">
        <v>112</v>
      </c>
      <c r="I60" s="11" t="s">
        <v>113</v>
      </c>
      <c r="J60" s="11"/>
      <c r="K60" s="11" t="s">
        <v>114</v>
      </c>
      <c r="L60" s="11" t="s">
        <v>115</v>
      </c>
      <c r="M60" s="11" t="s">
        <v>1255</v>
      </c>
      <c r="N60" s="11" t="s">
        <v>1256</v>
      </c>
      <c r="O60" s="11" t="s">
        <v>118</v>
      </c>
      <c r="P60" s="11" t="s">
        <v>1252</v>
      </c>
      <c r="Q60" s="11" t="s">
        <v>296</v>
      </c>
      <c r="R60" s="11" t="s">
        <v>54</v>
      </c>
      <c r="S60" s="12">
        <v>10.92</v>
      </c>
      <c r="T60" s="12">
        <v>928.2</v>
      </c>
      <c r="U60" s="11" t="s">
        <v>101</v>
      </c>
      <c r="V60" s="11" t="s">
        <v>1250</v>
      </c>
      <c r="W60" s="11" t="s">
        <v>1251</v>
      </c>
      <c r="X60" s="11" t="s">
        <v>295</v>
      </c>
      <c r="Y60" s="11" t="s">
        <v>297</v>
      </c>
      <c r="Z60" s="11" t="s">
        <v>71</v>
      </c>
      <c r="AA60" s="11"/>
      <c r="AB60" s="13">
        <v>85</v>
      </c>
      <c r="AC60" s="11" t="s">
        <v>1500</v>
      </c>
      <c r="AD60" s="11"/>
      <c r="AE60" s="11"/>
      <c r="AF60" s="14">
        <v>46203</v>
      </c>
      <c r="AG60" s="11" t="s">
        <v>1248</v>
      </c>
      <c r="AH60" s="11" t="s">
        <v>1253</v>
      </c>
    </row>
    <row r="61" spans="1:34" ht="17.25" customHeight="1" x14ac:dyDescent="0.25">
      <c r="A61" s="11" t="s">
        <v>61</v>
      </c>
      <c r="B61" s="11" t="s">
        <v>62</v>
      </c>
      <c r="C61" s="11"/>
      <c r="D61" s="11" t="s">
        <v>1254</v>
      </c>
      <c r="E61" s="11" t="s">
        <v>109</v>
      </c>
      <c r="F61" s="11"/>
      <c r="G61" s="11" t="s">
        <v>111</v>
      </c>
      <c r="H61" s="11" t="s">
        <v>112</v>
      </c>
      <c r="I61" s="11" t="s">
        <v>113</v>
      </c>
      <c r="J61" s="11"/>
      <c r="K61" s="11" t="s">
        <v>114</v>
      </c>
      <c r="L61" s="11" t="s">
        <v>115</v>
      </c>
      <c r="M61" s="11" t="s">
        <v>1255</v>
      </c>
      <c r="N61" s="11" t="s">
        <v>1256</v>
      </c>
      <c r="O61" s="11" t="s">
        <v>118</v>
      </c>
      <c r="P61" s="11" t="s">
        <v>1252</v>
      </c>
      <c r="Q61" s="11" t="s">
        <v>141</v>
      </c>
      <c r="R61" s="11" t="s">
        <v>54</v>
      </c>
      <c r="S61" s="12">
        <v>10.92</v>
      </c>
      <c r="T61" s="12">
        <v>1856.4</v>
      </c>
      <c r="U61" s="11" t="s">
        <v>101</v>
      </c>
      <c r="V61" s="11" t="s">
        <v>1250</v>
      </c>
      <c r="W61" s="11" t="s">
        <v>1251</v>
      </c>
      <c r="X61" s="11" t="s">
        <v>140</v>
      </c>
      <c r="Y61" s="11" t="s">
        <v>142</v>
      </c>
      <c r="Z61" s="11" t="s">
        <v>71</v>
      </c>
      <c r="AA61" s="11"/>
      <c r="AB61" s="13">
        <v>170</v>
      </c>
      <c r="AC61" s="11" t="s">
        <v>1500</v>
      </c>
      <c r="AD61" s="11"/>
      <c r="AE61" s="11"/>
      <c r="AF61" s="14">
        <v>46203</v>
      </c>
      <c r="AG61" s="11" t="s">
        <v>1248</v>
      </c>
      <c r="AH61" s="11" t="s">
        <v>1253</v>
      </c>
    </row>
    <row r="62" spans="1:34" ht="17.25" customHeight="1" x14ac:dyDescent="0.25">
      <c r="A62" s="11" t="s">
        <v>61</v>
      </c>
      <c r="B62" s="11" t="s">
        <v>62</v>
      </c>
      <c r="C62" s="11"/>
      <c r="D62" s="11" t="s">
        <v>1254</v>
      </c>
      <c r="E62" s="11" t="s">
        <v>109</v>
      </c>
      <c r="F62" s="11"/>
      <c r="G62" s="11" t="s">
        <v>111</v>
      </c>
      <c r="H62" s="11" t="s">
        <v>112</v>
      </c>
      <c r="I62" s="11" t="s">
        <v>113</v>
      </c>
      <c r="J62" s="11"/>
      <c r="K62" s="11" t="s">
        <v>114</v>
      </c>
      <c r="L62" s="11" t="s">
        <v>115</v>
      </c>
      <c r="M62" s="11" t="s">
        <v>1255</v>
      </c>
      <c r="N62" s="11" t="s">
        <v>1256</v>
      </c>
      <c r="O62" s="11" t="s">
        <v>118</v>
      </c>
      <c r="P62" s="11" t="s">
        <v>1252</v>
      </c>
      <c r="Q62" s="11" t="s">
        <v>146</v>
      </c>
      <c r="R62" s="11" t="s">
        <v>54</v>
      </c>
      <c r="S62" s="12">
        <v>18.2</v>
      </c>
      <c r="T62" s="12">
        <v>1310.3999999999999</v>
      </c>
      <c r="U62" s="11" t="s">
        <v>101</v>
      </c>
      <c r="V62" s="11" t="s">
        <v>1250</v>
      </c>
      <c r="W62" s="11" t="s">
        <v>1251</v>
      </c>
      <c r="X62" s="11" t="s">
        <v>145</v>
      </c>
      <c r="Y62" s="11" t="s">
        <v>147</v>
      </c>
      <c r="Z62" s="11" t="s">
        <v>71</v>
      </c>
      <c r="AA62" s="11"/>
      <c r="AB62" s="13">
        <v>72</v>
      </c>
      <c r="AC62" s="11" t="s">
        <v>1500</v>
      </c>
      <c r="AD62" s="11"/>
      <c r="AE62" s="11"/>
      <c r="AF62" s="14">
        <v>46203</v>
      </c>
      <c r="AG62" s="11" t="s">
        <v>1248</v>
      </c>
      <c r="AH62" s="11" t="s">
        <v>1253</v>
      </c>
    </row>
    <row r="63" spans="1:34" ht="17.25" customHeight="1" x14ac:dyDescent="0.25">
      <c r="A63" s="11" t="s">
        <v>61</v>
      </c>
      <c r="B63" s="11" t="s">
        <v>62</v>
      </c>
      <c r="C63" s="11"/>
      <c r="D63" s="11" t="s">
        <v>1254</v>
      </c>
      <c r="E63" s="11" t="s">
        <v>109</v>
      </c>
      <c r="F63" s="11"/>
      <c r="G63" s="11" t="s">
        <v>111</v>
      </c>
      <c r="H63" s="11" t="s">
        <v>112</v>
      </c>
      <c r="I63" s="11" t="s">
        <v>113</v>
      </c>
      <c r="J63" s="11"/>
      <c r="K63" s="11" t="s">
        <v>114</v>
      </c>
      <c r="L63" s="11" t="s">
        <v>115</v>
      </c>
      <c r="M63" s="11" t="s">
        <v>1255</v>
      </c>
      <c r="N63" s="11" t="s">
        <v>1256</v>
      </c>
      <c r="O63" s="11" t="s">
        <v>118</v>
      </c>
      <c r="P63" s="11" t="s">
        <v>1252</v>
      </c>
      <c r="Q63" s="11" t="s">
        <v>426</v>
      </c>
      <c r="R63" s="11" t="s">
        <v>428</v>
      </c>
      <c r="S63" s="12">
        <v>25</v>
      </c>
      <c r="T63" s="12">
        <v>375</v>
      </c>
      <c r="U63" s="11" t="s">
        <v>101</v>
      </c>
      <c r="V63" s="11" t="s">
        <v>1250</v>
      </c>
      <c r="W63" s="11" t="s">
        <v>1251</v>
      </c>
      <c r="X63" s="11" t="s">
        <v>425</v>
      </c>
      <c r="Y63" s="11" t="s">
        <v>427</v>
      </c>
      <c r="Z63" s="11" t="s">
        <v>71</v>
      </c>
      <c r="AA63" s="11"/>
      <c r="AB63" s="13">
        <v>15</v>
      </c>
      <c r="AC63" s="11" t="s">
        <v>1500</v>
      </c>
      <c r="AD63" s="11"/>
      <c r="AE63" s="11"/>
      <c r="AF63" s="14">
        <v>46203</v>
      </c>
      <c r="AG63" s="11" t="s">
        <v>1248</v>
      </c>
      <c r="AH63" s="11" t="s">
        <v>1253</v>
      </c>
    </row>
    <row r="64" spans="1:34" ht="17.25" customHeight="1" x14ac:dyDescent="0.25">
      <c r="A64" s="11" t="s">
        <v>61</v>
      </c>
      <c r="B64" s="11" t="s">
        <v>62</v>
      </c>
      <c r="C64" s="11"/>
      <c r="D64" s="11" t="s">
        <v>1254</v>
      </c>
      <c r="E64" s="11" t="s">
        <v>109</v>
      </c>
      <c r="F64" s="11"/>
      <c r="G64" s="11" t="s">
        <v>111</v>
      </c>
      <c r="H64" s="11" t="s">
        <v>112</v>
      </c>
      <c r="I64" s="11" t="s">
        <v>113</v>
      </c>
      <c r="J64" s="11"/>
      <c r="K64" s="11" t="s">
        <v>114</v>
      </c>
      <c r="L64" s="11" t="s">
        <v>115</v>
      </c>
      <c r="M64" s="11" t="s">
        <v>1255</v>
      </c>
      <c r="N64" s="11" t="s">
        <v>1256</v>
      </c>
      <c r="O64" s="11" t="s">
        <v>118</v>
      </c>
      <c r="P64" s="11" t="s">
        <v>1252</v>
      </c>
      <c r="Q64" s="11" t="s">
        <v>432</v>
      </c>
      <c r="R64" s="11" t="s">
        <v>428</v>
      </c>
      <c r="S64" s="12">
        <v>25</v>
      </c>
      <c r="T64" s="12">
        <v>750</v>
      </c>
      <c r="U64" s="11" t="s">
        <v>101</v>
      </c>
      <c r="V64" s="11" t="s">
        <v>1250</v>
      </c>
      <c r="W64" s="11" t="s">
        <v>1251</v>
      </c>
      <c r="X64" s="11" t="s">
        <v>431</v>
      </c>
      <c r="Y64" s="11" t="s">
        <v>433</v>
      </c>
      <c r="Z64" s="11" t="s">
        <v>71</v>
      </c>
      <c r="AA64" s="11"/>
      <c r="AB64" s="13">
        <v>30</v>
      </c>
      <c r="AC64" s="11" t="s">
        <v>1500</v>
      </c>
      <c r="AD64" s="11"/>
      <c r="AE64" s="11"/>
      <c r="AF64" s="14">
        <v>46203</v>
      </c>
      <c r="AG64" s="11" t="s">
        <v>1248</v>
      </c>
      <c r="AH64" s="11" t="s">
        <v>1253</v>
      </c>
    </row>
    <row r="65" spans="1:34" ht="17.25" customHeight="1" x14ac:dyDescent="0.25">
      <c r="A65" s="11" t="s">
        <v>61</v>
      </c>
      <c r="B65" s="11" t="s">
        <v>62</v>
      </c>
      <c r="C65" s="11"/>
      <c r="D65" s="11" t="s">
        <v>1259</v>
      </c>
      <c r="E65" s="11" t="s">
        <v>109</v>
      </c>
      <c r="F65" s="11"/>
      <c r="G65" s="11" t="s">
        <v>111</v>
      </c>
      <c r="H65" s="11" t="s">
        <v>112</v>
      </c>
      <c r="I65" s="11" t="s">
        <v>113</v>
      </c>
      <c r="J65" s="11" t="s">
        <v>98</v>
      </c>
      <c r="K65" s="11" t="s">
        <v>114</v>
      </c>
      <c r="L65" s="11" t="s">
        <v>115</v>
      </c>
      <c r="M65" s="11" t="s">
        <v>1260</v>
      </c>
      <c r="N65" s="11" t="s">
        <v>1261</v>
      </c>
      <c r="O65" s="11" t="s">
        <v>118</v>
      </c>
      <c r="P65" s="11" t="s">
        <v>1252</v>
      </c>
      <c r="Q65" s="11" t="s">
        <v>242</v>
      </c>
      <c r="R65" s="11" t="s">
        <v>54</v>
      </c>
      <c r="S65" s="12">
        <v>10.92</v>
      </c>
      <c r="T65" s="12">
        <v>928.2</v>
      </c>
      <c r="U65" s="11" t="s">
        <v>101</v>
      </c>
      <c r="V65" s="11" t="s">
        <v>1250</v>
      </c>
      <c r="W65" s="11" t="s">
        <v>1251</v>
      </c>
      <c r="X65" s="11" t="s">
        <v>241</v>
      </c>
      <c r="Y65" s="11" t="s">
        <v>243</v>
      </c>
      <c r="Z65" s="11" t="s">
        <v>71</v>
      </c>
      <c r="AA65" s="11"/>
      <c r="AB65" s="13">
        <v>85</v>
      </c>
      <c r="AC65" s="11" t="s">
        <v>1500</v>
      </c>
      <c r="AD65" s="11"/>
      <c r="AE65" s="11"/>
      <c r="AF65" s="14">
        <v>46203</v>
      </c>
      <c r="AG65" s="11" t="s">
        <v>1258</v>
      </c>
      <c r="AH65" s="11" t="s">
        <v>1253</v>
      </c>
    </row>
    <row r="66" spans="1:34" ht="17.25" customHeight="1" x14ac:dyDescent="0.25">
      <c r="A66" s="11" t="s">
        <v>269</v>
      </c>
      <c r="B66" s="11" t="s">
        <v>744</v>
      </c>
      <c r="C66" s="11"/>
      <c r="D66" s="11" t="s">
        <v>743</v>
      </c>
      <c r="E66" s="11" t="s">
        <v>59</v>
      </c>
      <c r="F66" s="11"/>
      <c r="G66" s="11" t="s">
        <v>63</v>
      </c>
      <c r="H66" s="11" t="s">
        <v>64</v>
      </c>
      <c r="I66" s="11" t="s">
        <v>65</v>
      </c>
      <c r="J66" s="11" t="s">
        <v>745</v>
      </c>
      <c r="K66" s="11" t="s">
        <v>66</v>
      </c>
      <c r="L66" s="11" t="s">
        <v>67</v>
      </c>
      <c r="M66" s="11" t="s">
        <v>746</v>
      </c>
      <c r="N66" s="11" t="s">
        <v>747</v>
      </c>
      <c r="O66" s="11" t="s">
        <v>70</v>
      </c>
      <c r="P66" s="11" t="s">
        <v>736</v>
      </c>
      <c r="Q66" s="11" t="s">
        <v>738</v>
      </c>
      <c r="R66" s="11" t="s">
        <v>280</v>
      </c>
      <c r="S66" s="12">
        <v>18</v>
      </c>
      <c r="T66" s="12">
        <v>90.000000000000057</v>
      </c>
      <c r="U66" s="11"/>
      <c r="V66" s="11" t="s">
        <v>734</v>
      </c>
      <c r="W66" s="11" t="s">
        <v>735</v>
      </c>
      <c r="X66" s="11" t="s">
        <v>737</v>
      </c>
      <c r="Y66" s="11" t="s">
        <v>739</v>
      </c>
      <c r="Z66" s="11" t="s">
        <v>71</v>
      </c>
      <c r="AA66" s="11"/>
      <c r="AB66" s="13">
        <v>0.09</v>
      </c>
      <c r="AC66" s="11" t="s">
        <v>1501</v>
      </c>
      <c r="AD66" s="11"/>
      <c r="AE66" s="11"/>
      <c r="AF66" s="14">
        <v>46203</v>
      </c>
      <c r="AG66" s="11" t="s">
        <v>732</v>
      </c>
      <c r="AH66" s="11" t="s">
        <v>742</v>
      </c>
    </row>
    <row r="67" spans="1:34" ht="17.25" customHeight="1" x14ac:dyDescent="0.25">
      <c r="A67" s="11" t="s">
        <v>269</v>
      </c>
      <c r="B67" s="11" t="s">
        <v>744</v>
      </c>
      <c r="C67" s="11"/>
      <c r="D67" s="11" t="s">
        <v>752</v>
      </c>
      <c r="E67" s="11" t="s">
        <v>283</v>
      </c>
      <c r="F67" s="11"/>
      <c r="G67" s="11" t="s">
        <v>285</v>
      </c>
      <c r="H67" s="11" t="s">
        <v>112</v>
      </c>
      <c r="I67" s="11" t="s">
        <v>272</v>
      </c>
      <c r="J67" s="11" t="s">
        <v>753</v>
      </c>
      <c r="K67" s="11" t="s">
        <v>114</v>
      </c>
      <c r="L67" s="11" t="s">
        <v>115</v>
      </c>
      <c r="M67" s="11" t="s">
        <v>754</v>
      </c>
      <c r="N67" s="11" t="s">
        <v>755</v>
      </c>
      <c r="O67" s="11" t="s">
        <v>118</v>
      </c>
      <c r="P67" s="11" t="s">
        <v>736</v>
      </c>
      <c r="Q67" s="11" t="s">
        <v>171</v>
      </c>
      <c r="R67" s="11" t="s">
        <v>280</v>
      </c>
      <c r="S67" s="12">
        <v>25</v>
      </c>
      <c r="T67" s="12">
        <v>500</v>
      </c>
      <c r="U67" s="11" t="s">
        <v>101</v>
      </c>
      <c r="V67" s="11" t="s">
        <v>734</v>
      </c>
      <c r="W67" s="11" t="s">
        <v>735</v>
      </c>
      <c r="X67" s="11" t="s">
        <v>170</v>
      </c>
      <c r="Y67" s="11" t="s">
        <v>172</v>
      </c>
      <c r="Z67" s="11" t="s">
        <v>71</v>
      </c>
      <c r="AA67" s="11"/>
      <c r="AB67" s="13">
        <v>0.5</v>
      </c>
      <c r="AC67" s="11" t="s">
        <v>1501</v>
      </c>
      <c r="AD67" s="11"/>
      <c r="AE67" s="11"/>
      <c r="AF67" s="14">
        <v>46203</v>
      </c>
      <c r="AG67" s="11" t="s">
        <v>750</v>
      </c>
      <c r="AH67" s="11" t="s">
        <v>742</v>
      </c>
    </row>
    <row r="68" spans="1:34" ht="17.25" customHeight="1" x14ac:dyDescent="0.25">
      <c r="A68" s="11" t="s">
        <v>269</v>
      </c>
      <c r="B68" s="11" t="s">
        <v>744</v>
      </c>
      <c r="C68" s="11"/>
      <c r="D68" s="11" t="s">
        <v>752</v>
      </c>
      <c r="E68" s="11" t="s">
        <v>283</v>
      </c>
      <c r="F68" s="11"/>
      <c r="G68" s="11" t="s">
        <v>285</v>
      </c>
      <c r="H68" s="11" t="s">
        <v>112</v>
      </c>
      <c r="I68" s="11" t="s">
        <v>272</v>
      </c>
      <c r="J68" s="11" t="s">
        <v>753</v>
      </c>
      <c r="K68" s="11" t="s">
        <v>114</v>
      </c>
      <c r="L68" s="11" t="s">
        <v>115</v>
      </c>
      <c r="M68" s="11" t="s">
        <v>754</v>
      </c>
      <c r="N68" s="11" t="s">
        <v>755</v>
      </c>
      <c r="O68" s="11" t="s">
        <v>118</v>
      </c>
      <c r="P68" s="11" t="s">
        <v>736</v>
      </c>
      <c r="Q68" s="11" t="s">
        <v>182</v>
      </c>
      <c r="R68" s="11" t="s">
        <v>280</v>
      </c>
      <c r="S68" s="12">
        <v>18</v>
      </c>
      <c r="T68" s="12">
        <v>360.00000000000023</v>
      </c>
      <c r="U68" s="11" t="s">
        <v>101</v>
      </c>
      <c r="V68" s="11" t="s">
        <v>734</v>
      </c>
      <c r="W68" s="11" t="s">
        <v>735</v>
      </c>
      <c r="X68" s="11" t="s">
        <v>181</v>
      </c>
      <c r="Y68" s="11" t="s">
        <v>183</v>
      </c>
      <c r="Z68" s="11" t="s">
        <v>71</v>
      </c>
      <c r="AA68" s="11"/>
      <c r="AB68" s="13">
        <v>0.36</v>
      </c>
      <c r="AC68" s="11" t="s">
        <v>1501</v>
      </c>
      <c r="AD68" s="11"/>
      <c r="AE68" s="11"/>
      <c r="AF68" s="14">
        <v>46203</v>
      </c>
      <c r="AG68" s="11" t="s">
        <v>750</v>
      </c>
      <c r="AH68" s="11" t="s">
        <v>742</v>
      </c>
    </row>
    <row r="69" spans="1:34" ht="17.25" customHeight="1" x14ac:dyDescent="0.25">
      <c r="A69" s="11" t="s">
        <v>269</v>
      </c>
      <c r="B69" s="11" t="s">
        <v>744</v>
      </c>
      <c r="C69" s="11"/>
      <c r="D69" s="11" t="s">
        <v>752</v>
      </c>
      <c r="E69" s="11" t="s">
        <v>283</v>
      </c>
      <c r="F69" s="11"/>
      <c r="G69" s="11" t="s">
        <v>285</v>
      </c>
      <c r="H69" s="11" t="s">
        <v>112</v>
      </c>
      <c r="I69" s="11" t="s">
        <v>272</v>
      </c>
      <c r="J69" s="11" t="s">
        <v>753</v>
      </c>
      <c r="K69" s="11" t="s">
        <v>114</v>
      </c>
      <c r="L69" s="11" t="s">
        <v>115</v>
      </c>
      <c r="M69" s="11" t="s">
        <v>754</v>
      </c>
      <c r="N69" s="11" t="s">
        <v>755</v>
      </c>
      <c r="O69" s="11" t="s">
        <v>118</v>
      </c>
      <c r="P69" s="11" t="s">
        <v>736</v>
      </c>
      <c r="Q69" s="11" t="s">
        <v>175</v>
      </c>
      <c r="R69" s="11" t="s">
        <v>280</v>
      </c>
      <c r="S69" s="12">
        <v>18</v>
      </c>
      <c r="T69" s="12">
        <v>270.00000000000023</v>
      </c>
      <c r="U69" s="11" t="s">
        <v>101</v>
      </c>
      <c r="V69" s="11" t="s">
        <v>734</v>
      </c>
      <c r="W69" s="11" t="s">
        <v>735</v>
      </c>
      <c r="X69" s="11" t="s">
        <v>174</v>
      </c>
      <c r="Y69" s="11" t="s">
        <v>176</v>
      </c>
      <c r="Z69" s="11" t="s">
        <v>71</v>
      </c>
      <c r="AA69" s="11"/>
      <c r="AB69" s="13">
        <v>0.27</v>
      </c>
      <c r="AC69" s="11" t="s">
        <v>1501</v>
      </c>
      <c r="AD69" s="11"/>
      <c r="AE69" s="11"/>
      <c r="AF69" s="14">
        <v>46203</v>
      </c>
      <c r="AG69" s="11" t="s">
        <v>750</v>
      </c>
      <c r="AH69" s="11" t="s">
        <v>742</v>
      </c>
    </row>
    <row r="70" spans="1:34" ht="17.25" customHeight="1" x14ac:dyDescent="0.25">
      <c r="A70" s="11" t="s">
        <v>269</v>
      </c>
      <c r="B70" s="11" t="s">
        <v>744</v>
      </c>
      <c r="C70" s="11"/>
      <c r="D70" s="11" t="s">
        <v>752</v>
      </c>
      <c r="E70" s="11" t="s">
        <v>283</v>
      </c>
      <c r="F70" s="11"/>
      <c r="G70" s="11" t="s">
        <v>285</v>
      </c>
      <c r="H70" s="11" t="s">
        <v>112</v>
      </c>
      <c r="I70" s="11" t="s">
        <v>272</v>
      </c>
      <c r="J70" s="11" t="s">
        <v>753</v>
      </c>
      <c r="K70" s="11" t="s">
        <v>114</v>
      </c>
      <c r="L70" s="11" t="s">
        <v>115</v>
      </c>
      <c r="M70" s="11" t="s">
        <v>754</v>
      </c>
      <c r="N70" s="11" t="s">
        <v>755</v>
      </c>
      <c r="O70" s="11" t="s">
        <v>118</v>
      </c>
      <c r="P70" s="11" t="s">
        <v>736</v>
      </c>
      <c r="Q70" s="11" t="s">
        <v>761</v>
      </c>
      <c r="R70" s="11" t="s">
        <v>280</v>
      </c>
      <c r="S70" s="12">
        <v>20</v>
      </c>
      <c r="T70" s="12">
        <v>200</v>
      </c>
      <c r="U70" s="11" t="s">
        <v>101</v>
      </c>
      <c r="V70" s="11" t="s">
        <v>734</v>
      </c>
      <c r="W70" s="11" t="s">
        <v>735</v>
      </c>
      <c r="X70" s="11" t="s">
        <v>760</v>
      </c>
      <c r="Y70" s="11" t="s">
        <v>762</v>
      </c>
      <c r="Z70" s="11" t="s">
        <v>71</v>
      </c>
      <c r="AA70" s="11"/>
      <c r="AB70" s="13">
        <v>0.2</v>
      </c>
      <c r="AC70" s="11" t="s">
        <v>1501</v>
      </c>
      <c r="AD70" s="11"/>
      <c r="AE70" s="11"/>
      <c r="AF70" s="14">
        <v>46203</v>
      </c>
      <c r="AG70" s="11" t="s">
        <v>750</v>
      </c>
      <c r="AH70" s="11" t="s">
        <v>742</v>
      </c>
    </row>
    <row r="71" spans="1:34" ht="17.25" customHeight="1" x14ac:dyDescent="0.25">
      <c r="A71" s="11" t="s">
        <v>269</v>
      </c>
      <c r="B71" s="11" t="s">
        <v>744</v>
      </c>
      <c r="C71" s="11"/>
      <c r="D71" s="11" t="s">
        <v>766</v>
      </c>
      <c r="E71" s="11" t="s">
        <v>283</v>
      </c>
      <c r="F71" s="11"/>
      <c r="G71" s="11" t="s">
        <v>285</v>
      </c>
      <c r="H71" s="11" t="s">
        <v>112</v>
      </c>
      <c r="I71" s="11" t="s">
        <v>272</v>
      </c>
      <c r="J71" s="11"/>
      <c r="K71" s="11" t="s">
        <v>114</v>
      </c>
      <c r="L71" s="11" t="s">
        <v>115</v>
      </c>
      <c r="M71" s="11" t="s">
        <v>767</v>
      </c>
      <c r="N71" s="11"/>
      <c r="O71" s="11" t="s">
        <v>118</v>
      </c>
      <c r="P71" s="11" t="s">
        <v>736</v>
      </c>
      <c r="Q71" s="11" t="s">
        <v>175</v>
      </c>
      <c r="R71" s="11" t="s">
        <v>177</v>
      </c>
      <c r="S71" s="12">
        <v>18</v>
      </c>
      <c r="T71" s="12">
        <v>18</v>
      </c>
      <c r="U71" s="11" t="s">
        <v>101</v>
      </c>
      <c r="V71" s="11" t="s">
        <v>734</v>
      </c>
      <c r="W71" s="11" t="s">
        <v>735</v>
      </c>
      <c r="X71" s="11" t="s">
        <v>174</v>
      </c>
      <c r="Y71" s="11" t="s">
        <v>176</v>
      </c>
      <c r="Z71" s="11" t="s">
        <v>71</v>
      </c>
      <c r="AA71" s="11"/>
      <c r="AB71" s="13">
        <v>1</v>
      </c>
      <c r="AC71" s="11" t="s">
        <v>1501</v>
      </c>
      <c r="AD71" s="11"/>
      <c r="AE71" s="11"/>
      <c r="AF71" s="14">
        <v>46203</v>
      </c>
      <c r="AG71" s="11" t="s">
        <v>765</v>
      </c>
      <c r="AH71" s="11" t="s">
        <v>742</v>
      </c>
    </row>
    <row r="72" spans="1:34" ht="17.25" customHeight="1" x14ac:dyDescent="0.25">
      <c r="A72" s="11" t="s">
        <v>269</v>
      </c>
      <c r="B72" s="11" t="s">
        <v>744</v>
      </c>
      <c r="C72" s="11"/>
      <c r="D72" s="11" t="s">
        <v>766</v>
      </c>
      <c r="E72" s="11" t="s">
        <v>283</v>
      </c>
      <c r="F72" s="11"/>
      <c r="G72" s="11" t="s">
        <v>285</v>
      </c>
      <c r="H72" s="11" t="s">
        <v>112</v>
      </c>
      <c r="I72" s="11" t="s">
        <v>272</v>
      </c>
      <c r="J72" s="11"/>
      <c r="K72" s="11" t="s">
        <v>114</v>
      </c>
      <c r="L72" s="11" t="s">
        <v>115</v>
      </c>
      <c r="M72" s="11" t="s">
        <v>767</v>
      </c>
      <c r="N72" s="11"/>
      <c r="O72" s="11" t="s">
        <v>118</v>
      </c>
      <c r="P72" s="11" t="s">
        <v>736</v>
      </c>
      <c r="Q72" s="11" t="s">
        <v>182</v>
      </c>
      <c r="R72" s="11" t="s">
        <v>177</v>
      </c>
      <c r="S72" s="12">
        <v>18</v>
      </c>
      <c r="T72" s="12">
        <v>18</v>
      </c>
      <c r="U72" s="11" t="s">
        <v>101</v>
      </c>
      <c r="V72" s="11" t="s">
        <v>734</v>
      </c>
      <c r="W72" s="11" t="s">
        <v>735</v>
      </c>
      <c r="X72" s="11" t="s">
        <v>181</v>
      </c>
      <c r="Y72" s="11" t="s">
        <v>183</v>
      </c>
      <c r="Z72" s="11" t="s">
        <v>71</v>
      </c>
      <c r="AA72" s="11"/>
      <c r="AB72" s="13">
        <v>1</v>
      </c>
      <c r="AC72" s="11" t="s">
        <v>1501</v>
      </c>
      <c r="AD72" s="11"/>
      <c r="AE72" s="11"/>
      <c r="AF72" s="14">
        <v>46203</v>
      </c>
      <c r="AG72" s="11" t="s">
        <v>765</v>
      </c>
      <c r="AH72" s="11" t="s">
        <v>742</v>
      </c>
    </row>
    <row r="73" spans="1:34" ht="17.25" customHeight="1" x14ac:dyDescent="0.25">
      <c r="A73" s="11" t="s">
        <v>61</v>
      </c>
      <c r="B73" s="11" t="s">
        <v>522</v>
      </c>
      <c r="C73" s="11"/>
      <c r="D73" s="11" t="s">
        <v>1191</v>
      </c>
      <c r="E73" s="11" t="s">
        <v>977</v>
      </c>
      <c r="F73" s="11"/>
      <c r="G73" s="11" t="s">
        <v>979</v>
      </c>
      <c r="H73" s="11" t="s">
        <v>980</v>
      </c>
      <c r="I73" s="11" t="s">
        <v>980</v>
      </c>
      <c r="J73" s="11" t="s">
        <v>1159</v>
      </c>
      <c r="K73" s="11" t="s">
        <v>373</v>
      </c>
      <c r="L73" s="11" t="s">
        <v>374</v>
      </c>
      <c r="M73" s="11" t="s">
        <v>1192</v>
      </c>
      <c r="N73" s="11" t="s">
        <v>1193</v>
      </c>
      <c r="O73" s="11" t="s">
        <v>118</v>
      </c>
      <c r="P73" s="11" t="s">
        <v>1156</v>
      </c>
      <c r="Q73" s="11" t="s">
        <v>628</v>
      </c>
      <c r="R73" s="11" t="s">
        <v>54</v>
      </c>
      <c r="S73" s="12">
        <v>3.6</v>
      </c>
      <c r="T73" s="12">
        <v>18</v>
      </c>
      <c r="U73" s="11" t="s">
        <v>363</v>
      </c>
      <c r="V73" s="11" t="s">
        <v>1189</v>
      </c>
      <c r="W73" s="11" t="s">
        <v>1155</v>
      </c>
      <c r="X73" s="11" t="s">
        <v>627</v>
      </c>
      <c r="Y73" s="11" t="s">
        <v>629</v>
      </c>
      <c r="Z73" s="11" t="s">
        <v>71</v>
      </c>
      <c r="AA73" s="11" t="s">
        <v>1190</v>
      </c>
      <c r="AB73" s="13">
        <v>5</v>
      </c>
      <c r="AC73" s="11" t="s">
        <v>1502</v>
      </c>
      <c r="AD73" s="11"/>
      <c r="AE73" s="11"/>
      <c r="AF73" s="14">
        <v>46203</v>
      </c>
      <c r="AG73" s="11" t="s">
        <v>1188</v>
      </c>
      <c r="AH73" s="11"/>
    </row>
    <row r="74" spans="1:34" ht="17.25" customHeight="1" x14ac:dyDescent="0.25">
      <c r="A74" s="11" t="s">
        <v>61</v>
      </c>
      <c r="B74" s="11" t="s">
        <v>522</v>
      </c>
      <c r="C74" s="11"/>
      <c r="D74" s="11" t="s">
        <v>1198</v>
      </c>
      <c r="E74" s="11" t="s">
        <v>977</v>
      </c>
      <c r="F74" s="11"/>
      <c r="G74" s="11" t="s">
        <v>979</v>
      </c>
      <c r="H74" s="11" t="s">
        <v>980</v>
      </c>
      <c r="I74" s="11" t="s">
        <v>980</v>
      </c>
      <c r="J74" s="11" t="s">
        <v>1184</v>
      </c>
      <c r="K74" s="11" t="s">
        <v>373</v>
      </c>
      <c r="L74" s="11" t="s">
        <v>374</v>
      </c>
      <c r="M74" s="11" t="s">
        <v>1199</v>
      </c>
      <c r="N74" s="11" t="s">
        <v>1200</v>
      </c>
      <c r="O74" s="11" t="s">
        <v>118</v>
      </c>
      <c r="P74" s="11" t="s">
        <v>1156</v>
      </c>
      <c r="Q74" s="11" t="s">
        <v>1196</v>
      </c>
      <c r="R74" s="11" t="s">
        <v>54</v>
      </c>
      <c r="S74" s="12">
        <v>4.8</v>
      </c>
      <c r="T74" s="12">
        <v>24</v>
      </c>
      <c r="U74" s="11" t="s">
        <v>363</v>
      </c>
      <c r="V74" s="11" t="s">
        <v>1189</v>
      </c>
      <c r="W74" s="11" t="s">
        <v>1155</v>
      </c>
      <c r="X74" s="11" t="s">
        <v>1195</v>
      </c>
      <c r="Y74" s="11" t="s">
        <v>1197</v>
      </c>
      <c r="Z74" s="11" t="s">
        <v>71</v>
      </c>
      <c r="AA74" s="11" t="s">
        <v>1190</v>
      </c>
      <c r="AB74" s="13">
        <v>5</v>
      </c>
      <c r="AC74" s="11" t="s">
        <v>1502</v>
      </c>
      <c r="AD74" s="11"/>
      <c r="AE74" s="11"/>
      <c r="AF74" s="14">
        <v>46203</v>
      </c>
      <c r="AG74" s="11" t="s">
        <v>1194</v>
      </c>
      <c r="AH74" s="11"/>
    </row>
    <row r="75" spans="1:34" ht="17.25" customHeight="1" x14ac:dyDescent="0.25">
      <c r="A75" s="11" t="s">
        <v>61</v>
      </c>
      <c r="B75" s="11" t="s">
        <v>522</v>
      </c>
      <c r="C75" s="11"/>
      <c r="D75" s="11" t="s">
        <v>1198</v>
      </c>
      <c r="E75" s="11" t="s">
        <v>977</v>
      </c>
      <c r="F75" s="11"/>
      <c r="G75" s="11" t="s">
        <v>979</v>
      </c>
      <c r="H75" s="11" t="s">
        <v>980</v>
      </c>
      <c r="I75" s="11" t="s">
        <v>980</v>
      </c>
      <c r="J75" s="11" t="s">
        <v>1184</v>
      </c>
      <c r="K75" s="11" t="s">
        <v>373</v>
      </c>
      <c r="L75" s="11" t="s">
        <v>374</v>
      </c>
      <c r="M75" s="11" t="s">
        <v>1199</v>
      </c>
      <c r="N75" s="11" t="s">
        <v>1200</v>
      </c>
      <c r="O75" s="11" t="s">
        <v>118</v>
      </c>
      <c r="P75" s="11" t="s">
        <v>1156</v>
      </c>
      <c r="Q75" s="11" t="s">
        <v>1202</v>
      </c>
      <c r="R75" s="11" t="s">
        <v>54</v>
      </c>
      <c r="S75" s="12">
        <v>4.8</v>
      </c>
      <c r="T75" s="12">
        <v>24</v>
      </c>
      <c r="U75" s="11" t="s">
        <v>363</v>
      </c>
      <c r="V75" s="11" t="s">
        <v>1189</v>
      </c>
      <c r="W75" s="11" t="s">
        <v>1155</v>
      </c>
      <c r="X75" s="11" t="s">
        <v>1201</v>
      </c>
      <c r="Y75" s="11" t="s">
        <v>1203</v>
      </c>
      <c r="Z75" s="11" t="s">
        <v>71</v>
      </c>
      <c r="AA75" s="11" t="s">
        <v>1190</v>
      </c>
      <c r="AB75" s="13">
        <v>5</v>
      </c>
      <c r="AC75" s="11" t="s">
        <v>1502</v>
      </c>
      <c r="AD75" s="11"/>
      <c r="AE75" s="11"/>
      <c r="AF75" s="14">
        <v>46203</v>
      </c>
      <c r="AG75" s="11" t="s">
        <v>1194</v>
      </c>
      <c r="AH75" s="11"/>
    </row>
    <row r="76" spans="1:34" ht="17.25" customHeight="1" x14ac:dyDescent="0.25">
      <c r="A76" s="11" t="s">
        <v>61</v>
      </c>
      <c r="B76" s="11" t="s">
        <v>522</v>
      </c>
      <c r="C76" s="11"/>
      <c r="D76" s="11" t="s">
        <v>1198</v>
      </c>
      <c r="E76" s="11" t="s">
        <v>977</v>
      </c>
      <c r="F76" s="11"/>
      <c r="G76" s="11" t="s">
        <v>979</v>
      </c>
      <c r="H76" s="11" t="s">
        <v>980</v>
      </c>
      <c r="I76" s="11" t="s">
        <v>980</v>
      </c>
      <c r="J76" s="11" t="s">
        <v>1184</v>
      </c>
      <c r="K76" s="11" t="s">
        <v>373</v>
      </c>
      <c r="L76" s="11" t="s">
        <v>374</v>
      </c>
      <c r="M76" s="11" t="s">
        <v>1199</v>
      </c>
      <c r="N76" s="11" t="s">
        <v>1200</v>
      </c>
      <c r="O76" s="11" t="s">
        <v>118</v>
      </c>
      <c r="P76" s="11" t="s">
        <v>1156</v>
      </c>
      <c r="Q76" s="11" t="s">
        <v>1205</v>
      </c>
      <c r="R76" s="11" t="s">
        <v>54</v>
      </c>
      <c r="S76" s="12">
        <v>4.8</v>
      </c>
      <c r="T76" s="12">
        <v>14.399999999999999</v>
      </c>
      <c r="U76" s="11" t="s">
        <v>363</v>
      </c>
      <c r="V76" s="11" t="s">
        <v>1189</v>
      </c>
      <c r="W76" s="11" t="s">
        <v>1155</v>
      </c>
      <c r="X76" s="11" t="s">
        <v>1204</v>
      </c>
      <c r="Y76" s="11" t="s">
        <v>1206</v>
      </c>
      <c r="Z76" s="11" t="s">
        <v>71</v>
      </c>
      <c r="AA76" s="11" t="s">
        <v>1190</v>
      </c>
      <c r="AB76" s="13">
        <v>3</v>
      </c>
      <c r="AC76" s="11" t="s">
        <v>1502</v>
      </c>
      <c r="AD76" s="11"/>
      <c r="AE76" s="11"/>
      <c r="AF76" s="14">
        <v>46203</v>
      </c>
      <c r="AG76" s="11" t="s">
        <v>1194</v>
      </c>
      <c r="AH76" s="11"/>
    </row>
    <row r="77" spans="1:34" ht="17.25" customHeight="1" x14ac:dyDescent="0.25">
      <c r="A77" s="11" t="s">
        <v>61</v>
      </c>
      <c r="B77" s="11" t="s">
        <v>522</v>
      </c>
      <c r="C77" s="11"/>
      <c r="D77" s="11" t="s">
        <v>1125</v>
      </c>
      <c r="E77" s="11" t="s">
        <v>977</v>
      </c>
      <c r="F77" s="11"/>
      <c r="G77" s="11" t="s">
        <v>979</v>
      </c>
      <c r="H77" s="11" t="s">
        <v>1126</v>
      </c>
      <c r="I77" s="11" t="s">
        <v>1126</v>
      </c>
      <c r="J77" s="11" t="s">
        <v>1127</v>
      </c>
      <c r="K77" s="11" t="s">
        <v>190</v>
      </c>
      <c r="L77" s="11" t="s">
        <v>191</v>
      </c>
      <c r="M77" s="11" t="s">
        <v>1128</v>
      </c>
      <c r="N77" s="11" t="s">
        <v>1129</v>
      </c>
      <c r="O77" s="11" t="s">
        <v>118</v>
      </c>
      <c r="P77" s="11" t="s">
        <v>972</v>
      </c>
      <c r="Q77" s="11" t="s">
        <v>1122</v>
      </c>
      <c r="R77" s="11" t="s">
        <v>54</v>
      </c>
      <c r="S77" s="12">
        <v>12</v>
      </c>
      <c r="T77" s="12">
        <v>24</v>
      </c>
      <c r="U77" s="11" t="s">
        <v>101</v>
      </c>
      <c r="V77" s="11" t="s">
        <v>1047</v>
      </c>
      <c r="W77" s="11" t="s">
        <v>971</v>
      </c>
      <c r="X77" s="11" t="s">
        <v>1121</v>
      </c>
      <c r="Y77" s="11" t="s">
        <v>1123</v>
      </c>
      <c r="Z77" s="11" t="s">
        <v>71</v>
      </c>
      <c r="AA77" s="11" t="s">
        <v>1124</v>
      </c>
      <c r="AB77" s="13">
        <v>2</v>
      </c>
      <c r="AC77" s="11" t="s">
        <v>1503</v>
      </c>
      <c r="AD77" s="11"/>
      <c r="AE77" s="11"/>
      <c r="AF77" s="14">
        <v>46203</v>
      </c>
      <c r="AG77" s="11" t="s">
        <v>1119</v>
      </c>
      <c r="AH77" s="11"/>
    </row>
    <row r="78" spans="1:34" ht="17.25" customHeight="1" x14ac:dyDescent="0.25">
      <c r="A78" s="11" t="s">
        <v>61</v>
      </c>
      <c r="B78" s="11" t="s">
        <v>522</v>
      </c>
      <c r="C78" s="11"/>
      <c r="D78" s="11" t="s">
        <v>1125</v>
      </c>
      <c r="E78" s="11" t="s">
        <v>977</v>
      </c>
      <c r="F78" s="11"/>
      <c r="G78" s="11" t="s">
        <v>979</v>
      </c>
      <c r="H78" s="11" t="s">
        <v>1126</v>
      </c>
      <c r="I78" s="11" t="s">
        <v>1126</v>
      </c>
      <c r="J78" s="11" t="s">
        <v>1127</v>
      </c>
      <c r="K78" s="11" t="s">
        <v>190</v>
      </c>
      <c r="L78" s="11" t="s">
        <v>191</v>
      </c>
      <c r="M78" s="11" t="s">
        <v>1128</v>
      </c>
      <c r="N78" s="11" t="s">
        <v>1129</v>
      </c>
      <c r="O78" s="11" t="s">
        <v>118</v>
      </c>
      <c r="P78" s="11" t="s">
        <v>972</v>
      </c>
      <c r="Q78" s="11" t="s">
        <v>238</v>
      </c>
      <c r="R78" s="11" t="s">
        <v>54</v>
      </c>
      <c r="S78" s="12">
        <v>12.8</v>
      </c>
      <c r="T78" s="12">
        <v>1280</v>
      </c>
      <c r="U78" s="11" t="s">
        <v>101</v>
      </c>
      <c r="V78" s="11" t="s">
        <v>1047</v>
      </c>
      <c r="W78" s="11" t="s">
        <v>971</v>
      </c>
      <c r="X78" s="11" t="s">
        <v>237</v>
      </c>
      <c r="Y78" s="11" t="s">
        <v>239</v>
      </c>
      <c r="Z78" s="11" t="s">
        <v>71</v>
      </c>
      <c r="AA78" s="11" t="s">
        <v>1124</v>
      </c>
      <c r="AB78" s="13">
        <v>100</v>
      </c>
      <c r="AC78" s="11" t="s">
        <v>1503</v>
      </c>
      <c r="AD78" s="11"/>
      <c r="AE78" s="11"/>
      <c r="AF78" s="14">
        <v>46203</v>
      </c>
      <c r="AG78" s="11" t="s">
        <v>1119</v>
      </c>
      <c r="AH78" s="11"/>
    </row>
    <row r="79" spans="1:34" ht="17.25" customHeight="1" x14ac:dyDescent="0.25">
      <c r="A79" s="11" t="s">
        <v>61</v>
      </c>
      <c r="B79" s="11" t="s">
        <v>522</v>
      </c>
      <c r="C79" s="11"/>
      <c r="D79" s="11" t="s">
        <v>978</v>
      </c>
      <c r="E79" s="11" t="s">
        <v>977</v>
      </c>
      <c r="F79" s="11"/>
      <c r="G79" s="11" t="s">
        <v>979</v>
      </c>
      <c r="H79" s="11" t="s">
        <v>980</v>
      </c>
      <c r="I79" s="11" t="s">
        <v>980</v>
      </c>
      <c r="J79" s="11" t="s">
        <v>981</v>
      </c>
      <c r="K79" s="11" t="s">
        <v>273</v>
      </c>
      <c r="L79" s="11" t="s">
        <v>274</v>
      </c>
      <c r="M79" s="11" t="s">
        <v>982</v>
      </c>
      <c r="N79" s="11" t="s">
        <v>983</v>
      </c>
      <c r="O79" s="11" t="s">
        <v>118</v>
      </c>
      <c r="P79" s="11" t="s">
        <v>972</v>
      </c>
      <c r="Q79" s="11" t="s">
        <v>974</v>
      </c>
      <c r="R79" s="11" t="s">
        <v>54</v>
      </c>
      <c r="S79" s="12">
        <v>10</v>
      </c>
      <c r="T79" s="12">
        <v>20</v>
      </c>
      <c r="U79" s="11" t="s">
        <v>254</v>
      </c>
      <c r="V79" s="11" t="s">
        <v>970</v>
      </c>
      <c r="W79" s="11" t="s">
        <v>971</v>
      </c>
      <c r="X79" s="11" t="s">
        <v>973</v>
      </c>
      <c r="Y79" s="11" t="s">
        <v>975</v>
      </c>
      <c r="Z79" s="11" t="s">
        <v>71</v>
      </c>
      <c r="AA79" s="11" t="s">
        <v>976</v>
      </c>
      <c r="AB79" s="13">
        <v>2</v>
      </c>
      <c r="AC79" s="11" t="s">
        <v>1499</v>
      </c>
      <c r="AD79" s="11"/>
      <c r="AE79" s="11"/>
      <c r="AF79" s="14">
        <v>46203</v>
      </c>
      <c r="AG79" s="11" t="s">
        <v>968</v>
      </c>
      <c r="AH79" s="11"/>
    </row>
    <row r="80" spans="1:34" ht="17.25" customHeight="1" x14ac:dyDescent="0.25">
      <c r="A80" s="11" t="s">
        <v>61</v>
      </c>
      <c r="B80" s="11" t="s">
        <v>522</v>
      </c>
      <c r="C80" s="11"/>
      <c r="D80" s="11" t="s">
        <v>989</v>
      </c>
      <c r="E80" s="11" t="s">
        <v>977</v>
      </c>
      <c r="F80" s="11"/>
      <c r="G80" s="11" t="s">
        <v>979</v>
      </c>
      <c r="H80" s="11" t="s">
        <v>980</v>
      </c>
      <c r="I80" s="11" t="s">
        <v>980</v>
      </c>
      <c r="J80" s="11" t="s">
        <v>990</v>
      </c>
      <c r="K80" s="11" t="s">
        <v>373</v>
      </c>
      <c r="L80" s="11" t="s">
        <v>374</v>
      </c>
      <c r="M80" s="11" t="s">
        <v>991</v>
      </c>
      <c r="N80" s="11" t="s">
        <v>992</v>
      </c>
      <c r="O80" s="11" t="s">
        <v>118</v>
      </c>
      <c r="P80" s="11" t="s">
        <v>987</v>
      </c>
      <c r="Q80" s="11" t="s">
        <v>391</v>
      </c>
      <c r="R80" s="11" t="s">
        <v>54</v>
      </c>
      <c r="S80" s="12">
        <v>4.8</v>
      </c>
      <c r="T80" s="12">
        <v>24</v>
      </c>
      <c r="U80" s="11" t="s">
        <v>363</v>
      </c>
      <c r="V80" s="11" t="s">
        <v>970</v>
      </c>
      <c r="W80" s="11" t="s">
        <v>971</v>
      </c>
      <c r="X80" s="11" t="s">
        <v>390</v>
      </c>
      <c r="Y80" s="11" t="s">
        <v>392</v>
      </c>
      <c r="Z80" s="11" t="s">
        <v>71</v>
      </c>
      <c r="AA80" s="11" t="s">
        <v>988</v>
      </c>
      <c r="AB80" s="13">
        <v>5</v>
      </c>
      <c r="AC80" s="11" t="s">
        <v>1499</v>
      </c>
      <c r="AD80" s="11"/>
      <c r="AE80" s="11"/>
      <c r="AF80" s="14">
        <v>46203</v>
      </c>
      <c r="AG80" s="11" t="s">
        <v>986</v>
      </c>
      <c r="AH80" s="11"/>
    </row>
    <row r="81" spans="1:34" ht="17.25" customHeight="1" x14ac:dyDescent="0.25">
      <c r="A81" s="11" t="s">
        <v>61</v>
      </c>
      <c r="B81" s="11" t="s">
        <v>522</v>
      </c>
      <c r="C81" s="11"/>
      <c r="D81" s="11" t="s">
        <v>989</v>
      </c>
      <c r="E81" s="11" t="s">
        <v>977</v>
      </c>
      <c r="F81" s="11"/>
      <c r="G81" s="11" t="s">
        <v>979</v>
      </c>
      <c r="H81" s="11" t="s">
        <v>980</v>
      </c>
      <c r="I81" s="11" t="s">
        <v>980</v>
      </c>
      <c r="J81" s="11" t="s">
        <v>990</v>
      </c>
      <c r="K81" s="11" t="s">
        <v>373</v>
      </c>
      <c r="L81" s="11" t="s">
        <v>374</v>
      </c>
      <c r="M81" s="11" t="s">
        <v>991</v>
      </c>
      <c r="N81" s="11" t="s">
        <v>992</v>
      </c>
      <c r="O81" s="11" t="s">
        <v>118</v>
      </c>
      <c r="P81" s="11" t="s">
        <v>987</v>
      </c>
      <c r="Q81" s="11" t="s">
        <v>994</v>
      </c>
      <c r="R81" s="11" t="s">
        <v>54</v>
      </c>
      <c r="S81" s="12">
        <v>3</v>
      </c>
      <c r="T81" s="12">
        <v>15</v>
      </c>
      <c r="U81" s="11" t="s">
        <v>363</v>
      </c>
      <c r="V81" s="11" t="s">
        <v>970</v>
      </c>
      <c r="W81" s="11" t="s">
        <v>971</v>
      </c>
      <c r="X81" s="11" t="s">
        <v>993</v>
      </c>
      <c r="Y81" s="11" t="s">
        <v>995</v>
      </c>
      <c r="Z81" s="11" t="s">
        <v>71</v>
      </c>
      <c r="AA81" s="11" t="s">
        <v>988</v>
      </c>
      <c r="AB81" s="13">
        <v>5</v>
      </c>
      <c r="AC81" s="11" t="s">
        <v>1499</v>
      </c>
      <c r="AD81" s="11"/>
      <c r="AE81" s="11"/>
      <c r="AF81" s="14">
        <v>46203</v>
      </c>
      <c r="AG81" s="11" t="s">
        <v>986</v>
      </c>
      <c r="AH81" s="11"/>
    </row>
    <row r="82" spans="1:34" ht="17.25" customHeight="1" x14ac:dyDescent="0.25">
      <c r="A82" s="11" t="s">
        <v>61</v>
      </c>
      <c r="B82" s="11" t="s">
        <v>522</v>
      </c>
      <c r="C82" s="11"/>
      <c r="D82" s="11" t="s">
        <v>989</v>
      </c>
      <c r="E82" s="11" t="s">
        <v>977</v>
      </c>
      <c r="F82" s="11"/>
      <c r="G82" s="11" t="s">
        <v>979</v>
      </c>
      <c r="H82" s="11" t="s">
        <v>980</v>
      </c>
      <c r="I82" s="11" t="s">
        <v>980</v>
      </c>
      <c r="J82" s="11" t="s">
        <v>990</v>
      </c>
      <c r="K82" s="11" t="s">
        <v>373</v>
      </c>
      <c r="L82" s="11" t="s">
        <v>374</v>
      </c>
      <c r="M82" s="11" t="s">
        <v>991</v>
      </c>
      <c r="N82" s="11" t="s">
        <v>992</v>
      </c>
      <c r="O82" s="11" t="s">
        <v>118</v>
      </c>
      <c r="P82" s="11" t="s">
        <v>987</v>
      </c>
      <c r="Q82" s="11" t="s">
        <v>388</v>
      </c>
      <c r="R82" s="11" t="s">
        <v>54</v>
      </c>
      <c r="S82" s="12">
        <v>6</v>
      </c>
      <c r="T82" s="12">
        <v>18</v>
      </c>
      <c r="U82" s="11" t="s">
        <v>363</v>
      </c>
      <c r="V82" s="11" t="s">
        <v>970</v>
      </c>
      <c r="W82" s="11" t="s">
        <v>971</v>
      </c>
      <c r="X82" s="11" t="s">
        <v>387</v>
      </c>
      <c r="Y82" s="11" t="s">
        <v>389</v>
      </c>
      <c r="Z82" s="11" t="s">
        <v>71</v>
      </c>
      <c r="AA82" s="11" t="s">
        <v>988</v>
      </c>
      <c r="AB82" s="13">
        <v>3</v>
      </c>
      <c r="AC82" s="11" t="s">
        <v>1499</v>
      </c>
      <c r="AD82" s="11"/>
      <c r="AE82" s="11"/>
      <c r="AF82" s="14">
        <v>46203</v>
      </c>
      <c r="AG82" s="11" t="s">
        <v>986</v>
      </c>
      <c r="AH82" s="11"/>
    </row>
    <row r="83" spans="1:34" ht="17.25" customHeight="1" x14ac:dyDescent="0.25">
      <c r="A83" s="11" t="s">
        <v>61</v>
      </c>
      <c r="B83" s="11" t="s">
        <v>522</v>
      </c>
      <c r="C83" s="11"/>
      <c r="D83" s="11" t="s">
        <v>999</v>
      </c>
      <c r="E83" s="11" t="s">
        <v>977</v>
      </c>
      <c r="F83" s="11"/>
      <c r="G83" s="11" t="s">
        <v>979</v>
      </c>
      <c r="H83" s="11" t="s">
        <v>980</v>
      </c>
      <c r="I83" s="11" t="s">
        <v>980</v>
      </c>
      <c r="J83" s="11" t="s">
        <v>990</v>
      </c>
      <c r="K83" s="11" t="s">
        <v>114</v>
      </c>
      <c r="L83" s="11" t="s">
        <v>115</v>
      </c>
      <c r="M83" s="11" t="s">
        <v>1000</v>
      </c>
      <c r="N83" s="11" t="s">
        <v>1001</v>
      </c>
      <c r="O83" s="11" t="s">
        <v>118</v>
      </c>
      <c r="P83" s="11" t="s">
        <v>987</v>
      </c>
      <c r="Q83" s="11" t="s">
        <v>136</v>
      </c>
      <c r="R83" s="11" t="s">
        <v>54</v>
      </c>
      <c r="S83" s="12">
        <v>2.73</v>
      </c>
      <c r="T83" s="12">
        <v>13.65</v>
      </c>
      <c r="U83" s="11" t="s">
        <v>101</v>
      </c>
      <c r="V83" s="11" t="s">
        <v>997</v>
      </c>
      <c r="W83" s="11" t="s">
        <v>971</v>
      </c>
      <c r="X83" s="11" t="s">
        <v>135</v>
      </c>
      <c r="Y83" s="11" t="s">
        <v>137</v>
      </c>
      <c r="Z83" s="11" t="s">
        <v>71</v>
      </c>
      <c r="AA83" s="11" t="s">
        <v>998</v>
      </c>
      <c r="AB83" s="13">
        <v>5</v>
      </c>
      <c r="AC83" s="11" t="s">
        <v>1499</v>
      </c>
      <c r="AD83" s="11"/>
      <c r="AE83" s="11"/>
      <c r="AF83" s="14">
        <v>46203</v>
      </c>
      <c r="AG83" s="11" t="s">
        <v>996</v>
      </c>
      <c r="AH83" s="11"/>
    </row>
    <row r="84" spans="1:34" ht="17.25" customHeight="1" x14ac:dyDescent="0.25">
      <c r="A84" s="11" t="s">
        <v>61</v>
      </c>
      <c r="B84" s="11" t="s">
        <v>522</v>
      </c>
      <c r="C84" s="11"/>
      <c r="D84" s="11" t="s">
        <v>1003</v>
      </c>
      <c r="E84" s="11" t="s">
        <v>977</v>
      </c>
      <c r="F84" s="11"/>
      <c r="G84" s="11" t="s">
        <v>979</v>
      </c>
      <c r="H84" s="11" t="s">
        <v>980</v>
      </c>
      <c r="I84" s="11" t="s">
        <v>980</v>
      </c>
      <c r="J84" s="11" t="s">
        <v>1004</v>
      </c>
      <c r="K84" s="11" t="s">
        <v>114</v>
      </c>
      <c r="L84" s="11" t="s">
        <v>115</v>
      </c>
      <c r="M84" s="11" t="s">
        <v>1005</v>
      </c>
      <c r="N84" s="11" t="s">
        <v>1006</v>
      </c>
      <c r="O84" s="11" t="s">
        <v>118</v>
      </c>
      <c r="P84" s="11" t="s">
        <v>987</v>
      </c>
      <c r="Q84" s="11" t="s">
        <v>802</v>
      </c>
      <c r="R84" s="11" t="s">
        <v>428</v>
      </c>
      <c r="S84" s="12">
        <v>25</v>
      </c>
      <c r="T84" s="12">
        <v>375</v>
      </c>
      <c r="U84" s="11" t="s">
        <v>101</v>
      </c>
      <c r="V84" s="11" t="s">
        <v>997</v>
      </c>
      <c r="W84" s="11" t="s">
        <v>971</v>
      </c>
      <c r="X84" s="11" t="s">
        <v>801</v>
      </c>
      <c r="Y84" s="11" t="s">
        <v>803</v>
      </c>
      <c r="Z84" s="11" t="s">
        <v>71</v>
      </c>
      <c r="AA84" s="11" t="s">
        <v>998</v>
      </c>
      <c r="AB84" s="13">
        <v>15</v>
      </c>
      <c r="AC84" s="11" t="s">
        <v>1499</v>
      </c>
      <c r="AD84" s="11"/>
      <c r="AE84" s="11"/>
      <c r="AF84" s="14">
        <v>46203</v>
      </c>
      <c r="AG84" s="11" t="s">
        <v>1002</v>
      </c>
      <c r="AH84" s="11"/>
    </row>
    <row r="85" spans="1:34" ht="17.25" customHeight="1" x14ac:dyDescent="0.25">
      <c r="A85" s="11" t="s">
        <v>61</v>
      </c>
      <c r="B85" s="11" t="s">
        <v>522</v>
      </c>
      <c r="C85" s="11"/>
      <c r="D85" s="11" t="s">
        <v>1020</v>
      </c>
      <c r="E85" s="11" t="s">
        <v>977</v>
      </c>
      <c r="F85" s="11"/>
      <c r="G85" s="11" t="s">
        <v>979</v>
      </c>
      <c r="H85" s="11" t="s">
        <v>980</v>
      </c>
      <c r="I85" s="11" t="s">
        <v>980</v>
      </c>
      <c r="J85" s="11" t="s">
        <v>981</v>
      </c>
      <c r="K85" s="11" t="s">
        <v>373</v>
      </c>
      <c r="L85" s="11" t="s">
        <v>374</v>
      </c>
      <c r="M85" s="11" t="s">
        <v>1021</v>
      </c>
      <c r="N85" s="11" t="s">
        <v>1022</v>
      </c>
      <c r="O85" s="11" t="s">
        <v>118</v>
      </c>
      <c r="P85" s="11" t="s">
        <v>972</v>
      </c>
      <c r="Q85" s="11" t="s">
        <v>628</v>
      </c>
      <c r="R85" s="11" t="s">
        <v>54</v>
      </c>
      <c r="S85" s="12">
        <v>3.6</v>
      </c>
      <c r="T85" s="12">
        <v>3.6</v>
      </c>
      <c r="U85" s="11" t="s">
        <v>363</v>
      </c>
      <c r="V85" s="11" t="s">
        <v>970</v>
      </c>
      <c r="W85" s="11" t="s">
        <v>971</v>
      </c>
      <c r="X85" s="11" t="s">
        <v>627</v>
      </c>
      <c r="Y85" s="11" t="s">
        <v>629</v>
      </c>
      <c r="Z85" s="11" t="s">
        <v>71</v>
      </c>
      <c r="AA85" s="11" t="s">
        <v>976</v>
      </c>
      <c r="AB85" s="13">
        <v>1</v>
      </c>
      <c r="AC85" s="11" t="s">
        <v>1499</v>
      </c>
      <c r="AD85" s="11"/>
      <c r="AE85" s="11"/>
      <c r="AF85" s="14">
        <v>46203</v>
      </c>
      <c r="AG85" s="11" t="s">
        <v>1019</v>
      </c>
      <c r="AH85" s="11"/>
    </row>
    <row r="86" spans="1:34" ht="17.25" customHeight="1" x14ac:dyDescent="0.25">
      <c r="A86" s="11" t="s">
        <v>61</v>
      </c>
      <c r="B86" s="11" t="s">
        <v>522</v>
      </c>
      <c r="C86" s="11"/>
      <c r="D86" s="11" t="s">
        <v>1020</v>
      </c>
      <c r="E86" s="11" t="s">
        <v>977</v>
      </c>
      <c r="F86" s="11"/>
      <c r="G86" s="11" t="s">
        <v>979</v>
      </c>
      <c r="H86" s="11" t="s">
        <v>980</v>
      </c>
      <c r="I86" s="11" t="s">
        <v>980</v>
      </c>
      <c r="J86" s="11" t="s">
        <v>981</v>
      </c>
      <c r="K86" s="11" t="s">
        <v>373</v>
      </c>
      <c r="L86" s="11" t="s">
        <v>374</v>
      </c>
      <c r="M86" s="11" t="s">
        <v>1021</v>
      </c>
      <c r="N86" s="11" t="s">
        <v>1022</v>
      </c>
      <c r="O86" s="11" t="s">
        <v>118</v>
      </c>
      <c r="P86" s="11" t="s">
        <v>972</v>
      </c>
      <c r="Q86" s="11" t="s">
        <v>620</v>
      </c>
      <c r="R86" s="11" t="s">
        <v>54</v>
      </c>
      <c r="S86" s="12">
        <v>3.3</v>
      </c>
      <c r="T86" s="12">
        <v>3.3</v>
      </c>
      <c r="U86" s="11" t="s">
        <v>363</v>
      </c>
      <c r="V86" s="11" t="s">
        <v>970</v>
      </c>
      <c r="W86" s="11" t="s">
        <v>971</v>
      </c>
      <c r="X86" s="11" t="s">
        <v>619</v>
      </c>
      <c r="Y86" s="11" t="s">
        <v>621</v>
      </c>
      <c r="Z86" s="11" t="s">
        <v>71</v>
      </c>
      <c r="AA86" s="11" t="s">
        <v>976</v>
      </c>
      <c r="AB86" s="13">
        <v>1</v>
      </c>
      <c r="AC86" s="11" t="s">
        <v>1499</v>
      </c>
      <c r="AD86" s="11"/>
      <c r="AE86" s="11"/>
      <c r="AF86" s="14">
        <v>46203</v>
      </c>
      <c r="AG86" s="11" t="s">
        <v>1019</v>
      </c>
      <c r="AH86" s="11"/>
    </row>
    <row r="87" spans="1:34" ht="17.25" customHeight="1" x14ac:dyDescent="0.25">
      <c r="A87" s="11" t="s">
        <v>61</v>
      </c>
      <c r="B87" s="11" t="s">
        <v>522</v>
      </c>
      <c r="C87" s="11"/>
      <c r="D87" s="11" t="s">
        <v>1020</v>
      </c>
      <c r="E87" s="11" t="s">
        <v>977</v>
      </c>
      <c r="F87" s="11"/>
      <c r="G87" s="11" t="s">
        <v>979</v>
      </c>
      <c r="H87" s="11" t="s">
        <v>980</v>
      </c>
      <c r="I87" s="11" t="s">
        <v>980</v>
      </c>
      <c r="J87" s="11" t="s">
        <v>981</v>
      </c>
      <c r="K87" s="11" t="s">
        <v>373</v>
      </c>
      <c r="L87" s="11" t="s">
        <v>374</v>
      </c>
      <c r="M87" s="11" t="s">
        <v>1021</v>
      </c>
      <c r="N87" s="11" t="s">
        <v>1022</v>
      </c>
      <c r="O87" s="11" t="s">
        <v>118</v>
      </c>
      <c r="P87" s="11" t="s">
        <v>972</v>
      </c>
      <c r="Q87" s="11" t="s">
        <v>1024</v>
      </c>
      <c r="R87" s="11" t="s">
        <v>54</v>
      </c>
      <c r="S87" s="12">
        <v>4.8</v>
      </c>
      <c r="T87" s="12">
        <v>4.8</v>
      </c>
      <c r="U87" s="11" t="s">
        <v>363</v>
      </c>
      <c r="V87" s="11" t="s">
        <v>970</v>
      </c>
      <c r="W87" s="11" t="s">
        <v>971</v>
      </c>
      <c r="X87" s="11" t="s">
        <v>1023</v>
      </c>
      <c r="Y87" s="11" t="s">
        <v>1025</v>
      </c>
      <c r="Z87" s="11" t="s">
        <v>71</v>
      </c>
      <c r="AA87" s="11" t="s">
        <v>976</v>
      </c>
      <c r="AB87" s="13">
        <v>1</v>
      </c>
      <c r="AC87" s="11" t="s">
        <v>1499</v>
      </c>
      <c r="AD87" s="11"/>
      <c r="AE87" s="11"/>
      <c r="AF87" s="14">
        <v>46203</v>
      </c>
      <c r="AG87" s="11" t="s">
        <v>1019</v>
      </c>
      <c r="AH87" s="11"/>
    </row>
    <row r="88" spans="1:34" ht="17.25" customHeight="1" x14ac:dyDescent="0.25">
      <c r="A88" s="11" t="s">
        <v>61</v>
      </c>
      <c r="B88" s="11" t="s">
        <v>522</v>
      </c>
      <c r="C88" s="11"/>
      <c r="D88" s="11" t="s">
        <v>1042</v>
      </c>
      <c r="E88" s="11" t="s">
        <v>977</v>
      </c>
      <c r="F88" s="11"/>
      <c r="G88" s="11" t="s">
        <v>979</v>
      </c>
      <c r="H88" s="11" t="s">
        <v>980</v>
      </c>
      <c r="I88" s="11" t="s">
        <v>980</v>
      </c>
      <c r="J88" s="11" t="s">
        <v>1043</v>
      </c>
      <c r="K88" s="11" t="s">
        <v>273</v>
      </c>
      <c r="L88" s="11" t="s">
        <v>274</v>
      </c>
      <c r="M88" s="11" t="s">
        <v>1044</v>
      </c>
      <c r="N88" s="11" t="s">
        <v>1045</v>
      </c>
      <c r="O88" s="11" t="s">
        <v>118</v>
      </c>
      <c r="P88" s="11" t="s">
        <v>987</v>
      </c>
      <c r="Q88" s="11" t="s">
        <v>974</v>
      </c>
      <c r="R88" s="11" t="s">
        <v>54</v>
      </c>
      <c r="S88" s="12">
        <v>10</v>
      </c>
      <c r="T88" s="12">
        <v>20</v>
      </c>
      <c r="U88" s="11" t="s">
        <v>254</v>
      </c>
      <c r="V88" s="11" t="s">
        <v>970</v>
      </c>
      <c r="W88" s="11" t="s">
        <v>971</v>
      </c>
      <c r="X88" s="11" t="s">
        <v>973</v>
      </c>
      <c r="Y88" s="11" t="s">
        <v>975</v>
      </c>
      <c r="Z88" s="11" t="s">
        <v>71</v>
      </c>
      <c r="AA88" s="11" t="s">
        <v>1041</v>
      </c>
      <c r="AB88" s="13">
        <v>2</v>
      </c>
      <c r="AC88" s="11" t="s">
        <v>1499</v>
      </c>
      <c r="AD88" s="11"/>
      <c r="AE88" s="11"/>
      <c r="AF88" s="14">
        <v>46203</v>
      </c>
      <c r="AG88" s="11" t="s">
        <v>1040</v>
      </c>
      <c r="AH88" s="11"/>
    </row>
    <row r="89" spans="1:34" ht="17.25" customHeight="1" x14ac:dyDescent="0.25">
      <c r="A89" s="11" t="s">
        <v>61</v>
      </c>
      <c r="B89" s="11" t="s">
        <v>522</v>
      </c>
      <c r="C89" s="11"/>
      <c r="D89" s="11" t="s">
        <v>1042</v>
      </c>
      <c r="E89" s="11" t="s">
        <v>977</v>
      </c>
      <c r="F89" s="11"/>
      <c r="G89" s="11" t="s">
        <v>979</v>
      </c>
      <c r="H89" s="11" t="s">
        <v>980</v>
      </c>
      <c r="I89" s="11" t="s">
        <v>980</v>
      </c>
      <c r="J89" s="11" t="s">
        <v>1043</v>
      </c>
      <c r="K89" s="11" t="s">
        <v>273</v>
      </c>
      <c r="L89" s="11" t="s">
        <v>274</v>
      </c>
      <c r="M89" s="11" t="s">
        <v>1044</v>
      </c>
      <c r="N89" s="11" t="s">
        <v>1045</v>
      </c>
      <c r="O89" s="11" t="s">
        <v>118</v>
      </c>
      <c r="P89" s="11" t="s">
        <v>987</v>
      </c>
      <c r="Q89" s="11" t="s">
        <v>263</v>
      </c>
      <c r="R89" s="11" t="s">
        <v>54</v>
      </c>
      <c r="S89" s="12">
        <v>10</v>
      </c>
      <c r="T89" s="12">
        <v>20</v>
      </c>
      <c r="U89" s="11" t="s">
        <v>254</v>
      </c>
      <c r="V89" s="11" t="s">
        <v>970</v>
      </c>
      <c r="W89" s="11" t="s">
        <v>971</v>
      </c>
      <c r="X89" s="11" t="s">
        <v>262</v>
      </c>
      <c r="Y89" s="11" t="s">
        <v>264</v>
      </c>
      <c r="Z89" s="11" t="s">
        <v>71</v>
      </c>
      <c r="AA89" s="11" t="s">
        <v>1041</v>
      </c>
      <c r="AB89" s="13">
        <v>2</v>
      </c>
      <c r="AC89" s="11" t="s">
        <v>1499</v>
      </c>
      <c r="AD89" s="11"/>
      <c r="AE89" s="11"/>
      <c r="AF89" s="14">
        <v>46203</v>
      </c>
      <c r="AG89" s="11" t="s">
        <v>1040</v>
      </c>
      <c r="AH89" s="11"/>
    </row>
    <row r="90" spans="1:34" ht="17.25" customHeight="1" x14ac:dyDescent="0.25">
      <c r="A90" s="11" t="s">
        <v>61</v>
      </c>
      <c r="B90" s="11" t="s">
        <v>522</v>
      </c>
      <c r="C90" s="11"/>
      <c r="D90" s="11" t="s">
        <v>1053</v>
      </c>
      <c r="E90" s="11" t="s">
        <v>977</v>
      </c>
      <c r="F90" s="11"/>
      <c r="G90" s="11" t="s">
        <v>979</v>
      </c>
      <c r="H90" s="11" t="s">
        <v>980</v>
      </c>
      <c r="I90" s="11" t="s">
        <v>980</v>
      </c>
      <c r="J90" s="11" t="s">
        <v>1054</v>
      </c>
      <c r="K90" s="11" t="s">
        <v>190</v>
      </c>
      <c r="L90" s="11" t="s">
        <v>191</v>
      </c>
      <c r="M90" s="11" t="s">
        <v>1055</v>
      </c>
      <c r="N90" s="11" t="s">
        <v>1056</v>
      </c>
      <c r="O90" s="11" t="s">
        <v>118</v>
      </c>
      <c r="P90" s="11" t="s">
        <v>987</v>
      </c>
      <c r="Q90" s="11" t="s">
        <v>1049</v>
      </c>
      <c r="R90" s="11" t="s">
        <v>54</v>
      </c>
      <c r="S90" s="12">
        <v>11.904</v>
      </c>
      <c r="T90" s="12">
        <v>11.904</v>
      </c>
      <c r="U90" s="11" t="s">
        <v>101</v>
      </c>
      <c r="V90" s="11" t="s">
        <v>1047</v>
      </c>
      <c r="W90" s="11" t="s">
        <v>971</v>
      </c>
      <c r="X90" s="11" t="s">
        <v>1048</v>
      </c>
      <c r="Y90" s="11" t="s">
        <v>1050</v>
      </c>
      <c r="Z90" s="11" t="s">
        <v>71</v>
      </c>
      <c r="AA90" s="11" t="s">
        <v>1051</v>
      </c>
      <c r="AB90" s="13">
        <v>1</v>
      </c>
      <c r="AC90" s="11" t="s">
        <v>1499</v>
      </c>
      <c r="AD90" s="11"/>
      <c r="AE90" s="11"/>
      <c r="AF90" s="14">
        <v>46203</v>
      </c>
      <c r="AG90" s="11" t="s">
        <v>1046</v>
      </c>
      <c r="AH90" s="11"/>
    </row>
    <row r="91" spans="1:34" ht="17.25" customHeight="1" x14ac:dyDescent="0.25">
      <c r="A91" s="11" t="s">
        <v>61</v>
      </c>
      <c r="B91" s="11" t="s">
        <v>522</v>
      </c>
      <c r="C91" s="11"/>
      <c r="D91" s="11" t="s">
        <v>1053</v>
      </c>
      <c r="E91" s="11" t="s">
        <v>977</v>
      </c>
      <c r="F91" s="11"/>
      <c r="G91" s="11" t="s">
        <v>979</v>
      </c>
      <c r="H91" s="11" t="s">
        <v>980</v>
      </c>
      <c r="I91" s="11" t="s">
        <v>980</v>
      </c>
      <c r="J91" s="11" t="s">
        <v>1054</v>
      </c>
      <c r="K91" s="11" t="s">
        <v>190</v>
      </c>
      <c r="L91" s="11" t="s">
        <v>191</v>
      </c>
      <c r="M91" s="11" t="s">
        <v>1055</v>
      </c>
      <c r="N91" s="11" t="s">
        <v>1056</v>
      </c>
      <c r="O91" s="11" t="s">
        <v>118</v>
      </c>
      <c r="P91" s="11" t="s">
        <v>987</v>
      </c>
      <c r="Q91" s="11" t="s">
        <v>1058</v>
      </c>
      <c r="R91" s="11" t="s">
        <v>54</v>
      </c>
      <c r="S91" s="12">
        <v>15.9</v>
      </c>
      <c r="T91" s="12">
        <v>31.8</v>
      </c>
      <c r="U91" s="11" t="s">
        <v>101</v>
      </c>
      <c r="V91" s="11" t="s">
        <v>1047</v>
      </c>
      <c r="W91" s="11" t="s">
        <v>971</v>
      </c>
      <c r="X91" s="11" t="s">
        <v>1057</v>
      </c>
      <c r="Y91" s="11" t="s">
        <v>1059</v>
      </c>
      <c r="Z91" s="11" t="s">
        <v>71</v>
      </c>
      <c r="AA91" s="11" t="s">
        <v>1051</v>
      </c>
      <c r="AB91" s="13">
        <v>2</v>
      </c>
      <c r="AC91" s="11" t="s">
        <v>1499</v>
      </c>
      <c r="AD91" s="11"/>
      <c r="AE91" s="11"/>
      <c r="AF91" s="14">
        <v>46203</v>
      </c>
      <c r="AG91" s="11" t="s">
        <v>1046</v>
      </c>
      <c r="AH91" s="11"/>
    </row>
    <row r="92" spans="1:34" ht="17.25" customHeight="1" x14ac:dyDescent="0.25">
      <c r="A92" s="11" t="s">
        <v>61</v>
      </c>
      <c r="B92" s="11" t="s">
        <v>522</v>
      </c>
      <c r="C92" s="11"/>
      <c r="D92" s="11" t="s">
        <v>1064</v>
      </c>
      <c r="E92" s="11" t="s">
        <v>977</v>
      </c>
      <c r="F92" s="11"/>
      <c r="G92" s="11" t="s">
        <v>979</v>
      </c>
      <c r="H92" s="11" t="s">
        <v>980</v>
      </c>
      <c r="I92" s="11" t="s">
        <v>980</v>
      </c>
      <c r="J92" s="11" t="s">
        <v>1065</v>
      </c>
      <c r="K92" s="11" t="s">
        <v>373</v>
      </c>
      <c r="L92" s="11" t="s">
        <v>374</v>
      </c>
      <c r="M92" s="11" t="s">
        <v>1066</v>
      </c>
      <c r="N92" s="11" t="s">
        <v>1067</v>
      </c>
      <c r="O92" s="11" t="s">
        <v>118</v>
      </c>
      <c r="P92" s="11" t="s">
        <v>972</v>
      </c>
      <c r="Q92" s="11" t="s">
        <v>391</v>
      </c>
      <c r="R92" s="11" t="s">
        <v>54</v>
      </c>
      <c r="S92" s="12">
        <v>4.8</v>
      </c>
      <c r="T92" s="12">
        <v>24</v>
      </c>
      <c r="U92" s="11" t="s">
        <v>363</v>
      </c>
      <c r="V92" s="11" t="s">
        <v>970</v>
      </c>
      <c r="W92" s="11" t="s">
        <v>971</v>
      </c>
      <c r="X92" s="11" t="s">
        <v>390</v>
      </c>
      <c r="Y92" s="11" t="s">
        <v>392</v>
      </c>
      <c r="Z92" s="11" t="s">
        <v>71</v>
      </c>
      <c r="AA92" s="11" t="s">
        <v>1063</v>
      </c>
      <c r="AB92" s="13">
        <v>5</v>
      </c>
      <c r="AC92" s="11" t="s">
        <v>1499</v>
      </c>
      <c r="AD92" s="11"/>
      <c r="AE92" s="11"/>
      <c r="AF92" s="14">
        <v>46203</v>
      </c>
      <c r="AG92" s="11" t="s">
        <v>1062</v>
      </c>
      <c r="AH92" s="11"/>
    </row>
    <row r="93" spans="1:34" ht="17.25" customHeight="1" x14ac:dyDescent="0.25">
      <c r="A93" s="11" t="s">
        <v>61</v>
      </c>
      <c r="B93" s="11" t="s">
        <v>522</v>
      </c>
      <c r="C93" s="11"/>
      <c r="D93" s="11" t="s">
        <v>1064</v>
      </c>
      <c r="E93" s="11" t="s">
        <v>977</v>
      </c>
      <c r="F93" s="11"/>
      <c r="G93" s="11" t="s">
        <v>979</v>
      </c>
      <c r="H93" s="11" t="s">
        <v>980</v>
      </c>
      <c r="I93" s="11" t="s">
        <v>980</v>
      </c>
      <c r="J93" s="11" t="s">
        <v>1065</v>
      </c>
      <c r="K93" s="11" t="s">
        <v>373</v>
      </c>
      <c r="L93" s="11" t="s">
        <v>374</v>
      </c>
      <c r="M93" s="11" t="s">
        <v>1066</v>
      </c>
      <c r="N93" s="11" t="s">
        <v>1067</v>
      </c>
      <c r="O93" s="11" t="s">
        <v>118</v>
      </c>
      <c r="P93" s="11" t="s">
        <v>972</v>
      </c>
      <c r="Q93" s="11" t="s">
        <v>994</v>
      </c>
      <c r="R93" s="11" t="s">
        <v>54</v>
      </c>
      <c r="S93" s="12">
        <v>3</v>
      </c>
      <c r="T93" s="12">
        <v>15</v>
      </c>
      <c r="U93" s="11" t="s">
        <v>363</v>
      </c>
      <c r="V93" s="11" t="s">
        <v>970</v>
      </c>
      <c r="W93" s="11" t="s">
        <v>971</v>
      </c>
      <c r="X93" s="11" t="s">
        <v>993</v>
      </c>
      <c r="Y93" s="11" t="s">
        <v>995</v>
      </c>
      <c r="Z93" s="11" t="s">
        <v>71</v>
      </c>
      <c r="AA93" s="11" t="s">
        <v>1063</v>
      </c>
      <c r="AB93" s="13">
        <v>5</v>
      </c>
      <c r="AC93" s="11" t="s">
        <v>1499</v>
      </c>
      <c r="AD93" s="11"/>
      <c r="AE93" s="11"/>
      <c r="AF93" s="14">
        <v>46203</v>
      </c>
      <c r="AG93" s="11" t="s">
        <v>1062</v>
      </c>
      <c r="AH93" s="11"/>
    </row>
    <row r="94" spans="1:34" ht="17.25" customHeight="1" x14ac:dyDescent="0.25">
      <c r="A94" s="11" t="s">
        <v>61</v>
      </c>
      <c r="B94" s="11" t="s">
        <v>522</v>
      </c>
      <c r="C94" s="11"/>
      <c r="D94" s="11" t="s">
        <v>1064</v>
      </c>
      <c r="E94" s="11" t="s">
        <v>977</v>
      </c>
      <c r="F94" s="11"/>
      <c r="G94" s="11" t="s">
        <v>979</v>
      </c>
      <c r="H94" s="11" t="s">
        <v>980</v>
      </c>
      <c r="I94" s="11" t="s">
        <v>980</v>
      </c>
      <c r="J94" s="11" t="s">
        <v>1065</v>
      </c>
      <c r="K94" s="11" t="s">
        <v>373</v>
      </c>
      <c r="L94" s="11" t="s">
        <v>374</v>
      </c>
      <c r="M94" s="11" t="s">
        <v>1066</v>
      </c>
      <c r="N94" s="11" t="s">
        <v>1067</v>
      </c>
      <c r="O94" s="11" t="s">
        <v>118</v>
      </c>
      <c r="P94" s="11" t="s">
        <v>972</v>
      </c>
      <c r="Q94" s="11" t="s">
        <v>388</v>
      </c>
      <c r="R94" s="11" t="s">
        <v>54</v>
      </c>
      <c r="S94" s="12">
        <v>6</v>
      </c>
      <c r="T94" s="12">
        <v>6</v>
      </c>
      <c r="U94" s="11" t="s">
        <v>363</v>
      </c>
      <c r="V94" s="11" t="s">
        <v>970</v>
      </c>
      <c r="W94" s="11" t="s">
        <v>971</v>
      </c>
      <c r="X94" s="11" t="s">
        <v>387</v>
      </c>
      <c r="Y94" s="11" t="s">
        <v>389</v>
      </c>
      <c r="Z94" s="11" t="s">
        <v>71</v>
      </c>
      <c r="AA94" s="11" t="s">
        <v>1063</v>
      </c>
      <c r="AB94" s="13">
        <v>1</v>
      </c>
      <c r="AC94" s="11" t="s">
        <v>1499</v>
      </c>
      <c r="AD94" s="11"/>
      <c r="AE94" s="11"/>
      <c r="AF94" s="14">
        <v>46203</v>
      </c>
      <c r="AG94" s="11" t="s">
        <v>1062</v>
      </c>
      <c r="AH94" s="11"/>
    </row>
    <row r="95" spans="1:34" ht="17.25" customHeight="1" x14ac:dyDescent="0.25">
      <c r="A95" s="11" t="s">
        <v>61</v>
      </c>
      <c r="B95" s="11" t="s">
        <v>522</v>
      </c>
      <c r="C95" s="11"/>
      <c r="D95" s="11" t="s">
        <v>1071</v>
      </c>
      <c r="E95" s="11" t="s">
        <v>977</v>
      </c>
      <c r="F95" s="11"/>
      <c r="G95" s="11" t="s">
        <v>979</v>
      </c>
      <c r="H95" s="11" t="s">
        <v>980</v>
      </c>
      <c r="I95" s="11" t="s">
        <v>980</v>
      </c>
      <c r="J95" s="11" t="s">
        <v>1072</v>
      </c>
      <c r="K95" s="11" t="s">
        <v>114</v>
      </c>
      <c r="L95" s="11" t="s">
        <v>115</v>
      </c>
      <c r="M95" s="11" t="s">
        <v>1073</v>
      </c>
      <c r="N95" s="11" t="s">
        <v>1074</v>
      </c>
      <c r="O95" s="11" t="s">
        <v>118</v>
      </c>
      <c r="P95" s="11" t="s">
        <v>972</v>
      </c>
      <c r="Q95" s="11" t="s">
        <v>136</v>
      </c>
      <c r="R95" s="11" t="s">
        <v>54</v>
      </c>
      <c r="S95" s="12">
        <v>2.73</v>
      </c>
      <c r="T95" s="12">
        <v>5.46</v>
      </c>
      <c r="U95" s="11" t="s">
        <v>101</v>
      </c>
      <c r="V95" s="11" t="s">
        <v>997</v>
      </c>
      <c r="W95" s="11" t="s">
        <v>971</v>
      </c>
      <c r="X95" s="11" t="s">
        <v>135</v>
      </c>
      <c r="Y95" s="11" t="s">
        <v>137</v>
      </c>
      <c r="Z95" s="11" t="s">
        <v>71</v>
      </c>
      <c r="AA95" s="11" t="s">
        <v>1069</v>
      </c>
      <c r="AB95" s="13">
        <v>2</v>
      </c>
      <c r="AC95" s="11" t="s">
        <v>1499</v>
      </c>
      <c r="AD95" s="11"/>
      <c r="AE95" s="11"/>
      <c r="AF95" s="14">
        <v>46203</v>
      </c>
      <c r="AG95" s="11" t="s">
        <v>1068</v>
      </c>
      <c r="AH95" s="11"/>
    </row>
    <row r="96" spans="1:34" ht="17.25" customHeight="1" x14ac:dyDescent="0.25">
      <c r="A96" s="11" t="s">
        <v>61</v>
      </c>
      <c r="B96" s="11" t="s">
        <v>62</v>
      </c>
      <c r="C96" s="11"/>
      <c r="D96" s="11" t="s">
        <v>1264</v>
      </c>
      <c r="E96" s="11" t="s">
        <v>320</v>
      </c>
      <c r="F96" s="11"/>
      <c r="G96" s="11" t="s">
        <v>321</v>
      </c>
      <c r="H96" s="11" t="s">
        <v>322</v>
      </c>
      <c r="I96" s="11" t="s">
        <v>322</v>
      </c>
      <c r="J96" s="11"/>
      <c r="K96" s="11" t="s">
        <v>323</v>
      </c>
      <c r="L96" s="11" t="s">
        <v>324</v>
      </c>
      <c r="M96" s="11" t="s">
        <v>1265</v>
      </c>
      <c r="N96" s="11" t="s">
        <v>1266</v>
      </c>
      <c r="O96" s="11" t="s">
        <v>118</v>
      </c>
      <c r="P96" s="11" t="s">
        <v>1252</v>
      </c>
      <c r="Q96" s="11" t="s">
        <v>494</v>
      </c>
      <c r="R96" s="11" t="s">
        <v>496</v>
      </c>
      <c r="S96" s="12">
        <v>0</v>
      </c>
      <c r="T96" s="12">
        <v>0</v>
      </c>
      <c r="U96" s="11" t="s">
        <v>311</v>
      </c>
      <c r="V96" s="11" t="s">
        <v>1250</v>
      </c>
      <c r="W96" s="11" t="s">
        <v>1251</v>
      </c>
      <c r="X96" s="11" t="s">
        <v>493</v>
      </c>
      <c r="Y96" s="11" t="s">
        <v>495</v>
      </c>
      <c r="Z96" s="11" t="s">
        <v>501</v>
      </c>
      <c r="AA96" s="11"/>
      <c r="AB96" s="13">
        <v>18</v>
      </c>
      <c r="AC96" s="11" t="s">
        <v>1504</v>
      </c>
      <c r="AD96" s="11"/>
      <c r="AE96" s="11"/>
      <c r="AF96" s="14">
        <v>46203</v>
      </c>
      <c r="AG96" s="11" t="s">
        <v>1262</v>
      </c>
      <c r="AH96" s="11" t="s">
        <v>1263</v>
      </c>
    </row>
    <row r="97" spans="1:34" ht="17.25" customHeight="1" x14ac:dyDescent="0.25">
      <c r="A97" s="11" t="s">
        <v>61</v>
      </c>
      <c r="B97" s="11" t="s">
        <v>62</v>
      </c>
      <c r="C97" s="11"/>
      <c r="D97" s="11" t="s">
        <v>1254</v>
      </c>
      <c r="E97" s="11" t="s">
        <v>320</v>
      </c>
      <c r="F97" s="11"/>
      <c r="G97" s="11" t="s">
        <v>321</v>
      </c>
      <c r="H97" s="11" t="s">
        <v>322</v>
      </c>
      <c r="I97" s="11" t="s">
        <v>322</v>
      </c>
      <c r="J97" s="11"/>
      <c r="K97" s="11" t="s">
        <v>323</v>
      </c>
      <c r="L97" s="11" t="s">
        <v>324</v>
      </c>
      <c r="M97" s="11" t="s">
        <v>1273</v>
      </c>
      <c r="N97" s="11" t="s">
        <v>1274</v>
      </c>
      <c r="O97" s="11" t="s">
        <v>118</v>
      </c>
      <c r="P97" s="11" t="s">
        <v>1252</v>
      </c>
      <c r="Q97" s="11" t="s">
        <v>1269</v>
      </c>
      <c r="R97" s="11" t="s">
        <v>54</v>
      </c>
      <c r="S97" s="12">
        <v>5.6219999999999999</v>
      </c>
      <c r="T97" s="12">
        <v>56.22</v>
      </c>
      <c r="U97" s="11" t="s">
        <v>311</v>
      </c>
      <c r="V97" s="11" t="s">
        <v>1250</v>
      </c>
      <c r="W97" s="11" t="s">
        <v>1251</v>
      </c>
      <c r="X97" s="11" t="s">
        <v>1268</v>
      </c>
      <c r="Y97" s="11" t="s">
        <v>1270</v>
      </c>
      <c r="Z97" s="11" t="s">
        <v>71</v>
      </c>
      <c r="AA97" s="11"/>
      <c r="AB97" s="13">
        <v>10</v>
      </c>
      <c r="AC97" s="11" t="s">
        <v>1504</v>
      </c>
      <c r="AD97" s="11"/>
      <c r="AE97" s="11"/>
      <c r="AF97" s="14">
        <v>46203</v>
      </c>
      <c r="AG97" s="11" t="s">
        <v>1267</v>
      </c>
      <c r="AH97" s="11" t="s">
        <v>1263</v>
      </c>
    </row>
    <row r="98" spans="1:34" ht="17.25" customHeight="1" x14ac:dyDescent="0.25">
      <c r="A98" s="11" t="s">
        <v>61</v>
      </c>
      <c r="B98" s="11" t="s">
        <v>62</v>
      </c>
      <c r="C98" s="11"/>
      <c r="D98" s="11" t="s">
        <v>1254</v>
      </c>
      <c r="E98" s="11" t="s">
        <v>320</v>
      </c>
      <c r="F98" s="11"/>
      <c r="G98" s="11" t="s">
        <v>321</v>
      </c>
      <c r="H98" s="11" t="s">
        <v>322</v>
      </c>
      <c r="I98" s="11" t="s">
        <v>322</v>
      </c>
      <c r="J98" s="11"/>
      <c r="K98" s="11" t="s">
        <v>323</v>
      </c>
      <c r="L98" s="11" t="s">
        <v>324</v>
      </c>
      <c r="M98" s="11" t="s">
        <v>1273</v>
      </c>
      <c r="N98" s="11" t="s">
        <v>1274</v>
      </c>
      <c r="O98" s="11" t="s">
        <v>118</v>
      </c>
      <c r="P98" s="11" t="s">
        <v>1252</v>
      </c>
      <c r="Q98" s="11" t="s">
        <v>1276</v>
      </c>
      <c r="R98" s="11" t="s">
        <v>54</v>
      </c>
      <c r="S98" s="12">
        <v>13.096</v>
      </c>
      <c r="T98" s="12">
        <v>4714.5600000000004</v>
      </c>
      <c r="U98" s="11" t="s">
        <v>311</v>
      </c>
      <c r="V98" s="11" t="s">
        <v>1250</v>
      </c>
      <c r="W98" s="11" t="s">
        <v>1251</v>
      </c>
      <c r="X98" s="11" t="s">
        <v>1275</v>
      </c>
      <c r="Y98" s="11" t="s">
        <v>1277</v>
      </c>
      <c r="Z98" s="11" t="s">
        <v>71</v>
      </c>
      <c r="AA98" s="11"/>
      <c r="AB98" s="13">
        <v>360</v>
      </c>
      <c r="AC98" s="11" t="s">
        <v>1504</v>
      </c>
      <c r="AD98" s="11"/>
      <c r="AE98" s="11"/>
      <c r="AF98" s="14">
        <v>46203</v>
      </c>
      <c r="AG98" s="11" t="s">
        <v>1267</v>
      </c>
      <c r="AH98" s="11" t="s">
        <v>1263</v>
      </c>
    </row>
    <row r="99" spans="1:34" ht="17.25" customHeight="1" x14ac:dyDescent="0.25">
      <c r="A99" s="11" t="s">
        <v>61</v>
      </c>
      <c r="B99" s="11" t="s">
        <v>62</v>
      </c>
      <c r="C99" s="11"/>
      <c r="D99" s="11" t="s">
        <v>1254</v>
      </c>
      <c r="E99" s="11" t="s">
        <v>320</v>
      </c>
      <c r="F99" s="11"/>
      <c r="G99" s="11" t="s">
        <v>321</v>
      </c>
      <c r="H99" s="11" t="s">
        <v>322</v>
      </c>
      <c r="I99" s="11" t="s">
        <v>322</v>
      </c>
      <c r="J99" s="11"/>
      <c r="K99" s="11" t="s">
        <v>323</v>
      </c>
      <c r="L99" s="11" t="s">
        <v>324</v>
      </c>
      <c r="M99" s="11" t="s">
        <v>1273</v>
      </c>
      <c r="N99" s="11" t="s">
        <v>1274</v>
      </c>
      <c r="O99" s="11" t="s">
        <v>118</v>
      </c>
      <c r="P99" s="11" t="s">
        <v>1252</v>
      </c>
      <c r="Q99" s="11" t="s">
        <v>1282</v>
      </c>
      <c r="R99" s="11" t="s">
        <v>54</v>
      </c>
      <c r="S99" s="12">
        <v>6.12</v>
      </c>
      <c r="T99" s="12">
        <v>73.44</v>
      </c>
      <c r="U99" s="11" t="s">
        <v>311</v>
      </c>
      <c r="V99" s="11" t="s">
        <v>1250</v>
      </c>
      <c r="W99" s="11" t="s">
        <v>1251</v>
      </c>
      <c r="X99" s="11" t="s">
        <v>1281</v>
      </c>
      <c r="Y99" s="11" t="s">
        <v>1283</v>
      </c>
      <c r="Z99" s="11" t="s">
        <v>71</v>
      </c>
      <c r="AA99" s="11"/>
      <c r="AB99" s="13">
        <v>12</v>
      </c>
      <c r="AC99" s="11" t="s">
        <v>1504</v>
      </c>
      <c r="AD99" s="11"/>
      <c r="AE99" s="11"/>
      <c r="AF99" s="14">
        <v>46203</v>
      </c>
      <c r="AG99" s="11" t="s">
        <v>1267</v>
      </c>
      <c r="AH99" s="11" t="s">
        <v>1263</v>
      </c>
    </row>
    <row r="100" spans="1:34" ht="17.25" customHeight="1" x14ac:dyDescent="0.25">
      <c r="A100" s="11" t="s">
        <v>61</v>
      </c>
      <c r="B100" s="11" t="s">
        <v>62</v>
      </c>
      <c r="C100" s="11"/>
      <c r="D100" s="11" t="s">
        <v>1254</v>
      </c>
      <c r="E100" s="11" t="s">
        <v>320</v>
      </c>
      <c r="F100" s="11"/>
      <c r="G100" s="11" t="s">
        <v>321</v>
      </c>
      <c r="H100" s="11" t="s">
        <v>322</v>
      </c>
      <c r="I100" s="11" t="s">
        <v>322</v>
      </c>
      <c r="J100" s="11"/>
      <c r="K100" s="11" t="s">
        <v>323</v>
      </c>
      <c r="L100" s="11" t="s">
        <v>324</v>
      </c>
      <c r="M100" s="11" t="s">
        <v>1273</v>
      </c>
      <c r="N100" s="11" t="s">
        <v>1274</v>
      </c>
      <c r="O100" s="11" t="s">
        <v>118</v>
      </c>
      <c r="P100" s="11" t="s">
        <v>1252</v>
      </c>
      <c r="Q100" s="11" t="s">
        <v>1287</v>
      </c>
      <c r="R100" s="11" t="s">
        <v>54</v>
      </c>
      <c r="S100" s="12">
        <v>12.6</v>
      </c>
      <c r="T100" s="12">
        <v>50.4</v>
      </c>
      <c r="U100" s="11" t="s">
        <v>311</v>
      </c>
      <c r="V100" s="11" t="s">
        <v>1250</v>
      </c>
      <c r="W100" s="11" t="s">
        <v>1251</v>
      </c>
      <c r="X100" s="11" t="s">
        <v>1286</v>
      </c>
      <c r="Y100" s="11" t="s">
        <v>1288</v>
      </c>
      <c r="Z100" s="11" t="s">
        <v>71</v>
      </c>
      <c r="AA100" s="11"/>
      <c r="AB100" s="13">
        <v>4</v>
      </c>
      <c r="AC100" s="11" t="s">
        <v>1504</v>
      </c>
      <c r="AD100" s="11"/>
      <c r="AE100" s="11"/>
      <c r="AF100" s="14">
        <v>46203</v>
      </c>
      <c r="AG100" s="11" t="s">
        <v>1267</v>
      </c>
      <c r="AH100" s="11" t="s">
        <v>1263</v>
      </c>
    </row>
    <row r="101" spans="1:34" ht="17.25" customHeight="1" x14ac:dyDescent="0.25">
      <c r="A101" s="11" t="s">
        <v>61</v>
      </c>
      <c r="B101" s="11" t="s">
        <v>62</v>
      </c>
      <c r="C101" s="11"/>
      <c r="D101" s="11" t="s">
        <v>1254</v>
      </c>
      <c r="E101" s="11" t="s">
        <v>320</v>
      </c>
      <c r="F101" s="11"/>
      <c r="G101" s="11" t="s">
        <v>321</v>
      </c>
      <c r="H101" s="11" t="s">
        <v>322</v>
      </c>
      <c r="I101" s="11" t="s">
        <v>322</v>
      </c>
      <c r="J101" s="11"/>
      <c r="K101" s="11" t="s">
        <v>323</v>
      </c>
      <c r="L101" s="11" t="s">
        <v>324</v>
      </c>
      <c r="M101" s="11" t="s">
        <v>1273</v>
      </c>
      <c r="N101" s="11" t="s">
        <v>1274</v>
      </c>
      <c r="O101" s="11" t="s">
        <v>118</v>
      </c>
      <c r="P101" s="11" t="s">
        <v>1252</v>
      </c>
      <c r="Q101" s="11" t="s">
        <v>1292</v>
      </c>
      <c r="R101" s="11" t="s">
        <v>54</v>
      </c>
      <c r="S101" s="12">
        <v>6.12</v>
      </c>
      <c r="T101" s="12">
        <v>18.36</v>
      </c>
      <c r="U101" s="11" t="s">
        <v>311</v>
      </c>
      <c r="V101" s="11" t="s">
        <v>1250</v>
      </c>
      <c r="W101" s="11" t="s">
        <v>1251</v>
      </c>
      <c r="X101" s="11" t="s">
        <v>1291</v>
      </c>
      <c r="Y101" s="11" t="s">
        <v>1293</v>
      </c>
      <c r="Z101" s="11" t="s">
        <v>71</v>
      </c>
      <c r="AA101" s="11"/>
      <c r="AB101" s="13">
        <v>3</v>
      </c>
      <c r="AC101" s="11" t="s">
        <v>1504</v>
      </c>
      <c r="AD101" s="11"/>
      <c r="AE101" s="11"/>
      <c r="AF101" s="14">
        <v>46203</v>
      </c>
      <c r="AG101" s="11" t="s">
        <v>1267</v>
      </c>
      <c r="AH101" s="11" t="s">
        <v>1263</v>
      </c>
    </row>
    <row r="102" spans="1:34" ht="17.25" customHeight="1" x14ac:dyDescent="0.25">
      <c r="A102" s="11" t="s">
        <v>61</v>
      </c>
      <c r="B102" s="11" t="s">
        <v>62</v>
      </c>
      <c r="C102" s="11"/>
      <c r="D102" s="11" t="s">
        <v>1254</v>
      </c>
      <c r="E102" s="11" t="s">
        <v>320</v>
      </c>
      <c r="F102" s="11"/>
      <c r="G102" s="11" t="s">
        <v>321</v>
      </c>
      <c r="H102" s="11" t="s">
        <v>322</v>
      </c>
      <c r="I102" s="11" t="s">
        <v>322</v>
      </c>
      <c r="J102" s="11"/>
      <c r="K102" s="11" t="s">
        <v>323</v>
      </c>
      <c r="L102" s="11" t="s">
        <v>324</v>
      </c>
      <c r="M102" s="11" t="s">
        <v>1273</v>
      </c>
      <c r="N102" s="11" t="s">
        <v>1274</v>
      </c>
      <c r="O102" s="11" t="s">
        <v>118</v>
      </c>
      <c r="P102" s="11" t="s">
        <v>1252</v>
      </c>
      <c r="Q102" s="11" t="s">
        <v>485</v>
      </c>
      <c r="R102" s="11" t="s">
        <v>54</v>
      </c>
      <c r="S102" s="12">
        <v>13.2</v>
      </c>
      <c r="T102" s="12">
        <v>39.599999999999994</v>
      </c>
      <c r="U102" s="11" t="s">
        <v>311</v>
      </c>
      <c r="V102" s="11" t="s">
        <v>1250</v>
      </c>
      <c r="W102" s="11" t="s">
        <v>1251</v>
      </c>
      <c r="X102" s="11" t="s">
        <v>484</v>
      </c>
      <c r="Y102" s="11" t="s">
        <v>486</v>
      </c>
      <c r="Z102" s="11" t="s">
        <v>71</v>
      </c>
      <c r="AA102" s="11"/>
      <c r="AB102" s="13">
        <v>3</v>
      </c>
      <c r="AC102" s="11" t="s">
        <v>1504</v>
      </c>
      <c r="AD102" s="11"/>
      <c r="AE102" s="11"/>
      <c r="AF102" s="14">
        <v>46203</v>
      </c>
      <c r="AG102" s="11" t="s">
        <v>1267</v>
      </c>
      <c r="AH102" s="11" t="s">
        <v>1263</v>
      </c>
    </row>
    <row r="103" spans="1:34" ht="17.25" customHeight="1" x14ac:dyDescent="0.25">
      <c r="A103" s="11" t="s">
        <v>61</v>
      </c>
      <c r="B103" s="11" t="s">
        <v>62</v>
      </c>
      <c r="C103" s="11"/>
      <c r="D103" s="11" t="s">
        <v>1254</v>
      </c>
      <c r="E103" s="11" t="s">
        <v>320</v>
      </c>
      <c r="F103" s="11"/>
      <c r="G103" s="11" t="s">
        <v>321</v>
      </c>
      <c r="H103" s="11" t="s">
        <v>322</v>
      </c>
      <c r="I103" s="11" t="s">
        <v>322</v>
      </c>
      <c r="J103" s="11"/>
      <c r="K103" s="11" t="s">
        <v>323</v>
      </c>
      <c r="L103" s="11" t="s">
        <v>324</v>
      </c>
      <c r="M103" s="11" t="s">
        <v>1273</v>
      </c>
      <c r="N103" s="11" t="s">
        <v>1274</v>
      </c>
      <c r="O103" s="11" t="s">
        <v>118</v>
      </c>
      <c r="P103" s="11" t="s">
        <v>1252</v>
      </c>
      <c r="Q103" s="11" t="s">
        <v>1297</v>
      </c>
      <c r="R103" s="11" t="s">
        <v>54</v>
      </c>
      <c r="S103" s="12">
        <v>6.12</v>
      </c>
      <c r="T103" s="12">
        <v>12.24</v>
      </c>
      <c r="U103" s="11" t="s">
        <v>311</v>
      </c>
      <c r="V103" s="11" t="s">
        <v>1250</v>
      </c>
      <c r="W103" s="11" t="s">
        <v>1251</v>
      </c>
      <c r="X103" s="11" t="s">
        <v>1296</v>
      </c>
      <c r="Y103" s="11" t="s">
        <v>1298</v>
      </c>
      <c r="Z103" s="11" t="s">
        <v>71</v>
      </c>
      <c r="AA103" s="11"/>
      <c r="AB103" s="13">
        <v>2</v>
      </c>
      <c r="AC103" s="11" t="s">
        <v>1504</v>
      </c>
      <c r="AD103" s="11"/>
      <c r="AE103" s="11"/>
      <c r="AF103" s="14">
        <v>46203</v>
      </c>
      <c r="AG103" s="11" t="s">
        <v>1267</v>
      </c>
      <c r="AH103" s="11" t="s">
        <v>1263</v>
      </c>
    </row>
    <row r="104" spans="1:34" ht="17.25" customHeight="1" x14ac:dyDescent="0.25">
      <c r="A104" s="11" t="s">
        <v>61</v>
      </c>
      <c r="B104" s="11" t="s">
        <v>62</v>
      </c>
      <c r="C104" s="11"/>
      <c r="D104" s="11" t="s">
        <v>1254</v>
      </c>
      <c r="E104" s="11" t="s">
        <v>320</v>
      </c>
      <c r="F104" s="11"/>
      <c r="G104" s="11" t="s">
        <v>321</v>
      </c>
      <c r="H104" s="11" t="s">
        <v>322</v>
      </c>
      <c r="I104" s="11" t="s">
        <v>322</v>
      </c>
      <c r="J104" s="11"/>
      <c r="K104" s="11" t="s">
        <v>323</v>
      </c>
      <c r="L104" s="11" t="s">
        <v>324</v>
      </c>
      <c r="M104" s="11" t="s">
        <v>1273</v>
      </c>
      <c r="N104" s="11" t="s">
        <v>1274</v>
      </c>
      <c r="O104" s="11" t="s">
        <v>118</v>
      </c>
      <c r="P104" s="11" t="s">
        <v>1252</v>
      </c>
      <c r="Q104" s="11" t="s">
        <v>1150</v>
      </c>
      <c r="R104" s="11" t="s">
        <v>54</v>
      </c>
      <c r="S104" s="12">
        <v>12</v>
      </c>
      <c r="T104" s="12">
        <v>300</v>
      </c>
      <c r="U104" s="11" t="s">
        <v>311</v>
      </c>
      <c r="V104" s="11" t="s">
        <v>1250</v>
      </c>
      <c r="W104" s="11" t="s">
        <v>1251</v>
      </c>
      <c r="X104" s="11" t="s">
        <v>1149</v>
      </c>
      <c r="Y104" s="11" t="s">
        <v>1151</v>
      </c>
      <c r="Z104" s="11" t="s">
        <v>71</v>
      </c>
      <c r="AA104" s="11"/>
      <c r="AB104" s="13">
        <v>25</v>
      </c>
      <c r="AC104" s="11" t="s">
        <v>1504</v>
      </c>
      <c r="AD104" s="11"/>
      <c r="AE104" s="11"/>
      <c r="AF104" s="14">
        <v>46203</v>
      </c>
      <c r="AG104" s="11" t="s">
        <v>1267</v>
      </c>
      <c r="AH104" s="11" t="s">
        <v>1263</v>
      </c>
    </row>
    <row r="105" spans="1:34" ht="17.25" customHeight="1" x14ac:dyDescent="0.25">
      <c r="A105" s="11" t="s">
        <v>61</v>
      </c>
      <c r="B105" s="11" t="s">
        <v>62</v>
      </c>
      <c r="C105" s="11"/>
      <c r="D105" s="11" t="s">
        <v>1254</v>
      </c>
      <c r="E105" s="11" t="s">
        <v>320</v>
      </c>
      <c r="F105" s="11"/>
      <c r="G105" s="11" t="s">
        <v>321</v>
      </c>
      <c r="H105" s="11" t="s">
        <v>322</v>
      </c>
      <c r="I105" s="11" t="s">
        <v>322</v>
      </c>
      <c r="J105" s="11"/>
      <c r="K105" s="11" t="s">
        <v>323</v>
      </c>
      <c r="L105" s="11" t="s">
        <v>324</v>
      </c>
      <c r="M105" s="11" t="s">
        <v>1273</v>
      </c>
      <c r="N105" s="11" t="s">
        <v>1274</v>
      </c>
      <c r="O105" s="11" t="s">
        <v>118</v>
      </c>
      <c r="P105" s="11" t="s">
        <v>1252</v>
      </c>
      <c r="Q105" s="11" t="s">
        <v>1301</v>
      </c>
      <c r="R105" s="11" t="s">
        <v>54</v>
      </c>
      <c r="S105" s="12">
        <v>9.6</v>
      </c>
      <c r="T105" s="12">
        <v>192</v>
      </c>
      <c r="U105" s="11" t="s">
        <v>311</v>
      </c>
      <c r="V105" s="11" t="s">
        <v>1250</v>
      </c>
      <c r="W105" s="11" t="s">
        <v>1251</v>
      </c>
      <c r="X105" s="11" t="s">
        <v>1300</v>
      </c>
      <c r="Y105" s="11" t="s">
        <v>1302</v>
      </c>
      <c r="Z105" s="11" t="s">
        <v>71</v>
      </c>
      <c r="AA105" s="11"/>
      <c r="AB105" s="13">
        <v>20</v>
      </c>
      <c r="AC105" s="11" t="s">
        <v>1504</v>
      </c>
      <c r="AD105" s="11"/>
      <c r="AE105" s="11"/>
      <c r="AF105" s="14">
        <v>46203</v>
      </c>
      <c r="AG105" s="11" t="s">
        <v>1267</v>
      </c>
      <c r="AH105" s="11" t="s">
        <v>1263</v>
      </c>
    </row>
    <row r="106" spans="1:34" ht="17.25" customHeight="1" x14ac:dyDescent="0.25">
      <c r="A106" s="11" t="s">
        <v>61</v>
      </c>
      <c r="B106" s="11" t="s">
        <v>62</v>
      </c>
      <c r="C106" s="11"/>
      <c r="D106" s="11" t="s">
        <v>1254</v>
      </c>
      <c r="E106" s="11" t="s">
        <v>320</v>
      </c>
      <c r="F106" s="11"/>
      <c r="G106" s="11" t="s">
        <v>321</v>
      </c>
      <c r="H106" s="11" t="s">
        <v>322</v>
      </c>
      <c r="I106" s="11" t="s">
        <v>322</v>
      </c>
      <c r="J106" s="11"/>
      <c r="K106" s="11" t="s">
        <v>323</v>
      </c>
      <c r="L106" s="11" t="s">
        <v>324</v>
      </c>
      <c r="M106" s="11" t="s">
        <v>1273</v>
      </c>
      <c r="N106" s="11" t="s">
        <v>1274</v>
      </c>
      <c r="O106" s="11" t="s">
        <v>118</v>
      </c>
      <c r="P106" s="11" t="s">
        <v>1252</v>
      </c>
      <c r="Q106" s="11" t="s">
        <v>335</v>
      </c>
      <c r="R106" s="11" t="s">
        <v>54</v>
      </c>
      <c r="S106" s="12">
        <v>10.8</v>
      </c>
      <c r="T106" s="12">
        <v>432</v>
      </c>
      <c r="U106" s="11" t="s">
        <v>311</v>
      </c>
      <c r="V106" s="11" t="s">
        <v>1250</v>
      </c>
      <c r="W106" s="11" t="s">
        <v>1251</v>
      </c>
      <c r="X106" s="11" t="s">
        <v>334</v>
      </c>
      <c r="Y106" s="11" t="s">
        <v>336</v>
      </c>
      <c r="Z106" s="11" t="s">
        <v>71</v>
      </c>
      <c r="AA106" s="11"/>
      <c r="AB106" s="13">
        <v>40</v>
      </c>
      <c r="AC106" s="11" t="s">
        <v>1504</v>
      </c>
      <c r="AD106" s="11"/>
      <c r="AE106" s="11"/>
      <c r="AF106" s="14">
        <v>46203</v>
      </c>
      <c r="AG106" s="11" t="s">
        <v>1267</v>
      </c>
      <c r="AH106" s="11" t="s">
        <v>1263</v>
      </c>
    </row>
    <row r="107" spans="1:34" ht="17.25" customHeight="1" x14ac:dyDescent="0.25">
      <c r="A107" s="11" t="s">
        <v>61</v>
      </c>
      <c r="B107" s="11" t="s">
        <v>62</v>
      </c>
      <c r="C107" s="11"/>
      <c r="D107" s="11" t="s">
        <v>1254</v>
      </c>
      <c r="E107" s="11" t="s">
        <v>320</v>
      </c>
      <c r="F107" s="11"/>
      <c r="G107" s="11" t="s">
        <v>321</v>
      </c>
      <c r="H107" s="11" t="s">
        <v>322</v>
      </c>
      <c r="I107" s="11" t="s">
        <v>322</v>
      </c>
      <c r="J107" s="11"/>
      <c r="K107" s="11" t="s">
        <v>323</v>
      </c>
      <c r="L107" s="11" t="s">
        <v>324</v>
      </c>
      <c r="M107" s="11" t="s">
        <v>1273</v>
      </c>
      <c r="N107" s="11" t="s">
        <v>1274</v>
      </c>
      <c r="O107" s="11" t="s">
        <v>118</v>
      </c>
      <c r="P107" s="11" t="s">
        <v>1252</v>
      </c>
      <c r="Q107" s="11" t="s">
        <v>1306</v>
      </c>
      <c r="R107" s="11" t="s">
        <v>54</v>
      </c>
      <c r="S107" s="12">
        <v>15</v>
      </c>
      <c r="T107" s="12">
        <v>45</v>
      </c>
      <c r="U107" s="11" t="s">
        <v>311</v>
      </c>
      <c r="V107" s="11" t="s">
        <v>1250</v>
      </c>
      <c r="W107" s="11" t="s">
        <v>1251</v>
      </c>
      <c r="X107" s="11" t="s">
        <v>1305</v>
      </c>
      <c r="Y107" s="11" t="s">
        <v>1307</v>
      </c>
      <c r="Z107" s="11" t="s">
        <v>71</v>
      </c>
      <c r="AA107" s="11"/>
      <c r="AB107" s="13">
        <v>3</v>
      </c>
      <c r="AC107" s="11" t="s">
        <v>1504</v>
      </c>
      <c r="AD107" s="11"/>
      <c r="AE107" s="11"/>
      <c r="AF107" s="14">
        <v>46203</v>
      </c>
      <c r="AG107" s="11" t="s">
        <v>1267</v>
      </c>
      <c r="AH107" s="11" t="s">
        <v>1263</v>
      </c>
    </row>
    <row r="108" spans="1:34" ht="17.25" customHeight="1" x14ac:dyDescent="0.25">
      <c r="A108" s="11" t="s">
        <v>61</v>
      </c>
      <c r="B108" s="11" t="s">
        <v>62</v>
      </c>
      <c r="C108" s="11"/>
      <c r="D108" s="11" t="s">
        <v>1254</v>
      </c>
      <c r="E108" s="11" t="s">
        <v>320</v>
      </c>
      <c r="F108" s="11"/>
      <c r="G108" s="11" t="s">
        <v>321</v>
      </c>
      <c r="H108" s="11" t="s">
        <v>322</v>
      </c>
      <c r="I108" s="11" t="s">
        <v>322</v>
      </c>
      <c r="J108" s="11"/>
      <c r="K108" s="11" t="s">
        <v>323</v>
      </c>
      <c r="L108" s="11" t="s">
        <v>324</v>
      </c>
      <c r="M108" s="11" t="s">
        <v>1273</v>
      </c>
      <c r="N108" s="11" t="s">
        <v>1274</v>
      </c>
      <c r="O108" s="11" t="s">
        <v>118</v>
      </c>
      <c r="P108" s="11" t="s">
        <v>1252</v>
      </c>
      <c r="Q108" s="11" t="s">
        <v>1309</v>
      </c>
      <c r="R108" s="11" t="s">
        <v>54</v>
      </c>
      <c r="S108" s="12">
        <v>12</v>
      </c>
      <c r="T108" s="12">
        <v>240</v>
      </c>
      <c r="U108" s="11" t="s">
        <v>311</v>
      </c>
      <c r="V108" s="11" t="s">
        <v>1250</v>
      </c>
      <c r="W108" s="11" t="s">
        <v>1251</v>
      </c>
      <c r="X108" s="11" t="s">
        <v>1308</v>
      </c>
      <c r="Y108" s="11" t="s">
        <v>1310</v>
      </c>
      <c r="Z108" s="11" t="s">
        <v>71</v>
      </c>
      <c r="AA108" s="11"/>
      <c r="AB108" s="13">
        <v>20</v>
      </c>
      <c r="AC108" s="11" t="s">
        <v>1504</v>
      </c>
      <c r="AD108" s="11"/>
      <c r="AE108" s="11"/>
      <c r="AF108" s="14">
        <v>46203</v>
      </c>
      <c r="AG108" s="11" t="s">
        <v>1267</v>
      </c>
      <c r="AH108" s="11" t="s">
        <v>1263</v>
      </c>
    </row>
    <row r="109" spans="1:34" ht="17.25" customHeight="1" x14ac:dyDescent="0.25">
      <c r="A109" s="11" t="s">
        <v>61</v>
      </c>
      <c r="B109" s="11" t="s">
        <v>62</v>
      </c>
      <c r="C109" s="11"/>
      <c r="D109" s="11" t="s">
        <v>1259</v>
      </c>
      <c r="E109" s="11" t="s">
        <v>320</v>
      </c>
      <c r="F109" s="11"/>
      <c r="G109" s="11" t="s">
        <v>321</v>
      </c>
      <c r="H109" s="11" t="s">
        <v>322</v>
      </c>
      <c r="I109" s="11" t="s">
        <v>322</v>
      </c>
      <c r="J109" s="11" t="s">
        <v>98</v>
      </c>
      <c r="K109" s="11" t="s">
        <v>323</v>
      </c>
      <c r="L109" s="11" t="s">
        <v>324</v>
      </c>
      <c r="M109" s="11" t="s">
        <v>1313</v>
      </c>
      <c r="N109" s="11" t="s">
        <v>1314</v>
      </c>
      <c r="O109" s="11" t="s">
        <v>118</v>
      </c>
      <c r="P109" s="11" t="s">
        <v>1252</v>
      </c>
      <c r="Q109" s="11" t="s">
        <v>1276</v>
      </c>
      <c r="R109" s="11" t="s">
        <v>54</v>
      </c>
      <c r="S109" s="12">
        <v>13.096</v>
      </c>
      <c r="T109" s="12">
        <v>1047.68</v>
      </c>
      <c r="U109" s="11" t="s">
        <v>311</v>
      </c>
      <c r="V109" s="11" t="s">
        <v>1250</v>
      </c>
      <c r="W109" s="11" t="s">
        <v>1251</v>
      </c>
      <c r="X109" s="11" t="s">
        <v>1275</v>
      </c>
      <c r="Y109" s="11" t="s">
        <v>1277</v>
      </c>
      <c r="Z109" s="11" t="s">
        <v>71</v>
      </c>
      <c r="AA109" s="11"/>
      <c r="AB109" s="13">
        <v>80</v>
      </c>
      <c r="AC109" s="11" t="s">
        <v>1504</v>
      </c>
      <c r="AD109" s="11"/>
      <c r="AE109" s="11"/>
      <c r="AF109" s="14">
        <v>46203</v>
      </c>
      <c r="AG109" s="11" t="s">
        <v>1311</v>
      </c>
      <c r="AH109" s="11" t="s">
        <v>1263</v>
      </c>
    </row>
    <row r="110" spans="1:34" ht="17.25" customHeight="1" x14ac:dyDescent="0.25">
      <c r="A110" s="11" t="s">
        <v>61</v>
      </c>
      <c r="B110" s="11" t="s">
        <v>62</v>
      </c>
      <c r="C110" s="11"/>
      <c r="D110" s="11" t="s">
        <v>1259</v>
      </c>
      <c r="E110" s="11" t="s">
        <v>320</v>
      </c>
      <c r="F110" s="11"/>
      <c r="G110" s="11" t="s">
        <v>321</v>
      </c>
      <c r="H110" s="11" t="s">
        <v>322</v>
      </c>
      <c r="I110" s="11" t="s">
        <v>322</v>
      </c>
      <c r="J110" s="11" t="s">
        <v>98</v>
      </c>
      <c r="K110" s="11" t="s">
        <v>323</v>
      </c>
      <c r="L110" s="11" t="s">
        <v>324</v>
      </c>
      <c r="M110" s="11" t="s">
        <v>1313</v>
      </c>
      <c r="N110" s="11" t="s">
        <v>1314</v>
      </c>
      <c r="O110" s="11" t="s">
        <v>118</v>
      </c>
      <c r="P110" s="11" t="s">
        <v>1252</v>
      </c>
      <c r="Q110" s="11" t="s">
        <v>490</v>
      </c>
      <c r="R110" s="11" t="s">
        <v>54</v>
      </c>
      <c r="S110" s="12">
        <v>12</v>
      </c>
      <c r="T110" s="12">
        <v>24</v>
      </c>
      <c r="U110" s="11" t="s">
        <v>311</v>
      </c>
      <c r="V110" s="11" t="s">
        <v>1250</v>
      </c>
      <c r="W110" s="11" t="s">
        <v>1251</v>
      </c>
      <c r="X110" s="11" t="s">
        <v>489</v>
      </c>
      <c r="Y110" s="11" t="s">
        <v>491</v>
      </c>
      <c r="Z110" s="11" t="s">
        <v>71</v>
      </c>
      <c r="AA110" s="11"/>
      <c r="AB110" s="13">
        <v>2</v>
      </c>
      <c r="AC110" s="11" t="s">
        <v>1504</v>
      </c>
      <c r="AD110" s="11"/>
      <c r="AE110" s="11"/>
      <c r="AF110" s="14">
        <v>46203</v>
      </c>
      <c r="AG110" s="11" t="s">
        <v>1311</v>
      </c>
      <c r="AH110" s="11" t="s">
        <v>1263</v>
      </c>
    </row>
    <row r="111" spans="1:34" ht="17.25" customHeight="1" x14ac:dyDescent="0.25">
      <c r="A111" s="11" t="s">
        <v>699</v>
      </c>
      <c r="B111" s="11" t="s">
        <v>700</v>
      </c>
      <c r="C111" s="11"/>
      <c r="D111" s="11" t="s">
        <v>947</v>
      </c>
      <c r="E111" s="11" t="s">
        <v>946</v>
      </c>
      <c r="F111" s="11"/>
      <c r="G111" s="11" t="s">
        <v>948</v>
      </c>
      <c r="H111" s="11" t="s">
        <v>577</v>
      </c>
      <c r="I111" s="11" t="s">
        <v>888</v>
      </c>
      <c r="J111" s="11" t="s">
        <v>949</v>
      </c>
      <c r="K111" s="11" t="s">
        <v>114</v>
      </c>
      <c r="L111" s="11" t="s">
        <v>115</v>
      </c>
      <c r="M111" s="11" t="s">
        <v>950</v>
      </c>
      <c r="N111" s="11" t="s">
        <v>951</v>
      </c>
      <c r="O111" s="11" t="s">
        <v>118</v>
      </c>
      <c r="P111" s="11" t="s">
        <v>939</v>
      </c>
      <c r="Q111" s="11" t="s">
        <v>941</v>
      </c>
      <c r="R111" s="11" t="s">
        <v>280</v>
      </c>
      <c r="S111" s="12">
        <v>1</v>
      </c>
      <c r="T111" s="12">
        <v>6720</v>
      </c>
      <c r="U111" s="11" t="s">
        <v>101</v>
      </c>
      <c r="V111" s="11" t="s">
        <v>937</v>
      </c>
      <c r="W111" s="11" t="s">
        <v>938</v>
      </c>
      <c r="X111" s="11" t="s">
        <v>940</v>
      </c>
      <c r="Y111" s="11" t="s">
        <v>942</v>
      </c>
      <c r="Z111" s="11" t="s">
        <v>71</v>
      </c>
      <c r="AA111" s="11"/>
      <c r="AB111" s="13">
        <v>6.72</v>
      </c>
      <c r="AC111" s="11" t="s">
        <v>1505</v>
      </c>
      <c r="AD111" s="11"/>
      <c r="AE111" s="11"/>
      <c r="AF111" s="14">
        <v>46203</v>
      </c>
      <c r="AG111" s="11" t="s">
        <v>935</v>
      </c>
      <c r="AH111" s="11" t="s">
        <v>945</v>
      </c>
    </row>
    <row r="112" spans="1:34" ht="17.25" customHeight="1" x14ac:dyDescent="0.25">
      <c r="A112" s="11" t="s">
        <v>61</v>
      </c>
      <c r="B112" s="11" t="s">
        <v>522</v>
      </c>
      <c r="C112" s="11"/>
      <c r="D112" s="11" t="s">
        <v>1077</v>
      </c>
      <c r="E112" s="11" t="s">
        <v>977</v>
      </c>
      <c r="F112" s="11"/>
      <c r="G112" s="11" t="s">
        <v>979</v>
      </c>
      <c r="H112" s="11" t="s">
        <v>980</v>
      </c>
      <c r="I112" s="11" t="s">
        <v>980</v>
      </c>
      <c r="J112" s="11" t="s">
        <v>1078</v>
      </c>
      <c r="K112" s="11" t="s">
        <v>114</v>
      </c>
      <c r="L112" s="11" t="s">
        <v>115</v>
      </c>
      <c r="M112" s="11" t="s">
        <v>1079</v>
      </c>
      <c r="N112" s="11" t="s">
        <v>1080</v>
      </c>
      <c r="O112" s="11" t="s">
        <v>118</v>
      </c>
      <c r="P112" s="11" t="s">
        <v>987</v>
      </c>
      <c r="Q112" s="11" t="s">
        <v>802</v>
      </c>
      <c r="R112" s="11" t="s">
        <v>428</v>
      </c>
      <c r="S112" s="12">
        <v>25</v>
      </c>
      <c r="T112" s="12">
        <v>250</v>
      </c>
      <c r="U112" s="11" t="s">
        <v>101</v>
      </c>
      <c r="V112" s="11" t="s">
        <v>997</v>
      </c>
      <c r="W112" s="11" t="s">
        <v>971</v>
      </c>
      <c r="X112" s="11" t="s">
        <v>801</v>
      </c>
      <c r="Y112" s="11" t="s">
        <v>803</v>
      </c>
      <c r="Z112" s="11" t="s">
        <v>71</v>
      </c>
      <c r="AA112" s="11" t="s">
        <v>1076</v>
      </c>
      <c r="AB112" s="13">
        <v>10</v>
      </c>
      <c r="AC112" s="11" t="s">
        <v>1499</v>
      </c>
      <c r="AD112" s="11"/>
      <c r="AE112" s="11"/>
      <c r="AF112" s="14">
        <v>46203</v>
      </c>
      <c r="AG112" s="11" t="s">
        <v>1075</v>
      </c>
      <c r="AH112" s="11"/>
    </row>
    <row r="113" spans="1:34" ht="17.25" customHeight="1" x14ac:dyDescent="0.25">
      <c r="A113" s="11" t="s">
        <v>61</v>
      </c>
      <c r="B113" s="11" t="s">
        <v>62</v>
      </c>
      <c r="C113" s="11"/>
      <c r="D113" s="11" t="s">
        <v>1350</v>
      </c>
      <c r="E113" s="11" t="s">
        <v>109</v>
      </c>
      <c r="F113" s="11"/>
      <c r="G113" s="11" t="s">
        <v>111</v>
      </c>
      <c r="H113" s="11" t="s">
        <v>112</v>
      </c>
      <c r="I113" s="11" t="s">
        <v>113</v>
      </c>
      <c r="J113" s="11"/>
      <c r="K113" s="11" t="s">
        <v>114</v>
      </c>
      <c r="L113" s="11" t="s">
        <v>115</v>
      </c>
      <c r="M113" s="11" t="s">
        <v>1351</v>
      </c>
      <c r="N113" s="11" t="s">
        <v>1352</v>
      </c>
      <c r="O113" s="11" t="s">
        <v>118</v>
      </c>
      <c r="P113" s="11" t="s">
        <v>1346</v>
      </c>
      <c r="Q113" s="11" t="s">
        <v>242</v>
      </c>
      <c r="R113" s="11" t="s">
        <v>54</v>
      </c>
      <c r="S113" s="12">
        <v>10.92</v>
      </c>
      <c r="T113" s="12">
        <v>2784.6</v>
      </c>
      <c r="U113" s="11" t="s">
        <v>101</v>
      </c>
      <c r="V113" s="11" t="s">
        <v>1344</v>
      </c>
      <c r="W113" s="11" t="s">
        <v>1345</v>
      </c>
      <c r="X113" s="11" t="s">
        <v>241</v>
      </c>
      <c r="Y113" s="11" t="s">
        <v>243</v>
      </c>
      <c r="Z113" s="11" t="s">
        <v>71</v>
      </c>
      <c r="AA113" s="11"/>
      <c r="AB113" s="13">
        <v>255</v>
      </c>
      <c r="AC113" s="11" t="s">
        <v>1506</v>
      </c>
      <c r="AD113" s="11"/>
      <c r="AE113" s="11"/>
      <c r="AF113" s="14">
        <v>46203</v>
      </c>
      <c r="AG113" s="11" t="s">
        <v>1342</v>
      </c>
      <c r="AH113" s="11" t="s">
        <v>1349</v>
      </c>
    </row>
    <row r="114" spans="1:34" ht="17.25" customHeight="1" x14ac:dyDescent="0.25">
      <c r="A114" s="11" t="s">
        <v>61</v>
      </c>
      <c r="B114" s="11" t="s">
        <v>62</v>
      </c>
      <c r="C114" s="11"/>
      <c r="D114" s="11" t="s">
        <v>1350</v>
      </c>
      <c r="E114" s="11" t="s">
        <v>109</v>
      </c>
      <c r="F114" s="11"/>
      <c r="G114" s="11" t="s">
        <v>111</v>
      </c>
      <c r="H114" s="11" t="s">
        <v>112</v>
      </c>
      <c r="I114" s="11" t="s">
        <v>113</v>
      </c>
      <c r="J114" s="11"/>
      <c r="K114" s="11" t="s">
        <v>114</v>
      </c>
      <c r="L114" s="11" t="s">
        <v>115</v>
      </c>
      <c r="M114" s="11" t="s">
        <v>1351</v>
      </c>
      <c r="N114" s="11" t="s">
        <v>1352</v>
      </c>
      <c r="O114" s="11" t="s">
        <v>118</v>
      </c>
      <c r="P114" s="11" t="s">
        <v>1346</v>
      </c>
      <c r="Q114" s="11" t="s">
        <v>141</v>
      </c>
      <c r="R114" s="11" t="s">
        <v>54</v>
      </c>
      <c r="S114" s="12">
        <v>10.92</v>
      </c>
      <c r="T114" s="12">
        <v>3712.8</v>
      </c>
      <c r="U114" s="11" t="s">
        <v>101</v>
      </c>
      <c r="V114" s="11" t="s">
        <v>1344</v>
      </c>
      <c r="W114" s="11" t="s">
        <v>1345</v>
      </c>
      <c r="X114" s="11" t="s">
        <v>140</v>
      </c>
      <c r="Y114" s="11" t="s">
        <v>142</v>
      </c>
      <c r="Z114" s="11" t="s">
        <v>71</v>
      </c>
      <c r="AA114" s="11"/>
      <c r="AB114" s="13">
        <v>340</v>
      </c>
      <c r="AC114" s="11" t="s">
        <v>1506</v>
      </c>
      <c r="AD114" s="11"/>
      <c r="AE114" s="11"/>
      <c r="AF114" s="14">
        <v>46203</v>
      </c>
      <c r="AG114" s="11" t="s">
        <v>1342</v>
      </c>
      <c r="AH114" s="11" t="s">
        <v>1349</v>
      </c>
    </row>
    <row r="115" spans="1:34" ht="17.25" customHeight="1" x14ac:dyDescent="0.25">
      <c r="A115" s="11" t="s">
        <v>61</v>
      </c>
      <c r="B115" s="11" t="s">
        <v>62</v>
      </c>
      <c r="C115" s="11"/>
      <c r="D115" s="11" t="s">
        <v>1350</v>
      </c>
      <c r="E115" s="11" t="s">
        <v>109</v>
      </c>
      <c r="F115" s="11"/>
      <c r="G115" s="11" t="s">
        <v>111</v>
      </c>
      <c r="H115" s="11" t="s">
        <v>112</v>
      </c>
      <c r="I115" s="11" t="s">
        <v>113</v>
      </c>
      <c r="J115" s="11"/>
      <c r="K115" s="11" t="s">
        <v>114</v>
      </c>
      <c r="L115" s="11" t="s">
        <v>115</v>
      </c>
      <c r="M115" s="11" t="s">
        <v>1351</v>
      </c>
      <c r="N115" s="11" t="s">
        <v>1352</v>
      </c>
      <c r="O115" s="11" t="s">
        <v>118</v>
      </c>
      <c r="P115" s="11" t="s">
        <v>1346</v>
      </c>
      <c r="Q115" s="11" t="s">
        <v>307</v>
      </c>
      <c r="R115" s="11" t="s">
        <v>54</v>
      </c>
      <c r="S115" s="12">
        <v>9.61</v>
      </c>
      <c r="T115" s="12">
        <v>816.84999999999991</v>
      </c>
      <c r="U115" s="11" t="s">
        <v>101</v>
      </c>
      <c r="V115" s="11" t="s">
        <v>1344</v>
      </c>
      <c r="W115" s="11" t="s">
        <v>1345</v>
      </c>
      <c r="X115" s="11" t="s">
        <v>306</v>
      </c>
      <c r="Y115" s="11" t="s">
        <v>308</v>
      </c>
      <c r="Z115" s="11" t="s">
        <v>71</v>
      </c>
      <c r="AA115" s="11"/>
      <c r="AB115" s="13">
        <v>85</v>
      </c>
      <c r="AC115" s="11" t="s">
        <v>1506</v>
      </c>
      <c r="AD115" s="11"/>
      <c r="AE115" s="11"/>
      <c r="AF115" s="14">
        <v>46203</v>
      </c>
      <c r="AG115" s="11" t="s">
        <v>1342</v>
      </c>
      <c r="AH115" s="11" t="s">
        <v>1349</v>
      </c>
    </row>
    <row r="116" spans="1:34" ht="17.25" customHeight="1" x14ac:dyDescent="0.25">
      <c r="A116" s="11" t="s">
        <v>61</v>
      </c>
      <c r="B116" s="11" t="s">
        <v>62</v>
      </c>
      <c r="C116" s="11"/>
      <c r="D116" s="11" t="s">
        <v>1350</v>
      </c>
      <c r="E116" s="11" t="s">
        <v>109</v>
      </c>
      <c r="F116" s="11"/>
      <c r="G116" s="11" t="s">
        <v>111</v>
      </c>
      <c r="H116" s="11" t="s">
        <v>112</v>
      </c>
      <c r="I116" s="11" t="s">
        <v>113</v>
      </c>
      <c r="J116" s="11"/>
      <c r="K116" s="11" t="s">
        <v>114</v>
      </c>
      <c r="L116" s="11" t="s">
        <v>115</v>
      </c>
      <c r="M116" s="11" t="s">
        <v>1351</v>
      </c>
      <c r="N116" s="11" t="s">
        <v>1352</v>
      </c>
      <c r="O116" s="11" t="s">
        <v>118</v>
      </c>
      <c r="P116" s="11" t="s">
        <v>1346</v>
      </c>
      <c r="Q116" s="11" t="s">
        <v>152</v>
      </c>
      <c r="R116" s="11" t="s">
        <v>54</v>
      </c>
      <c r="S116" s="12">
        <v>18.2</v>
      </c>
      <c r="T116" s="12">
        <v>3931.2</v>
      </c>
      <c r="U116" s="11" t="s">
        <v>101</v>
      </c>
      <c r="V116" s="11" t="s">
        <v>1344</v>
      </c>
      <c r="W116" s="11" t="s">
        <v>1345</v>
      </c>
      <c r="X116" s="11" t="s">
        <v>151</v>
      </c>
      <c r="Y116" s="11" t="s">
        <v>153</v>
      </c>
      <c r="Z116" s="11" t="s">
        <v>71</v>
      </c>
      <c r="AA116" s="11"/>
      <c r="AB116" s="13">
        <v>216</v>
      </c>
      <c r="AC116" s="11" t="s">
        <v>1506</v>
      </c>
      <c r="AD116" s="11"/>
      <c r="AE116" s="11"/>
      <c r="AF116" s="14">
        <v>46203</v>
      </c>
      <c r="AG116" s="11" t="s">
        <v>1342</v>
      </c>
      <c r="AH116" s="11" t="s">
        <v>1349</v>
      </c>
    </row>
    <row r="117" spans="1:34" ht="17.25" customHeight="1" x14ac:dyDescent="0.25">
      <c r="A117" s="11" t="s">
        <v>61</v>
      </c>
      <c r="B117" s="11" t="s">
        <v>62</v>
      </c>
      <c r="C117" s="11"/>
      <c r="D117" s="11" t="s">
        <v>1350</v>
      </c>
      <c r="E117" s="11" t="s">
        <v>109</v>
      </c>
      <c r="F117" s="11"/>
      <c r="G117" s="11" t="s">
        <v>111</v>
      </c>
      <c r="H117" s="11" t="s">
        <v>112</v>
      </c>
      <c r="I117" s="11" t="s">
        <v>113</v>
      </c>
      <c r="J117" s="11"/>
      <c r="K117" s="11" t="s">
        <v>114</v>
      </c>
      <c r="L117" s="11" t="s">
        <v>115</v>
      </c>
      <c r="M117" s="11" t="s">
        <v>1351</v>
      </c>
      <c r="N117" s="11" t="s">
        <v>1352</v>
      </c>
      <c r="O117" s="11" t="s">
        <v>118</v>
      </c>
      <c r="P117" s="11" t="s">
        <v>1346</v>
      </c>
      <c r="Q117" s="11" t="s">
        <v>432</v>
      </c>
      <c r="R117" s="11" t="s">
        <v>428</v>
      </c>
      <c r="S117" s="12">
        <v>25</v>
      </c>
      <c r="T117" s="12">
        <v>2625</v>
      </c>
      <c r="U117" s="11" t="s">
        <v>101</v>
      </c>
      <c r="V117" s="11" t="s">
        <v>1344</v>
      </c>
      <c r="W117" s="11" t="s">
        <v>1345</v>
      </c>
      <c r="X117" s="11" t="s">
        <v>431</v>
      </c>
      <c r="Y117" s="11" t="s">
        <v>433</v>
      </c>
      <c r="Z117" s="11" t="s">
        <v>71</v>
      </c>
      <c r="AA117" s="11"/>
      <c r="AB117" s="13">
        <v>105</v>
      </c>
      <c r="AC117" s="11" t="s">
        <v>1506</v>
      </c>
      <c r="AD117" s="11"/>
      <c r="AE117" s="11"/>
      <c r="AF117" s="14">
        <v>46203</v>
      </c>
      <c r="AG117" s="11" t="s">
        <v>1342</v>
      </c>
      <c r="AH117" s="11" t="s">
        <v>1349</v>
      </c>
    </row>
    <row r="118" spans="1:34" ht="17.25" customHeight="1" x14ac:dyDescent="0.25">
      <c r="A118" s="11" t="s">
        <v>699</v>
      </c>
      <c r="B118" s="11" t="s">
        <v>700</v>
      </c>
      <c r="C118" s="11"/>
      <c r="D118" s="11" t="s">
        <v>698</v>
      </c>
      <c r="E118" s="11" t="s">
        <v>283</v>
      </c>
      <c r="F118" s="11"/>
      <c r="G118" s="11" t="s">
        <v>285</v>
      </c>
      <c r="H118" s="11" t="s">
        <v>459</v>
      </c>
      <c r="I118" s="11" t="s">
        <v>272</v>
      </c>
      <c r="J118" s="11" t="s">
        <v>701</v>
      </c>
      <c r="K118" s="11" t="s">
        <v>114</v>
      </c>
      <c r="L118" s="11" t="s">
        <v>115</v>
      </c>
      <c r="M118" s="11" t="s">
        <v>702</v>
      </c>
      <c r="N118" s="11" t="s">
        <v>703</v>
      </c>
      <c r="O118" s="11" t="s">
        <v>118</v>
      </c>
      <c r="P118" s="11" t="s">
        <v>691</v>
      </c>
      <c r="Q118" s="11" t="s">
        <v>693</v>
      </c>
      <c r="R118" s="11" t="s">
        <v>280</v>
      </c>
      <c r="S118" s="12">
        <v>18</v>
      </c>
      <c r="T118" s="12">
        <v>1800.0000000000016</v>
      </c>
      <c r="U118" s="11" t="s">
        <v>101</v>
      </c>
      <c r="V118" s="11" t="s">
        <v>689</v>
      </c>
      <c r="W118" s="11" t="s">
        <v>690</v>
      </c>
      <c r="X118" s="11" t="s">
        <v>692</v>
      </c>
      <c r="Y118" s="11" t="s">
        <v>694</v>
      </c>
      <c r="Z118" s="11" t="s">
        <v>71</v>
      </c>
      <c r="AA118" s="11"/>
      <c r="AB118" s="13">
        <v>1.8</v>
      </c>
      <c r="AC118" s="11" t="s">
        <v>1507</v>
      </c>
      <c r="AD118" s="11"/>
      <c r="AE118" s="11"/>
      <c r="AF118" s="14">
        <v>46203</v>
      </c>
      <c r="AG118" s="11" t="s">
        <v>687</v>
      </c>
      <c r="AH118" s="11" t="s">
        <v>697</v>
      </c>
    </row>
    <row r="119" spans="1:34" ht="17.25" customHeight="1" x14ac:dyDescent="0.25">
      <c r="A119" s="11" t="s">
        <v>699</v>
      </c>
      <c r="B119" s="11" t="s">
        <v>700</v>
      </c>
      <c r="C119" s="11"/>
      <c r="D119" s="11" t="s">
        <v>698</v>
      </c>
      <c r="E119" s="11" t="s">
        <v>283</v>
      </c>
      <c r="F119" s="11"/>
      <c r="G119" s="11" t="s">
        <v>285</v>
      </c>
      <c r="H119" s="11" t="s">
        <v>459</v>
      </c>
      <c r="I119" s="11" t="s">
        <v>272</v>
      </c>
      <c r="J119" s="11" t="s">
        <v>701</v>
      </c>
      <c r="K119" s="11" t="s">
        <v>114</v>
      </c>
      <c r="L119" s="11" t="s">
        <v>115</v>
      </c>
      <c r="M119" s="11" t="s">
        <v>916</v>
      </c>
      <c r="N119" s="11" t="s">
        <v>917</v>
      </c>
      <c r="O119" s="11" t="s">
        <v>118</v>
      </c>
      <c r="P119" s="11" t="s">
        <v>691</v>
      </c>
      <c r="Q119" s="11" t="s">
        <v>693</v>
      </c>
      <c r="R119" s="11" t="s">
        <v>280</v>
      </c>
      <c r="S119" s="12">
        <v>18</v>
      </c>
      <c r="T119" s="12">
        <v>1692.0000000000014</v>
      </c>
      <c r="U119" s="11" t="s">
        <v>101</v>
      </c>
      <c r="V119" s="11" t="s">
        <v>689</v>
      </c>
      <c r="W119" s="11" t="s">
        <v>690</v>
      </c>
      <c r="X119" s="11" t="s">
        <v>692</v>
      </c>
      <c r="Y119" s="11" t="s">
        <v>694</v>
      </c>
      <c r="Z119" s="11" t="s">
        <v>71</v>
      </c>
      <c r="AA119" s="11"/>
      <c r="AB119" s="13">
        <v>1.6919999999999999</v>
      </c>
      <c r="AC119" s="11" t="s">
        <v>1508</v>
      </c>
      <c r="AD119" s="11"/>
      <c r="AE119" s="11"/>
      <c r="AF119" s="14">
        <v>46203</v>
      </c>
      <c r="AG119" s="11" t="s">
        <v>911</v>
      </c>
      <c r="AH119" s="11" t="s">
        <v>915</v>
      </c>
    </row>
    <row r="120" spans="1:34" ht="17.25" customHeight="1" x14ac:dyDescent="0.25">
      <c r="A120" s="11" t="s">
        <v>699</v>
      </c>
      <c r="B120" s="11" t="s">
        <v>886</v>
      </c>
      <c r="C120" s="11"/>
      <c r="D120" s="11" t="s">
        <v>885</v>
      </c>
      <c r="E120" s="11" t="s">
        <v>884</v>
      </c>
      <c r="F120" s="11"/>
      <c r="G120" s="11" t="s">
        <v>887</v>
      </c>
      <c r="H120" s="11" t="s">
        <v>888</v>
      </c>
      <c r="I120" s="11" t="s">
        <v>272</v>
      </c>
      <c r="J120" s="11" t="s">
        <v>889</v>
      </c>
      <c r="K120" s="11" t="s">
        <v>114</v>
      </c>
      <c r="L120" s="11" t="s">
        <v>115</v>
      </c>
      <c r="M120" s="11" t="s">
        <v>890</v>
      </c>
      <c r="N120" s="11" t="s">
        <v>891</v>
      </c>
      <c r="O120" s="11" t="s">
        <v>118</v>
      </c>
      <c r="P120" s="11" t="s">
        <v>877</v>
      </c>
      <c r="Q120" s="11" t="s">
        <v>879</v>
      </c>
      <c r="R120" s="11" t="s">
        <v>280</v>
      </c>
      <c r="S120" s="12">
        <v>20</v>
      </c>
      <c r="T120" s="12">
        <v>1600</v>
      </c>
      <c r="U120" s="11" t="s">
        <v>101</v>
      </c>
      <c r="V120" s="11" t="s">
        <v>875</v>
      </c>
      <c r="W120" s="11" t="s">
        <v>876</v>
      </c>
      <c r="X120" s="11" t="s">
        <v>878</v>
      </c>
      <c r="Y120" s="11" t="s">
        <v>880</v>
      </c>
      <c r="Z120" s="11" t="s">
        <v>71</v>
      </c>
      <c r="AA120" s="11"/>
      <c r="AB120" s="13">
        <v>1.6</v>
      </c>
      <c r="AC120" s="11" t="s">
        <v>1492</v>
      </c>
      <c r="AD120" s="11"/>
      <c r="AE120" s="11"/>
      <c r="AF120" s="14">
        <v>46203</v>
      </c>
      <c r="AG120" s="11" t="s">
        <v>874</v>
      </c>
      <c r="AH120" s="11" t="s">
        <v>883</v>
      </c>
    </row>
    <row r="121" spans="1:34" ht="17.25" customHeight="1" x14ac:dyDescent="0.25">
      <c r="A121" s="11" t="s">
        <v>699</v>
      </c>
      <c r="B121" s="11" t="s">
        <v>886</v>
      </c>
      <c r="C121" s="11"/>
      <c r="D121" s="11" t="s">
        <v>885</v>
      </c>
      <c r="E121" s="11" t="s">
        <v>884</v>
      </c>
      <c r="F121" s="11"/>
      <c r="G121" s="11" t="s">
        <v>887</v>
      </c>
      <c r="H121" s="11" t="s">
        <v>888</v>
      </c>
      <c r="I121" s="11" t="s">
        <v>272</v>
      </c>
      <c r="J121" s="11" t="s">
        <v>889</v>
      </c>
      <c r="K121" s="11" t="s">
        <v>114</v>
      </c>
      <c r="L121" s="11" t="s">
        <v>115</v>
      </c>
      <c r="M121" s="11" t="s">
        <v>922</v>
      </c>
      <c r="N121" s="11" t="s">
        <v>923</v>
      </c>
      <c r="O121" s="11" t="s">
        <v>118</v>
      </c>
      <c r="P121" s="11" t="s">
        <v>877</v>
      </c>
      <c r="Q121" s="11" t="s">
        <v>879</v>
      </c>
      <c r="R121" s="11" t="s">
        <v>280</v>
      </c>
      <c r="S121" s="12">
        <v>20</v>
      </c>
      <c r="T121" s="12">
        <v>400</v>
      </c>
      <c r="U121" s="11" t="s">
        <v>101</v>
      </c>
      <c r="V121" s="11" t="s">
        <v>875</v>
      </c>
      <c r="W121" s="11" t="s">
        <v>876</v>
      </c>
      <c r="X121" s="11" t="s">
        <v>878</v>
      </c>
      <c r="Y121" s="11" t="s">
        <v>880</v>
      </c>
      <c r="Z121" s="11" t="s">
        <v>71</v>
      </c>
      <c r="AA121" s="11"/>
      <c r="AB121" s="13">
        <v>0.4</v>
      </c>
      <c r="AC121" s="11" t="s">
        <v>1508</v>
      </c>
      <c r="AD121" s="11"/>
      <c r="AE121" s="11"/>
      <c r="AF121" s="14">
        <v>46203</v>
      </c>
      <c r="AG121" s="11" t="s">
        <v>918</v>
      </c>
      <c r="AH121" s="11" t="s">
        <v>921</v>
      </c>
    </row>
    <row r="122" spans="1:34" ht="17.25" customHeight="1" x14ac:dyDescent="0.25">
      <c r="A122" s="11" t="s">
        <v>699</v>
      </c>
      <c r="B122" s="11" t="s">
        <v>886</v>
      </c>
      <c r="C122" s="11"/>
      <c r="D122" s="11" t="s">
        <v>931</v>
      </c>
      <c r="E122" s="11" t="s">
        <v>283</v>
      </c>
      <c r="F122" s="11"/>
      <c r="G122" s="11" t="s">
        <v>285</v>
      </c>
      <c r="H122" s="11" t="s">
        <v>888</v>
      </c>
      <c r="I122" s="11" t="s">
        <v>272</v>
      </c>
      <c r="J122" s="11" t="s">
        <v>932</v>
      </c>
      <c r="K122" s="11" t="s">
        <v>114</v>
      </c>
      <c r="L122" s="11" t="s">
        <v>115</v>
      </c>
      <c r="M122" s="11" t="s">
        <v>933</v>
      </c>
      <c r="N122" s="11" t="s">
        <v>934</v>
      </c>
      <c r="O122" s="11" t="s">
        <v>118</v>
      </c>
      <c r="P122" s="11" t="s">
        <v>877</v>
      </c>
      <c r="Q122" s="11" t="s">
        <v>927</v>
      </c>
      <c r="R122" s="11" t="s">
        <v>280</v>
      </c>
      <c r="S122" s="12">
        <v>18</v>
      </c>
      <c r="T122" s="12">
        <v>1008.0000000000008</v>
      </c>
      <c r="U122" s="11" t="s">
        <v>101</v>
      </c>
      <c r="V122" s="11" t="s">
        <v>875</v>
      </c>
      <c r="W122" s="11" t="s">
        <v>876</v>
      </c>
      <c r="X122" s="11" t="s">
        <v>926</v>
      </c>
      <c r="Y122" s="11" t="s">
        <v>928</v>
      </c>
      <c r="Z122" s="11" t="s">
        <v>71</v>
      </c>
      <c r="AA122" s="11"/>
      <c r="AB122" s="13">
        <v>1.008</v>
      </c>
      <c r="AC122" s="11" t="s">
        <v>1508</v>
      </c>
      <c r="AD122" s="11"/>
      <c r="AE122" s="11"/>
      <c r="AF122" s="14">
        <v>46203</v>
      </c>
      <c r="AG122" s="11" t="s">
        <v>925</v>
      </c>
      <c r="AH122" s="11" t="s">
        <v>921</v>
      </c>
    </row>
    <row r="123" spans="1:34" ht="17.25" customHeight="1" x14ac:dyDescent="0.25">
      <c r="A123" s="11" t="s">
        <v>61</v>
      </c>
      <c r="B123" s="11" t="s">
        <v>522</v>
      </c>
      <c r="C123" s="11"/>
      <c r="D123" s="11" t="s">
        <v>521</v>
      </c>
      <c r="E123" s="11" t="s">
        <v>283</v>
      </c>
      <c r="F123" s="11"/>
      <c r="G123" s="11" t="s">
        <v>285</v>
      </c>
      <c r="H123" s="11" t="s">
        <v>112</v>
      </c>
      <c r="I123" s="11" t="s">
        <v>272</v>
      </c>
      <c r="J123" s="11" t="s">
        <v>523</v>
      </c>
      <c r="K123" s="11" t="s">
        <v>114</v>
      </c>
      <c r="L123" s="11" t="s">
        <v>115</v>
      </c>
      <c r="M123" s="11" t="s">
        <v>524</v>
      </c>
      <c r="N123" s="11" t="s">
        <v>525</v>
      </c>
      <c r="O123" s="11" t="s">
        <v>118</v>
      </c>
      <c r="P123" s="11" t="s">
        <v>516</v>
      </c>
      <c r="Q123" s="11" t="s">
        <v>126</v>
      </c>
      <c r="R123" s="11" t="s">
        <v>54</v>
      </c>
      <c r="S123" s="12">
        <v>10.92</v>
      </c>
      <c r="T123" s="12">
        <v>1310.4000000000001</v>
      </c>
      <c r="U123" s="11" t="s">
        <v>101</v>
      </c>
      <c r="V123" s="11" t="s">
        <v>514</v>
      </c>
      <c r="W123" s="11" t="s">
        <v>515</v>
      </c>
      <c r="X123" s="11" t="s">
        <v>125</v>
      </c>
      <c r="Y123" s="11" t="s">
        <v>127</v>
      </c>
      <c r="Z123" s="11" t="s">
        <v>71</v>
      </c>
      <c r="AA123" s="11" t="s">
        <v>517</v>
      </c>
      <c r="AB123" s="13">
        <v>120</v>
      </c>
      <c r="AC123" s="11" t="s">
        <v>1509</v>
      </c>
      <c r="AD123" s="11"/>
      <c r="AE123" s="11"/>
      <c r="AF123" s="14">
        <v>46203</v>
      </c>
      <c r="AG123" s="11" t="s">
        <v>512</v>
      </c>
      <c r="AH123" s="11" t="s">
        <v>520</v>
      </c>
    </row>
    <row r="124" spans="1:34" ht="17.25" customHeight="1" x14ac:dyDescent="0.25">
      <c r="A124" s="11" t="s">
        <v>61</v>
      </c>
      <c r="B124" s="11" t="s">
        <v>62</v>
      </c>
      <c r="C124" s="11"/>
      <c r="D124" s="11" t="s">
        <v>458</v>
      </c>
      <c r="E124" s="11" t="s">
        <v>283</v>
      </c>
      <c r="F124" s="11"/>
      <c r="G124" s="11" t="s">
        <v>285</v>
      </c>
      <c r="H124" s="11" t="s">
        <v>459</v>
      </c>
      <c r="I124" s="11" t="s">
        <v>272</v>
      </c>
      <c r="J124" s="11"/>
      <c r="K124" s="11" t="s">
        <v>114</v>
      </c>
      <c r="L124" s="11" t="s">
        <v>115</v>
      </c>
      <c r="M124" s="11" t="s">
        <v>460</v>
      </c>
      <c r="N124" s="11" t="s">
        <v>461</v>
      </c>
      <c r="O124" s="11" t="s">
        <v>118</v>
      </c>
      <c r="P124" s="11" t="s">
        <v>439</v>
      </c>
      <c r="Q124" s="11" t="s">
        <v>455</v>
      </c>
      <c r="R124" s="11" t="s">
        <v>54</v>
      </c>
      <c r="S124" s="12">
        <v>18.2</v>
      </c>
      <c r="T124" s="12">
        <v>182</v>
      </c>
      <c r="U124" s="11" t="s">
        <v>101</v>
      </c>
      <c r="V124" s="11" t="s">
        <v>437</v>
      </c>
      <c r="W124" s="11" t="s">
        <v>438</v>
      </c>
      <c r="X124" s="11" t="s">
        <v>454</v>
      </c>
      <c r="Y124" s="11" t="s">
        <v>456</v>
      </c>
      <c r="Z124" s="11" t="s">
        <v>71</v>
      </c>
      <c r="AA124" s="11"/>
      <c r="AB124" s="13">
        <v>10</v>
      </c>
      <c r="AC124" s="11" t="s">
        <v>1510</v>
      </c>
      <c r="AD124" s="11"/>
      <c r="AE124" s="11"/>
      <c r="AF124" s="14">
        <v>46203</v>
      </c>
      <c r="AG124" s="11" t="s">
        <v>453</v>
      </c>
      <c r="AH124" s="11" t="s">
        <v>446</v>
      </c>
    </row>
    <row r="125" spans="1:34" ht="17.25" customHeight="1" x14ac:dyDescent="0.25">
      <c r="A125" s="11" t="s">
        <v>61</v>
      </c>
      <c r="B125" s="11" t="s">
        <v>62</v>
      </c>
      <c r="C125" s="11"/>
      <c r="D125" s="11" t="s">
        <v>498</v>
      </c>
      <c r="E125" s="11" t="s">
        <v>473</v>
      </c>
      <c r="F125" s="11"/>
      <c r="G125" s="11" t="s">
        <v>474</v>
      </c>
      <c r="H125" s="11" t="s">
        <v>459</v>
      </c>
      <c r="I125" s="11" t="s">
        <v>272</v>
      </c>
      <c r="J125" s="11"/>
      <c r="K125" s="11" t="s">
        <v>323</v>
      </c>
      <c r="L125" s="11" t="s">
        <v>324</v>
      </c>
      <c r="M125" s="11" t="s">
        <v>499</v>
      </c>
      <c r="N125" s="11" t="s">
        <v>500</v>
      </c>
      <c r="O125" s="11" t="s">
        <v>118</v>
      </c>
      <c r="P125" s="11" t="s">
        <v>439</v>
      </c>
      <c r="Q125" s="11" t="s">
        <v>494</v>
      </c>
      <c r="R125" s="11" t="s">
        <v>496</v>
      </c>
      <c r="S125" s="12">
        <v>0</v>
      </c>
      <c r="T125" s="12">
        <v>0</v>
      </c>
      <c r="U125" s="11" t="s">
        <v>311</v>
      </c>
      <c r="V125" s="11" t="s">
        <v>437</v>
      </c>
      <c r="W125" s="11" t="s">
        <v>438</v>
      </c>
      <c r="X125" s="11" t="s">
        <v>493</v>
      </c>
      <c r="Y125" s="11" t="s">
        <v>495</v>
      </c>
      <c r="Z125" s="11" t="s">
        <v>501</v>
      </c>
      <c r="AA125" s="11"/>
      <c r="AB125" s="13">
        <v>2</v>
      </c>
      <c r="AC125" s="11" t="s">
        <v>1510</v>
      </c>
      <c r="AD125" s="11"/>
      <c r="AE125" s="11"/>
      <c r="AF125" s="14">
        <v>46203</v>
      </c>
      <c r="AG125" s="11" t="s">
        <v>492</v>
      </c>
      <c r="AH125" s="11" t="s">
        <v>446</v>
      </c>
    </row>
    <row r="126" spans="1:34" ht="17.25" customHeight="1" x14ac:dyDescent="0.25">
      <c r="A126" s="11" t="s">
        <v>61</v>
      </c>
      <c r="B126" s="11" t="s">
        <v>62</v>
      </c>
      <c r="C126" s="11"/>
      <c r="D126" s="11" t="s">
        <v>458</v>
      </c>
      <c r="E126" s="11" t="s">
        <v>283</v>
      </c>
      <c r="F126" s="11"/>
      <c r="G126" s="11" t="s">
        <v>285</v>
      </c>
      <c r="H126" s="11" t="s">
        <v>459</v>
      </c>
      <c r="I126" s="11" t="s">
        <v>272</v>
      </c>
      <c r="J126" s="11"/>
      <c r="K126" s="11" t="s">
        <v>114</v>
      </c>
      <c r="L126" s="11" t="s">
        <v>115</v>
      </c>
      <c r="M126" s="11" t="s">
        <v>460</v>
      </c>
      <c r="N126" s="11" t="s">
        <v>461</v>
      </c>
      <c r="O126" s="11" t="s">
        <v>118</v>
      </c>
      <c r="P126" s="11" t="s">
        <v>439</v>
      </c>
      <c r="Q126" s="11" t="s">
        <v>426</v>
      </c>
      <c r="R126" s="11" t="s">
        <v>428</v>
      </c>
      <c r="S126" s="12">
        <v>25</v>
      </c>
      <c r="T126" s="12">
        <v>1250</v>
      </c>
      <c r="U126" s="11" t="s">
        <v>101</v>
      </c>
      <c r="V126" s="11" t="s">
        <v>437</v>
      </c>
      <c r="W126" s="11" t="s">
        <v>438</v>
      </c>
      <c r="X126" s="11" t="s">
        <v>425</v>
      </c>
      <c r="Y126" s="11" t="s">
        <v>427</v>
      </c>
      <c r="Z126" s="11" t="s">
        <v>71</v>
      </c>
      <c r="AA126" s="11"/>
      <c r="AB126" s="13">
        <v>50</v>
      </c>
      <c r="AC126" s="11" t="s">
        <v>1510</v>
      </c>
      <c r="AD126" s="11"/>
      <c r="AE126" s="11"/>
      <c r="AF126" s="14">
        <v>46203</v>
      </c>
      <c r="AG126" s="11" t="s">
        <v>453</v>
      </c>
      <c r="AH126" s="11" t="s">
        <v>446</v>
      </c>
    </row>
    <row r="127" spans="1:34" ht="17.25" customHeight="1" x14ac:dyDescent="0.25">
      <c r="A127" s="11" t="s">
        <v>61</v>
      </c>
      <c r="B127" s="11" t="s">
        <v>62</v>
      </c>
      <c r="C127" s="11"/>
      <c r="D127" s="11" t="s">
        <v>458</v>
      </c>
      <c r="E127" s="11" t="s">
        <v>468</v>
      </c>
      <c r="F127" s="11"/>
      <c r="G127" s="11" t="s">
        <v>469</v>
      </c>
      <c r="H127" s="11" t="s">
        <v>459</v>
      </c>
      <c r="I127" s="11" t="s">
        <v>272</v>
      </c>
      <c r="J127" s="11"/>
      <c r="K127" s="11" t="s">
        <v>190</v>
      </c>
      <c r="L127" s="11" t="s">
        <v>191</v>
      </c>
      <c r="M127" s="11" t="s">
        <v>460</v>
      </c>
      <c r="N127" s="11" t="s">
        <v>461</v>
      </c>
      <c r="O127" s="11" t="s">
        <v>118</v>
      </c>
      <c r="P127" s="11" t="s">
        <v>439</v>
      </c>
      <c r="Q127" s="11" t="s">
        <v>464</v>
      </c>
      <c r="R127" s="11" t="s">
        <v>54</v>
      </c>
      <c r="S127" s="12">
        <v>11.555999999999999</v>
      </c>
      <c r="T127" s="12">
        <v>80.891999999999996</v>
      </c>
      <c r="U127" s="11" t="s">
        <v>101</v>
      </c>
      <c r="V127" s="11" t="s">
        <v>437</v>
      </c>
      <c r="W127" s="11" t="s">
        <v>438</v>
      </c>
      <c r="X127" s="11" t="s">
        <v>463</v>
      </c>
      <c r="Y127" s="11" t="s">
        <v>465</v>
      </c>
      <c r="Z127" s="11" t="s">
        <v>71</v>
      </c>
      <c r="AA127" s="11"/>
      <c r="AB127" s="13">
        <v>7</v>
      </c>
      <c r="AC127" s="11" t="s">
        <v>1510</v>
      </c>
      <c r="AD127" s="11"/>
      <c r="AE127" s="11"/>
      <c r="AF127" s="14">
        <v>46203</v>
      </c>
      <c r="AG127" s="11" t="s">
        <v>453</v>
      </c>
      <c r="AH127" s="11" t="s">
        <v>446</v>
      </c>
    </row>
    <row r="128" spans="1:34" ht="17.25" customHeight="1" x14ac:dyDescent="0.25">
      <c r="A128" s="11" t="s">
        <v>61</v>
      </c>
      <c r="B128" s="11" t="s">
        <v>62</v>
      </c>
      <c r="C128" s="11"/>
      <c r="D128" s="11" t="s">
        <v>458</v>
      </c>
      <c r="E128" s="11" t="s">
        <v>473</v>
      </c>
      <c r="F128" s="11"/>
      <c r="G128" s="11" t="s">
        <v>474</v>
      </c>
      <c r="H128" s="11" t="s">
        <v>459</v>
      </c>
      <c r="I128" s="11" t="s">
        <v>272</v>
      </c>
      <c r="J128" s="11"/>
      <c r="K128" s="11" t="s">
        <v>373</v>
      </c>
      <c r="L128" s="11" t="s">
        <v>374</v>
      </c>
      <c r="M128" s="11" t="s">
        <v>460</v>
      </c>
      <c r="N128" s="11" t="s">
        <v>461</v>
      </c>
      <c r="O128" s="11" t="s">
        <v>118</v>
      </c>
      <c r="P128" s="11" t="s">
        <v>439</v>
      </c>
      <c r="Q128" s="11" t="s">
        <v>471</v>
      </c>
      <c r="R128" s="11" t="s">
        <v>54</v>
      </c>
      <c r="S128" s="12">
        <v>10</v>
      </c>
      <c r="T128" s="12">
        <v>40</v>
      </c>
      <c r="U128" s="11" t="s">
        <v>363</v>
      </c>
      <c r="V128" s="11" t="s">
        <v>437</v>
      </c>
      <c r="W128" s="11" t="s">
        <v>438</v>
      </c>
      <c r="X128" s="11" t="s">
        <v>470</v>
      </c>
      <c r="Y128" s="11" t="s">
        <v>472</v>
      </c>
      <c r="Z128" s="11" t="s">
        <v>71</v>
      </c>
      <c r="AA128" s="11"/>
      <c r="AB128" s="13">
        <v>4</v>
      </c>
      <c r="AC128" s="11" t="s">
        <v>1510</v>
      </c>
      <c r="AD128" s="11"/>
      <c r="AE128" s="11"/>
      <c r="AF128" s="14">
        <v>46203</v>
      </c>
      <c r="AG128" s="11" t="s">
        <v>453</v>
      </c>
      <c r="AH128" s="11" t="s">
        <v>446</v>
      </c>
    </row>
    <row r="129" spans="1:34" ht="17.25" customHeight="1" x14ac:dyDescent="0.25">
      <c r="A129" s="11" t="s">
        <v>61</v>
      </c>
      <c r="B129" s="11" t="s">
        <v>62</v>
      </c>
      <c r="C129" s="11"/>
      <c r="D129" s="11" t="s">
        <v>458</v>
      </c>
      <c r="E129" s="11" t="s">
        <v>473</v>
      </c>
      <c r="F129" s="11"/>
      <c r="G129" s="11" t="s">
        <v>474</v>
      </c>
      <c r="H129" s="11" t="s">
        <v>459</v>
      </c>
      <c r="I129" s="11" t="s">
        <v>272</v>
      </c>
      <c r="J129" s="11"/>
      <c r="K129" s="11" t="s">
        <v>373</v>
      </c>
      <c r="L129" s="11" t="s">
        <v>374</v>
      </c>
      <c r="M129" s="11" t="s">
        <v>460</v>
      </c>
      <c r="N129" s="11" t="s">
        <v>461</v>
      </c>
      <c r="O129" s="11" t="s">
        <v>118</v>
      </c>
      <c r="P129" s="11" t="s">
        <v>439</v>
      </c>
      <c r="Q129" s="11" t="s">
        <v>476</v>
      </c>
      <c r="R129" s="11" t="s">
        <v>54</v>
      </c>
      <c r="S129" s="12">
        <v>10</v>
      </c>
      <c r="T129" s="12">
        <v>20</v>
      </c>
      <c r="U129" s="11" t="s">
        <v>363</v>
      </c>
      <c r="V129" s="11" t="s">
        <v>437</v>
      </c>
      <c r="W129" s="11" t="s">
        <v>438</v>
      </c>
      <c r="X129" s="11" t="s">
        <v>475</v>
      </c>
      <c r="Y129" s="11" t="s">
        <v>477</v>
      </c>
      <c r="Z129" s="11" t="s">
        <v>71</v>
      </c>
      <c r="AA129" s="11"/>
      <c r="AB129" s="13">
        <v>2</v>
      </c>
      <c r="AC129" s="11" t="s">
        <v>1510</v>
      </c>
      <c r="AD129" s="11"/>
      <c r="AE129" s="11"/>
      <c r="AF129" s="14">
        <v>46203</v>
      </c>
      <c r="AG129" s="11" t="s">
        <v>453</v>
      </c>
      <c r="AH129" s="11" t="s">
        <v>446</v>
      </c>
    </row>
    <row r="130" spans="1:34" ht="17.25" customHeight="1" x14ac:dyDescent="0.25">
      <c r="A130" s="11" t="s">
        <v>61</v>
      </c>
      <c r="B130" s="11" t="s">
        <v>62</v>
      </c>
      <c r="C130" s="11"/>
      <c r="D130" s="11" t="s">
        <v>458</v>
      </c>
      <c r="E130" s="11" t="s">
        <v>473</v>
      </c>
      <c r="F130" s="11"/>
      <c r="G130" s="11" t="s">
        <v>474</v>
      </c>
      <c r="H130" s="11" t="s">
        <v>459</v>
      </c>
      <c r="I130" s="11" t="s">
        <v>272</v>
      </c>
      <c r="J130" s="11"/>
      <c r="K130" s="11" t="s">
        <v>373</v>
      </c>
      <c r="L130" s="11" t="s">
        <v>374</v>
      </c>
      <c r="M130" s="11" t="s">
        <v>460</v>
      </c>
      <c r="N130" s="11" t="s">
        <v>461</v>
      </c>
      <c r="O130" s="11" t="s">
        <v>118</v>
      </c>
      <c r="P130" s="11" t="s">
        <v>439</v>
      </c>
      <c r="Q130" s="11" t="s">
        <v>479</v>
      </c>
      <c r="R130" s="11" t="s">
        <v>92</v>
      </c>
      <c r="S130" s="12">
        <v>10</v>
      </c>
      <c r="T130" s="12">
        <v>50</v>
      </c>
      <c r="U130" s="11" t="s">
        <v>363</v>
      </c>
      <c r="V130" s="11" t="s">
        <v>437</v>
      </c>
      <c r="W130" s="11" t="s">
        <v>438</v>
      </c>
      <c r="X130" s="11" t="s">
        <v>478</v>
      </c>
      <c r="Y130" s="11" t="s">
        <v>480</v>
      </c>
      <c r="Z130" s="11" t="s">
        <v>71</v>
      </c>
      <c r="AA130" s="11"/>
      <c r="AB130" s="13">
        <v>5</v>
      </c>
      <c r="AC130" s="11" t="s">
        <v>1510</v>
      </c>
      <c r="AD130" s="11"/>
      <c r="AE130" s="11"/>
      <c r="AF130" s="14">
        <v>46203</v>
      </c>
      <c r="AG130" s="11" t="s">
        <v>453</v>
      </c>
      <c r="AH130" s="11" t="s">
        <v>446</v>
      </c>
    </row>
    <row r="131" spans="1:34" ht="17.25" customHeight="1" x14ac:dyDescent="0.25">
      <c r="A131" s="11" t="s">
        <v>61</v>
      </c>
      <c r="B131" s="11" t="s">
        <v>62</v>
      </c>
      <c r="C131" s="11"/>
      <c r="D131" s="11" t="s">
        <v>458</v>
      </c>
      <c r="E131" s="11" t="s">
        <v>473</v>
      </c>
      <c r="F131" s="11"/>
      <c r="G131" s="11" t="s">
        <v>474</v>
      </c>
      <c r="H131" s="11" t="s">
        <v>459</v>
      </c>
      <c r="I131" s="11" t="s">
        <v>272</v>
      </c>
      <c r="J131" s="11"/>
      <c r="K131" s="11" t="s">
        <v>373</v>
      </c>
      <c r="L131" s="11" t="s">
        <v>374</v>
      </c>
      <c r="M131" s="11" t="s">
        <v>460</v>
      </c>
      <c r="N131" s="11" t="s">
        <v>461</v>
      </c>
      <c r="O131" s="11" t="s">
        <v>118</v>
      </c>
      <c r="P131" s="11" t="s">
        <v>439</v>
      </c>
      <c r="Q131" s="11" t="s">
        <v>388</v>
      </c>
      <c r="R131" s="11" t="s">
        <v>54</v>
      </c>
      <c r="S131" s="12">
        <v>6</v>
      </c>
      <c r="T131" s="12">
        <v>24</v>
      </c>
      <c r="U131" s="11" t="s">
        <v>363</v>
      </c>
      <c r="V131" s="11" t="s">
        <v>437</v>
      </c>
      <c r="W131" s="11" t="s">
        <v>438</v>
      </c>
      <c r="X131" s="11" t="s">
        <v>387</v>
      </c>
      <c r="Y131" s="11" t="s">
        <v>389</v>
      </c>
      <c r="Z131" s="11" t="s">
        <v>71</v>
      </c>
      <c r="AA131" s="11"/>
      <c r="AB131" s="13">
        <v>4</v>
      </c>
      <c r="AC131" s="11" t="s">
        <v>1510</v>
      </c>
      <c r="AD131" s="11"/>
      <c r="AE131" s="11"/>
      <c r="AF131" s="14">
        <v>46203</v>
      </c>
      <c r="AG131" s="11" t="s">
        <v>453</v>
      </c>
      <c r="AH131" s="11" t="s">
        <v>446</v>
      </c>
    </row>
    <row r="132" spans="1:34" ht="17.25" customHeight="1" x14ac:dyDescent="0.25">
      <c r="A132" s="11" t="s">
        <v>61</v>
      </c>
      <c r="B132" s="11" t="s">
        <v>62</v>
      </c>
      <c r="C132" s="11"/>
      <c r="D132" s="11" t="s">
        <v>458</v>
      </c>
      <c r="E132" s="11" t="s">
        <v>473</v>
      </c>
      <c r="F132" s="11"/>
      <c r="G132" s="11" t="s">
        <v>474</v>
      </c>
      <c r="H132" s="11" t="s">
        <v>459</v>
      </c>
      <c r="I132" s="11" t="s">
        <v>272</v>
      </c>
      <c r="J132" s="11"/>
      <c r="K132" s="11" t="s">
        <v>404</v>
      </c>
      <c r="L132" s="11" t="s">
        <v>405</v>
      </c>
      <c r="M132" s="11" t="s">
        <v>460</v>
      </c>
      <c r="N132" s="11" t="s">
        <v>461</v>
      </c>
      <c r="O132" s="11" t="s">
        <v>118</v>
      </c>
      <c r="P132" s="11" t="s">
        <v>439</v>
      </c>
      <c r="Q132" s="11" t="s">
        <v>482</v>
      </c>
      <c r="R132" s="11" t="s">
        <v>54</v>
      </c>
      <c r="S132" s="12">
        <v>9</v>
      </c>
      <c r="T132" s="12">
        <v>45</v>
      </c>
      <c r="U132" s="11" t="s">
        <v>363</v>
      </c>
      <c r="V132" s="11" t="s">
        <v>437</v>
      </c>
      <c r="W132" s="11" t="s">
        <v>438</v>
      </c>
      <c r="X132" s="11" t="s">
        <v>481</v>
      </c>
      <c r="Y132" s="11" t="s">
        <v>483</v>
      </c>
      <c r="Z132" s="11" t="s">
        <v>71</v>
      </c>
      <c r="AA132" s="11"/>
      <c r="AB132" s="13">
        <v>5</v>
      </c>
      <c r="AC132" s="11" t="s">
        <v>1510</v>
      </c>
      <c r="AD132" s="11"/>
      <c r="AE132" s="11"/>
      <c r="AF132" s="14">
        <v>46203</v>
      </c>
      <c r="AG132" s="11" t="s">
        <v>453</v>
      </c>
      <c r="AH132" s="11" t="s">
        <v>446</v>
      </c>
    </row>
    <row r="133" spans="1:34" ht="17.25" customHeight="1" x14ac:dyDescent="0.25">
      <c r="A133" s="11" t="s">
        <v>61</v>
      </c>
      <c r="B133" s="11" t="s">
        <v>62</v>
      </c>
      <c r="C133" s="11"/>
      <c r="D133" s="11" t="s">
        <v>458</v>
      </c>
      <c r="E133" s="11" t="s">
        <v>473</v>
      </c>
      <c r="F133" s="11"/>
      <c r="G133" s="11" t="s">
        <v>474</v>
      </c>
      <c r="H133" s="11" t="s">
        <v>459</v>
      </c>
      <c r="I133" s="11" t="s">
        <v>272</v>
      </c>
      <c r="J133" s="11"/>
      <c r="K133" s="11" t="s">
        <v>323</v>
      </c>
      <c r="L133" s="11" t="s">
        <v>324</v>
      </c>
      <c r="M133" s="11" t="s">
        <v>460</v>
      </c>
      <c r="N133" s="11" t="s">
        <v>461</v>
      </c>
      <c r="O133" s="11" t="s">
        <v>118</v>
      </c>
      <c r="P133" s="11" t="s">
        <v>439</v>
      </c>
      <c r="Q133" s="11" t="s">
        <v>485</v>
      </c>
      <c r="R133" s="11" t="s">
        <v>54</v>
      </c>
      <c r="S133" s="12">
        <v>13.2</v>
      </c>
      <c r="T133" s="12">
        <v>26.4</v>
      </c>
      <c r="U133" s="11" t="s">
        <v>311</v>
      </c>
      <c r="V133" s="11" t="s">
        <v>437</v>
      </c>
      <c r="W133" s="11" t="s">
        <v>438</v>
      </c>
      <c r="X133" s="11" t="s">
        <v>484</v>
      </c>
      <c r="Y133" s="11" t="s">
        <v>486</v>
      </c>
      <c r="Z133" s="11" t="s">
        <v>71</v>
      </c>
      <c r="AA133" s="11"/>
      <c r="AB133" s="13">
        <v>2</v>
      </c>
      <c r="AC133" s="11" t="s">
        <v>1510</v>
      </c>
      <c r="AD133" s="11"/>
      <c r="AE133" s="11"/>
      <c r="AF133" s="14">
        <v>46203</v>
      </c>
      <c r="AG133" s="11" t="s">
        <v>453</v>
      </c>
      <c r="AH133" s="11" t="s">
        <v>446</v>
      </c>
    </row>
    <row r="134" spans="1:34" ht="17.25" customHeight="1" x14ac:dyDescent="0.25">
      <c r="A134" s="11" t="s">
        <v>61</v>
      </c>
      <c r="B134" s="11" t="s">
        <v>62</v>
      </c>
      <c r="C134" s="11"/>
      <c r="D134" s="11" t="s">
        <v>458</v>
      </c>
      <c r="E134" s="11" t="s">
        <v>473</v>
      </c>
      <c r="F134" s="11"/>
      <c r="G134" s="11" t="s">
        <v>474</v>
      </c>
      <c r="H134" s="11" t="s">
        <v>459</v>
      </c>
      <c r="I134" s="11" t="s">
        <v>272</v>
      </c>
      <c r="J134" s="11"/>
      <c r="K134" s="11" t="s">
        <v>323</v>
      </c>
      <c r="L134" s="11" t="s">
        <v>324</v>
      </c>
      <c r="M134" s="11" t="s">
        <v>460</v>
      </c>
      <c r="N134" s="11" t="s">
        <v>461</v>
      </c>
      <c r="O134" s="11" t="s">
        <v>118</v>
      </c>
      <c r="P134" s="11" t="s">
        <v>439</v>
      </c>
      <c r="Q134" s="11" t="s">
        <v>490</v>
      </c>
      <c r="R134" s="11" t="s">
        <v>54</v>
      </c>
      <c r="S134" s="12">
        <v>12</v>
      </c>
      <c r="T134" s="12">
        <v>12</v>
      </c>
      <c r="U134" s="11" t="s">
        <v>311</v>
      </c>
      <c r="V134" s="11" t="s">
        <v>437</v>
      </c>
      <c r="W134" s="11" t="s">
        <v>438</v>
      </c>
      <c r="X134" s="11" t="s">
        <v>489</v>
      </c>
      <c r="Y134" s="11" t="s">
        <v>491</v>
      </c>
      <c r="Z134" s="11" t="s">
        <v>71</v>
      </c>
      <c r="AA134" s="11"/>
      <c r="AB134" s="13">
        <v>1</v>
      </c>
      <c r="AC134" s="11" t="s">
        <v>1510</v>
      </c>
      <c r="AD134" s="11"/>
      <c r="AE134" s="11"/>
      <c r="AF134" s="14">
        <v>46203</v>
      </c>
      <c r="AG134" s="11" t="s">
        <v>453</v>
      </c>
      <c r="AH134" s="11" t="s">
        <v>446</v>
      </c>
    </row>
    <row r="135" spans="1:34" ht="17.25" customHeight="1" x14ac:dyDescent="0.25">
      <c r="A135" s="11" t="s">
        <v>61</v>
      </c>
      <c r="B135" s="11" t="s">
        <v>62</v>
      </c>
      <c r="C135" s="11"/>
      <c r="D135" s="11" t="s">
        <v>447</v>
      </c>
      <c r="E135" s="11" t="s">
        <v>59</v>
      </c>
      <c r="F135" s="11"/>
      <c r="G135" s="11" t="s">
        <v>63</v>
      </c>
      <c r="H135" s="11" t="s">
        <v>65</v>
      </c>
      <c r="I135" s="11" t="s">
        <v>65</v>
      </c>
      <c r="J135" s="11"/>
      <c r="K135" s="11" t="s">
        <v>66</v>
      </c>
      <c r="L135" s="11" t="s">
        <v>67</v>
      </c>
      <c r="M135" s="11" t="s">
        <v>448</v>
      </c>
      <c r="N135" s="11" t="s">
        <v>449</v>
      </c>
      <c r="O135" s="11" t="s">
        <v>70</v>
      </c>
      <c r="P135" s="11" t="s">
        <v>439</v>
      </c>
      <c r="Q135" s="11" t="s">
        <v>441</v>
      </c>
      <c r="R135" s="11" t="s">
        <v>54</v>
      </c>
      <c r="S135" s="12">
        <v>23.52</v>
      </c>
      <c r="T135" s="12">
        <v>188.16</v>
      </c>
      <c r="U135" s="11"/>
      <c r="V135" s="11" t="s">
        <v>437</v>
      </c>
      <c r="W135" s="11" t="s">
        <v>438</v>
      </c>
      <c r="X135" s="11" t="s">
        <v>440</v>
      </c>
      <c r="Y135" s="11" t="s">
        <v>442</v>
      </c>
      <c r="Z135" s="11" t="s">
        <v>71</v>
      </c>
      <c r="AA135" s="11"/>
      <c r="AB135" s="13">
        <v>8</v>
      </c>
      <c r="AC135" s="11" t="s">
        <v>1510</v>
      </c>
      <c r="AD135" s="11"/>
      <c r="AE135" s="11"/>
      <c r="AF135" s="14">
        <v>46203</v>
      </c>
      <c r="AG135" s="11" t="s">
        <v>435</v>
      </c>
      <c r="AH135" s="11" t="s">
        <v>446</v>
      </c>
    </row>
    <row r="136" spans="1:34" ht="17.25" customHeight="1" x14ac:dyDescent="0.25">
      <c r="A136" s="11" t="s">
        <v>61</v>
      </c>
      <c r="B136" s="11" t="s">
        <v>62</v>
      </c>
      <c r="C136" s="11"/>
      <c r="D136" s="11" t="s">
        <v>719</v>
      </c>
      <c r="E136" s="11" t="s">
        <v>468</v>
      </c>
      <c r="F136" s="11"/>
      <c r="G136" s="11" t="s">
        <v>469</v>
      </c>
      <c r="H136" s="11" t="s">
        <v>577</v>
      </c>
      <c r="I136" s="11" t="s">
        <v>272</v>
      </c>
      <c r="J136" s="11"/>
      <c r="K136" s="11" t="s">
        <v>190</v>
      </c>
      <c r="L136" s="11" t="s">
        <v>191</v>
      </c>
      <c r="M136" s="11" t="s">
        <v>1136</v>
      </c>
      <c r="N136" s="11" t="s">
        <v>1137</v>
      </c>
      <c r="O136" s="11" t="s">
        <v>118</v>
      </c>
      <c r="P136" s="11" t="s">
        <v>708</v>
      </c>
      <c r="Q136" s="11" t="s">
        <v>723</v>
      </c>
      <c r="R136" s="11" t="s">
        <v>54</v>
      </c>
      <c r="S136" s="12">
        <v>14</v>
      </c>
      <c r="T136" s="12">
        <v>140</v>
      </c>
      <c r="U136" s="11" t="s">
        <v>101</v>
      </c>
      <c r="V136" s="11" t="s">
        <v>706</v>
      </c>
      <c r="W136" s="11" t="s">
        <v>707</v>
      </c>
      <c r="X136" s="11" t="s">
        <v>722</v>
      </c>
      <c r="Y136" s="11" t="s">
        <v>724</v>
      </c>
      <c r="Z136" s="11" t="s">
        <v>71</v>
      </c>
      <c r="AA136" s="11" t="s">
        <v>709</v>
      </c>
      <c r="AB136" s="13">
        <v>10</v>
      </c>
      <c r="AC136" s="11" t="s">
        <v>1511</v>
      </c>
      <c r="AD136" s="11"/>
      <c r="AE136" s="11"/>
      <c r="AF136" s="14">
        <v>46203</v>
      </c>
      <c r="AG136" s="11" t="s">
        <v>1133</v>
      </c>
      <c r="AH136" s="11" t="s">
        <v>1135</v>
      </c>
    </row>
    <row r="137" spans="1:34" ht="17.25" customHeight="1" x14ac:dyDescent="0.25">
      <c r="A137" s="11" t="s">
        <v>61</v>
      </c>
      <c r="B137" s="11" t="s">
        <v>62</v>
      </c>
      <c r="C137" s="11"/>
      <c r="D137" s="11" t="s">
        <v>719</v>
      </c>
      <c r="E137" s="11" t="s">
        <v>468</v>
      </c>
      <c r="F137" s="11"/>
      <c r="G137" s="11" t="s">
        <v>469</v>
      </c>
      <c r="H137" s="11" t="s">
        <v>577</v>
      </c>
      <c r="I137" s="11" t="s">
        <v>272</v>
      </c>
      <c r="J137" s="11"/>
      <c r="K137" s="11" t="s">
        <v>190</v>
      </c>
      <c r="L137" s="11" t="s">
        <v>191</v>
      </c>
      <c r="M137" s="11" t="s">
        <v>1136</v>
      </c>
      <c r="N137" s="11" t="s">
        <v>1137</v>
      </c>
      <c r="O137" s="11" t="s">
        <v>118</v>
      </c>
      <c r="P137" s="11" t="s">
        <v>708</v>
      </c>
      <c r="Q137" s="11" t="s">
        <v>210</v>
      </c>
      <c r="R137" s="11" t="s">
        <v>212</v>
      </c>
      <c r="S137" s="12">
        <v>9</v>
      </c>
      <c r="T137" s="12">
        <v>36</v>
      </c>
      <c r="U137" s="11" t="s">
        <v>101</v>
      </c>
      <c r="V137" s="11" t="s">
        <v>706</v>
      </c>
      <c r="W137" s="11" t="s">
        <v>707</v>
      </c>
      <c r="X137" s="11" t="s">
        <v>209</v>
      </c>
      <c r="Y137" s="11" t="s">
        <v>211</v>
      </c>
      <c r="Z137" s="11" t="s">
        <v>71</v>
      </c>
      <c r="AA137" s="11" t="s">
        <v>709</v>
      </c>
      <c r="AB137" s="13">
        <v>4</v>
      </c>
      <c r="AC137" s="11" t="s">
        <v>1511</v>
      </c>
      <c r="AD137" s="11"/>
      <c r="AE137" s="11"/>
      <c r="AF137" s="14">
        <v>46203</v>
      </c>
      <c r="AG137" s="11" t="s">
        <v>1133</v>
      </c>
      <c r="AH137" s="11" t="s">
        <v>1135</v>
      </c>
    </row>
    <row r="138" spans="1:34" ht="17.25" customHeight="1" x14ac:dyDescent="0.25">
      <c r="A138" s="11" t="s">
        <v>61</v>
      </c>
      <c r="B138" s="11" t="s">
        <v>62</v>
      </c>
      <c r="C138" s="11"/>
      <c r="D138" s="11" t="s">
        <v>719</v>
      </c>
      <c r="E138" s="11" t="s">
        <v>473</v>
      </c>
      <c r="F138" s="11"/>
      <c r="G138" s="11" t="s">
        <v>474</v>
      </c>
      <c r="H138" s="11" t="s">
        <v>577</v>
      </c>
      <c r="I138" s="11" t="s">
        <v>272</v>
      </c>
      <c r="J138" s="11"/>
      <c r="K138" s="11" t="s">
        <v>373</v>
      </c>
      <c r="L138" s="11" t="s">
        <v>374</v>
      </c>
      <c r="M138" s="11" t="s">
        <v>1136</v>
      </c>
      <c r="N138" s="11" t="s">
        <v>1137</v>
      </c>
      <c r="O138" s="11" t="s">
        <v>118</v>
      </c>
      <c r="P138" s="11" t="s">
        <v>708</v>
      </c>
      <c r="Q138" s="11" t="s">
        <v>366</v>
      </c>
      <c r="R138" s="11" t="s">
        <v>54</v>
      </c>
      <c r="S138" s="12">
        <v>10</v>
      </c>
      <c r="T138" s="12">
        <v>200</v>
      </c>
      <c r="U138" s="11" t="s">
        <v>363</v>
      </c>
      <c r="V138" s="11" t="s">
        <v>706</v>
      </c>
      <c r="W138" s="11" t="s">
        <v>707</v>
      </c>
      <c r="X138" s="11" t="s">
        <v>365</v>
      </c>
      <c r="Y138" s="11" t="s">
        <v>367</v>
      </c>
      <c r="Z138" s="11" t="s">
        <v>71</v>
      </c>
      <c r="AA138" s="11" t="s">
        <v>709</v>
      </c>
      <c r="AB138" s="13">
        <v>20</v>
      </c>
      <c r="AC138" s="11" t="s">
        <v>1511</v>
      </c>
      <c r="AD138" s="11"/>
      <c r="AE138" s="11"/>
      <c r="AF138" s="14">
        <v>46203</v>
      </c>
      <c r="AG138" s="11" t="s">
        <v>1133</v>
      </c>
      <c r="AH138" s="11" t="s">
        <v>1135</v>
      </c>
    </row>
    <row r="139" spans="1:34" ht="17.25" customHeight="1" x14ac:dyDescent="0.25">
      <c r="A139" s="11" t="s">
        <v>61</v>
      </c>
      <c r="B139" s="11" t="s">
        <v>62</v>
      </c>
      <c r="C139" s="11"/>
      <c r="D139" s="11" t="s">
        <v>719</v>
      </c>
      <c r="E139" s="11" t="s">
        <v>473</v>
      </c>
      <c r="F139" s="11"/>
      <c r="G139" s="11" t="s">
        <v>474</v>
      </c>
      <c r="H139" s="11" t="s">
        <v>577</v>
      </c>
      <c r="I139" s="11" t="s">
        <v>272</v>
      </c>
      <c r="J139" s="11"/>
      <c r="K139" s="11" t="s">
        <v>373</v>
      </c>
      <c r="L139" s="11" t="s">
        <v>374</v>
      </c>
      <c r="M139" s="11" t="s">
        <v>1136</v>
      </c>
      <c r="N139" s="11" t="s">
        <v>1137</v>
      </c>
      <c r="O139" s="11" t="s">
        <v>118</v>
      </c>
      <c r="P139" s="11" t="s">
        <v>708</v>
      </c>
      <c r="Q139" s="11" t="s">
        <v>471</v>
      </c>
      <c r="R139" s="11" t="s">
        <v>54</v>
      </c>
      <c r="S139" s="12">
        <v>10</v>
      </c>
      <c r="T139" s="12">
        <v>200</v>
      </c>
      <c r="U139" s="11" t="s">
        <v>363</v>
      </c>
      <c r="V139" s="11" t="s">
        <v>706</v>
      </c>
      <c r="W139" s="11" t="s">
        <v>707</v>
      </c>
      <c r="X139" s="11" t="s">
        <v>470</v>
      </c>
      <c r="Y139" s="11" t="s">
        <v>472</v>
      </c>
      <c r="Z139" s="11" t="s">
        <v>71</v>
      </c>
      <c r="AA139" s="11" t="s">
        <v>709</v>
      </c>
      <c r="AB139" s="13">
        <v>20</v>
      </c>
      <c r="AC139" s="11" t="s">
        <v>1511</v>
      </c>
      <c r="AD139" s="11"/>
      <c r="AE139" s="11"/>
      <c r="AF139" s="14">
        <v>46203</v>
      </c>
      <c r="AG139" s="11" t="s">
        <v>1133</v>
      </c>
      <c r="AH139" s="11" t="s">
        <v>1135</v>
      </c>
    </row>
    <row r="140" spans="1:34" ht="17.25" customHeight="1" x14ac:dyDescent="0.25">
      <c r="A140" s="11" t="s">
        <v>61</v>
      </c>
      <c r="B140" s="11" t="s">
        <v>62</v>
      </c>
      <c r="C140" s="11"/>
      <c r="D140" s="11" t="s">
        <v>719</v>
      </c>
      <c r="E140" s="11" t="s">
        <v>473</v>
      </c>
      <c r="F140" s="11"/>
      <c r="G140" s="11" t="s">
        <v>474</v>
      </c>
      <c r="H140" s="11" t="s">
        <v>577</v>
      </c>
      <c r="I140" s="11" t="s">
        <v>272</v>
      </c>
      <c r="J140" s="11"/>
      <c r="K140" s="11" t="s">
        <v>373</v>
      </c>
      <c r="L140" s="11" t="s">
        <v>374</v>
      </c>
      <c r="M140" s="11" t="s">
        <v>1136</v>
      </c>
      <c r="N140" s="11" t="s">
        <v>1137</v>
      </c>
      <c r="O140" s="11" t="s">
        <v>118</v>
      </c>
      <c r="P140" s="11" t="s">
        <v>708</v>
      </c>
      <c r="Q140" s="11" t="s">
        <v>617</v>
      </c>
      <c r="R140" s="11" t="s">
        <v>54</v>
      </c>
      <c r="S140" s="12">
        <v>4.8</v>
      </c>
      <c r="T140" s="12">
        <v>48</v>
      </c>
      <c r="U140" s="11" t="s">
        <v>363</v>
      </c>
      <c r="V140" s="11" t="s">
        <v>706</v>
      </c>
      <c r="W140" s="11" t="s">
        <v>707</v>
      </c>
      <c r="X140" s="11" t="s">
        <v>616</v>
      </c>
      <c r="Y140" s="11" t="s">
        <v>618</v>
      </c>
      <c r="Z140" s="11" t="s">
        <v>71</v>
      </c>
      <c r="AA140" s="11" t="s">
        <v>709</v>
      </c>
      <c r="AB140" s="13">
        <v>10</v>
      </c>
      <c r="AC140" s="11" t="s">
        <v>1511</v>
      </c>
      <c r="AD140" s="11"/>
      <c r="AE140" s="11"/>
      <c r="AF140" s="14">
        <v>46203</v>
      </c>
      <c r="AG140" s="11" t="s">
        <v>1133</v>
      </c>
      <c r="AH140" s="11" t="s">
        <v>1135</v>
      </c>
    </row>
    <row r="141" spans="1:34" ht="17.25" customHeight="1" x14ac:dyDescent="0.25">
      <c r="A141" s="11" t="s">
        <v>61</v>
      </c>
      <c r="B141" s="11" t="s">
        <v>62</v>
      </c>
      <c r="C141" s="11"/>
      <c r="D141" s="11" t="s">
        <v>719</v>
      </c>
      <c r="E141" s="11" t="s">
        <v>473</v>
      </c>
      <c r="F141" s="11"/>
      <c r="G141" s="11" t="s">
        <v>474</v>
      </c>
      <c r="H141" s="11" t="s">
        <v>577</v>
      </c>
      <c r="I141" s="11" t="s">
        <v>272</v>
      </c>
      <c r="J141" s="11"/>
      <c r="K141" s="11" t="s">
        <v>373</v>
      </c>
      <c r="L141" s="11" t="s">
        <v>374</v>
      </c>
      <c r="M141" s="11" t="s">
        <v>1136</v>
      </c>
      <c r="N141" s="11" t="s">
        <v>1137</v>
      </c>
      <c r="O141" s="11" t="s">
        <v>118</v>
      </c>
      <c r="P141" s="11" t="s">
        <v>708</v>
      </c>
      <c r="Q141" s="11" t="s">
        <v>476</v>
      </c>
      <c r="R141" s="11" t="s">
        <v>54</v>
      </c>
      <c r="S141" s="12">
        <v>10</v>
      </c>
      <c r="T141" s="12">
        <v>200</v>
      </c>
      <c r="U141" s="11" t="s">
        <v>363</v>
      </c>
      <c r="V141" s="11" t="s">
        <v>706</v>
      </c>
      <c r="W141" s="11" t="s">
        <v>707</v>
      </c>
      <c r="X141" s="11" t="s">
        <v>475</v>
      </c>
      <c r="Y141" s="11" t="s">
        <v>477</v>
      </c>
      <c r="Z141" s="11" t="s">
        <v>71</v>
      </c>
      <c r="AA141" s="11" t="s">
        <v>709</v>
      </c>
      <c r="AB141" s="13">
        <v>20</v>
      </c>
      <c r="AC141" s="11" t="s">
        <v>1511</v>
      </c>
      <c r="AD141" s="11"/>
      <c r="AE141" s="11"/>
      <c r="AF141" s="14">
        <v>46203</v>
      </c>
      <c r="AG141" s="11" t="s">
        <v>1133</v>
      </c>
      <c r="AH141" s="11" t="s">
        <v>1135</v>
      </c>
    </row>
    <row r="142" spans="1:34" ht="17.25" customHeight="1" x14ac:dyDescent="0.25">
      <c r="A142" s="11" t="s">
        <v>61</v>
      </c>
      <c r="B142" s="11" t="s">
        <v>62</v>
      </c>
      <c r="C142" s="11"/>
      <c r="D142" s="11" t="s">
        <v>719</v>
      </c>
      <c r="E142" s="11" t="s">
        <v>473</v>
      </c>
      <c r="F142" s="11"/>
      <c r="G142" s="11" t="s">
        <v>474</v>
      </c>
      <c r="H142" s="11" t="s">
        <v>577</v>
      </c>
      <c r="I142" s="11" t="s">
        <v>272</v>
      </c>
      <c r="J142" s="11"/>
      <c r="K142" s="11" t="s">
        <v>323</v>
      </c>
      <c r="L142" s="11" t="s">
        <v>324</v>
      </c>
      <c r="M142" s="11" t="s">
        <v>1136</v>
      </c>
      <c r="N142" s="11" t="s">
        <v>1137</v>
      </c>
      <c r="O142" s="11" t="s">
        <v>118</v>
      </c>
      <c r="P142" s="11" t="s">
        <v>708</v>
      </c>
      <c r="Q142" s="11" t="s">
        <v>1140</v>
      </c>
      <c r="R142" s="11" t="s">
        <v>54</v>
      </c>
      <c r="S142" s="12">
        <v>17.088000000000001</v>
      </c>
      <c r="T142" s="12">
        <v>170.88</v>
      </c>
      <c r="U142" s="11" t="s">
        <v>311</v>
      </c>
      <c r="V142" s="11" t="s">
        <v>706</v>
      </c>
      <c r="W142" s="11" t="s">
        <v>707</v>
      </c>
      <c r="X142" s="11" t="s">
        <v>1139</v>
      </c>
      <c r="Y142" s="11" t="s">
        <v>1141</v>
      </c>
      <c r="Z142" s="11" t="s">
        <v>71</v>
      </c>
      <c r="AA142" s="11" t="s">
        <v>709</v>
      </c>
      <c r="AB142" s="13">
        <v>10</v>
      </c>
      <c r="AC142" s="11" t="s">
        <v>1511</v>
      </c>
      <c r="AD142" s="11"/>
      <c r="AE142" s="11"/>
      <c r="AF142" s="14">
        <v>46203</v>
      </c>
      <c r="AG142" s="11" t="s">
        <v>1133</v>
      </c>
      <c r="AH142" s="11" t="s">
        <v>1135</v>
      </c>
    </row>
    <row r="143" spans="1:34" ht="17.25" customHeight="1" x14ac:dyDescent="0.25">
      <c r="A143" s="11" t="s">
        <v>61</v>
      </c>
      <c r="B143" s="11" t="s">
        <v>62</v>
      </c>
      <c r="C143" s="11"/>
      <c r="D143" s="11" t="s">
        <v>719</v>
      </c>
      <c r="E143" s="11" t="s">
        <v>473</v>
      </c>
      <c r="F143" s="11"/>
      <c r="G143" s="11" t="s">
        <v>474</v>
      </c>
      <c r="H143" s="11" t="s">
        <v>577</v>
      </c>
      <c r="I143" s="11" t="s">
        <v>272</v>
      </c>
      <c r="J143" s="11"/>
      <c r="K143" s="11" t="s">
        <v>323</v>
      </c>
      <c r="L143" s="11" t="s">
        <v>324</v>
      </c>
      <c r="M143" s="11" t="s">
        <v>1136</v>
      </c>
      <c r="N143" s="11" t="s">
        <v>1137</v>
      </c>
      <c r="O143" s="11" t="s">
        <v>118</v>
      </c>
      <c r="P143" s="11" t="s">
        <v>708</v>
      </c>
      <c r="Q143" s="11" t="s">
        <v>330</v>
      </c>
      <c r="R143" s="11" t="s">
        <v>54</v>
      </c>
      <c r="S143" s="12">
        <v>9.6</v>
      </c>
      <c r="T143" s="12">
        <v>672</v>
      </c>
      <c r="U143" s="11" t="s">
        <v>311</v>
      </c>
      <c r="V143" s="11" t="s">
        <v>706</v>
      </c>
      <c r="W143" s="11" t="s">
        <v>707</v>
      </c>
      <c r="X143" s="11" t="s">
        <v>329</v>
      </c>
      <c r="Y143" s="11" t="s">
        <v>331</v>
      </c>
      <c r="Z143" s="11" t="s">
        <v>71</v>
      </c>
      <c r="AA143" s="11" t="s">
        <v>709</v>
      </c>
      <c r="AB143" s="13">
        <v>70</v>
      </c>
      <c r="AC143" s="11" t="s">
        <v>1511</v>
      </c>
      <c r="AD143" s="11"/>
      <c r="AE143" s="11"/>
      <c r="AF143" s="14">
        <v>46203</v>
      </c>
      <c r="AG143" s="11" t="s">
        <v>1133</v>
      </c>
      <c r="AH143" s="11" t="s">
        <v>1135</v>
      </c>
    </row>
    <row r="144" spans="1:34" ht="17.25" customHeight="1" x14ac:dyDescent="0.25">
      <c r="A144" s="11" t="s">
        <v>61</v>
      </c>
      <c r="B144" s="11" t="s">
        <v>62</v>
      </c>
      <c r="C144" s="11"/>
      <c r="D144" s="11" t="s">
        <v>719</v>
      </c>
      <c r="E144" s="11" t="s">
        <v>473</v>
      </c>
      <c r="F144" s="11"/>
      <c r="G144" s="11" t="s">
        <v>474</v>
      </c>
      <c r="H144" s="11" t="s">
        <v>577</v>
      </c>
      <c r="I144" s="11" t="s">
        <v>272</v>
      </c>
      <c r="J144" s="11"/>
      <c r="K144" s="11" t="s">
        <v>323</v>
      </c>
      <c r="L144" s="11" t="s">
        <v>324</v>
      </c>
      <c r="M144" s="11" t="s">
        <v>1136</v>
      </c>
      <c r="N144" s="11" t="s">
        <v>1137</v>
      </c>
      <c r="O144" s="11" t="s">
        <v>118</v>
      </c>
      <c r="P144" s="11" t="s">
        <v>708</v>
      </c>
      <c r="Q144" s="11" t="s">
        <v>1146</v>
      </c>
      <c r="R144" s="11" t="s">
        <v>54</v>
      </c>
      <c r="S144" s="12">
        <v>16.8</v>
      </c>
      <c r="T144" s="12">
        <v>168</v>
      </c>
      <c r="U144" s="11" t="s">
        <v>311</v>
      </c>
      <c r="V144" s="11" t="s">
        <v>706</v>
      </c>
      <c r="W144" s="11" t="s">
        <v>707</v>
      </c>
      <c r="X144" s="11" t="s">
        <v>1145</v>
      </c>
      <c r="Y144" s="11" t="s">
        <v>1147</v>
      </c>
      <c r="Z144" s="11" t="s">
        <v>71</v>
      </c>
      <c r="AA144" s="11" t="s">
        <v>709</v>
      </c>
      <c r="AB144" s="13">
        <v>10</v>
      </c>
      <c r="AC144" s="11" t="s">
        <v>1511</v>
      </c>
      <c r="AD144" s="11"/>
      <c r="AE144" s="11"/>
      <c r="AF144" s="14">
        <v>46203</v>
      </c>
      <c r="AG144" s="11" t="s">
        <v>1133</v>
      </c>
      <c r="AH144" s="11" t="s">
        <v>1135</v>
      </c>
    </row>
    <row r="145" spans="1:34" ht="17.25" customHeight="1" x14ac:dyDescent="0.25">
      <c r="A145" s="11" t="s">
        <v>61</v>
      </c>
      <c r="B145" s="11" t="s">
        <v>62</v>
      </c>
      <c r="C145" s="11"/>
      <c r="D145" s="11" t="s">
        <v>719</v>
      </c>
      <c r="E145" s="11" t="s">
        <v>473</v>
      </c>
      <c r="F145" s="11"/>
      <c r="G145" s="11" t="s">
        <v>474</v>
      </c>
      <c r="H145" s="11" t="s">
        <v>577</v>
      </c>
      <c r="I145" s="11" t="s">
        <v>272</v>
      </c>
      <c r="J145" s="11"/>
      <c r="K145" s="11" t="s">
        <v>323</v>
      </c>
      <c r="L145" s="11" t="s">
        <v>324</v>
      </c>
      <c r="M145" s="11" t="s">
        <v>1136</v>
      </c>
      <c r="N145" s="11" t="s">
        <v>1137</v>
      </c>
      <c r="O145" s="11" t="s">
        <v>118</v>
      </c>
      <c r="P145" s="11" t="s">
        <v>708</v>
      </c>
      <c r="Q145" s="11" t="s">
        <v>1150</v>
      </c>
      <c r="R145" s="11" t="s">
        <v>54</v>
      </c>
      <c r="S145" s="12">
        <v>12</v>
      </c>
      <c r="T145" s="12">
        <v>12</v>
      </c>
      <c r="U145" s="11" t="s">
        <v>311</v>
      </c>
      <c r="V145" s="11" t="s">
        <v>706</v>
      </c>
      <c r="W145" s="11" t="s">
        <v>707</v>
      </c>
      <c r="X145" s="11" t="s">
        <v>1149</v>
      </c>
      <c r="Y145" s="11" t="s">
        <v>1151</v>
      </c>
      <c r="Z145" s="11" t="s">
        <v>71</v>
      </c>
      <c r="AA145" s="11" t="s">
        <v>709</v>
      </c>
      <c r="AB145" s="13">
        <v>1</v>
      </c>
      <c r="AC145" s="11" t="s">
        <v>1511</v>
      </c>
      <c r="AD145" s="11"/>
      <c r="AE145" s="11"/>
      <c r="AF145" s="14">
        <v>46203</v>
      </c>
      <c r="AG145" s="11" t="s">
        <v>1133</v>
      </c>
      <c r="AH145" s="11" t="s">
        <v>1135</v>
      </c>
    </row>
    <row r="146" spans="1:34" ht="17.25" customHeight="1" x14ac:dyDescent="0.25">
      <c r="A146" s="11" t="s">
        <v>61</v>
      </c>
      <c r="B146" s="11" t="s">
        <v>62</v>
      </c>
      <c r="C146" s="11"/>
      <c r="D146" s="11" t="s">
        <v>719</v>
      </c>
      <c r="E146" s="11" t="s">
        <v>283</v>
      </c>
      <c r="F146" s="11"/>
      <c r="G146" s="11" t="s">
        <v>285</v>
      </c>
      <c r="H146" s="11" t="s">
        <v>577</v>
      </c>
      <c r="I146" s="11" t="s">
        <v>272</v>
      </c>
      <c r="J146" s="11"/>
      <c r="K146" s="11" t="s">
        <v>114</v>
      </c>
      <c r="L146" s="11" t="s">
        <v>115</v>
      </c>
      <c r="M146" s="11" t="s">
        <v>720</v>
      </c>
      <c r="N146" s="11" t="s">
        <v>721</v>
      </c>
      <c r="O146" s="11" t="s">
        <v>118</v>
      </c>
      <c r="P146" s="11" t="s">
        <v>708</v>
      </c>
      <c r="Q146" s="11" t="s">
        <v>432</v>
      </c>
      <c r="R146" s="11" t="s">
        <v>428</v>
      </c>
      <c r="S146" s="12">
        <v>25</v>
      </c>
      <c r="T146" s="12">
        <v>375</v>
      </c>
      <c r="U146" s="11" t="s">
        <v>101</v>
      </c>
      <c r="V146" s="11" t="s">
        <v>706</v>
      </c>
      <c r="W146" s="11" t="s">
        <v>707</v>
      </c>
      <c r="X146" s="11" t="s">
        <v>431</v>
      </c>
      <c r="Y146" s="11" t="s">
        <v>433</v>
      </c>
      <c r="Z146" s="11" t="s">
        <v>71</v>
      </c>
      <c r="AA146" s="11" t="s">
        <v>709</v>
      </c>
      <c r="AB146" s="13">
        <v>15</v>
      </c>
      <c r="AC146" s="11" t="s">
        <v>1512</v>
      </c>
      <c r="AD146" s="11"/>
      <c r="AE146" s="11"/>
      <c r="AF146" s="14">
        <v>46203</v>
      </c>
      <c r="AG146" s="11" t="s">
        <v>717</v>
      </c>
      <c r="AH146" s="11" t="s">
        <v>711</v>
      </c>
    </row>
    <row r="147" spans="1:34" ht="17.25" customHeight="1" x14ac:dyDescent="0.25">
      <c r="A147" s="11" t="s">
        <v>61</v>
      </c>
      <c r="B147" s="11" t="s">
        <v>62</v>
      </c>
      <c r="C147" s="11"/>
      <c r="D147" s="11" t="s">
        <v>719</v>
      </c>
      <c r="E147" s="11" t="s">
        <v>468</v>
      </c>
      <c r="F147" s="11"/>
      <c r="G147" s="11" t="s">
        <v>469</v>
      </c>
      <c r="H147" s="11" t="s">
        <v>577</v>
      </c>
      <c r="I147" s="11" t="s">
        <v>272</v>
      </c>
      <c r="J147" s="11"/>
      <c r="K147" s="11" t="s">
        <v>190</v>
      </c>
      <c r="L147" s="11" t="s">
        <v>191</v>
      </c>
      <c r="M147" s="11" t="s">
        <v>720</v>
      </c>
      <c r="N147" s="11" t="s">
        <v>721</v>
      </c>
      <c r="O147" s="11" t="s">
        <v>118</v>
      </c>
      <c r="P147" s="11" t="s">
        <v>708</v>
      </c>
      <c r="Q147" s="11" t="s">
        <v>723</v>
      </c>
      <c r="R147" s="11" t="s">
        <v>54</v>
      </c>
      <c r="S147" s="12">
        <v>14</v>
      </c>
      <c r="T147" s="12">
        <v>140</v>
      </c>
      <c r="U147" s="11" t="s">
        <v>101</v>
      </c>
      <c r="V147" s="11" t="s">
        <v>706</v>
      </c>
      <c r="W147" s="11" t="s">
        <v>707</v>
      </c>
      <c r="X147" s="11" t="s">
        <v>722</v>
      </c>
      <c r="Y147" s="11" t="s">
        <v>724</v>
      </c>
      <c r="Z147" s="11" t="s">
        <v>71</v>
      </c>
      <c r="AA147" s="11" t="s">
        <v>709</v>
      </c>
      <c r="AB147" s="13">
        <v>10</v>
      </c>
      <c r="AC147" s="11" t="s">
        <v>1512</v>
      </c>
      <c r="AD147" s="11"/>
      <c r="AE147" s="11"/>
      <c r="AF147" s="14">
        <v>46203</v>
      </c>
      <c r="AG147" s="11" t="s">
        <v>717</v>
      </c>
      <c r="AH147" s="11" t="s">
        <v>711</v>
      </c>
    </row>
    <row r="148" spans="1:34" ht="17.25" customHeight="1" x14ac:dyDescent="0.25">
      <c r="A148" s="11" t="s">
        <v>61</v>
      </c>
      <c r="B148" s="11" t="s">
        <v>62</v>
      </c>
      <c r="C148" s="11"/>
      <c r="D148" s="11" t="s">
        <v>728</v>
      </c>
      <c r="E148" s="11" t="s">
        <v>283</v>
      </c>
      <c r="F148" s="11"/>
      <c r="G148" s="11" t="s">
        <v>285</v>
      </c>
      <c r="H148" s="11" t="s">
        <v>577</v>
      </c>
      <c r="I148" s="11" t="s">
        <v>272</v>
      </c>
      <c r="J148" s="11" t="s">
        <v>729</v>
      </c>
      <c r="K148" s="11" t="s">
        <v>114</v>
      </c>
      <c r="L148" s="11" t="s">
        <v>115</v>
      </c>
      <c r="M148" s="11" t="s">
        <v>730</v>
      </c>
      <c r="N148" s="11" t="s">
        <v>731</v>
      </c>
      <c r="O148" s="11" t="s">
        <v>118</v>
      </c>
      <c r="P148" s="11" t="s">
        <v>708</v>
      </c>
      <c r="Q148" s="11" t="s">
        <v>432</v>
      </c>
      <c r="R148" s="11" t="s">
        <v>428</v>
      </c>
      <c r="S148" s="12">
        <v>25</v>
      </c>
      <c r="T148" s="12">
        <v>1125</v>
      </c>
      <c r="U148" s="11" t="s">
        <v>101</v>
      </c>
      <c r="V148" s="11" t="s">
        <v>706</v>
      </c>
      <c r="W148" s="11" t="s">
        <v>707</v>
      </c>
      <c r="X148" s="11" t="s">
        <v>431</v>
      </c>
      <c r="Y148" s="11" t="s">
        <v>433</v>
      </c>
      <c r="Z148" s="11" t="s">
        <v>71</v>
      </c>
      <c r="AA148" s="11" t="s">
        <v>709</v>
      </c>
      <c r="AB148" s="13">
        <v>45</v>
      </c>
      <c r="AC148" s="11" t="s">
        <v>1512</v>
      </c>
      <c r="AD148" s="11"/>
      <c r="AE148" s="11"/>
      <c r="AF148" s="14">
        <v>46203</v>
      </c>
      <c r="AG148" s="11" t="s">
        <v>726</v>
      </c>
      <c r="AH148" s="11" t="s">
        <v>711</v>
      </c>
    </row>
    <row r="149" spans="1:34" ht="17.25" customHeight="1" x14ac:dyDescent="0.25">
      <c r="A149" s="11" t="s">
        <v>61</v>
      </c>
      <c r="B149" s="11" t="s">
        <v>62</v>
      </c>
      <c r="C149" s="11"/>
      <c r="D149" s="11" t="s">
        <v>712</v>
      </c>
      <c r="E149" s="11" t="s">
        <v>59</v>
      </c>
      <c r="F149" s="11"/>
      <c r="G149" s="11" t="s">
        <v>63</v>
      </c>
      <c r="H149" s="11" t="s">
        <v>64</v>
      </c>
      <c r="I149" s="11" t="s">
        <v>65</v>
      </c>
      <c r="J149" s="11"/>
      <c r="K149" s="11" t="s">
        <v>66</v>
      </c>
      <c r="L149" s="11" t="s">
        <v>67</v>
      </c>
      <c r="M149" s="11" t="s">
        <v>713</v>
      </c>
      <c r="N149" s="11" t="s">
        <v>714</v>
      </c>
      <c r="O149" s="11" t="s">
        <v>70</v>
      </c>
      <c r="P149" s="11" t="s">
        <v>708</v>
      </c>
      <c r="Q149" s="11" t="s">
        <v>441</v>
      </c>
      <c r="R149" s="11" t="s">
        <v>54</v>
      </c>
      <c r="S149" s="12">
        <v>23.52</v>
      </c>
      <c r="T149" s="12">
        <v>235.2</v>
      </c>
      <c r="U149" s="11"/>
      <c r="V149" s="11" t="s">
        <v>706</v>
      </c>
      <c r="W149" s="11" t="s">
        <v>707</v>
      </c>
      <c r="X149" s="11" t="s">
        <v>440</v>
      </c>
      <c r="Y149" s="11" t="s">
        <v>442</v>
      </c>
      <c r="Z149" s="11" t="s">
        <v>71</v>
      </c>
      <c r="AA149" s="11" t="s">
        <v>709</v>
      </c>
      <c r="AB149" s="13">
        <v>10</v>
      </c>
      <c r="AC149" s="11" t="s">
        <v>1512</v>
      </c>
      <c r="AD149" s="11"/>
      <c r="AE149" s="11"/>
      <c r="AF149" s="14">
        <v>46203</v>
      </c>
      <c r="AG149" s="11" t="s">
        <v>704</v>
      </c>
      <c r="AH149" s="11" t="s">
        <v>711</v>
      </c>
    </row>
    <row r="150" spans="1:34" ht="17.25" customHeight="1" x14ac:dyDescent="0.25">
      <c r="A150" s="11" t="s">
        <v>61</v>
      </c>
      <c r="B150" s="11" t="s">
        <v>62</v>
      </c>
      <c r="C150" s="11"/>
      <c r="D150" s="11" t="s">
        <v>719</v>
      </c>
      <c r="E150" s="11" t="s">
        <v>283</v>
      </c>
      <c r="F150" s="11"/>
      <c r="G150" s="11" t="s">
        <v>285</v>
      </c>
      <c r="H150" s="11" t="s">
        <v>577</v>
      </c>
      <c r="I150" s="11" t="s">
        <v>272</v>
      </c>
      <c r="J150" s="11"/>
      <c r="K150" s="11" t="s">
        <v>114</v>
      </c>
      <c r="L150" s="11" t="s">
        <v>115</v>
      </c>
      <c r="M150" s="11" t="s">
        <v>1245</v>
      </c>
      <c r="N150" s="11" t="s">
        <v>1246</v>
      </c>
      <c r="O150" s="11" t="s">
        <v>118</v>
      </c>
      <c r="P150" s="11" t="s">
        <v>708</v>
      </c>
      <c r="Q150" s="11" t="s">
        <v>426</v>
      </c>
      <c r="R150" s="11" t="s">
        <v>428</v>
      </c>
      <c r="S150" s="12">
        <v>25</v>
      </c>
      <c r="T150" s="12">
        <v>1875</v>
      </c>
      <c r="U150" s="11" t="s">
        <v>101</v>
      </c>
      <c r="V150" s="11" t="s">
        <v>706</v>
      </c>
      <c r="W150" s="11" t="s">
        <v>707</v>
      </c>
      <c r="X150" s="11" t="s">
        <v>425</v>
      </c>
      <c r="Y150" s="11" t="s">
        <v>427</v>
      </c>
      <c r="Z150" s="11" t="s">
        <v>71</v>
      </c>
      <c r="AA150" s="11" t="s">
        <v>709</v>
      </c>
      <c r="AB150" s="13">
        <v>75</v>
      </c>
      <c r="AC150" s="11" t="s">
        <v>1513</v>
      </c>
      <c r="AD150" s="11"/>
      <c r="AE150" s="11"/>
      <c r="AF150" s="14">
        <v>46203</v>
      </c>
      <c r="AG150" s="11" t="s">
        <v>1240</v>
      </c>
      <c r="AH150" s="11" t="s">
        <v>1244</v>
      </c>
    </row>
    <row r="151" spans="1:34" ht="17.25" customHeight="1" x14ac:dyDescent="0.25">
      <c r="A151" s="11" t="s">
        <v>61</v>
      </c>
      <c r="B151" s="11" t="s">
        <v>62</v>
      </c>
      <c r="C151" s="11"/>
      <c r="D151" s="11" t="s">
        <v>963</v>
      </c>
      <c r="E151" s="11" t="s">
        <v>109</v>
      </c>
      <c r="F151" s="11"/>
      <c r="G151" s="11" t="s">
        <v>111</v>
      </c>
      <c r="H151" s="11" t="s">
        <v>112</v>
      </c>
      <c r="I151" s="11" t="s">
        <v>113</v>
      </c>
      <c r="J151" s="11"/>
      <c r="K151" s="11" t="s">
        <v>114</v>
      </c>
      <c r="L151" s="11" t="s">
        <v>115</v>
      </c>
      <c r="M151" s="11" t="s">
        <v>964</v>
      </c>
      <c r="N151" s="11"/>
      <c r="O151" s="11" t="s">
        <v>118</v>
      </c>
      <c r="P151" s="11" t="s">
        <v>961</v>
      </c>
      <c r="Q151" s="11" t="s">
        <v>432</v>
      </c>
      <c r="R151" s="11" t="s">
        <v>428</v>
      </c>
      <c r="S151" s="12">
        <v>25</v>
      </c>
      <c r="T151" s="12">
        <v>125</v>
      </c>
      <c r="U151" s="11" t="s">
        <v>101</v>
      </c>
      <c r="V151" s="11" t="s">
        <v>959</v>
      </c>
      <c r="W151" s="11" t="s">
        <v>960</v>
      </c>
      <c r="X151" s="11" t="s">
        <v>431</v>
      </c>
      <c r="Y151" s="11" t="s">
        <v>433</v>
      </c>
      <c r="Z151" s="11" t="s">
        <v>71</v>
      </c>
      <c r="AA151" s="11" t="s">
        <v>959</v>
      </c>
      <c r="AB151" s="13">
        <v>5</v>
      </c>
      <c r="AC151" s="11" t="s">
        <v>1514</v>
      </c>
      <c r="AD151" s="11"/>
      <c r="AE151" s="11"/>
      <c r="AF151" s="14">
        <v>46203</v>
      </c>
      <c r="AG151" s="11" t="s">
        <v>957</v>
      </c>
      <c r="AH151" s="11" t="s">
        <v>962</v>
      </c>
    </row>
    <row r="152" spans="1:34" ht="17.25" customHeight="1" x14ac:dyDescent="0.25">
      <c r="A152" s="11" t="s">
        <v>61</v>
      </c>
      <c r="B152" s="11" t="s">
        <v>522</v>
      </c>
      <c r="C152" s="11"/>
      <c r="D152" s="11" t="s">
        <v>612</v>
      </c>
      <c r="E152" s="11" t="s">
        <v>473</v>
      </c>
      <c r="F152" s="11"/>
      <c r="G152" s="11" t="s">
        <v>474</v>
      </c>
      <c r="H152" s="11" t="s">
        <v>577</v>
      </c>
      <c r="I152" s="11" t="s">
        <v>272</v>
      </c>
      <c r="J152" s="11" t="s">
        <v>613</v>
      </c>
      <c r="K152" s="11" t="s">
        <v>373</v>
      </c>
      <c r="L152" s="11" t="s">
        <v>374</v>
      </c>
      <c r="M152" s="11" t="s">
        <v>614</v>
      </c>
      <c r="N152" s="11" t="s">
        <v>615</v>
      </c>
      <c r="O152" s="11" t="s">
        <v>118</v>
      </c>
      <c r="P152" s="11" t="s">
        <v>532</v>
      </c>
      <c r="Q152" s="11" t="s">
        <v>608</v>
      </c>
      <c r="R152" s="11" t="s">
        <v>54</v>
      </c>
      <c r="S152" s="12">
        <v>3.6</v>
      </c>
      <c r="T152" s="12">
        <v>18</v>
      </c>
      <c r="U152" s="11" t="s">
        <v>363</v>
      </c>
      <c r="V152" s="11" t="s">
        <v>606</v>
      </c>
      <c r="W152" s="11" t="s">
        <v>531</v>
      </c>
      <c r="X152" s="11" t="s">
        <v>607</v>
      </c>
      <c r="Y152" s="11" t="s">
        <v>609</v>
      </c>
      <c r="Z152" s="11" t="s">
        <v>71</v>
      </c>
      <c r="AA152" s="11" t="s">
        <v>610</v>
      </c>
      <c r="AB152" s="13">
        <v>5</v>
      </c>
      <c r="AC152" s="11" t="s">
        <v>1509</v>
      </c>
      <c r="AD152" s="11"/>
      <c r="AE152" s="11"/>
      <c r="AF152" s="14">
        <v>46203</v>
      </c>
      <c r="AG152" s="11" t="s">
        <v>605</v>
      </c>
      <c r="AH152" s="11" t="s">
        <v>539</v>
      </c>
    </row>
    <row r="153" spans="1:34" ht="17.25" customHeight="1" x14ac:dyDescent="0.25">
      <c r="A153" s="11" t="s">
        <v>61</v>
      </c>
      <c r="B153" s="11" t="s">
        <v>522</v>
      </c>
      <c r="C153" s="11"/>
      <c r="D153" s="11" t="s">
        <v>612</v>
      </c>
      <c r="E153" s="11" t="s">
        <v>473</v>
      </c>
      <c r="F153" s="11"/>
      <c r="G153" s="11" t="s">
        <v>474</v>
      </c>
      <c r="H153" s="11" t="s">
        <v>577</v>
      </c>
      <c r="I153" s="11" t="s">
        <v>272</v>
      </c>
      <c r="J153" s="11" t="s">
        <v>613</v>
      </c>
      <c r="K153" s="11" t="s">
        <v>373</v>
      </c>
      <c r="L153" s="11" t="s">
        <v>374</v>
      </c>
      <c r="M153" s="11" t="s">
        <v>614</v>
      </c>
      <c r="N153" s="11" t="s">
        <v>615</v>
      </c>
      <c r="O153" s="11" t="s">
        <v>118</v>
      </c>
      <c r="P153" s="11" t="s">
        <v>532</v>
      </c>
      <c r="Q153" s="11" t="s">
        <v>617</v>
      </c>
      <c r="R153" s="11" t="s">
        <v>54</v>
      </c>
      <c r="S153" s="12">
        <v>4.8</v>
      </c>
      <c r="T153" s="12">
        <v>24</v>
      </c>
      <c r="U153" s="11" t="s">
        <v>363</v>
      </c>
      <c r="V153" s="11" t="s">
        <v>606</v>
      </c>
      <c r="W153" s="11" t="s">
        <v>531</v>
      </c>
      <c r="X153" s="11" t="s">
        <v>616</v>
      </c>
      <c r="Y153" s="11" t="s">
        <v>618</v>
      </c>
      <c r="Z153" s="11" t="s">
        <v>71</v>
      </c>
      <c r="AA153" s="11" t="s">
        <v>610</v>
      </c>
      <c r="AB153" s="13">
        <v>5</v>
      </c>
      <c r="AC153" s="11" t="s">
        <v>1509</v>
      </c>
      <c r="AD153" s="11"/>
      <c r="AE153" s="11"/>
      <c r="AF153" s="14">
        <v>46203</v>
      </c>
      <c r="AG153" s="11" t="s">
        <v>605</v>
      </c>
      <c r="AH153" s="11" t="s">
        <v>539</v>
      </c>
    </row>
    <row r="154" spans="1:34" ht="17.25" customHeight="1" x14ac:dyDescent="0.25">
      <c r="A154" s="11" t="s">
        <v>61</v>
      </c>
      <c r="B154" s="11" t="s">
        <v>522</v>
      </c>
      <c r="C154" s="11"/>
      <c r="D154" s="11" t="s">
        <v>612</v>
      </c>
      <c r="E154" s="11" t="s">
        <v>473</v>
      </c>
      <c r="F154" s="11"/>
      <c r="G154" s="11" t="s">
        <v>474</v>
      </c>
      <c r="H154" s="11" t="s">
        <v>577</v>
      </c>
      <c r="I154" s="11" t="s">
        <v>272</v>
      </c>
      <c r="J154" s="11" t="s">
        <v>613</v>
      </c>
      <c r="K154" s="11" t="s">
        <v>373</v>
      </c>
      <c r="L154" s="11" t="s">
        <v>374</v>
      </c>
      <c r="M154" s="11" t="s">
        <v>614</v>
      </c>
      <c r="N154" s="11" t="s">
        <v>615</v>
      </c>
      <c r="O154" s="11" t="s">
        <v>118</v>
      </c>
      <c r="P154" s="11" t="s">
        <v>532</v>
      </c>
      <c r="Q154" s="11" t="s">
        <v>620</v>
      </c>
      <c r="R154" s="11" t="s">
        <v>54</v>
      </c>
      <c r="S154" s="12">
        <v>3.3</v>
      </c>
      <c r="T154" s="12">
        <v>16.5</v>
      </c>
      <c r="U154" s="11" t="s">
        <v>363</v>
      </c>
      <c r="V154" s="11" t="s">
        <v>606</v>
      </c>
      <c r="W154" s="11" t="s">
        <v>531</v>
      </c>
      <c r="X154" s="11" t="s">
        <v>619</v>
      </c>
      <c r="Y154" s="11" t="s">
        <v>621</v>
      </c>
      <c r="Z154" s="11" t="s">
        <v>71</v>
      </c>
      <c r="AA154" s="11" t="s">
        <v>610</v>
      </c>
      <c r="AB154" s="13">
        <v>5</v>
      </c>
      <c r="AC154" s="11" t="s">
        <v>1509</v>
      </c>
      <c r="AD154" s="11"/>
      <c r="AE154" s="11"/>
      <c r="AF154" s="14">
        <v>46203</v>
      </c>
      <c r="AG154" s="11" t="s">
        <v>605</v>
      </c>
      <c r="AH154" s="11" t="s">
        <v>539</v>
      </c>
    </row>
    <row r="155" spans="1:34" ht="17.25" customHeight="1" x14ac:dyDescent="0.25">
      <c r="A155" s="11" t="s">
        <v>61</v>
      </c>
      <c r="B155" s="11" t="s">
        <v>522</v>
      </c>
      <c r="C155" s="11"/>
      <c r="D155" s="11" t="s">
        <v>612</v>
      </c>
      <c r="E155" s="11" t="s">
        <v>473</v>
      </c>
      <c r="F155" s="11"/>
      <c r="G155" s="11" t="s">
        <v>474</v>
      </c>
      <c r="H155" s="11" t="s">
        <v>577</v>
      </c>
      <c r="I155" s="11" t="s">
        <v>272</v>
      </c>
      <c r="J155" s="11" t="s">
        <v>613</v>
      </c>
      <c r="K155" s="11" t="s">
        <v>373</v>
      </c>
      <c r="L155" s="11" t="s">
        <v>374</v>
      </c>
      <c r="M155" s="11" t="s">
        <v>614</v>
      </c>
      <c r="N155" s="11" t="s">
        <v>615</v>
      </c>
      <c r="O155" s="11" t="s">
        <v>118</v>
      </c>
      <c r="P155" s="11" t="s">
        <v>532</v>
      </c>
      <c r="Q155" s="11" t="s">
        <v>625</v>
      </c>
      <c r="R155" s="11" t="s">
        <v>54</v>
      </c>
      <c r="S155" s="12">
        <v>4.8</v>
      </c>
      <c r="T155" s="12">
        <v>24</v>
      </c>
      <c r="U155" s="11" t="s">
        <v>363</v>
      </c>
      <c r="V155" s="11" t="s">
        <v>606</v>
      </c>
      <c r="W155" s="11" t="s">
        <v>531</v>
      </c>
      <c r="X155" s="11" t="s">
        <v>624</v>
      </c>
      <c r="Y155" s="11" t="s">
        <v>626</v>
      </c>
      <c r="Z155" s="11" t="s">
        <v>71</v>
      </c>
      <c r="AA155" s="11" t="s">
        <v>610</v>
      </c>
      <c r="AB155" s="13">
        <v>5</v>
      </c>
      <c r="AC155" s="11" t="s">
        <v>1509</v>
      </c>
      <c r="AD155" s="11"/>
      <c r="AE155" s="11"/>
      <c r="AF155" s="14">
        <v>46203</v>
      </c>
      <c r="AG155" s="11" t="s">
        <v>605</v>
      </c>
      <c r="AH155" s="11" t="s">
        <v>539</v>
      </c>
    </row>
    <row r="156" spans="1:34" ht="17.25" customHeight="1" x14ac:dyDescent="0.25">
      <c r="A156" s="11" t="s">
        <v>61</v>
      </c>
      <c r="B156" s="11" t="s">
        <v>522</v>
      </c>
      <c r="C156" s="11"/>
      <c r="D156" s="11" t="s">
        <v>612</v>
      </c>
      <c r="E156" s="11" t="s">
        <v>473</v>
      </c>
      <c r="F156" s="11"/>
      <c r="G156" s="11" t="s">
        <v>474</v>
      </c>
      <c r="H156" s="11" t="s">
        <v>577</v>
      </c>
      <c r="I156" s="11" t="s">
        <v>272</v>
      </c>
      <c r="J156" s="11" t="s">
        <v>613</v>
      </c>
      <c r="K156" s="11" t="s">
        <v>373</v>
      </c>
      <c r="L156" s="11" t="s">
        <v>374</v>
      </c>
      <c r="M156" s="11" t="s">
        <v>614</v>
      </c>
      <c r="N156" s="11" t="s">
        <v>615</v>
      </c>
      <c r="O156" s="11" t="s">
        <v>118</v>
      </c>
      <c r="P156" s="11" t="s">
        <v>532</v>
      </c>
      <c r="Q156" s="11" t="s">
        <v>628</v>
      </c>
      <c r="R156" s="11" t="s">
        <v>54</v>
      </c>
      <c r="S156" s="12">
        <v>3.6</v>
      </c>
      <c r="T156" s="12">
        <v>18</v>
      </c>
      <c r="U156" s="11" t="s">
        <v>363</v>
      </c>
      <c r="V156" s="11" t="s">
        <v>606</v>
      </c>
      <c r="W156" s="11" t="s">
        <v>531</v>
      </c>
      <c r="X156" s="11" t="s">
        <v>627</v>
      </c>
      <c r="Y156" s="11" t="s">
        <v>629</v>
      </c>
      <c r="Z156" s="11" t="s">
        <v>71</v>
      </c>
      <c r="AA156" s="11" t="s">
        <v>610</v>
      </c>
      <c r="AB156" s="13">
        <v>5</v>
      </c>
      <c r="AC156" s="11" t="s">
        <v>1509</v>
      </c>
      <c r="AD156" s="11"/>
      <c r="AE156" s="11"/>
      <c r="AF156" s="14">
        <v>46203</v>
      </c>
      <c r="AG156" s="11" t="s">
        <v>605</v>
      </c>
      <c r="AH156" s="11" t="s">
        <v>539</v>
      </c>
    </row>
    <row r="157" spans="1:34" ht="17.25" customHeight="1" x14ac:dyDescent="0.25">
      <c r="A157" s="11" t="s">
        <v>61</v>
      </c>
      <c r="B157" s="11" t="s">
        <v>522</v>
      </c>
      <c r="C157" s="11"/>
      <c r="D157" s="11" t="s">
        <v>612</v>
      </c>
      <c r="E157" s="11" t="s">
        <v>473</v>
      </c>
      <c r="F157" s="11"/>
      <c r="G157" s="11" t="s">
        <v>474</v>
      </c>
      <c r="H157" s="11" t="s">
        <v>577</v>
      </c>
      <c r="I157" s="11" t="s">
        <v>272</v>
      </c>
      <c r="J157" s="11" t="s">
        <v>613</v>
      </c>
      <c r="K157" s="11" t="s">
        <v>373</v>
      </c>
      <c r="L157" s="11" t="s">
        <v>374</v>
      </c>
      <c r="M157" s="11" t="s">
        <v>614</v>
      </c>
      <c r="N157" s="11" t="s">
        <v>615</v>
      </c>
      <c r="O157" s="11" t="s">
        <v>118</v>
      </c>
      <c r="P157" s="11" t="s">
        <v>532</v>
      </c>
      <c r="Q157" s="11" t="s">
        <v>380</v>
      </c>
      <c r="R157" s="11" t="s">
        <v>54</v>
      </c>
      <c r="S157" s="12">
        <v>6</v>
      </c>
      <c r="T157" s="12">
        <v>60</v>
      </c>
      <c r="U157" s="11" t="s">
        <v>363</v>
      </c>
      <c r="V157" s="11" t="s">
        <v>606</v>
      </c>
      <c r="W157" s="11" t="s">
        <v>531</v>
      </c>
      <c r="X157" s="11" t="s">
        <v>379</v>
      </c>
      <c r="Y157" s="11" t="s">
        <v>381</v>
      </c>
      <c r="Z157" s="11" t="s">
        <v>71</v>
      </c>
      <c r="AA157" s="11" t="s">
        <v>610</v>
      </c>
      <c r="AB157" s="13">
        <v>10</v>
      </c>
      <c r="AC157" s="11" t="s">
        <v>1509</v>
      </c>
      <c r="AD157" s="11"/>
      <c r="AE157" s="11"/>
      <c r="AF157" s="14">
        <v>46203</v>
      </c>
      <c r="AG157" s="11" t="s">
        <v>605</v>
      </c>
      <c r="AH157" s="11" t="s">
        <v>539</v>
      </c>
    </row>
    <row r="158" spans="1:34" ht="17.25" customHeight="1" x14ac:dyDescent="0.25">
      <c r="A158" s="11" t="s">
        <v>61</v>
      </c>
      <c r="B158" s="11" t="s">
        <v>522</v>
      </c>
      <c r="C158" s="11"/>
      <c r="D158" s="11" t="s">
        <v>612</v>
      </c>
      <c r="E158" s="11" t="s">
        <v>473</v>
      </c>
      <c r="F158" s="11"/>
      <c r="G158" s="11" t="s">
        <v>474</v>
      </c>
      <c r="H158" s="11" t="s">
        <v>577</v>
      </c>
      <c r="I158" s="11" t="s">
        <v>272</v>
      </c>
      <c r="J158" s="11" t="s">
        <v>613</v>
      </c>
      <c r="K158" s="11" t="s">
        <v>373</v>
      </c>
      <c r="L158" s="11" t="s">
        <v>374</v>
      </c>
      <c r="M158" s="11" t="s">
        <v>614</v>
      </c>
      <c r="N158" s="11" t="s">
        <v>615</v>
      </c>
      <c r="O158" s="11" t="s">
        <v>118</v>
      </c>
      <c r="P158" s="11" t="s">
        <v>532</v>
      </c>
      <c r="Q158" s="11" t="s">
        <v>388</v>
      </c>
      <c r="R158" s="11" t="s">
        <v>54</v>
      </c>
      <c r="S158" s="12">
        <v>6</v>
      </c>
      <c r="T158" s="12">
        <v>30</v>
      </c>
      <c r="U158" s="11" t="s">
        <v>363</v>
      </c>
      <c r="V158" s="11" t="s">
        <v>606</v>
      </c>
      <c r="W158" s="11" t="s">
        <v>531</v>
      </c>
      <c r="X158" s="11" t="s">
        <v>387</v>
      </c>
      <c r="Y158" s="11" t="s">
        <v>389</v>
      </c>
      <c r="Z158" s="11" t="s">
        <v>71</v>
      </c>
      <c r="AA158" s="11" t="s">
        <v>610</v>
      </c>
      <c r="AB158" s="13">
        <v>5</v>
      </c>
      <c r="AC158" s="11" t="s">
        <v>1509</v>
      </c>
      <c r="AD158" s="11"/>
      <c r="AE158" s="11"/>
      <c r="AF158" s="14">
        <v>46203</v>
      </c>
      <c r="AG158" s="11" t="s">
        <v>605</v>
      </c>
      <c r="AH158" s="11" t="s">
        <v>539</v>
      </c>
    </row>
    <row r="159" spans="1:34" ht="17.25" customHeight="1" x14ac:dyDescent="0.25">
      <c r="A159" s="11" t="s">
        <v>269</v>
      </c>
      <c r="B159" s="11" t="s">
        <v>522</v>
      </c>
      <c r="C159" s="11"/>
      <c r="D159" s="11" t="s">
        <v>638</v>
      </c>
      <c r="E159" s="11" t="s">
        <v>473</v>
      </c>
      <c r="F159" s="11"/>
      <c r="G159" s="11" t="s">
        <v>474</v>
      </c>
      <c r="H159" s="11" t="s">
        <v>577</v>
      </c>
      <c r="I159" s="11" t="s">
        <v>272</v>
      </c>
      <c r="J159" s="11" t="s">
        <v>613</v>
      </c>
      <c r="K159" s="11" t="s">
        <v>323</v>
      </c>
      <c r="L159" s="11" t="s">
        <v>324</v>
      </c>
      <c r="M159" s="11" t="s">
        <v>639</v>
      </c>
      <c r="N159" s="11" t="s">
        <v>640</v>
      </c>
      <c r="O159" s="11" t="s">
        <v>118</v>
      </c>
      <c r="P159" s="11" t="s">
        <v>532</v>
      </c>
      <c r="Q159" s="11" t="s">
        <v>633</v>
      </c>
      <c r="R159" s="11" t="s">
        <v>54</v>
      </c>
      <c r="S159" s="12">
        <v>7.44</v>
      </c>
      <c r="T159" s="12">
        <v>14.88</v>
      </c>
      <c r="U159" s="11" t="s">
        <v>311</v>
      </c>
      <c r="V159" s="11" t="s">
        <v>631</v>
      </c>
      <c r="W159" s="11" t="s">
        <v>531</v>
      </c>
      <c r="X159" s="11" t="s">
        <v>632</v>
      </c>
      <c r="Y159" s="11" t="s">
        <v>634</v>
      </c>
      <c r="Z159" s="11" t="s">
        <v>71</v>
      </c>
      <c r="AA159" s="11" t="s">
        <v>635</v>
      </c>
      <c r="AB159" s="13">
        <v>2</v>
      </c>
      <c r="AC159" s="11" t="s">
        <v>1509</v>
      </c>
      <c r="AD159" s="11"/>
      <c r="AE159" s="11"/>
      <c r="AF159" s="14">
        <v>46203</v>
      </c>
      <c r="AG159" s="11" t="s">
        <v>630</v>
      </c>
      <c r="AH159" s="11" t="s">
        <v>539</v>
      </c>
    </row>
    <row r="160" spans="1:34" ht="17.25" customHeight="1" x14ac:dyDescent="0.25">
      <c r="A160" s="11" t="s">
        <v>269</v>
      </c>
      <c r="B160" s="11" t="s">
        <v>522</v>
      </c>
      <c r="C160" s="11"/>
      <c r="D160" s="11" t="s">
        <v>638</v>
      </c>
      <c r="E160" s="11" t="s">
        <v>473</v>
      </c>
      <c r="F160" s="11"/>
      <c r="G160" s="11" t="s">
        <v>474</v>
      </c>
      <c r="H160" s="11" t="s">
        <v>577</v>
      </c>
      <c r="I160" s="11" t="s">
        <v>272</v>
      </c>
      <c r="J160" s="11" t="s">
        <v>613</v>
      </c>
      <c r="K160" s="11" t="s">
        <v>323</v>
      </c>
      <c r="L160" s="11" t="s">
        <v>324</v>
      </c>
      <c r="M160" s="11" t="s">
        <v>639</v>
      </c>
      <c r="N160" s="11" t="s">
        <v>640</v>
      </c>
      <c r="O160" s="11" t="s">
        <v>118</v>
      </c>
      <c r="P160" s="11" t="s">
        <v>532</v>
      </c>
      <c r="Q160" s="11" t="s">
        <v>642</v>
      </c>
      <c r="R160" s="11" t="s">
        <v>54</v>
      </c>
      <c r="S160" s="12">
        <v>5.64</v>
      </c>
      <c r="T160" s="12">
        <v>16.919999999999998</v>
      </c>
      <c r="U160" s="11" t="s">
        <v>311</v>
      </c>
      <c r="V160" s="11" t="s">
        <v>631</v>
      </c>
      <c r="W160" s="11" t="s">
        <v>531</v>
      </c>
      <c r="X160" s="11" t="s">
        <v>641</v>
      </c>
      <c r="Y160" s="11" t="s">
        <v>643</v>
      </c>
      <c r="Z160" s="11" t="s">
        <v>71</v>
      </c>
      <c r="AA160" s="11" t="s">
        <v>635</v>
      </c>
      <c r="AB160" s="13">
        <v>3</v>
      </c>
      <c r="AC160" s="11" t="s">
        <v>1509</v>
      </c>
      <c r="AD160" s="11"/>
      <c r="AE160" s="11"/>
      <c r="AF160" s="14">
        <v>46203</v>
      </c>
      <c r="AG160" s="11" t="s">
        <v>630</v>
      </c>
      <c r="AH160" s="11" t="s">
        <v>539</v>
      </c>
    </row>
    <row r="161" spans="1:34" ht="17.25" customHeight="1" x14ac:dyDescent="0.25">
      <c r="A161" s="11" t="s">
        <v>269</v>
      </c>
      <c r="B161" s="11" t="s">
        <v>522</v>
      </c>
      <c r="C161" s="11"/>
      <c r="D161" s="11" t="s">
        <v>638</v>
      </c>
      <c r="E161" s="11" t="s">
        <v>473</v>
      </c>
      <c r="F161" s="11"/>
      <c r="G161" s="11" t="s">
        <v>474</v>
      </c>
      <c r="H161" s="11" t="s">
        <v>577</v>
      </c>
      <c r="I161" s="11" t="s">
        <v>272</v>
      </c>
      <c r="J161" s="11" t="s">
        <v>613</v>
      </c>
      <c r="K161" s="11" t="s">
        <v>323</v>
      </c>
      <c r="L161" s="11" t="s">
        <v>324</v>
      </c>
      <c r="M161" s="11" t="s">
        <v>639</v>
      </c>
      <c r="N161" s="11" t="s">
        <v>640</v>
      </c>
      <c r="O161" s="11" t="s">
        <v>118</v>
      </c>
      <c r="P161" s="11" t="s">
        <v>532</v>
      </c>
      <c r="Q161" s="11" t="s">
        <v>330</v>
      </c>
      <c r="R161" s="11" t="s">
        <v>54</v>
      </c>
      <c r="S161" s="12">
        <v>9.6</v>
      </c>
      <c r="T161" s="12">
        <v>48</v>
      </c>
      <c r="U161" s="11" t="s">
        <v>311</v>
      </c>
      <c r="V161" s="11" t="s">
        <v>631</v>
      </c>
      <c r="W161" s="11" t="s">
        <v>531</v>
      </c>
      <c r="X161" s="11" t="s">
        <v>329</v>
      </c>
      <c r="Y161" s="11" t="s">
        <v>331</v>
      </c>
      <c r="Z161" s="11" t="s">
        <v>71</v>
      </c>
      <c r="AA161" s="11" t="s">
        <v>635</v>
      </c>
      <c r="AB161" s="13">
        <v>5</v>
      </c>
      <c r="AC161" s="11" t="s">
        <v>1509</v>
      </c>
      <c r="AD161" s="11"/>
      <c r="AE161" s="11"/>
      <c r="AF161" s="14">
        <v>46203</v>
      </c>
      <c r="AG161" s="11" t="s">
        <v>630</v>
      </c>
      <c r="AH161" s="11" t="s">
        <v>539</v>
      </c>
    </row>
    <row r="162" spans="1:34" ht="17.25" customHeight="1" x14ac:dyDescent="0.25">
      <c r="A162" s="11" t="s">
        <v>269</v>
      </c>
      <c r="B162" s="11" t="s">
        <v>522</v>
      </c>
      <c r="C162" s="11"/>
      <c r="D162" s="11" t="s">
        <v>638</v>
      </c>
      <c r="E162" s="11" t="s">
        <v>473</v>
      </c>
      <c r="F162" s="11"/>
      <c r="G162" s="11" t="s">
        <v>474</v>
      </c>
      <c r="H162" s="11" t="s">
        <v>577</v>
      </c>
      <c r="I162" s="11" t="s">
        <v>272</v>
      </c>
      <c r="J162" s="11" t="s">
        <v>613</v>
      </c>
      <c r="K162" s="11" t="s">
        <v>323</v>
      </c>
      <c r="L162" s="11" t="s">
        <v>324</v>
      </c>
      <c r="M162" s="11" t="s">
        <v>639</v>
      </c>
      <c r="N162" s="11" t="s">
        <v>640</v>
      </c>
      <c r="O162" s="11" t="s">
        <v>118</v>
      </c>
      <c r="P162" s="11" t="s">
        <v>532</v>
      </c>
      <c r="Q162" s="11" t="s">
        <v>647</v>
      </c>
      <c r="R162" s="11" t="s">
        <v>54</v>
      </c>
      <c r="S162" s="12">
        <v>5.52</v>
      </c>
      <c r="T162" s="12">
        <v>55.199999999999996</v>
      </c>
      <c r="U162" s="11" t="s">
        <v>311</v>
      </c>
      <c r="V162" s="11" t="s">
        <v>631</v>
      </c>
      <c r="W162" s="11" t="s">
        <v>531</v>
      </c>
      <c r="X162" s="11" t="s">
        <v>646</v>
      </c>
      <c r="Y162" s="11" t="s">
        <v>648</v>
      </c>
      <c r="Z162" s="11" t="s">
        <v>71</v>
      </c>
      <c r="AA162" s="11" t="s">
        <v>635</v>
      </c>
      <c r="AB162" s="13">
        <v>10</v>
      </c>
      <c r="AC162" s="11" t="s">
        <v>1509</v>
      </c>
      <c r="AD162" s="11"/>
      <c r="AE162" s="11"/>
      <c r="AF162" s="14">
        <v>46203</v>
      </c>
      <c r="AG162" s="11" t="s">
        <v>630</v>
      </c>
      <c r="AH162" s="11" t="s">
        <v>539</v>
      </c>
    </row>
    <row r="163" spans="1:34" ht="17.25" customHeight="1" x14ac:dyDescent="0.25">
      <c r="A163" s="11" t="s">
        <v>269</v>
      </c>
      <c r="B163" s="11" t="s">
        <v>522</v>
      </c>
      <c r="C163" s="11"/>
      <c r="D163" s="11" t="s">
        <v>656</v>
      </c>
      <c r="E163" s="11" t="s">
        <v>473</v>
      </c>
      <c r="F163" s="11"/>
      <c r="G163" s="11" t="s">
        <v>474</v>
      </c>
      <c r="H163" s="11" t="s">
        <v>577</v>
      </c>
      <c r="I163" s="11" t="s">
        <v>272</v>
      </c>
      <c r="J163" s="11" t="s">
        <v>613</v>
      </c>
      <c r="K163" s="11" t="s">
        <v>323</v>
      </c>
      <c r="L163" s="11" t="s">
        <v>324</v>
      </c>
      <c r="M163" s="11" t="s">
        <v>657</v>
      </c>
      <c r="N163" s="11" t="s">
        <v>658</v>
      </c>
      <c r="O163" s="11" t="s">
        <v>118</v>
      </c>
      <c r="P163" s="11" t="s">
        <v>532</v>
      </c>
      <c r="Q163" s="11" t="s">
        <v>647</v>
      </c>
      <c r="R163" s="11" t="s">
        <v>54</v>
      </c>
      <c r="S163" s="12">
        <v>5.52</v>
      </c>
      <c r="T163" s="12">
        <v>27.599999999999998</v>
      </c>
      <c r="U163" s="11" t="s">
        <v>311</v>
      </c>
      <c r="V163" s="11" t="s">
        <v>631</v>
      </c>
      <c r="W163" s="11" t="s">
        <v>531</v>
      </c>
      <c r="X163" s="11" t="s">
        <v>646</v>
      </c>
      <c r="Y163" s="11" t="s">
        <v>648</v>
      </c>
      <c r="Z163" s="11" t="s">
        <v>567</v>
      </c>
      <c r="AA163" s="11" t="s">
        <v>635</v>
      </c>
      <c r="AB163" s="13">
        <v>5</v>
      </c>
      <c r="AC163" s="11" t="s">
        <v>1509</v>
      </c>
      <c r="AD163" s="11"/>
      <c r="AE163" s="11"/>
      <c r="AF163" s="14">
        <v>46203</v>
      </c>
      <c r="AG163" s="11" t="s">
        <v>654</v>
      </c>
      <c r="AH163" s="11" t="s">
        <v>539</v>
      </c>
    </row>
    <row r="164" spans="1:34" ht="17.25" customHeight="1" x14ac:dyDescent="0.25">
      <c r="A164" s="11" t="s">
        <v>269</v>
      </c>
      <c r="B164" s="11" t="s">
        <v>522</v>
      </c>
      <c r="C164" s="11"/>
      <c r="D164" s="11" t="s">
        <v>638</v>
      </c>
      <c r="E164" s="11" t="s">
        <v>473</v>
      </c>
      <c r="F164" s="11"/>
      <c r="G164" s="11" t="s">
        <v>474</v>
      </c>
      <c r="H164" s="11" t="s">
        <v>577</v>
      </c>
      <c r="I164" s="11" t="s">
        <v>272</v>
      </c>
      <c r="J164" s="11" t="s">
        <v>613</v>
      </c>
      <c r="K164" s="11" t="s">
        <v>323</v>
      </c>
      <c r="L164" s="11" t="s">
        <v>324</v>
      </c>
      <c r="M164" s="11" t="s">
        <v>639</v>
      </c>
      <c r="N164" s="11" t="s">
        <v>640</v>
      </c>
      <c r="O164" s="11" t="s">
        <v>118</v>
      </c>
      <c r="P164" s="11" t="s">
        <v>532</v>
      </c>
      <c r="Q164" s="11" t="s">
        <v>652</v>
      </c>
      <c r="R164" s="11" t="s">
        <v>54</v>
      </c>
      <c r="S164" s="12">
        <v>6</v>
      </c>
      <c r="T164" s="12">
        <v>60</v>
      </c>
      <c r="U164" s="11" t="s">
        <v>311</v>
      </c>
      <c r="V164" s="11" t="s">
        <v>631</v>
      </c>
      <c r="W164" s="11" t="s">
        <v>531</v>
      </c>
      <c r="X164" s="11" t="s">
        <v>651</v>
      </c>
      <c r="Y164" s="11" t="s">
        <v>653</v>
      </c>
      <c r="Z164" s="11" t="s">
        <v>71</v>
      </c>
      <c r="AA164" s="11" t="s">
        <v>635</v>
      </c>
      <c r="AB164" s="13">
        <v>10</v>
      </c>
      <c r="AC164" s="11" t="s">
        <v>1509</v>
      </c>
      <c r="AD164" s="11"/>
      <c r="AE164" s="11"/>
      <c r="AF164" s="14">
        <v>46203</v>
      </c>
      <c r="AG164" s="11" t="s">
        <v>630</v>
      </c>
      <c r="AH164" s="11" t="s">
        <v>539</v>
      </c>
    </row>
    <row r="165" spans="1:34" ht="17.25" customHeight="1" x14ac:dyDescent="0.25">
      <c r="A165" s="11" t="s">
        <v>269</v>
      </c>
      <c r="B165" s="11" t="s">
        <v>522</v>
      </c>
      <c r="C165" s="11"/>
      <c r="D165" s="11" t="s">
        <v>656</v>
      </c>
      <c r="E165" s="11" t="s">
        <v>473</v>
      </c>
      <c r="F165" s="11"/>
      <c r="G165" s="11" t="s">
        <v>474</v>
      </c>
      <c r="H165" s="11" t="s">
        <v>577</v>
      </c>
      <c r="I165" s="11" t="s">
        <v>272</v>
      </c>
      <c r="J165" s="11" t="s">
        <v>613</v>
      </c>
      <c r="K165" s="11" t="s">
        <v>323</v>
      </c>
      <c r="L165" s="11" t="s">
        <v>324</v>
      </c>
      <c r="M165" s="11" t="s">
        <v>657</v>
      </c>
      <c r="N165" s="11" t="s">
        <v>658</v>
      </c>
      <c r="O165" s="11" t="s">
        <v>118</v>
      </c>
      <c r="P165" s="11" t="s">
        <v>532</v>
      </c>
      <c r="Q165" s="11" t="s">
        <v>652</v>
      </c>
      <c r="R165" s="11" t="s">
        <v>54</v>
      </c>
      <c r="S165" s="12">
        <v>6</v>
      </c>
      <c r="T165" s="12">
        <v>30</v>
      </c>
      <c r="U165" s="11" t="s">
        <v>311</v>
      </c>
      <c r="V165" s="11" t="s">
        <v>631</v>
      </c>
      <c r="W165" s="11" t="s">
        <v>531</v>
      </c>
      <c r="X165" s="11" t="s">
        <v>651</v>
      </c>
      <c r="Y165" s="11" t="s">
        <v>653</v>
      </c>
      <c r="Z165" s="11" t="s">
        <v>567</v>
      </c>
      <c r="AA165" s="11" t="s">
        <v>635</v>
      </c>
      <c r="AB165" s="13">
        <v>5</v>
      </c>
      <c r="AC165" s="11" t="s">
        <v>1509</v>
      </c>
      <c r="AD165" s="11"/>
      <c r="AE165" s="11"/>
      <c r="AF165" s="14">
        <v>46203</v>
      </c>
      <c r="AG165" s="11" t="s">
        <v>654</v>
      </c>
      <c r="AH165" s="11" t="s">
        <v>539</v>
      </c>
    </row>
    <row r="166" spans="1:34" ht="17.25" customHeight="1" x14ac:dyDescent="0.25">
      <c r="A166" s="11" t="s">
        <v>269</v>
      </c>
      <c r="B166" s="11" t="s">
        <v>522</v>
      </c>
      <c r="C166" s="11"/>
      <c r="D166" s="11" t="s">
        <v>663</v>
      </c>
      <c r="E166" s="11" t="s">
        <v>473</v>
      </c>
      <c r="F166" s="11"/>
      <c r="G166" s="11" t="s">
        <v>474</v>
      </c>
      <c r="H166" s="11" t="s">
        <v>577</v>
      </c>
      <c r="I166" s="11" t="s">
        <v>272</v>
      </c>
      <c r="J166" s="11" t="s">
        <v>664</v>
      </c>
      <c r="K166" s="11" t="s">
        <v>323</v>
      </c>
      <c r="L166" s="11" t="s">
        <v>324</v>
      </c>
      <c r="M166" s="11" t="s">
        <v>665</v>
      </c>
      <c r="N166" s="11" t="s">
        <v>666</v>
      </c>
      <c r="O166" s="11" t="s">
        <v>118</v>
      </c>
      <c r="P166" s="11" t="s">
        <v>532</v>
      </c>
      <c r="Q166" s="11" t="s">
        <v>661</v>
      </c>
      <c r="R166" s="11" t="s">
        <v>54</v>
      </c>
      <c r="S166" s="12">
        <v>9.6</v>
      </c>
      <c r="T166" s="12">
        <v>9.6</v>
      </c>
      <c r="U166" s="11" t="s">
        <v>311</v>
      </c>
      <c r="V166" s="11" t="s">
        <v>631</v>
      </c>
      <c r="W166" s="11" t="s">
        <v>531</v>
      </c>
      <c r="X166" s="11" t="s">
        <v>660</v>
      </c>
      <c r="Y166" s="11" t="s">
        <v>662</v>
      </c>
      <c r="Z166" s="11" t="s">
        <v>71</v>
      </c>
      <c r="AA166" s="11" t="s">
        <v>635</v>
      </c>
      <c r="AB166" s="13">
        <v>1</v>
      </c>
      <c r="AC166" s="11" t="s">
        <v>1509</v>
      </c>
      <c r="AD166" s="11"/>
      <c r="AE166" s="11"/>
      <c r="AF166" s="14">
        <v>46203</v>
      </c>
      <c r="AG166" s="11" t="s">
        <v>659</v>
      </c>
      <c r="AH166" s="11" t="s">
        <v>539</v>
      </c>
    </row>
    <row r="167" spans="1:34" ht="17.25" customHeight="1" x14ac:dyDescent="0.25">
      <c r="A167" s="11" t="s">
        <v>61</v>
      </c>
      <c r="B167" s="11" t="s">
        <v>522</v>
      </c>
      <c r="C167" s="11"/>
      <c r="D167" s="11" t="s">
        <v>668</v>
      </c>
      <c r="E167" s="11" t="s">
        <v>473</v>
      </c>
      <c r="F167" s="11"/>
      <c r="G167" s="11" t="s">
        <v>474</v>
      </c>
      <c r="H167" s="11" t="s">
        <v>577</v>
      </c>
      <c r="I167" s="11" t="s">
        <v>272</v>
      </c>
      <c r="J167" s="11" t="s">
        <v>664</v>
      </c>
      <c r="K167" s="11" t="s">
        <v>373</v>
      </c>
      <c r="L167" s="11" t="s">
        <v>374</v>
      </c>
      <c r="M167" s="11" t="s">
        <v>669</v>
      </c>
      <c r="N167" s="11" t="s">
        <v>670</v>
      </c>
      <c r="O167" s="11" t="s">
        <v>118</v>
      </c>
      <c r="P167" s="11" t="s">
        <v>532</v>
      </c>
      <c r="Q167" s="11" t="s">
        <v>391</v>
      </c>
      <c r="R167" s="11" t="s">
        <v>54</v>
      </c>
      <c r="S167" s="12">
        <v>4.8</v>
      </c>
      <c r="T167" s="12">
        <v>4.8</v>
      </c>
      <c r="U167" s="11" t="s">
        <v>363</v>
      </c>
      <c r="V167" s="11" t="s">
        <v>606</v>
      </c>
      <c r="W167" s="11" t="s">
        <v>531</v>
      </c>
      <c r="X167" s="11" t="s">
        <v>390</v>
      </c>
      <c r="Y167" s="11" t="s">
        <v>392</v>
      </c>
      <c r="Z167" s="11" t="s">
        <v>71</v>
      </c>
      <c r="AA167" s="11" t="s">
        <v>610</v>
      </c>
      <c r="AB167" s="13">
        <v>1</v>
      </c>
      <c r="AC167" s="11" t="s">
        <v>1509</v>
      </c>
      <c r="AD167" s="11"/>
      <c r="AE167" s="11"/>
      <c r="AF167" s="14">
        <v>46203</v>
      </c>
      <c r="AG167" s="11" t="s">
        <v>667</v>
      </c>
      <c r="AH167" s="11" t="s">
        <v>539</v>
      </c>
    </row>
    <row r="168" spans="1:34" ht="17.25" customHeight="1" x14ac:dyDescent="0.25">
      <c r="A168" s="11" t="s">
        <v>61</v>
      </c>
      <c r="B168" s="11" t="s">
        <v>62</v>
      </c>
      <c r="C168" s="11"/>
      <c r="D168" s="11" t="s">
        <v>1364</v>
      </c>
      <c r="E168" s="11" t="s">
        <v>59</v>
      </c>
      <c r="F168" s="11"/>
      <c r="G168" s="11" t="s">
        <v>63</v>
      </c>
      <c r="H168" s="11" t="s">
        <v>64</v>
      </c>
      <c r="I168" s="11" t="s">
        <v>65</v>
      </c>
      <c r="J168" s="11"/>
      <c r="K168" s="11" t="s">
        <v>66</v>
      </c>
      <c r="L168" s="11" t="s">
        <v>67</v>
      </c>
      <c r="M168" s="11" t="s">
        <v>1365</v>
      </c>
      <c r="N168" s="11" t="s">
        <v>1366</v>
      </c>
      <c r="O168" s="11" t="s">
        <v>70</v>
      </c>
      <c r="P168" s="11" t="s">
        <v>1362</v>
      </c>
      <c r="Q168" s="11" t="s">
        <v>441</v>
      </c>
      <c r="R168" s="11" t="s">
        <v>54</v>
      </c>
      <c r="S168" s="12">
        <v>23.52</v>
      </c>
      <c r="T168" s="12">
        <v>235.2</v>
      </c>
      <c r="U168" s="11"/>
      <c r="V168" s="11" t="s">
        <v>1360</v>
      </c>
      <c r="W168" s="11" t="s">
        <v>1361</v>
      </c>
      <c r="X168" s="11" t="s">
        <v>440</v>
      </c>
      <c r="Y168" s="11" t="s">
        <v>442</v>
      </c>
      <c r="Z168" s="11" t="s">
        <v>71</v>
      </c>
      <c r="AA168" s="11"/>
      <c r="AB168" s="13">
        <v>10</v>
      </c>
      <c r="AC168" s="11" t="s">
        <v>1515</v>
      </c>
      <c r="AD168" s="11"/>
      <c r="AE168" s="11"/>
      <c r="AF168" s="14">
        <v>46203</v>
      </c>
      <c r="AG168" s="11" t="s">
        <v>1358</v>
      </c>
      <c r="AH168" s="11" t="s">
        <v>1363</v>
      </c>
    </row>
    <row r="169" spans="1:34" ht="17.25" customHeight="1" x14ac:dyDescent="0.25">
      <c r="A169" s="11" t="s">
        <v>61</v>
      </c>
      <c r="B169" s="11" t="s">
        <v>62</v>
      </c>
      <c r="C169" s="11"/>
      <c r="D169" s="11" t="s">
        <v>1364</v>
      </c>
      <c r="E169" s="11" t="s">
        <v>59</v>
      </c>
      <c r="F169" s="11"/>
      <c r="G169" s="11" t="s">
        <v>63</v>
      </c>
      <c r="H169" s="11" t="s">
        <v>64</v>
      </c>
      <c r="I169" s="11" t="s">
        <v>65</v>
      </c>
      <c r="J169" s="11"/>
      <c r="K169" s="11" t="s">
        <v>66</v>
      </c>
      <c r="L169" s="11" t="s">
        <v>67</v>
      </c>
      <c r="M169" s="11" t="s">
        <v>1365</v>
      </c>
      <c r="N169" s="11" t="s">
        <v>1366</v>
      </c>
      <c r="O169" s="11" t="s">
        <v>70</v>
      </c>
      <c r="P169" s="11" t="s">
        <v>1362</v>
      </c>
      <c r="Q169" s="11" t="s">
        <v>1371</v>
      </c>
      <c r="R169" s="11" t="s">
        <v>54</v>
      </c>
      <c r="S169" s="12">
        <v>11.98</v>
      </c>
      <c r="T169" s="12">
        <v>47.92</v>
      </c>
      <c r="U169" s="11"/>
      <c r="V169" s="11" t="s">
        <v>1360</v>
      </c>
      <c r="W169" s="11" t="s">
        <v>1361</v>
      </c>
      <c r="X169" s="11" t="s">
        <v>1370</v>
      </c>
      <c r="Y169" s="11" t="s">
        <v>1372</v>
      </c>
      <c r="Z169" s="11" t="s">
        <v>71</v>
      </c>
      <c r="AA169" s="11"/>
      <c r="AB169" s="13">
        <v>4</v>
      </c>
      <c r="AC169" s="11" t="s">
        <v>1515</v>
      </c>
      <c r="AD169" s="11"/>
      <c r="AE169" s="11"/>
      <c r="AF169" s="14">
        <v>46203</v>
      </c>
      <c r="AG169" s="11" t="s">
        <v>1358</v>
      </c>
      <c r="AH169" s="11" t="s">
        <v>1363</v>
      </c>
    </row>
    <row r="170" spans="1:34" ht="17.25" customHeight="1" x14ac:dyDescent="0.25">
      <c r="A170" s="11" t="s">
        <v>61</v>
      </c>
      <c r="B170" s="11" t="s">
        <v>522</v>
      </c>
      <c r="C170" s="11"/>
      <c r="D170" s="11" t="s">
        <v>1237</v>
      </c>
      <c r="E170" s="11" t="s">
        <v>977</v>
      </c>
      <c r="F170" s="11"/>
      <c r="G170" s="11" t="s">
        <v>979</v>
      </c>
      <c r="H170" s="11" t="s">
        <v>980</v>
      </c>
      <c r="I170" s="11" t="s">
        <v>980</v>
      </c>
      <c r="J170" s="11" t="s">
        <v>1159</v>
      </c>
      <c r="K170" s="11" t="s">
        <v>273</v>
      </c>
      <c r="L170" s="11" t="s">
        <v>274</v>
      </c>
      <c r="M170" s="11" t="s">
        <v>1238</v>
      </c>
      <c r="N170" s="11" t="s">
        <v>1239</v>
      </c>
      <c r="O170" s="11" t="s">
        <v>118</v>
      </c>
      <c r="P170" s="11" t="s">
        <v>1156</v>
      </c>
      <c r="Q170" s="11" t="s">
        <v>974</v>
      </c>
      <c r="R170" s="11" t="s">
        <v>54</v>
      </c>
      <c r="S170" s="12">
        <v>10</v>
      </c>
      <c r="T170" s="12">
        <v>20</v>
      </c>
      <c r="U170" s="11" t="s">
        <v>254</v>
      </c>
      <c r="V170" s="11" t="s">
        <v>1235</v>
      </c>
      <c r="W170" s="11" t="s">
        <v>1155</v>
      </c>
      <c r="X170" s="11" t="s">
        <v>973</v>
      </c>
      <c r="Y170" s="11" t="s">
        <v>975</v>
      </c>
      <c r="Z170" s="11" t="s">
        <v>71</v>
      </c>
      <c r="AA170" s="11" t="s">
        <v>1236</v>
      </c>
      <c r="AB170" s="13">
        <v>2</v>
      </c>
      <c r="AC170" s="11" t="s">
        <v>1502</v>
      </c>
      <c r="AD170" s="11"/>
      <c r="AE170" s="11"/>
      <c r="AF170" s="14">
        <v>46203</v>
      </c>
      <c r="AG170" s="11" t="s">
        <v>1234</v>
      </c>
      <c r="AH170" s="11"/>
    </row>
    <row r="171" spans="1:34" ht="17.25" customHeight="1" x14ac:dyDescent="0.25">
      <c r="A171" s="11" t="s">
        <v>61</v>
      </c>
      <c r="B171" s="11" t="s">
        <v>62</v>
      </c>
      <c r="C171" s="11"/>
      <c r="D171" s="11" t="s">
        <v>110</v>
      </c>
      <c r="E171" s="11" t="s">
        <v>109</v>
      </c>
      <c r="F171" s="11"/>
      <c r="G171" s="11" t="s">
        <v>111</v>
      </c>
      <c r="H171" s="11" t="s">
        <v>112</v>
      </c>
      <c r="I171" s="11" t="s">
        <v>113</v>
      </c>
      <c r="J171" s="11"/>
      <c r="K171" s="11" t="s">
        <v>114</v>
      </c>
      <c r="L171" s="11" t="s">
        <v>115</v>
      </c>
      <c r="M171" s="11" t="s">
        <v>116</v>
      </c>
      <c r="N171" s="11" t="s">
        <v>117</v>
      </c>
      <c r="O171" s="11" t="s">
        <v>118</v>
      </c>
      <c r="P171" s="11" t="s">
        <v>48</v>
      </c>
      <c r="Q171" s="11" t="s">
        <v>104</v>
      </c>
      <c r="R171" s="11" t="s">
        <v>54</v>
      </c>
      <c r="S171" s="12">
        <v>10.92</v>
      </c>
      <c r="T171" s="12">
        <v>109.2</v>
      </c>
      <c r="U171" s="11" t="s">
        <v>101</v>
      </c>
      <c r="V171" s="11" t="s">
        <v>46</v>
      </c>
      <c r="W171" s="11" t="s">
        <v>47</v>
      </c>
      <c r="X171" s="11" t="s">
        <v>103</v>
      </c>
      <c r="Y171" s="11" t="s">
        <v>105</v>
      </c>
      <c r="Z171" s="11" t="s">
        <v>71</v>
      </c>
      <c r="AA171" s="11"/>
      <c r="AB171" s="13">
        <v>10</v>
      </c>
      <c r="AC171" s="11" t="s">
        <v>1516</v>
      </c>
      <c r="AD171" s="11"/>
      <c r="AE171" s="11"/>
      <c r="AF171" s="14">
        <v>46203</v>
      </c>
      <c r="AG171" s="11" t="s">
        <v>102</v>
      </c>
      <c r="AH171" s="11" t="s">
        <v>58</v>
      </c>
    </row>
    <row r="172" spans="1:34" ht="17.25" customHeight="1" x14ac:dyDescent="0.25">
      <c r="A172" s="11" t="s">
        <v>61</v>
      </c>
      <c r="B172" s="11" t="s">
        <v>62</v>
      </c>
      <c r="C172" s="11"/>
      <c r="D172" s="11" t="s">
        <v>110</v>
      </c>
      <c r="E172" s="11" t="s">
        <v>109</v>
      </c>
      <c r="F172" s="11"/>
      <c r="G172" s="11" t="s">
        <v>111</v>
      </c>
      <c r="H172" s="11" t="s">
        <v>112</v>
      </c>
      <c r="I172" s="11" t="s">
        <v>113</v>
      </c>
      <c r="J172" s="11"/>
      <c r="K172" s="11" t="s">
        <v>114</v>
      </c>
      <c r="L172" s="11" t="s">
        <v>115</v>
      </c>
      <c r="M172" s="11" t="s">
        <v>116</v>
      </c>
      <c r="N172" s="11" t="s">
        <v>117</v>
      </c>
      <c r="O172" s="11" t="s">
        <v>118</v>
      </c>
      <c r="P172" s="11" t="s">
        <v>48</v>
      </c>
      <c r="Q172" s="11" t="s">
        <v>120</v>
      </c>
      <c r="R172" s="11" t="s">
        <v>54</v>
      </c>
      <c r="S172" s="12">
        <v>8.7360000000000007</v>
      </c>
      <c r="T172" s="12">
        <v>34.944000000000003</v>
      </c>
      <c r="U172" s="11" t="s">
        <v>101</v>
      </c>
      <c r="V172" s="11" t="s">
        <v>46</v>
      </c>
      <c r="W172" s="11" t="s">
        <v>47</v>
      </c>
      <c r="X172" s="11" t="s">
        <v>119</v>
      </c>
      <c r="Y172" s="11" t="s">
        <v>121</v>
      </c>
      <c r="Z172" s="11" t="s">
        <v>71</v>
      </c>
      <c r="AA172" s="11"/>
      <c r="AB172" s="13">
        <v>4</v>
      </c>
      <c r="AC172" s="11" t="s">
        <v>1516</v>
      </c>
      <c r="AD172" s="11"/>
      <c r="AE172" s="11"/>
      <c r="AF172" s="14">
        <v>46203</v>
      </c>
      <c r="AG172" s="11" t="s">
        <v>102</v>
      </c>
      <c r="AH172" s="11" t="s">
        <v>58</v>
      </c>
    </row>
    <row r="173" spans="1:34" ht="17.25" customHeight="1" x14ac:dyDescent="0.25">
      <c r="A173" s="11" t="s">
        <v>61</v>
      </c>
      <c r="B173" s="11" t="s">
        <v>62</v>
      </c>
      <c r="C173" s="11"/>
      <c r="D173" s="11" t="s">
        <v>110</v>
      </c>
      <c r="E173" s="11" t="s">
        <v>109</v>
      </c>
      <c r="F173" s="11"/>
      <c r="G173" s="11" t="s">
        <v>111</v>
      </c>
      <c r="H173" s="11" t="s">
        <v>112</v>
      </c>
      <c r="I173" s="11" t="s">
        <v>113</v>
      </c>
      <c r="J173" s="11"/>
      <c r="K173" s="11" t="s">
        <v>114</v>
      </c>
      <c r="L173" s="11" t="s">
        <v>115</v>
      </c>
      <c r="M173" s="11" t="s">
        <v>116</v>
      </c>
      <c r="N173" s="11" t="s">
        <v>117</v>
      </c>
      <c r="O173" s="11" t="s">
        <v>118</v>
      </c>
      <c r="P173" s="11" t="s">
        <v>48</v>
      </c>
      <c r="Q173" s="11" t="s">
        <v>126</v>
      </c>
      <c r="R173" s="11" t="s">
        <v>54</v>
      </c>
      <c r="S173" s="12">
        <v>10.92</v>
      </c>
      <c r="T173" s="12">
        <v>709.8</v>
      </c>
      <c r="U173" s="11" t="s">
        <v>101</v>
      </c>
      <c r="V173" s="11" t="s">
        <v>46</v>
      </c>
      <c r="W173" s="11" t="s">
        <v>47</v>
      </c>
      <c r="X173" s="11" t="s">
        <v>125</v>
      </c>
      <c r="Y173" s="11" t="s">
        <v>127</v>
      </c>
      <c r="Z173" s="11" t="s">
        <v>71</v>
      </c>
      <c r="AA173" s="11"/>
      <c r="AB173" s="13">
        <v>65</v>
      </c>
      <c r="AC173" s="11" t="s">
        <v>1516</v>
      </c>
      <c r="AD173" s="11"/>
      <c r="AE173" s="11"/>
      <c r="AF173" s="14">
        <v>46203</v>
      </c>
      <c r="AG173" s="11" t="s">
        <v>102</v>
      </c>
      <c r="AH173" s="11" t="s">
        <v>58</v>
      </c>
    </row>
    <row r="174" spans="1:34" ht="17.25" customHeight="1" x14ac:dyDescent="0.25">
      <c r="A174" s="11" t="s">
        <v>61</v>
      </c>
      <c r="B174" s="11" t="s">
        <v>62</v>
      </c>
      <c r="C174" s="11"/>
      <c r="D174" s="11" t="s">
        <v>110</v>
      </c>
      <c r="E174" s="11" t="s">
        <v>109</v>
      </c>
      <c r="F174" s="11"/>
      <c r="G174" s="11" t="s">
        <v>111</v>
      </c>
      <c r="H174" s="11" t="s">
        <v>112</v>
      </c>
      <c r="I174" s="11" t="s">
        <v>113</v>
      </c>
      <c r="J174" s="11"/>
      <c r="K174" s="11" t="s">
        <v>114</v>
      </c>
      <c r="L174" s="11" t="s">
        <v>115</v>
      </c>
      <c r="M174" s="11" t="s">
        <v>116</v>
      </c>
      <c r="N174" s="11" t="s">
        <v>117</v>
      </c>
      <c r="O174" s="11" t="s">
        <v>118</v>
      </c>
      <c r="P174" s="11" t="s">
        <v>48</v>
      </c>
      <c r="Q174" s="11" t="s">
        <v>131</v>
      </c>
      <c r="R174" s="11" t="s">
        <v>54</v>
      </c>
      <c r="S174" s="12">
        <v>2.1840000000000002</v>
      </c>
      <c r="T174" s="12">
        <v>21.840000000000003</v>
      </c>
      <c r="U174" s="11" t="s">
        <v>101</v>
      </c>
      <c r="V174" s="11" t="s">
        <v>46</v>
      </c>
      <c r="W174" s="11" t="s">
        <v>47</v>
      </c>
      <c r="X174" s="11" t="s">
        <v>130</v>
      </c>
      <c r="Y174" s="11" t="s">
        <v>132</v>
      </c>
      <c r="Z174" s="11" t="s">
        <v>71</v>
      </c>
      <c r="AA174" s="11"/>
      <c r="AB174" s="13">
        <v>10</v>
      </c>
      <c r="AC174" s="11" t="s">
        <v>1516</v>
      </c>
      <c r="AD174" s="11"/>
      <c r="AE174" s="11"/>
      <c r="AF174" s="14">
        <v>46203</v>
      </c>
      <c r="AG174" s="11" t="s">
        <v>102</v>
      </c>
      <c r="AH174" s="11" t="s">
        <v>58</v>
      </c>
    </row>
    <row r="175" spans="1:34" ht="17.25" customHeight="1" x14ac:dyDescent="0.25">
      <c r="A175" s="11" t="s">
        <v>61</v>
      </c>
      <c r="B175" s="11" t="s">
        <v>62</v>
      </c>
      <c r="C175" s="11"/>
      <c r="D175" s="11" t="s">
        <v>110</v>
      </c>
      <c r="E175" s="11" t="s">
        <v>109</v>
      </c>
      <c r="F175" s="11"/>
      <c r="G175" s="11" t="s">
        <v>111</v>
      </c>
      <c r="H175" s="11" t="s">
        <v>112</v>
      </c>
      <c r="I175" s="11" t="s">
        <v>113</v>
      </c>
      <c r="J175" s="11"/>
      <c r="K175" s="11" t="s">
        <v>114</v>
      </c>
      <c r="L175" s="11" t="s">
        <v>115</v>
      </c>
      <c r="M175" s="11" t="s">
        <v>116</v>
      </c>
      <c r="N175" s="11" t="s">
        <v>117</v>
      </c>
      <c r="O175" s="11" t="s">
        <v>118</v>
      </c>
      <c r="P175" s="11" t="s">
        <v>48</v>
      </c>
      <c r="Q175" s="11" t="s">
        <v>136</v>
      </c>
      <c r="R175" s="11" t="s">
        <v>54</v>
      </c>
      <c r="S175" s="12">
        <v>2.73</v>
      </c>
      <c r="T175" s="12">
        <v>109.2</v>
      </c>
      <c r="U175" s="11" t="s">
        <v>101</v>
      </c>
      <c r="V175" s="11" t="s">
        <v>46</v>
      </c>
      <c r="W175" s="11" t="s">
        <v>47</v>
      </c>
      <c r="X175" s="11" t="s">
        <v>135</v>
      </c>
      <c r="Y175" s="11" t="s">
        <v>137</v>
      </c>
      <c r="Z175" s="11" t="s">
        <v>71</v>
      </c>
      <c r="AA175" s="11"/>
      <c r="AB175" s="13">
        <v>40</v>
      </c>
      <c r="AC175" s="11" t="s">
        <v>1516</v>
      </c>
      <c r="AD175" s="11"/>
      <c r="AE175" s="11"/>
      <c r="AF175" s="14">
        <v>46203</v>
      </c>
      <c r="AG175" s="11" t="s">
        <v>102</v>
      </c>
      <c r="AH175" s="11" t="s">
        <v>58</v>
      </c>
    </row>
    <row r="176" spans="1:34" ht="17.25" customHeight="1" x14ac:dyDescent="0.25">
      <c r="A176" s="11" t="s">
        <v>61</v>
      </c>
      <c r="B176" s="11" t="s">
        <v>62</v>
      </c>
      <c r="C176" s="11"/>
      <c r="D176" s="11" t="s">
        <v>110</v>
      </c>
      <c r="E176" s="11" t="s">
        <v>109</v>
      </c>
      <c r="F176" s="11"/>
      <c r="G176" s="11" t="s">
        <v>111</v>
      </c>
      <c r="H176" s="11" t="s">
        <v>112</v>
      </c>
      <c r="I176" s="11" t="s">
        <v>113</v>
      </c>
      <c r="J176" s="11"/>
      <c r="K176" s="11" t="s">
        <v>114</v>
      </c>
      <c r="L176" s="11" t="s">
        <v>115</v>
      </c>
      <c r="M176" s="11" t="s">
        <v>116</v>
      </c>
      <c r="N176" s="11" t="s">
        <v>117</v>
      </c>
      <c r="O176" s="11" t="s">
        <v>118</v>
      </c>
      <c r="P176" s="11" t="s">
        <v>48</v>
      </c>
      <c r="Q176" s="11" t="s">
        <v>141</v>
      </c>
      <c r="R176" s="11" t="s">
        <v>54</v>
      </c>
      <c r="S176" s="12">
        <v>10.92</v>
      </c>
      <c r="T176" s="12">
        <v>928.2</v>
      </c>
      <c r="U176" s="11" t="s">
        <v>101</v>
      </c>
      <c r="V176" s="11" t="s">
        <v>46</v>
      </c>
      <c r="W176" s="11" t="s">
        <v>47</v>
      </c>
      <c r="X176" s="11" t="s">
        <v>140</v>
      </c>
      <c r="Y176" s="11" t="s">
        <v>142</v>
      </c>
      <c r="Z176" s="11" t="s">
        <v>71</v>
      </c>
      <c r="AA176" s="11"/>
      <c r="AB176" s="13">
        <v>85</v>
      </c>
      <c r="AC176" s="11" t="s">
        <v>1516</v>
      </c>
      <c r="AD176" s="11"/>
      <c r="AE176" s="11"/>
      <c r="AF176" s="14">
        <v>46203</v>
      </c>
      <c r="AG176" s="11" t="s">
        <v>102</v>
      </c>
      <c r="AH176" s="11" t="s">
        <v>58</v>
      </c>
    </row>
    <row r="177" spans="1:34" ht="17.25" customHeight="1" x14ac:dyDescent="0.25">
      <c r="A177" s="11" t="s">
        <v>61</v>
      </c>
      <c r="B177" s="11" t="s">
        <v>62</v>
      </c>
      <c r="C177" s="11"/>
      <c r="D177" s="11" t="s">
        <v>110</v>
      </c>
      <c r="E177" s="11" t="s">
        <v>109</v>
      </c>
      <c r="F177" s="11"/>
      <c r="G177" s="11" t="s">
        <v>111</v>
      </c>
      <c r="H177" s="11" t="s">
        <v>112</v>
      </c>
      <c r="I177" s="11" t="s">
        <v>113</v>
      </c>
      <c r="J177" s="11"/>
      <c r="K177" s="11" t="s">
        <v>114</v>
      </c>
      <c r="L177" s="11" t="s">
        <v>115</v>
      </c>
      <c r="M177" s="11" t="s">
        <v>116</v>
      </c>
      <c r="N177" s="11" t="s">
        <v>117</v>
      </c>
      <c r="O177" s="11" t="s">
        <v>118</v>
      </c>
      <c r="P177" s="11" t="s">
        <v>48</v>
      </c>
      <c r="Q177" s="11" t="s">
        <v>146</v>
      </c>
      <c r="R177" s="11" t="s">
        <v>54</v>
      </c>
      <c r="S177" s="12">
        <v>18.2</v>
      </c>
      <c r="T177" s="12">
        <v>655.19999999999993</v>
      </c>
      <c r="U177" s="11" t="s">
        <v>101</v>
      </c>
      <c r="V177" s="11" t="s">
        <v>46</v>
      </c>
      <c r="W177" s="11" t="s">
        <v>47</v>
      </c>
      <c r="X177" s="11" t="s">
        <v>145</v>
      </c>
      <c r="Y177" s="11" t="s">
        <v>147</v>
      </c>
      <c r="Z177" s="11" t="s">
        <v>71</v>
      </c>
      <c r="AA177" s="11"/>
      <c r="AB177" s="13">
        <v>36</v>
      </c>
      <c r="AC177" s="11" t="s">
        <v>1516</v>
      </c>
      <c r="AD177" s="11"/>
      <c r="AE177" s="11"/>
      <c r="AF177" s="14">
        <v>46203</v>
      </c>
      <c r="AG177" s="11" t="s">
        <v>102</v>
      </c>
      <c r="AH177" s="11" t="s">
        <v>58</v>
      </c>
    </row>
    <row r="178" spans="1:34" ht="17.25" customHeight="1" x14ac:dyDescent="0.25">
      <c r="A178" s="11" t="s">
        <v>61</v>
      </c>
      <c r="B178" s="11" t="s">
        <v>62</v>
      </c>
      <c r="C178" s="11"/>
      <c r="D178" s="11" t="s">
        <v>110</v>
      </c>
      <c r="E178" s="11" t="s">
        <v>109</v>
      </c>
      <c r="F178" s="11"/>
      <c r="G178" s="11" t="s">
        <v>111</v>
      </c>
      <c r="H178" s="11" t="s">
        <v>112</v>
      </c>
      <c r="I178" s="11" t="s">
        <v>113</v>
      </c>
      <c r="J178" s="11"/>
      <c r="K178" s="11" t="s">
        <v>114</v>
      </c>
      <c r="L178" s="11" t="s">
        <v>115</v>
      </c>
      <c r="M178" s="11" t="s">
        <v>116</v>
      </c>
      <c r="N178" s="11" t="s">
        <v>117</v>
      </c>
      <c r="O178" s="11" t="s">
        <v>118</v>
      </c>
      <c r="P178" s="11" t="s">
        <v>48</v>
      </c>
      <c r="Q178" s="11" t="s">
        <v>152</v>
      </c>
      <c r="R178" s="11" t="s">
        <v>54</v>
      </c>
      <c r="S178" s="12">
        <v>18.2</v>
      </c>
      <c r="T178" s="12">
        <v>3276</v>
      </c>
      <c r="U178" s="11" t="s">
        <v>101</v>
      </c>
      <c r="V178" s="11" t="s">
        <v>46</v>
      </c>
      <c r="W178" s="11" t="s">
        <v>47</v>
      </c>
      <c r="X178" s="11" t="s">
        <v>151</v>
      </c>
      <c r="Y178" s="11" t="s">
        <v>153</v>
      </c>
      <c r="Z178" s="11" t="s">
        <v>71</v>
      </c>
      <c r="AA178" s="11"/>
      <c r="AB178" s="13">
        <v>180</v>
      </c>
      <c r="AC178" s="11" t="s">
        <v>1516</v>
      </c>
      <c r="AD178" s="11"/>
      <c r="AE178" s="11"/>
      <c r="AF178" s="14">
        <v>46203</v>
      </c>
      <c r="AG178" s="11" t="s">
        <v>102</v>
      </c>
      <c r="AH178" s="11" t="s">
        <v>58</v>
      </c>
    </row>
    <row r="179" spans="1:34" ht="17.25" customHeight="1" x14ac:dyDescent="0.25">
      <c r="A179" s="11" t="s">
        <v>61</v>
      </c>
      <c r="B179" s="11" t="s">
        <v>62</v>
      </c>
      <c r="C179" s="11"/>
      <c r="D179" s="11" t="s">
        <v>110</v>
      </c>
      <c r="E179" s="11" t="s">
        <v>109</v>
      </c>
      <c r="F179" s="11"/>
      <c r="G179" s="11" t="s">
        <v>111</v>
      </c>
      <c r="H179" s="11" t="s">
        <v>112</v>
      </c>
      <c r="I179" s="11" t="s">
        <v>113</v>
      </c>
      <c r="J179" s="11"/>
      <c r="K179" s="11" t="s">
        <v>114</v>
      </c>
      <c r="L179" s="11" t="s">
        <v>115</v>
      </c>
      <c r="M179" s="11" t="s">
        <v>116</v>
      </c>
      <c r="N179" s="11" t="s">
        <v>117</v>
      </c>
      <c r="O179" s="11" t="s">
        <v>118</v>
      </c>
      <c r="P179" s="11" t="s">
        <v>48</v>
      </c>
      <c r="Q179" s="11" t="s">
        <v>157</v>
      </c>
      <c r="R179" s="11" t="s">
        <v>54</v>
      </c>
      <c r="S179" s="12">
        <v>16.38</v>
      </c>
      <c r="T179" s="12">
        <v>589.67999999999995</v>
      </c>
      <c r="U179" s="11" t="s">
        <v>101</v>
      </c>
      <c r="V179" s="11" t="s">
        <v>46</v>
      </c>
      <c r="W179" s="11" t="s">
        <v>47</v>
      </c>
      <c r="X179" s="11" t="s">
        <v>156</v>
      </c>
      <c r="Y179" s="11" t="s">
        <v>158</v>
      </c>
      <c r="Z179" s="11" t="s">
        <v>71</v>
      </c>
      <c r="AA179" s="11"/>
      <c r="AB179" s="13">
        <v>36</v>
      </c>
      <c r="AC179" s="11" t="s">
        <v>1516</v>
      </c>
      <c r="AD179" s="11"/>
      <c r="AE179" s="11"/>
      <c r="AF179" s="14">
        <v>46203</v>
      </c>
      <c r="AG179" s="11" t="s">
        <v>102</v>
      </c>
      <c r="AH179" s="11" t="s">
        <v>58</v>
      </c>
    </row>
    <row r="180" spans="1:34" ht="17.25" customHeight="1" x14ac:dyDescent="0.25">
      <c r="A180" s="11" t="s">
        <v>61</v>
      </c>
      <c r="B180" s="11" t="s">
        <v>62</v>
      </c>
      <c r="C180" s="11"/>
      <c r="D180" s="11" t="s">
        <v>110</v>
      </c>
      <c r="E180" s="11" t="s">
        <v>166</v>
      </c>
      <c r="F180" s="11"/>
      <c r="G180" s="11" t="s">
        <v>167</v>
      </c>
      <c r="H180" s="11" t="s">
        <v>112</v>
      </c>
      <c r="I180" s="11" t="s">
        <v>113</v>
      </c>
      <c r="J180" s="11"/>
      <c r="K180" s="11" t="s">
        <v>168</v>
      </c>
      <c r="L180" s="11" t="s">
        <v>169</v>
      </c>
      <c r="M180" s="11" t="s">
        <v>116</v>
      </c>
      <c r="N180" s="11" t="s">
        <v>117</v>
      </c>
      <c r="O180" s="11" t="s">
        <v>118</v>
      </c>
      <c r="P180" s="11" t="s">
        <v>48</v>
      </c>
      <c r="Q180" s="11" t="s">
        <v>162</v>
      </c>
      <c r="R180" s="11" t="s">
        <v>54</v>
      </c>
      <c r="S180" s="12">
        <v>2.73</v>
      </c>
      <c r="T180" s="12">
        <v>54.6</v>
      </c>
      <c r="U180" s="11" t="s">
        <v>101</v>
      </c>
      <c r="V180" s="11" t="s">
        <v>46</v>
      </c>
      <c r="W180" s="11" t="s">
        <v>47</v>
      </c>
      <c r="X180" s="11" t="s">
        <v>161</v>
      </c>
      <c r="Y180" s="11" t="s">
        <v>163</v>
      </c>
      <c r="Z180" s="11" t="s">
        <v>71</v>
      </c>
      <c r="AA180" s="11"/>
      <c r="AB180" s="13">
        <v>20</v>
      </c>
      <c r="AC180" s="11" t="s">
        <v>1516</v>
      </c>
      <c r="AD180" s="11"/>
      <c r="AE180" s="11"/>
      <c r="AF180" s="14">
        <v>46203</v>
      </c>
      <c r="AG180" s="11" t="s">
        <v>102</v>
      </c>
      <c r="AH180" s="11" t="s">
        <v>58</v>
      </c>
    </row>
    <row r="181" spans="1:34" ht="17.25" customHeight="1" x14ac:dyDescent="0.25">
      <c r="A181" s="11" t="s">
        <v>61</v>
      </c>
      <c r="B181" s="11" t="s">
        <v>62</v>
      </c>
      <c r="C181" s="11"/>
      <c r="D181" s="11" t="s">
        <v>110</v>
      </c>
      <c r="E181" s="11" t="s">
        <v>109</v>
      </c>
      <c r="F181" s="11"/>
      <c r="G181" s="11" t="s">
        <v>111</v>
      </c>
      <c r="H181" s="11" t="s">
        <v>112</v>
      </c>
      <c r="I181" s="11" t="s">
        <v>113</v>
      </c>
      <c r="J181" s="11"/>
      <c r="K181" s="11" t="s">
        <v>114</v>
      </c>
      <c r="L181" s="11" t="s">
        <v>115</v>
      </c>
      <c r="M181" s="11" t="s">
        <v>116</v>
      </c>
      <c r="N181" s="11" t="s">
        <v>117</v>
      </c>
      <c r="O181" s="11" t="s">
        <v>118</v>
      </c>
      <c r="P181" s="11" t="s">
        <v>48</v>
      </c>
      <c r="Q181" s="11" t="s">
        <v>171</v>
      </c>
      <c r="R181" s="11" t="s">
        <v>54</v>
      </c>
      <c r="S181" s="12">
        <v>25</v>
      </c>
      <c r="T181" s="12">
        <v>500</v>
      </c>
      <c r="U181" s="11" t="s">
        <v>101</v>
      </c>
      <c r="V181" s="11" t="s">
        <v>46</v>
      </c>
      <c r="W181" s="11" t="s">
        <v>47</v>
      </c>
      <c r="X181" s="11" t="s">
        <v>170</v>
      </c>
      <c r="Y181" s="11" t="s">
        <v>172</v>
      </c>
      <c r="Z181" s="11" t="s">
        <v>71</v>
      </c>
      <c r="AA181" s="11"/>
      <c r="AB181" s="13">
        <v>20</v>
      </c>
      <c r="AC181" s="11" t="s">
        <v>1516</v>
      </c>
      <c r="AD181" s="11"/>
      <c r="AE181" s="11"/>
      <c r="AF181" s="14">
        <v>46203</v>
      </c>
      <c r="AG181" s="11" t="s">
        <v>102</v>
      </c>
      <c r="AH181" s="11" t="s">
        <v>58</v>
      </c>
    </row>
    <row r="182" spans="1:34" ht="17.25" customHeight="1" x14ac:dyDescent="0.25">
      <c r="A182" s="11" t="s">
        <v>61</v>
      </c>
      <c r="B182" s="11" t="s">
        <v>62</v>
      </c>
      <c r="C182" s="11"/>
      <c r="D182" s="11" t="s">
        <v>110</v>
      </c>
      <c r="E182" s="11" t="s">
        <v>109</v>
      </c>
      <c r="F182" s="11"/>
      <c r="G182" s="11" t="s">
        <v>111</v>
      </c>
      <c r="H182" s="11" t="s">
        <v>112</v>
      </c>
      <c r="I182" s="11" t="s">
        <v>113</v>
      </c>
      <c r="J182" s="11"/>
      <c r="K182" s="11" t="s">
        <v>114</v>
      </c>
      <c r="L182" s="11" t="s">
        <v>115</v>
      </c>
      <c r="M182" s="11" t="s">
        <v>116</v>
      </c>
      <c r="N182" s="11" t="s">
        <v>117</v>
      </c>
      <c r="O182" s="11" t="s">
        <v>118</v>
      </c>
      <c r="P182" s="11" t="s">
        <v>48</v>
      </c>
      <c r="Q182" s="11" t="s">
        <v>175</v>
      </c>
      <c r="R182" s="11" t="s">
        <v>177</v>
      </c>
      <c r="S182" s="12">
        <v>18</v>
      </c>
      <c r="T182" s="12">
        <v>1260</v>
      </c>
      <c r="U182" s="11" t="s">
        <v>101</v>
      </c>
      <c r="V182" s="11" t="s">
        <v>46</v>
      </c>
      <c r="W182" s="11" t="s">
        <v>47</v>
      </c>
      <c r="X182" s="11" t="s">
        <v>174</v>
      </c>
      <c r="Y182" s="11" t="s">
        <v>176</v>
      </c>
      <c r="Z182" s="11" t="s">
        <v>71</v>
      </c>
      <c r="AA182" s="11"/>
      <c r="AB182" s="13">
        <v>70</v>
      </c>
      <c r="AC182" s="11" t="s">
        <v>1516</v>
      </c>
      <c r="AD182" s="11"/>
      <c r="AE182" s="11"/>
      <c r="AF182" s="14">
        <v>46203</v>
      </c>
      <c r="AG182" s="11" t="s">
        <v>102</v>
      </c>
      <c r="AH182" s="11" t="s">
        <v>58</v>
      </c>
    </row>
    <row r="183" spans="1:34" ht="17.25" customHeight="1" x14ac:dyDescent="0.25">
      <c r="A183" s="11" t="s">
        <v>61</v>
      </c>
      <c r="B183" s="11" t="s">
        <v>62</v>
      </c>
      <c r="C183" s="11"/>
      <c r="D183" s="11" t="s">
        <v>110</v>
      </c>
      <c r="E183" s="11" t="s">
        <v>109</v>
      </c>
      <c r="F183" s="11"/>
      <c r="G183" s="11" t="s">
        <v>111</v>
      </c>
      <c r="H183" s="11" t="s">
        <v>112</v>
      </c>
      <c r="I183" s="11" t="s">
        <v>113</v>
      </c>
      <c r="J183" s="11"/>
      <c r="K183" s="11" t="s">
        <v>114</v>
      </c>
      <c r="L183" s="11" t="s">
        <v>115</v>
      </c>
      <c r="M183" s="11" t="s">
        <v>116</v>
      </c>
      <c r="N183" s="11" t="s">
        <v>117</v>
      </c>
      <c r="O183" s="11" t="s">
        <v>118</v>
      </c>
      <c r="P183" s="11" t="s">
        <v>48</v>
      </c>
      <c r="Q183" s="11" t="s">
        <v>182</v>
      </c>
      <c r="R183" s="11" t="s">
        <v>177</v>
      </c>
      <c r="S183" s="12">
        <v>18</v>
      </c>
      <c r="T183" s="12">
        <v>180</v>
      </c>
      <c r="U183" s="11" t="s">
        <v>101</v>
      </c>
      <c r="V183" s="11" t="s">
        <v>46</v>
      </c>
      <c r="W183" s="11" t="s">
        <v>47</v>
      </c>
      <c r="X183" s="11" t="s">
        <v>181</v>
      </c>
      <c r="Y183" s="11" t="s">
        <v>183</v>
      </c>
      <c r="Z183" s="11" t="s">
        <v>71</v>
      </c>
      <c r="AA183" s="11"/>
      <c r="AB183" s="13">
        <v>10</v>
      </c>
      <c r="AC183" s="11" t="s">
        <v>1516</v>
      </c>
      <c r="AD183" s="11"/>
      <c r="AE183" s="11"/>
      <c r="AF183" s="14">
        <v>46203</v>
      </c>
      <c r="AG183" s="11" t="s">
        <v>102</v>
      </c>
      <c r="AH183" s="11" t="s">
        <v>58</v>
      </c>
    </row>
    <row r="184" spans="1:34" ht="17.25" customHeight="1" x14ac:dyDescent="0.25">
      <c r="A184" s="11" t="s">
        <v>61</v>
      </c>
      <c r="B184" s="11" t="s">
        <v>62</v>
      </c>
      <c r="C184" s="11"/>
      <c r="D184" s="11" t="s">
        <v>110</v>
      </c>
      <c r="E184" s="11" t="s">
        <v>189</v>
      </c>
      <c r="F184" s="11"/>
      <c r="G184" s="11" t="s">
        <v>167</v>
      </c>
      <c r="H184" s="11" t="s">
        <v>112</v>
      </c>
      <c r="I184" s="11" t="s">
        <v>113</v>
      </c>
      <c r="J184" s="11"/>
      <c r="K184" s="11" t="s">
        <v>190</v>
      </c>
      <c r="L184" s="11" t="s">
        <v>191</v>
      </c>
      <c r="M184" s="11" t="s">
        <v>116</v>
      </c>
      <c r="N184" s="11" t="s">
        <v>117</v>
      </c>
      <c r="O184" s="11" t="s">
        <v>118</v>
      </c>
      <c r="P184" s="11" t="s">
        <v>48</v>
      </c>
      <c r="Q184" s="11" t="s">
        <v>185</v>
      </c>
      <c r="R184" s="11" t="s">
        <v>54</v>
      </c>
      <c r="S184" s="12">
        <v>9</v>
      </c>
      <c r="T184" s="12">
        <v>90</v>
      </c>
      <c r="U184" s="11" t="s">
        <v>101</v>
      </c>
      <c r="V184" s="11" t="s">
        <v>46</v>
      </c>
      <c r="W184" s="11" t="s">
        <v>47</v>
      </c>
      <c r="X184" s="11" t="s">
        <v>184</v>
      </c>
      <c r="Y184" s="11" t="s">
        <v>186</v>
      </c>
      <c r="Z184" s="11" t="s">
        <v>71</v>
      </c>
      <c r="AA184" s="11"/>
      <c r="AB184" s="13">
        <v>10</v>
      </c>
      <c r="AC184" s="11" t="s">
        <v>1516</v>
      </c>
      <c r="AD184" s="11"/>
      <c r="AE184" s="11"/>
      <c r="AF184" s="14">
        <v>46203</v>
      </c>
      <c r="AG184" s="11" t="s">
        <v>102</v>
      </c>
      <c r="AH184" s="11" t="s">
        <v>58</v>
      </c>
    </row>
    <row r="185" spans="1:34" ht="17.25" customHeight="1" x14ac:dyDescent="0.25">
      <c r="A185" s="11" t="s">
        <v>61</v>
      </c>
      <c r="B185" s="11" t="s">
        <v>62</v>
      </c>
      <c r="C185" s="11"/>
      <c r="D185" s="11" t="s">
        <v>110</v>
      </c>
      <c r="E185" s="11" t="s">
        <v>189</v>
      </c>
      <c r="F185" s="11"/>
      <c r="G185" s="11" t="s">
        <v>167</v>
      </c>
      <c r="H185" s="11" t="s">
        <v>112</v>
      </c>
      <c r="I185" s="11" t="s">
        <v>113</v>
      </c>
      <c r="J185" s="11"/>
      <c r="K185" s="11" t="s">
        <v>190</v>
      </c>
      <c r="L185" s="11" t="s">
        <v>191</v>
      </c>
      <c r="M185" s="11" t="s">
        <v>116</v>
      </c>
      <c r="N185" s="11" t="s">
        <v>117</v>
      </c>
      <c r="O185" s="11" t="s">
        <v>118</v>
      </c>
      <c r="P185" s="11" t="s">
        <v>48</v>
      </c>
      <c r="Q185" s="11" t="s">
        <v>193</v>
      </c>
      <c r="R185" s="11" t="s">
        <v>54</v>
      </c>
      <c r="S185" s="12">
        <v>12</v>
      </c>
      <c r="T185" s="12">
        <v>60</v>
      </c>
      <c r="U185" s="11" t="s">
        <v>101</v>
      </c>
      <c r="V185" s="11" t="s">
        <v>46</v>
      </c>
      <c r="W185" s="11" t="s">
        <v>47</v>
      </c>
      <c r="X185" s="11" t="s">
        <v>192</v>
      </c>
      <c r="Y185" s="11" t="s">
        <v>194</v>
      </c>
      <c r="Z185" s="11" t="s">
        <v>71</v>
      </c>
      <c r="AA185" s="11"/>
      <c r="AB185" s="13">
        <v>5</v>
      </c>
      <c r="AC185" s="11" t="s">
        <v>1516</v>
      </c>
      <c r="AD185" s="11"/>
      <c r="AE185" s="11"/>
      <c r="AF185" s="14">
        <v>46203</v>
      </c>
      <c r="AG185" s="11" t="s">
        <v>102</v>
      </c>
      <c r="AH185" s="11" t="s">
        <v>58</v>
      </c>
    </row>
    <row r="186" spans="1:34" ht="17.25" customHeight="1" x14ac:dyDescent="0.25">
      <c r="A186" s="11" t="s">
        <v>61</v>
      </c>
      <c r="B186" s="11" t="s">
        <v>62</v>
      </c>
      <c r="C186" s="11"/>
      <c r="D186" s="11" t="s">
        <v>110</v>
      </c>
      <c r="E186" s="11" t="s">
        <v>189</v>
      </c>
      <c r="F186" s="11"/>
      <c r="G186" s="11" t="s">
        <v>167</v>
      </c>
      <c r="H186" s="11" t="s">
        <v>112</v>
      </c>
      <c r="I186" s="11" t="s">
        <v>113</v>
      </c>
      <c r="J186" s="11"/>
      <c r="K186" s="11" t="s">
        <v>190</v>
      </c>
      <c r="L186" s="11" t="s">
        <v>191</v>
      </c>
      <c r="M186" s="11" t="s">
        <v>116</v>
      </c>
      <c r="N186" s="11" t="s">
        <v>117</v>
      </c>
      <c r="O186" s="11" t="s">
        <v>118</v>
      </c>
      <c r="P186" s="11" t="s">
        <v>48</v>
      </c>
      <c r="Q186" s="11" t="s">
        <v>199</v>
      </c>
      <c r="R186" s="11" t="s">
        <v>54</v>
      </c>
      <c r="S186" s="12">
        <v>11.2</v>
      </c>
      <c r="T186" s="12">
        <v>168</v>
      </c>
      <c r="U186" s="11" t="s">
        <v>101</v>
      </c>
      <c r="V186" s="11" t="s">
        <v>46</v>
      </c>
      <c r="W186" s="11" t="s">
        <v>47</v>
      </c>
      <c r="X186" s="11" t="s">
        <v>198</v>
      </c>
      <c r="Y186" s="11" t="s">
        <v>200</v>
      </c>
      <c r="Z186" s="11" t="s">
        <v>71</v>
      </c>
      <c r="AA186" s="11"/>
      <c r="AB186" s="13">
        <v>15</v>
      </c>
      <c r="AC186" s="11" t="s">
        <v>1516</v>
      </c>
      <c r="AD186" s="11"/>
      <c r="AE186" s="11"/>
      <c r="AF186" s="14">
        <v>46203</v>
      </c>
      <c r="AG186" s="11" t="s">
        <v>102</v>
      </c>
      <c r="AH186" s="11" t="s">
        <v>58</v>
      </c>
    </row>
    <row r="187" spans="1:34" ht="17.25" customHeight="1" x14ac:dyDescent="0.25">
      <c r="A187" s="11" t="s">
        <v>61</v>
      </c>
      <c r="B187" s="11" t="s">
        <v>62</v>
      </c>
      <c r="C187" s="11"/>
      <c r="D187" s="11" t="s">
        <v>110</v>
      </c>
      <c r="E187" s="11" t="s">
        <v>189</v>
      </c>
      <c r="F187" s="11"/>
      <c r="G187" s="11" t="s">
        <v>167</v>
      </c>
      <c r="H187" s="11" t="s">
        <v>112</v>
      </c>
      <c r="I187" s="11" t="s">
        <v>113</v>
      </c>
      <c r="J187" s="11"/>
      <c r="K187" s="11" t="s">
        <v>190</v>
      </c>
      <c r="L187" s="11" t="s">
        <v>191</v>
      </c>
      <c r="M187" s="11" t="s">
        <v>116</v>
      </c>
      <c r="N187" s="11" t="s">
        <v>117</v>
      </c>
      <c r="O187" s="11" t="s">
        <v>118</v>
      </c>
      <c r="P187" s="11" t="s">
        <v>48</v>
      </c>
      <c r="Q187" s="11" t="s">
        <v>204</v>
      </c>
      <c r="R187" s="11" t="s">
        <v>54</v>
      </c>
      <c r="S187" s="12">
        <v>12.8</v>
      </c>
      <c r="T187" s="12">
        <v>281.60000000000002</v>
      </c>
      <c r="U187" s="11" t="s">
        <v>101</v>
      </c>
      <c r="V187" s="11" t="s">
        <v>46</v>
      </c>
      <c r="W187" s="11" t="s">
        <v>47</v>
      </c>
      <c r="X187" s="11" t="s">
        <v>203</v>
      </c>
      <c r="Y187" s="11" t="s">
        <v>205</v>
      </c>
      <c r="Z187" s="11" t="s">
        <v>71</v>
      </c>
      <c r="AA187" s="11"/>
      <c r="AB187" s="13">
        <v>22</v>
      </c>
      <c r="AC187" s="11" t="s">
        <v>1516</v>
      </c>
      <c r="AD187" s="11"/>
      <c r="AE187" s="11"/>
      <c r="AF187" s="14">
        <v>46203</v>
      </c>
      <c r="AG187" s="11" t="s">
        <v>102</v>
      </c>
      <c r="AH187" s="11" t="s">
        <v>58</v>
      </c>
    </row>
    <row r="188" spans="1:34" ht="17.25" customHeight="1" x14ac:dyDescent="0.25">
      <c r="A188" s="11" t="s">
        <v>61</v>
      </c>
      <c r="B188" s="11" t="s">
        <v>62</v>
      </c>
      <c r="C188" s="11"/>
      <c r="D188" s="11" t="s">
        <v>110</v>
      </c>
      <c r="E188" s="11" t="s">
        <v>189</v>
      </c>
      <c r="F188" s="11"/>
      <c r="G188" s="11" t="s">
        <v>167</v>
      </c>
      <c r="H188" s="11" t="s">
        <v>112</v>
      </c>
      <c r="I188" s="11" t="s">
        <v>113</v>
      </c>
      <c r="J188" s="11"/>
      <c r="K188" s="11" t="s">
        <v>190</v>
      </c>
      <c r="L188" s="11" t="s">
        <v>191</v>
      </c>
      <c r="M188" s="11" t="s">
        <v>116</v>
      </c>
      <c r="N188" s="11" t="s">
        <v>117</v>
      </c>
      <c r="O188" s="11" t="s">
        <v>118</v>
      </c>
      <c r="P188" s="11" t="s">
        <v>48</v>
      </c>
      <c r="Q188" s="11" t="s">
        <v>210</v>
      </c>
      <c r="R188" s="11" t="s">
        <v>212</v>
      </c>
      <c r="S188" s="12">
        <v>9</v>
      </c>
      <c r="T188" s="12">
        <v>333</v>
      </c>
      <c r="U188" s="11" t="s">
        <v>101</v>
      </c>
      <c r="V188" s="11" t="s">
        <v>46</v>
      </c>
      <c r="W188" s="11" t="s">
        <v>47</v>
      </c>
      <c r="X188" s="11" t="s">
        <v>209</v>
      </c>
      <c r="Y188" s="11" t="s">
        <v>211</v>
      </c>
      <c r="Z188" s="11" t="s">
        <v>71</v>
      </c>
      <c r="AA188" s="11"/>
      <c r="AB188" s="13">
        <v>37</v>
      </c>
      <c r="AC188" s="11" t="s">
        <v>1516</v>
      </c>
      <c r="AD188" s="11"/>
      <c r="AE188" s="11"/>
      <c r="AF188" s="14">
        <v>46203</v>
      </c>
      <c r="AG188" s="11" t="s">
        <v>102</v>
      </c>
      <c r="AH188" s="11" t="s">
        <v>58</v>
      </c>
    </row>
    <row r="189" spans="1:34" ht="17.25" customHeight="1" x14ac:dyDescent="0.25">
      <c r="A189" s="11" t="s">
        <v>61</v>
      </c>
      <c r="B189" s="11" t="s">
        <v>62</v>
      </c>
      <c r="C189" s="11"/>
      <c r="D189" s="11" t="s">
        <v>110</v>
      </c>
      <c r="E189" s="11" t="s">
        <v>189</v>
      </c>
      <c r="F189" s="11"/>
      <c r="G189" s="11" t="s">
        <v>167</v>
      </c>
      <c r="H189" s="11" t="s">
        <v>112</v>
      </c>
      <c r="I189" s="11" t="s">
        <v>113</v>
      </c>
      <c r="J189" s="11"/>
      <c r="K189" s="11" t="s">
        <v>190</v>
      </c>
      <c r="L189" s="11" t="s">
        <v>191</v>
      </c>
      <c r="M189" s="11" t="s">
        <v>116</v>
      </c>
      <c r="N189" s="11" t="s">
        <v>117</v>
      </c>
      <c r="O189" s="11" t="s">
        <v>118</v>
      </c>
      <c r="P189" s="11" t="s">
        <v>48</v>
      </c>
      <c r="Q189" s="11" t="s">
        <v>216</v>
      </c>
      <c r="R189" s="11" t="s">
        <v>54</v>
      </c>
      <c r="S189" s="12">
        <v>9.6</v>
      </c>
      <c r="T189" s="12">
        <v>96</v>
      </c>
      <c r="U189" s="11" t="s">
        <v>101</v>
      </c>
      <c r="V189" s="11" t="s">
        <v>46</v>
      </c>
      <c r="W189" s="11" t="s">
        <v>47</v>
      </c>
      <c r="X189" s="11" t="s">
        <v>215</v>
      </c>
      <c r="Y189" s="11" t="s">
        <v>217</v>
      </c>
      <c r="Z189" s="11" t="s">
        <v>71</v>
      </c>
      <c r="AA189" s="11"/>
      <c r="AB189" s="13">
        <v>10</v>
      </c>
      <c r="AC189" s="11" t="s">
        <v>1516</v>
      </c>
      <c r="AD189" s="11"/>
      <c r="AE189" s="11"/>
      <c r="AF189" s="14">
        <v>46203</v>
      </c>
      <c r="AG189" s="11" t="s">
        <v>102</v>
      </c>
      <c r="AH189" s="11" t="s">
        <v>58</v>
      </c>
    </row>
    <row r="190" spans="1:34" ht="17.25" customHeight="1" x14ac:dyDescent="0.25">
      <c r="A190" s="11" t="s">
        <v>61</v>
      </c>
      <c r="B190" s="11" t="s">
        <v>62</v>
      </c>
      <c r="C190" s="11"/>
      <c r="D190" s="11" t="s">
        <v>110</v>
      </c>
      <c r="E190" s="11" t="s">
        <v>189</v>
      </c>
      <c r="F190" s="11"/>
      <c r="G190" s="11" t="s">
        <v>167</v>
      </c>
      <c r="H190" s="11" t="s">
        <v>112</v>
      </c>
      <c r="I190" s="11" t="s">
        <v>113</v>
      </c>
      <c r="J190" s="11"/>
      <c r="K190" s="11" t="s">
        <v>190</v>
      </c>
      <c r="L190" s="11" t="s">
        <v>191</v>
      </c>
      <c r="M190" s="11" t="s">
        <v>116</v>
      </c>
      <c r="N190" s="11" t="s">
        <v>117</v>
      </c>
      <c r="O190" s="11" t="s">
        <v>118</v>
      </c>
      <c r="P190" s="11" t="s">
        <v>48</v>
      </c>
      <c r="Q190" s="11" t="s">
        <v>220</v>
      </c>
      <c r="R190" s="11" t="s">
        <v>54</v>
      </c>
      <c r="S190" s="12">
        <v>11.2</v>
      </c>
      <c r="T190" s="12">
        <v>168</v>
      </c>
      <c r="U190" s="11" t="s">
        <v>101</v>
      </c>
      <c r="V190" s="11" t="s">
        <v>46</v>
      </c>
      <c r="W190" s="11" t="s">
        <v>47</v>
      </c>
      <c r="X190" s="11" t="s">
        <v>219</v>
      </c>
      <c r="Y190" s="11" t="s">
        <v>221</v>
      </c>
      <c r="Z190" s="11" t="s">
        <v>71</v>
      </c>
      <c r="AA190" s="11"/>
      <c r="AB190" s="13">
        <v>15</v>
      </c>
      <c r="AC190" s="11" t="s">
        <v>1516</v>
      </c>
      <c r="AD190" s="11"/>
      <c r="AE190" s="11"/>
      <c r="AF190" s="14">
        <v>46203</v>
      </c>
      <c r="AG190" s="11" t="s">
        <v>102</v>
      </c>
      <c r="AH190" s="11" t="s">
        <v>58</v>
      </c>
    </row>
    <row r="191" spans="1:34" ht="17.25" customHeight="1" x14ac:dyDescent="0.25">
      <c r="A191" s="11" t="s">
        <v>61</v>
      </c>
      <c r="B191" s="11" t="s">
        <v>62</v>
      </c>
      <c r="C191" s="11"/>
      <c r="D191" s="11" t="s">
        <v>110</v>
      </c>
      <c r="E191" s="11" t="s">
        <v>189</v>
      </c>
      <c r="F191" s="11"/>
      <c r="G191" s="11" t="s">
        <v>167</v>
      </c>
      <c r="H191" s="11" t="s">
        <v>112</v>
      </c>
      <c r="I191" s="11" t="s">
        <v>113</v>
      </c>
      <c r="J191" s="11"/>
      <c r="K191" s="11" t="s">
        <v>190</v>
      </c>
      <c r="L191" s="11" t="s">
        <v>191</v>
      </c>
      <c r="M191" s="11" t="s">
        <v>116</v>
      </c>
      <c r="N191" s="11" t="s">
        <v>117</v>
      </c>
      <c r="O191" s="11" t="s">
        <v>118</v>
      </c>
      <c r="P191" s="11" t="s">
        <v>48</v>
      </c>
      <c r="Q191" s="11" t="s">
        <v>223</v>
      </c>
      <c r="R191" s="11" t="s">
        <v>54</v>
      </c>
      <c r="S191" s="12">
        <v>14</v>
      </c>
      <c r="T191" s="12">
        <v>2240</v>
      </c>
      <c r="U191" s="11" t="s">
        <v>101</v>
      </c>
      <c r="V191" s="11" t="s">
        <v>46</v>
      </c>
      <c r="W191" s="11" t="s">
        <v>47</v>
      </c>
      <c r="X191" s="11" t="s">
        <v>222</v>
      </c>
      <c r="Y191" s="11" t="s">
        <v>224</v>
      </c>
      <c r="Z191" s="11" t="s">
        <v>71</v>
      </c>
      <c r="AA191" s="11"/>
      <c r="AB191" s="13">
        <v>160</v>
      </c>
      <c r="AC191" s="11" t="s">
        <v>1516</v>
      </c>
      <c r="AD191" s="11"/>
      <c r="AE191" s="11"/>
      <c r="AF191" s="14">
        <v>46203</v>
      </c>
      <c r="AG191" s="11" t="s">
        <v>102</v>
      </c>
      <c r="AH191" s="11" t="s">
        <v>58</v>
      </c>
    </row>
    <row r="192" spans="1:34" ht="17.25" customHeight="1" x14ac:dyDescent="0.25">
      <c r="A192" s="11" t="s">
        <v>61</v>
      </c>
      <c r="B192" s="11" t="s">
        <v>62</v>
      </c>
      <c r="C192" s="11"/>
      <c r="D192" s="11" t="s">
        <v>110</v>
      </c>
      <c r="E192" s="11" t="s">
        <v>189</v>
      </c>
      <c r="F192" s="11"/>
      <c r="G192" s="11" t="s">
        <v>167</v>
      </c>
      <c r="H192" s="11" t="s">
        <v>112</v>
      </c>
      <c r="I192" s="11" t="s">
        <v>113</v>
      </c>
      <c r="J192" s="11"/>
      <c r="K192" s="11" t="s">
        <v>190</v>
      </c>
      <c r="L192" s="11" t="s">
        <v>191</v>
      </c>
      <c r="M192" s="11" t="s">
        <v>116</v>
      </c>
      <c r="N192" s="11" t="s">
        <v>117</v>
      </c>
      <c r="O192" s="11" t="s">
        <v>118</v>
      </c>
      <c r="P192" s="11" t="s">
        <v>48</v>
      </c>
      <c r="Q192" s="11" t="s">
        <v>229</v>
      </c>
      <c r="R192" s="11" t="s">
        <v>212</v>
      </c>
      <c r="S192" s="12">
        <v>9</v>
      </c>
      <c r="T192" s="12">
        <v>495</v>
      </c>
      <c r="U192" s="11" t="s">
        <v>101</v>
      </c>
      <c r="V192" s="11" t="s">
        <v>46</v>
      </c>
      <c r="W192" s="11" t="s">
        <v>47</v>
      </c>
      <c r="X192" s="11" t="s">
        <v>228</v>
      </c>
      <c r="Y192" s="11" t="s">
        <v>230</v>
      </c>
      <c r="Z192" s="11" t="s">
        <v>71</v>
      </c>
      <c r="AA192" s="11"/>
      <c r="AB192" s="13">
        <v>55</v>
      </c>
      <c r="AC192" s="11" t="s">
        <v>1516</v>
      </c>
      <c r="AD192" s="11"/>
      <c r="AE192" s="11"/>
      <c r="AF192" s="14">
        <v>46203</v>
      </c>
      <c r="AG192" s="11" t="s">
        <v>102</v>
      </c>
      <c r="AH192" s="11" t="s">
        <v>58</v>
      </c>
    </row>
    <row r="193" spans="1:34" ht="17.25" customHeight="1" x14ac:dyDescent="0.25">
      <c r="A193" s="11" t="s">
        <v>61</v>
      </c>
      <c r="B193" s="11" t="s">
        <v>62</v>
      </c>
      <c r="C193" s="11"/>
      <c r="D193" s="11" t="s">
        <v>110</v>
      </c>
      <c r="E193" s="11" t="s">
        <v>189</v>
      </c>
      <c r="F193" s="11"/>
      <c r="G193" s="11" t="s">
        <v>167</v>
      </c>
      <c r="H193" s="11" t="s">
        <v>112</v>
      </c>
      <c r="I193" s="11" t="s">
        <v>113</v>
      </c>
      <c r="J193" s="11"/>
      <c r="K193" s="11" t="s">
        <v>190</v>
      </c>
      <c r="L193" s="11" t="s">
        <v>191</v>
      </c>
      <c r="M193" s="11" t="s">
        <v>116</v>
      </c>
      <c r="N193" s="11" t="s">
        <v>117</v>
      </c>
      <c r="O193" s="11" t="s">
        <v>118</v>
      </c>
      <c r="P193" s="11" t="s">
        <v>48</v>
      </c>
      <c r="Q193" s="11" t="s">
        <v>234</v>
      </c>
      <c r="R193" s="11" t="s">
        <v>54</v>
      </c>
      <c r="S193" s="12">
        <v>12.8</v>
      </c>
      <c r="T193" s="12">
        <v>512</v>
      </c>
      <c r="U193" s="11" t="s">
        <v>101</v>
      </c>
      <c r="V193" s="11" t="s">
        <v>46</v>
      </c>
      <c r="W193" s="11" t="s">
        <v>47</v>
      </c>
      <c r="X193" s="11" t="s">
        <v>233</v>
      </c>
      <c r="Y193" s="11" t="s">
        <v>235</v>
      </c>
      <c r="Z193" s="11" t="s">
        <v>71</v>
      </c>
      <c r="AA193" s="11"/>
      <c r="AB193" s="13">
        <v>40</v>
      </c>
      <c r="AC193" s="11" t="s">
        <v>1516</v>
      </c>
      <c r="AD193" s="11"/>
      <c r="AE193" s="11"/>
      <c r="AF193" s="14">
        <v>46203</v>
      </c>
      <c r="AG193" s="11" t="s">
        <v>102</v>
      </c>
      <c r="AH193" s="11" t="s">
        <v>58</v>
      </c>
    </row>
    <row r="194" spans="1:34" ht="17.25" customHeight="1" x14ac:dyDescent="0.25">
      <c r="A194" s="11" t="s">
        <v>61</v>
      </c>
      <c r="B194" s="11" t="s">
        <v>62</v>
      </c>
      <c r="C194" s="11"/>
      <c r="D194" s="11" t="s">
        <v>110</v>
      </c>
      <c r="E194" s="11" t="s">
        <v>189</v>
      </c>
      <c r="F194" s="11"/>
      <c r="G194" s="11" t="s">
        <v>167</v>
      </c>
      <c r="H194" s="11" t="s">
        <v>112</v>
      </c>
      <c r="I194" s="11" t="s">
        <v>113</v>
      </c>
      <c r="J194" s="11"/>
      <c r="K194" s="11" t="s">
        <v>190</v>
      </c>
      <c r="L194" s="11" t="s">
        <v>191</v>
      </c>
      <c r="M194" s="11" t="s">
        <v>116</v>
      </c>
      <c r="N194" s="11" t="s">
        <v>117</v>
      </c>
      <c r="O194" s="11" t="s">
        <v>118</v>
      </c>
      <c r="P194" s="11" t="s">
        <v>48</v>
      </c>
      <c r="Q194" s="11" t="s">
        <v>238</v>
      </c>
      <c r="R194" s="11" t="s">
        <v>54</v>
      </c>
      <c r="S194" s="12">
        <v>12.8</v>
      </c>
      <c r="T194" s="12">
        <v>512</v>
      </c>
      <c r="U194" s="11" t="s">
        <v>101</v>
      </c>
      <c r="V194" s="11" t="s">
        <v>46</v>
      </c>
      <c r="W194" s="11" t="s">
        <v>47</v>
      </c>
      <c r="X194" s="11" t="s">
        <v>237</v>
      </c>
      <c r="Y194" s="11" t="s">
        <v>239</v>
      </c>
      <c r="Z194" s="11" t="s">
        <v>71</v>
      </c>
      <c r="AA194" s="11"/>
      <c r="AB194" s="13">
        <v>40</v>
      </c>
      <c r="AC194" s="11" t="s">
        <v>1516</v>
      </c>
      <c r="AD194" s="11"/>
      <c r="AE194" s="11"/>
      <c r="AF194" s="14">
        <v>46203</v>
      </c>
      <c r="AG194" s="11" t="s">
        <v>102</v>
      </c>
      <c r="AH194" s="11" t="s">
        <v>58</v>
      </c>
    </row>
    <row r="195" spans="1:34" ht="17.25" customHeight="1" x14ac:dyDescent="0.25">
      <c r="A195" s="11" t="s">
        <v>61</v>
      </c>
      <c r="B195" s="11" t="s">
        <v>522</v>
      </c>
      <c r="C195" s="11"/>
      <c r="D195" s="11" t="s">
        <v>1015</v>
      </c>
      <c r="E195" s="11" t="s">
        <v>1014</v>
      </c>
      <c r="F195" s="11"/>
      <c r="G195" s="11" t="s">
        <v>370</v>
      </c>
      <c r="H195" s="11" t="s">
        <v>980</v>
      </c>
      <c r="I195" s="11" t="s">
        <v>980</v>
      </c>
      <c r="J195" s="11" t="s">
        <v>1016</v>
      </c>
      <c r="K195" s="11" t="s">
        <v>323</v>
      </c>
      <c r="L195" s="11" t="s">
        <v>324</v>
      </c>
      <c r="M195" s="11" t="s">
        <v>1017</v>
      </c>
      <c r="N195" s="11" t="s">
        <v>1018</v>
      </c>
      <c r="O195" s="11" t="s">
        <v>118</v>
      </c>
      <c r="P195" s="11" t="s">
        <v>972</v>
      </c>
      <c r="Q195" s="11" t="s">
        <v>1010</v>
      </c>
      <c r="R195" s="11" t="s">
        <v>54</v>
      </c>
      <c r="S195" s="12">
        <v>13.458</v>
      </c>
      <c r="T195" s="12">
        <v>13.458</v>
      </c>
      <c r="U195" s="11" t="s">
        <v>311</v>
      </c>
      <c r="V195" s="11" t="s">
        <v>1008</v>
      </c>
      <c r="W195" s="11" t="s">
        <v>971</v>
      </c>
      <c r="X195" s="11" t="s">
        <v>1009</v>
      </c>
      <c r="Y195" s="11" t="s">
        <v>1011</v>
      </c>
      <c r="Z195" s="11" t="s">
        <v>71</v>
      </c>
      <c r="AA195" s="11" t="s">
        <v>1012</v>
      </c>
      <c r="AB195" s="13">
        <v>1</v>
      </c>
      <c r="AC195" s="11" t="s">
        <v>1499</v>
      </c>
      <c r="AD195" s="11"/>
      <c r="AE195" s="11"/>
      <c r="AF195" s="14">
        <v>46203</v>
      </c>
      <c r="AG195" s="11" t="s">
        <v>1007</v>
      </c>
      <c r="AH195" s="11"/>
    </row>
    <row r="196" spans="1:34" ht="17.25" customHeight="1" x14ac:dyDescent="0.25">
      <c r="A196" s="11" t="s">
        <v>61</v>
      </c>
      <c r="B196" s="11" t="s">
        <v>522</v>
      </c>
      <c r="C196" s="11"/>
      <c r="D196" s="11" t="s">
        <v>1116</v>
      </c>
      <c r="E196" s="11" t="s">
        <v>1014</v>
      </c>
      <c r="F196" s="11"/>
      <c r="G196" s="11" t="s">
        <v>370</v>
      </c>
      <c r="H196" s="11" t="s">
        <v>980</v>
      </c>
      <c r="I196" s="11" t="s">
        <v>980</v>
      </c>
      <c r="J196" s="11" t="s">
        <v>1083</v>
      </c>
      <c r="K196" s="11" t="s">
        <v>323</v>
      </c>
      <c r="L196" s="11" t="s">
        <v>324</v>
      </c>
      <c r="M196" s="11" t="s">
        <v>1117</v>
      </c>
      <c r="N196" s="11" t="s">
        <v>1118</v>
      </c>
      <c r="O196" s="11" t="s">
        <v>118</v>
      </c>
      <c r="P196" s="11" t="s">
        <v>987</v>
      </c>
      <c r="Q196" s="11" t="s">
        <v>1112</v>
      </c>
      <c r="R196" s="11" t="s">
        <v>54</v>
      </c>
      <c r="S196" s="12">
        <v>7.6</v>
      </c>
      <c r="T196" s="12">
        <v>7.6</v>
      </c>
      <c r="U196" s="11" t="s">
        <v>311</v>
      </c>
      <c r="V196" s="11" t="s">
        <v>1008</v>
      </c>
      <c r="W196" s="11" t="s">
        <v>971</v>
      </c>
      <c r="X196" s="11" t="s">
        <v>1111</v>
      </c>
      <c r="Y196" s="11" t="s">
        <v>1113</v>
      </c>
      <c r="Z196" s="11" t="s">
        <v>71</v>
      </c>
      <c r="AA196" s="11" t="s">
        <v>1114</v>
      </c>
      <c r="AB196" s="13">
        <v>1</v>
      </c>
      <c r="AC196" s="11" t="s">
        <v>1499</v>
      </c>
      <c r="AD196" s="11"/>
      <c r="AE196" s="11"/>
      <c r="AF196" s="14">
        <v>46203</v>
      </c>
      <c r="AG196" s="11" t="s">
        <v>1110</v>
      </c>
      <c r="AH196" s="11"/>
    </row>
    <row r="197" spans="1:34" ht="17.25" customHeight="1" x14ac:dyDescent="0.25">
      <c r="A197" s="11" t="s">
        <v>61</v>
      </c>
      <c r="B197" s="11" t="s">
        <v>522</v>
      </c>
      <c r="C197" s="11"/>
      <c r="D197" s="11" t="s">
        <v>1517</v>
      </c>
      <c r="E197" s="11" t="s">
        <v>977</v>
      </c>
      <c r="F197" s="11"/>
      <c r="G197" s="11" t="s">
        <v>979</v>
      </c>
      <c r="H197" s="11" t="s">
        <v>980</v>
      </c>
      <c r="I197" s="11"/>
      <c r="J197" s="11" t="s">
        <v>1518</v>
      </c>
      <c r="K197" s="11" t="s">
        <v>273</v>
      </c>
      <c r="L197" s="11" t="s">
        <v>274</v>
      </c>
      <c r="M197" s="11"/>
      <c r="N197" s="11" t="s">
        <v>1519</v>
      </c>
      <c r="O197" s="11" t="s">
        <v>118</v>
      </c>
      <c r="P197" s="11" t="s">
        <v>1520</v>
      </c>
      <c r="Q197" s="11" t="s">
        <v>1521</v>
      </c>
      <c r="R197" s="11" t="s">
        <v>54</v>
      </c>
      <c r="S197" s="12">
        <v>10</v>
      </c>
      <c r="T197" s="12">
        <v>-10</v>
      </c>
      <c r="U197" s="11" t="s">
        <v>254</v>
      </c>
      <c r="V197" s="11" t="s">
        <v>1235</v>
      </c>
      <c r="W197" s="11" t="s">
        <v>1155</v>
      </c>
      <c r="X197" s="11" t="s">
        <v>1522</v>
      </c>
      <c r="Y197" s="11" t="s">
        <v>1523</v>
      </c>
      <c r="Z197" s="11" t="s">
        <v>71</v>
      </c>
      <c r="AA197" s="11"/>
      <c r="AB197" s="13">
        <v>-1</v>
      </c>
      <c r="AC197" s="11" t="s">
        <v>1524</v>
      </c>
      <c r="AD197" s="11"/>
      <c r="AE197" s="11"/>
      <c r="AF197" s="14">
        <v>46203</v>
      </c>
      <c r="AG197" s="11" t="s">
        <v>1525</v>
      </c>
      <c r="AH197" s="11"/>
    </row>
    <row r="198" spans="1:34" ht="17.25" customHeight="1" x14ac:dyDescent="0.25">
      <c r="A198" s="11" t="s">
        <v>61</v>
      </c>
      <c r="B198" s="11" t="s">
        <v>522</v>
      </c>
      <c r="C198" s="11"/>
      <c r="D198" s="11" t="s">
        <v>1517</v>
      </c>
      <c r="E198" s="11" t="s">
        <v>977</v>
      </c>
      <c r="F198" s="11"/>
      <c r="G198" s="11" t="s">
        <v>979</v>
      </c>
      <c r="H198" s="11" t="s">
        <v>980</v>
      </c>
      <c r="I198" s="11"/>
      <c r="J198" s="11" t="s">
        <v>1518</v>
      </c>
      <c r="K198" s="11" t="s">
        <v>273</v>
      </c>
      <c r="L198" s="11" t="s">
        <v>274</v>
      </c>
      <c r="M198" s="11"/>
      <c r="N198" s="11" t="s">
        <v>1519</v>
      </c>
      <c r="O198" s="11" t="s">
        <v>118</v>
      </c>
      <c r="P198" s="11" t="s">
        <v>1520</v>
      </c>
      <c r="Q198" s="11" t="s">
        <v>974</v>
      </c>
      <c r="R198" s="11" t="s">
        <v>54</v>
      </c>
      <c r="S198" s="12">
        <v>10</v>
      </c>
      <c r="T198" s="12">
        <v>-50</v>
      </c>
      <c r="U198" s="11" t="s">
        <v>254</v>
      </c>
      <c r="V198" s="11" t="s">
        <v>1235</v>
      </c>
      <c r="W198" s="11" t="s">
        <v>1155</v>
      </c>
      <c r="X198" s="11" t="s">
        <v>973</v>
      </c>
      <c r="Y198" s="11" t="s">
        <v>975</v>
      </c>
      <c r="Z198" s="11" t="s">
        <v>71</v>
      </c>
      <c r="AA198" s="11"/>
      <c r="AB198" s="13">
        <v>-5</v>
      </c>
      <c r="AC198" s="11" t="s">
        <v>1524</v>
      </c>
      <c r="AD198" s="11"/>
      <c r="AE198" s="11"/>
      <c r="AF198" s="14">
        <v>46203</v>
      </c>
      <c r="AG198" s="11" t="s">
        <v>1525</v>
      </c>
      <c r="AH198" s="11"/>
    </row>
    <row r="199" spans="1:34" ht="17.25" customHeight="1" x14ac:dyDescent="0.25">
      <c r="A199" s="11" t="s">
        <v>61</v>
      </c>
      <c r="B199" s="11" t="s">
        <v>522</v>
      </c>
      <c r="C199" s="11"/>
      <c r="D199" s="11" t="s">
        <v>1517</v>
      </c>
      <c r="E199" s="11" t="s">
        <v>977</v>
      </c>
      <c r="F199" s="11"/>
      <c r="G199" s="11" t="s">
        <v>979</v>
      </c>
      <c r="H199" s="11" t="s">
        <v>980</v>
      </c>
      <c r="I199" s="11"/>
      <c r="J199" s="11" t="s">
        <v>1518</v>
      </c>
      <c r="K199" s="11" t="s">
        <v>273</v>
      </c>
      <c r="L199" s="11" t="s">
        <v>274</v>
      </c>
      <c r="M199" s="11"/>
      <c r="N199" s="11" t="s">
        <v>1519</v>
      </c>
      <c r="O199" s="11" t="s">
        <v>118</v>
      </c>
      <c r="P199" s="11" t="s">
        <v>1520</v>
      </c>
      <c r="Q199" s="11" t="s">
        <v>263</v>
      </c>
      <c r="R199" s="11" t="s">
        <v>54</v>
      </c>
      <c r="S199" s="12">
        <v>10</v>
      </c>
      <c r="T199" s="12">
        <v>-30</v>
      </c>
      <c r="U199" s="11" t="s">
        <v>254</v>
      </c>
      <c r="V199" s="11" t="s">
        <v>1235</v>
      </c>
      <c r="W199" s="11" t="s">
        <v>1155</v>
      </c>
      <c r="X199" s="11" t="s">
        <v>262</v>
      </c>
      <c r="Y199" s="11" t="s">
        <v>264</v>
      </c>
      <c r="Z199" s="11" t="s">
        <v>71</v>
      </c>
      <c r="AA199" s="11"/>
      <c r="AB199" s="13">
        <v>-3</v>
      </c>
      <c r="AC199" s="11" t="s">
        <v>1524</v>
      </c>
      <c r="AD199" s="11"/>
      <c r="AE199" s="11"/>
      <c r="AF199" s="14">
        <v>46203</v>
      </c>
      <c r="AG199" s="11" t="s">
        <v>1525</v>
      </c>
      <c r="AH199" s="11"/>
    </row>
    <row r="200" spans="1:34" ht="17.25" customHeight="1" x14ac:dyDescent="0.25">
      <c r="A200" s="11" t="s">
        <v>699</v>
      </c>
      <c r="B200" s="11" t="s">
        <v>744</v>
      </c>
      <c r="C200" s="11" t="s">
        <v>1526</v>
      </c>
      <c r="D200" s="11" t="s">
        <v>904</v>
      </c>
      <c r="E200" s="11" t="s">
        <v>166</v>
      </c>
      <c r="F200" s="11"/>
      <c r="G200" s="11" t="s">
        <v>167</v>
      </c>
      <c r="H200" s="11" t="s">
        <v>112</v>
      </c>
      <c r="I200" s="11" t="s">
        <v>272</v>
      </c>
      <c r="J200" s="11" t="s">
        <v>905</v>
      </c>
      <c r="K200" s="11" t="s">
        <v>168</v>
      </c>
      <c r="L200" s="11" t="s">
        <v>169</v>
      </c>
      <c r="M200" s="11" t="s">
        <v>906</v>
      </c>
      <c r="N200" s="11" t="s">
        <v>907</v>
      </c>
      <c r="O200" s="11" t="s">
        <v>118</v>
      </c>
      <c r="P200" s="11" t="s">
        <v>899</v>
      </c>
      <c r="Q200" s="11" t="s">
        <v>901</v>
      </c>
      <c r="R200" s="11" t="s">
        <v>280</v>
      </c>
      <c r="S200" s="12">
        <v>20</v>
      </c>
      <c r="T200" s="12">
        <v>2000</v>
      </c>
      <c r="U200" s="11" t="s">
        <v>101</v>
      </c>
      <c r="V200" s="11" t="s">
        <v>897</v>
      </c>
      <c r="W200" s="11" t="s">
        <v>898</v>
      </c>
      <c r="X200" s="11" t="s">
        <v>900</v>
      </c>
      <c r="Y200" s="11" t="s">
        <v>902</v>
      </c>
      <c r="Z200" s="11" t="s">
        <v>71</v>
      </c>
      <c r="AA200" s="11"/>
      <c r="AB200" s="13">
        <v>2</v>
      </c>
      <c r="AC200" s="11" t="s">
        <v>1527</v>
      </c>
      <c r="AD200" s="11"/>
      <c r="AE200" s="11"/>
      <c r="AF200" s="14">
        <v>46203</v>
      </c>
      <c r="AG200" s="11" t="s">
        <v>895</v>
      </c>
      <c r="AH200" s="11" t="s">
        <v>903</v>
      </c>
    </row>
    <row r="201" spans="1:34" ht="17.25" customHeight="1" x14ac:dyDescent="0.25">
      <c r="A201" s="11" t="s">
        <v>61</v>
      </c>
      <c r="B201" s="11" t="s">
        <v>62</v>
      </c>
      <c r="C201" s="11"/>
      <c r="D201" s="11" t="s">
        <v>509</v>
      </c>
      <c r="E201" s="11" t="s">
        <v>283</v>
      </c>
      <c r="F201" s="11"/>
      <c r="G201" s="11" t="s">
        <v>285</v>
      </c>
      <c r="H201" s="11" t="s">
        <v>577</v>
      </c>
      <c r="I201" s="11" t="s">
        <v>272</v>
      </c>
      <c r="J201" s="11"/>
      <c r="K201" s="11" t="s">
        <v>114</v>
      </c>
      <c r="L201" s="11" t="s">
        <v>115</v>
      </c>
      <c r="M201" s="11" t="s">
        <v>955</v>
      </c>
      <c r="N201" s="11" t="s">
        <v>956</v>
      </c>
      <c r="O201" s="11" t="s">
        <v>118</v>
      </c>
      <c r="P201" s="11" t="s">
        <v>505</v>
      </c>
      <c r="Q201" s="11" t="s">
        <v>426</v>
      </c>
      <c r="R201" s="11" t="s">
        <v>428</v>
      </c>
      <c r="S201" s="12">
        <v>25</v>
      </c>
      <c r="T201" s="12">
        <v>1800</v>
      </c>
      <c r="U201" s="11" t="s">
        <v>101</v>
      </c>
      <c r="V201" s="11" t="s">
        <v>503</v>
      </c>
      <c r="W201" s="11" t="s">
        <v>504</v>
      </c>
      <c r="X201" s="11" t="s">
        <v>425</v>
      </c>
      <c r="Y201" s="11" t="s">
        <v>427</v>
      </c>
      <c r="Z201" s="11" t="s">
        <v>71</v>
      </c>
      <c r="AA201" s="11"/>
      <c r="AB201" s="13">
        <v>72</v>
      </c>
      <c r="AC201" s="11" t="s">
        <v>1528</v>
      </c>
      <c r="AD201" s="11"/>
      <c r="AE201" s="11"/>
      <c r="AF201" s="14">
        <v>46203</v>
      </c>
      <c r="AG201" s="11" t="s">
        <v>952</v>
      </c>
      <c r="AH201" s="11" t="s">
        <v>954</v>
      </c>
    </row>
    <row r="202" spans="1:34" ht="17.25" customHeight="1" x14ac:dyDescent="0.25">
      <c r="A202" s="11" t="s">
        <v>61</v>
      </c>
      <c r="B202" s="11" t="s">
        <v>62</v>
      </c>
      <c r="C202" s="11"/>
      <c r="D202" s="11" t="s">
        <v>1380</v>
      </c>
      <c r="E202" s="11" t="s">
        <v>473</v>
      </c>
      <c r="F202" s="11"/>
      <c r="G202" s="11" t="s">
        <v>474</v>
      </c>
      <c r="H202" s="11" t="s">
        <v>112</v>
      </c>
      <c r="I202" s="11" t="s">
        <v>113</v>
      </c>
      <c r="J202" s="11"/>
      <c r="K202" s="11" t="s">
        <v>373</v>
      </c>
      <c r="L202" s="11" t="s">
        <v>374</v>
      </c>
      <c r="M202" s="11" t="s">
        <v>1381</v>
      </c>
      <c r="N202" s="11" t="s">
        <v>1382</v>
      </c>
      <c r="O202" s="11" t="s">
        <v>118</v>
      </c>
      <c r="P202" s="11" t="s">
        <v>1362</v>
      </c>
      <c r="Q202" s="11" t="s">
        <v>1377</v>
      </c>
      <c r="R202" s="11" t="s">
        <v>1379</v>
      </c>
      <c r="S202" s="12">
        <v>0</v>
      </c>
      <c r="T202" s="12">
        <v>0</v>
      </c>
      <c r="U202" s="11" t="s">
        <v>363</v>
      </c>
      <c r="V202" s="11" t="s">
        <v>1360</v>
      </c>
      <c r="W202" s="11" t="s">
        <v>1361</v>
      </c>
      <c r="X202" s="11" t="s">
        <v>1376</v>
      </c>
      <c r="Y202" s="11" t="s">
        <v>1378</v>
      </c>
      <c r="Z202" s="11" t="s">
        <v>501</v>
      </c>
      <c r="AA202" s="11"/>
      <c r="AB202" s="13">
        <v>100</v>
      </c>
      <c r="AC202" s="11" t="s">
        <v>1515</v>
      </c>
      <c r="AD202" s="11"/>
      <c r="AE202" s="11"/>
      <c r="AF202" s="14">
        <v>46203</v>
      </c>
      <c r="AG202" s="11" t="s">
        <v>1375</v>
      </c>
      <c r="AH202" s="11" t="s">
        <v>1363</v>
      </c>
    </row>
    <row r="203" spans="1:34" ht="17.25" customHeight="1" x14ac:dyDescent="0.25">
      <c r="A203" s="11" t="s">
        <v>61</v>
      </c>
      <c r="B203" s="11" t="s">
        <v>62</v>
      </c>
      <c r="C203" s="11"/>
      <c r="D203" s="11" t="s">
        <v>1388</v>
      </c>
      <c r="E203" s="11" t="s">
        <v>473</v>
      </c>
      <c r="F203" s="11"/>
      <c r="G203" s="11" t="s">
        <v>474</v>
      </c>
      <c r="H203" s="11" t="s">
        <v>112</v>
      </c>
      <c r="I203" s="11" t="s">
        <v>113</v>
      </c>
      <c r="J203" s="11"/>
      <c r="K203" s="11" t="s">
        <v>373</v>
      </c>
      <c r="L203" s="11" t="s">
        <v>374</v>
      </c>
      <c r="M203" s="11" t="s">
        <v>1389</v>
      </c>
      <c r="N203" s="11" t="s">
        <v>1390</v>
      </c>
      <c r="O203" s="11" t="s">
        <v>118</v>
      </c>
      <c r="P203" s="11" t="s">
        <v>1362</v>
      </c>
      <c r="Q203" s="11" t="s">
        <v>1385</v>
      </c>
      <c r="R203" s="11" t="s">
        <v>1387</v>
      </c>
      <c r="S203" s="12">
        <v>0</v>
      </c>
      <c r="T203" s="12">
        <v>0</v>
      </c>
      <c r="U203" s="11" t="s">
        <v>363</v>
      </c>
      <c r="V203" s="11" t="s">
        <v>1360</v>
      </c>
      <c r="W203" s="11" t="s">
        <v>1361</v>
      </c>
      <c r="X203" s="11" t="s">
        <v>1384</v>
      </c>
      <c r="Y203" s="11" t="s">
        <v>1386</v>
      </c>
      <c r="Z203" s="11" t="s">
        <v>501</v>
      </c>
      <c r="AA203" s="11"/>
      <c r="AB203" s="13">
        <v>300</v>
      </c>
      <c r="AC203" s="11" t="s">
        <v>1515</v>
      </c>
      <c r="AD203" s="11"/>
      <c r="AE203" s="11"/>
      <c r="AF203" s="14">
        <v>46203</v>
      </c>
      <c r="AG203" s="11" t="s">
        <v>1383</v>
      </c>
      <c r="AH203" s="11" t="s">
        <v>1363</v>
      </c>
    </row>
    <row r="204" spans="1:34" ht="17.25" customHeight="1" x14ac:dyDescent="0.25">
      <c r="A204" s="11" t="s">
        <v>61</v>
      </c>
      <c r="B204" s="11" t="s">
        <v>62</v>
      </c>
      <c r="C204" s="11"/>
      <c r="D204" s="11" t="s">
        <v>1392</v>
      </c>
      <c r="E204" s="11" t="s">
        <v>166</v>
      </c>
      <c r="F204" s="11"/>
      <c r="G204" s="11" t="s">
        <v>167</v>
      </c>
      <c r="H204" s="11" t="s">
        <v>112</v>
      </c>
      <c r="I204" s="11" t="s">
        <v>113</v>
      </c>
      <c r="J204" s="11"/>
      <c r="K204" s="11" t="s">
        <v>168</v>
      </c>
      <c r="L204" s="11" t="s">
        <v>169</v>
      </c>
      <c r="M204" s="11" t="s">
        <v>1393</v>
      </c>
      <c r="N204" s="11" t="s">
        <v>1394</v>
      </c>
      <c r="O204" s="11" t="s">
        <v>118</v>
      </c>
      <c r="P204" s="11" t="s">
        <v>1362</v>
      </c>
      <c r="Q204" s="11" t="s">
        <v>1100</v>
      </c>
      <c r="R204" s="11" t="s">
        <v>54</v>
      </c>
      <c r="S204" s="12">
        <v>4.8</v>
      </c>
      <c r="T204" s="12">
        <v>24</v>
      </c>
      <c r="U204" s="11" t="s">
        <v>101</v>
      </c>
      <c r="V204" s="11" t="s">
        <v>1360</v>
      </c>
      <c r="W204" s="11" t="s">
        <v>1361</v>
      </c>
      <c r="X204" s="11" t="s">
        <v>1099</v>
      </c>
      <c r="Y204" s="11" t="s">
        <v>1101</v>
      </c>
      <c r="Z204" s="11" t="s">
        <v>71</v>
      </c>
      <c r="AA204" s="11"/>
      <c r="AB204" s="13">
        <v>5</v>
      </c>
      <c r="AC204" s="11" t="s">
        <v>1515</v>
      </c>
      <c r="AD204" s="11"/>
      <c r="AE204" s="11"/>
      <c r="AF204" s="14">
        <v>46203</v>
      </c>
      <c r="AG204" s="11" t="s">
        <v>1391</v>
      </c>
      <c r="AH204" s="11" t="s">
        <v>1363</v>
      </c>
    </row>
    <row r="205" spans="1:34" ht="17.25" customHeight="1" x14ac:dyDescent="0.25">
      <c r="A205" s="11" t="s">
        <v>61</v>
      </c>
      <c r="B205" s="11" t="s">
        <v>62</v>
      </c>
      <c r="C205" s="11"/>
      <c r="D205" s="11" t="s">
        <v>1392</v>
      </c>
      <c r="E205" s="11" t="s">
        <v>109</v>
      </c>
      <c r="F205" s="11"/>
      <c r="G205" s="11" t="s">
        <v>111</v>
      </c>
      <c r="H205" s="11" t="s">
        <v>112</v>
      </c>
      <c r="I205" s="11" t="s">
        <v>113</v>
      </c>
      <c r="J205" s="11"/>
      <c r="K205" s="11" t="s">
        <v>114</v>
      </c>
      <c r="L205" s="11" t="s">
        <v>115</v>
      </c>
      <c r="M205" s="11" t="s">
        <v>1393</v>
      </c>
      <c r="N205" s="11" t="s">
        <v>1394</v>
      </c>
      <c r="O205" s="11" t="s">
        <v>118</v>
      </c>
      <c r="P205" s="11" t="s">
        <v>1362</v>
      </c>
      <c r="Q205" s="11" t="s">
        <v>296</v>
      </c>
      <c r="R205" s="11" t="s">
        <v>54</v>
      </c>
      <c r="S205" s="12">
        <v>10.92</v>
      </c>
      <c r="T205" s="12">
        <v>327.60000000000002</v>
      </c>
      <c r="U205" s="11" t="s">
        <v>101</v>
      </c>
      <c r="V205" s="11" t="s">
        <v>1360</v>
      </c>
      <c r="W205" s="11" t="s">
        <v>1361</v>
      </c>
      <c r="X205" s="11" t="s">
        <v>295</v>
      </c>
      <c r="Y205" s="11" t="s">
        <v>297</v>
      </c>
      <c r="Z205" s="11" t="s">
        <v>71</v>
      </c>
      <c r="AA205" s="11"/>
      <c r="AB205" s="13">
        <v>30</v>
      </c>
      <c r="AC205" s="11" t="s">
        <v>1515</v>
      </c>
      <c r="AD205" s="11"/>
      <c r="AE205" s="11"/>
      <c r="AF205" s="14">
        <v>46203</v>
      </c>
      <c r="AG205" s="11" t="s">
        <v>1391</v>
      </c>
      <c r="AH205" s="11" t="s">
        <v>1363</v>
      </c>
    </row>
    <row r="206" spans="1:34" ht="17.25" customHeight="1" x14ac:dyDescent="0.25">
      <c r="A206" s="11" t="s">
        <v>61</v>
      </c>
      <c r="B206" s="11" t="s">
        <v>62</v>
      </c>
      <c r="C206" s="11"/>
      <c r="D206" s="11" t="s">
        <v>1392</v>
      </c>
      <c r="E206" s="11" t="s">
        <v>109</v>
      </c>
      <c r="F206" s="11"/>
      <c r="G206" s="11" t="s">
        <v>111</v>
      </c>
      <c r="H206" s="11" t="s">
        <v>112</v>
      </c>
      <c r="I206" s="11" t="s">
        <v>113</v>
      </c>
      <c r="J206" s="11"/>
      <c r="K206" s="11" t="s">
        <v>114</v>
      </c>
      <c r="L206" s="11" t="s">
        <v>115</v>
      </c>
      <c r="M206" s="11" t="s">
        <v>1393</v>
      </c>
      <c r="N206" s="11" t="s">
        <v>1394</v>
      </c>
      <c r="O206" s="11" t="s">
        <v>118</v>
      </c>
      <c r="P206" s="11" t="s">
        <v>1362</v>
      </c>
      <c r="Q206" s="11" t="s">
        <v>1034</v>
      </c>
      <c r="R206" s="11" t="s">
        <v>54</v>
      </c>
      <c r="S206" s="12">
        <v>10.92</v>
      </c>
      <c r="T206" s="12">
        <v>109.2</v>
      </c>
      <c r="U206" s="11" t="s">
        <v>101</v>
      </c>
      <c r="V206" s="11" t="s">
        <v>1360</v>
      </c>
      <c r="W206" s="11" t="s">
        <v>1361</v>
      </c>
      <c r="X206" s="11" t="s">
        <v>1033</v>
      </c>
      <c r="Y206" s="11" t="s">
        <v>1035</v>
      </c>
      <c r="Z206" s="11" t="s">
        <v>71</v>
      </c>
      <c r="AA206" s="11"/>
      <c r="AB206" s="13">
        <v>10</v>
      </c>
      <c r="AC206" s="11" t="s">
        <v>1515</v>
      </c>
      <c r="AD206" s="11"/>
      <c r="AE206" s="11"/>
      <c r="AF206" s="14">
        <v>46203</v>
      </c>
      <c r="AG206" s="11" t="s">
        <v>1391</v>
      </c>
      <c r="AH206" s="11" t="s">
        <v>1363</v>
      </c>
    </row>
    <row r="207" spans="1:34" ht="17.25" customHeight="1" x14ac:dyDescent="0.25">
      <c r="A207" s="11" t="s">
        <v>61</v>
      </c>
      <c r="B207" s="11" t="s">
        <v>62</v>
      </c>
      <c r="C207" s="11"/>
      <c r="D207" s="11" t="s">
        <v>1392</v>
      </c>
      <c r="E207" s="11" t="s">
        <v>109</v>
      </c>
      <c r="F207" s="11"/>
      <c r="G207" s="11" t="s">
        <v>111</v>
      </c>
      <c r="H207" s="11" t="s">
        <v>112</v>
      </c>
      <c r="I207" s="11" t="s">
        <v>113</v>
      </c>
      <c r="J207" s="11"/>
      <c r="K207" s="11" t="s">
        <v>114</v>
      </c>
      <c r="L207" s="11" t="s">
        <v>115</v>
      </c>
      <c r="M207" s="11" t="s">
        <v>1393</v>
      </c>
      <c r="N207" s="11" t="s">
        <v>1394</v>
      </c>
      <c r="O207" s="11" t="s">
        <v>118</v>
      </c>
      <c r="P207" s="11" t="s">
        <v>1362</v>
      </c>
      <c r="Q207" s="11" t="s">
        <v>415</v>
      </c>
      <c r="R207" s="11" t="s">
        <v>54</v>
      </c>
      <c r="S207" s="12">
        <v>10.92</v>
      </c>
      <c r="T207" s="12">
        <v>218.4</v>
      </c>
      <c r="U207" s="11" t="s">
        <v>101</v>
      </c>
      <c r="V207" s="11" t="s">
        <v>1360</v>
      </c>
      <c r="W207" s="11" t="s">
        <v>1361</v>
      </c>
      <c r="X207" s="11" t="s">
        <v>414</v>
      </c>
      <c r="Y207" s="11" t="s">
        <v>416</v>
      </c>
      <c r="Z207" s="11" t="s">
        <v>71</v>
      </c>
      <c r="AA207" s="11"/>
      <c r="AB207" s="13">
        <v>20</v>
      </c>
      <c r="AC207" s="11" t="s">
        <v>1515</v>
      </c>
      <c r="AD207" s="11"/>
      <c r="AE207" s="11"/>
      <c r="AF207" s="14">
        <v>46203</v>
      </c>
      <c r="AG207" s="11" t="s">
        <v>1391</v>
      </c>
      <c r="AH207" s="11" t="s">
        <v>1363</v>
      </c>
    </row>
    <row r="208" spans="1:34" ht="17.25" customHeight="1" x14ac:dyDescent="0.25">
      <c r="A208" s="11" t="s">
        <v>61</v>
      </c>
      <c r="B208" s="11" t="s">
        <v>62</v>
      </c>
      <c r="C208" s="11"/>
      <c r="D208" s="11" t="s">
        <v>1392</v>
      </c>
      <c r="E208" s="11" t="s">
        <v>109</v>
      </c>
      <c r="F208" s="11"/>
      <c r="G208" s="11" t="s">
        <v>111</v>
      </c>
      <c r="H208" s="11" t="s">
        <v>112</v>
      </c>
      <c r="I208" s="11" t="s">
        <v>113</v>
      </c>
      <c r="J208" s="11"/>
      <c r="K208" s="11" t="s">
        <v>114</v>
      </c>
      <c r="L208" s="11" t="s">
        <v>115</v>
      </c>
      <c r="M208" s="11" t="s">
        <v>1393</v>
      </c>
      <c r="N208" s="11" t="s">
        <v>1394</v>
      </c>
      <c r="O208" s="11" t="s">
        <v>118</v>
      </c>
      <c r="P208" s="11" t="s">
        <v>1362</v>
      </c>
      <c r="Q208" s="11" t="s">
        <v>141</v>
      </c>
      <c r="R208" s="11" t="s">
        <v>54</v>
      </c>
      <c r="S208" s="12">
        <v>10.92</v>
      </c>
      <c r="T208" s="12">
        <v>2784.6</v>
      </c>
      <c r="U208" s="11" t="s">
        <v>101</v>
      </c>
      <c r="V208" s="11" t="s">
        <v>1360</v>
      </c>
      <c r="W208" s="11" t="s">
        <v>1361</v>
      </c>
      <c r="X208" s="11" t="s">
        <v>140</v>
      </c>
      <c r="Y208" s="11" t="s">
        <v>142</v>
      </c>
      <c r="Z208" s="11" t="s">
        <v>71</v>
      </c>
      <c r="AA208" s="11"/>
      <c r="AB208" s="13">
        <v>255</v>
      </c>
      <c r="AC208" s="11" t="s">
        <v>1515</v>
      </c>
      <c r="AD208" s="11"/>
      <c r="AE208" s="11"/>
      <c r="AF208" s="14">
        <v>46203</v>
      </c>
      <c r="AG208" s="11" t="s">
        <v>1391</v>
      </c>
      <c r="AH208" s="11" t="s">
        <v>1363</v>
      </c>
    </row>
    <row r="209" spans="1:34" ht="17.25" customHeight="1" x14ac:dyDescent="0.25">
      <c r="A209" s="11" t="s">
        <v>61</v>
      </c>
      <c r="B209" s="11" t="s">
        <v>62</v>
      </c>
      <c r="C209" s="11"/>
      <c r="D209" s="11" t="s">
        <v>1392</v>
      </c>
      <c r="E209" s="11" t="s">
        <v>109</v>
      </c>
      <c r="F209" s="11"/>
      <c r="G209" s="11" t="s">
        <v>111</v>
      </c>
      <c r="H209" s="11" t="s">
        <v>112</v>
      </c>
      <c r="I209" s="11" t="s">
        <v>113</v>
      </c>
      <c r="J209" s="11"/>
      <c r="K209" s="11" t="s">
        <v>114</v>
      </c>
      <c r="L209" s="11" t="s">
        <v>115</v>
      </c>
      <c r="M209" s="11" t="s">
        <v>1393</v>
      </c>
      <c r="N209" s="11" t="s">
        <v>1394</v>
      </c>
      <c r="O209" s="11" t="s">
        <v>118</v>
      </c>
      <c r="P209" s="11" t="s">
        <v>1362</v>
      </c>
      <c r="Q209" s="11" t="s">
        <v>1038</v>
      </c>
      <c r="R209" s="11" t="s">
        <v>54</v>
      </c>
      <c r="S209" s="12">
        <v>10.92</v>
      </c>
      <c r="T209" s="12">
        <v>709.8</v>
      </c>
      <c r="U209" s="11" t="s">
        <v>101</v>
      </c>
      <c r="V209" s="11" t="s">
        <v>1360</v>
      </c>
      <c r="W209" s="11" t="s">
        <v>1361</v>
      </c>
      <c r="X209" s="11" t="s">
        <v>1396</v>
      </c>
      <c r="Y209" s="11" t="s">
        <v>1397</v>
      </c>
      <c r="Z209" s="11" t="s">
        <v>71</v>
      </c>
      <c r="AA209" s="11"/>
      <c r="AB209" s="13">
        <v>65</v>
      </c>
      <c r="AC209" s="11" t="s">
        <v>1515</v>
      </c>
      <c r="AD209" s="11"/>
      <c r="AE209" s="11"/>
      <c r="AF209" s="14">
        <v>46203</v>
      </c>
      <c r="AG209" s="11" t="s">
        <v>1391</v>
      </c>
      <c r="AH209" s="11" t="s">
        <v>1363</v>
      </c>
    </row>
    <row r="210" spans="1:34" ht="17.25" customHeight="1" x14ac:dyDescent="0.25">
      <c r="A210" s="11" t="s">
        <v>61</v>
      </c>
      <c r="B210" s="11" t="s">
        <v>62</v>
      </c>
      <c r="C210" s="11"/>
      <c r="D210" s="11" t="s">
        <v>1392</v>
      </c>
      <c r="E210" s="11" t="s">
        <v>109</v>
      </c>
      <c r="F210" s="11"/>
      <c r="G210" s="11" t="s">
        <v>111</v>
      </c>
      <c r="H210" s="11" t="s">
        <v>112</v>
      </c>
      <c r="I210" s="11" t="s">
        <v>113</v>
      </c>
      <c r="J210" s="11"/>
      <c r="K210" s="11" t="s">
        <v>114</v>
      </c>
      <c r="L210" s="11" t="s">
        <v>115</v>
      </c>
      <c r="M210" s="11" t="s">
        <v>1393</v>
      </c>
      <c r="N210" s="11" t="s">
        <v>1394</v>
      </c>
      <c r="O210" s="11" t="s">
        <v>118</v>
      </c>
      <c r="P210" s="11" t="s">
        <v>1362</v>
      </c>
      <c r="Q210" s="11" t="s">
        <v>146</v>
      </c>
      <c r="R210" s="11" t="s">
        <v>54</v>
      </c>
      <c r="S210" s="12">
        <v>18.2</v>
      </c>
      <c r="T210" s="12">
        <v>1310.3999999999999</v>
      </c>
      <c r="U210" s="11" t="s">
        <v>101</v>
      </c>
      <c r="V210" s="11" t="s">
        <v>1360</v>
      </c>
      <c r="W210" s="11" t="s">
        <v>1361</v>
      </c>
      <c r="X210" s="11" t="s">
        <v>145</v>
      </c>
      <c r="Y210" s="11" t="s">
        <v>147</v>
      </c>
      <c r="Z210" s="11" t="s">
        <v>71</v>
      </c>
      <c r="AA210" s="11"/>
      <c r="AB210" s="13">
        <v>72</v>
      </c>
      <c r="AC210" s="11" t="s">
        <v>1515</v>
      </c>
      <c r="AD210" s="11"/>
      <c r="AE210" s="11"/>
      <c r="AF210" s="14">
        <v>46203</v>
      </c>
      <c r="AG210" s="11" t="s">
        <v>1391</v>
      </c>
      <c r="AH210" s="11" t="s">
        <v>1363</v>
      </c>
    </row>
    <row r="211" spans="1:34" ht="17.25" customHeight="1" x14ac:dyDescent="0.25">
      <c r="A211" s="11" t="s">
        <v>61</v>
      </c>
      <c r="B211" s="11" t="s">
        <v>62</v>
      </c>
      <c r="C211" s="11"/>
      <c r="D211" s="11" t="s">
        <v>1392</v>
      </c>
      <c r="E211" s="11" t="s">
        <v>109</v>
      </c>
      <c r="F211" s="11"/>
      <c r="G211" s="11" t="s">
        <v>111</v>
      </c>
      <c r="H211" s="11" t="s">
        <v>112</v>
      </c>
      <c r="I211" s="11" t="s">
        <v>113</v>
      </c>
      <c r="J211" s="11"/>
      <c r="K211" s="11" t="s">
        <v>114</v>
      </c>
      <c r="L211" s="11" t="s">
        <v>115</v>
      </c>
      <c r="M211" s="11" t="s">
        <v>1393</v>
      </c>
      <c r="N211" s="11" t="s">
        <v>1394</v>
      </c>
      <c r="O211" s="11" t="s">
        <v>118</v>
      </c>
      <c r="P211" s="11" t="s">
        <v>1362</v>
      </c>
      <c r="Q211" s="11" t="s">
        <v>152</v>
      </c>
      <c r="R211" s="11" t="s">
        <v>54</v>
      </c>
      <c r="S211" s="12">
        <v>18.2</v>
      </c>
      <c r="T211" s="12">
        <v>1310.3999999999999</v>
      </c>
      <c r="U211" s="11" t="s">
        <v>101</v>
      </c>
      <c r="V211" s="11" t="s">
        <v>1360</v>
      </c>
      <c r="W211" s="11" t="s">
        <v>1361</v>
      </c>
      <c r="X211" s="11" t="s">
        <v>151</v>
      </c>
      <c r="Y211" s="11" t="s">
        <v>153</v>
      </c>
      <c r="Z211" s="11" t="s">
        <v>71</v>
      </c>
      <c r="AA211" s="11"/>
      <c r="AB211" s="13">
        <v>72</v>
      </c>
      <c r="AC211" s="11" t="s">
        <v>1515</v>
      </c>
      <c r="AD211" s="11"/>
      <c r="AE211" s="11"/>
      <c r="AF211" s="14">
        <v>46203</v>
      </c>
      <c r="AG211" s="11" t="s">
        <v>1391</v>
      </c>
      <c r="AH211" s="11" t="s">
        <v>1363</v>
      </c>
    </row>
    <row r="212" spans="1:34" ht="17.25" customHeight="1" x14ac:dyDescent="0.25">
      <c r="A212" s="11" t="s">
        <v>61</v>
      </c>
      <c r="B212" s="11" t="s">
        <v>62</v>
      </c>
      <c r="C212" s="11"/>
      <c r="D212" s="11" t="s">
        <v>1392</v>
      </c>
      <c r="E212" s="11" t="s">
        <v>109</v>
      </c>
      <c r="F212" s="11"/>
      <c r="G212" s="11" t="s">
        <v>111</v>
      </c>
      <c r="H212" s="11" t="s">
        <v>112</v>
      </c>
      <c r="I212" s="11" t="s">
        <v>113</v>
      </c>
      <c r="J212" s="11"/>
      <c r="K212" s="11" t="s">
        <v>114</v>
      </c>
      <c r="L212" s="11" t="s">
        <v>115</v>
      </c>
      <c r="M212" s="11" t="s">
        <v>1393</v>
      </c>
      <c r="N212" s="11" t="s">
        <v>1394</v>
      </c>
      <c r="O212" s="11" t="s">
        <v>118</v>
      </c>
      <c r="P212" s="11" t="s">
        <v>1362</v>
      </c>
      <c r="Q212" s="11" t="s">
        <v>426</v>
      </c>
      <c r="R212" s="11" t="s">
        <v>428</v>
      </c>
      <c r="S212" s="12">
        <v>25</v>
      </c>
      <c r="T212" s="12">
        <v>750</v>
      </c>
      <c r="U212" s="11" t="s">
        <v>101</v>
      </c>
      <c r="V212" s="11" t="s">
        <v>1360</v>
      </c>
      <c r="W212" s="11" t="s">
        <v>1361</v>
      </c>
      <c r="X212" s="11" t="s">
        <v>425</v>
      </c>
      <c r="Y212" s="11" t="s">
        <v>427</v>
      </c>
      <c r="Z212" s="11" t="s">
        <v>71</v>
      </c>
      <c r="AA212" s="11"/>
      <c r="AB212" s="13">
        <v>30</v>
      </c>
      <c r="AC212" s="11" t="s">
        <v>1515</v>
      </c>
      <c r="AD212" s="11"/>
      <c r="AE212" s="11"/>
      <c r="AF212" s="14">
        <v>46203</v>
      </c>
      <c r="AG212" s="11" t="s">
        <v>1391</v>
      </c>
      <c r="AH212" s="11" t="s">
        <v>1363</v>
      </c>
    </row>
    <row r="213" spans="1:34" ht="17.25" customHeight="1" x14ac:dyDescent="0.25">
      <c r="A213" s="11" t="s">
        <v>61</v>
      </c>
      <c r="B213" s="11" t="s">
        <v>62</v>
      </c>
      <c r="C213" s="11"/>
      <c r="D213" s="11" t="s">
        <v>1392</v>
      </c>
      <c r="E213" s="11" t="s">
        <v>109</v>
      </c>
      <c r="F213" s="11"/>
      <c r="G213" s="11" t="s">
        <v>111</v>
      </c>
      <c r="H213" s="11" t="s">
        <v>112</v>
      </c>
      <c r="I213" s="11" t="s">
        <v>113</v>
      </c>
      <c r="J213" s="11"/>
      <c r="K213" s="11" t="s">
        <v>114</v>
      </c>
      <c r="L213" s="11" t="s">
        <v>115</v>
      </c>
      <c r="M213" s="11" t="s">
        <v>1393</v>
      </c>
      <c r="N213" s="11" t="s">
        <v>1394</v>
      </c>
      <c r="O213" s="11" t="s">
        <v>118</v>
      </c>
      <c r="P213" s="11" t="s">
        <v>1362</v>
      </c>
      <c r="Q213" s="11" t="s">
        <v>182</v>
      </c>
      <c r="R213" s="11" t="s">
        <v>177</v>
      </c>
      <c r="S213" s="12">
        <v>18</v>
      </c>
      <c r="T213" s="12">
        <v>90</v>
      </c>
      <c r="U213" s="11" t="s">
        <v>101</v>
      </c>
      <c r="V213" s="11" t="s">
        <v>1360</v>
      </c>
      <c r="W213" s="11" t="s">
        <v>1361</v>
      </c>
      <c r="X213" s="11" t="s">
        <v>181</v>
      </c>
      <c r="Y213" s="11" t="s">
        <v>183</v>
      </c>
      <c r="Z213" s="11" t="s">
        <v>71</v>
      </c>
      <c r="AA213" s="11"/>
      <c r="AB213" s="13">
        <v>5</v>
      </c>
      <c r="AC213" s="11" t="s">
        <v>1515</v>
      </c>
      <c r="AD213" s="11"/>
      <c r="AE213" s="11"/>
      <c r="AF213" s="14">
        <v>46203</v>
      </c>
      <c r="AG213" s="11" t="s">
        <v>1391</v>
      </c>
      <c r="AH213" s="11" t="s">
        <v>1363</v>
      </c>
    </row>
    <row r="214" spans="1:34" ht="17.25" customHeight="1" x14ac:dyDescent="0.25">
      <c r="A214" s="11" t="s">
        <v>61</v>
      </c>
      <c r="B214" s="11" t="s">
        <v>62</v>
      </c>
      <c r="C214" s="11"/>
      <c r="D214" s="11" t="s">
        <v>1435</v>
      </c>
      <c r="E214" s="11" t="s">
        <v>109</v>
      </c>
      <c r="F214" s="11"/>
      <c r="G214" s="11" t="s">
        <v>111</v>
      </c>
      <c r="H214" s="11" t="s">
        <v>112</v>
      </c>
      <c r="I214" s="11" t="s">
        <v>113</v>
      </c>
      <c r="J214" s="11" t="s">
        <v>1436</v>
      </c>
      <c r="K214" s="11" t="s">
        <v>114</v>
      </c>
      <c r="L214" s="11" t="s">
        <v>115</v>
      </c>
      <c r="M214" s="11" t="s">
        <v>1437</v>
      </c>
      <c r="N214" s="11" t="s">
        <v>1438</v>
      </c>
      <c r="O214" s="11" t="s">
        <v>118</v>
      </c>
      <c r="P214" s="11" t="s">
        <v>1362</v>
      </c>
      <c r="Q214" s="11" t="s">
        <v>296</v>
      </c>
      <c r="R214" s="11" t="s">
        <v>54</v>
      </c>
      <c r="S214" s="12">
        <v>10.92</v>
      </c>
      <c r="T214" s="12">
        <v>1638</v>
      </c>
      <c r="U214" s="11" t="s">
        <v>101</v>
      </c>
      <c r="V214" s="11" t="s">
        <v>1360</v>
      </c>
      <c r="W214" s="11" t="s">
        <v>1361</v>
      </c>
      <c r="X214" s="11" t="s">
        <v>295</v>
      </c>
      <c r="Y214" s="11" t="s">
        <v>297</v>
      </c>
      <c r="Z214" s="11" t="s">
        <v>71</v>
      </c>
      <c r="AA214" s="11"/>
      <c r="AB214" s="13">
        <v>150</v>
      </c>
      <c r="AC214" s="11" t="s">
        <v>1515</v>
      </c>
      <c r="AD214" s="11"/>
      <c r="AE214" s="11"/>
      <c r="AF214" s="14">
        <v>46203</v>
      </c>
      <c r="AG214" s="11" t="s">
        <v>1432</v>
      </c>
      <c r="AH214" s="11" t="s">
        <v>1363</v>
      </c>
    </row>
    <row r="215" spans="1:34" ht="17.25" customHeight="1" x14ac:dyDescent="0.25">
      <c r="A215" s="11" t="s">
        <v>61</v>
      </c>
      <c r="B215" s="11" t="s">
        <v>62</v>
      </c>
      <c r="C215" s="11"/>
      <c r="D215" s="11" t="s">
        <v>1441</v>
      </c>
      <c r="E215" s="11" t="s">
        <v>109</v>
      </c>
      <c r="F215" s="11"/>
      <c r="G215" s="11" t="s">
        <v>111</v>
      </c>
      <c r="H215" s="11" t="s">
        <v>112</v>
      </c>
      <c r="I215" s="11" t="s">
        <v>113</v>
      </c>
      <c r="J215" s="11" t="s">
        <v>98</v>
      </c>
      <c r="K215" s="11" t="s">
        <v>114</v>
      </c>
      <c r="L215" s="11" t="s">
        <v>115</v>
      </c>
      <c r="M215" s="11" t="s">
        <v>1442</v>
      </c>
      <c r="N215" s="11" t="s">
        <v>1443</v>
      </c>
      <c r="O215" s="11" t="s">
        <v>118</v>
      </c>
      <c r="P215" s="11" t="s">
        <v>1362</v>
      </c>
      <c r="Q215" s="11" t="s">
        <v>104</v>
      </c>
      <c r="R215" s="11" t="s">
        <v>54</v>
      </c>
      <c r="S215" s="12">
        <v>10.92</v>
      </c>
      <c r="T215" s="12">
        <v>163.80000000000001</v>
      </c>
      <c r="U215" s="11" t="s">
        <v>101</v>
      </c>
      <c r="V215" s="11" t="s">
        <v>1360</v>
      </c>
      <c r="W215" s="11" t="s">
        <v>1361</v>
      </c>
      <c r="X215" s="11" t="s">
        <v>103</v>
      </c>
      <c r="Y215" s="11" t="s">
        <v>105</v>
      </c>
      <c r="Z215" s="11" t="s">
        <v>71</v>
      </c>
      <c r="AA215" s="11"/>
      <c r="AB215" s="13">
        <v>15</v>
      </c>
      <c r="AC215" s="11" t="s">
        <v>1515</v>
      </c>
      <c r="AD215" s="11"/>
      <c r="AE215" s="11"/>
      <c r="AF215" s="14">
        <v>46203</v>
      </c>
      <c r="AG215" s="11" t="s">
        <v>1439</v>
      </c>
      <c r="AH215" s="11" t="s">
        <v>1363</v>
      </c>
    </row>
    <row r="216" spans="1:34" ht="17.25" customHeight="1" x14ac:dyDescent="0.25">
      <c r="A216" s="11" t="s">
        <v>61</v>
      </c>
      <c r="B216" s="11" t="s">
        <v>62</v>
      </c>
      <c r="C216" s="11"/>
      <c r="D216" s="11" t="s">
        <v>1441</v>
      </c>
      <c r="E216" s="11" t="s">
        <v>109</v>
      </c>
      <c r="F216" s="11"/>
      <c r="G216" s="11" t="s">
        <v>111</v>
      </c>
      <c r="H216" s="11" t="s">
        <v>112</v>
      </c>
      <c r="I216" s="11" t="s">
        <v>113</v>
      </c>
      <c r="J216" s="11" t="s">
        <v>98</v>
      </c>
      <c r="K216" s="11" t="s">
        <v>114</v>
      </c>
      <c r="L216" s="11" t="s">
        <v>115</v>
      </c>
      <c r="M216" s="11" t="s">
        <v>1442</v>
      </c>
      <c r="N216" s="11" t="s">
        <v>1443</v>
      </c>
      <c r="O216" s="11" t="s">
        <v>118</v>
      </c>
      <c r="P216" s="11" t="s">
        <v>1362</v>
      </c>
      <c r="Q216" s="11" t="s">
        <v>296</v>
      </c>
      <c r="R216" s="11" t="s">
        <v>54</v>
      </c>
      <c r="S216" s="12">
        <v>10.92</v>
      </c>
      <c r="T216" s="12">
        <v>218.4</v>
      </c>
      <c r="U216" s="11" t="s">
        <v>101</v>
      </c>
      <c r="V216" s="11" t="s">
        <v>1360</v>
      </c>
      <c r="W216" s="11" t="s">
        <v>1361</v>
      </c>
      <c r="X216" s="11" t="s">
        <v>295</v>
      </c>
      <c r="Y216" s="11" t="s">
        <v>297</v>
      </c>
      <c r="Z216" s="11" t="s">
        <v>71</v>
      </c>
      <c r="AA216" s="11"/>
      <c r="AB216" s="13">
        <v>20</v>
      </c>
      <c r="AC216" s="11" t="s">
        <v>1515</v>
      </c>
      <c r="AD216" s="11"/>
      <c r="AE216" s="11"/>
      <c r="AF216" s="14">
        <v>46203</v>
      </c>
      <c r="AG216" s="11" t="s">
        <v>1439</v>
      </c>
      <c r="AH216" s="11" t="s">
        <v>1363</v>
      </c>
    </row>
    <row r="217" spans="1:34" ht="17.25" customHeight="1" x14ac:dyDescent="0.25">
      <c r="A217" s="11" t="s">
        <v>61</v>
      </c>
      <c r="B217" s="11" t="s">
        <v>62</v>
      </c>
      <c r="C217" s="11"/>
      <c r="D217" s="11" t="s">
        <v>1441</v>
      </c>
      <c r="E217" s="11" t="s">
        <v>109</v>
      </c>
      <c r="F217" s="11"/>
      <c r="G217" s="11" t="s">
        <v>111</v>
      </c>
      <c r="H217" s="11" t="s">
        <v>112</v>
      </c>
      <c r="I217" s="11" t="s">
        <v>113</v>
      </c>
      <c r="J217" s="11" t="s">
        <v>98</v>
      </c>
      <c r="K217" s="11" t="s">
        <v>114</v>
      </c>
      <c r="L217" s="11" t="s">
        <v>115</v>
      </c>
      <c r="M217" s="11" t="s">
        <v>1442</v>
      </c>
      <c r="N217" s="11" t="s">
        <v>1443</v>
      </c>
      <c r="O217" s="11" t="s">
        <v>118</v>
      </c>
      <c r="P217" s="11" t="s">
        <v>1362</v>
      </c>
      <c r="Q217" s="11" t="s">
        <v>141</v>
      </c>
      <c r="R217" s="11" t="s">
        <v>54</v>
      </c>
      <c r="S217" s="12">
        <v>10.92</v>
      </c>
      <c r="T217" s="12">
        <v>218.4</v>
      </c>
      <c r="U217" s="11" t="s">
        <v>101</v>
      </c>
      <c r="V217" s="11" t="s">
        <v>1360</v>
      </c>
      <c r="W217" s="11" t="s">
        <v>1361</v>
      </c>
      <c r="X217" s="11" t="s">
        <v>140</v>
      </c>
      <c r="Y217" s="11" t="s">
        <v>142</v>
      </c>
      <c r="Z217" s="11" t="s">
        <v>71</v>
      </c>
      <c r="AA217" s="11"/>
      <c r="AB217" s="13">
        <v>20</v>
      </c>
      <c r="AC217" s="11" t="s">
        <v>1515</v>
      </c>
      <c r="AD217" s="11"/>
      <c r="AE217" s="11"/>
      <c r="AF217" s="14">
        <v>46203</v>
      </c>
      <c r="AG217" s="11" t="s">
        <v>1439</v>
      </c>
      <c r="AH217" s="11" t="s">
        <v>1363</v>
      </c>
    </row>
    <row r="218" spans="1:34" ht="17.25" customHeight="1" x14ac:dyDescent="0.25">
      <c r="A218" s="11" t="s">
        <v>61</v>
      </c>
      <c r="B218" s="11" t="s">
        <v>62</v>
      </c>
      <c r="C218" s="11"/>
      <c r="D218" s="11" t="s">
        <v>509</v>
      </c>
      <c r="E218" s="11" t="s">
        <v>283</v>
      </c>
      <c r="F218" s="11"/>
      <c r="G218" s="11" t="s">
        <v>285</v>
      </c>
      <c r="H218" s="11" t="s">
        <v>112</v>
      </c>
      <c r="I218" s="11" t="s">
        <v>272</v>
      </c>
      <c r="J218" s="11"/>
      <c r="K218" s="11" t="s">
        <v>114</v>
      </c>
      <c r="L218" s="11" t="s">
        <v>115</v>
      </c>
      <c r="M218" s="11" t="s">
        <v>510</v>
      </c>
      <c r="N218" s="11" t="s">
        <v>511</v>
      </c>
      <c r="O218" s="11" t="s">
        <v>118</v>
      </c>
      <c r="P218" s="11" t="s">
        <v>505</v>
      </c>
      <c r="Q218" s="11" t="s">
        <v>426</v>
      </c>
      <c r="R218" s="11" t="s">
        <v>428</v>
      </c>
      <c r="S218" s="12">
        <v>25</v>
      </c>
      <c r="T218" s="12">
        <v>1800</v>
      </c>
      <c r="U218" s="11" t="s">
        <v>101</v>
      </c>
      <c r="V218" s="11" t="s">
        <v>503</v>
      </c>
      <c r="W218" s="11" t="s">
        <v>504</v>
      </c>
      <c r="X218" s="11" t="s">
        <v>425</v>
      </c>
      <c r="Y218" s="11" t="s">
        <v>427</v>
      </c>
      <c r="Z218" s="11" t="s">
        <v>71</v>
      </c>
      <c r="AA218" s="11"/>
      <c r="AB218" s="13">
        <v>72</v>
      </c>
      <c r="AC218" s="11" t="s">
        <v>1510</v>
      </c>
      <c r="AD218" s="11"/>
      <c r="AE218" s="11"/>
      <c r="AF218" s="14">
        <v>46203</v>
      </c>
      <c r="AG218" s="11" t="s">
        <v>502</v>
      </c>
      <c r="AH218" s="11" t="s">
        <v>508</v>
      </c>
    </row>
    <row r="219" spans="1:34" ht="17.25" customHeight="1" x14ac:dyDescent="0.25">
      <c r="A219" s="11" t="s">
        <v>61</v>
      </c>
      <c r="B219" s="11" t="s">
        <v>522</v>
      </c>
      <c r="C219" s="11"/>
      <c r="D219" s="11" t="s">
        <v>540</v>
      </c>
      <c r="E219" s="11" t="s">
        <v>59</v>
      </c>
      <c r="F219" s="11"/>
      <c r="G219" s="11" t="s">
        <v>63</v>
      </c>
      <c r="H219" s="11" t="s">
        <v>64</v>
      </c>
      <c r="I219" s="11" t="s">
        <v>65</v>
      </c>
      <c r="J219" s="11" t="s">
        <v>541</v>
      </c>
      <c r="K219" s="11" t="s">
        <v>66</v>
      </c>
      <c r="L219" s="11" t="s">
        <v>67</v>
      </c>
      <c r="M219" s="11" t="s">
        <v>542</v>
      </c>
      <c r="N219" s="11" t="s">
        <v>543</v>
      </c>
      <c r="O219" s="11" t="s">
        <v>70</v>
      </c>
      <c r="P219" s="11" t="s">
        <v>532</v>
      </c>
      <c r="Q219" s="11" t="s">
        <v>534</v>
      </c>
      <c r="R219" s="11" t="s">
        <v>54</v>
      </c>
      <c r="S219" s="12">
        <v>4.93</v>
      </c>
      <c r="T219" s="12">
        <v>49.3</v>
      </c>
      <c r="U219" s="11"/>
      <c r="V219" s="11" t="s">
        <v>530</v>
      </c>
      <c r="W219" s="11" t="s">
        <v>531</v>
      </c>
      <c r="X219" s="11" t="s">
        <v>533</v>
      </c>
      <c r="Y219" s="11" t="s">
        <v>535</v>
      </c>
      <c r="Z219" s="11" t="s">
        <v>71</v>
      </c>
      <c r="AA219" s="11" t="s">
        <v>536</v>
      </c>
      <c r="AB219" s="13">
        <v>10</v>
      </c>
      <c r="AC219" s="11" t="s">
        <v>1509</v>
      </c>
      <c r="AD219" s="11"/>
      <c r="AE219" s="11"/>
      <c r="AF219" s="14">
        <v>46203</v>
      </c>
      <c r="AG219" s="11" t="s">
        <v>529</v>
      </c>
      <c r="AH219" s="11" t="s">
        <v>539</v>
      </c>
    </row>
    <row r="220" spans="1:34" ht="17.25" customHeight="1" x14ac:dyDescent="0.25">
      <c r="A220" s="11" t="s">
        <v>61</v>
      </c>
      <c r="B220" s="11" t="s">
        <v>522</v>
      </c>
      <c r="C220" s="11"/>
      <c r="D220" s="11" t="s">
        <v>564</v>
      </c>
      <c r="E220" s="11" t="s">
        <v>59</v>
      </c>
      <c r="F220" s="11"/>
      <c r="G220" s="11" t="s">
        <v>63</v>
      </c>
      <c r="H220" s="11" t="s">
        <v>64</v>
      </c>
      <c r="I220" s="11" t="s">
        <v>65</v>
      </c>
      <c r="J220" s="11" t="s">
        <v>541</v>
      </c>
      <c r="K220" s="11" t="s">
        <v>66</v>
      </c>
      <c r="L220" s="11" t="s">
        <v>67</v>
      </c>
      <c r="M220" s="11" t="s">
        <v>565</v>
      </c>
      <c r="N220" s="11" t="s">
        <v>566</v>
      </c>
      <c r="O220" s="11" t="s">
        <v>70</v>
      </c>
      <c r="P220" s="11" t="s">
        <v>532</v>
      </c>
      <c r="Q220" s="11" t="s">
        <v>534</v>
      </c>
      <c r="R220" s="11" t="s">
        <v>54</v>
      </c>
      <c r="S220" s="12">
        <v>4.93</v>
      </c>
      <c r="T220" s="12">
        <v>14.79</v>
      </c>
      <c r="U220" s="11"/>
      <c r="V220" s="11" t="s">
        <v>530</v>
      </c>
      <c r="W220" s="11" t="s">
        <v>531</v>
      </c>
      <c r="X220" s="11" t="s">
        <v>533</v>
      </c>
      <c r="Y220" s="11" t="s">
        <v>535</v>
      </c>
      <c r="Z220" s="11" t="s">
        <v>567</v>
      </c>
      <c r="AA220" s="11" t="s">
        <v>536</v>
      </c>
      <c r="AB220" s="13">
        <v>3</v>
      </c>
      <c r="AC220" s="11" t="s">
        <v>1509</v>
      </c>
      <c r="AD220" s="11"/>
      <c r="AE220" s="11"/>
      <c r="AF220" s="14">
        <v>46203</v>
      </c>
      <c r="AG220" s="11" t="s">
        <v>562</v>
      </c>
      <c r="AH220" s="11" t="s">
        <v>539</v>
      </c>
    </row>
    <row r="221" spans="1:34" ht="17.25" customHeight="1" x14ac:dyDescent="0.25">
      <c r="A221" s="11" t="s">
        <v>61</v>
      </c>
      <c r="B221" s="11" t="s">
        <v>522</v>
      </c>
      <c r="C221" s="11"/>
      <c r="D221" s="11" t="s">
        <v>540</v>
      </c>
      <c r="E221" s="11" t="s">
        <v>59</v>
      </c>
      <c r="F221" s="11"/>
      <c r="G221" s="11" t="s">
        <v>63</v>
      </c>
      <c r="H221" s="11" t="s">
        <v>64</v>
      </c>
      <c r="I221" s="11" t="s">
        <v>65</v>
      </c>
      <c r="J221" s="11" t="s">
        <v>541</v>
      </c>
      <c r="K221" s="11" t="s">
        <v>66</v>
      </c>
      <c r="L221" s="11" t="s">
        <v>67</v>
      </c>
      <c r="M221" s="11" t="s">
        <v>542</v>
      </c>
      <c r="N221" s="11" t="s">
        <v>543</v>
      </c>
      <c r="O221" s="11" t="s">
        <v>70</v>
      </c>
      <c r="P221" s="11" t="s">
        <v>532</v>
      </c>
      <c r="Q221" s="11" t="s">
        <v>548</v>
      </c>
      <c r="R221" s="11" t="s">
        <v>54</v>
      </c>
      <c r="S221" s="12">
        <v>4.95</v>
      </c>
      <c r="T221" s="12">
        <v>24.75</v>
      </c>
      <c r="U221" s="11"/>
      <c r="V221" s="11" t="s">
        <v>530</v>
      </c>
      <c r="W221" s="11" t="s">
        <v>531</v>
      </c>
      <c r="X221" s="11" t="s">
        <v>547</v>
      </c>
      <c r="Y221" s="11" t="s">
        <v>549</v>
      </c>
      <c r="Z221" s="11" t="s">
        <v>71</v>
      </c>
      <c r="AA221" s="11" t="s">
        <v>536</v>
      </c>
      <c r="AB221" s="13">
        <v>5</v>
      </c>
      <c r="AC221" s="11" t="s">
        <v>1509</v>
      </c>
      <c r="AD221" s="11"/>
      <c r="AE221" s="11"/>
      <c r="AF221" s="14">
        <v>46203</v>
      </c>
      <c r="AG221" s="11" t="s">
        <v>529</v>
      </c>
      <c r="AH221" s="11" t="s">
        <v>539</v>
      </c>
    </row>
    <row r="222" spans="1:34" ht="17.25" customHeight="1" x14ac:dyDescent="0.25">
      <c r="A222" s="11" t="s">
        <v>61</v>
      </c>
      <c r="B222" s="11" t="s">
        <v>522</v>
      </c>
      <c r="C222" s="11"/>
      <c r="D222" s="11" t="s">
        <v>564</v>
      </c>
      <c r="E222" s="11" t="s">
        <v>59</v>
      </c>
      <c r="F222" s="11"/>
      <c r="G222" s="11" t="s">
        <v>63</v>
      </c>
      <c r="H222" s="11" t="s">
        <v>64</v>
      </c>
      <c r="I222" s="11" t="s">
        <v>65</v>
      </c>
      <c r="J222" s="11" t="s">
        <v>541</v>
      </c>
      <c r="K222" s="11" t="s">
        <v>66</v>
      </c>
      <c r="L222" s="11" t="s">
        <v>67</v>
      </c>
      <c r="M222" s="11" t="s">
        <v>565</v>
      </c>
      <c r="N222" s="11" t="s">
        <v>566</v>
      </c>
      <c r="O222" s="11" t="s">
        <v>70</v>
      </c>
      <c r="P222" s="11" t="s">
        <v>532</v>
      </c>
      <c r="Q222" s="11" t="s">
        <v>548</v>
      </c>
      <c r="R222" s="11" t="s">
        <v>54</v>
      </c>
      <c r="S222" s="12">
        <v>4.95</v>
      </c>
      <c r="T222" s="12">
        <v>4.95</v>
      </c>
      <c r="U222" s="11"/>
      <c r="V222" s="11" t="s">
        <v>530</v>
      </c>
      <c r="W222" s="11" t="s">
        <v>531</v>
      </c>
      <c r="X222" s="11" t="s">
        <v>547</v>
      </c>
      <c r="Y222" s="11" t="s">
        <v>549</v>
      </c>
      <c r="Z222" s="11" t="s">
        <v>567</v>
      </c>
      <c r="AA222" s="11" t="s">
        <v>536</v>
      </c>
      <c r="AB222" s="13">
        <v>1</v>
      </c>
      <c r="AC222" s="11" t="s">
        <v>1509</v>
      </c>
      <c r="AD222" s="11"/>
      <c r="AE222" s="11"/>
      <c r="AF222" s="14">
        <v>46203</v>
      </c>
      <c r="AG222" s="11" t="s">
        <v>562</v>
      </c>
      <c r="AH222" s="11" t="s">
        <v>539</v>
      </c>
    </row>
    <row r="223" spans="1:34" ht="17.25" customHeight="1" x14ac:dyDescent="0.25">
      <c r="A223" s="11" t="s">
        <v>61</v>
      </c>
      <c r="B223" s="11" t="s">
        <v>522</v>
      </c>
      <c r="C223" s="11"/>
      <c r="D223" s="11" t="s">
        <v>540</v>
      </c>
      <c r="E223" s="11" t="s">
        <v>59</v>
      </c>
      <c r="F223" s="11"/>
      <c r="G223" s="11" t="s">
        <v>63</v>
      </c>
      <c r="H223" s="11" t="s">
        <v>64</v>
      </c>
      <c r="I223" s="11" t="s">
        <v>65</v>
      </c>
      <c r="J223" s="11" t="s">
        <v>541</v>
      </c>
      <c r="K223" s="11" t="s">
        <v>66</v>
      </c>
      <c r="L223" s="11" t="s">
        <v>67</v>
      </c>
      <c r="M223" s="11" t="s">
        <v>542</v>
      </c>
      <c r="N223" s="11" t="s">
        <v>543</v>
      </c>
      <c r="O223" s="11" t="s">
        <v>70</v>
      </c>
      <c r="P223" s="11" t="s">
        <v>532</v>
      </c>
      <c r="Q223" s="11" t="s">
        <v>553</v>
      </c>
      <c r="R223" s="11" t="s">
        <v>54</v>
      </c>
      <c r="S223" s="12">
        <v>5.0199999999999996</v>
      </c>
      <c r="T223" s="12">
        <v>50.199999999999996</v>
      </c>
      <c r="U223" s="11"/>
      <c r="V223" s="11" t="s">
        <v>530</v>
      </c>
      <c r="W223" s="11" t="s">
        <v>531</v>
      </c>
      <c r="X223" s="11" t="s">
        <v>552</v>
      </c>
      <c r="Y223" s="11" t="s">
        <v>554</v>
      </c>
      <c r="Z223" s="11" t="s">
        <v>71</v>
      </c>
      <c r="AA223" s="11" t="s">
        <v>536</v>
      </c>
      <c r="AB223" s="13">
        <v>10</v>
      </c>
      <c r="AC223" s="11" t="s">
        <v>1509</v>
      </c>
      <c r="AD223" s="11"/>
      <c r="AE223" s="11"/>
      <c r="AF223" s="14">
        <v>46203</v>
      </c>
      <c r="AG223" s="11" t="s">
        <v>529</v>
      </c>
      <c r="AH223" s="11" t="s">
        <v>539</v>
      </c>
    </row>
    <row r="224" spans="1:34" ht="17.25" customHeight="1" x14ac:dyDescent="0.25">
      <c r="A224" s="11" t="s">
        <v>61</v>
      </c>
      <c r="B224" s="11" t="s">
        <v>522</v>
      </c>
      <c r="C224" s="11"/>
      <c r="D224" s="11" t="s">
        <v>564</v>
      </c>
      <c r="E224" s="11" t="s">
        <v>59</v>
      </c>
      <c r="F224" s="11"/>
      <c r="G224" s="11" t="s">
        <v>63</v>
      </c>
      <c r="H224" s="11" t="s">
        <v>64</v>
      </c>
      <c r="I224" s="11" t="s">
        <v>65</v>
      </c>
      <c r="J224" s="11" t="s">
        <v>541</v>
      </c>
      <c r="K224" s="11" t="s">
        <v>66</v>
      </c>
      <c r="L224" s="11" t="s">
        <v>67</v>
      </c>
      <c r="M224" s="11" t="s">
        <v>565</v>
      </c>
      <c r="N224" s="11" t="s">
        <v>566</v>
      </c>
      <c r="O224" s="11" t="s">
        <v>70</v>
      </c>
      <c r="P224" s="11" t="s">
        <v>532</v>
      </c>
      <c r="Q224" s="11" t="s">
        <v>553</v>
      </c>
      <c r="R224" s="11" t="s">
        <v>54</v>
      </c>
      <c r="S224" s="12">
        <v>5.0199999999999996</v>
      </c>
      <c r="T224" s="12">
        <v>15.059999999999999</v>
      </c>
      <c r="U224" s="11"/>
      <c r="V224" s="11" t="s">
        <v>530</v>
      </c>
      <c r="W224" s="11" t="s">
        <v>531</v>
      </c>
      <c r="X224" s="11" t="s">
        <v>552</v>
      </c>
      <c r="Y224" s="11" t="s">
        <v>554</v>
      </c>
      <c r="Z224" s="11" t="s">
        <v>567</v>
      </c>
      <c r="AA224" s="11" t="s">
        <v>536</v>
      </c>
      <c r="AB224" s="13">
        <v>3</v>
      </c>
      <c r="AC224" s="11" t="s">
        <v>1509</v>
      </c>
      <c r="AD224" s="11"/>
      <c r="AE224" s="11"/>
      <c r="AF224" s="14">
        <v>46203</v>
      </c>
      <c r="AG224" s="11" t="s">
        <v>562</v>
      </c>
      <c r="AH224" s="11" t="s">
        <v>539</v>
      </c>
    </row>
    <row r="225" spans="1:34" ht="17.25" customHeight="1" x14ac:dyDescent="0.25">
      <c r="A225" s="11" t="s">
        <v>61</v>
      </c>
      <c r="B225" s="11" t="s">
        <v>522</v>
      </c>
      <c r="C225" s="11"/>
      <c r="D225" s="11" t="s">
        <v>540</v>
      </c>
      <c r="E225" s="11" t="s">
        <v>59</v>
      </c>
      <c r="F225" s="11"/>
      <c r="G225" s="11" t="s">
        <v>63</v>
      </c>
      <c r="H225" s="11" t="s">
        <v>64</v>
      </c>
      <c r="I225" s="11" t="s">
        <v>65</v>
      </c>
      <c r="J225" s="11" t="s">
        <v>541</v>
      </c>
      <c r="K225" s="11" t="s">
        <v>66</v>
      </c>
      <c r="L225" s="11" t="s">
        <v>67</v>
      </c>
      <c r="M225" s="11" t="s">
        <v>542</v>
      </c>
      <c r="N225" s="11" t="s">
        <v>543</v>
      </c>
      <c r="O225" s="11" t="s">
        <v>70</v>
      </c>
      <c r="P225" s="11" t="s">
        <v>532</v>
      </c>
      <c r="Q225" s="11" t="s">
        <v>52</v>
      </c>
      <c r="R225" s="11" t="s">
        <v>54</v>
      </c>
      <c r="S225" s="12">
        <v>12.336</v>
      </c>
      <c r="T225" s="12">
        <v>123.36</v>
      </c>
      <c r="U225" s="11"/>
      <c r="V225" s="11" t="s">
        <v>530</v>
      </c>
      <c r="W225" s="11" t="s">
        <v>531</v>
      </c>
      <c r="X225" s="11" t="s">
        <v>51</v>
      </c>
      <c r="Y225" s="11" t="s">
        <v>53</v>
      </c>
      <c r="Z225" s="11" t="s">
        <v>71</v>
      </c>
      <c r="AA225" s="11" t="s">
        <v>536</v>
      </c>
      <c r="AB225" s="13">
        <v>10</v>
      </c>
      <c r="AC225" s="11" t="s">
        <v>1509</v>
      </c>
      <c r="AD225" s="11"/>
      <c r="AE225" s="11"/>
      <c r="AF225" s="14">
        <v>46203</v>
      </c>
      <c r="AG225" s="11" t="s">
        <v>529</v>
      </c>
      <c r="AH225" s="11" t="s">
        <v>539</v>
      </c>
    </row>
    <row r="226" spans="1:34" ht="17.25" customHeight="1" x14ac:dyDescent="0.25">
      <c r="A226" s="11" t="s">
        <v>61</v>
      </c>
      <c r="B226" s="11" t="s">
        <v>522</v>
      </c>
      <c r="C226" s="11"/>
      <c r="D226" s="11" t="s">
        <v>564</v>
      </c>
      <c r="E226" s="11" t="s">
        <v>59</v>
      </c>
      <c r="F226" s="11"/>
      <c r="G226" s="11" t="s">
        <v>63</v>
      </c>
      <c r="H226" s="11" t="s">
        <v>64</v>
      </c>
      <c r="I226" s="11" t="s">
        <v>65</v>
      </c>
      <c r="J226" s="11" t="s">
        <v>541</v>
      </c>
      <c r="K226" s="11" t="s">
        <v>66</v>
      </c>
      <c r="L226" s="11" t="s">
        <v>67</v>
      </c>
      <c r="M226" s="11" t="s">
        <v>565</v>
      </c>
      <c r="N226" s="11" t="s">
        <v>566</v>
      </c>
      <c r="O226" s="11" t="s">
        <v>70</v>
      </c>
      <c r="P226" s="11" t="s">
        <v>532</v>
      </c>
      <c r="Q226" s="11" t="s">
        <v>52</v>
      </c>
      <c r="R226" s="11" t="s">
        <v>54</v>
      </c>
      <c r="S226" s="12">
        <v>12.336</v>
      </c>
      <c r="T226" s="12">
        <v>24.672000000000001</v>
      </c>
      <c r="U226" s="11"/>
      <c r="V226" s="11" t="s">
        <v>530</v>
      </c>
      <c r="W226" s="11" t="s">
        <v>531</v>
      </c>
      <c r="X226" s="11" t="s">
        <v>51</v>
      </c>
      <c r="Y226" s="11" t="s">
        <v>53</v>
      </c>
      <c r="Z226" s="11" t="s">
        <v>567</v>
      </c>
      <c r="AA226" s="11" t="s">
        <v>536</v>
      </c>
      <c r="AB226" s="13">
        <v>2</v>
      </c>
      <c r="AC226" s="11" t="s">
        <v>1509</v>
      </c>
      <c r="AD226" s="11"/>
      <c r="AE226" s="11"/>
      <c r="AF226" s="14">
        <v>46203</v>
      </c>
      <c r="AG226" s="11" t="s">
        <v>562</v>
      </c>
      <c r="AH226" s="11" t="s">
        <v>539</v>
      </c>
    </row>
    <row r="227" spans="1:34" ht="17.25" customHeight="1" x14ac:dyDescent="0.25">
      <c r="A227" s="11" t="s">
        <v>61</v>
      </c>
      <c r="B227" s="11" t="s">
        <v>522</v>
      </c>
      <c r="C227" s="11"/>
      <c r="D227" s="11" t="s">
        <v>540</v>
      </c>
      <c r="E227" s="11" t="s">
        <v>59</v>
      </c>
      <c r="F227" s="11"/>
      <c r="G227" s="11" t="s">
        <v>63</v>
      </c>
      <c r="H227" s="11" t="s">
        <v>64</v>
      </c>
      <c r="I227" s="11" t="s">
        <v>65</v>
      </c>
      <c r="J227" s="11" t="s">
        <v>541</v>
      </c>
      <c r="K227" s="11" t="s">
        <v>66</v>
      </c>
      <c r="L227" s="11" t="s">
        <v>67</v>
      </c>
      <c r="M227" s="11" t="s">
        <v>542</v>
      </c>
      <c r="N227" s="11" t="s">
        <v>543</v>
      </c>
      <c r="O227" s="11" t="s">
        <v>70</v>
      </c>
      <c r="P227" s="11" t="s">
        <v>532</v>
      </c>
      <c r="Q227" s="11" t="s">
        <v>559</v>
      </c>
      <c r="R227" s="11" t="s">
        <v>54</v>
      </c>
      <c r="S227" s="12">
        <v>12.336</v>
      </c>
      <c r="T227" s="12">
        <v>61.68</v>
      </c>
      <c r="U227" s="11"/>
      <c r="V227" s="11" t="s">
        <v>530</v>
      </c>
      <c r="W227" s="11" t="s">
        <v>531</v>
      </c>
      <c r="X227" s="11" t="s">
        <v>558</v>
      </c>
      <c r="Y227" s="11" t="s">
        <v>560</v>
      </c>
      <c r="Z227" s="11" t="s">
        <v>71</v>
      </c>
      <c r="AA227" s="11" t="s">
        <v>536</v>
      </c>
      <c r="AB227" s="13">
        <v>5</v>
      </c>
      <c r="AC227" s="11" t="s">
        <v>1509</v>
      </c>
      <c r="AD227" s="11"/>
      <c r="AE227" s="11"/>
      <c r="AF227" s="14">
        <v>46203</v>
      </c>
      <c r="AG227" s="11" t="s">
        <v>529</v>
      </c>
      <c r="AH227" s="11" t="s">
        <v>539</v>
      </c>
    </row>
    <row r="228" spans="1:34" ht="17.25" customHeight="1" x14ac:dyDescent="0.25">
      <c r="A228" s="11" t="s">
        <v>61</v>
      </c>
      <c r="B228" s="11" t="s">
        <v>522</v>
      </c>
      <c r="C228" s="11"/>
      <c r="D228" s="11" t="s">
        <v>564</v>
      </c>
      <c r="E228" s="11" t="s">
        <v>59</v>
      </c>
      <c r="F228" s="11"/>
      <c r="G228" s="11" t="s">
        <v>63</v>
      </c>
      <c r="H228" s="11" t="s">
        <v>64</v>
      </c>
      <c r="I228" s="11" t="s">
        <v>65</v>
      </c>
      <c r="J228" s="11" t="s">
        <v>541</v>
      </c>
      <c r="K228" s="11" t="s">
        <v>66</v>
      </c>
      <c r="L228" s="11" t="s">
        <v>67</v>
      </c>
      <c r="M228" s="11" t="s">
        <v>565</v>
      </c>
      <c r="N228" s="11" t="s">
        <v>566</v>
      </c>
      <c r="O228" s="11" t="s">
        <v>70</v>
      </c>
      <c r="P228" s="11" t="s">
        <v>532</v>
      </c>
      <c r="Q228" s="11" t="s">
        <v>559</v>
      </c>
      <c r="R228" s="11" t="s">
        <v>54</v>
      </c>
      <c r="S228" s="12">
        <v>12.336</v>
      </c>
      <c r="T228" s="12">
        <v>12.336</v>
      </c>
      <c r="U228" s="11"/>
      <c r="V228" s="11" t="s">
        <v>530</v>
      </c>
      <c r="W228" s="11" t="s">
        <v>531</v>
      </c>
      <c r="X228" s="11" t="s">
        <v>558</v>
      </c>
      <c r="Y228" s="11" t="s">
        <v>560</v>
      </c>
      <c r="Z228" s="11" t="s">
        <v>567</v>
      </c>
      <c r="AA228" s="11" t="s">
        <v>536</v>
      </c>
      <c r="AB228" s="13">
        <v>1</v>
      </c>
      <c r="AC228" s="11" t="s">
        <v>1509</v>
      </c>
      <c r="AD228" s="11"/>
      <c r="AE228" s="11"/>
      <c r="AF228" s="14">
        <v>46203</v>
      </c>
      <c r="AG228" s="11" t="s">
        <v>562</v>
      </c>
      <c r="AH228" s="11" t="s">
        <v>539</v>
      </c>
    </row>
    <row r="229" spans="1:34" ht="17.25" customHeight="1" x14ac:dyDescent="0.25">
      <c r="A229" s="11" t="s">
        <v>61</v>
      </c>
      <c r="B229" s="11" t="s">
        <v>522</v>
      </c>
      <c r="C229" s="11"/>
      <c r="D229" s="11" t="s">
        <v>1158</v>
      </c>
      <c r="E229" s="11" t="s">
        <v>1014</v>
      </c>
      <c r="F229" s="11"/>
      <c r="G229" s="11" t="s">
        <v>370</v>
      </c>
      <c r="H229" s="11" t="s">
        <v>980</v>
      </c>
      <c r="I229" s="11" t="s">
        <v>980</v>
      </c>
      <c r="J229" s="11" t="s">
        <v>1159</v>
      </c>
      <c r="K229" s="11" t="s">
        <v>323</v>
      </c>
      <c r="L229" s="11" t="s">
        <v>324</v>
      </c>
      <c r="M229" s="11" t="s">
        <v>1160</v>
      </c>
      <c r="N229" s="11" t="s">
        <v>1161</v>
      </c>
      <c r="O229" s="11" t="s">
        <v>118</v>
      </c>
      <c r="P229" s="11" t="s">
        <v>1156</v>
      </c>
      <c r="Q229" s="11" t="s">
        <v>661</v>
      </c>
      <c r="R229" s="11" t="s">
        <v>54</v>
      </c>
      <c r="S229" s="12">
        <v>9.6</v>
      </c>
      <c r="T229" s="12">
        <v>19.2</v>
      </c>
      <c r="U229" s="11" t="s">
        <v>311</v>
      </c>
      <c r="V229" s="11" t="s">
        <v>1154</v>
      </c>
      <c r="W229" s="11" t="s">
        <v>1155</v>
      </c>
      <c r="X229" s="11" t="s">
        <v>660</v>
      </c>
      <c r="Y229" s="11" t="s">
        <v>662</v>
      </c>
      <c r="Z229" s="11" t="s">
        <v>71</v>
      </c>
      <c r="AA229" s="11" t="s">
        <v>1157</v>
      </c>
      <c r="AB229" s="13">
        <v>2</v>
      </c>
      <c r="AC229" s="11" t="s">
        <v>1502</v>
      </c>
      <c r="AD229" s="11"/>
      <c r="AE229" s="11"/>
      <c r="AF229" s="14">
        <v>46203</v>
      </c>
      <c r="AG229" s="11" t="s">
        <v>1152</v>
      </c>
      <c r="AH229" s="11"/>
    </row>
    <row r="230" spans="1:34" ht="17.25" customHeight="1" x14ac:dyDescent="0.25">
      <c r="A230" s="11" t="s">
        <v>61</v>
      </c>
      <c r="B230" s="11" t="s">
        <v>522</v>
      </c>
      <c r="C230" s="11"/>
      <c r="D230" s="11" t="s">
        <v>1158</v>
      </c>
      <c r="E230" s="11" t="s">
        <v>1014</v>
      </c>
      <c r="F230" s="11"/>
      <c r="G230" s="11" t="s">
        <v>370</v>
      </c>
      <c r="H230" s="11" t="s">
        <v>980</v>
      </c>
      <c r="I230" s="11" t="s">
        <v>980</v>
      </c>
      <c r="J230" s="11" t="s">
        <v>1159</v>
      </c>
      <c r="K230" s="11" t="s">
        <v>323</v>
      </c>
      <c r="L230" s="11" t="s">
        <v>324</v>
      </c>
      <c r="M230" s="11" t="s">
        <v>1160</v>
      </c>
      <c r="N230" s="11" t="s">
        <v>1161</v>
      </c>
      <c r="O230" s="11" t="s">
        <v>118</v>
      </c>
      <c r="P230" s="11" t="s">
        <v>1156</v>
      </c>
      <c r="Q230" s="11" t="s">
        <v>1010</v>
      </c>
      <c r="R230" s="11" t="s">
        <v>54</v>
      </c>
      <c r="S230" s="12">
        <v>13.458</v>
      </c>
      <c r="T230" s="12">
        <v>26.916</v>
      </c>
      <c r="U230" s="11" t="s">
        <v>311</v>
      </c>
      <c r="V230" s="11" t="s">
        <v>1154</v>
      </c>
      <c r="W230" s="11" t="s">
        <v>1155</v>
      </c>
      <c r="X230" s="11" t="s">
        <v>1009</v>
      </c>
      <c r="Y230" s="11" t="s">
        <v>1011</v>
      </c>
      <c r="Z230" s="11" t="s">
        <v>567</v>
      </c>
      <c r="AA230" s="11" t="s">
        <v>1157</v>
      </c>
      <c r="AB230" s="13">
        <v>2</v>
      </c>
      <c r="AC230" s="11" t="s">
        <v>1502</v>
      </c>
      <c r="AD230" s="11"/>
      <c r="AE230" s="11"/>
      <c r="AF230" s="14">
        <v>46203</v>
      </c>
      <c r="AG230" s="11" t="s">
        <v>1152</v>
      </c>
      <c r="AH230" s="11"/>
    </row>
    <row r="231" spans="1:34" ht="17.25" customHeight="1" x14ac:dyDescent="0.25">
      <c r="A231" s="11" t="s">
        <v>61</v>
      </c>
      <c r="B231" s="11" t="s">
        <v>522</v>
      </c>
      <c r="C231" s="11"/>
      <c r="D231" s="11" t="s">
        <v>1158</v>
      </c>
      <c r="E231" s="11" t="s">
        <v>1014</v>
      </c>
      <c r="F231" s="11"/>
      <c r="G231" s="11" t="s">
        <v>370</v>
      </c>
      <c r="H231" s="11" t="s">
        <v>980</v>
      </c>
      <c r="I231" s="11" t="s">
        <v>980</v>
      </c>
      <c r="J231" s="11" t="s">
        <v>1159</v>
      </c>
      <c r="K231" s="11" t="s">
        <v>323</v>
      </c>
      <c r="L231" s="11" t="s">
        <v>324</v>
      </c>
      <c r="M231" s="11" t="s">
        <v>1160</v>
      </c>
      <c r="N231" s="11" t="s">
        <v>1161</v>
      </c>
      <c r="O231" s="11" t="s">
        <v>118</v>
      </c>
      <c r="P231" s="11" t="s">
        <v>1156</v>
      </c>
      <c r="Q231" s="11" t="s">
        <v>1010</v>
      </c>
      <c r="R231" s="11" t="s">
        <v>54</v>
      </c>
      <c r="S231" s="12">
        <v>13.458</v>
      </c>
      <c r="T231" s="12">
        <v>53.832000000000001</v>
      </c>
      <c r="U231" s="11" t="s">
        <v>311</v>
      </c>
      <c r="V231" s="11" t="s">
        <v>1154</v>
      </c>
      <c r="W231" s="11" t="s">
        <v>1155</v>
      </c>
      <c r="X231" s="11" t="s">
        <v>1009</v>
      </c>
      <c r="Y231" s="11" t="s">
        <v>1011</v>
      </c>
      <c r="Z231" s="11" t="s">
        <v>71</v>
      </c>
      <c r="AA231" s="11" t="s">
        <v>1157</v>
      </c>
      <c r="AB231" s="13">
        <v>4</v>
      </c>
      <c r="AC231" s="11" t="s">
        <v>1502</v>
      </c>
      <c r="AD231" s="11"/>
      <c r="AE231" s="11"/>
      <c r="AF231" s="14">
        <v>46203</v>
      </c>
      <c r="AG231" s="11" t="s">
        <v>1152</v>
      </c>
      <c r="AH231" s="11"/>
    </row>
    <row r="232" spans="1:34" ht="17.25" customHeight="1" x14ac:dyDescent="0.25">
      <c r="A232" s="11" t="s">
        <v>61</v>
      </c>
      <c r="B232" s="11" t="s">
        <v>522</v>
      </c>
      <c r="C232" s="11"/>
      <c r="D232" s="11" t="s">
        <v>1158</v>
      </c>
      <c r="E232" s="11" t="s">
        <v>1014</v>
      </c>
      <c r="F232" s="11"/>
      <c r="G232" s="11" t="s">
        <v>370</v>
      </c>
      <c r="H232" s="11" t="s">
        <v>980</v>
      </c>
      <c r="I232" s="11" t="s">
        <v>980</v>
      </c>
      <c r="J232" s="11" t="s">
        <v>1159</v>
      </c>
      <c r="K232" s="11" t="s">
        <v>323</v>
      </c>
      <c r="L232" s="11" t="s">
        <v>324</v>
      </c>
      <c r="M232" s="11" t="s">
        <v>1160</v>
      </c>
      <c r="N232" s="11" t="s">
        <v>1161</v>
      </c>
      <c r="O232" s="11" t="s">
        <v>118</v>
      </c>
      <c r="P232" s="11" t="s">
        <v>1156</v>
      </c>
      <c r="Q232" s="11" t="s">
        <v>1168</v>
      </c>
      <c r="R232" s="11" t="s">
        <v>54</v>
      </c>
      <c r="S232" s="12">
        <v>5.52</v>
      </c>
      <c r="T232" s="12">
        <v>16.559999999999999</v>
      </c>
      <c r="U232" s="11" t="s">
        <v>311</v>
      </c>
      <c r="V232" s="11" t="s">
        <v>1154</v>
      </c>
      <c r="W232" s="11" t="s">
        <v>1155</v>
      </c>
      <c r="X232" s="11" t="s">
        <v>1167</v>
      </c>
      <c r="Y232" s="11" t="s">
        <v>1169</v>
      </c>
      <c r="Z232" s="11" t="s">
        <v>567</v>
      </c>
      <c r="AA232" s="11" t="s">
        <v>1157</v>
      </c>
      <c r="AB232" s="13">
        <v>3</v>
      </c>
      <c r="AC232" s="11" t="s">
        <v>1502</v>
      </c>
      <c r="AD232" s="11"/>
      <c r="AE232" s="11"/>
      <c r="AF232" s="14">
        <v>46203</v>
      </c>
      <c r="AG232" s="11" t="s">
        <v>1152</v>
      </c>
      <c r="AH232" s="11"/>
    </row>
    <row r="233" spans="1:34" ht="17.25" customHeight="1" x14ac:dyDescent="0.25">
      <c r="A233" s="11" t="s">
        <v>61</v>
      </c>
      <c r="B233" s="11" t="s">
        <v>522</v>
      </c>
      <c r="C233" s="11"/>
      <c r="D233" s="11" t="s">
        <v>1158</v>
      </c>
      <c r="E233" s="11" t="s">
        <v>1014</v>
      </c>
      <c r="F233" s="11"/>
      <c r="G233" s="11" t="s">
        <v>370</v>
      </c>
      <c r="H233" s="11" t="s">
        <v>980</v>
      </c>
      <c r="I233" s="11" t="s">
        <v>980</v>
      </c>
      <c r="J233" s="11" t="s">
        <v>1159</v>
      </c>
      <c r="K233" s="11" t="s">
        <v>323</v>
      </c>
      <c r="L233" s="11" t="s">
        <v>324</v>
      </c>
      <c r="M233" s="11" t="s">
        <v>1160</v>
      </c>
      <c r="N233" s="11" t="s">
        <v>1161</v>
      </c>
      <c r="O233" s="11" t="s">
        <v>118</v>
      </c>
      <c r="P233" s="11" t="s">
        <v>1156</v>
      </c>
      <c r="Q233" s="11" t="s">
        <v>1168</v>
      </c>
      <c r="R233" s="11" t="s">
        <v>54</v>
      </c>
      <c r="S233" s="12">
        <v>5.52</v>
      </c>
      <c r="T233" s="12">
        <v>33.119999999999997</v>
      </c>
      <c r="U233" s="11" t="s">
        <v>311</v>
      </c>
      <c r="V233" s="11" t="s">
        <v>1154</v>
      </c>
      <c r="W233" s="11" t="s">
        <v>1155</v>
      </c>
      <c r="X233" s="11" t="s">
        <v>1167</v>
      </c>
      <c r="Y233" s="11" t="s">
        <v>1169</v>
      </c>
      <c r="Z233" s="11" t="s">
        <v>71</v>
      </c>
      <c r="AA233" s="11" t="s">
        <v>1157</v>
      </c>
      <c r="AB233" s="13">
        <v>6</v>
      </c>
      <c r="AC233" s="11" t="s">
        <v>1502</v>
      </c>
      <c r="AD233" s="11"/>
      <c r="AE233" s="11"/>
      <c r="AF233" s="14">
        <v>46203</v>
      </c>
      <c r="AG233" s="11" t="s">
        <v>1152</v>
      </c>
      <c r="AH233" s="11"/>
    </row>
    <row r="234" spans="1:34" ht="17.25" customHeight="1" x14ac:dyDescent="0.25">
      <c r="A234" s="11" t="s">
        <v>61</v>
      </c>
      <c r="B234" s="11" t="s">
        <v>522</v>
      </c>
      <c r="C234" s="11"/>
      <c r="D234" s="11" t="s">
        <v>1158</v>
      </c>
      <c r="E234" s="11" t="s">
        <v>1014</v>
      </c>
      <c r="F234" s="11"/>
      <c r="G234" s="11" t="s">
        <v>370</v>
      </c>
      <c r="H234" s="11" t="s">
        <v>980</v>
      </c>
      <c r="I234" s="11" t="s">
        <v>980</v>
      </c>
      <c r="J234" s="11" t="s">
        <v>1159</v>
      </c>
      <c r="K234" s="11" t="s">
        <v>323</v>
      </c>
      <c r="L234" s="11" t="s">
        <v>324</v>
      </c>
      <c r="M234" s="11" t="s">
        <v>1160</v>
      </c>
      <c r="N234" s="11" t="s">
        <v>1161</v>
      </c>
      <c r="O234" s="11" t="s">
        <v>118</v>
      </c>
      <c r="P234" s="11" t="s">
        <v>1156</v>
      </c>
      <c r="Q234" s="11" t="s">
        <v>1173</v>
      </c>
      <c r="R234" s="11" t="s">
        <v>54</v>
      </c>
      <c r="S234" s="12">
        <v>9.7792999999999992</v>
      </c>
      <c r="T234" s="12">
        <v>29.337899999999998</v>
      </c>
      <c r="U234" s="11" t="s">
        <v>311</v>
      </c>
      <c r="V234" s="11" t="s">
        <v>1154</v>
      </c>
      <c r="W234" s="11" t="s">
        <v>1155</v>
      </c>
      <c r="X234" s="11" t="s">
        <v>1172</v>
      </c>
      <c r="Y234" s="11" t="s">
        <v>1174</v>
      </c>
      <c r="Z234" s="11" t="s">
        <v>71</v>
      </c>
      <c r="AA234" s="11" t="s">
        <v>1157</v>
      </c>
      <c r="AB234" s="13">
        <v>3</v>
      </c>
      <c r="AC234" s="11" t="s">
        <v>1502</v>
      </c>
      <c r="AD234" s="11"/>
      <c r="AE234" s="11"/>
      <c r="AF234" s="14">
        <v>46203</v>
      </c>
      <c r="AG234" s="11" t="s">
        <v>1152</v>
      </c>
      <c r="AH234" s="11"/>
    </row>
    <row r="235" spans="1:34" ht="17.25" customHeight="1" x14ac:dyDescent="0.25">
      <c r="A235" s="11" t="s">
        <v>61</v>
      </c>
      <c r="B235" s="11" t="s">
        <v>62</v>
      </c>
      <c r="C235" s="11"/>
      <c r="D235" s="11" t="s">
        <v>1392</v>
      </c>
      <c r="E235" s="11" t="s">
        <v>189</v>
      </c>
      <c r="F235" s="11"/>
      <c r="G235" s="11" t="s">
        <v>167</v>
      </c>
      <c r="H235" s="11" t="s">
        <v>112</v>
      </c>
      <c r="I235" s="11" t="s">
        <v>113</v>
      </c>
      <c r="J235" s="11"/>
      <c r="K235" s="11" t="s">
        <v>190</v>
      </c>
      <c r="L235" s="11" t="s">
        <v>191</v>
      </c>
      <c r="M235" s="11" t="s">
        <v>1393</v>
      </c>
      <c r="N235" s="11" t="s">
        <v>1394</v>
      </c>
      <c r="O235" s="11" t="s">
        <v>118</v>
      </c>
      <c r="P235" s="11" t="s">
        <v>1362</v>
      </c>
      <c r="Q235" s="11" t="s">
        <v>1399</v>
      </c>
      <c r="R235" s="11" t="s">
        <v>54</v>
      </c>
      <c r="S235" s="12">
        <v>11.2</v>
      </c>
      <c r="T235" s="12">
        <v>168</v>
      </c>
      <c r="U235" s="11" t="s">
        <v>101</v>
      </c>
      <c r="V235" s="11" t="s">
        <v>1360</v>
      </c>
      <c r="W235" s="11" t="s">
        <v>1361</v>
      </c>
      <c r="X235" s="11" t="s">
        <v>1398</v>
      </c>
      <c r="Y235" s="11" t="s">
        <v>1400</v>
      </c>
      <c r="Z235" s="11" t="s">
        <v>71</v>
      </c>
      <c r="AA235" s="11"/>
      <c r="AB235" s="13">
        <v>15</v>
      </c>
      <c r="AC235" s="11" t="s">
        <v>1515</v>
      </c>
      <c r="AD235" s="11"/>
      <c r="AE235" s="11"/>
      <c r="AF235" s="14">
        <v>46203</v>
      </c>
      <c r="AG235" s="11" t="s">
        <v>1391</v>
      </c>
      <c r="AH235" s="11" t="s">
        <v>1363</v>
      </c>
    </row>
    <row r="236" spans="1:34" ht="17.25" customHeight="1" x14ac:dyDescent="0.25">
      <c r="A236" s="11" t="s">
        <v>61</v>
      </c>
      <c r="B236" s="11" t="s">
        <v>62</v>
      </c>
      <c r="C236" s="11"/>
      <c r="D236" s="11" t="s">
        <v>1392</v>
      </c>
      <c r="E236" s="11" t="s">
        <v>189</v>
      </c>
      <c r="F236" s="11"/>
      <c r="G236" s="11" t="s">
        <v>167</v>
      </c>
      <c r="H236" s="11" t="s">
        <v>112</v>
      </c>
      <c r="I236" s="11" t="s">
        <v>113</v>
      </c>
      <c r="J236" s="11"/>
      <c r="K236" s="11" t="s">
        <v>190</v>
      </c>
      <c r="L236" s="11" t="s">
        <v>191</v>
      </c>
      <c r="M236" s="11" t="s">
        <v>1393</v>
      </c>
      <c r="N236" s="11" t="s">
        <v>1394</v>
      </c>
      <c r="O236" s="11" t="s">
        <v>118</v>
      </c>
      <c r="P236" s="11" t="s">
        <v>1362</v>
      </c>
      <c r="Q236" s="11" t="s">
        <v>185</v>
      </c>
      <c r="R236" s="11" t="s">
        <v>54</v>
      </c>
      <c r="S236" s="12">
        <v>9</v>
      </c>
      <c r="T236" s="12">
        <v>135</v>
      </c>
      <c r="U236" s="11" t="s">
        <v>101</v>
      </c>
      <c r="V236" s="11" t="s">
        <v>1360</v>
      </c>
      <c r="W236" s="11" t="s">
        <v>1361</v>
      </c>
      <c r="X236" s="11" t="s">
        <v>184</v>
      </c>
      <c r="Y236" s="11" t="s">
        <v>186</v>
      </c>
      <c r="Z236" s="11" t="s">
        <v>71</v>
      </c>
      <c r="AA236" s="11"/>
      <c r="AB236" s="13">
        <v>15</v>
      </c>
      <c r="AC236" s="11" t="s">
        <v>1515</v>
      </c>
      <c r="AD236" s="11"/>
      <c r="AE236" s="11"/>
      <c r="AF236" s="14">
        <v>46203</v>
      </c>
      <c r="AG236" s="11" t="s">
        <v>1391</v>
      </c>
      <c r="AH236" s="11" t="s">
        <v>1363</v>
      </c>
    </row>
    <row r="237" spans="1:34" ht="17.25" customHeight="1" x14ac:dyDescent="0.25">
      <c r="A237" s="11" t="s">
        <v>61</v>
      </c>
      <c r="B237" s="11" t="s">
        <v>62</v>
      </c>
      <c r="C237" s="11"/>
      <c r="D237" s="11" t="s">
        <v>1392</v>
      </c>
      <c r="E237" s="11" t="s">
        <v>189</v>
      </c>
      <c r="F237" s="11"/>
      <c r="G237" s="11" t="s">
        <v>167</v>
      </c>
      <c r="H237" s="11" t="s">
        <v>112</v>
      </c>
      <c r="I237" s="11" t="s">
        <v>113</v>
      </c>
      <c r="J237" s="11"/>
      <c r="K237" s="11" t="s">
        <v>190</v>
      </c>
      <c r="L237" s="11" t="s">
        <v>191</v>
      </c>
      <c r="M237" s="11" t="s">
        <v>1393</v>
      </c>
      <c r="N237" s="11" t="s">
        <v>1394</v>
      </c>
      <c r="O237" s="11" t="s">
        <v>118</v>
      </c>
      <c r="P237" s="11" t="s">
        <v>1362</v>
      </c>
      <c r="Q237" s="11" t="s">
        <v>199</v>
      </c>
      <c r="R237" s="11" t="s">
        <v>54</v>
      </c>
      <c r="S237" s="12">
        <v>11.2</v>
      </c>
      <c r="T237" s="12">
        <v>112</v>
      </c>
      <c r="U237" s="11" t="s">
        <v>101</v>
      </c>
      <c r="V237" s="11" t="s">
        <v>1360</v>
      </c>
      <c r="W237" s="11" t="s">
        <v>1361</v>
      </c>
      <c r="X237" s="11" t="s">
        <v>198</v>
      </c>
      <c r="Y237" s="11" t="s">
        <v>200</v>
      </c>
      <c r="Z237" s="11" t="s">
        <v>71</v>
      </c>
      <c r="AA237" s="11"/>
      <c r="AB237" s="13">
        <v>10</v>
      </c>
      <c r="AC237" s="11" t="s">
        <v>1515</v>
      </c>
      <c r="AD237" s="11"/>
      <c r="AE237" s="11"/>
      <c r="AF237" s="14">
        <v>46203</v>
      </c>
      <c r="AG237" s="11" t="s">
        <v>1391</v>
      </c>
      <c r="AH237" s="11" t="s">
        <v>1363</v>
      </c>
    </row>
    <row r="238" spans="1:34" ht="17.25" customHeight="1" x14ac:dyDescent="0.25">
      <c r="A238" s="11" t="s">
        <v>61</v>
      </c>
      <c r="B238" s="11" t="s">
        <v>62</v>
      </c>
      <c r="C238" s="11"/>
      <c r="D238" s="11" t="s">
        <v>1392</v>
      </c>
      <c r="E238" s="11" t="s">
        <v>189</v>
      </c>
      <c r="F238" s="11"/>
      <c r="G238" s="11" t="s">
        <v>167</v>
      </c>
      <c r="H238" s="11" t="s">
        <v>112</v>
      </c>
      <c r="I238" s="11" t="s">
        <v>113</v>
      </c>
      <c r="J238" s="11"/>
      <c r="K238" s="11" t="s">
        <v>190</v>
      </c>
      <c r="L238" s="11" t="s">
        <v>191</v>
      </c>
      <c r="M238" s="11" t="s">
        <v>1393</v>
      </c>
      <c r="N238" s="11" t="s">
        <v>1394</v>
      </c>
      <c r="O238" s="11" t="s">
        <v>118</v>
      </c>
      <c r="P238" s="11" t="s">
        <v>1362</v>
      </c>
      <c r="Q238" s="11" t="s">
        <v>723</v>
      </c>
      <c r="R238" s="11" t="s">
        <v>54</v>
      </c>
      <c r="S238" s="12">
        <v>14</v>
      </c>
      <c r="T238" s="12">
        <v>560</v>
      </c>
      <c r="U238" s="11" t="s">
        <v>101</v>
      </c>
      <c r="V238" s="11" t="s">
        <v>1360</v>
      </c>
      <c r="W238" s="11" t="s">
        <v>1361</v>
      </c>
      <c r="X238" s="11" t="s">
        <v>722</v>
      </c>
      <c r="Y238" s="11" t="s">
        <v>724</v>
      </c>
      <c r="Z238" s="11" t="s">
        <v>71</v>
      </c>
      <c r="AA238" s="11"/>
      <c r="AB238" s="13">
        <v>40</v>
      </c>
      <c r="AC238" s="11" t="s">
        <v>1515</v>
      </c>
      <c r="AD238" s="11"/>
      <c r="AE238" s="11"/>
      <c r="AF238" s="14">
        <v>46203</v>
      </c>
      <c r="AG238" s="11" t="s">
        <v>1391</v>
      </c>
      <c r="AH238" s="11" t="s">
        <v>1363</v>
      </c>
    </row>
    <row r="239" spans="1:34" ht="17.25" customHeight="1" x14ac:dyDescent="0.25">
      <c r="A239" s="11" t="s">
        <v>61</v>
      </c>
      <c r="B239" s="11" t="s">
        <v>62</v>
      </c>
      <c r="C239" s="11"/>
      <c r="D239" s="11" t="s">
        <v>1392</v>
      </c>
      <c r="E239" s="11" t="s">
        <v>189</v>
      </c>
      <c r="F239" s="11"/>
      <c r="G239" s="11" t="s">
        <v>167</v>
      </c>
      <c r="H239" s="11" t="s">
        <v>112</v>
      </c>
      <c r="I239" s="11" t="s">
        <v>113</v>
      </c>
      <c r="J239" s="11"/>
      <c r="K239" s="11" t="s">
        <v>190</v>
      </c>
      <c r="L239" s="11" t="s">
        <v>191</v>
      </c>
      <c r="M239" s="11" t="s">
        <v>1393</v>
      </c>
      <c r="N239" s="11" t="s">
        <v>1394</v>
      </c>
      <c r="O239" s="11" t="s">
        <v>118</v>
      </c>
      <c r="P239" s="11" t="s">
        <v>1362</v>
      </c>
      <c r="Q239" s="11" t="s">
        <v>210</v>
      </c>
      <c r="R239" s="11" t="s">
        <v>212</v>
      </c>
      <c r="S239" s="12">
        <v>9</v>
      </c>
      <c r="T239" s="12">
        <v>27</v>
      </c>
      <c r="U239" s="11" t="s">
        <v>101</v>
      </c>
      <c r="V239" s="11" t="s">
        <v>1360</v>
      </c>
      <c r="W239" s="11" t="s">
        <v>1361</v>
      </c>
      <c r="X239" s="11" t="s">
        <v>209</v>
      </c>
      <c r="Y239" s="11" t="s">
        <v>211</v>
      </c>
      <c r="Z239" s="11" t="s">
        <v>71</v>
      </c>
      <c r="AA239" s="11"/>
      <c r="AB239" s="13">
        <v>3</v>
      </c>
      <c r="AC239" s="11" t="s">
        <v>1515</v>
      </c>
      <c r="AD239" s="11"/>
      <c r="AE239" s="11"/>
      <c r="AF239" s="14">
        <v>46203</v>
      </c>
      <c r="AG239" s="11" t="s">
        <v>1391</v>
      </c>
      <c r="AH239" s="11" t="s">
        <v>1363</v>
      </c>
    </row>
    <row r="240" spans="1:34" ht="17.25" customHeight="1" x14ac:dyDescent="0.25">
      <c r="A240" s="11" t="s">
        <v>61</v>
      </c>
      <c r="B240" s="11" t="s">
        <v>62</v>
      </c>
      <c r="C240" s="11"/>
      <c r="D240" s="11" t="s">
        <v>1392</v>
      </c>
      <c r="E240" s="11" t="s">
        <v>189</v>
      </c>
      <c r="F240" s="11"/>
      <c r="G240" s="11" t="s">
        <v>167</v>
      </c>
      <c r="H240" s="11" t="s">
        <v>112</v>
      </c>
      <c r="I240" s="11" t="s">
        <v>113</v>
      </c>
      <c r="J240" s="11"/>
      <c r="K240" s="11" t="s">
        <v>190</v>
      </c>
      <c r="L240" s="11" t="s">
        <v>191</v>
      </c>
      <c r="M240" s="11" t="s">
        <v>1393</v>
      </c>
      <c r="N240" s="11" t="s">
        <v>1394</v>
      </c>
      <c r="O240" s="11" t="s">
        <v>118</v>
      </c>
      <c r="P240" s="11" t="s">
        <v>1362</v>
      </c>
      <c r="Q240" s="11" t="s">
        <v>220</v>
      </c>
      <c r="R240" s="11" t="s">
        <v>54</v>
      </c>
      <c r="S240" s="12">
        <v>11.2</v>
      </c>
      <c r="T240" s="12">
        <v>112</v>
      </c>
      <c r="U240" s="11" t="s">
        <v>101</v>
      </c>
      <c r="V240" s="11" t="s">
        <v>1360</v>
      </c>
      <c r="W240" s="11" t="s">
        <v>1361</v>
      </c>
      <c r="X240" s="11" t="s">
        <v>219</v>
      </c>
      <c r="Y240" s="11" t="s">
        <v>221</v>
      </c>
      <c r="Z240" s="11" t="s">
        <v>71</v>
      </c>
      <c r="AA240" s="11"/>
      <c r="AB240" s="13">
        <v>10</v>
      </c>
      <c r="AC240" s="11" t="s">
        <v>1515</v>
      </c>
      <c r="AD240" s="11"/>
      <c r="AE240" s="11"/>
      <c r="AF240" s="14">
        <v>46203</v>
      </c>
      <c r="AG240" s="11" t="s">
        <v>1391</v>
      </c>
      <c r="AH240" s="11" t="s">
        <v>1363</v>
      </c>
    </row>
    <row r="241" spans="1:34" ht="17.25" customHeight="1" x14ac:dyDescent="0.25">
      <c r="A241" s="11" t="s">
        <v>61</v>
      </c>
      <c r="B241" s="11" t="s">
        <v>62</v>
      </c>
      <c r="C241" s="11"/>
      <c r="D241" s="11" t="s">
        <v>1392</v>
      </c>
      <c r="E241" s="11" t="s">
        <v>189</v>
      </c>
      <c r="F241" s="11"/>
      <c r="G241" s="11" t="s">
        <v>167</v>
      </c>
      <c r="H241" s="11" t="s">
        <v>112</v>
      </c>
      <c r="I241" s="11" t="s">
        <v>113</v>
      </c>
      <c r="J241" s="11"/>
      <c r="K241" s="11" t="s">
        <v>190</v>
      </c>
      <c r="L241" s="11" t="s">
        <v>191</v>
      </c>
      <c r="M241" s="11" t="s">
        <v>1393</v>
      </c>
      <c r="N241" s="11" t="s">
        <v>1394</v>
      </c>
      <c r="O241" s="11" t="s">
        <v>118</v>
      </c>
      <c r="P241" s="11" t="s">
        <v>1362</v>
      </c>
      <c r="Q241" s="11" t="s">
        <v>223</v>
      </c>
      <c r="R241" s="11" t="s">
        <v>54</v>
      </c>
      <c r="S241" s="12">
        <v>14</v>
      </c>
      <c r="T241" s="12">
        <v>840</v>
      </c>
      <c r="U241" s="11" t="s">
        <v>101</v>
      </c>
      <c r="V241" s="11" t="s">
        <v>1360</v>
      </c>
      <c r="W241" s="11" t="s">
        <v>1361</v>
      </c>
      <c r="X241" s="11" t="s">
        <v>222</v>
      </c>
      <c r="Y241" s="11" t="s">
        <v>224</v>
      </c>
      <c r="Z241" s="11" t="s">
        <v>71</v>
      </c>
      <c r="AA241" s="11"/>
      <c r="AB241" s="13">
        <v>60</v>
      </c>
      <c r="AC241" s="11" t="s">
        <v>1515</v>
      </c>
      <c r="AD241" s="11"/>
      <c r="AE241" s="11"/>
      <c r="AF241" s="14">
        <v>46203</v>
      </c>
      <c r="AG241" s="11" t="s">
        <v>1391</v>
      </c>
      <c r="AH241" s="11" t="s">
        <v>1363</v>
      </c>
    </row>
    <row r="242" spans="1:34" ht="17.25" customHeight="1" x14ac:dyDescent="0.25">
      <c r="A242" s="11" t="s">
        <v>61</v>
      </c>
      <c r="B242" s="11" t="s">
        <v>62</v>
      </c>
      <c r="C242" s="11"/>
      <c r="D242" s="11" t="s">
        <v>1392</v>
      </c>
      <c r="E242" s="11" t="s">
        <v>189</v>
      </c>
      <c r="F242" s="11"/>
      <c r="G242" s="11" t="s">
        <v>167</v>
      </c>
      <c r="H242" s="11" t="s">
        <v>112</v>
      </c>
      <c r="I242" s="11" t="s">
        <v>113</v>
      </c>
      <c r="J242" s="11"/>
      <c r="K242" s="11" t="s">
        <v>190</v>
      </c>
      <c r="L242" s="11" t="s">
        <v>191</v>
      </c>
      <c r="M242" s="11" t="s">
        <v>1393</v>
      </c>
      <c r="N242" s="11" t="s">
        <v>1394</v>
      </c>
      <c r="O242" s="11" t="s">
        <v>118</v>
      </c>
      <c r="P242" s="11" t="s">
        <v>1362</v>
      </c>
      <c r="Q242" s="11" t="s">
        <v>229</v>
      </c>
      <c r="R242" s="11" t="s">
        <v>212</v>
      </c>
      <c r="S242" s="12">
        <v>9</v>
      </c>
      <c r="T242" s="12">
        <v>72</v>
      </c>
      <c r="U242" s="11" t="s">
        <v>101</v>
      </c>
      <c r="V242" s="11" t="s">
        <v>1360</v>
      </c>
      <c r="W242" s="11" t="s">
        <v>1361</v>
      </c>
      <c r="X242" s="11" t="s">
        <v>228</v>
      </c>
      <c r="Y242" s="11" t="s">
        <v>230</v>
      </c>
      <c r="Z242" s="11" t="s">
        <v>71</v>
      </c>
      <c r="AA242" s="11"/>
      <c r="AB242" s="13">
        <v>8</v>
      </c>
      <c r="AC242" s="11" t="s">
        <v>1515</v>
      </c>
      <c r="AD242" s="11"/>
      <c r="AE242" s="11"/>
      <c r="AF242" s="14">
        <v>46203</v>
      </c>
      <c r="AG242" s="11" t="s">
        <v>1391</v>
      </c>
      <c r="AH242" s="11" t="s">
        <v>1363</v>
      </c>
    </row>
    <row r="243" spans="1:34" ht="17.25" customHeight="1" x14ac:dyDescent="0.25">
      <c r="A243" s="11" t="s">
        <v>61</v>
      </c>
      <c r="B243" s="11" t="s">
        <v>62</v>
      </c>
      <c r="C243" s="11"/>
      <c r="D243" s="11" t="s">
        <v>1392</v>
      </c>
      <c r="E243" s="11" t="s">
        <v>189</v>
      </c>
      <c r="F243" s="11"/>
      <c r="G243" s="11" t="s">
        <v>167</v>
      </c>
      <c r="H243" s="11" t="s">
        <v>112</v>
      </c>
      <c r="I243" s="11" t="s">
        <v>113</v>
      </c>
      <c r="J243" s="11"/>
      <c r="K243" s="11" t="s">
        <v>190</v>
      </c>
      <c r="L243" s="11" t="s">
        <v>191</v>
      </c>
      <c r="M243" s="11" t="s">
        <v>1393</v>
      </c>
      <c r="N243" s="11" t="s">
        <v>1394</v>
      </c>
      <c r="O243" s="11" t="s">
        <v>118</v>
      </c>
      <c r="P243" s="11" t="s">
        <v>1362</v>
      </c>
      <c r="Q243" s="11" t="s">
        <v>1407</v>
      </c>
      <c r="R243" s="11" t="s">
        <v>54</v>
      </c>
      <c r="S243" s="12">
        <v>14</v>
      </c>
      <c r="T243" s="12">
        <v>210</v>
      </c>
      <c r="U243" s="11" t="s">
        <v>101</v>
      </c>
      <c r="V243" s="11" t="s">
        <v>1360</v>
      </c>
      <c r="W243" s="11" t="s">
        <v>1361</v>
      </c>
      <c r="X243" s="11" t="s">
        <v>1406</v>
      </c>
      <c r="Y243" s="11" t="s">
        <v>1408</v>
      </c>
      <c r="Z243" s="11" t="s">
        <v>71</v>
      </c>
      <c r="AA243" s="11"/>
      <c r="AB243" s="13">
        <v>15</v>
      </c>
      <c r="AC243" s="11" t="s">
        <v>1515</v>
      </c>
      <c r="AD243" s="11"/>
      <c r="AE243" s="11"/>
      <c r="AF243" s="14">
        <v>46203</v>
      </c>
      <c r="AG243" s="11" t="s">
        <v>1391</v>
      </c>
      <c r="AH243" s="11" t="s">
        <v>1363</v>
      </c>
    </row>
    <row r="244" spans="1:34" ht="17.25" customHeight="1" x14ac:dyDescent="0.25">
      <c r="A244" s="11" t="s">
        <v>61</v>
      </c>
      <c r="B244" s="11" t="s">
        <v>62</v>
      </c>
      <c r="C244" s="11"/>
      <c r="D244" s="11" t="s">
        <v>1392</v>
      </c>
      <c r="E244" s="11" t="s">
        <v>189</v>
      </c>
      <c r="F244" s="11"/>
      <c r="G244" s="11" t="s">
        <v>167</v>
      </c>
      <c r="H244" s="11" t="s">
        <v>112</v>
      </c>
      <c r="I244" s="11" t="s">
        <v>113</v>
      </c>
      <c r="J244" s="11"/>
      <c r="K244" s="11" t="s">
        <v>190</v>
      </c>
      <c r="L244" s="11" t="s">
        <v>191</v>
      </c>
      <c r="M244" s="11" t="s">
        <v>1393</v>
      </c>
      <c r="N244" s="11" t="s">
        <v>1394</v>
      </c>
      <c r="O244" s="11" t="s">
        <v>118</v>
      </c>
      <c r="P244" s="11" t="s">
        <v>1362</v>
      </c>
      <c r="Q244" s="11" t="s">
        <v>1411</v>
      </c>
      <c r="R244" s="11" t="s">
        <v>54</v>
      </c>
      <c r="S244" s="12">
        <v>14</v>
      </c>
      <c r="T244" s="12">
        <v>210</v>
      </c>
      <c r="U244" s="11" t="s">
        <v>101</v>
      </c>
      <c r="V244" s="11" t="s">
        <v>1360</v>
      </c>
      <c r="W244" s="11" t="s">
        <v>1361</v>
      </c>
      <c r="X244" s="11" t="s">
        <v>1410</v>
      </c>
      <c r="Y244" s="11" t="s">
        <v>1412</v>
      </c>
      <c r="Z244" s="11" t="s">
        <v>71</v>
      </c>
      <c r="AA244" s="11"/>
      <c r="AB244" s="13">
        <v>15</v>
      </c>
      <c r="AC244" s="11" t="s">
        <v>1515</v>
      </c>
      <c r="AD244" s="11"/>
      <c r="AE244" s="11"/>
      <c r="AF244" s="14">
        <v>46203</v>
      </c>
      <c r="AG244" s="11" t="s">
        <v>1391</v>
      </c>
      <c r="AH244" s="11" t="s">
        <v>1363</v>
      </c>
    </row>
    <row r="245" spans="1:34" ht="17.25" customHeight="1" x14ac:dyDescent="0.25">
      <c r="A245" s="11" t="s">
        <v>61</v>
      </c>
      <c r="B245" s="11" t="s">
        <v>62</v>
      </c>
      <c r="C245" s="11"/>
      <c r="D245" s="11" t="s">
        <v>1392</v>
      </c>
      <c r="E245" s="11" t="s">
        <v>189</v>
      </c>
      <c r="F245" s="11"/>
      <c r="G245" s="11" t="s">
        <v>167</v>
      </c>
      <c r="H245" s="11" t="s">
        <v>112</v>
      </c>
      <c r="I245" s="11" t="s">
        <v>113</v>
      </c>
      <c r="J245" s="11"/>
      <c r="K245" s="11" t="s">
        <v>190</v>
      </c>
      <c r="L245" s="11" t="s">
        <v>191</v>
      </c>
      <c r="M245" s="11" t="s">
        <v>1393</v>
      </c>
      <c r="N245" s="11" t="s">
        <v>1394</v>
      </c>
      <c r="O245" s="11" t="s">
        <v>118</v>
      </c>
      <c r="P245" s="11" t="s">
        <v>1362</v>
      </c>
      <c r="Q245" s="11" t="s">
        <v>1414</v>
      </c>
      <c r="R245" s="11" t="s">
        <v>54</v>
      </c>
      <c r="S245" s="12">
        <v>13.6</v>
      </c>
      <c r="T245" s="12">
        <v>272</v>
      </c>
      <c r="U245" s="11" t="s">
        <v>101</v>
      </c>
      <c r="V245" s="11" t="s">
        <v>1360</v>
      </c>
      <c r="W245" s="11" t="s">
        <v>1361</v>
      </c>
      <c r="X245" s="11" t="s">
        <v>1413</v>
      </c>
      <c r="Y245" s="11" t="s">
        <v>1415</v>
      </c>
      <c r="Z245" s="11" t="s">
        <v>71</v>
      </c>
      <c r="AA245" s="11"/>
      <c r="AB245" s="13">
        <v>20</v>
      </c>
      <c r="AC245" s="11" t="s">
        <v>1515</v>
      </c>
      <c r="AD245" s="11"/>
      <c r="AE245" s="11"/>
      <c r="AF245" s="14">
        <v>46203</v>
      </c>
      <c r="AG245" s="11" t="s">
        <v>1391</v>
      </c>
      <c r="AH245" s="11" t="s">
        <v>1363</v>
      </c>
    </row>
    <row r="246" spans="1:34" ht="17.25" customHeight="1" x14ac:dyDescent="0.25">
      <c r="A246" s="11" t="s">
        <v>61</v>
      </c>
      <c r="B246" s="11" t="s">
        <v>62</v>
      </c>
      <c r="C246" s="11"/>
      <c r="D246" s="11" t="s">
        <v>1392</v>
      </c>
      <c r="E246" s="11" t="s">
        <v>189</v>
      </c>
      <c r="F246" s="11"/>
      <c r="G246" s="11" t="s">
        <v>167</v>
      </c>
      <c r="H246" s="11" t="s">
        <v>112</v>
      </c>
      <c r="I246" s="11" t="s">
        <v>113</v>
      </c>
      <c r="J246" s="11"/>
      <c r="K246" s="11" t="s">
        <v>190</v>
      </c>
      <c r="L246" s="11" t="s">
        <v>191</v>
      </c>
      <c r="M246" s="11" t="s">
        <v>1393</v>
      </c>
      <c r="N246" s="11" t="s">
        <v>1394</v>
      </c>
      <c r="O246" s="11" t="s">
        <v>118</v>
      </c>
      <c r="P246" s="11" t="s">
        <v>1362</v>
      </c>
      <c r="Q246" s="11" t="s">
        <v>1419</v>
      </c>
      <c r="R246" s="11" t="s">
        <v>54</v>
      </c>
      <c r="S246" s="12">
        <v>13.6</v>
      </c>
      <c r="T246" s="12">
        <v>408</v>
      </c>
      <c r="U246" s="11" t="s">
        <v>101</v>
      </c>
      <c r="V246" s="11" t="s">
        <v>1360</v>
      </c>
      <c r="W246" s="11" t="s">
        <v>1361</v>
      </c>
      <c r="X246" s="11" t="s">
        <v>1418</v>
      </c>
      <c r="Y246" s="11" t="s">
        <v>1420</v>
      </c>
      <c r="Z246" s="11" t="s">
        <v>71</v>
      </c>
      <c r="AA246" s="11"/>
      <c r="AB246" s="13">
        <v>30</v>
      </c>
      <c r="AC246" s="11" t="s">
        <v>1515</v>
      </c>
      <c r="AD246" s="11"/>
      <c r="AE246" s="11"/>
      <c r="AF246" s="14">
        <v>46203</v>
      </c>
      <c r="AG246" s="11" t="s">
        <v>1391</v>
      </c>
      <c r="AH246" s="11" t="s">
        <v>1363</v>
      </c>
    </row>
    <row r="247" spans="1:34" ht="17.25" customHeight="1" x14ac:dyDescent="0.25">
      <c r="A247" s="11" t="s">
        <v>61</v>
      </c>
      <c r="B247" s="11" t="s">
        <v>62</v>
      </c>
      <c r="C247" s="11"/>
      <c r="D247" s="11" t="s">
        <v>1392</v>
      </c>
      <c r="E247" s="11" t="s">
        <v>189</v>
      </c>
      <c r="F247" s="11"/>
      <c r="G247" s="11" t="s">
        <v>167</v>
      </c>
      <c r="H247" s="11" t="s">
        <v>112</v>
      </c>
      <c r="I247" s="11" t="s">
        <v>113</v>
      </c>
      <c r="J247" s="11"/>
      <c r="K247" s="11" t="s">
        <v>190</v>
      </c>
      <c r="L247" s="11" t="s">
        <v>191</v>
      </c>
      <c r="M247" s="11" t="s">
        <v>1393</v>
      </c>
      <c r="N247" s="11" t="s">
        <v>1394</v>
      </c>
      <c r="O247" s="11" t="s">
        <v>118</v>
      </c>
      <c r="P247" s="11" t="s">
        <v>1362</v>
      </c>
      <c r="Q247" s="11" t="s">
        <v>1423</v>
      </c>
      <c r="R247" s="11" t="s">
        <v>343</v>
      </c>
      <c r="S247" s="12">
        <v>12.6</v>
      </c>
      <c r="T247" s="12">
        <v>63</v>
      </c>
      <c r="U247" s="11" t="s">
        <v>101</v>
      </c>
      <c r="V247" s="11" t="s">
        <v>1360</v>
      </c>
      <c r="W247" s="11" t="s">
        <v>1361</v>
      </c>
      <c r="X247" s="11" t="s">
        <v>1422</v>
      </c>
      <c r="Y247" s="11" t="s">
        <v>1424</v>
      </c>
      <c r="Z247" s="11" t="s">
        <v>71</v>
      </c>
      <c r="AA247" s="11"/>
      <c r="AB247" s="13">
        <v>5</v>
      </c>
      <c r="AC247" s="11" t="s">
        <v>1515</v>
      </c>
      <c r="AD247" s="11"/>
      <c r="AE247" s="11"/>
      <c r="AF247" s="14">
        <v>46203</v>
      </c>
      <c r="AG247" s="11" t="s">
        <v>1391</v>
      </c>
      <c r="AH247" s="11" t="s">
        <v>1363</v>
      </c>
    </row>
    <row r="248" spans="1:34" ht="17.25" customHeight="1" x14ac:dyDescent="0.25">
      <c r="A248" s="11" t="s">
        <v>61</v>
      </c>
      <c r="B248" s="11" t="s">
        <v>62</v>
      </c>
      <c r="C248" s="11"/>
      <c r="D248" s="11" t="s">
        <v>1392</v>
      </c>
      <c r="E248" s="11" t="s">
        <v>473</v>
      </c>
      <c r="F248" s="11"/>
      <c r="G248" s="11" t="s">
        <v>474</v>
      </c>
      <c r="H248" s="11" t="s">
        <v>112</v>
      </c>
      <c r="I248" s="11" t="s">
        <v>113</v>
      </c>
      <c r="J248" s="11"/>
      <c r="K248" s="11" t="s">
        <v>373</v>
      </c>
      <c r="L248" s="11" t="s">
        <v>374</v>
      </c>
      <c r="M248" s="11" t="s">
        <v>1393</v>
      </c>
      <c r="N248" s="11" t="s">
        <v>1394</v>
      </c>
      <c r="O248" s="11" t="s">
        <v>118</v>
      </c>
      <c r="P248" s="11" t="s">
        <v>1362</v>
      </c>
      <c r="Q248" s="11" t="s">
        <v>1426</v>
      </c>
      <c r="R248" s="11" t="s">
        <v>54</v>
      </c>
      <c r="S248" s="12">
        <v>9</v>
      </c>
      <c r="T248" s="12">
        <v>45</v>
      </c>
      <c r="U248" s="11" t="s">
        <v>363</v>
      </c>
      <c r="V248" s="11" t="s">
        <v>1360</v>
      </c>
      <c r="W248" s="11" t="s">
        <v>1361</v>
      </c>
      <c r="X248" s="11" t="s">
        <v>1425</v>
      </c>
      <c r="Y248" s="11" t="s">
        <v>1427</v>
      </c>
      <c r="Z248" s="11" t="s">
        <v>71</v>
      </c>
      <c r="AA248" s="11"/>
      <c r="AB248" s="13">
        <v>5</v>
      </c>
      <c r="AC248" s="11" t="s">
        <v>1515</v>
      </c>
      <c r="AD248" s="11"/>
      <c r="AE248" s="11"/>
      <c r="AF248" s="14">
        <v>46203</v>
      </c>
      <c r="AG248" s="11" t="s">
        <v>1391</v>
      </c>
      <c r="AH248" s="11" t="s">
        <v>1363</v>
      </c>
    </row>
    <row r="249" spans="1:34" ht="17.25" customHeight="1" x14ac:dyDescent="0.25">
      <c r="A249" s="11" t="s">
        <v>61</v>
      </c>
      <c r="B249" s="11" t="s">
        <v>62</v>
      </c>
      <c r="C249" s="11"/>
      <c r="D249" s="11" t="s">
        <v>1392</v>
      </c>
      <c r="E249" s="11" t="s">
        <v>473</v>
      </c>
      <c r="F249" s="11"/>
      <c r="G249" s="11" t="s">
        <v>474</v>
      </c>
      <c r="H249" s="11" t="s">
        <v>112</v>
      </c>
      <c r="I249" s="11" t="s">
        <v>113</v>
      </c>
      <c r="J249" s="11"/>
      <c r="K249" s="11" t="s">
        <v>373</v>
      </c>
      <c r="L249" s="11" t="s">
        <v>374</v>
      </c>
      <c r="M249" s="11" t="s">
        <v>1393</v>
      </c>
      <c r="N249" s="11" t="s">
        <v>1394</v>
      </c>
      <c r="O249" s="11" t="s">
        <v>118</v>
      </c>
      <c r="P249" s="11" t="s">
        <v>1362</v>
      </c>
      <c r="Q249" s="11" t="s">
        <v>620</v>
      </c>
      <c r="R249" s="11" t="s">
        <v>54</v>
      </c>
      <c r="S249" s="12">
        <v>3.3</v>
      </c>
      <c r="T249" s="12">
        <v>49.5</v>
      </c>
      <c r="U249" s="11" t="s">
        <v>363</v>
      </c>
      <c r="V249" s="11" t="s">
        <v>1360</v>
      </c>
      <c r="W249" s="11" t="s">
        <v>1361</v>
      </c>
      <c r="X249" s="11" t="s">
        <v>619</v>
      </c>
      <c r="Y249" s="11" t="s">
        <v>621</v>
      </c>
      <c r="Z249" s="11" t="s">
        <v>71</v>
      </c>
      <c r="AA249" s="11"/>
      <c r="AB249" s="13">
        <v>15</v>
      </c>
      <c r="AC249" s="11" t="s">
        <v>1515</v>
      </c>
      <c r="AD249" s="11"/>
      <c r="AE249" s="11"/>
      <c r="AF249" s="14">
        <v>46203</v>
      </c>
      <c r="AG249" s="11" t="s">
        <v>1391</v>
      </c>
      <c r="AH249" s="11" t="s">
        <v>1363</v>
      </c>
    </row>
    <row r="250" spans="1:34" ht="17.25" customHeight="1" x14ac:dyDescent="0.25">
      <c r="A250" s="11" t="s">
        <v>61</v>
      </c>
      <c r="B250" s="11" t="s">
        <v>62</v>
      </c>
      <c r="C250" s="11"/>
      <c r="D250" s="11" t="s">
        <v>1392</v>
      </c>
      <c r="E250" s="11" t="s">
        <v>473</v>
      </c>
      <c r="F250" s="11"/>
      <c r="G250" s="11" t="s">
        <v>474</v>
      </c>
      <c r="H250" s="11" t="s">
        <v>112</v>
      </c>
      <c r="I250" s="11" t="s">
        <v>113</v>
      </c>
      <c r="J250" s="11"/>
      <c r="K250" s="11" t="s">
        <v>373</v>
      </c>
      <c r="L250" s="11" t="s">
        <v>374</v>
      </c>
      <c r="M250" s="11" t="s">
        <v>1393</v>
      </c>
      <c r="N250" s="11" t="s">
        <v>1394</v>
      </c>
      <c r="O250" s="11" t="s">
        <v>118</v>
      </c>
      <c r="P250" s="11" t="s">
        <v>1362</v>
      </c>
      <c r="Q250" s="11" t="s">
        <v>617</v>
      </c>
      <c r="R250" s="11" t="s">
        <v>54</v>
      </c>
      <c r="S250" s="12">
        <v>4.8</v>
      </c>
      <c r="T250" s="12">
        <v>96</v>
      </c>
      <c r="U250" s="11" t="s">
        <v>363</v>
      </c>
      <c r="V250" s="11" t="s">
        <v>1360</v>
      </c>
      <c r="W250" s="11" t="s">
        <v>1361</v>
      </c>
      <c r="X250" s="11" t="s">
        <v>616</v>
      </c>
      <c r="Y250" s="11" t="s">
        <v>618</v>
      </c>
      <c r="Z250" s="11" t="s">
        <v>71</v>
      </c>
      <c r="AA250" s="11"/>
      <c r="AB250" s="13">
        <v>20</v>
      </c>
      <c r="AC250" s="11" t="s">
        <v>1515</v>
      </c>
      <c r="AD250" s="11"/>
      <c r="AE250" s="11"/>
      <c r="AF250" s="14">
        <v>46203</v>
      </c>
      <c r="AG250" s="11" t="s">
        <v>1391</v>
      </c>
      <c r="AH250" s="11" t="s">
        <v>1363</v>
      </c>
    </row>
    <row r="251" spans="1:34" ht="17.25" customHeight="1" x14ac:dyDescent="0.25">
      <c r="A251" s="11" t="s">
        <v>61</v>
      </c>
      <c r="B251" s="11" t="s">
        <v>62</v>
      </c>
      <c r="C251" s="11"/>
      <c r="D251" s="11" t="s">
        <v>1392</v>
      </c>
      <c r="E251" s="11" t="s">
        <v>473</v>
      </c>
      <c r="F251" s="11"/>
      <c r="G251" s="11" t="s">
        <v>474</v>
      </c>
      <c r="H251" s="11" t="s">
        <v>112</v>
      </c>
      <c r="I251" s="11" t="s">
        <v>113</v>
      </c>
      <c r="J251" s="11"/>
      <c r="K251" s="11" t="s">
        <v>373</v>
      </c>
      <c r="L251" s="11" t="s">
        <v>374</v>
      </c>
      <c r="M251" s="11" t="s">
        <v>1393</v>
      </c>
      <c r="N251" s="11" t="s">
        <v>1394</v>
      </c>
      <c r="O251" s="11" t="s">
        <v>118</v>
      </c>
      <c r="P251" s="11" t="s">
        <v>1362</v>
      </c>
      <c r="Q251" s="11" t="s">
        <v>994</v>
      </c>
      <c r="R251" s="11" t="s">
        <v>54</v>
      </c>
      <c r="S251" s="12">
        <v>3</v>
      </c>
      <c r="T251" s="12">
        <v>30</v>
      </c>
      <c r="U251" s="11" t="s">
        <v>363</v>
      </c>
      <c r="V251" s="11" t="s">
        <v>1360</v>
      </c>
      <c r="W251" s="11" t="s">
        <v>1361</v>
      </c>
      <c r="X251" s="11" t="s">
        <v>993</v>
      </c>
      <c r="Y251" s="11" t="s">
        <v>995</v>
      </c>
      <c r="Z251" s="11" t="s">
        <v>71</v>
      </c>
      <c r="AA251" s="11"/>
      <c r="AB251" s="13">
        <v>10</v>
      </c>
      <c r="AC251" s="11" t="s">
        <v>1515</v>
      </c>
      <c r="AD251" s="11"/>
      <c r="AE251" s="11"/>
      <c r="AF251" s="14">
        <v>46203</v>
      </c>
      <c r="AG251" s="11" t="s">
        <v>1391</v>
      </c>
      <c r="AH251" s="11" t="s">
        <v>1363</v>
      </c>
    </row>
    <row r="252" spans="1:34" ht="17.25" customHeight="1" x14ac:dyDescent="0.25">
      <c r="A252" s="11" t="s">
        <v>61</v>
      </c>
      <c r="B252" s="11" t="s">
        <v>62</v>
      </c>
      <c r="C252" s="11"/>
      <c r="D252" s="11" t="s">
        <v>1392</v>
      </c>
      <c r="E252" s="11" t="s">
        <v>473</v>
      </c>
      <c r="F252" s="11"/>
      <c r="G252" s="11" t="s">
        <v>474</v>
      </c>
      <c r="H252" s="11" t="s">
        <v>112</v>
      </c>
      <c r="I252" s="11" t="s">
        <v>113</v>
      </c>
      <c r="J252" s="11"/>
      <c r="K252" s="11" t="s">
        <v>373</v>
      </c>
      <c r="L252" s="11" t="s">
        <v>374</v>
      </c>
      <c r="M252" s="11" t="s">
        <v>1393</v>
      </c>
      <c r="N252" s="11" t="s">
        <v>1394</v>
      </c>
      <c r="O252" s="11" t="s">
        <v>118</v>
      </c>
      <c r="P252" s="11" t="s">
        <v>1362</v>
      </c>
      <c r="Q252" s="11" t="s">
        <v>1430</v>
      </c>
      <c r="R252" s="11" t="s">
        <v>54</v>
      </c>
      <c r="S252" s="12">
        <v>4.8</v>
      </c>
      <c r="T252" s="12">
        <v>96</v>
      </c>
      <c r="U252" s="11" t="s">
        <v>363</v>
      </c>
      <c r="V252" s="11" t="s">
        <v>1360</v>
      </c>
      <c r="W252" s="11" t="s">
        <v>1361</v>
      </c>
      <c r="X252" s="11" t="s">
        <v>1429</v>
      </c>
      <c r="Y252" s="11" t="s">
        <v>1431</v>
      </c>
      <c r="Z252" s="11" t="s">
        <v>71</v>
      </c>
      <c r="AA252" s="11"/>
      <c r="AB252" s="13">
        <v>20</v>
      </c>
      <c r="AC252" s="11" t="s">
        <v>1515</v>
      </c>
      <c r="AD252" s="11"/>
      <c r="AE252" s="11"/>
      <c r="AF252" s="14">
        <v>46203</v>
      </c>
      <c r="AG252" s="11" t="s">
        <v>1391</v>
      </c>
      <c r="AH252" s="11" t="s">
        <v>1363</v>
      </c>
    </row>
    <row r="253" spans="1:34" ht="17.25" customHeight="1" x14ac:dyDescent="0.25">
      <c r="A253" s="11" t="s">
        <v>61</v>
      </c>
      <c r="B253" s="11" t="s">
        <v>522</v>
      </c>
      <c r="C253" s="11"/>
      <c r="D253" s="11" t="s">
        <v>1183</v>
      </c>
      <c r="E253" s="11" t="s">
        <v>1014</v>
      </c>
      <c r="F253" s="11"/>
      <c r="G253" s="11" t="s">
        <v>370</v>
      </c>
      <c r="H253" s="11" t="s">
        <v>980</v>
      </c>
      <c r="I253" s="11" t="s">
        <v>980</v>
      </c>
      <c r="J253" s="11" t="s">
        <v>1184</v>
      </c>
      <c r="K253" s="11" t="s">
        <v>323</v>
      </c>
      <c r="L253" s="11" t="s">
        <v>324</v>
      </c>
      <c r="M253" s="11" t="s">
        <v>1185</v>
      </c>
      <c r="N253" s="11" t="s">
        <v>1186</v>
      </c>
      <c r="O253" s="11" t="s">
        <v>118</v>
      </c>
      <c r="P253" s="11" t="s">
        <v>1156</v>
      </c>
      <c r="Q253" s="11" t="s">
        <v>1179</v>
      </c>
      <c r="R253" s="11" t="s">
        <v>54</v>
      </c>
      <c r="S253" s="12">
        <v>8.5</v>
      </c>
      <c r="T253" s="12">
        <v>51</v>
      </c>
      <c r="U253" s="11" t="s">
        <v>311</v>
      </c>
      <c r="V253" s="11" t="s">
        <v>1154</v>
      </c>
      <c r="W253" s="11" t="s">
        <v>1155</v>
      </c>
      <c r="X253" s="11" t="s">
        <v>1178</v>
      </c>
      <c r="Y253" s="11" t="s">
        <v>1180</v>
      </c>
      <c r="Z253" s="11" t="s">
        <v>567</v>
      </c>
      <c r="AA253" s="11" t="s">
        <v>1157</v>
      </c>
      <c r="AB253" s="13">
        <v>6</v>
      </c>
      <c r="AC253" s="11" t="s">
        <v>1502</v>
      </c>
      <c r="AD253" s="11"/>
      <c r="AE253" s="11"/>
      <c r="AF253" s="14">
        <v>46203</v>
      </c>
      <c r="AG253" s="11" t="s">
        <v>1177</v>
      </c>
      <c r="AH253" s="11"/>
    </row>
    <row r="254" spans="1:34" ht="17.25" customHeight="1" x14ac:dyDescent="0.25">
      <c r="A254" s="11" t="s">
        <v>61</v>
      </c>
      <c r="B254" s="11" t="s">
        <v>522</v>
      </c>
      <c r="C254" s="11"/>
      <c r="D254" s="11" t="s">
        <v>1183</v>
      </c>
      <c r="E254" s="11" t="s">
        <v>1014</v>
      </c>
      <c r="F254" s="11"/>
      <c r="G254" s="11" t="s">
        <v>370</v>
      </c>
      <c r="H254" s="11" t="s">
        <v>980</v>
      </c>
      <c r="I254" s="11" t="s">
        <v>980</v>
      </c>
      <c r="J254" s="11" t="s">
        <v>1184</v>
      </c>
      <c r="K254" s="11" t="s">
        <v>323</v>
      </c>
      <c r="L254" s="11" t="s">
        <v>324</v>
      </c>
      <c r="M254" s="11" t="s">
        <v>1185</v>
      </c>
      <c r="N254" s="11" t="s">
        <v>1186</v>
      </c>
      <c r="O254" s="11" t="s">
        <v>118</v>
      </c>
      <c r="P254" s="11" t="s">
        <v>1156</v>
      </c>
      <c r="Q254" s="11" t="s">
        <v>1179</v>
      </c>
      <c r="R254" s="11" t="s">
        <v>54</v>
      </c>
      <c r="S254" s="12">
        <v>8.5</v>
      </c>
      <c r="T254" s="12">
        <v>102</v>
      </c>
      <c r="U254" s="11" t="s">
        <v>311</v>
      </c>
      <c r="V254" s="11" t="s">
        <v>1154</v>
      </c>
      <c r="W254" s="11" t="s">
        <v>1155</v>
      </c>
      <c r="X254" s="11" t="s">
        <v>1178</v>
      </c>
      <c r="Y254" s="11" t="s">
        <v>1180</v>
      </c>
      <c r="Z254" s="11" t="s">
        <v>71</v>
      </c>
      <c r="AA254" s="11" t="s">
        <v>1157</v>
      </c>
      <c r="AB254" s="13">
        <v>12</v>
      </c>
      <c r="AC254" s="11" t="s">
        <v>1502</v>
      </c>
      <c r="AD254" s="11"/>
      <c r="AE254" s="11"/>
      <c r="AF254" s="14">
        <v>46203</v>
      </c>
      <c r="AG254" s="11" t="s">
        <v>1177</v>
      </c>
      <c r="AH254" s="11"/>
    </row>
    <row r="255" spans="1:34" ht="17.25" customHeight="1" x14ac:dyDescent="0.25">
      <c r="A255" s="11" t="s">
        <v>61</v>
      </c>
      <c r="B255" s="11" t="s">
        <v>62</v>
      </c>
      <c r="C255" s="11"/>
      <c r="D255" s="11" t="s">
        <v>60</v>
      </c>
      <c r="E255" s="11" t="s">
        <v>59</v>
      </c>
      <c r="F255" s="11"/>
      <c r="G255" s="11" t="s">
        <v>63</v>
      </c>
      <c r="H255" s="11" t="s">
        <v>64</v>
      </c>
      <c r="I255" s="11" t="s">
        <v>65</v>
      </c>
      <c r="J255" s="11"/>
      <c r="K255" s="11" t="s">
        <v>66</v>
      </c>
      <c r="L255" s="11" t="s">
        <v>67</v>
      </c>
      <c r="M255" s="11" t="s">
        <v>68</v>
      </c>
      <c r="N255" s="11" t="s">
        <v>69</v>
      </c>
      <c r="O255" s="11" t="s">
        <v>70</v>
      </c>
      <c r="P255" s="11" t="s">
        <v>48</v>
      </c>
      <c r="Q255" s="11" t="s">
        <v>52</v>
      </c>
      <c r="R255" s="11" t="s">
        <v>54</v>
      </c>
      <c r="S255" s="12">
        <v>12.336</v>
      </c>
      <c r="T255" s="12">
        <v>185.04</v>
      </c>
      <c r="U255" s="11"/>
      <c r="V255" s="11" t="s">
        <v>46</v>
      </c>
      <c r="W255" s="11" t="s">
        <v>47</v>
      </c>
      <c r="X255" s="11" t="s">
        <v>51</v>
      </c>
      <c r="Y255" s="11" t="s">
        <v>53</v>
      </c>
      <c r="Z255" s="11" t="s">
        <v>71</v>
      </c>
      <c r="AA255" s="11"/>
      <c r="AB255" s="13">
        <v>15</v>
      </c>
      <c r="AC255" s="11" t="s">
        <v>1516</v>
      </c>
      <c r="AD255" s="11"/>
      <c r="AE255" s="11"/>
      <c r="AF255" s="14">
        <v>46203</v>
      </c>
      <c r="AG255" s="11" t="s">
        <v>43</v>
      </c>
      <c r="AH255" s="11" t="s">
        <v>58</v>
      </c>
    </row>
    <row r="256" spans="1:34" ht="17.25" customHeight="1" x14ac:dyDescent="0.25">
      <c r="A256" s="11" t="s">
        <v>61</v>
      </c>
      <c r="B256" s="11" t="s">
        <v>62</v>
      </c>
      <c r="C256" s="11"/>
      <c r="D256" s="11" t="s">
        <v>60</v>
      </c>
      <c r="E256" s="11" t="s">
        <v>59</v>
      </c>
      <c r="F256" s="11"/>
      <c r="G256" s="11" t="s">
        <v>63</v>
      </c>
      <c r="H256" s="11" t="s">
        <v>64</v>
      </c>
      <c r="I256" s="11" t="s">
        <v>65</v>
      </c>
      <c r="J256" s="11"/>
      <c r="K256" s="11" t="s">
        <v>66</v>
      </c>
      <c r="L256" s="11" t="s">
        <v>67</v>
      </c>
      <c r="M256" s="11" t="s">
        <v>68</v>
      </c>
      <c r="N256" s="11" t="s">
        <v>69</v>
      </c>
      <c r="O256" s="11" t="s">
        <v>70</v>
      </c>
      <c r="P256" s="11" t="s">
        <v>48</v>
      </c>
      <c r="Q256" s="11" t="s">
        <v>73</v>
      </c>
      <c r="R256" s="11" t="s">
        <v>54</v>
      </c>
      <c r="S256" s="12">
        <v>4.8</v>
      </c>
      <c r="T256" s="12">
        <v>9.6</v>
      </c>
      <c r="U256" s="11"/>
      <c r="V256" s="11" t="s">
        <v>46</v>
      </c>
      <c r="W256" s="11" t="s">
        <v>47</v>
      </c>
      <c r="X256" s="11" t="s">
        <v>72</v>
      </c>
      <c r="Y256" s="11" t="s">
        <v>74</v>
      </c>
      <c r="Z256" s="11" t="s">
        <v>71</v>
      </c>
      <c r="AA256" s="11"/>
      <c r="AB256" s="13">
        <v>2</v>
      </c>
      <c r="AC256" s="11" t="s">
        <v>1516</v>
      </c>
      <c r="AD256" s="11"/>
      <c r="AE256" s="11"/>
      <c r="AF256" s="14">
        <v>46203</v>
      </c>
      <c r="AG256" s="11" t="s">
        <v>43</v>
      </c>
      <c r="AH256" s="11" t="s">
        <v>58</v>
      </c>
    </row>
    <row r="257" spans="1:34" ht="17.25" customHeight="1" x14ac:dyDescent="0.25">
      <c r="A257" s="11" t="s">
        <v>61</v>
      </c>
      <c r="B257" s="11" t="s">
        <v>62</v>
      </c>
      <c r="C257" s="11"/>
      <c r="D257" s="11" t="s">
        <v>60</v>
      </c>
      <c r="E257" s="11" t="s">
        <v>59</v>
      </c>
      <c r="F257" s="11"/>
      <c r="G257" s="11" t="s">
        <v>63</v>
      </c>
      <c r="H257" s="11" t="s">
        <v>64</v>
      </c>
      <c r="I257" s="11" t="s">
        <v>65</v>
      </c>
      <c r="J257" s="11"/>
      <c r="K257" s="11" t="s">
        <v>66</v>
      </c>
      <c r="L257" s="11" t="s">
        <v>67</v>
      </c>
      <c r="M257" s="11" t="s">
        <v>68</v>
      </c>
      <c r="N257" s="11" t="s">
        <v>69</v>
      </c>
      <c r="O257" s="11" t="s">
        <v>70</v>
      </c>
      <c r="P257" s="11" t="s">
        <v>48</v>
      </c>
      <c r="Q257" s="11" t="s">
        <v>79</v>
      </c>
      <c r="R257" s="11" t="s">
        <v>54</v>
      </c>
      <c r="S257" s="12">
        <v>9.6</v>
      </c>
      <c r="T257" s="12">
        <v>19.2</v>
      </c>
      <c r="U257" s="11"/>
      <c r="V257" s="11" t="s">
        <v>46</v>
      </c>
      <c r="W257" s="11" t="s">
        <v>47</v>
      </c>
      <c r="X257" s="11" t="s">
        <v>78</v>
      </c>
      <c r="Y257" s="11" t="s">
        <v>80</v>
      </c>
      <c r="Z257" s="11" t="s">
        <v>71</v>
      </c>
      <c r="AA257" s="11"/>
      <c r="AB257" s="13">
        <v>2</v>
      </c>
      <c r="AC257" s="11" t="s">
        <v>1516</v>
      </c>
      <c r="AD257" s="11"/>
      <c r="AE257" s="11"/>
      <c r="AF257" s="14">
        <v>46203</v>
      </c>
      <c r="AG257" s="11" t="s">
        <v>43</v>
      </c>
      <c r="AH257" s="11" t="s">
        <v>58</v>
      </c>
    </row>
    <row r="258" spans="1:34" ht="17.25" customHeight="1" x14ac:dyDescent="0.25">
      <c r="A258" s="11" t="s">
        <v>61</v>
      </c>
      <c r="B258" s="11" t="s">
        <v>62</v>
      </c>
      <c r="C258" s="11"/>
      <c r="D258" s="11" t="s">
        <v>60</v>
      </c>
      <c r="E258" s="11" t="s">
        <v>59</v>
      </c>
      <c r="F258" s="11"/>
      <c r="G258" s="11" t="s">
        <v>63</v>
      </c>
      <c r="H258" s="11" t="s">
        <v>64</v>
      </c>
      <c r="I258" s="11" t="s">
        <v>65</v>
      </c>
      <c r="J258" s="11"/>
      <c r="K258" s="11" t="s">
        <v>66</v>
      </c>
      <c r="L258" s="11" t="s">
        <v>67</v>
      </c>
      <c r="M258" s="11" t="s">
        <v>68</v>
      </c>
      <c r="N258" s="11" t="s">
        <v>69</v>
      </c>
      <c r="O258" s="11" t="s">
        <v>70</v>
      </c>
      <c r="P258" s="11" t="s">
        <v>48</v>
      </c>
      <c r="Q258" s="11" t="s">
        <v>83</v>
      </c>
      <c r="R258" s="11" t="s">
        <v>54</v>
      </c>
      <c r="S258" s="12">
        <v>2.4</v>
      </c>
      <c r="T258" s="12">
        <v>4.8</v>
      </c>
      <c r="U258" s="11"/>
      <c r="V258" s="11" t="s">
        <v>46</v>
      </c>
      <c r="W258" s="11" t="s">
        <v>47</v>
      </c>
      <c r="X258" s="11" t="s">
        <v>82</v>
      </c>
      <c r="Y258" s="11" t="s">
        <v>84</v>
      </c>
      <c r="Z258" s="11" t="s">
        <v>71</v>
      </c>
      <c r="AA258" s="11"/>
      <c r="AB258" s="13">
        <v>2</v>
      </c>
      <c r="AC258" s="11" t="s">
        <v>1516</v>
      </c>
      <c r="AD258" s="11"/>
      <c r="AE258" s="11"/>
      <c r="AF258" s="14">
        <v>46203</v>
      </c>
      <c r="AG258" s="11" t="s">
        <v>43</v>
      </c>
      <c r="AH258" s="11" t="s">
        <v>58</v>
      </c>
    </row>
    <row r="259" spans="1:34" ht="17.25" customHeight="1" x14ac:dyDescent="0.25">
      <c r="A259" s="11" t="s">
        <v>61</v>
      </c>
      <c r="B259" s="11" t="s">
        <v>62</v>
      </c>
      <c r="C259" s="11"/>
      <c r="D259" s="11" t="s">
        <v>60</v>
      </c>
      <c r="E259" s="11" t="s">
        <v>59</v>
      </c>
      <c r="F259" s="11"/>
      <c r="G259" s="11" t="s">
        <v>63</v>
      </c>
      <c r="H259" s="11" t="s">
        <v>64</v>
      </c>
      <c r="I259" s="11" t="s">
        <v>65</v>
      </c>
      <c r="J259" s="11"/>
      <c r="K259" s="11" t="s">
        <v>66</v>
      </c>
      <c r="L259" s="11" t="s">
        <v>67</v>
      </c>
      <c r="M259" s="11" t="s">
        <v>68</v>
      </c>
      <c r="N259" s="11" t="s">
        <v>69</v>
      </c>
      <c r="O259" s="11" t="s">
        <v>70</v>
      </c>
      <c r="P259" s="11" t="s">
        <v>48</v>
      </c>
      <c r="Q259" s="11" t="s">
        <v>87</v>
      </c>
      <c r="R259" s="11" t="s">
        <v>54</v>
      </c>
      <c r="S259" s="12">
        <v>4.8</v>
      </c>
      <c r="T259" s="12">
        <v>9.6</v>
      </c>
      <c r="U259" s="11"/>
      <c r="V259" s="11" t="s">
        <v>46</v>
      </c>
      <c r="W259" s="11" t="s">
        <v>47</v>
      </c>
      <c r="X259" s="11" t="s">
        <v>86</v>
      </c>
      <c r="Y259" s="11" t="s">
        <v>88</v>
      </c>
      <c r="Z259" s="11" t="s">
        <v>71</v>
      </c>
      <c r="AA259" s="11"/>
      <c r="AB259" s="13">
        <v>2</v>
      </c>
      <c r="AC259" s="11" t="s">
        <v>1516</v>
      </c>
      <c r="AD259" s="11"/>
      <c r="AE259" s="11"/>
      <c r="AF259" s="14">
        <v>46203</v>
      </c>
      <c r="AG259" s="11" t="s">
        <v>43</v>
      </c>
      <c r="AH259" s="11" t="s">
        <v>58</v>
      </c>
    </row>
    <row r="260" spans="1:34" ht="17.25" customHeight="1" x14ac:dyDescent="0.25">
      <c r="A260" s="11" t="s">
        <v>61</v>
      </c>
      <c r="B260" s="11" t="s">
        <v>62</v>
      </c>
      <c r="C260" s="11"/>
      <c r="D260" s="11" t="s">
        <v>60</v>
      </c>
      <c r="E260" s="11" t="s">
        <v>59</v>
      </c>
      <c r="F260" s="11"/>
      <c r="G260" s="11" t="s">
        <v>63</v>
      </c>
      <c r="H260" s="11" t="s">
        <v>64</v>
      </c>
      <c r="I260" s="11" t="s">
        <v>65</v>
      </c>
      <c r="J260" s="11"/>
      <c r="K260" s="11" t="s">
        <v>66</v>
      </c>
      <c r="L260" s="11" t="s">
        <v>67</v>
      </c>
      <c r="M260" s="11" t="s">
        <v>68</v>
      </c>
      <c r="N260" s="11" t="s">
        <v>69</v>
      </c>
      <c r="O260" s="11" t="s">
        <v>70</v>
      </c>
      <c r="P260" s="11" t="s">
        <v>48</v>
      </c>
      <c r="Q260" s="11" t="s">
        <v>90</v>
      </c>
      <c r="R260" s="11" t="s">
        <v>92</v>
      </c>
      <c r="S260" s="12">
        <v>25</v>
      </c>
      <c r="T260" s="12">
        <v>50</v>
      </c>
      <c r="U260" s="11"/>
      <c r="V260" s="11" t="s">
        <v>46</v>
      </c>
      <c r="W260" s="11" t="s">
        <v>47</v>
      </c>
      <c r="X260" s="11" t="s">
        <v>89</v>
      </c>
      <c r="Y260" s="11" t="s">
        <v>91</v>
      </c>
      <c r="Z260" s="11" t="s">
        <v>71</v>
      </c>
      <c r="AA260" s="11"/>
      <c r="AB260" s="13">
        <v>2</v>
      </c>
      <c r="AC260" s="11" t="s">
        <v>1516</v>
      </c>
      <c r="AD260" s="11"/>
      <c r="AE260" s="11"/>
      <c r="AF260" s="14">
        <v>46203</v>
      </c>
      <c r="AG260" s="11" t="s">
        <v>43</v>
      </c>
      <c r="AH260" s="11" t="s">
        <v>58</v>
      </c>
    </row>
    <row r="261" spans="1:34" ht="17.25" customHeight="1" x14ac:dyDescent="0.25">
      <c r="A261" s="11" t="s">
        <v>61</v>
      </c>
      <c r="B261" s="11" t="s">
        <v>62</v>
      </c>
      <c r="C261" s="11"/>
      <c r="D261" s="11" t="s">
        <v>97</v>
      </c>
      <c r="E261" s="11" t="s">
        <v>59</v>
      </c>
      <c r="F261" s="11"/>
      <c r="G261" s="11" t="s">
        <v>63</v>
      </c>
      <c r="H261" s="11" t="s">
        <v>64</v>
      </c>
      <c r="I261" s="11" t="s">
        <v>65</v>
      </c>
      <c r="J261" s="11" t="s">
        <v>98</v>
      </c>
      <c r="K261" s="11" t="s">
        <v>66</v>
      </c>
      <c r="L261" s="11" t="s">
        <v>67</v>
      </c>
      <c r="M261" s="11" t="s">
        <v>99</v>
      </c>
      <c r="N261" s="11" t="s">
        <v>100</v>
      </c>
      <c r="O261" s="11" t="s">
        <v>70</v>
      </c>
      <c r="P261" s="11" t="s">
        <v>48</v>
      </c>
      <c r="Q261" s="11" t="s">
        <v>52</v>
      </c>
      <c r="R261" s="11" t="s">
        <v>54</v>
      </c>
      <c r="S261" s="12">
        <v>12.336</v>
      </c>
      <c r="T261" s="12">
        <v>12.336</v>
      </c>
      <c r="U261" s="11"/>
      <c r="V261" s="11" t="s">
        <v>46</v>
      </c>
      <c r="W261" s="11" t="s">
        <v>47</v>
      </c>
      <c r="X261" s="11" t="s">
        <v>51</v>
      </c>
      <c r="Y261" s="11" t="s">
        <v>53</v>
      </c>
      <c r="Z261" s="11" t="s">
        <v>71</v>
      </c>
      <c r="AA261" s="11"/>
      <c r="AB261" s="13">
        <v>1</v>
      </c>
      <c r="AC261" s="11" t="s">
        <v>1516</v>
      </c>
      <c r="AD261" s="11"/>
      <c r="AE261" s="11"/>
      <c r="AF261" s="14">
        <v>46203</v>
      </c>
      <c r="AG261" s="11" t="s">
        <v>95</v>
      </c>
      <c r="AH261" s="11" t="s">
        <v>58</v>
      </c>
    </row>
    <row r="262" spans="1:34" ht="17.25" customHeight="1" x14ac:dyDescent="0.25">
      <c r="A262" s="11" t="s">
        <v>61</v>
      </c>
      <c r="B262" s="11" t="s">
        <v>62</v>
      </c>
      <c r="C262" s="11"/>
      <c r="D262" s="11" t="s">
        <v>245</v>
      </c>
      <c r="E262" s="11" t="s">
        <v>109</v>
      </c>
      <c r="F262" s="11"/>
      <c r="G262" s="11" t="s">
        <v>111</v>
      </c>
      <c r="H262" s="11" t="s">
        <v>112</v>
      </c>
      <c r="I262" s="11" t="s">
        <v>113</v>
      </c>
      <c r="J262" s="11"/>
      <c r="K262" s="11" t="s">
        <v>114</v>
      </c>
      <c r="L262" s="11" t="s">
        <v>115</v>
      </c>
      <c r="M262" s="11" t="s">
        <v>246</v>
      </c>
      <c r="N262" s="11" t="s">
        <v>247</v>
      </c>
      <c r="O262" s="11" t="s">
        <v>118</v>
      </c>
      <c r="P262" s="11" t="s">
        <v>48</v>
      </c>
      <c r="Q262" s="11" t="s">
        <v>242</v>
      </c>
      <c r="R262" s="11" t="s">
        <v>54</v>
      </c>
      <c r="S262" s="12">
        <v>10.92</v>
      </c>
      <c r="T262" s="12">
        <v>928.2</v>
      </c>
      <c r="U262" s="11" t="s">
        <v>101</v>
      </c>
      <c r="V262" s="11" t="s">
        <v>46</v>
      </c>
      <c r="W262" s="11" t="s">
        <v>47</v>
      </c>
      <c r="X262" s="11" t="s">
        <v>241</v>
      </c>
      <c r="Y262" s="11" t="s">
        <v>243</v>
      </c>
      <c r="Z262" s="11" t="s">
        <v>71</v>
      </c>
      <c r="AA262" s="11" t="s">
        <v>244</v>
      </c>
      <c r="AB262" s="13">
        <v>85</v>
      </c>
      <c r="AC262" s="11" t="s">
        <v>1516</v>
      </c>
      <c r="AD262" s="11"/>
      <c r="AE262" s="11"/>
      <c r="AF262" s="14">
        <v>46203</v>
      </c>
      <c r="AG262" s="11" t="s">
        <v>240</v>
      </c>
      <c r="AH262" s="11" t="s">
        <v>58</v>
      </c>
    </row>
    <row r="263" spans="1:34" ht="17.25" customHeight="1" x14ac:dyDescent="0.25">
      <c r="A263" s="11" t="s">
        <v>61</v>
      </c>
      <c r="B263" s="11" t="s">
        <v>62</v>
      </c>
      <c r="C263" s="11"/>
      <c r="D263" s="11" t="s">
        <v>251</v>
      </c>
      <c r="E263" s="11" t="s">
        <v>109</v>
      </c>
      <c r="F263" s="11"/>
      <c r="G263" s="11" t="s">
        <v>111</v>
      </c>
      <c r="H263" s="11" t="s">
        <v>112</v>
      </c>
      <c r="I263" s="11" t="s">
        <v>113</v>
      </c>
      <c r="J263" s="11" t="s">
        <v>98</v>
      </c>
      <c r="K263" s="11" t="s">
        <v>114</v>
      </c>
      <c r="L263" s="11" t="s">
        <v>115</v>
      </c>
      <c r="M263" s="11" t="s">
        <v>252</v>
      </c>
      <c r="N263" s="11" t="s">
        <v>253</v>
      </c>
      <c r="O263" s="11" t="s">
        <v>118</v>
      </c>
      <c r="P263" s="11" t="s">
        <v>48</v>
      </c>
      <c r="Q263" s="11" t="s">
        <v>242</v>
      </c>
      <c r="R263" s="11" t="s">
        <v>54</v>
      </c>
      <c r="S263" s="12">
        <v>10.92</v>
      </c>
      <c r="T263" s="12">
        <v>262.08</v>
      </c>
      <c r="U263" s="11" t="s">
        <v>101</v>
      </c>
      <c r="V263" s="11" t="s">
        <v>46</v>
      </c>
      <c r="W263" s="11" t="s">
        <v>47</v>
      </c>
      <c r="X263" s="11" t="s">
        <v>241</v>
      </c>
      <c r="Y263" s="11" t="s">
        <v>243</v>
      </c>
      <c r="Z263" s="11" t="s">
        <v>71</v>
      </c>
      <c r="AA263" s="11" t="s">
        <v>244</v>
      </c>
      <c r="AB263" s="13">
        <v>24</v>
      </c>
      <c r="AC263" s="11" t="s">
        <v>1516</v>
      </c>
      <c r="AD263" s="11"/>
      <c r="AE263" s="11"/>
      <c r="AF263" s="14">
        <v>46203</v>
      </c>
      <c r="AG263" s="11" t="s">
        <v>248</v>
      </c>
      <c r="AH263" s="11" t="s">
        <v>58</v>
      </c>
    </row>
    <row r="264" spans="1:34" ht="17.25" customHeight="1" x14ac:dyDescent="0.25">
      <c r="A264" s="11" t="s">
        <v>61</v>
      </c>
      <c r="B264" s="11" t="s">
        <v>62</v>
      </c>
      <c r="C264" s="11"/>
      <c r="D264" s="11" t="s">
        <v>1446</v>
      </c>
      <c r="E264" s="11" t="s">
        <v>320</v>
      </c>
      <c r="F264" s="11"/>
      <c r="G264" s="11" t="s">
        <v>321</v>
      </c>
      <c r="H264" s="11" t="s">
        <v>322</v>
      </c>
      <c r="I264" s="11" t="s">
        <v>322</v>
      </c>
      <c r="J264" s="11"/>
      <c r="K264" s="11" t="s">
        <v>323</v>
      </c>
      <c r="L264" s="11" t="s">
        <v>324</v>
      </c>
      <c r="M264" s="11" t="s">
        <v>1447</v>
      </c>
      <c r="N264" s="11" t="s">
        <v>1448</v>
      </c>
      <c r="O264" s="11" t="s">
        <v>118</v>
      </c>
      <c r="P264" s="11" t="s">
        <v>1362</v>
      </c>
      <c r="Q264" s="11" t="s">
        <v>494</v>
      </c>
      <c r="R264" s="11" t="s">
        <v>496</v>
      </c>
      <c r="S264" s="12">
        <v>0</v>
      </c>
      <c r="T264" s="12">
        <v>0</v>
      </c>
      <c r="U264" s="11" t="s">
        <v>311</v>
      </c>
      <c r="V264" s="11" t="s">
        <v>1360</v>
      </c>
      <c r="W264" s="11" t="s">
        <v>1361</v>
      </c>
      <c r="X264" s="11" t="s">
        <v>493</v>
      </c>
      <c r="Y264" s="11" t="s">
        <v>495</v>
      </c>
      <c r="Z264" s="11" t="s">
        <v>501</v>
      </c>
      <c r="AA264" s="11"/>
      <c r="AB264" s="13">
        <v>7</v>
      </c>
      <c r="AC264" s="11" t="s">
        <v>1529</v>
      </c>
      <c r="AD264" s="11"/>
      <c r="AE264" s="11"/>
      <c r="AF264" s="14">
        <v>46203</v>
      </c>
      <c r="AG264" s="11" t="s">
        <v>1444</v>
      </c>
      <c r="AH264" s="11" t="s">
        <v>1445</v>
      </c>
    </row>
    <row r="265" spans="1:34" ht="17.25" customHeight="1" x14ac:dyDescent="0.25">
      <c r="A265" s="11" t="s">
        <v>61</v>
      </c>
      <c r="B265" s="11" t="s">
        <v>62</v>
      </c>
      <c r="C265" s="11"/>
      <c r="D265" s="11" t="s">
        <v>1392</v>
      </c>
      <c r="E265" s="11" t="s">
        <v>320</v>
      </c>
      <c r="F265" s="11"/>
      <c r="G265" s="11" t="s">
        <v>321</v>
      </c>
      <c r="H265" s="11" t="s">
        <v>322</v>
      </c>
      <c r="I265" s="11" t="s">
        <v>322</v>
      </c>
      <c r="J265" s="11"/>
      <c r="K265" s="11" t="s">
        <v>323</v>
      </c>
      <c r="L265" s="11" t="s">
        <v>324</v>
      </c>
      <c r="M265" s="11" t="s">
        <v>1451</v>
      </c>
      <c r="N265" s="11" t="s">
        <v>1452</v>
      </c>
      <c r="O265" s="11" t="s">
        <v>118</v>
      </c>
      <c r="P265" s="11" t="s">
        <v>1362</v>
      </c>
      <c r="Q265" s="11" t="s">
        <v>1276</v>
      </c>
      <c r="R265" s="11" t="s">
        <v>54</v>
      </c>
      <c r="S265" s="12">
        <v>13.096</v>
      </c>
      <c r="T265" s="12">
        <v>2357.2800000000002</v>
      </c>
      <c r="U265" s="11" t="s">
        <v>311</v>
      </c>
      <c r="V265" s="11" t="s">
        <v>1360</v>
      </c>
      <c r="W265" s="11" t="s">
        <v>1361</v>
      </c>
      <c r="X265" s="11" t="s">
        <v>1275</v>
      </c>
      <c r="Y265" s="11" t="s">
        <v>1277</v>
      </c>
      <c r="Z265" s="11" t="s">
        <v>71</v>
      </c>
      <c r="AA265" s="11"/>
      <c r="AB265" s="13">
        <v>180</v>
      </c>
      <c r="AC265" s="11" t="s">
        <v>1529</v>
      </c>
      <c r="AD265" s="11"/>
      <c r="AE265" s="11"/>
      <c r="AF265" s="14">
        <v>46203</v>
      </c>
      <c r="AG265" s="11" t="s">
        <v>1449</v>
      </c>
      <c r="AH265" s="11" t="s">
        <v>1445</v>
      </c>
    </row>
    <row r="266" spans="1:34" ht="17.25" customHeight="1" x14ac:dyDescent="0.25">
      <c r="A266" s="11" t="s">
        <v>61</v>
      </c>
      <c r="B266" s="11" t="s">
        <v>62</v>
      </c>
      <c r="C266" s="11"/>
      <c r="D266" s="11" t="s">
        <v>1392</v>
      </c>
      <c r="E266" s="11" t="s">
        <v>320</v>
      </c>
      <c r="F266" s="11"/>
      <c r="G266" s="11" t="s">
        <v>321</v>
      </c>
      <c r="H266" s="11" t="s">
        <v>322</v>
      </c>
      <c r="I266" s="11" t="s">
        <v>322</v>
      </c>
      <c r="J266" s="11"/>
      <c r="K266" s="11" t="s">
        <v>323</v>
      </c>
      <c r="L266" s="11" t="s">
        <v>324</v>
      </c>
      <c r="M266" s="11" t="s">
        <v>1451</v>
      </c>
      <c r="N266" s="11" t="s">
        <v>1452</v>
      </c>
      <c r="O266" s="11" t="s">
        <v>118</v>
      </c>
      <c r="P266" s="11" t="s">
        <v>1362</v>
      </c>
      <c r="Q266" s="11" t="s">
        <v>330</v>
      </c>
      <c r="R266" s="11" t="s">
        <v>54</v>
      </c>
      <c r="S266" s="12">
        <v>9.6</v>
      </c>
      <c r="T266" s="12">
        <v>96</v>
      </c>
      <c r="U266" s="11" t="s">
        <v>311</v>
      </c>
      <c r="V266" s="11" t="s">
        <v>1360</v>
      </c>
      <c r="W266" s="11" t="s">
        <v>1361</v>
      </c>
      <c r="X266" s="11" t="s">
        <v>329</v>
      </c>
      <c r="Y266" s="11" t="s">
        <v>331</v>
      </c>
      <c r="Z266" s="11" t="s">
        <v>71</v>
      </c>
      <c r="AA266" s="11"/>
      <c r="AB266" s="13">
        <v>10</v>
      </c>
      <c r="AC266" s="11" t="s">
        <v>1529</v>
      </c>
      <c r="AD266" s="11"/>
      <c r="AE266" s="11"/>
      <c r="AF266" s="14">
        <v>46203</v>
      </c>
      <c r="AG266" s="11" t="s">
        <v>1449</v>
      </c>
      <c r="AH266" s="11" t="s">
        <v>1445</v>
      </c>
    </row>
    <row r="267" spans="1:34" ht="17.25" customHeight="1" x14ac:dyDescent="0.25">
      <c r="A267" s="11" t="s">
        <v>61</v>
      </c>
      <c r="B267" s="11" t="s">
        <v>62</v>
      </c>
      <c r="C267" s="11"/>
      <c r="D267" s="11" t="s">
        <v>1392</v>
      </c>
      <c r="E267" s="11" t="s">
        <v>320</v>
      </c>
      <c r="F267" s="11"/>
      <c r="G267" s="11" t="s">
        <v>321</v>
      </c>
      <c r="H267" s="11" t="s">
        <v>322</v>
      </c>
      <c r="I267" s="11" t="s">
        <v>322</v>
      </c>
      <c r="J267" s="11"/>
      <c r="K267" s="11" t="s">
        <v>323</v>
      </c>
      <c r="L267" s="11" t="s">
        <v>324</v>
      </c>
      <c r="M267" s="11" t="s">
        <v>1451</v>
      </c>
      <c r="N267" s="11" t="s">
        <v>1452</v>
      </c>
      <c r="O267" s="11" t="s">
        <v>118</v>
      </c>
      <c r="P267" s="11" t="s">
        <v>1362</v>
      </c>
      <c r="Q267" s="11" t="s">
        <v>1146</v>
      </c>
      <c r="R267" s="11" t="s">
        <v>54</v>
      </c>
      <c r="S267" s="12">
        <v>16.8</v>
      </c>
      <c r="T267" s="12">
        <v>84</v>
      </c>
      <c r="U267" s="11" t="s">
        <v>311</v>
      </c>
      <c r="V267" s="11" t="s">
        <v>1360</v>
      </c>
      <c r="W267" s="11" t="s">
        <v>1361</v>
      </c>
      <c r="X267" s="11" t="s">
        <v>1145</v>
      </c>
      <c r="Y267" s="11" t="s">
        <v>1147</v>
      </c>
      <c r="Z267" s="11" t="s">
        <v>71</v>
      </c>
      <c r="AA267" s="11"/>
      <c r="AB267" s="13">
        <v>5</v>
      </c>
      <c r="AC267" s="11" t="s">
        <v>1529</v>
      </c>
      <c r="AD267" s="11"/>
      <c r="AE267" s="11"/>
      <c r="AF267" s="14">
        <v>46203</v>
      </c>
      <c r="AG267" s="11" t="s">
        <v>1449</v>
      </c>
      <c r="AH267" s="11" t="s">
        <v>1445</v>
      </c>
    </row>
    <row r="268" spans="1:34" ht="17.25" customHeight="1" x14ac:dyDescent="0.25">
      <c r="A268" s="11" t="s">
        <v>61</v>
      </c>
      <c r="B268" s="11" t="s">
        <v>62</v>
      </c>
      <c r="C268" s="11"/>
      <c r="D268" s="11" t="s">
        <v>1392</v>
      </c>
      <c r="E268" s="11" t="s">
        <v>320</v>
      </c>
      <c r="F268" s="11"/>
      <c r="G268" s="11" t="s">
        <v>321</v>
      </c>
      <c r="H268" s="11" t="s">
        <v>322</v>
      </c>
      <c r="I268" s="11" t="s">
        <v>322</v>
      </c>
      <c r="J268" s="11"/>
      <c r="K268" s="11" t="s">
        <v>323</v>
      </c>
      <c r="L268" s="11" t="s">
        <v>324</v>
      </c>
      <c r="M268" s="11" t="s">
        <v>1451</v>
      </c>
      <c r="N268" s="11" t="s">
        <v>1452</v>
      </c>
      <c r="O268" s="11" t="s">
        <v>118</v>
      </c>
      <c r="P268" s="11" t="s">
        <v>1362</v>
      </c>
      <c r="Q268" s="11" t="s">
        <v>1292</v>
      </c>
      <c r="R268" s="11" t="s">
        <v>54</v>
      </c>
      <c r="S268" s="12">
        <v>6.12</v>
      </c>
      <c r="T268" s="12">
        <v>30.6</v>
      </c>
      <c r="U268" s="11" t="s">
        <v>311</v>
      </c>
      <c r="V268" s="11" t="s">
        <v>1360</v>
      </c>
      <c r="W268" s="11" t="s">
        <v>1361</v>
      </c>
      <c r="X268" s="11" t="s">
        <v>1291</v>
      </c>
      <c r="Y268" s="11" t="s">
        <v>1293</v>
      </c>
      <c r="Z268" s="11" t="s">
        <v>71</v>
      </c>
      <c r="AA268" s="11"/>
      <c r="AB268" s="13">
        <v>5</v>
      </c>
      <c r="AC268" s="11" t="s">
        <v>1529</v>
      </c>
      <c r="AD268" s="11"/>
      <c r="AE268" s="11"/>
      <c r="AF268" s="14">
        <v>46203</v>
      </c>
      <c r="AG268" s="11" t="s">
        <v>1449</v>
      </c>
      <c r="AH268" s="11" t="s">
        <v>1445</v>
      </c>
    </row>
    <row r="269" spans="1:34" ht="17.25" customHeight="1" x14ac:dyDescent="0.25">
      <c r="A269" s="11" t="s">
        <v>61</v>
      </c>
      <c r="B269" s="11" t="s">
        <v>62</v>
      </c>
      <c r="C269" s="11"/>
      <c r="D269" s="11" t="s">
        <v>1392</v>
      </c>
      <c r="E269" s="11" t="s">
        <v>320</v>
      </c>
      <c r="F269" s="11"/>
      <c r="G269" s="11" t="s">
        <v>321</v>
      </c>
      <c r="H269" s="11" t="s">
        <v>322</v>
      </c>
      <c r="I269" s="11" t="s">
        <v>322</v>
      </c>
      <c r="J269" s="11"/>
      <c r="K269" s="11" t="s">
        <v>323</v>
      </c>
      <c r="L269" s="11" t="s">
        <v>324</v>
      </c>
      <c r="M269" s="11" t="s">
        <v>1451</v>
      </c>
      <c r="N269" s="11" t="s">
        <v>1452</v>
      </c>
      <c r="O269" s="11" t="s">
        <v>118</v>
      </c>
      <c r="P269" s="11" t="s">
        <v>1362</v>
      </c>
      <c r="Q269" s="11" t="s">
        <v>1301</v>
      </c>
      <c r="R269" s="11" t="s">
        <v>54</v>
      </c>
      <c r="S269" s="12">
        <v>9.6</v>
      </c>
      <c r="T269" s="12">
        <v>96</v>
      </c>
      <c r="U269" s="11" t="s">
        <v>311</v>
      </c>
      <c r="V269" s="11" t="s">
        <v>1360</v>
      </c>
      <c r="W269" s="11" t="s">
        <v>1361</v>
      </c>
      <c r="X269" s="11" t="s">
        <v>1300</v>
      </c>
      <c r="Y269" s="11" t="s">
        <v>1302</v>
      </c>
      <c r="Z269" s="11" t="s">
        <v>71</v>
      </c>
      <c r="AA269" s="11"/>
      <c r="AB269" s="13">
        <v>10</v>
      </c>
      <c r="AC269" s="11" t="s">
        <v>1529</v>
      </c>
      <c r="AD269" s="11"/>
      <c r="AE269" s="11"/>
      <c r="AF269" s="14">
        <v>46203</v>
      </c>
      <c r="AG269" s="11" t="s">
        <v>1449</v>
      </c>
      <c r="AH269" s="11" t="s">
        <v>1445</v>
      </c>
    </row>
    <row r="270" spans="1:34" ht="17.25" customHeight="1" x14ac:dyDescent="0.25">
      <c r="A270" s="11" t="s">
        <v>61</v>
      </c>
      <c r="B270" s="11" t="s">
        <v>62</v>
      </c>
      <c r="C270" s="11"/>
      <c r="D270" s="11" t="s">
        <v>1392</v>
      </c>
      <c r="E270" s="11" t="s">
        <v>320</v>
      </c>
      <c r="F270" s="11"/>
      <c r="G270" s="11" t="s">
        <v>321</v>
      </c>
      <c r="H270" s="11" t="s">
        <v>322</v>
      </c>
      <c r="I270" s="11" t="s">
        <v>322</v>
      </c>
      <c r="J270" s="11"/>
      <c r="K270" s="11" t="s">
        <v>323</v>
      </c>
      <c r="L270" s="11" t="s">
        <v>324</v>
      </c>
      <c r="M270" s="11" t="s">
        <v>1451</v>
      </c>
      <c r="N270" s="11" t="s">
        <v>1452</v>
      </c>
      <c r="O270" s="11" t="s">
        <v>118</v>
      </c>
      <c r="P270" s="11" t="s">
        <v>1362</v>
      </c>
      <c r="Q270" s="11" t="s">
        <v>335</v>
      </c>
      <c r="R270" s="11" t="s">
        <v>54</v>
      </c>
      <c r="S270" s="12">
        <v>10.8</v>
      </c>
      <c r="T270" s="12">
        <v>162</v>
      </c>
      <c r="U270" s="11" t="s">
        <v>311</v>
      </c>
      <c r="V270" s="11" t="s">
        <v>1360</v>
      </c>
      <c r="W270" s="11" t="s">
        <v>1361</v>
      </c>
      <c r="X270" s="11" t="s">
        <v>334</v>
      </c>
      <c r="Y270" s="11" t="s">
        <v>336</v>
      </c>
      <c r="Z270" s="11" t="s">
        <v>71</v>
      </c>
      <c r="AA270" s="11"/>
      <c r="AB270" s="13">
        <v>15</v>
      </c>
      <c r="AC270" s="11" t="s">
        <v>1529</v>
      </c>
      <c r="AD270" s="11"/>
      <c r="AE270" s="11"/>
      <c r="AF270" s="14">
        <v>46203</v>
      </c>
      <c r="AG270" s="11" t="s">
        <v>1449</v>
      </c>
      <c r="AH270" s="11" t="s">
        <v>1445</v>
      </c>
    </row>
    <row r="271" spans="1:34" ht="17.25" customHeight="1" x14ac:dyDescent="0.25">
      <c r="A271" s="11" t="s">
        <v>61</v>
      </c>
      <c r="B271" s="11" t="s">
        <v>62</v>
      </c>
      <c r="C271" s="11"/>
      <c r="D271" s="11" t="s">
        <v>1392</v>
      </c>
      <c r="E271" s="11" t="s">
        <v>320</v>
      </c>
      <c r="F271" s="11"/>
      <c r="G271" s="11" t="s">
        <v>321</v>
      </c>
      <c r="H271" s="11" t="s">
        <v>322</v>
      </c>
      <c r="I271" s="11" t="s">
        <v>322</v>
      </c>
      <c r="J271" s="11"/>
      <c r="K271" s="11" t="s">
        <v>323</v>
      </c>
      <c r="L271" s="11" t="s">
        <v>324</v>
      </c>
      <c r="M271" s="11" t="s">
        <v>1451</v>
      </c>
      <c r="N271" s="11" t="s">
        <v>1452</v>
      </c>
      <c r="O271" s="11" t="s">
        <v>118</v>
      </c>
      <c r="P271" s="11" t="s">
        <v>1362</v>
      </c>
      <c r="Q271" s="11" t="s">
        <v>341</v>
      </c>
      <c r="R271" s="11" t="s">
        <v>343</v>
      </c>
      <c r="S271" s="12">
        <v>20</v>
      </c>
      <c r="T271" s="12">
        <v>100</v>
      </c>
      <c r="U271" s="11" t="s">
        <v>311</v>
      </c>
      <c r="V271" s="11" t="s">
        <v>1360</v>
      </c>
      <c r="W271" s="11" t="s">
        <v>1361</v>
      </c>
      <c r="X271" s="11" t="s">
        <v>340</v>
      </c>
      <c r="Y271" s="11" t="s">
        <v>342</v>
      </c>
      <c r="Z271" s="11" t="s">
        <v>71</v>
      </c>
      <c r="AA271" s="11"/>
      <c r="AB271" s="13">
        <v>5</v>
      </c>
      <c r="AC271" s="11" t="s">
        <v>1529</v>
      </c>
      <c r="AD271" s="11"/>
      <c r="AE271" s="11"/>
      <c r="AF271" s="14">
        <v>46203</v>
      </c>
      <c r="AG271" s="11" t="s">
        <v>1449</v>
      </c>
      <c r="AH271" s="11" t="s">
        <v>1445</v>
      </c>
    </row>
    <row r="272" spans="1:34" ht="17.25" customHeight="1" x14ac:dyDescent="0.25">
      <c r="A272" s="11" t="s">
        <v>61</v>
      </c>
      <c r="B272" s="11" t="s">
        <v>62</v>
      </c>
      <c r="C272" s="11"/>
      <c r="D272" s="11" t="s">
        <v>1392</v>
      </c>
      <c r="E272" s="11" t="s">
        <v>320</v>
      </c>
      <c r="F272" s="11"/>
      <c r="G272" s="11" t="s">
        <v>321</v>
      </c>
      <c r="H272" s="11" t="s">
        <v>322</v>
      </c>
      <c r="I272" s="11" t="s">
        <v>322</v>
      </c>
      <c r="J272" s="11"/>
      <c r="K272" s="11" t="s">
        <v>323</v>
      </c>
      <c r="L272" s="11" t="s">
        <v>324</v>
      </c>
      <c r="M272" s="11" t="s">
        <v>1451</v>
      </c>
      <c r="N272" s="11" t="s">
        <v>1452</v>
      </c>
      <c r="O272" s="11" t="s">
        <v>118</v>
      </c>
      <c r="P272" s="11" t="s">
        <v>1362</v>
      </c>
      <c r="Q272" s="11" t="s">
        <v>1309</v>
      </c>
      <c r="R272" s="11" t="s">
        <v>54</v>
      </c>
      <c r="S272" s="12">
        <v>12</v>
      </c>
      <c r="T272" s="12">
        <v>120</v>
      </c>
      <c r="U272" s="11" t="s">
        <v>311</v>
      </c>
      <c r="V272" s="11" t="s">
        <v>1360</v>
      </c>
      <c r="W272" s="11" t="s">
        <v>1361</v>
      </c>
      <c r="X272" s="11" t="s">
        <v>1308</v>
      </c>
      <c r="Y272" s="11" t="s">
        <v>1310</v>
      </c>
      <c r="Z272" s="11" t="s">
        <v>71</v>
      </c>
      <c r="AA272" s="11"/>
      <c r="AB272" s="13">
        <v>10</v>
      </c>
      <c r="AC272" s="11" t="s">
        <v>1529</v>
      </c>
      <c r="AD272" s="11"/>
      <c r="AE272" s="11"/>
      <c r="AF272" s="14">
        <v>46203</v>
      </c>
      <c r="AG272" s="11" t="s">
        <v>1449</v>
      </c>
      <c r="AH272" s="11" t="s">
        <v>1445</v>
      </c>
    </row>
    <row r="273" spans="1:34" ht="17.25" customHeight="1" x14ac:dyDescent="0.25">
      <c r="A273" s="11" t="s">
        <v>61</v>
      </c>
      <c r="B273" s="11" t="s">
        <v>62</v>
      </c>
      <c r="C273" s="11"/>
      <c r="D273" s="11" t="s">
        <v>1392</v>
      </c>
      <c r="E273" s="11" t="s">
        <v>320</v>
      </c>
      <c r="F273" s="11"/>
      <c r="G273" s="11" t="s">
        <v>321</v>
      </c>
      <c r="H273" s="11" t="s">
        <v>322</v>
      </c>
      <c r="I273" s="11" t="s">
        <v>322</v>
      </c>
      <c r="J273" s="11"/>
      <c r="K273" s="11" t="s">
        <v>1459</v>
      </c>
      <c r="L273" s="11" t="s">
        <v>1460</v>
      </c>
      <c r="M273" s="11" t="s">
        <v>1461</v>
      </c>
      <c r="N273" s="11" t="s">
        <v>1462</v>
      </c>
      <c r="O273" s="11" t="s">
        <v>118</v>
      </c>
      <c r="P273" s="11" t="s">
        <v>1362</v>
      </c>
      <c r="Q273" s="11" t="s">
        <v>1457</v>
      </c>
      <c r="R273" s="11" t="s">
        <v>92</v>
      </c>
      <c r="S273" s="12">
        <v>25</v>
      </c>
      <c r="T273" s="12">
        <v>75</v>
      </c>
      <c r="U273" s="11" t="s">
        <v>311</v>
      </c>
      <c r="V273" s="11" t="s">
        <v>1360</v>
      </c>
      <c r="W273" s="11" t="s">
        <v>1361</v>
      </c>
      <c r="X273" s="11" t="s">
        <v>1456</v>
      </c>
      <c r="Y273" s="11" t="s">
        <v>1458</v>
      </c>
      <c r="Z273" s="11" t="s">
        <v>71</v>
      </c>
      <c r="AA273" s="11"/>
      <c r="AB273" s="13">
        <v>3</v>
      </c>
      <c r="AC273" s="11" t="s">
        <v>1529</v>
      </c>
      <c r="AD273" s="11"/>
      <c r="AE273" s="11"/>
      <c r="AF273" s="14">
        <v>46203</v>
      </c>
      <c r="AG273" s="11" t="s">
        <v>1455</v>
      </c>
      <c r="AH273" s="11" t="s">
        <v>1445</v>
      </c>
    </row>
    <row r="274" spans="1:34" ht="17.25" customHeight="1" x14ac:dyDescent="0.25">
      <c r="A274" s="11" t="s">
        <v>61</v>
      </c>
      <c r="B274" s="11" t="s">
        <v>62</v>
      </c>
      <c r="C274" s="11"/>
      <c r="D274" s="11" t="s">
        <v>1441</v>
      </c>
      <c r="E274" s="11" t="s">
        <v>320</v>
      </c>
      <c r="F274" s="11"/>
      <c r="G274" s="11" t="s">
        <v>321</v>
      </c>
      <c r="H274" s="11" t="s">
        <v>322</v>
      </c>
      <c r="I274" s="11" t="s">
        <v>322</v>
      </c>
      <c r="J274" s="11" t="s">
        <v>98</v>
      </c>
      <c r="K274" s="11" t="s">
        <v>323</v>
      </c>
      <c r="L274" s="11" t="s">
        <v>324</v>
      </c>
      <c r="M274" s="11" t="s">
        <v>1465</v>
      </c>
      <c r="N274" s="11" t="s">
        <v>1466</v>
      </c>
      <c r="O274" s="11" t="s">
        <v>118</v>
      </c>
      <c r="P274" s="11" t="s">
        <v>1362</v>
      </c>
      <c r="Q274" s="11" t="s">
        <v>1276</v>
      </c>
      <c r="R274" s="11" t="s">
        <v>54</v>
      </c>
      <c r="S274" s="12">
        <v>13.096</v>
      </c>
      <c r="T274" s="12">
        <v>196.44</v>
      </c>
      <c r="U274" s="11" t="s">
        <v>311</v>
      </c>
      <c r="V274" s="11" t="s">
        <v>1360</v>
      </c>
      <c r="W274" s="11" t="s">
        <v>1361</v>
      </c>
      <c r="X274" s="11" t="s">
        <v>1275</v>
      </c>
      <c r="Y274" s="11" t="s">
        <v>1277</v>
      </c>
      <c r="Z274" s="11" t="s">
        <v>71</v>
      </c>
      <c r="AA274" s="11"/>
      <c r="AB274" s="13">
        <v>15</v>
      </c>
      <c r="AC274" s="11" t="s">
        <v>1529</v>
      </c>
      <c r="AD274" s="11"/>
      <c r="AE274" s="11"/>
      <c r="AF274" s="14">
        <v>46203</v>
      </c>
      <c r="AG274" s="11" t="s">
        <v>1463</v>
      </c>
      <c r="AH274" s="11" t="s">
        <v>1445</v>
      </c>
    </row>
    <row r="275" spans="1:34" ht="17.25" customHeight="1" x14ac:dyDescent="0.25">
      <c r="A275" s="11" t="s">
        <v>61</v>
      </c>
      <c r="B275" s="11" t="s">
        <v>62</v>
      </c>
      <c r="C275" s="11"/>
      <c r="D275" s="11" t="s">
        <v>1441</v>
      </c>
      <c r="E275" s="11" t="s">
        <v>320</v>
      </c>
      <c r="F275" s="11"/>
      <c r="G275" s="11" t="s">
        <v>321</v>
      </c>
      <c r="H275" s="11" t="s">
        <v>322</v>
      </c>
      <c r="I275" s="11" t="s">
        <v>322</v>
      </c>
      <c r="J275" s="11" t="s">
        <v>98</v>
      </c>
      <c r="K275" s="11" t="s">
        <v>323</v>
      </c>
      <c r="L275" s="11" t="s">
        <v>324</v>
      </c>
      <c r="M275" s="11" t="s">
        <v>1465</v>
      </c>
      <c r="N275" s="11" t="s">
        <v>1466</v>
      </c>
      <c r="O275" s="11" t="s">
        <v>118</v>
      </c>
      <c r="P275" s="11" t="s">
        <v>1362</v>
      </c>
      <c r="Q275" s="11" t="s">
        <v>1468</v>
      </c>
      <c r="R275" s="11" t="s">
        <v>54</v>
      </c>
      <c r="S275" s="12">
        <v>12</v>
      </c>
      <c r="T275" s="12">
        <v>12</v>
      </c>
      <c r="U275" s="11" t="s">
        <v>311</v>
      </c>
      <c r="V275" s="11" t="s">
        <v>1360</v>
      </c>
      <c r="W275" s="11" t="s">
        <v>1361</v>
      </c>
      <c r="X275" s="11" t="s">
        <v>1467</v>
      </c>
      <c r="Y275" s="11" t="s">
        <v>1469</v>
      </c>
      <c r="Z275" s="11" t="s">
        <v>71</v>
      </c>
      <c r="AA275" s="11"/>
      <c r="AB275" s="13">
        <v>1</v>
      </c>
      <c r="AC275" s="11" t="s">
        <v>1529</v>
      </c>
      <c r="AD275" s="11"/>
      <c r="AE275" s="11"/>
      <c r="AF275" s="14">
        <v>46203</v>
      </c>
      <c r="AG275" s="11" t="s">
        <v>1463</v>
      </c>
      <c r="AH275" s="11" t="s">
        <v>1445</v>
      </c>
    </row>
    <row r="276" spans="1:34" ht="17.25" customHeight="1" x14ac:dyDescent="0.25">
      <c r="A276" s="11" t="s">
        <v>61</v>
      </c>
      <c r="B276" s="11" t="s">
        <v>62</v>
      </c>
      <c r="C276" s="11"/>
      <c r="D276" s="11" t="s">
        <v>1323</v>
      </c>
      <c r="E276" s="11" t="s">
        <v>283</v>
      </c>
      <c r="F276" s="11"/>
      <c r="G276" s="11" t="s">
        <v>285</v>
      </c>
      <c r="H276" s="11" t="s">
        <v>112</v>
      </c>
      <c r="I276" s="11" t="s">
        <v>272</v>
      </c>
      <c r="J276" s="11"/>
      <c r="K276" s="11" t="s">
        <v>114</v>
      </c>
      <c r="L276" s="11" t="s">
        <v>115</v>
      </c>
      <c r="M276" s="11" t="s">
        <v>1324</v>
      </c>
      <c r="N276" s="11" t="s">
        <v>1325</v>
      </c>
      <c r="O276" s="11" t="s">
        <v>118</v>
      </c>
      <c r="P276" s="11" t="s">
        <v>1319</v>
      </c>
      <c r="Q276" s="11" t="s">
        <v>104</v>
      </c>
      <c r="R276" s="11" t="s">
        <v>54</v>
      </c>
      <c r="S276" s="12">
        <v>10.92</v>
      </c>
      <c r="T276" s="12">
        <v>1769.04</v>
      </c>
      <c r="U276" s="11" t="s">
        <v>101</v>
      </c>
      <c r="V276" s="11" t="s">
        <v>1317</v>
      </c>
      <c r="W276" s="11" t="s">
        <v>1318</v>
      </c>
      <c r="X276" s="11" t="s">
        <v>103</v>
      </c>
      <c r="Y276" s="11" t="s">
        <v>105</v>
      </c>
      <c r="Z276" s="11" t="s">
        <v>71</v>
      </c>
      <c r="AA276" s="11"/>
      <c r="AB276" s="13">
        <v>162</v>
      </c>
      <c r="AC276" s="11" t="s">
        <v>1530</v>
      </c>
      <c r="AD276" s="11"/>
      <c r="AE276" s="11"/>
      <c r="AF276" s="14">
        <v>46203</v>
      </c>
      <c r="AG276" s="11" t="s">
        <v>1315</v>
      </c>
      <c r="AH276" s="11" t="s">
        <v>1322</v>
      </c>
    </row>
    <row r="277" spans="1:34" ht="17.25" customHeight="1" x14ac:dyDescent="0.25">
      <c r="A277" s="11" t="s">
        <v>61</v>
      </c>
      <c r="B277" s="11" t="s">
        <v>62</v>
      </c>
      <c r="C277" s="11"/>
      <c r="D277" s="11" t="s">
        <v>1323</v>
      </c>
      <c r="E277" s="11" t="s">
        <v>283</v>
      </c>
      <c r="F277" s="11"/>
      <c r="G277" s="11" t="s">
        <v>285</v>
      </c>
      <c r="H277" s="11" t="s">
        <v>112</v>
      </c>
      <c r="I277" s="11" t="s">
        <v>272</v>
      </c>
      <c r="J277" s="11"/>
      <c r="K277" s="11" t="s">
        <v>114</v>
      </c>
      <c r="L277" s="11" t="s">
        <v>115</v>
      </c>
      <c r="M277" s="11" t="s">
        <v>1324</v>
      </c>
      <c r="N277" s="11" t="s">
        <v>1325</v>
      </c>
      <c r="O277" s="11" t="s">
        <v>118</v>
      </c>
      <c r="P277" s="11" t="s">
        <v>1319</v>
      </c>
      <c r="Q277" s="11" t="s">
        <v>242</v>
      </c>
      <c r="R277" s="11" t="s">
        <v>54</v>
      </c>
      <c r="S277" s="12">
        <v>10.92</v>
      </c>
      <c r="T277" s="12">
        <v>928.2</v>
      </c>
      <c r="U277" s="11" t="s">
        <v>101</v>
      </c>
      <c r="V277" s="11" t="s">
        <v>1317</v>
      </c>
      <c r="W277" s="11" t="s">
        <v>1318</v>
      </c>
      <c r="X277" s="11" t="s">
        <v>241</v>
      </c>
      <c r="Y277" s="11" t="s">
        <v>243</v>
      </c>
      <c r="Z277" s="11" t="s">
        <v>71</v>
      </c>
      <c r="AA277" s="11"/>
      <c r="AB277" s="13">
        <v>85</v>
      </c>
      <c r="AC277" s="11" t="s">
        <v>1530</v>
      </c>
      <c r="AD277" s="11"/>
      <c r="AE277" s="11"/>
      <c r="AF277" s="14">
        <v>46203</v>
      </c>
      <c r="AG277" s="11" t="s">
        <v>1315</v>
      </c>
      <c r="AH277" s="11" t="s">
        <v>1322</v>
      </c>
    </row>
    <row r="278" spans="1:34" ht="17.25" customHeight="1" x14ac:dyDescent="0.25">
      <c r="A278" s="11" t="s">
        <v>61</v>
      </c>
      <c r="B278" s="11" t="s">
        <v>62</v>
      </c>
      <c r="C278" s="11"/>
      <c r="D278" s="11" t="s">
        <v>1323</v>
      </c>
      <c r="E278" s="11" t="s">
        <v>283</v>
      </c>
      <c r="F278" s="11"/>
      <c r="G278" s="11" t="s">
        <v>285</v>
      </c>
      <c r="H278" s="11" t="s">
        <v>112</v>
      </c>
      <c r="I278" s="11" t="s">
        <v>272</v>
      </c>
      <c r="J278" s="11"/>
      <c r="K278" s="11" t="s">
        <v>114</v>
      </c>
      <c r="L278" s="11" t="s">
        <v>115</v>
      </c>
      <c r="M278" s="11" t="s">
        <v>1324</v>
      </c>
      <c r="N278" s="11" t="s">
        <v>1325</v>
      </c>
      <c r="O278" s="11" t="s">
        <v>118</v>
      </c>
      <c r="P278" s="11" t="s">
        <v>1319</v>
      </c>
      <c r="Q278" s="11" t="s">
        <v>126</v>
      </c>
      <c r="R278" s="11" t="s">
        <v>54</v>
      </c>
      <c r="S278" s="12">
        <v>10.92</v>
      </c>
      <c r="T278" s="12">
        <v>709.8</v>
      </c>
      <c r="U278" s="11" t="s">
        <v>101</v>
      </c>
      <c r="V278" s="11" t="s">
        <v>1317</v>
      </c>
      <c r="W278" s="11" t="s">
        <v>1318</v>
      </c>
      <c r="X278" s="11" t="s">
        <v>125</v>
      </c>
      <c r="Y278" s="11" t="s">
        <v>127</v>
      </c>
      <c r="Z278" s="11" t="s">
        <v>71</v>
      </c>
      <c r="AA278" s="11"/>
      <c r="AB278" s="13">
        <v>65</v>
      </c>
      <c r="AC278" s="11" t="s">
        <v>1530</v>
      </c>
      <c r="AD278" s="11"/>
      <c r="AE278" s="11"/>
      <c r="AF278" s="14">
        <v>46203</v>
      </c>
      <c r="AG278" s="11" t="s">
        <v>1315</v>
      </c>
      <c r="AH278" s="11" t="s">
        <v>1322</v>
      </c>
    </row>
    <row r="279" spans="1:34" ht="17.25" customHeight="1" x14ac:dyDescent="0.25">
      <c r="A279" s="11" t="s">
        <v>61</v>
      </c>
      <c r="B279" s="11" t="s">
        <v>62</v>
      </c>
      <c r="C279" s="11"/>
      <c r="D279" s="11" t="s">
        <v>1323</v>
      </c>
      <c r="E279" s="11" t="s">
        <v>283</v>
      </c>
      <c r="F279" s="11"/>
      <c r="G279" s="11" t="s">
        <v>285</v>
      </c>
      <c r="H279" s="11" t="s">
        <v>112</v>
      </c>
      <c r="I279" s="11" t="s">
        <v>272</v>
      </c>
      <c r="J279" s="11"/>
      <c r="K279" s="11" t="s">
        <v>114</v>
      </c>
      <c r="L279" s="11" t="s">
        <v>115</v>
      </c>
      <c r="M279" s="11" t="s">
        <v>1324</v>
      </c>
      <c r="N279" s="11" t="s">
        <v>1325</v>
      </c>
      <c r="O279" s="11" t="s">
        <v>118</v>
      </c>
      <c r="P279" s="11" t="s">
        <v>1319</v>
      </c>
      <c r="Q279" s="11" t="s">
        <v>455</v>
      </c>
      <c r="R279" s="11" t="s">
        <v>54</v>
      </c>
      <c r="S279" s="12">
        <v>18.2</v>
      </c>
      <c r="T279" s="12">
        <v>655.19999999999993</v>
      </c>
      <c r="U279" s="11" t="s">
        <v>101</v>
      </c>
      <c r="V279" s="11" t="s">
        <v>1317</v>
      </c>
      <c r="W279" s="11" t="s">
        <v>1318</v>
      </c>
      <c r="X279" s="11" t="s">
        <v>454</v>
      </c>
      <c r="Y279" s="11" t="s">
        <v>456</v>
      </c>
      <c r="Z279" s="11" t="s">
        <v>71</v>
      </c>
      <c r="AA279" s="11"/>
      <c r="AB279" s="13">
        <v>36</v>
      </c>
      <c r="AC279" s="11" t="s">
        <v>1530</v>
      </c>
      <c r="AD279" s="11"/>
      <c r="AE279" s="11"/>
      <c r="AF279" s="14">
        <v>46203</v>
      </c>
      <c r="AG279" s="11" t="s">
        <v>1315</v>
      </c>
      <c r="AH279" s="11" t="s">
        <v>1322</v>
      </c>
    </row>
    <row r="280" spans="1:34" ht="17.25" customHeight="1" x14ac:dyDescent="0.25">
      <c r="A280" s="11" t="s">
        <v>61</v>
      </c>
      <c r="B280" s="11" t="s">
        <v>62</v>
      </c>
      <c r="C280" s="11"/>
      <c r="D280" s="11" t="s">
        <v>1323</v>
      </c>
      <c r="E280" s="11" t="s">
        <v>283</v>
      </c>
      <c r="F280" s="11"/>
      <c r="G280" s="11" t="s">
        <v>285</v>
      </c>
      <c r="H280" s="11" t="s">
        <v>112</v>
      </c>
      <c r="I280" s="11" t="s">
        <v>272</v>
      </c>
      <c r="J280" s="11"/>
      <c r="K280" s="11" t="s">
        <v>114</v>
      </c>
      <c r="L280" s="11" t="s">
        <v>115</v>
      </c>
      <c r="M280" s="11" t="s">
        <v>1324</v>
      </c>
      <c r="N280" s="11" t="s">
        <v>1325</v>
      </c>
      <c r="O280" s="11" t="s">
        <v>118</v>
      </c>
      <c r="P280" s="11" t="s">
        <v>1319</v>
      </c>
      <c r="Q280" s="11" t="s">
        <v>141</v>
      </c>
      <c r="R280" s="11" t="s">
        <v>54</v>
      </c>
      <c r="S280" s="12">
        <v>10.92</v>
      </c>
      <c r="T280" s="12">
        <v>742.56</v>
      </c>
      <c r="U280" s="11" t="s">
        <v>101</v>
      </c>
      <c r="V280" s="11" t="s">
        <v>1317</v>
      </c>
      <c r="W280" s="11" t="s">
        <v>1318</v>
      </c>
      <c r="X280" s="11" t="s">
        <v>584</v>
      </c>
      <c r="Y280" s="11" t="s">
        <v>585</v>
      </c>
      <c r="Z280" s="11" t="s">
        <v>71</v>
      </c>
      <c r="AA280" s="11"/>
      <c r="AB280" s="13">
        <v>68</v>
      </c>
      <c r="AC280" s="11" t="s">
        <v>1530</v>
      </c>
      <c r="AD280" s="11"/>
      <c r="AE280" s="11"/>
      <c r="AF280" s="14">
        <v>46203</v>
      </c>
      <c r="AG280" s="11" t="s">
        <v>1315</v>
      </c>
      <c r="AH280" s="11" t="s">
        <v>1322</v>
      </c>
    </row>
    <row r="281" spans="1:34" ht="17.25" customHeight="1" x14ac:dyDescent="0.25">
      <c r="A281" s="11" t="s">
        <v>61</v>
      </c>
      <c r="B281" s="11" t="s">
        <v>62</v>
      </c>
      <c r="C281" s="11"/>
      <c r="D281" s="11" t="s">
        <v>1323</v>
      </c>
      <c r="E281" s="11" t="s">
        <v>283</v>
      </c>
      <c r="F281" s="11"/>
      <c r="G281" s="11" t="s">
        <v>285</v>
      </c>
      <c r="H281" s="11" t="s">
        <v>112</v>
      </c>
      <c r="I281" s="11" t="s">
        <v>272</v>
      </c>
      <c r="J281" s="11"/>
      <c r="K281" s="11" t="s">
        <v>114</v>
      </c>
      <c r="L281" s="11" t="s">
        <v>115</v>
      </c>
      <c r="M281" s="11" t="s">
        <v>1324</v>
      </c>
      <c r="N281" s="11" t="s">
        <v>1325</v>
      </c>
      <c r="O281" s="11" t="s">
        <v>118</v>
      </c>
      <c r="P281" s="11" t="s">
        <v>1319</v>
      </c>
      <c r="Q281" s="11" t="s">
        <v>146</v>
      </c>
      <c r="R281" s="11" t="s">
        <v>54</v>
      </c>
      <c r="S281" s="12">
        <v>18.2</v>
      </c>
      <c r="T281" s="12">
        <v>1310.3999999999999</v>
      </c>
      <c r="U281" s="11" t="s">
        <v>101</v>
      </c>
      <c r="V281" s="11" t="s">
        <v>1317</v>
      </c>
      <c r="W281" s="11" t="s">
        <v>1318</v>
      </c>
      <c r="X281" s="11" t="s">
        <v>581</v>
      </c>
      <c r="Y281" s="11" t="s">
        <v>582</v>
      </c>
      <c r="Z281" s="11" t="s">
        <v>71</v>
      </c>
      <c r="AA281" s="11"/>
      <c r="AB281" s="13">
        <v>72</v>
      </c>
      <c r="AC281" s="11" t="s">
        <v>1530</v>
      </c>
      <c r="AD281" s="11"/>
      <c r="AE281" s="11"/>
      <c r="AF281" s="14">
        <v>46203</v>
      </c>
      <c r="AG281" s="11" t="s">
        <v>1315</v>
      </c>
      <c r="AH281" s="11" t="s">
        <v>1322</v>
      </c>
    </row>
    <row r="282" spans="1:34" ht="17.25" customHeight="1" x14ac:dyDescent="0.25">
      <c r="A282" s="11" t="s">
        <v>61</v>
      </c>
      <c r="B282" s="11" t="s">
        <v>62</v>
      </c>
      <c r="C282" s="11"/>
      <c r="D282" s="11" t="s">
        <v>1323</v>
      </c>
      <c r="E282" s="11" t="s">
        <v>283</v>
      </c>
      <c r="F282" s="11"/>
      <c r="G282" s="11" t="s">
        <v>285</v>
      </c>
      <c r="H282" s="11" t="s">
        <v>112</v>
      </c>
      <c r="I282" s="11" t="s">
        <v>272</v>
      </c>
      <c r="J282" s="11"/>
      <c r="K282" s="11" t="s">
        <v>114</v>
      </c>
      <c r="L282" s="11" t="s">
        <v>115</v>
      </c>
      <c r="M282" s="11" t="s">
        <v>1324</v>
      </c>
      <c r="N282" s="11" t="s">
        <v>1325</v>
      </c>
      <c r="O282" s="11" t="s">
        <v>118</v>
      </c>
      <c r="P282" s="11" t="s">
        <v>1319</v>
      </c>
      <c r="Q282" s="11" t="s">
        <v>152</v>
      </c>
      <c r="R282" s="11" t="s">
        <v>54</v>
      </c>
      <c r="S282" s="12">
        <v>18.2</v>
      </c>
      <c r="T282" s="12">
        <v>3276</v>
      </c>
      <c r="U282" s="11" t="s">
        <v>101</v>
      </c>
      <c r="V282" s="11" t="s">
        <v>1317</v>
      </c>
      <c r="W282" s="11" t="s">
        <v>1318</v>
      </c>
      <c r="X282" s="11" t="s">
        <v>1331</v>
      </c>
      <c r="Y282" s="11" t="s">
        <v>1332</v>
      </c>
      <c r="Z282" s="11" t="s">
        <v>71</v>
      </c>
      <c r="AA282" s="11"/>
      <c r="AB282" s="13">
        <v>180</v>
      </c>
      <c r="AC282" s="11" t="s">
        <v>1530</v>
      </c>
      <c r="AD282" s="11"/>
      <c r="AE282" s="11"/>
      <c r="AF282" s="14">
        <v>46203</v>
      </c>
      <c r="AG282" s="11" t="s">
        <v>1315</v>
      </c>
      <c r="AH282" s="11" t="s">
        <v>1322</v>
      </c>
    </row>
    <row r="283" spans="1:34" ht="17.25" customHeight="1" x14ac:dyDescent="0.25">
      <c r="A283" s="11" t="s">
        <v>61</v>
      </c>
      <c r="B283" s="11" t="s">
        <v>62</v>
      </c>
      <c r="C283" s="11"/>
      <c r="D283" s="11" t="s">
        <v>1323</v>
      </c>
      <c r="E283" s="11" t="s">
        <v>283</v>
      </c>
      <c r="F283" s="11"/>
      <c r="G283" s="11" t="s">
        <v>285</v>
      </c>
      <c r="H283" s="11" t="s">
        <v>112</v>
      </c>
      <c r="I283" s="11" t="s">
        <v>272</v>
      </c>
      <c r="J283" s="11"/>
      <c r="K283" s="11" t="s">
        <v>114</v>
      </c>
      <c r="L283" s="11" t="s">
        <v>115</v>
      </c>
      <c r="M283" s="11" t="s">
        <v>1324</v>
      </c>
      <c r="N283" s="11" t="s">
        <v>1325</v>
      </c>
      <c r="O283" s="11" t="s">
        <v>118</v>
      </c>
      <c r="P283" s="11" t="s">
        <v>1319</v>
      </c>
      <c r="Q283" s="11" t="s">
        <v>426</v>
      </c>
      <c r="R283" s="11" t="s">
        <v>428</v>
      </c>
      <c r="S283" s="12">
        <v>25</v>
      </c>
      <c r="T283" s="12">
        <v>3000</v>
      </c>
      <c r="U283" s="11" t="s">
        <v>101</v>
      </c>
      <c r="V283" s="11" t="s">
        <v>1317</v>
      </c>
      <c r="W283" s="11" t="s">
        <v>1318</v>
      </c>
      <c r="X283" s="11" t="s">
        <v>1333</v>
      </c>
      <c r="Y283" s="11" t="s">
        <v>1334</v>
      </c>
      <c r="Z283" s="11" t="s">
        <v>71</v>
      </c>
      <c r="AA283" s="11"/>
      <c r="AB283" s="13">
        <v>120</v>
      </c>
      <c r="AC283" s="11" t="s">
        <v>1530</v>
      </c>
      <c r="AD283" s="11"/>
      <c r="AE283" s="11"/>
      <c r="AF283" s="14">
        <v>46203</v>
      </c>
      <c r="AG283" s="11" t="s">
        <v>1315</v>
      </c>
      <c r="AH283" s="11" t="s">
        <v>1322</v>
      </c>
    </row>
    <row r="284" spans="1:34" ht="17.25" customHeight="1" x14ac:dyDescent="0.25">
      <c r="A284" s="11" t="s">
        <v>61</v>
      </c>
      <c r="B284" s="11" t="s">
        <v>62</v>
      </c>
      <c r="C284" s="11"/>
      <c r="D284" s="11" t="s">
        <v>1323</v>
      </c>
      <c r="E284" s="11" t="s">
        <v>283</v>
      </c>
      <c r="F284" s="11"/>
      <c r="G284" s="11" t="s">
        <v>285</v>
      </c>
      <c r="H284" s="11" t="s">
        <v>112</v>
      </c>
      <c r="I284" s="11" t="s">
        <v>272</v>
      </c>
      <c r="J284" s="11"/>
      <c r="K284" s="11" t="s">
        <v>114</v>
      </c>
      <c r="L284" s="11" t="s">
        <v>115</v>
      </c>
      <c r="M284" s="11" t="s">
        <v>1324</v>
      </c>
      <c r="N284" s="11" t="s">
        <v>1325</v>
      </c>
      <c r="O284" s="11" t="s">
        <v>118</v>
      </c>
      <c r="P284" s="11" t="s">
        <v>1319</v>
      </c>
      <c r="Q284" s="11" t="s">
        <v>1337</v>
      </c>
      <c r="R284" s="11" t="s">
        <v>428</v>
      </c>
      <c r="S284" s="12">
        <v>25</v>
      </c>
      <c r="T284" s="12">
        <v>750</v>
      </c>
      <c r="U284" s="11" t="s">
        <v>101</v>
      </c>
      <c r="V284" s="11" t="s">
        <v>1317</v>
      </c>
      <c r="W284" s="11" t="s">
        <v>1318</v>
      </c>
      <c r="X284" s="11" t="s">
        <v>1336</v>
      </c>
      <c r="Y284" s="11" t="s">
        <v>1338</v>
      </c>
      <c r="Z284" s="11" t="s">
        <v>71</v>
      </c>
      <c r="AA284" s="11"/>
      <c r="AB284" s="13">
        <v>30</v>
      </c>
      <c r="AC284" s="11" t="s">
        <v>1530</v>
      </c>
      <c r="AD284" s="11"/>
      <c r="AE284" s="11"/>
      <c r="AF284" s="14">
        <v>46203</v>
      </c>
      <c r="AG284" s="11" t="s">
        <v>1315</v>
      </c>
      <c r="AH284" s="11" t="s">
        <v>1322</v>
      </c>
    </row>
    <row r="285" spans="1:34" ht="17.25" customHeight="1" x14ac:dyDescent="0.25">
      <c r="A285" s="11" t="s">
        <v>61</v>
      </c>
      <c r="B285" s="11" t="s">
        <v>62</v>
      </c>
      <c r="C285" s="11"/>
      <c r="D285" s="11" t="s">
        <v>1323</v>
      </c>
      <c r="E285" s="11" t="s">
        <v>283</v>
      </c>
      <c r="F285" s="11"/>
      <c r="G285" s="11" t="s">
        <v>285</v>
      </c>
      <c r="H285" s="11" t="s">
        <v>112</v>
      </c>
      <c r="I285" s="11" t="s">
        <v>272</v>
      </c>
      <c r="J285" s="11"/>
      <c r="K285" s="11" t="s">
        <v>114</v>
      </c>
      <c r="L285" s="11" t="s">
        <v>115</v>
      </c>
      <c r="M285" s="11" t="s">
        <v>1324</v>
      </c>
      <c r="N285" s="11" t="s">
        <v>1325</v>
      </c>
      <c r="O285" s="11" t="s">
        <v>118</v>
      </c>
      <c r="P285" s="11" t="s">
        <v>1319</v>
      </c>
      <c r="Q285" s="11" t="s">
        <v>432</v>
      </c>
      <c r="R285" s="11" t="s">
        <v>428</v>
      </c>
      <c r="S285" s="12">
        <v>25</v>
      </c>
      <c r="T285" s="12">
        <v>1500</v>
      </c>
      <c r="U285" s="11" t="s">
        <v>101</v>
      </c>
      <c r="V285" s="11" t="s">
        <v>1317</v>
      </c>
      <c r="W285" s="11" t="s">
        <v>1318</v>
      </c>
      <c r="X285" s="11" t="s">
        <v>1339</v>
      </c>
      <c r="Y285" s="11" t="s">
        <v>1340</v>
      </c>
      <c r="Z285" s="11" t="s">
        <v>71</v>
      </c>
      <c r="AA285" s="11"/>
      <c r="AB285" s="13">
        <v>60</v>
      </c>
      <c r="AC285" s="11" t="s">
        <v>1530</v>
      </c>
      <c r="AD285" s="11"/>
      <c r="AE285" s="11"/>
      <c r="AF285" s="14">
        <v>46203</v>
      </c>
      <c r="AG285" s="11" t="s">
        <v>1315</v>
      </c>
      <c r="AH285" s="11" t="s">
        <v>1322</v>
      </c>
    </row>
    <row r="286" spans="1:34" ht="17.25" customHeight="1" x14ac:dyDescent="0.25">
      <c r="A286" s="11" t="s">
        <v>269</v>
      </c>
      <c r="B286" s="11" t="s">
        <v>270</v>
      </c>
      <c r="C286" s="11"/>
      <c r="D286" s="11" t="s">
        <v>268</v>
      </c>
      <c r="E286" s="11" t="s">
        <v>267</v>
      </c>
      <c r="F286" s="11"/>
      <c r="G286" s="11" t="s">
        <v>271</v>
      </c>
      <c r="H286" s="11" t="s">
        <v>112</v>
      </c>
      <c r="I286" s="11" t="s">
        <v>272</v>
      </c>
      <c r="J286" s="11"/>
      <c r="K286" s="11" t="s">
        <v>273</v>
      </c>
      <c r="L286" s="11" t="s">
        <v>274</v>
      </c>
      <c r="M286" s="11" t="s">
        <v>275</v>
      </c>
      <c r="N286" s="11" t="s">
        <v>276</v>
      </c>
      <c r="O286" s="11" t="s">
        <v>118</v>
      </c>
      <c r="P286" s="11" t="s">
        <v>259</v>
      </c>
      <c r="Q286" s="11" t="s">
        <v>263</v>
      </c>
      <c r="R286" s="11" t="s">
        <v>54</v>
      </c>
      <c r="S286" s="12">
        <v>10</v>
      </c>
      <c r="T286" s="12">
        <v>500</v>
      </c>
      <c r="U286" s="11" t="s">
        <v>254</v>
      </c>
      <c r="V286" s="11" t="s">
        <v>257</v>
      </c>
      <c r="W286" s="11" t="s">
        <v>258</v>
      </c>
      <c r="X286" s="11" t="s">
        <v>262</v>
      </c>
      <c r="Y286" s="11" t="s">
        <v>264</v>
      </c>
      <c r="Z286" s="11" t="s">
        <v>71</v>
      </c>
      <c r="AA286" s="11" t="s">
        <v>265</v>
      </c>
      <c r="AB286" s="13">
        <v>50</v>
      </c>
      <c r="AC286" s="11" t="s">
        <v>1497</v>
      </c>
      <c r="AD286" s="11"/>
      <c r="AE286" s="11"/>
      <c r="AF286" s="14">
        <v>46203</v>
      </c>
      <c r="AG286" s="11" t="s">
        <v>255</v>
      </c>
      <c r="AH286" s="11" t="s">
        <v>266</v>
      </c>
    </row>
    <row r="287" spans="1:34" ht="17.25" customHeight="1" x14ac:dyDescent="0.25">
      <c r="A287" s="11" t="s">
        <v>269</v>
      </c>
      <c r="B287" s="11" t="s">
        <v>270</v>
      </c>
      <c r="C287" s="11"/>
      <c r="D287" s="11" t="s">
        <v>793</v>
      </c>
      <c r="E287" s="11" t="s">
        <v>473</v>
      </c>
      <c r="F287" s="11"/>
      <c r="G287" s="11" t="s">
        <v>474</v>
      </c>
      <c r="H287" s="11" t="s">
        <v>794</v>
      </c>
      <c r="I287" s="11" t="s">
        <v>272</v>
      </c>
      <c r="J287" s="11" t="s">
        <v>795</v>
      </c>
      <c r="K287" s="11" t="s">
        <v>373</v>
      </c>
      <c r="L287" s="11" t="s">
        <v>374</v>
      </c>
      <c r="M287" s="11" t="s">
        <v>796</v>
      </c>
      <c r="N287" s="11" t="s">
        <v>797</v>
      </c>
      <c r="O287" s="11" t="s">
        <v>118</v>
      </c>
      <c r="P287" s="11" t="s">
        <v>790</v>
      </c>
      <c r="Q287" s="11" t="s">
        <v>476</v>
      </c>
      <c r="R287" s="11" t="s">
        <v>54</v>
      </c>
      <c r="S287" s="12">
        <v>10</v>
      </c>
      <c r="T287" s="12">
        <v>200</v>
      </c>
      <c r="U287" s="11" t="s">
        <v>363</v>
      </c>
      <c r="V287" s="11" t="s">
        <v>788</v>
      </c>
      <c r="W287" s="11" t="s">
        <v>789</v>
      </c>
      <c r="X287" s="11" t="s">
        <v>475</v>
      </c>
      <c r="Y287" s="11" t="s">
        <v>477</v>
      </c>
      <c r="Z287" s="11" t="s">
        <v>71</v>
      </c>
      <c r="AA287" s="11" t="s">
        <v>791</v>
      </c>
      <c r="AB287" s="13">
        <v>20</v>
      </c>
      <c r="AC287" s="11" t="s">
        <v>1531</v>
      </c>
      <c r="AD287" s="11"/>
      <c r="AE287" s="11"/>
      <c r="AF287" s="14">
        <v>46203</v>
      </c>
      <c r="AG287" s="11" t="s">
        <v>786</v>
      </c>
      <c r="AH287" s="11" t="s">
        <v>792</v>
      </c>
    </row>
    <row r="288" spans="1:34" ht="17.25" customHeight="1" x14ac:dyDescent="0.25">
      <c r="A288" s="11" t="s">
        <v>269</v>
      </c>
      <c r="B288" s="11" t="s">
        <v>270</v>
      </c>
      <c r="C288" s="11"/>
      <c r="D288" s="11" t="s">
        <v>804</v>
      </c>
      <c r="E288" s="11" t="s">
        <v>283</v>
      </c>
      <c r="F288" s="11"/>
      <c r="G288" s="11" t="s">
        <v>285</v>
      </c>
      <c r="H288" s="11" t="s">
        <v>794</v>
      </c>
      <c r="I288" s="11" t="s">
        <v>272</v>
      </c>
      <c r="J288" s="11" t="s">
        <v>805</v>
      </c>
      <c r="K288" s="11" t="s">
        <v>114</v>
      </c>
      <c r="L288" s="11" t="s">
        <v>115</v>
      </c>
      <c r="M288" s="11" t="s">
        <v>806</v>
      </c>
      <c r="N288" s="11" t="s">
        <v>807</v>
      </c>
      <c r="O288" s="11" t="s">
        <v>118</v>
      </c>
      <c r="P288" s="11" t="s">
        <v>790</v>
      </c>
      <c r="Q288" s="11" t="s">
        <v>802</v>
      </c>
      <c r="R288" s="11" t="s">
        <v>280</v>
      </c>
      <c r="S288" s="12">
        <v>25</v>
      </c>
      <c r="T288" s="12">
        <v>1000</v>
      </c>
      <c r="U288" s="11" t="s">
        <v>101</v>
      </c>
      <c r="V288" s="11" t="s">
        <v>788</v>
      </c>
      <c r="W288" s="11" t="s">
        <v>789</v>
      </c>
      <c r="X288" s="11" t="s">
        <v>801</v>
      </c>
      <c r="Y288" s="11" t="s">
        <v>803</v>
      </c>
      <c r="Z288" s="11" t="s">
        <v>71</v>
      </c>
      <c r="AA288" s="11" t="s">
        <v>791</v>
      </c>
      <c r="AB288" s="13">
        <v>1</v>
      </c>
      <c r="AC288" s="11" t="s">
        <v>1531</v>
      </c>
      <c r="AD288" s="11"/>
      <c r="AE288" s="11"/>
      <c r="AF288" s="14">
        <v>46203</v>
      </c>
      <c r="AG288" s="11" t="s">
        <v>800</v>
      </c>
      <c r="AH288" s="11" t="s">
        <v>792</v>
      </c>
    </row>
    <row r="289" spans="1:34" ht="17.25" customHeight="1" x14ac:dyDescent="0.25">
      <c r="A289" s="11" t="s">
        <v>61</v>
      </c>
      <c r="B289" s="11" t="s">
        <v>62</v>
      </c>
      <c r="C289" s="11"/>
      <c r="D289" s="11" t="s">
        <v>418</v>
      </c>
      <c r="E289" s="11" t="s">
        <v>109</v>
      </c>
      <c r="F289" s="11"/>
      <c r="G289" s="11" t="s">
        <v>111</v>
      </c>
      <c r="H289" s="11" t="s">
        <v>112</v>
      </c>
      <c r="I289" s="11" t="s">
        <v>113</v>
      </c>
      <c r="J289" s="11"/>
      <c r="K289" s="11" t="s">
        <v>114</v>
      </c>
      <c r="L289" s="11" t="s">
        <v>115</v>
      </c>
      <c r="M289" s="11" t="s">
        <v>419</v>
      </c>
      <c r="N289" s="11" t="s">
        <v>420</v>
      </c>
      <c r="O289" s="11" t="s">
        <v>118</v>
      </c>
      <c r="P289" s="11" t="s">
        <v>413</v>
      </c>
      <c r="Q289" s="11" t="s">
        <v>415</v>
      </c>
      <c r="R289" s="11" t="s">
        <v>54</v>
      </c>
      <c r="S289" s="12">
        <v>10.92</v>
      </c>
      <c r="T289" s="12">
        <v>928.2</v>
      </c>
      <c r="U289" s="11" t="s">
        <v>101</v>
      </c>
      <c r="V289" s="11" t="s">
        <v>411</v>
      </c>
      <c r="W289" s="11" t="s">
        <v>412</v>
      </c>
      <c r="X289" s="11" t="s">
        <v>414</v>
      </c>
      <c r="Y289" s="11" t="s">
        <v>416</v>
      </c>
      <c r="Z289" s="11" t="s">
        <v>71</v>
      </c>
      <c r="AA289" s="11"/>
      <c r="AB289" s="13">
        <v>85</v>
      </c>
      <c r="AC289" s="11" t="s">
        <v>1532</v>
      </c>
      <c r="AD289" s="11"/>
      <c r="AE289" s="11"/>
      <c r="AF289" s="14">
        <v>46203</v>
      </c>
      <c r="AG289" s="11" t="s">
        <v>409</v>
      </c>
      <c r="AH289" s="11" t="s">
        <v>417</v>
      </c>
    </row>
    <row r="290" spans="1:34" ht="17.25" customHeight="1" x14ac:dyDescent="0.25">
      <c r="A290" s="11" t="s">
        <v>61</v>
      </c>
      <c r="B290" s="11" t="s">
        <v>62</v>
      </c>
      <c r="C290" s="11"/>
      <c r="D290" s="11" t="s">
        <v>418</v>
      </c>
      <c r="E290" s="11" t="s">
        <v>109</v>
      </c>
      <c r="F290" s="11"/>
      <c r="G290" s="11" t="s">
        <v>111</v>
      </c>
      <c r="H290" s="11" t="s">
        <v>112</v>
      </c>
      <c r="I290" s="11" t="s">
        <v>113</v>
      </c>
      <c r="J290" s="11"/>
      <c r="K290" s="11" t="s">
        <v>114</v>
      </c>
      <c r="L290" s="11" t="s">
        <v>115</v>
      </c>
      <c r="M290" s="11" t="s">
        <v>419</v>
      </c>
      <c r="N290" s="11" t="s">
        <v>420</v>
      </c>
      <c r="O290" s="11" t="s">
        <v>118</v>
      </c>
      <c r="P290" s="11" t="s">
        <v>413</v>
      </c>
      <c r="Q290" s="11" t="s">
        <v>141</v>
      </c>
      <c r="R290" s="11" t="s">
        <v>54</v>
      </c>
      <c r="S290" s="12">
        <v>10.92</v>
      </c>
      <c r="T290" s="12">
        <v>1856.4</v>
      </c>
      <c r="U290" s="11" t="s">
        <v>101</v>
      </c>
      <c r="V290" s="11" t="s">
        <v>411</v>
      </c>
      <c r="W290" s="11" t="s">
        <v>412</v>
      </c>
      <c r="X290" s="11" t="s">
        <v>140</v>
      </c>
      <c r="Y290" s="11" t="s">
        <v>142</v>
      </c>
      <c r="Z290" s="11" t="s">
        <v>71</v>
      </c>
      <c r="AA290" s="11"/>
      <c r="AB290" s="13">
        <v>170</v>
      </c>
      <c r="AC290" s="11" t="s">
        <v>1532</v>
      </c>
      <c r="AD290" s="11"/>
      <c r="AE290" s="11"/>
      <c r="AF290" s="14">
        <v>46203</v>
      </c>
      <c r="AG290" s="11" t="s">
        <v>409</v>
      </c>
      <c r="AH290" s="11" t="s">
        <v>417</v>
      </c>
    </row>
    <row r="291" spans="1:34" ht="17.25" customHeight="1" x14ac:dyDescent="0.25">
      <c r="A291" s="11" t="s">
        <v>61</v>
      </c>
      <c r="B291" s="11" t="s">
        <v>62</v>
      </c>
      <c r="C291" s="11"/>
      <c r="D291" s="11" t="s">
        <v>418</v>
      </c>
      <c r="E291" s="11" t="s">
        <v>109</v>
      </c>
      <c r="F291" s="11"/>
      <c r="G291" s="11" t="s">
        <v>111</v>
      </c>
      <c r="H291" s="11" t="s">
        <v>112</v>
      </c>
      <c r="I291" s="11" t="s">
        <v>113</v>
      </c>
      <c r="J291" s="11"/>
      <c r="K291" s="11" t="s">
        <v>114</v>
      </c>
      <c r="L291" s="11" t="s">
        <v>115</v>
      </c>
      <c r="M291" s="11" t="s">
        <v>419</v>
      </c>
      <c r="N291" s="11" t="s">
        <v>420</v>
      </c>
      <c r="O291" s="11" t="s">
        <v>118</v>
      </c>
      <c r="P291" s="11" t="s">
        <v>413</v>
      </c>
      <c r="Q291" s="11" t="s">
        <v>146</v>
      </c>
      <c r="R291" s="11" t="s">
        <v>54</v>
      </c>
      <c r="S291" s="12">
        <v>18.2</v>
      </c>
      <c r="T291" s="12">
        <v>1965.6</v>
      </c>
      <c r="U291" s="11" t="s">
        <v>101</v>
      </c>
      <c r="V291" s="11" t="s">
        <v>411</v>
      </c>
      <c r="W291" s="11" t="s">
        <v>412</v>
      </c>
      <c r="X291" s="11" t="s">
        <v>145</v>
      </c>
      <c r="Y291" s="11" t="s">
        <v>147</v>
      </c>
      <c r="Z291" s="11" t="s">
        <v>71</v>
      </c>
      <c r="AA291" s="11"/>
      <c r="AB291" s="13">
        <v>108</v>
      </c>
      <c r="AC291" s="11" t="s">
        <v>1532</v>
      </c>
      <c r="AD291" s="11"/>
      <c r="AE291" s="11"/>
      <c r="AF291" s="14">
        <v>46203</v>
      </c>
      <c r="AG291" s="11" t="s">
        <v>409</v>
      </c>
      <c r="AH291" s="11" t="s">
        <v>417</v>
      </c>
    </row>
    <row r="292" spans="1:34" ht="17.25" customHeight="1" x14ac:dyDescent="0.25">
      <c r="A292" s="11" t="s">
        <v>61</v>
      </c>
      <c r="B292" s="11" t="s">
        <v>62</v>
      </c>
      <c r="C292" s="11"/>
      <c r="D292" s="11" t="s">
        <v>418</v>
      </c>
      <c r="E292" s="11" t="s">
        <v>109</v>
      </c>
      <c r="F292" s="11"/>
      <c r="G292" s="11" t="s">
        <v>111</v>
      </c>
      <c r="H292" s="11" t="s">
        <v>112</v>
      </c>
      <c r="I292" s="11" t="s">
        <v>113</v>
      </c>
      <c r="J292" s="11"/>
      <c r="K292" s="11" t="s">
        <v>114</v>
      </c>
      <c r="L292" s="11" t="s">
        <v>115</v>
      </c>
      <c r="M292" s="11" t="s">
        <v>419</v>
      </c>
      <c r="N292" s="11" t="s">
        <v>420</v>
      </c>
      <c r="O292" s="11" t="s">
        <v>118</v>
      </c>
      <c r="P292" s="11" t="s">
        <v>413</v>
      </c>
      <c r="Q292" s="11" t="s">
        <v>307</v>
      </c>
      <c r="R292" s="11" t="s">
        <v>54</v>
      </c>
      <c r="S292" s="12">
        <v>9.61</v>
      </c>
      <c r="T292" s="12">
        <v>816.84999999999991</v>
      </c>
      <c r="U292" s="11" t="s">
        <v>101</v>
      </c>
      <c r="V292" s="11" t="s">
        <v>411</v>
      </c>
      <c r="W292" s="11" t="s">
        <v>412</v>
      </c>
      <c r="X292" s="11" t="s">
        <v>306</v>
      </c>
      <c r="Y292" s="11" t="s">
        <v>308</v>
      </c>
      <c r="Z292" s="11" t="s">
        <v>71</v>
      </c>
      <c r="AA292" s="11"/>
      <c r="AB292" s="13">
        <v>85</v>
      </c>
      <c r="AC292" s="11" t="s">
        <v>1532</v>
      </c>
      <c r="AD292" s="11"/>
      <c r="AE292" s="11"/>
      <c r="AF292" s="14">
        <v>46203</v>
      </c>
      <c r="AG292" s="11" t="s">
        <v>409</v>
      </c>
      <c r="AH292" s="11" t="s">
        <v>417</v>
      </c>
    </row>
    <row r="293" spans="1:34" ht="17.25" customHeight="1" x14ac:dyDescent="0.25">
      <c r="A293" s="11" t="s">
        <v>61</v>
      </c>
      <c r="B293" s="11" t="s">
        <v>62</v>
      </c>
      <c r="C293" s="11"/>
      <c r="D293" s="11" t="s">
        <v>418</v>
      </c>
      <c r="E293" s="11" t="s">
        <v>109</v>
      </c>
      <c r="F293" s="11"/>
      <c r="G293" s="11" t="s">
        <v>111</v>
      </c>
      <c r="H293" s="11" t="s">
        <v>112</v>
      </c>
      <c r="I293" s="11" t="s">
        <v>113</v>
      </c>
      <c r="J293" s="11"/>
      <c r="K293" s="11" t="s">
        <v>114</v>
      </c>
      <c r="L293" s="11" t="s">
        <v>115</v>
      </c>
      <c r="M293" s="11" t="s">
        <v>419</v>
      </c>
      <c r="N293" s="11" t="s">
        <v>420</v>
      </c>
      <c r="O293" s="11" t="s">
        <v>118</v>
      </c>
      <c r="P293" s="11" t="s">
        <v>413</v>
      </c>
      <c r="Q293" s="11" t="s">
        <v>152</v>
      </c>
      <c r="R293" s="11" t="s">
        <v>54</v>
      </c>
      <c r="S293" s="12">
        <v>18.2</v>
      </c>
      <c r="T293" s="12">
        <v>3276</v>
      </c>
      <c r="U293" s="11" t="s">
        <v>101</v>
      </c>
      <c r="V293" s="11" t="s">
        <v>411</v>
      </c>
      <c r="W293" s="11" t="s">
        <v>412</v>
      </c>
      <c r="X293" s="11" t="s">
        <v>151</v>
      </c>
      <c r="Y293" s="11" t="s">
        <v>153</v>
      </c>
      <c r="Z293" s="11" t="s">
        <v>71</v>
      </c>
      <c r="AA293" s="11"/>
      <c r="AB293" s="13">
        <v>180</v>
      </c>
      <c r="AC293" s="11" t="s">
        <v>1532</v>
      </c>
      <c r="AD293" s="11"/>
      <c r="AE293" s="11"/>
      <c r="AF293" s="14">
        <v>46203</v>
      </c>
      <c r="AG293" s="11" t="s">
        <v>409</v>
      </c>
      <c r="AH293" s="11" t="s">
        <v>417</v>
      </c>
    </row>
    <row r="294" spans="1:34" ht="17.25" customHeight="1" x14ac:dyDescent="0.25">
      <c r="A294" s="11" t="s">
        <v>61</v>
      </c>
      <c r="B294" s="11" t="s">
        <v>62</v>
      </c>
      <c r="C294" s="11"/>
      <c r="D294" s="11" t="s">
        <v>418</v>
      </c>
      <c r="E294" s="11" t="s">
        <v>109</v>
      </c>
      <c r="F294" s="11"/>
      <c r="G294" s="11" t="s">
        <v>111</v>
      </c>
      <c r="H294" s="11" t="s">
        <v>112</v>
      </c>
      <c r="I294" s="11" t="s">
        <v>113</v>
      </c>
      <c r="J294" s="11"/>
      <c r="K294" s="11" t="s">
        <v>114</v>
      </c>
      <c r="L294" s="11" t="s">
        <v>115</v>
      </c>
      <c r="M294" s="11" t="s">
        <v>419</v>
      </c>
      <c r="N294" s="11" t="s">
        <v>420</v>
      </c>
      <c r="O294" s="11" t="s">
        <v>118</v>
      </c>
      <c r="P294" s="11" t="s">
        <v>413</v>
      </c>
      <c r="Q294" s="11" t="s">
        <v>426</v>
      </c>
      <c r="R294" s="11" t="s">
        <v>428</v>
      </c>
      <c r="S294" s="12">
        <v>25</v>
      </c>
      <c r="T294" s="12">
        <v>2625</v>
      </c>
      <c r="U294" s="11" t="s">
        <v>101</v>
      </c>
      <c r="V294" s="11" t="s">
        <v>411</v>
      </c>
      <c r="W294" s="11" t="s">
        <v>412</v>
      </c>
      <c r="X294" s="11" t="s">
        <v>425</v>
      </c>
      <c r="Y294" s="11" t="s">
        <v>427</v>
      </c>
      <c r="Z294" s="11" t="s">
        <v>71</v>
      </c>
      <c r="AA294" s="11"/>
      <c r="AB294" s="13">
        <v>105</v>
      </c>
      <c r="AC294" s="11" t="s">
        <v>1532</v>
      </c>
      <c r="AD294" s="11"/>
      <c r="AE294" s="11"/>
      <c r="AF294" s="14">
        <v>46203</v>
      </c>
      <c r="AG294" s="11" t="s">
        <v>409</v>
      </c>
      <c r="AH294" s="11" t="s">
        <v>417</v>
      </c>
    </row>
    <row r="295" spans="1:34" ht="17.25" customHeight="1" x14ac:dyDescent="0.25">
      <c r="A295" s="11" t="s">
        <v>61</v>
      </c>
      <c r="B295" s="11" t="s">
        <v>62</v>
      </c>
      <c r="C295" s="11"/>
      <c r="D295" s="11" t="s">
        <v>418</v>
      </c>
      <c r="E295" s="11" t="s">
        <v>109</v>
      </c>
      <c r="F295" s="11"/>
      <c r="G295" s="11" t="s">
        <v>111</v>
      </c>
      <c r="H295" s="11" t="s">
        <v>112</v>
      </c>
      <c r="I295" s="11" t="s">
        <v>113</v>
      </c>
      <c r="J295" s="11"/>
      <c r="K295" s="11" t="s">
        <v>114</v>
      </c>
      <c r="L295" s="11" t="s">
        <v>115</v>
      </c>
      <c r="M295" s="11" t="s">
        <v>419</v>
      </c>
      <c r="N295" s="11" t="s">
        <v>420</v>
      </c>
      <c r="O295" s="11" t="s">
        <v>118</v>
      </c>
      <c r="P295" s="11" t="s">
        <v>413</v>
      </c>
      <c r="Q295" s="11" t="s">
        <v>432</v>
      </c>
      <c r="R295" s="11" t="s">
        <v>428</v>
      </c>
      <c r="S295" s="12">
        <v>25</v>
      </c>
      <c r="T295" s="12">
        <v>2250</v>
      </c>
      <c r="U295" s="11" t="s">
        <v>101</v>
      </c>
      <c r="V295" s="11" t="s">
        <v>411</v>
      </c>
      <c r="W295" s="11" t="s">
        <v>412</v>
      </c>
      <c r="X295" s="11" t="s">
        <v>431</v>
      </c>
      <c r="Y295" s="11" t="s">
        <v>433</v>
      </c>
      <c r="Z295" s="11" t="s">
        <v>71</v>
      </c>
      <c r="AA295" s="11"/>
      <c r="AB295" s="13">
        <v>90</v>
      </c>
      <c r="AC295" s="11" t="s">
        <v>1532</v>
      </c>
      <c r="AD295" s="11"/>
      <c r="AE295" s="11"/>
      <c r="AF295" s="14">
        <v>46203</v>
      </c>
      <c r="AG295" s="11" t="s">
        <v>409</v>
      </c>
      <c r="AH295" s="11" t="s">
        <v>417</v>
      </c>
    </row>
    <row r="296" spans="1:34" ht="17.25" customHeight="1" x14ac:dyDescent="0.25">
      <c r="A296" s="11" t="s">
        <v>269</v>
      </c>
      <c r="B296" s="11" t="s">
        <v>270</v>
      </c>
      <c r="C296" s="11"/>
      <c r="D296" s="11" t="s">
        <v>804</v>
      </c>
      <c r="E296" s="11" t="s">
        <v>283</v>
      </c>
      <c r="F296" s="11"/>
      <c r="G296" s="11" t="s">
        <v>285</v>
      </c>
      <c r="H296" s="11" t="s">
        <v>794</v>
      </c>
      <c r="I296" s="11" t="s">
        <v>272</v>
      </c>
      <c r="J296" s="11" t="s">
        <v>805</v>
      </c>
      <c r="K296" s="11" t="s">
        <v>114</v>
      </c>
      <c r="L296" s="11" t="s">
        <v>115</v>
      </c>
      <c r="M296" s="11" t="s">
        <v>806</v>
      </c>
      <c r="N296" s="11" t="s">
        <v>807</v>
      </c>
      <c r="O296" s="11" t="s">
        <v>118</v>
      </c>
      <c r="P296" s="11" t="s">
        <v>790</v>
      </c>
      <c r="Q296" s="11" t="s">
        <v>171</v>
      </c>
      <c r="R296" s="11" t="s">
        <v>280</v>
      </c>
      <c r="S296" s="12">
        <v>25</v>
      </c>
      <c r="T296" s="12">
        <v>125</v>
      </c>
      <c r="U296" s="11" t="s">
        <v>101</v>
      </c>
      <c r="V296" s="11" t="s">
        <v>788</v>
      </c>
      <c r="W296" s="11" t="s">
        <v>789</v>
      </c>
      <c r="X296" s="11" t="s">
        <v>170</v>
      </c>
      <c r="Y296" s="11" t="s">
        <v>172</v>
      </c>
      <c r="Z296" s="11" t="s">
        <v>71</v>
      </c>
      <c r="AA296" s="11" t="s">
        <v>791</v>
      </c>
      <c r="AB296" s="13">
        <v>0.125</v>
      </c>
      <c r="AC296" s="11" t="s">
        <v>1531</v>
      </c>
      <c r="AD296" s="11"/>
      <c r="AE296" s="11"/>
      <c r="AF296" s="14">
        <v>46203</v>
      </c>
      <c r="AG296" s="11" t="s">
        <v>800</v>
      </c>
      <c r="AH296" s="11" t="s">
        <v>792</v>
      </c>
    </row>
    <row r="297" spans="1:34" ht="17.25" customHeight="1" x14ac:dyDescent="0.25">
      <c r="A297" s="11" t="s">
        <v>269</v>
      </c>
      <c r="B297" s="11" t="s">
        <v>270</v>
      </c>
      <c r="C297" s="11"/>
      <c r="D297" s="11" t="s">
        <v>804</v>
      </c>
      <c r="E297" s="11" t="s">
        <v>283</v>
      </c>
      <c r="F297" s="11"/>
      <c r="G297" s="11" t="s">
        <v>285</v>
      </c>
      <c r="H297" s="11" t="s">
        <v>794</v>
      </c>
      <c r="I297" s="11" t="s">
        <v>272</v>
      </c>
      <c r="J297" s="11" t="s">
        <v>805</v>
      </c>
      <c r="K297" s="11" t="s">
        <v>114</v>
      </c>
      <c r="L297" s="11" t="s">
        <v>115</v>
      </c>
      <c r="M297" s="11" t="s">
        <v>806</v>
      </c>
      <c r="N297" s="11" t="s">
        <v>807</v>
      </c>
      <c r="O297" s="11" t="s">
        <v>118</v>
      </c>
      <c r="P297" s="11" t="s">
        <v>790</v>
      </c>
      <c r="Q297" s="11" t="s">
        <v>182</v>
      </c>
      <c r="R297" s="11" t="s">
        <v>280</v>
      </c>
      <c r="S297" s="12">
        <v>18</v>
      </c>
      <c r="T297" s="12">
        <v>360.00000000000023</v>
      </c>
      <c r="U297" s="11" t="s">
        <v>101</v>
      </c>
      <c r="V297" s="11" t="s">
        <v>788</v>
      </c>
      <c r="W297" s="11" t="s">
        <v>789</v>
      </c>
      <c r="X297" s="11" t="s">
        <v>181</v>
      </c>
      <c r="Y297" s="11" t="s">
        <v>183</v>
      </c>
      <c r="Z297" s="11" t="s">
        <v>71</v>
      </c>
      <c r="AA297" s="11" t="s">
        <v>791</v>
      </c>
      <c r="AB297" s="13">
        <v>0.36</v>
      </c>
      <c r="AC297" s="11" t="s">
        <v>1531</v>
      </c>
      <c r="AD297" s="11"/>
      <c r="AE297" s="11"/>
      <c r="AF297" s="14">
        <v>46203</v>
      </c>
      <c r="AG297" s="11" t="s">
        <v>800</v>
      </c>
      <c r="AH297" s="11" t="s">
        <v>792</v>
      </c>
    </row>
    <row r="298" spans="1:34" ht="17.25" customHeight="1" x14ac:dyDescent="0.25">
      <c r="A298" s="11" t="s">
        <v>269</v>
      </c>
      <c r="B298" s="11" t="s">
        <v>270</v>
      </c>
      <c r="C298" s="11"/>
      <c r="D298" s="11" t="s">
        <v>804</v>
      </c>
      <c r="E298" s="11" t="s">
        <v>283</v>
      </c>
      <c r="F298" s="11"/>
      <c r="G298" s="11" t="s">
        <v>285</v>
      </c>
      <c r="H298" s="11" t="s">
        <v>794</v>
      </c>
      <c r="I298" s="11" t="s">
        <v>272</v>
      </c>
      <c r="J298" s="11" t="s">
        <v>805</v>
      </c>
      <c r="K298" s="11" t="s">
        <v>114</v>
      </c>
      <c r="L298" s="11" t="s">
        <v>115</v>
      </c>
      <c r="M298" s="11" t="s">
        <v>806</v>
      </c>
      <c r="N298" s="11" t="s">
        <v>807</v>
      </c>
      <c r="O298" s="11" t="s">
        <v>118</v>
      </c>
      <c r="P298" s="11" t="s">
        <v>790</v>
      </c>
      <c r="Q298" s="11" t="s">
        <v>175</v>
      </c>
      <c r="R298" s="11" t="s">
        <v>280</v>
      </c>
      <c r="S298" s="12">
        <v>18</v>
      </c>
      <c r="T298" s="12">
        <v>360.00000000000023</v>
      </c>
      <c r="U298" s="11" t="s">
        <v>101</v>
      </c>
      <c r="V298" s="11" t="s">
        <v>788</v>
      </c>
      <c r="W298" s="11" t="s">
        <v>789</v>
      </c>
      <c r="X298" s="11" t="s">
        <v>174</v>
      </c>
      <c r="Y298" s="11" t="s">
        <v>176</v>
      </c>
      <c r="Z298" s="11" t="s">
        <v>71</v>
      </c>
      <c r="AA298" s="11" t="s">
        <v>791</v>
      </c>
      <c r="AB298" s="13">
        <v>0.36</v>
      </c>
      <c r="AC298" s="11" t="s">
        <v>1531</v>
      </c>
      <c r="AD298" s="11"/>
      <c r="AE298" s="11"/>
      <c r="AF298" s="14">
        <v>46203</v>
      </c>
      <c r="AG298" s="11" t="s">
        <v>800</v>
      </c>
      <c r="AH298" s="11" t="s">
        <v>792</v>
      </c>
    </row>
    <row r="299" spans="1:34" ht="17.25" customHeight="1" x14ac:dyDescent="0.25">
      <c r="A299" s="11" t="s">
        <v>61</v>
      </c>
      <c r="B299" s="11" t="s">
        <v>522</v>
      </c>
      <c r="C299" s="11"/>
      <c r="D299" s="11" t="s">
        <v>576</v>
      </c>
      <c r="E299" s="11" t="s">
        <v>283</v>
      </c>
      <c r="F299" s="11"/>
      <c r="G299" s="11" t="s">
        <v>285</v>
      </c>
      <c r="H299" s="11" t="s">
        <v>577</v>
      </c>
      <c r="I299" s="11" t="s">
        <v>272</v>
      </c>
      <c r="J299" s="11" t="s">
        <v>578</v>
      </c>
      <c r="K299" s="11" t="s">
        <v>114</v>
      </c>
      <c r="L299" s="11" t="s">
        <v>115</v>
      </c>
      <c r="M299" s="11" t="s">
        <v>579</v>
      </c>
      <c r="N299" s="11" t="s">
        <v>580</v>
      </c>
      <c r="O299" s="11" t="s">
        <v>118</v>
      </c>
      <c r="P299" s="11" t="s">
        <v>532</v>
      </c>
      <c r="Q299" s="11" t="s">
        <v>573</v>
      </c>
      <c r="R299" s="11" t="s">
        <v>54</v>
      </c>
      <c r="S299" s="12">
        <v>18.2</v>
      </c>
      <c r="T299" s="12">
        <v>182</v>
      </c>
      <c r="U299" s="11" t="s">
        <v>101</v>
      </c>
      <c r="V299" s="11" t="s">
        <v>571</v>
      </c>
      <c r="W299" s="11" t="s">
        <v>531</v>
      </c>
      <c r="X299" s="11" t="s">
        <v>572</v>
      </c>
      <c r="Y299" s="11" t="s">
        <v>574</v>
      </c>
      <c r="Z299" s="11" t="s">
        <v>71</v>
      </c>
      <c r="AA299" s="11" t="s">
        <v>575</v>
      </c>
      <c r="AB299" s="13">
        <v>10</v>
      </c>
      <c r="AC299" s="11" t="s">
        <v>1509</v>
      </c>
      <c r="AD299" s="11"/>
      <c r="AE299" s="11"/>
      <c r="AF299" s="14">
        <v>46203</v>
      </c>
      <c r="AG299" s="11" t="s">
        <v>570</v>
      </c>
      <c r="AH299" s="11" t="s">
        <v>539</v>
      </c>
    </row>
    <row r="300" spans="1:34" ht="17.25" customHeight="1" x14ac:dyDescent="0.25">
      <c r="A300" s="11" t="s">
        <v>61</v>
      </c>
      <c r="B300" s="11" t="s">
        <v>522</v>
      </c>
      <c r="C300" s="11"/>
      <c r="D300" s="11" t="s">
        <v>576</v>
      </c>
      <c r="E300" s="11" t="s">
        <v>283</v>
      </c>
      <c r="F300" s="11"/>
      <c r="G300" s="11" t="s">
        <v>285</v>
      </c>
      <c r="H300" s="11" t="s">
        <v>577</v>
      </c>
      <c r="I300" s="11" t="s">
        <v>272</v>
      </c>
      <c r="J300" s="11" t="s">
        <v>578</v>
      </c>
      <c r="K300" s="11" t="s">
        <v>114</v>
      </c>
      <c r="L300" s="11" t="s">
        <v>115</v>
      </c>
      <c r="M300" s="11" t="s">
        <v>579</v>
      </c>
      <c r="N300" s="11" t="s">
        <v>580</v>
      </c>
      <c r="O300" s="11" t="s">
        <v>118</v>
      </c>
      <c r="P300" s="11" t="s">
        <v>532</v>
      </c>
      <c r="Q300" s="11" t="s">
        <v>146</v>
      </c>
      <c r="R300" s="11" t="s">
        <v>54</v>
      </c>
      <c r="S300" s="12">
        <v>18.2</v>
      </c>
      <c r="T300" s="12">
        <v>91</v>
      </c>
      <c r="U300" s="11" t="s">
        <v>101</v>
      </c>
      <c r="V300" s="11" t="s">
        <v>571</v>
      </c>
      <c r="W300" s="11" t="s">
        <v>531</v>
      </c>
      <c r="X300" s="11" t="s">
        <v>581</v>
      </c>
      <c r="Y300" s="11" t="s">
        <v>582</v>
      </c>
      <c r="Z300" s="11" t="s">
        <v>71</v>
      </c>
      <c r="AA300" s="11" t="s">
        <v>575</v>
      </c>
      <c r="AB300" s="13">
        <v>5</v>
      </c>
      <c r="AC300" s="11" t="s">
        <v>1509</v>
      </c>
      <c r="AD300" s="11"/>
      <c r="AE300" s="11"/>
      <c r="AF300" s="14">
        <v>46203</v>
      </c>
      <c r="AG300" s="11" t="s">
        <v>570</v>
      </c>
      <c r="AH300" s="11" t="s">
        <v>539</v>
      </c>
    </row>
    <row r="301" spans="1:34" ht="17.25" customHeight="1" x14ac:dyDescent="0.25">
      <c r="A301" s="11" t="s">
        <v>61</v>
      </c>
      <c r="B301" s="11" t="s">
        <v>522</v>
      </c>
      <c r="C301" s="11"/>
      <c r="D301" s="11" t="s">
        <v>576</v>
      </c>
      <c r="E301" s="11" t="s">
        <v>283</v>
      </c>
      <c r="F301" s="11"/>
      <c r="G301" s="11" t="s">
        <v>285</v>
      </c>
      <c r="H301" s="11" t="s">
        <v>577</v>
      </c>
      <c r="I301" s="11" t="s">
        <v>272</v>
      </c>
      <c r="J301" s="11" t="s">
        <v>578</v>
      </c>
      <c r="K301" s="11" t="s">
        <v>114</v>
      </c>
      <c r="L301" s="11" t="s">
        <v>115</v>
      </c>
      <c r="M301" s="11" t="s">
        <v>579</v>
      </c>
      <c r="N301" s="11" t="s">
        <v>580</v>
      </c>
      <c r="O301" s="11" t="s">
        <v>118</v>
      </c>
      <c r="P301" s="11" t="s">
        <v>532</v>
      </c>
      <c r="Q301" s="11" t="s">
        <v>141</v>
      </c>
      <c r="R301" s="11" t="s">
        <v>54</v>
      </c>
      <c r="S301" s="12">
        <v>10.92</v>
      </c>
      <c r="T301" s="12">
        <v>109.2</v>
      </c>
      <c r="U301" s="11" t="s">
        <v>101</v>
      </c>
      <c r="V301" s="11" t="s">
        <v>571</v>
      </c>
      <c r="W301" s="11" t="s">
        <v>531</v>
      </c>
      <c r="X301" s="11" t="s">
        <v>584</v>
      </c>
      <c r="Y301" s="11" t="s">
        <v>585</v>
      </c>
      <c r="Z301" s="11" t="s">
        <v>71</v>
      </c>
      <c r="AA301" s="11" t="s">
        <v>575</v>
      </c>
      <c r="AB301" s="13">
        <v>10</v>
      </c>
      <c r="AC301" s="11" t="s">
        <v>1509</v>
      </c>
      <c r="AD301" s="11"/>
      <c r="AE301" s="11"/>
      <c r="AF301" s="14">
        <v>46203</v>
      </c>
      <c r="AG301" s="11" t="s">
        <v>570</v>
      </c>
      <c r="AH301" s="11" t="s">
        <v>539</v>
      </c>
    </row>
    <row r="302" spans="1:34" ht="17.25" customHeight="1" x14ac:dyDescent="0.25">
      <c r="A302" s="11" t="s">
        <v>61</v>
      </c>
      <c r="B302" s="11" t="s">
        <v>522</v>
      </c>
      <c r="C302" s="11"/>
      <c r="D302" s="11" t="s">
        <v>576</v>
      </c>
      <c r="E302" s="11" t="s">
        <v>283</v>
      </c>
      <c r="F302" s="11"/>
      <c r="G302" s="11" t="s">
        <v>285</v>
      </c>
      <c r="H302" s="11" t="s">
        <v>577</v>
      </c>
      <c r="I302" s="11" t="s">
        <v>272</v>
      </c>
      <c r="J302" s="11" t="s">
        <v>578</v>
      </c>
      <c r="K302" s="11" t="s">
        <v>114</v>
      </c>
      <c r="L302" s="11" t="s">
        <v>115</v>
      </c>
      <c r="M302" s="11" t="s">
        <v>579</v>
      </c>
      <c r="N302" s="11" t="s">
        <v>580</v>
      </c>
      <c r="O302" s="11" t="s">
        <v>118</v>
      </c>
      <c r="P302" s="11" t="s">
        <v>532</v>
      </c>
      <c r="Q302" s="11" t="s">
        <v>296</v>
      </c>
      <c r="R302" s="11" t="s">
        <v>54</v>
      </c>
      <c r="S302" s="12">
        <v>10.92</v>
      </c>
      <c r="T302" s="12">
        <v>174.72</v>
      </c>
      <c r="U302" s="11" t="s">
        <v>101</v>
      </c>
      <c r="V302" s="11" t="s">
        <v>571</v>
      </c>
      <c r="W302" s="11" t="s">
        <v>531</v>
      </c>
      <c r="X302" s="11" t="s">
        <v>295</v>
      </c>
      <c r="Y302" s="11" t="s">
        <v>297</v>
      </c>
      <c r="Z302" s="11" t="s">
        <v>71</v>
      </c>
      <c r="AA302" s="11" t="s">
        <v>575</v>
      </c>
      <c r="AB302" s="13">
        <v>16</v>
      </c>
      <c r="AC302" s="11" t="s">
        <v>1509</v>
      </c>
      <c r="AD302" s="11"/>
      <c r="AE302" s="11"/>
      <c r="AF302" s="14">
        <v>46203</v>
      </c>
      <c r="AG302" s="11" t="s">
        <v>570</v>
      </c>
      <c r="AH302" s="11" t="s">
        <v>539</v>
      </c>
    </row>
    <row r="303" spans="1:34" ht="17.25" customHeight="1" x14ac:dyDescent="0.25">
      <c r="A303" s="11" t="s">
        <v>61</v>
      </c>
      <c r="B303" s="11" t="s">
        <v>522</v>
      </c>
      <c r="C303" s="11"/>
      <c r="D303" s="11" t="s">
        <v>576</v>
      </c>
      <c r="E303" s="11" t="s">
        <v>283</v>
      </c>
      <c r="F303" s="11"/>
      <c r="G303" s="11" t="s">
        <v>285</v>
      </c>
      <c r="H303" s="11" t="s">
        <v>577</v>
      </c>
      <c r="I303" s="11" t="s">
        <v>272</v>
      </c>
      <c r="J303" s="11" t="s">
        <v>578</v>
      </c>
      <c r="K303" s="11" t="s">
        <v>114</v>
      </c>
      <c r="L303" s="11" t="s">
        <v>115</v>
      </c>
      <c r="M303" s="11" t="s">
        <v>579</v>
      </c>
      <c r="N303" s="11" t="s">
        <v>580</v>
      </c>
      <c r="O303" s="11" t="s">
        <v>118</v>
      </c>
      <c r="P303" s="11" t="s">
        <v>532</v>
      </c>
      <c r="Q303" s="11" t="s">
        <v>415</v>
      </c>
      <c r="R303" s="11" t="s">
        <v>54</v>
      </c>
      <c r="S303" s="12">
        <v>10.92</v>
      </c>
      <c r="T303" s="12">
        <v>54.6</v>
      </c>
      <c r="U303" s="11" t="s">
        <v>101</v>
      </c>
      <c r="V303" s="11" t="s">
        <v>571</v>
      </c>
      <c r="W303" s="11" t="s">
        <v>531</v>
      </c>
      <c r="X303" s="11" t="s">
        <v>414</v>
      </c>
      <c r="Y303" s="11" t="s">
        <v>416</v>
      </c>
      <c r="Z303" s="11" t="s">
        <v>71</v>
      </c>
      <c r="AA303" s="11" t="s">
        <v>575</v>
      </c>
      <c r="AB303" s="13">
        <v>5</v>
      </c>
      <c r="AC303" s="11" t="s">
        <v>1509</v>
      </c>
      <c r="AD303" s="11"/>
      <c r="AE303" s="11"/>
      <c r="AF303" s="14">
        <v>46203</v>
      </c>
      <c r="AG303" s="11" t="s">
        <v>570</v>
      </c>
      <c r="AH303" s="11" t="s">
        <v>539</v>
      </c>
    </row>
    <row r="304" spans="1:34" ht="17.25" customHeight="1" x14ac:dyDescent="0.25">
      <c r="A304" s="11" t="s">
        <v>61</v>
      </c>
      <c r="B304" s="11" t="s">
        <v>522</v>
      </c>
      <c r="C304" s="11"/>
      <c r="D304" s="11" t="s">
        <v>576</v>
      </c>
      <c r="E304" s="11" t="s">
        <v>283</v>
      </c>
      <c r="F304" s="11"/>
      <c r="G304" s="11" t="s">
        <v>285</v>
      </c>
      <c r="H304" s="11" t="s">
        <v>577</v>
      </c>
      <c r="I304" s="11" t="s">
        <v>272</v>
      </c>
      <c r="J304" s="11" t="s">
        <v>578</v>
      </c>
      <c r="K304" s="11" t="s">
        <v>114</v>
      </c>
      <c r="L304" s="11" t="s">
        <v>115</v>
      </c>
      <c r="M304" s="11" t="s">
        <v>579</v>
      </c>
      <c r="N304" s="11" t="s">
        <v>580</v>
      </c>
      <c r="O304" s="11" t="s">
        <v>118</v>
      </c>
      <c r="P304" s="11" t="s">
        <v>532</v>
      </c>
      <c r="Q304" s="11" t="s">
        <v>131</v>
      </c>
      <c r="R304" s="11" t="s">
        <v>54</v>
      </c>
      <c r="S304" s="12">
        <v>2.1840000000000002</v>
      </c>
      <c r="T304" s="12">
        <v>10.920000000000002</v>
      </c>
      <c r="U304" s="11" t="s">
        <v>101</v>
      </c>
      <c r="V304" s="11" t="s">
        <v>571</v>
      </c>
      <c r="W304" s="11" t="s">
        <v>531</v>
      </c>
      <c r="X304" s="11" t="s">
        <v>130</v>
      </c>
      <c r="Y304" s="11" t="s">
        <v>132</v>
      </c>
      <c r="Z304" s="11" t="s">
        <v>71</v>
      </c>
      <c r="AA304" s="11" t="s">
        <v>575</v>
      </c>
      <c r="AB304" s="13">
        <v>5</v>
      </c>
      <c r="AC304" s="11" t="s">
        <v>1509</v>
      </c>
      <c r="AD304" s="11"/>
      <c r="AE304" s="11"/>
      <c r="AF304" s="14">
        <v>46203</v>
      </c>
      <c r="AG304" s="11" t="s">
        <v>570</v>
      </c>
      <c r="AH304" s="11" t="s">
        <v>539</v>
      </c>
    </row>
    <row r="305" spans="1:34" ht="17.25" customHeight="1" x14ac:dyDescent="0.25">
      <c r="A305" s="11" t="s">
        <v>61</v>
      </c>
      <c r="B305" s="11" t="s">
        <v>522</v>
      </c>
      <c r="C305" s="11"/>
      <c r="D305" s="11" t="s">
        <v>576</v>
      </c>
      <c r="E305" s="11" t="s">
        <v>283</v>
      </c>
      <c r="F305" s="11"/>
      <c r="G305" s="11" t="s">
        <v>285</v>
      </c>
      <c r="H305" s="11" t="s">
        <v>577</v>
      </c>
      <c r="I305" s="11" t="s">
        <v>272</v>
      </c>
      <c r="J305" s="11" t="s">
        <v>578</v>
      </c>
      <c r="K305" s="11" t="s">
        <v>114</v>
      </c>
      <c r="L305" s="11" t="s">
        <v>115</v>
      </c>
      <c r="M305" s="11" t="s">
        <v>579</v>
      </c>
      <c r="N305" s="11" t="s">
        <v>580</v>
      </c>
      <c r="O305" s="11" t="s">
        <v>118</v>
      </c>
      <c r="P305" s="11" t="s">
        <v>532</v>
      </c>
      <c r="Q305" s="11" t="s">
        <v>136</v>
      </c>
      <c r="R305" s="11" t="s">
        <v>54</v>
      </c>
      <c r="S305" s="12">
        <v>2.73</v>
      </c>
      <c r="T305" s="12">
        <v>13.65</v>
      </c>
      <c r="U305" s="11" t="s">
        <v>101</v>
      </c>
      <c r="V305" s="11" t="s">
        <v>571</v>
      </c>
      <c r="W305" s="11" t="s">
        <v>531</v>
      </c>
      <c r="X305" s="11" t="s">
        <v>135</v>
      </c>
      <c r="Y305" s="11" t="s">
        <v>137</v>
      </c>
      <c r="Z305" s="11" t="s">
        <v>71</v>
      </c>
      <c r="AA305" s="11" t="s">
        <v>575</v>
      </c>
      <c r="AB305" s="13">
        <v>5</v>
      </c>
      <c r="AC305" s="11" t="s">
        <v>1509</v>
      </c>
      <c r="AD305" s="11"/>
      <c r="AE305" s="11"/>
      <c r="AF305" s="14">
        <v>46203</v>
      </c>
      <c r="AG305" s="11" t="s">
        <v>570</v>
      </c>
      <c r="AH305" s="11" t="s">
        <v>539</v>
      </c>
    </row>
    <row r="306" spans="1:34" ht="17.25" customHeight="1" x14ac:dyDescent="0.25">
      <c r="A306" s="11" t="s">
        <v>61</v>
      </c>
      <c r="B306" s="11" t="s">
        <v>522</v>
      </c>
      <c r="C306" s="11"/>
      <c r="D306" s="11" t="s">
        <v>576</v>
      </c>
      <c r="E306" s="11" t="s">
        <v>590</v>
      </c>
      <c r="F306" s="11"/>
      <c r="G306" s="11" t="s">
        <v>469</v>
      </c>
      <c r="H306" s="11" t="s">
        <v>577</v>
      </c>
      <c r="I306" s="11" t="s">
        <v>272</v>
      </c>
      <c r="J306" s="11" t="s">
        <v>578</v>
      </c>
      <c r="K306" s="11" t="s">
        <v>168</v>
      </c>
      <c r="L306" s="11" t="s">
        <v>169</v>
      </c>
      <c r="M306" s="11" t="s">
        <v>579</v>
      </c>
      <c r="N306" s="11" t="s">
        <v>580</v>
      </c>
      <c r="O306" s="11" t="s">
        <v>118</v>
      </c>
      <c r="P306" s="11" t="s">
        <v>532</v>
      </c>
      <c r="Q306" s="11" t="s">
        <v>162</v>
      </c>
      <c r="R306" s="11" t="s">
        <v>54</v>
      </c>
      <c r="S306" s="12">
        <v>2.73</v>
      </c>
      <c r="T306" s="12">
        <v>13.65</v>
      </c>
      <c r="U306" s="11" t="s">
        <v>101</v>
      </c>
      <c r="V306" s="11" t="s">
        <v>571</v>
      </c>
      <c r="W306" s="11" t="s">
        <v>531</v>
      </c>
      <c r="X306" s="11" t="s">
        <v>161</v>
      </c>
      <c r="Y306" s="11" t="s">
        <v>163</v>
      </c>
      <c r="Z306" s="11" t="s">
        <v>71</v>
      </c>
      <c r="AA306" s="11" t="s">
        <v>575</v>
      </c>
      <c r="AB306" s="13">
        <v>5</v>
      </c>
      <c r="AC306" s="11" t="s">
        <v>1509</v>
      </c>
      <c r="AD306" s="11"/>
      <c r="AE306" s="11"/>
      <c r="AF306" s="14">
        <v>46203</v>
      </c>
      <c r="AG306" s="11" t="s">
        <v>570</v>
      </c>
      <c r="AH306" s="11" t="s">
        <v>539</v>
      </c>
    </row>
    <row r="307" spans="1:34" ht="17.25" customHeight="1" x14ac:dyDescent="0.25">
      <c r="A307" s="11" t="s">
        <v>61</v>
      </c>
      <c r="B307" s="11" t="s">
        <v>522</v>
      </c>
      <c r="C307" s="11"/>
      <c r="D307" s="11" t="s">
        <v>598</v>
      </c>
      <c r="E307" s="11" t="s">
        <v>283</v>
      </c>
      <c r="F307" s="11"/>
      <c r="G307" s="11" t="s">
        <v>285</v>
      </c>
      <c r="H307" s="11" t="s">
        <v>577</v>
      </c>
      <c r="I307" s="11" t="s">
        <v>272</v>
      </c>
      <c r="J307" s="11" t="s">
        <v>578</v>
      </c>
      <c r="K307" s="11" t="s">
        <v>114</v>
      </c>
      <c r="L307" s="11" t="s">
        <v>115</v>
      </c>
      <c r="M307" s="11" t="s">
        <v>599</v>
      </c>
      <c r="N307" s="11" t="s">
        <v>600</v>
      </c>
      <c r="O307" s="11" t="s">
        <v>118</v>
      </c>
      <c r="P307" s="11" t="s">
        <v>532</v>
      </c>
      <c r="Q307" s="11" t="s">
        <v>573</v>
      </c>
      <c r="R307" s="11" t="s">
        <v>54</v>
      </c>
      <c r="S307" s="12">
        <v>18.2</v>
      </c>
      <c r="T307" s="12">
        <v>18.2</v>
      </c>
      <c r="U307" s="11" t="s">
        <v>101</v>
      </c>
      <c r="V307" s="11" t="s">
        <v>571</v>
      </c>
      <c r="W307" s="11" t="s">
        <v>531</v>
      </c>
      <c r="X307" s="11" t="s">
        <v>572</v>
      </c>
      <c r="Y307" s="11" t="s">
        <v>574</v>
      </c>
      <c r="Z307" s="11" t="s">
        <v>567</v>
      </c>
      <c r="AA307" s="11" t="s">
        <v>575</v>
      </c>
      <c r="AB307" s="13">
        <v>1</v>
      </c>
      <c r="AC307" s="11" t="s">
        <v>1509</v>
      </c>
      <c r="AD307" s="11"/>
      <c r="AE307" s="11"/>
      <c r="AF307" s="14">
        <v>46203</v>
      </c>
      <c r="AG307" s="11" t="s">
        <v>597</v>
      </c>
      <c r="AH307" s="11" t="s">
        <v>539</v>
      </c>
    </row>
    <row r="308" spans="1:34" ht="17.25" customHeight="1" x14ac:dyDescent="0.25">
      <c r="A308" s="11" t="s">
        <v>61</v>
      </c>
      <c r="B308" s="11" t="s">
        <v>522</v>
      </c>
      <c r="C308" s="11"/>
      <c r="D308" s="11" t="s">
        <v>598</v>
      </c>
      <c r="E308" s="11" t="s">
        <v>283</v>
      </c>
      <c r="F308" s="11"/>
      <c r="G308" s="11" t="s">
        <v>285</v>
      </c>
      <c r="H308" s="11" t="s">
        <v>577</v>
      </c>
      <c r="I308" s="11" t="s">
        <v>272</v>
      </c>
      <c r="J308" s="11" t="s">
        <v>578</v>
      </c>
      <c r="K308" s="11" t="s">
        <v>114</v>
      </c>
      <c r="L308" s="11" t="s">
        <v>115</v>
      </c>
      <c r="M308" s="11" t="s">
        <v>599</v>
      </c>
      <c r="N308" s="11" t="s">
        <v>600</v>
      </c>
      <c r="O308" s="11" t="s">
        <v>118</v>
      </c>
      <c r="P308" s="11" t="s">
        <v>532</v>
      </c>
      <c r="Q308" s="11" t="s">
        <v>602</v>
      </c>
      <c r="R308" s="11" t="s">
        <v>54</v>
      </c>
      <c r="S308" s="12">
        <v>8.7360000000000007</v>
      </c>
      <c r="T308" s="12">
        <v>26.208000000000002</v>
      </c>
      <c r="U308" s="11" t="s">
        <v>101</v>
      </c>
      <c r="V308" s="11" t="s">
        <v>571</v>
      </c>
      <c r="W308" s="11" t="s">
        <v>531</v>
      </c>
      <c r="X308" s="11" t="s">
        <v>601</v>
      </c>
      <c r="Y308" s="11" t="s">
        <v>603</v>
      </c>
      <c r="Z308" s="11" t="s">
        <v>567</v>
      </c>
      <c r="AA308" s="11" t="s">
        <v>575</v>
      </c>
      <c r="AB308" s="13">
        <v>3</v>
      </c>
      <c r="AC308" s="11" t="s">
        <v>1509</v>
      </c>
      <c r="AD308" s="11"/>
      <c r="AE308" s="11"/>
      <c r="AF308" s="14">
        <v>46203</v>
      </c>
      <c r="AG308" s="11" t="s">
        <v>597</v>
      </c>
      <c r="AH308" s="11" t="s">
        <v>539</v>
      </c>
    </row>
    <row r="309" spans="1:34" ht="17.25" customHeight="1" x14ac:dyDescent="0.25">
      <c r="A309" s="11" t="s">
        <v>61</v>
      </c>
      <c r="B309" s="11" t="s">
        <v>522</v>
      </c>
      <c r="C309" s="11"/>
      <c r="D309" s="11" t="s">
        <v>576</v>
      </c>
      <c r="E309" s="11" t="s">
        <v>590</v>
      </c>
      <c r="F309" s="11"/>
      <c r="G309" s="11" t="s">
        <v>469</v>
      </c>
      <c r="H309" s="11" t="s">
        <v>577</v>
      </c>
      <c r="I309" s="11" t="s">
        <v>272</v>
      </c>
      <c r="J309" s="11" t="s">
        <v>578</v>
      </c>
      <c r="K309" s="11" t="s">
        <v>168</v>
      </c>
      <c r="L309" s="11" t="s">
        <v>169</v>
      </c>
      <c r="M309" s="11" t="s">
        <v>579</v>
      </c>
      <c r="N309" s="11" t="s">
        <v>580</v>
      </c>
      <c r="O309" s="11" t="s">
        <v>118</v>
      </c>
      <c r="P309" s="11" t="s">
        <v>532</v>
      </c>
      <c r="Q309" s="11" t="s">
        <v>592</v>
      </c>
      <c r="R309" s="11" t="s">
        <v>54</v>
      </c>
      <c r="S309" s="12">
        <v>4.0949999999999998</v>
      </c>
      <c r="T309" s="12">
        <v>20.474999999999998</v>
      </c>
      <c r="U309" s="11" t="s">
        <v>101</v>
      </c>
      <c r="V309" s="11" t="s">
        <v>571</v>
      </c>
      <c r="W309" s="11" t="s">
        <v>531</v>
      </c>
      <c r="X309" s="11" t="s">
        <v>591</v>
      </c>
      <c r="Y309" s="11" t="s">
        <v>593</v>
      </c>
      <c r="Z309" s="11" t="s">
        <v>71</v>
      </c>
      <c r="AA309" s="11" t="s">
        <v>575</v>
      </c>
      <c r="AB309" s="13">
        <v>5</v>
      </c>
      <c r="AC309" s="11" t="s">
        <v>1509</v>
      </c>
      <c r="AD309" s="11"/>
      <c r="AE309" s="11"/>
      <c r="AF309" s="14">
        <v>46203</v>
      </c>
      <c r="AG309" s="11" t="s">
        <v>570</v>
      </c>
      <c r="AH309" s="11" t="s">
        <v>539</v>
      </c>
    </row>
    <row r="310" spans="1:34" ht="17.25" customHeight="1" x14ac:dyDescent="0.25">
      <c r="A310" s="11" t="s">
        <v>61</v>
      </c>
      <c r="B310" s="11" t="s">
        <v>522</v>
      </c>
      <c r="C310" s="11"/>
      <c r="D310" s="11" t="s">
        <v>576</v>
      </c>
      <c r="E310" s="11" t="s">
        <v>283</v>
      </c>
      <c r="F310" s="11"/>
      <c r="G310" s="11" t="s">
        <v>285</v>
      </c>
      <c r="H310" s="11" t="s">
        <v>577</v>
      </c>
      <c r="I310" s="11" t="s">
        <v>272</v>
      </c>
      <c r="J310" s="11" t="s">
        <v>578</v>
      </c>
      <c r="K310" s="11" t="s">
        <v>114</v>
      </c>
      <c r="L310" s="11" t="s">
        <v>115</v>
      </c>
      <c r="M310" s="11" t="s">
        <v>579</v>
      </c>
      <c r="N310" s="11" t="s">
        <v>580</v>
      </c>
      <c r="O310" s="11" t="s">
        <v>118</v>
      </c>
      <c r="P310" s="11" t="s">
        <v>532</v>
      </c>
      <c r="Q310" s="11" t="s">
        <v>104</v>
      </c>
      <c r="R310" s="11" t="s">
        <v>54</v>
      </c>
      <c r="S310" s="12">
        <v>10.92</v>
      </c>
      <c r="T310" s="12">
        <v>218.4</v>
      </c>
      <c r="U310" s="11" t="s">
        <v>101</v>
      </c>
      <c r="V310" s="11" t="s">
        <v>571</v>
      </c>
      <c r="W310" s="11" t="s">
        <v>531</v>
      </c>
      <c r="X310" s="11" t="s">
        <v>103</v>
      </c>
      <c r="Y310" s="11" t="s">
        <v>105</v>
      </c>
      <c r="Z310" s="11" t="s">
        <v>71</v>
      </c>
      <c r="AA310" s="11" t="s">
        <v>575</v>
      </c>
      <c r="AB310" s="13">
        <v>20</v>
      </c>
      <c r="AC310" s="11" t="s">
        <v>1509</v>
      </c>
      <c r="AD310" s="11"/>
      <c r="AE310" s="11"/>
      <c r="AF310" s="14">
        <v>46203</v>
      </c>
      <c r="AG310" s="11" t="s">
        <v>570</v>
      </c>
      <c r="AH310" s="11" t="s">
        <v>539</v>
      </c>
    </row>
    <row r="311" spans="1:34" ht="17.25" customHeight="1" x14ac:dyDescent="0.25">
      <c r="A311" s="11" t="s">
        <v>61</v>
      </c>
      <c r="B311" s="11" t="s">
        <v>522</v>
      </c>
      <c r="C311" s="11"/>
      <c r="D311" s="11" t="s">
        <v>1215</v>
      </c>
      <c r="E311" s="11" t="s">
        <v>977</v>
      </c>
      <c r="F311" s="11"/>
      <c r="G311" s="11" t="s">
        <v>979</v>
      </c>
      <c r="H311" s="11" t="s">
        <v>980</v>
      </c>
      <c r="I311" s="11" t="s">
        <v>980</v>
      </c>
      <c r="J311" s="11" t="s">
        <v>1159</v>
      </c>
      <c r="K311" s="11" t="s">
        <v>114</v>
      </c>
      <c r="L311" s="11" t="s">
        <v>115</v>
      </c>
      <c r="M311" s="11" t="s">
        <v>1216</v>
      </c>
      <c r="N311" s="11" t="s">
        <v>1217</v>
      </c>
      <c r="O311" s="11" t="s">
        <v>118</v>
      </c>
      <c r="P311" s="11" t="s">
        <v>1156</v>
      </c>
      <c r="Q311" s="11" t="s">
        <v>1211</v>
      </c>
      <c r="R311" s="11" t="s">
        <v>54</v>
      </c>
      <c r="S311" s="12">
        <v>10.92</v>
      </c>
      <c r="T311" s="12">
        <v>21.84</v>
      </c>
      <c r="U311" s="11" t="s">
        <v>101</v>
      </c>
      <c r="V311" s="11" t="s">
        <v>1209</v>
      </c>
      <c r="W311" s="11" t="s">
        <v>1155</v>
      </c>
      <c r="X311" s="11" t="s">
        <v>1210</v>
      </c>
      <c r="Y311" s="11" t="s">
        <v>1212</v>
      </c>
      <c r="Z311" s="11" t="s">
        <v>71</v>
      </c>
      <c r="AA311" s="11" t="s">
        <v>1213</v>
      </c>
      <c r="AB311" s="13">
        <v>2</v>
      </c>
      <c r="AC311" s="11" t="s">
        <v>1502</v>
      </c>
      <c r="AD311" s="11"/>
      <c r="AE311" s="11"/>
      <c r="AF311" s="14">
        <v>46203</v>
      </c>
      <c r="AG311" s="11" t="s">
        <v>1208</v>
      </c>
      <c r="AH311" s="11"/>
    </row>
    <row r="312" spans="1:34" ht="17.25" customHeight="1" x14ac:dyDescent="0.25">
      <c r="A312" s="11" t="s">
        <v>61</v>
      </c>
      <c r="B312" s="11" t="s">
        <v>522</v>
      </c>
      <c r="C312" s="11"/>
      <c r="D312" s="11" t="s">
        <v>1215</v>
      </c>
      <c r="E312" s="11" t="s">
        <v>977</v>
      </c>
      <c r="F312" s="11"/>
      <c r="G312" s="11" t="s">
        <v>979</v>
      </c>
      <c r="H312" s="11" t="s">
        <v>980</v>
      </c>
      <c r="I312" s="11" t="s">
        <v>980</v>
      </c>
      <c r="J312" s="11" t="s">
        <v>1159</v>
      </c>
      <c r="K312" s="11" t="s">
        <v>114</v>
      </c>
      <c r="L312" s="11" t="s">
        <v>115</v>
      </c>
      <c r="M312" s="11" t="s">
        <v>1216</v>
      </c>
      <c r="N312" s="11" t="s">
        <v>1217</v>
      </c>
      <c r="O312" s="11" t="s">
        <v>118</v>
      </c>
      <c r="P312" s="11" t="s">
        <v>1156</v>
      </c>
      <c r="Q312" s="11" t="s">
        <v>455</v>
      </c>
      <c r="R312" s="11" t="s">
        <v>54</v>
      </c>
      <c r="S312" s="12">
        <v>18.2</v>
      </c>
      <c r="T312" s="12">
        <v>18.2</v>
      </c>
      <c r="U312" s="11" t="s">
        <v>101</v>
      </c>
      <c r="V312" s="11" t="s">
        <v>1209</v>
      </c>
      <c r="W312" s="11" t="s">
        <v>1155</v>
      </c>
      <c r="X312" s="11" t="s">
        <v>454</v>
      </c>
      <c r="Y312" s="11" t="s">
        <v>456</v>
      </c>
      <c r="Z312" s="11" t="s">
        <v>567</v>
      </c>
      <c r="AA312" s="11" t="s">
        <v>1213</v>
      </c>
      <c r="AB312" s="13">
        <v>1</v>
      </c>
      <c r="AC312" s="11" t="s">
        <v>1502</v>
      </c>
      <c r="AD312" s="11"/>
      <c r="AE312" s="11"/>
      <c r="AF312" s="14">
        <v>46203</v>
      </c>
      <c r="AG312" s="11" t="s">
        <v>1208</v>
      </c>
      <c r="AH312" s="11"/>
    </row>
    <row r="313" spans="1:34" ht="17.25" customHeight="1" x14ac:dyDescent="0.25">
      <c r="A313" s="11" t="s">
        <v>61</v>
      </c>
      <c r="B313" s="11" t="s">
        <v>522</v>
      </c>
      <c r="C313" s="11"/>
      <c r="D313" s="11" t="s">
        <v>1215</v>
      </c>
      <c r="E313" s="11" t="s">
        <v>977</v>
      </c>
      <c r="F313" s="11"/>
      <c r="G313" s="11" t="s">
        <v>979</v>
      </c>
      <c r="H313" s="11" t="s">
        <v>980</v>
      </c>
      <c r="I313" s="11" t="s">
        <v>980</v>
      </c>
      <c r="J313" s="11" t="s">
        <v>1159</v>
      </c>
      <c r="K313" s="11" t="s">
        <v>114</v>
      </c>
      <c r="L313" s="11" t="s">
        <v>115</v>
      </c>
      <c r="M313" s="11" t="s">
        <v>1216</v>
      </c>
      <c r="N313" s="11" t="s">
        <v>1217</v>
      </c>
      <c r="O313" s="11" t="s">
        <v>118</v>
      </c>
      <c r="P313" s="11" t="s">
        <v>1156</v>
      </c>
      <c r="Q313" s="11" t="s">
        <v>455</v>
      </c>
      <c r="R313" s="11" t="s">
        <v>54</v>
      </c>
      <c r="S313" s="12">
        <v>18.2</v>
      </c>
      <c r="T313" s="12">
        <v>109.19999999999999</v>
      </c>
      <c r="U313" s="11" t="s">
        <v>101</v>
      </c>
      <c r="V313" s="11" t="s">
        <v>1209</v>
      </c>
      <c r="W313" s="11" t="s">
        <v>1155</v>
      </c>
      <c r="X313" s="11" t="s">
        <v>454</v>
      </c>
      <c r="Y313" s="11" t="s">
        <v>456</v>
      </c>
      <c r="Z313" s="11" t="s">
        <v>71</v>
      </c>
      <c r="AA313" s="11" t="s">
        <v>1213</v>
      </c>
      <c r="AB313" s="13">
        <v>6</v>
      </c>
      <c r="AC313" s="11" t="s">
        <v>1502</v>
      </c>
      <c r="AD313" s="11"/>
      <c r="AE313" s="11"/>
      <c r="AF313" s="14">
        <v>46203</v>
      </c>
      <c r="AG313" s="11" t="s">
        <v>1208</v>
      </c>
      <c r="AH313" s="11"/>
    </row>
    <row r="314" spans="1:34" ht="17.25" customHeight="1" x14ac:dyDescent="0.25">
      <c r="A314" s="11" t="s">
        <v>61</v>
      </c>
      <c r="B314" s="11" t="s">
        <v>522</v>
      </c>
      <c r="C314" s="11"/>
      <c r="D314" s="11" t="s">
        <v>1215</v>
      </c>
      <c r="E314" s="11" t="s">
        <v>977</v>
      </c>
      <c r="F314" s="11"/>
      <c r="G314" s="11" t="s">
        <v>979</v>
      </c>
      <c r="H314" s="11" t="s">
        <v>980</v>
      </c>
      <c r="I314" s="11" t="s">
        <v>980</v>
      </c>
      <c r="J314" s="11" t="s">
        <v>1159</v>
      </c>
      <c r="K314" s="11" t="s">
        <v>114</v>
      </c>
      <c r="L314" s="11" t="s">
        <v>115</v>
      </c>
      <c r="M314" s="11" t="s">
        <v>1216</v>
      </c>
      <c r="N314" s="11" t="s">
        <v>1217</v>
      </c>
      <c r="O314" s="11" t="s">
        <v>118</v>
      </c>
      <c r="P314" s="11" t="s">
        <v>1156</v>
      </c>
      <c r="Q314" s="11" t="s">
        <v>1220</v>
      </c>
      <c r="R314" s="11" t="s">
        <v>54</v>
      </c>
      <c r="S314" s="12">
        <v>10.92</v>
      </c>
      <c r="T314" s="12">
        <v>21.84</v>
      </c>
      <c r="U314" s="11" t="s">
        <v>101</v>
      </c>
      <c r="V314" s="11" t="s">
        <v>1209</v>
      </c>
      <c r="W314" s="11" t="s">
        <v>1155</v>
      </c>
      <c r="X314" s="11" t="s">
        <v>1219</v>
      </c>
      <c r="Y314" s="11" t="s">
        <v>1221</v>
      </c>
      <c r="Z314" s="11" t="s">
        <v>71</v>
      </c>
      <c r="AA314" s="11" t="s">
        <v>1213</v>
      </c>
      <c r="AB314" s="13">
        <v>2</v>
      </c>
      <c r="AC314" s="11" t="s">
        <v>1502</v>
      </c>
      <c r="AD314" s="11"/>
      <c r="AE314" s="11"/>
      <c r="AF314" s="14">
        <v>46203</v>
      </c>
      <c r="AG314" s="11" t="s">
        <v>1208</v>
      </c>
      <c r="AH314" s="11"/>
    </row>
    <row r="315" spans="1:34" ht="17.25" customHeight="1" x14ac:dyDescent="0.25">
      <c r="A315" s="11" t="s">
        <v>61</v>
      </c>
      <c r="B315" s="11" t="s">
        <v>522</v>
      </c>
      <c r="C315" s="11"/>
      <c r="D315" s="11" t="s">
        <v>1215</v>
      </c>
      <c r="E315" s="11" t="s">
        <v>977</v>
      </c>
      <c r="F315" s="11"/>
      <c r="G315" s="11" t="s">
        <v>979</v>
      </c>
      <c r="H315" s="11" t="s">
        <v>980</v>
      </c>
      <c r="I315" s="11" t="s">
        <v>980</v>
      </c>
      <c r="J315" s="11" t="s">
        <v>1159</v>
      </c>
      <c r="K315" s="11" t="s">
        <v>114</v>
      </c>
      <c r="L315" s="11" t="s">
        <v>115</v>
      </c>
      <c r="M315" s="11" t="s">
        <v>1216</v>
      </c>
      <c r="N315" s="11" t="s">
        <v>1217</v>
      </c>
      <c r="O315" s="11" t="s">
        <v>118</v>
      </c>
      <c r="P315" s="11" t="s">
        <v>1156</v>
      </c>
      <c r="Q315" s="11" t="s">
        <v>141</v>
      </c>
      <c r="R315" s="11" t="s">
        <v>54</v>
      </c>
      <c r="S315" s="12">
        <v>10.92</v>
      </c>
      <c r="T315" s="12">
        <v>10.92</v>
      </c>
      <c r="U315" s="11" t="s">
        <v>101</v>
      </c>
      <c r="V315" s="11" t="s">
        <v>1209</v>
      </c>
      <c r="W315" s="11" t="s">
        <v>1155</v>
      </c>
      <c r="X315" s="11" t="s">
        <v>584</v>
      </c>
      <c r="Y315" s="11" t="s">
        <v>585</v>
      </c>
      <c r="Z315" s="11" t="s">
        <v>71</v>
      </c>
      <c r="AA315" s="11" t="s">
        <v>1213</v>
      </c>
      <c r="AB315" s="13">
        <v>1</v>
      </c>
      <c r="AC315" s="11" t="s">
        <v>1502</v>
      </c>
      <c r="AD315" s="11"/>
      <c r="AE315" s="11"/>
      <c r="AF315" s="14">
        <v>46203</v>
      </c>
      <c r="AG315" s="11" t="s">
        <v>1208</v>
      </c>
      <c r="AH315" s="11"/>
    </row>
    <row r="316" spans="1:34" ht="17.25" customHeight="1" x14ac:dyDescent="0.25">
      <c r="A316" s="11" t="s">
        <v>61</v>
      </c>
      <c r="B316" s="11" t="s">
        <v>522</v>
      </c>
      <c r="C316" s="11"/>
      <c r="D316" s="11" t="s">
        <v>1215</v>
      </c>
      <c r="E316" s="11" t="s">
        <v>977</v>
      </c>
      <c r="F316" s="11"/>
      <c r="G316" s="11" t="s">
        <v>979</v>
      </c>
      <c r="H316" s="11" t="s">
        <v>980</v>
      </c>
      <c r="I316" s="11" t="s">
        <v>980</v>
      </c>
      <c r="J316" s="11" t="s">
        <v>1159</v>
      </c>
      <c r="K316" s="11" t="s">
        <v>114</v>
      </c>
      <c r="L316" s="11" t="s">
        <v>115</v>
      </c>
      <c r="M316" s="11" t="s">
        <v>1216</v>
      </c>
      <c r="N316" s="11" t="s">
        <v>1217</v>
      </c>
      <c r="O316" s="11" t="s">
        <v>118</v>
      </c>
      <c r="P316" s="11" t="s">
        <v>1156</v>
      </c>
      <c r="Q316" s="11" t="s">
        <v>1038</v>
      </c>
      <c r="R316" s="11" t="s">
        <v>54</v>
      </c>
      <c r="S316" s="12">
        <v>10.92</v>
      </c>
      <c r="T316" s="12">
        <v>21.84</v>
      </c>
      <c r="U316" s="11" t="s">
        <v>101</v>
      </c>
      <c r="V316" s="11" t="s">
        <v>1209</v>
      </c>
      <c r="W316" s="11" t="s">
        <v>1155</v>
      </c>
      <c r="X316" s="11" t="s">
        <v>1037</v>
      </c>
      <c r="Y316" s="11" t="s">
        <v>1039</v>
      </c>
      <c r="Z316" s="11" t="s">
        <v>71</v>
      </c>
      <c r="AA316" s="11" t="s">
        <v>1213</v>
      </c>
      <c r="AB316" s="13">
        <v>2</v>
      </c>
      <c r="AC316" s="11" t="s">
        <v>1502</v>
      </c>
      <c r="AD316" s="11"/>
      <c r="AE316" s="11"/>
      <c r="AF316" s="14">
        <v>46203</v>
      </c>
      <c r="AG316" s="11" t="s">
        <v>1208</v>
      </c>
      <c r="AH316" s="11"/>
    </row>
    <row r="317" spans="1:34" ht="17.25" customHeight="1" x14ac:dyDescent="0.25">
      <c r="A317" s="11" t="s">
        <v>61</v>
      </c>
      <c r="B317" s="11" t="s">
        <v>522</v>
      </c>
      <c r="C317" s="11"/>
      <c r="D317" s="11" t="s">
        <v>1215</v>
      </c>
      <c r="E317" s="11" t="s">
        <v>977</v>
      </c>
      <c r="F317" s="11"/>
      <c r="G317" s="11" t="s">
        <v>979</v>
      </c>
      <c r="H317" s="11" t="s">
        <v>980</v>
      </c>
      <c r="I317" s="11" t="s">
        <v>980</v>
      </c>
      <c r="J317" s="11" t="s">
        <v>1159</v>
      </c>
      <c r="K317" s="11" t="s">
        <v>114</v>
      </c>
      <c r="L317" s="11" t="s">
        <v>115</v>
      </c>
      <c r="M317" s="11" t="s">
        <v>1216</v>
      </c>
      <c r="N317" s="11" t="s">
        <v>1217</v>
      </c>
      <c r="O317" s="11" t="s">
        <v>118</v>
      </c>
      <c r="P317" s="11" t="s">
        <v>1156</v>
      </c>
      <c r="Q317" s="11" t="s">
        <v>146</v>
      </c>
      <c r="R317" s="11" t="s">
        <v>54</v>
      </c>
      <c r="S317" s="12">
        <v>18.2</v>
      </c>
      <c r="T317" s="12">
        <v>91</v>
      </c>
      <c r="U317" s="11" t="s">
        <v>101</v>
      </c>
      <c r="V317" s="11" t="s">
        <v>1209</v>
      </c>
      <c r="W317" s="11" t="s">
        <v>1155</v>
      </c>
      <c r="X317" s="11" t="s">
        <v>581</v>
      </c>
      <c r="Y317" s="11" t="s">
        <v>582</v>
      </c>
      <c r="Z317" s="11" t="s">
        <v>71</v>
      </c>
      <c r="AA317" s="11" t="s">
        <v>1213</v>
      </c>
      <c r="AB317" s="13">
        <v>5</v>
      </c>
      <c r="AC317" s="11" t="s">
        <v>1502</v>
      </c>
      <c r="AD317" s="11"/>
      <c r="AE317" s="11"/>
      <c r="AF317" s="14">
        <v>46203</v>
      </c>
      <c r="AG317" s="11" t="s">
        <v>1208</v>
      </c>
      <c r="AH317" s="11"/>
    </row>
    <row r="318" spans="1:34" ht="17.25" customHeight="1" x14ac:dyDescent="0.25">
      <c r="A318" s="11" t="s">
        <v>61</v>
      </c>
      <c r="B318" s="11" t="s">
        <v>522</v>
      </c>
      <c r="C318" s="11"/>
      <c r="D318" s="11" t="s">
        <v>1215</v>
      </c>
      <c r="E318" s="11" t="s">
        <v>977</v>
      </c>
      <c r="F318" s="11"/>
      <c r="G318" s="11" t="s">
        <v>979</v>
      </c>
      <c r="H318" s="11" t="s">
        <v>980</v>
      </c>
      <c r="I318" s="11" t="s">
        <v>980</v>
      </c>
      <c r="J318" s="11" t="s">
        <v>1159</v>
      </c>
      <c r="K318" s="11" t="s">
        <v>168</v>
      </c>
      <c r="L318" s="11" t="s">
        <v>169</v>
      </c>
      <c r="M318" s="11" t="s">
        <v>1216</v>
      </c>
      <c r="N318" s="11" t="s">
        <v>1217</v>
      </c>
      <c r="O318" s="11" t="s">
        <v>118</v>
      </c>
      <c r="P318" s="11" t="s">
        <v>1156</v>
      </c>
      <c r="Q318" s="11" t="s">
        <v>1100</v>
      </c>
      <c r="R318" s="11" t="s">
        <v>54</v>
      </c>
      <c r="S318" s="12">
        <v>4.8</v>
      </c>
      <c r="T318" s="12">
        <v>4.8</v>
      </c>
      <c r="U318" s="11" t="s">
        <v>101</v>
      </c>
      <c r="V318" s="11" t="s">
        <v>1209</v>
      </c>
      <c r="W318" s="11" t="s">
        <v>1155</v>
      </c>
      <c r="X318" s="11" t="s">
        <v>1099</v>
      </c>
      <c r="Y318" s="11" t="s">
        <v>1101</v>
      </c>
      <c r="Z318" s="11" t="s">
        <v>71</v>
      </c>
      <c r="AA318" s="11" t="s">
        <v>1213</v>
      </c>
      <c r="AB318" s="13">
        <v>1</v>
      </c>
      <c r="AC318" s="11" t="s">
        <v>1502</v>
      </c>
      <c r="AD318" s="11"/>
      <c r="AE318" s="11"/>
      <c r="AF318" s="14">
        <v>46203</v>
      </c>
      <c r="AG318" s="11" t="s">
        <v>1208</v>
      </c>
      <c r="AH318" s="11"/>
    </row>
    <row r="319" spans="1:34" ht="17.25" customHeight="1" x14ac:dyDescent="0.25">
      <c r="A319" s="11" t="s">
        <v>61</v>
      </c>
      <c r="B319" s="11" t="s">
        <v>522</v>
      </c>
      <c r="C319" s="11"/>
      <c r="D319" s="11" t="s">
        <v>1215</v>
      </c>
      <c r="E319" s="11" t="s">
        <v>977</v>
      </c>
      <c r="F319" s="11"/>
      <c r="G319" s="11" t="s">
        <v>979</v>
      </c>
      <c r="H319" s="11" t="s">
        <v>980</v>
      </c>
      <c r="I319" s="11" t="s">
        <v>980</v>
      </c>
      <c r="J319" s="11" t="s">
        <v>1159</v>
      </c>
      <c r="K319" s="11" t="s">
        <v>114</v>
      </c>
      <c r="L319" s="11" t="s">
        <v>115</v>
      </c>
      <c r="M319" s="11" t="s">
        <v>1216</v>
      </c>
      <c r="N319" s="11" t="s">
        <v>1217</v>
      </c>
      <c r="O319" s="11" t="s">
        <v>118</v>
      </c>
      <c r="P319" s="11" t="s">
        <v>1156</v>
      </c>
      <c r="Q319" s="11" t="s">
        <v>1223</v>
      </c>
      <c r="R319" s="11" t="s">
        <v>54</v>
      </c>
      <c r="S319" s="12">
        <v>10.92</v>
      </c>
      <c r="T319" s="12">
        <v>10.92</v>
      </c>
      <c r="U319" s="11" t="s">
        <v>101</v>
      </c>
      <c r="V319" s="11" t="s">
        <v>1209</v>
      </c>
      <c r="W319" s="11" t="s">
        <v>1155</v>
      </c>
      <c r="X319" s="11" t="s">
        <v>1222</v>
      </c>
      <c r="Y319" s="11" t="s">
        <v>1224</v>
      </c>
      <c r="Z319" s="11" t="s">
        <v>567</v>
      </c>
      <c r="AA319" s="11" t="s">
        <v>1213</v>
      </c>
      <c r="AB319" s="13">
        <v>1</v>
      </c>
      <c r="AC319" s="11" t="s">
        <v>1502</v>
      </c>
      <c r="AD319" s="11"/>
      <c r="AE319" s="11"/>
      <c r="AF319" s="14">
        <v>46203</v>
      </c>
      <c r="AG319" s="11" t="s">
        <v>1208</v>
      </c>
      <c r="AH319" s="11"/>
    </row>
    <row r="320" spans="1:34" ht="17.25" customHeight="1" x14ac:dyDescent="0.25">
      <c r="A320" s="11" t="s">
        <v>61</v>
      </c>
      <c r="B320" s="11" t="s">
        <v>522</v>
      </c>
      <c r="C320" s="11"/>
      <c r="D320" s="11" t="s">
        <v>1215</v>
      </c>
      <c r="E320" s="11" t="s">
        <v>977</v>
      </c>
      <c r="F320" s="11"/>
      <c r="G320" s="11" t="s">
        <v>979</v>
      </c>
      <c r="H320" s="11" t="s">
        <v>980</v>
      </c>
      <c r="I320" s="11" t="s">
        <v>980</v>
      </c>
      <c r="J320" s="11" t="s">
        <v>1159</v>
      </c>
      <c r="K320" s="11" t="s">
        <v>114</v>
      </c>
      <c r="L320" s="11" t="s">
        <v>115</v>
      </c>
      <c r="M320" s="11" t="s">
        <v>1216</v>
      </c>
      <c r="N320" s="11" t="s">
        <v>1217</v>
      </c>
      <c r="O320" s="11" t="s">
        <v>118</v>
      </c>
      <c r="P320" s="11" t="s">
        <v>1156</v>
      </c>
      <c r="Q320" s="11" t="s">
        <v>1223</v>
      </c>
      <c r="R320" s="11" t="s">
        <v>54</v>
      </c>
      <c r="S320" s="12">
        <v>10.92</v>
      </c>
      <c r="T320" s="12">
        <v>65.52</v>
      </c>
      <c r="U320" s="11" t="s">
        <v>101</v>
      </c>
      <c r="V320" s="11" t="s">
        <v>1209</v>
      </c>
      <c r="W320" s="11" t="s">
        <v>1155</v>
      </c>
      <c r="X320" s="11" t="s">
        <v>1222</v>
      </c>
      <c r="Y320" s="11" t="s">
        <v>1224</v>
      </c>
      <c r="Z320" s="11" t="s">
        <v>71</v>
      </c>
      <c r="AA320" s="11" t="s">
        <v>1213</v>
      </c>
      <c r="AB320" s="13">
        <v>6</v>
      </c>
      <c r="AC320" s="11" t="s">
        <v>1502</v>
      </c>
      <c r="AD320" s="11"/>
      <c r="AE320" s="11"/>
      <c r="AF320" s="14">
        <v>46203</v>
      </c>
      <c r="AG320" s="11" t="s">
        <v>1208</v>
      </c>
      <c r="AH320" s="11"/>
    </row>
    <row r="321" spans="1:34" ht="17.25" customHeight="1" x14ac:dyDescent="0.25">
      <c r="A321" s="11" t="s">
        <v>61</v>
      </c>
      <c r="B321" s="11" t="s">
        <v>522</v>
      </c>
      <c r="C321" s="11"/>
      <c r="D321" s="11" t="s">
        <v>1215</v>
      </c>
      <c r="E321" s="11" t="s">
        <v>977</v>
      </c>
      <c r="F321" s="11"/>
      <c r="G321" s="11" t="s">
        <v>979</v>
      </c>
      <c r="H321" s="11" t="s">
        <v>980</v>
      </c>
      <c r="I321" s="11" t="s">
        <v>980</v>
      </c>
      <c r="J321" s="11" t="s">
        <v>1159</v>
      </c>
      <c r="K321" s="11" t="s">
        <v>168</v>
      </c>
      <c r="L321" s="11" t="s">
        <v>169</v>
      </c>
      <c r="M321" s="11" t="s">
        <v>1216</v>
      </c>
      <c r="N321" s="11" t="s">
        <v>1217</v>
      </c>
      <c r="O321" s="11" t="s">
        <v>118</v>
      </c>
      <c r="P321" s="11" t="s">
        <v>1156</v>
      </c>
      <c r="Q321" s="11" t="s">
        <v>592</v>
      </c>
      <c r="R321" s="11" t="s">
        <v>54</v>
      </c>
      <c r="S321" s="12">
        <v>4.0949999999999998</v>
      </c>
      <c r="T321" s="12">
        <v>20.474999999999998</v>
      </c>
      <c r="U321" s="11" t="s">
        <v>101</v>
      </c>
      <c r="V321" s="11" t="s">
        <v>1209</v>
      </c>
      <c r="W321" s="11" t="s">
        <v>1155</v>
      </c>
      <c r="X321" s="11" t="s">
        <v>591</v>
      </c>
      <c r="Y321" s="11" t="s">
        <v>593</v>
      </c>
      <c r="Z321" s="11" t="s">
        <v>71</v>
      </c>
      <c r="AA321" s="11" t="s">
        <v>1213</v>
      </c>
      <c r="AB321" s="13">
        <v>5</v>
      </c>
      <c r="AC321" s="11" t="s">
        <v>1502</v>
      </c>
      <c r="AD321" s="11"/>
      <c r="AE321" s="11"/>
      <c r="AF321" s="14">
        <v>46203</v>
      </c>
      <c r="AG321" s="11" t="s">
        <v>1208</v>
      </c>
      <c r="AH321" s="11"/>
    </row>
    <row r="322" spans="1:34" ht="17.25" customHeight="1" x14ac:dyDescent="0.25">
      <c r="A322" s="11" t="s">
        <v>61</v>
      </c>
      <c r="B322" s="11" t="s">
        <v>522</v>
      </c>
      <c r="C322" s="11"/>
      <c r="D322" s="11" t="s">
        <v>1215</v>
      </c>
      <c r="E322" s="11" t="s">
        <v>977</v>
      </c>
      <c r="F322" s="11"/>
      <c r="G322" s="11" t="s">
        <v>979</v>
      </c>
      <c r="H322" s="11" t="s">
        <v>980</v>
      </c>
      <c r="I322" s="11" t="s">
        <v>980</v>
      </c>
      <c r="J322" s="11" t="s">
        <v>1159</v>
      </c>
      <c r="K322" s="11" t="s">
        <v>168</v>
      </c>
      <c r="L322" s="11" t="s">
        <v>169</v>
      </c>
      <c r="M322" s="11" t="s">
        <v>1216</v>
      </c>
      <c r="N322" s="11" t="s">
        <v>1217</v>
      </c>
      <c r="O322" s="11" t="s">
        <v>118</v>
      </c>
      <c r="P322" s="11" t="s">
        <v>1156</v>
      </c>
      <c r="Q322" s="11" t="s">
        <v>162</v>
      </c>
      <c r="R322" s="11" t="s">
        <v>54</v>
      </c>
      <c r="S322" s="12">
        <v>2.73</v>
      </c>
      <c r="T322" s="12">
        <v>19.11</v>
      </c>
      <c r="U322" s="11" t="s">
        <v>101</v>
      </c>
      <c r="V322" s="11" t="s">
        <v>1209</v>
      </c>
      <c r="W322" s="11" t="s">
        <v>1155</v>
      </c>
      <c r="X322" s="11" t="s">
        <v>161</v>
      </c>
      <c r="Y322" s="11" t="s">
        <v>163</v>
      </c>
      <c r="Z322" s="11" t="s">
        <v>71</v>
      </c>
      <c r="AA322" s="11" t="s">
        <v>1213</v>
      </c>
      <c r="AB322" s="13">
        <v>7</v>
      </c>
      <c r="AC322" s="11" t="s">
        <v>1502</v>
      </c>
      <c r="AD322" s="11"/>
      <c r="AE322" s="11"/>
      <c r="AF322" s="14">
        <v>46203</v>
      </c>
      <c r="AG322" s="11" t="s">
        <v>1208</v>
      </c>
      <c r="AH322" s="11"/>
    </row>
    <row r="323" spans="1:34" ht="17.25" customHeight="1" x14ac:dyDescent="0.25">
      <c r="A323" s="11" t="s">
        <v>61</v>
      </c>
      <c r="B323" s="11" t="s">
        <v>522</v>
      </c>
      <c r="C323" s="11"/>
      <c r="D323" s="11" t="s">
        <v>1215</v>
      </c>
      <c r="E323" s="11" t="s">
        <v>977</v>
      </c>
      <c r="F323" s="11"/>
      <c r="G323" s="11" t="s">
        <v>979</v>
      </c>
      <c r="H323" s="11" t="s">
        <v>980</v>
      </c>
      <c r="I323" s="11" t="s">
        <v>980</v>
      </c>
      <c r="J323" s="11" t="s">
        <v>1159</v>
      </c>
      <c r="K323" s="11" t="s">
        <v>168</v>
      </c>
      <c r="L323" s="11" t="s">
        <v>169</v>
      </c>
      <c r="M323" s="11" t="s">
        <v>1216</v>
      </c>
      <c r="N323" s="11" t="s">
        <v>1217</v>
      </c>
      <c r="O323" s="11" t="s">
        <v>118</v>
      </c>
      <c r="P323" s="11" t="s">
        <v>1156</v>
      </c>
      <c r="Q323" s="11" t="s">
        <v>1227</v>
      </c>
      <c r="R323" s="11" t="s">
        <v>54</v>
      </c>
      <c r="S323" s="12">
        <v>4.0949999999999998</v>
      </c>
      <c r="T323" s="12">
        <v>8.19</v>
      </c>
      <c r="U323" s="11" t="s">
        <v>101</v>
      </c>
      <c r="V323" s="11" t="s">
        <v>1209</v>
      </c>
      <c r="W323" s="11" t="s">
        <v>1155</v>
      </c>
      <c r="X323" s="11" t="s">
        <v>1226</v>
      </c>
      <c r="Y323" s="11" t="s">
        <v>1228</v>
      </c>
      <c r="Z323" s="11" t="s">
        <v>71</v>
      </c>
      <c r="AA323" s="11" t="s">
        <v>1213</v>
      </c>
      <c r="AB323" s="13">
        <v>2</v>
      </c>
      <c r="AC323" s="11" t="s">
        <v>1502</v>
      </c>
      <c r="AD323" s="11"/>
      <c r="AE323" s="11"/>
      <c r="AF323" s="14">
        <v>46203</v>
      </c>
      <c r="AG323" s="11" t="s">
        <v>1208</v>
      </c>
      <c r="AH323" s="11"/>
    </row>
    <row r="324" spans="1:34" ht="17.25" customHeight="1" x14ac:dyDescent="0.25">
      <c r="A324" s="11" t="s">
        <v>61</v>
      </c>
      <c r="B324" s="11" t="s">
        <v>522</v>
      </c>
      <c r="C324" s="11"/>
      <c r="D324" s="11" t="s">
        <v>1231</v>
      </c>
      <c r="E324" s="11" t="s">
        <v>977</v>
      </c>
      <c r="F324" s="11"/>
      <c r="G324" s="11" t="s">
        <v>979</v>
      </c>
      <c r="H324" s="11" t="s">
        <v>980</v>
      </c>
      <c r="I324" s="11" t="s">
        <v>980</v>
      </c>
      <c r="J324" s="11" t="s">
        <v>1184</v>
      </c>
      <c r="K324" s="11" t="s">
        <v>114</v>
      </c>
      <c r="L324" s="11" t="s">
        <v>115</v>
      </c>
      <c r="M324" s="11" t="s">
        <v>1232</v>
      </c>
      <c r="N324" s="11" t="s">
        <v>1233</v>
      </c>
      <c r="O324" s="11" t="s">
        <v>118</v>
      </c>
      <c r="P324" s="11" t="s">
        <v>1156</v>
      </c>
      <c r="Q324" s="11" t="s">
        <v>242</v>
      </c>
      <c r="R324" s="11" t="s">
        <v>54</v>
      </c>
      <c r="S324" s="12">
        <v>10.92</v>
      </c>
      <c r="T324" s="12">
        <v>43.68</v>
      </c>
      <c r="U324" s="11" t="s">
        <v>101</v>
      </c>
      <c r="V324" s="11" t="s">
        <v>1209</v>
      </c>
      <c r="W324" s="11" t="s">
        <v>1155</v>
      </c>
      <c r="X324" s="11" t="s">
        <v>241</v>
      </c>
      <c r="Y324" s="11" t="s">
        <v>243</v>
      </c>
      <c r="Z324" s="11" t="s">
        <v>567</v>
      </c>
      <c r="AA324" s="11" t="s">
        <v>1213</v>
      </c>
      <c r="AB324" s="13">
        <v>4</v>
      </c>
      <c r="AC324" s="11" t="s">
        <v>1502</v>
      </c>
      <c r="AD324" s="11"/>
      <c r="AE324" s="11"/>
      <c r="AF324" s="14">
        <v>46203</v>
      </c>
      <c r="AG324" s="11" t="s">
        <v>1230</v>
      </c>
      <c r="AH324" s="11"/>
    </row>
    <row r="325" spans="1:34" ht="17.25" customHeight="1" x14ac:dyDescent="0.25">
      <c r="A325" s="11" t="s">
        <v>61</v>
      </c>
      <c r="B325" s="11" t="s">
        <v>522</v>
      </c>
      <c r="C325" s="11"/>
      <c r="D325" s="11" t="s">
        <v>1231</v>
      </c>
      <c r="E325" s="11" t="s">
        <v>977</v>
      </c>
      <c r="F325" s="11"/>
      <c r="G325" s="11" t="s">
        <v>979</v>
      </c>
      <c r="H325" s="11" t="s">
        <v>980</v>
      </c>
      <c r="I325" s="11" t="s">
        <v>980</v>
      </c>
      <c r="J325" s="11" t="s">
        <v>1184</v>
      </c>
      <c r="K325" s="11" t="s">
        <v>114</v>
      </c>
      <c r="L325" s="11" t="s">
        <v>115</v>
      </c>
      <c r="M325" s="11" t="s">
        <v>1232</v>
      </c>
      <c r="N325" s="11" t="s">
        <v>1233</v>
      </c>
      <c r="O325" s="11" t="s">
        <v>118</v>
      </c>
      <c r="P325" s="11" t="s">
        <v>1156</v>
      </c>
      <c r="Q325" s="11" t="s">
        <v>242</v>
      </c>
      <c r="R325" s="11" t="s">
        <v>54</v>
      </c>
      <c r="S325" s="12">
        <v>10.92</v>
      </c>
      <c r="T325" s="12">
        <v>262.08</v>
      </c>
      <c r="U325" s="11" t="s">
        <v>101</v>
      </c>
      <c r="V325" s="11" t="s">
        <v>1209</v>
      </c>
      <c r="W325" s="11" t="s">
        <v>1155</v>
      </c>
      <c r="X325" s="11" t="s">
        <v>241</v>
      </c>
      <c r="Y325" s="11" t="s">
        <v>243</v>
      </c>
      <c r="Z325" s="11" t="s">
        <v>71</v>
      </c>
      <c r="AA325" s="11" t="s">
        <v>1213</v>
      </c>
      <c r="AB325" s="13">
        <v>24</v>
      </c>
      <c r="AC325" s="11" t="s">
        <v>1502</v>
      </c>
      <c r="AD325" s="11"/>
      <c r="AE325" s="11"/>
      <c r="AF325" s="14">
        <v>46203</v>
      </c>
      <c r="AG325" s="11" t="s">
        <v>1230</v>
      </c>
      <c r="AH325" s="11"/>
    </row>
    <row r="326" spans="1:34" ht="17.25" customHeight="1" x14ac:dyDescent="0.25">
      <c r="A326" s="11" t="s">
        <v>699</v>
      </c>
      <c r="B326" s="11" t="s">
        <v>700</v>
      </c>
      <c r="C326" s="11"/>
      <c r="D326" s="11" t="s">
        <v>840</v>
      </c>
      <c r="E326" s="11" t="s">
        <v>283</v>
      </c>
      <c r="F326" s="11"/>
      <c r="G326" s="11" t="s">
        <v>285</v>
      </c>
      <c r="H326" s="11" t="s">
        <v>794</v>
      </c>
      <c r="I326" s="11" t="s">
        <v>272</v>
      </c>
      <c r="J326" s="11" t="s">
        <v>841</v>
      </c>
      <c r="K326" s="11" t="s">
        <v>114</v>
      </c>
      <c r="L326" s="11" t="s">
        <v>115</v>
      </c>
      <c r="M326" s="11" t="s">
        <v>842</v>
      </c>
      <c r="N326" s="11" t="s">
        <v>843</v>
      </c>
      <c r="O326" s="11" t="s">
        <v>118</v>
      </c>
      <c r="P326" s="11" t="s">
        <v>833</v>
      </c>
      <c r="Q326" s="11" t="s">
        <v>835</v>
      </c>
      <c r="R326" s="11" t="s">
        <v>280</v>
      </c>
      <c r="S326" s="12">
        <v>18</v>
      </c>
      <c r="T326" s="12">
        <v>702.00000000000045</v>
      </c>
      <c r="U326" s="11" t="s">
        <v>101</v>
      </c>
      <c r="V326" s="11" t="s">
        <v>831</v>
      </c>
      <c r="W326" s="11" t="s">
        <v>832</v>
      </c>
      <c r="X326" s="11" t="s">
        <v>834</v>
      </c>
      <c r="Y326" s="11" t="s">
        <v>836</v>
      </c>
      <c r="Z326" s="11" t="s">
        <v>71</v>
      </c>
      <c r="AA326" s="11"/>
      <c r="AB326" s="13">
        <v>0.70199999999999996</v>
      </c>
      <c r="AC326" s="11" t="s">
        <v>1533</v>
      </c>
      <c r="AD326" s="11"/>
      <c r="AE326" s="11"/>
      <c r="AF326" s="14">
        <v>46203</v>
      </c>
      <c r="AG326" s="11" t="s">
        <v>829</v>
      </c>
      <c r="AH326" s="11" t="s">
        <v>839</v>
      </c>
    </row>
    <row r="327" spans="1:34" ht="17.25" customHeight="1" x14ac:dyDescent="0.25">
      <c r="A327" s="11" t="s">
        <v>699</v>
      </c>
      <c r="B327" s="11" t="s">
        <v>700</v>
      </c>
      <c r="C327" s="11"/>
      <c r="D327" s="11" t="s">
        <v>840</v>
      </c>
      <c r="E327" s="11" t="s">
        <v>283</v>
      </c>
      <c r="F327" s="11"/>
      <c r="G327" s="11" t="s">
        <v>285</v>
      </c>
      <c r="H327" s="11" t="s">
        <v>794</v>
      </c>
      <c r="I327" s="11" t="s">
        <v>272</v>
      </c>
      <c r="J327" s="11" t="s">
        <v>841</v>
      </c>
      <c r="K327" s="11" t="s">
        <v>114</v>
      </c>
      <c r="L327" s="11" t="s">
        <v>115</v>
      </c>
      <c r="M327" s="11" t="s">
        <v>842</v>
      </c>
      <c r="N327" s="11" t="s">
        <v>843</v>
      </c>
      <c r="O327" s="11" t="s">
        <v>118</v>
      </c>
      <c r="P327" s="11" t="s">
        <v>833</v>
      </c>
      <c r="Q327" s="11" t="s">
        <v>847</v>
      </c>
      <c r="R327" s="11" t="s">
        <v>280</v>
      </c>
      <c r="S327" s="12">
        <v>20</v>
      </c>
      <c r="T327" s="12">
        <v>300</v>
      </c>
      <c r="U327" s="11" t="s">
        <v>101</v>
      </c>
      <c r="V327" s="11" t="s">
        <v>831</v>
      </c>
      <c r="W327" s="11" t="s">
        <v>832</v>
      </c>
      <c r="X327" s="11" t="s">
        <v>846</v>
      </c>
      <c r="Y327" s="11" t="s">
        <v>848</v>
      </c>
      <c r="Z327" s="11" t="s">
        <v>71</v>
      </c>
      <c r="AA327" s="11"/>
      <c r="AB327" s="13">
        <v>0.3</v>
      </c>
      <c r="AC327" s="11" t="s">
        <v>1533</v>
      </c>
      <c r="AD327" s="11"/>
      <c r="AE327" s="11"/>
      <c r="AF327" s="14">
        <v>46203</v>
      </c>
      <c r="AG327" s="11" t="s">
        <v>829</v>
      </c>
      <c r="AH327" s="11" t="s">
        <v>839</v>
      </c>
    </row>
    <row r="328" spans="1:34" ht="17.25" customHeight="1" x14ac:dyDescent="0.25">
      <c r="A328" s="11" t="s">
        <v>699</v>
      </c>
      <c r="B328" s="11" t="s">
        <v>700</v>
      </c>
      <c r="C328" s="11"/>
      <c r="D328" s="11" t="s">
        <v>853</v>
      </c>
      <c r="E328" s="11" t="s">
        <v>283</v>
      </c>
      <c r="F328" s="11"/>
      <c r="G328" s="11" t="s">
        <v>285</v>
      </c>
      <c r="H328" s="11" t="s">
        <v>794</v>
      </c>
      <c r="I328" s="11" t="s">
        <v>272</v>
      </c>
      <c r="J328" s="11" t="s">
        <v>854</v>
      </c>
      <c r="K328" s="11" t="s">
        <v>114</v>
      </c>
      <c r="L328" s="11" t="s">
        <v>115</v>
      </c>
      <c r="M328" s="11" t="s">
        <v>855</v>
      </c>
      <c r="N328" s="11" t="s">
        <v>856</v>
      </c>
      <c r="O328" s="11" t="s">
        <v>118</v>
      </c>
      <c r="P328" s="11" t="s">
        <v>833</v>
      </c>
      <c r="Q328" s="11" t="s">
        <v>835</v>
      </c>
      <c r="R328" s="11" t="s">
        <v>280</v>
      </c>
      <c r="S328" s="12">
        <v>18</v>
      </c>
      <c r="T328" s="12">
        <v>306.00000000000023</v>
      </c>
      <c r="U328" s="11" t="s">
        <v>101</v>
      </c>
      <c r="V328" s="11" t="s">
        <v>831</v>
      </c>
      <c r="W328" s="11" t="s">
        <v>832</v>
      </c>
      <c r="X328" s="11" t="s">
        <v>834</v>
      </c>
      <c r="Y328" s="11" t="s">
        <v>836</v>
      </c>
      <c r="Z328" s="11" t="s">
        <v>71</v>
      </c>
      <c r="AA328" s="11"/>
      <c r="AB328" s="13">
        <v>0.30599999999999999</v>
      </c>
      <c r="AC328" s="11" t="s">
        <v>1533</v>
      </c>
      <c r="AD328" s="11"/>
      <c r="AE328" s="11"/>
      <c r="AF328" s="14">
        <v>46203</v>
      </c>
      <c r="AG328" s="11" t="s">
        <v>850</v>
      </c>
      <c r="AH328" s="11" t="s">
        <v>839</v>
      </c>
    </row>
    <row r="329" spans="1:34" ht="17.25" customHeight="1" x14ac:dyDescent="0.25">
      <c r="A329" s="11" t="s">
        <v>269</v>
      </c>
      <c r="B329" s="11" t="s">
        <v>744</v>
      </c>
      <c r="C329" s="11" t="s">
        <v>1534</v>
      </c>
      <c r="D329" s="11" t="s">
        <v>778</v>
      </c>
      <c r="E329" s="11" t="s">
        <v>777</v>
      </c>
      <c r="F329" s="11"/>
      <c r="G329" s="11" t="s">
        <v>779</v>
      </c>
      <c r="H329" s="11" t="s">
        <v>780</v>
      </c>
      <c r="I329" s="11" t="s">
        <v>780</v>
      </c>
      <c r="J329" s="11" t="s">
        <v>781</v>
      </c>
      <c r="K329" s="11" t="s">
        <v>190</v>
      </c>
      <c r="L329" s="11" t="s">
        <v>191</v>
      </c>
      <c r="M329" s="11" t="s">
        <v>782</v>
      </c>
      <c r="N329" s="11" t="s">
        <v>783</v>
      </c>
      <c r="O329" s="11" t="s">
        <v>118</v>
      </c>
      <c r="P329" s="11" t="s">
        <v>771</v>
      </c>
      <c r="Q329" s="11" t="s">
        <v>773</v>
      </c>
      <c r="R329" s="11" t="s">
        <v>280</v>
      </c>
      <c r="S329" s="12">
        <v>250</v>
      </c>
      <c r="T329" s="12">
        <v>2000</v>
      </c>
      <c r="U329" s="11" t="s">
        <v>101</v>
      </c>
      <c r="V329" s="11" t="s">
        <v>769</v>
      </c>
      <c r="W329" s="11" t="s">
        <v>770</v>
      </c>
      <c r="X329" s="11" t="s">
        <v>772</v>
      </c>
      <c r="Y329" s="11" t="s">
        <v>774</v>
      </c>
      <c r="Z329" s="11" t="s">
        <v>71</v>
      </c>
      <c r="AA329" s="11"/>
      <c r="AB329" s="13">
        <v>2</v>
      </c>
      <c r="AC329" s="11" t="s">
        <v>1501</v>
      </c>
      <c r="AD329" s="11"/>
      <c r="AE329" s="11"/>
      <c r="AF329" s="14">
        <v>46203</v>
      </c>
      <c r="AG329" s="11" t="s">
        <v>768</v>
      </c>
      <c r="AH329" s="11" t="s">
        <v>776</v>
      </c>
    </row>
  </sheetData>
  <autoFilter ref="A4:AH329" xr:uid="{4F91F30A-E110-4F13-A410-7E77E65A7892}"/>
  <mergeCells count="3">
    <mergeCell ref="A1:AH1"/>
    <mergeCell ref="A2:AH2"/>
    <mergeCell ref="A3:A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357"/>
  <sheetViews>
    <sheetView tabSelected="1" workbookViewId="0">
      <pane xSplit="6" ySplit="2" topLeftCell="AD3" activePane="bottomRight" state="frozen"/>
      <selection pane="topRight" activeCell="G1" sqref="G1"/>
      <selection pane="bottomLeft" activeCell="A3" sqref="A3"/>
      <selection pane="bottomRight" activeCell="G12" sqref="G12"/>
    </sheetView>
  </sheetViews>
  <sheetFormatPr defaultRowHeight="15" x14ac:dyDescent="0.2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20" hidden="1" customWidth="1"/>
    <col min="18" max="23" width="10" customWidth="1"/>
    <col min="24" max="25" width="12" customWidth="1"/>
    <col min="26" max="27" width="20" customWidth="1"/>
    <col min="28" max="28" width="15" customWidth="1"/>
    <col min="29" max="29" width="35" customWidth="1"/>
    <col min="30" max="31" width="12" customWidth="1"/>
    <col min="32" max="32" width="10" customWidth="1"/>
    <col min="33" max="34" width="12" customWidth="1"/>
    <col min="35" max="35" width="20" customWidth="1"/>
    <col min="36" max="36" width="12" customWidth="1"/>
    <col min="37" max="37" width="25" customWidth="1"/>
    <col min="38" max="39" width="18" customWidth="1"/>
    <col min="40" max="41" width="12" customWidth="1"/>
    <col min="42" max="42" width="15" customWidth="1"/>
    <col min="43" max="44" width="20" customWidth="1"/>
    <col min="45" max="45" width="30" customWidth="1"/>
  </cols>
  <sheetData>
    <row r="2" spans="1:4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1" t="s">
        <v>23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</row>
    <row r="3" spans="1:44" x14ac:dyDescent="0.25">
      <c r="A3" t="s">
        <v>21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23</v>
      </c>
      <c r="N3" t="s">
        <v>54</v>
      </c>
      <c r="O3" t="s">
        <v>55</v>
      </c>
      <c r="P3" t="s">
        <v>56</v>
      </c>
      <c r="Q3" t="s">
        <v>57</v>
      </c>
      <c r="R3" s="3">
        <v>0.185</v>
      </c>
      <c r="S3" t="s">
        <v>23</v>
      </c>
      <c r="T3" t="s">
        <v>23</v>
      </c>
      <c r="U3" t="s">
        <v>23</v>
      </c>
      <c r="V3" s="3">
        <v>0.27900000000000003</v>
      </c>
      <c r="W3" t="s">
        <v>23</v>
      </c>
      <c r="X3" s="3">
        <v>14.866</v>
      </c>
      <c r="Y3" s="3">
        <v>14.866</v>
      </c>
      <c r="Z3" t="s">
        <v>23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63</v>
      </c>
      <c r="AG3" t="s">
        <v>64</v>
      </c>
      <c r="AH3" t="s">
        <v>65</v>
      </c>
      <c r="AI3" t="s">
        <v>23</v>
      </c>
      <c r="AJ3" t="s">
        <v>66</v>
      </c>
      <c r="AK3" t="s">
        <v>67</v>
      </c>
      <c r="AL3" t="s">
        <v>68</v>
      </c>
      <c r="AM3" t="s">
        <v>69</v>
      </c>
      <c r="AN3" t="s">
        <v>70</v>
      </c>
      <c r="AO3" t="s">
        <v>71</v>
      </c>
      <c r="AP3" t="s">
        <v>23</v>
      </c>
      <c r="AQ3" t="s">
        <v>23</v>
      </c>
      <c r="AR3" t="s">
        <v>23</v>
      </c>
    </row>
    <row r="4" spans="1:44" x14ac:dyDescent="0.25">
      <c r="A4" t="s">
        <v>21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72</v>
      </c>
      <c r="K4" t="s">
        <v>73</v>
      </c>
      <c r="L4" t="s">
        <v>74</v>
      </c>
      <c r="M4" t="s">
        <v>23</v>
      </c>
      <c r="N4" t="s">
        <v>54</v>
      </c>
      <c r="O4" t="s">
        <v>75</v>
      </c>
      <c r="P4" t="s">
        <v>76</v>
      </c>
      <c r="Q4" t="s">
        <v>77</v>
      </c>
      <c r="R4" s="3">
        <v>0.01</v>
      </c>
      <c r="S4" t="s">
        <v>23</v>
      </c>
      <c r="T4" t="s">
        <v>23</v>
      </c>
      <c r="U4" t="s">
        <v>23</v>
      </c>
      <c r="V4" s="3">
        <v>0</v>
      </c>
      <c r="W4" t="s">
        <v>23</v>
      </c>
      <c r="X4" s="3">
        <v>0</v>
      </c>
      <c r="Y4" s="3">
        <v>14.866</v>
      </c>
      <c r="Z4" t="s">
        <v>23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63</v>
      </c>
      <c r="AG4" t="s">
        <v>64</v>
      </c>
      <c r="AH4" t="s">
        <v>65</v>
      </c>
      <c r="AI4" t="s">
        <v>23</v>
      </c>
      <c r="AJ4" t="s">
        <v>66</v>
      </c>
      <c r="AK4" t="s">
        <v>67</v>
      </c>
      <c r="AL4" t="s">
        <v>68</v>
      </c>
      <c r="AM4" t="s">
        <v>69</v>
      </c>
      <c r="AN4" t="s">
        <v>70</v>
      </c>
      <c r="AO4" t="s">
        <v>71</v>
      </c>
      <c r="AP4" t="s">
        <v>23</v>
      </c>
      <c r="AQ4" t="s">
        <v>23</v>
      </c>
      <c r="AR4" t="s">
        <v>23</v>
      </c>
    </row>
    <row r="5" spans="1:44" x14ac:dyDescent="0.25">
      <c r="A5" t="s">
        <v>21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78</v>
      </c>
      <c r="K5" t="s">
        <v>79</v>
      </c>
      <c r="L5" t="s">
        <v>80</v>
      </c>
      <c r="M5" t="s">
        <v>23</v>
      </c>
      <c r="N5" t="s">
        <v>54</v>
      </c>
      <c r="O5" t="s">
        <v>75</v>
      </c>
      <c r="P5" t="s">
        <v>77</v>
      </c>
      <c r="Q5" t="s">
        <v>81</v>
      </c>
      <c r="R5" s="3">
        <v>1.9E-2</v>
      </c>
      <c r="S5" t="s">
        <v>23</v>
      </c>
      <c r="T5" t="s">
        <v>23</v>
      </c>
      <c r="U5" t="s">
        <v>23</v>
      </c>
      <c r="V5" s="3">
        <v>0</v>
      </c>
      <c r="W5" t="s">
        <v>23</v>
      </c>
      <c r="X5" s="3">
        <v>0</v>
      </c>
      <c r="Y5" s="3">
        <v>14.866</v>
      </c>
      <c r="Z5" t="s">
        <v>23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  <c r="AF5" t="s">
        <v>63</v>
      </c>
      <c r="AG5" t="s">
        <v>64</v>
      </c>
      <c r="AH5" t="s">
        <v>65</v>
      </c>
      <c r="AI5" t="s">
        <v>23</v>
      </c>
      <c r="AJ5" t="s">
        <v>66</v>
      </c>
      <c r="AK5" t="s">
        <v>67</v>
      </c>
      <c r="AL5" t="s">
        <v>68</v>
      </c>
      <c r="AM5" t="s">
        <v>69</v>
      </c>
      <c r="AN5" t="s">
        <v>70</v>
      </c>
      <c r="AO5" t="s">
        <v>71</v>
      </c>
      <c r="AP5" t="s">
        <v>23</v>
      </c>
      <c r="AQ5" t="s">
        <v>23</v>
      </c>
      <c r="AR5" t="s">
        <v>23</v>
      </c>
    </row>
    <row r="6" spans="1:44" x14ac:dyDescent="0.25">
      <c r="A6" t="s">
        <v>21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82</v>
      </c>
      <c r="K6" t="s">
        <v>83</v>
      </c>
      <c r="L6" t="s">
        <v>84</v>
      </c>
      <c r="M6" t="s">
        <v>23</v>
      </c>
      <c r="N6" t="s">
        <v>54</v>
      </c>
      <c r="O6" t="s">
        <v>75</v>
      </c>
      <c r="P6" t="s">
        <v>85</v>
      </c>
      <c r="Q6" t="s">
        <v>76</v>
      </c>
      <c r="R6" s="3">
        <v>5.0000000000000001E-3</v>
      </c>
      <c r="S6" t="s">
        <v>23</v>
      </c>
      <c r="T6" t="s">
        <v>23</v>
      </c>
      <c r="U6" t="s">
        <v>23</v>
      </c>
      <c r="V6" s="3">
        <v>0</v>
      </c>
      <c r="W6" t="s">
        <v>23</v>
      </c>
      <c r="X6" s="3">
        <v>0</v>
      </c>
      <c r="Y6" s="3">
        <v>14.866</v>
      </c>
      <c r="Z6" t="s">
        <v>23</v>
      </c>
      <c r="AA6" t="s">
        <v>58</v>
      </c>
      <c r="AB6" t="s">
        <v>59</v>
      </c>
      <c r="AC6" t="s">
        <v>60</v>
      </c>
      <c r="AD6" t="s">
        <v>61</v>
      </c>
      <c r="AE6" t="s">
        <v>62</v>
      </c>
      <c r="AF6" t="s">
        <v>63</v>
      </c>
      <c r="AG6" t="s">
        <v>64</v>
      </c>
      <c r="AH6" t="s">
        <v>65</v>
      </c>
      <c r="AI6" t="s">
        <v>23</v>
      </c>
      <c r="AJ6" t="s">
        <v>66</v>
      </c>
      <c r="AK6" t="s">
        <v>67</v>
      </c>
      <c r="AL6" t="s">
        <v>68</v>
      </c>
      <c r="AM6" t="s">
        <v>69</v>
      </c>
      <c r="AN6" t="s">
        <v>70</v>
      </c>
      <c r="AO6" t="s">
        <v>71</v>
      </c>
      <c r="AP6" t="s">
        <v>23</v>
      </c>
      <c r="AQ6" t="s">
        <v>23</v>
      </c>
      <c r="AR6" t="s">
        <v>23</v>
      </c>
    </row>
    <row r="7" spans="1:44" x14ac:dyDescent="0.25">
      <c r="A7" t="s">
        <v>21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86</v>
      </c>
      <c r="K7" t="s">
        <v>87</v>
      </c>
      <c r="L7" t="s">
        <v>88</v>
      </c>
      <c r="M7" t="s">
        <v>23</v>
      </c>
      <c r="N7" t="s">
        <v>54</v>
      </c>
      <c r="O7" t="s">
        <v>75</v>
      </c>
      <c r="P7" t="s">
        <v>76</v>
      </c>
      <c r="Q7" t="s">
        <v>77</v>
      </c>
      <c r="R7" s="3">
        <v>0.01</v>
      </c>
      <c r="S7" t="s">
        <v>23</v>
      </c>
      <c r="T7" t="s">
        <v>23</v>
      </c>
      <c r="U7" t="s">
        <v>23</v>
      </c>
      <c r="V7" s="3">
        <v>0</v>
      </c>
      <c r="W7" t="s">
        <v>23</v>
      </c>
      <c r="X7" s="3">
        <v>0</v>
      </c>
      <c r="Y7" s="3">
        <v>14.866</v>
      </c>
      <c r="Z7" t="s">
        <v>23</v>
      </c>
      <c r="AA7" t="s">
        <v>58</v>
      </c>
      <c r="AB7" t="s">
        <v>59</v>
      </c>
      <c r="AC7" t="s">
        <v>60</v>
      </c>
      <c r="AD7" t="s">
        <v>61</v>
      </c>
      <c r="AE7" t="s">
        <v>62</v>
      </c>
      <c r="AF7" t="s">
        <v>63</v>
      </c>
      <c r="AG7" t="s">
        <v>64</v>
      </c>
      <c r="AH7" t="s">
        <v>65</v>
      </c>
      <c r="AI7" t="s">
        <v>23</v>
      </c>
      <c r="AJ7" t="s">
        <v>66</v>
      </c>
      <c r="AK7" t="s">
        <v>67</v>
      </c>
      <c r="AL7" t="s">
        <v>68</v>
      </c>
      <c r="AM7" t="s">
        <v>69</v>
      </c>
      <c r="AN7" t="s">
        <v>70</v>
      </c>
      <c r="AO7" t="s">
        <v>71</v>
      </c>
      <c r="AP7" t="s">
        <v>23</v>
      </c>
      <c r="AQ7" t="s">
        <v>23</v>
      </c>
      <c r="AR7" t="s">
        <v>23</v>
      </c>
    </row>
    <row r="8" spans="1:44" x14ac:dyDescent="0.25">
      <c r="A8" t="s">
        <v>21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89</v>
      </c>
      <c r="K8" t="s">
        <v>90</v>
      </c>
      <c r="L8" t="s">
        <v>91</v>
      </c>
      <c r="M8" t="s">
        <v>23</v>
      </c>
      <c r="N8" t="s">
        <v>92</v>
      </c>
      <c r="O8" t="s">
        <v>75</v>
      </c>
      <c r="P8" t="s">
        <v>93</v>
      </c>
      <c r="Q8" t="s">
        <v>94</v>
      </c>
      <c r="R8" s="3">
        <v>0.05</v>
      </c>
      <c r="S8" t="s">
        <v>23</v>
      </c>
      <c r="T8" t="s">
        <v>23</v>
      </c>
      <c r="U8" t="s">
        <v>23</v>
      </c>
      <c r="V8" s="3">
        <v>0</v>
      </c>
      <c r="W8" t="s">
        <v>23</v>
      </c>
      <c r="X8" s="3">
        <v>0</v>
      </c>
      <c r="Y8" s="3">
        <v>14.866</v>
      </c>
      <c r="Z8" t="s">
        <v>23</v>
      </c>
      <c r="AA8" t="s">
        <v>58</v>
      </c>
      <c r="AB8" t="s">
        <v>59</v>
      </c>
      <c r="AC8" t="s">
        <v>60</v>
      </c>
      <c r="AD8" t="s">
        <v>61</v>
      </c>
      <c r="AE8" t="s">
        <v>62</v>
      </c>
      <c r="AF8" t="s">
        <v>63</v>
      </c>
      <c r="AG8" t="s">
        <v>64</v>
      </c>
      <c r="AH8" t="s">
        <v>65</v>
      </c>
      <c r="AI8" t="s">
        <v>23</v>
      </c>
      <c r="AJ8" t="s">
        <v>66</v>
      </c>
      <c r="AK8" t="s">
        <v>67</v>
      </c>
      <c r="AL8" t="s">
        <v>68</v>
      </c>
      <c r="AM8" t="s">
        <v>69</v>
      </c>
      <c r="AN8" t="s">
        <v>70</v>
      </c>
      <c r="AO8" t="s">
        <v>71</v>
      </c>
      <c r="AP8" t="s">
        <v>23</v>
      </c>
      <c r="AQ8" t="s">
        <v>23</v>
      </c>
      <c r="AR8" t="s">
        <v>23</v>
      </c>
    </row>
    <row r="9" spans="1:44" x14ac:dyDescent="0.25">
      <c r="A9" t="s">
        <v>21</v>
      </c>
      <c r="B9" t="s">
        <v>95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23</v>
      </c>
      <c r="N9" t="s">
        <v>54</v>
      </c>
      <c r="O9" t="s">
        <v>96</v>
      </c>
      <c r="P9" t="s">
        <v>56</v>
      </c>
      <c r="Q9" t="s">
        <v>56</v>
      </c>
      <c r="R9" s="3">
        <v>1.2E-2</v>
      </c>
      <c r="S9" t="s">
        <v>23</v>
      </c>
      <c r="T9" t="s">
        <v>23</v>
      </c>
      <c r="U9" t="s">
        <v>23</v>
      </c>
      <c r="V9" s="3">
        <v>1.2E-2</v>
      </c>
      <c r="W9" t="s">
        <v>23</v>
      </c>
      <c r="X9" s="3">
        <v>0</v>
      </c>
      <c r="Y9" s="3">
        <v>14.866</v>
      </c>
      <c r="Z9" t="s">
        <v>23</v>
      </c>
      <c r="AA9" t="s">
        <v>58</v>
      </c>
      <c r="AB9" t="s">
        <v>59</v>
      </c>
      <c r="AC9" t="s">
        <v>97</v>
      </c>
      <c r="AD9" t="s">
        <v>61</v>
      </c>
      <c r="AE9" t="s">
        <v>62</v>
      </c>
      <c r="AF9" t="s">
        <v>63</v>
      </c>
      <c r="AG9" t="s">
        <v>64</v>
      </c>
      <c r="AH9" t="s">
        <v>65</v>
      </c>
      <c r="AI9" t="s">
        <v>98</v>
      </c>
      <c r="AJ9" t="s">
        <v>66</v>
      </c>
      <c r="AK9" t="s">
        <v>67</v>
      </c>
      <c r="AL9" t="s">
        <v>99</v>
      </c>
      <c r="AM9" t="s">
        <v>100</v>
      </c>
      <c r="AN9" t="s">
        <v>70</v>
      </c>
      <c r="AO9" t="s">
        <v>71</v>
      </c>
      <c r="AP9" t="s">
        <v>23</v>
      </c>
      <c r="AQ9" t="s">
        <v>23</v>
      </c>
      <c r="AR9" t="s">
        <v>23</v>
      </c>
    </row>
    <row r="10" spans="1:44" x14ac:dyDescent="0.25">
      <c r="A10" t="s">
        <v>101</v>
      </c>
      <c r="B10" t="s">
        <v>102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103</v>
      </c>
      <c r="K10" t="s">
        <v>104</v>
      </c>
      <c r="L10" t="s">
        <v>105</v>
      </c>
      <c r="M10" t="s">
        <v>23</v>
      </c>
      <c r="N10" t="s">
        <v>54</v>
      </c>
      <c r="O10" t="s">
        <v>106</v>
      </c>
      <c r="P10" t="s">
        <v>107</v>
      </c>
      <c r="Q10" t="s">
        <v>108</v>
      </c>
      <c r="R10" s="3">
        <v>0.109</v>
      </c>
      <c r="S10" s="3">
        <v>13.385</v>
      </c>
      <c r="T10" t="s">
        <v>23</v>
      </c>
      <c r="U10" t="s">
        <v>23</v>
      </c>
      <c r="V10" t="s">
        <v>23</v>
      </c>
      <c r="W10" t="s">
        <v>23</v>
      </c>
      <c r="X10" s="3">
        <v>0</v>
      </c>
      <c r="Y10" s="3">
        <v>14.866</v>
      </c>
      <c r="Z10" t="s">
        <v>23</v>
      </c>
      <c r="AA10" t="s">
        <v>58</v>
      </c>
      <c r="AB10" t="s">
        <v>109</v>
      </c>
      <c r="AC10" t="s">
        <v>110</v>
      </c>
      <c r="AD10" t="s">
        <v>61</v>
      </c>
      <c r="AE10" t="s">
        <v>62</v>
      </c>
      <c r="AF10" t="s">
        <v>111</v>
      </c>
      <c r="AG10" t="s">
        <v>112</v>
      </c>
      <c r="AH10" t="s">
        <v>113</v>
      </c>
      <c r="AI10" t="s">
        <v>23</v>
      </c>
      <c r="AJ10" t="s">
        <v>114</v>
      </c>
      <c r="AK10" t="s">
        <v>115</v>
      </c>
      <c r="AL10" t="s">
        <v>116</v>
      </c>
      <c r="AM10" t="s">
        <v>117</v>
      </c>
      <c r="AN10" t="s">
        <v>118</v>
      </c>
      <c r="AO10" t="s">
        <v>71</v>
      </c>
      <c r="AP10" t="s">
        <v>23</v>
      </c>
      <c r="AQ10" t="s">
        <v>23</v>
      </c>
      <c r="AR10" t="s">
        <v>23</v>
      </c>
    </row>
    <row r="11" spans="1:44" x14ac:dyDescent="0.25">
      <c r="A11" t="s">
        <v>101</v>
      </c>
      <c r="B11" t="s">
        <v>102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119</v>
      </c>
      <c r="K11" t="s">
        <v>120</v>
      </c>
      <c r="L11" t="s">
        <v>121</v>
      </c>
      <c r="M11" t="s">
        <v>23</v>
      </c>
      <c r="N11" t="s">
        <v>54</v>
      </c>
      <c r="O11" t="s">
        <v>122</v>
      </c>
      <c r="P11" t="s">
        <v>123</v>
      </c>
      <c r="Q11" t="s">
        <v>124</v>
      </c>
      <c r="R11" s="3">
        <v>3.5000000000000003E-2</v>
      </c>
      <c r="S11" s="3">
        <v>0</v>
      </c>
      <c r="T11" t="s">
        <v>23</v>
      </c>
      <c r="U11" t="s">
        <v>23</v>
      </c>
      <c r="V11" t="s">
        <v>23</v>
      </c>
      <c r="W11" t="s">
        <v>23</v>
      </c>
      <c r="X11" s="3">
        <v>0</v>
      </c>
      <c r="Y11" s="3">
        <v>14.866</v>
      </c>
      <c r="Z11" t="s">
        <v>23</v>
      </c>
      <c r="AA11" t="s">
        <v>58</v>
      </c>
      <c r="AB11" t="s">
        <v>109</v>
      </c>
      <c r="AC11" t="s">
        <v>110</v>
      </c>
      <c r="AD11" t="s">
        <v>61</v>
      </c>
      <c r="AE11" t="s">
        <v>62</v>
      </c>
      <c r="AF11" t="s">
        <v>111</v>
      </c>
      <c r="AG11" t="s">
        <v>112</v>
      </c>
      <c r="AH11" t="s">
        <v>113</v>
      </c>
      <c r="AI11" t="s">
        <v>23</v>
      </c>
      <c r="AJ11" t="s">
        <v>114</v>
      </c>
      <c r="AK11" t="s">
        <v>115</v>
      </c>
      <c r="AL11" t="s">
        <v>116</v>
      </c>
      <c r="AM11" t="s">
        <v>117</v>
      </c>
      <c r="AN11" t="s">
        <v>118</v>
      </c>
      <c r="AO11" t="s">
        <v>71</v>
      </c>
      <c r="AP11" t="s">
        <v>23</v>
      </c>
      <c r="AQ11" t="s">
        <v>23</v>
      </c>
      <c r="AR11" t="s">
        <v>23</v>
      </c>
    </row>
    <row r="12" spans="1:44" x14ac:dyDescent="0.25">
      <c r="A12" t="s">
        <v>101</v>
      </c>
      <c r="B12" t="s">
        <v>102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125</v>
      </c>
      <c r="K12" t="s">
        <v>126</v>
      </c>
      <c r="L12" t="s">
        <v>127</v>
      </c>
      <c r="M12" t="s">
        <v>23</v>
      </c>
      <c r="N12" t="s">
        <v>54</v>
      </c>
      <c r="O12" t="s">
        <v>128</v>
      </c>
      <c r="P12" t="s">
        <v>107</v>
      </c>
      <c r="Q12" t="s">
        <v>129</v>
      </c>
      <c r="R12" s="3">
        <v>0.71</v>
      </c>
      <c r="S12" s="3">
        <v>0</v>
      </c>
      <c r="T12" t="s">
        <v>23</v>
      </c>
      <c r="U12" t="s">
        <v>23</v>
      </c>
      <c r="V12" t="s">
        <v>23</v>
      </c>
      <c r="W12" t="s">
        <v>23</v>
      </c>
      <c r="X12" s="3">
        <v>0</v>
      </c>
      <c r="Y12" s="3">
        <v>14.866</v>
      </c>
      <c r="Z12" t="s">
        <v>23</v>
      </c>
      <c r="AA12" t="s">
        <v>58</v>
      </c>
      <c r="AB12" t="s">
        <v>109</v>
      </c>
      <c r="AC12" t="s">
        <v>110</v>
      </c>
      <c r="AD12" t="s">
        <v>61</v>
      </c>
      <c r="AE12" t="s">
        <v>62</v>
      </c>
      <c r="AF12" t="s">
        <v>111</v>
      </c>
      <c r="AG12" t="s">
        <v>112</v>
      </c>
      <c r="AH12" t="s">
        <v>113</v>
      </c>
      <c r="AI12" t="s">
        <v>23</v>
      </c>
      <c r="AJ12" t="s">
        <v>114</v>
      </c>
      <c r="AK12" t="s">
        <v>115</v>
      </c>
      <c r="AL12" t="s">
        <v>116</v>
      </c>
      <c r="AM12" t="s">
        <v>117</v>
      </c>
      <c r="AN12" t="s">
        <v>118</v>
      </c>
      <c r="AO12" t="s">
        <v>71</v>
      </c>
      <c r="AP12" t="s">
        <v>23</v>
      </c>
      <c r="AQ12" t="s">
        <v>23</v>
      </c>
      <c r="AR12" t="s">
        <v>23</v>
      </c>
    </row>
    <row r="13" spans="1:44" x14ac:dyDescent="0.25">
      <c r="A13" t="s">
        <v>101</v>
      </c>
      <c r="B13" t="s">
        <v>102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130</v>
      </c>
      <c r="K13" t="s">
        <v>131</v>
      </c>
      <c r="L13" t="s">
        <v>132</v>
      </c>
      <c r="M13" t="s">
        <v>23</v>
      </c>
      <c r="N13" t="s">
        <v>54</v>
      </c>
      <c r="O13" t="s">
        <v>106</v>
      </c>
      <c r="P13" t="s">
        <v>133</v>
      </c>
      <c r="Q13" t="s">
        <v>134</v>
      </c>
      <c r="R13" s="3">
        <v>2.1999999999999999E-2</v>
      </c>
      <c r="S13" s="3">
        <v>0</v>
      </c>
      <c r="T13" t="s">
        <v>23</v>
      </c>
      <c r="U13" t="s">
        <v>23</v>
      </c>
      <c r="V13" t="s">
        <v>23</v>
      </c>
      <c r="W13" t="s">
        <v>23</v>
      </c>
      <c r="X13" s="3">
        <v>0</v>
      </c>
      <c r="Y13" s="3">
        <v>14.866</v>
      </c>
      <c r="Z13" t="s">
        <v>23</v>
      </c>
      <c r="AA13" t="s">
        <v>58</v>
      </c>
      <c r="AB13" t="s">
        <v>109</v>
      </c>
      <c r="AC13" t="s">
        <v>110</v>
      </c>
      <c r="AD13" t="s">
        <v>61</v>
      </c>
      <c r="AE13" t="s">
        <v>62</v>
      </c>
      <c r="AF13" t="s">
        <v>111</v>
      </c>
      <c r="AG13" t="s">
        <v>112</v>
      </c>
      <c r="AH13" t="s">
        <v>113</v>
      </c>
      <c r="AI13" t="s">
        <v>23</v>
      </c>
      <c r="AJ13" t="s">
        <v>114</v>
      </c>
      <c r="AK13" t="s">
        <v>115</v>
      </c>
      <c r="AL13" t="s">
        <v>116</v>
      </c>
      <c r="AM13" t="s">
        <v>117</v>
      </c>
      <c r="AN13" t="s">
        <v>118</v>
      </c>
      <c r="AO13" t="s">
        <v>71</v>
      </c>
      <c r="AP13" t="s">
        <v>23</v>
      </c>
      <c r="AQ13" t="s">
        <v>23</v>
      </c>
      <c r="AR13" t="s">
        <v>23</v>
      </c>
    </row>
    <row r="14" spans="1:44" x14ac:dyDescent="0.25">
      <c r="A14" t="s">
        <v>101</v>
      </c>
      <c r="B14" t="s">
        <v>102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135</v>
      </c>
      <c r="K14" t="s">
        <v>136</v>
      </c>
      <c r="L14" t="s">
        <v>137</v>
      </c>
      <c r="M14" t="s">
        <v>23</v>
      </c>
      <c r="N14" t="s">
        <v>54</v>
      </c>
      <c r="O14" t="s">
        <v>138</v>
      </c>
      <c r="P14" t="s">
        <v>139</v>
      </c>
      <c r="Q14" t="s">
        <v>108</v>
      </c>
      <c r="R14" s="3">
        <v>0.109</v>
      </c>
      <c r="S14" s="3">
        <v>0</v>
      </c>
      <c r="T14" t="s">
        <v>23</v>
      </c>
      <c r="U14" t="s">
        <v>23</v>
      </c>
      <c r="V14" t="s">
        <v>23</v>
      </c>
      <c r="W14" t="s">
        <v>23</v>
      </c>
      <c r="X14" s="3">
        <v>0</v>
      </c>
      <c r="Y14" s="3">
        <v>14.866</v>
      </c>
      <c r="Z14" t="s">
        <v>23</v>
      </c>
      <c r="AA14" t="s">
        <v>58</v>
      </c>
      <c r="AB14" t="s">
        <v>109</v>
      </c>
      <c r="AC14" t="s">
        <v>110</v>
      </c>
      <c r="AD14" t="s">
        <v>61</v>
      </c>
      <c r="AE14" t="s">
        <v>62</v>
      </c>
      <c r="AF14" t="s">
        <v>111</v>
      </c>
      <c r="AG14" t="s">
        <v>112</v>
      </c>
      <c r="AH14" t="s">
        <v>113</v>
      </c>
      <c r="AI14" t="s">
        <v>23</v>
      </c>
      <c r="AJ14" t="s">
        <v>114</v>
      </c>
      <c r="AK14" t="s">
        <v>115</v>
      </c>
      <c r="AL14" t="s">
        <v>116</v>
      </c>
      <c r="AM14" t="s">
        <v>117</v>
      </c>
      <c r="AN14" t="s">
        <v>118</v>
      </c>
      <c r="AO14" t="s">
        <v>71</v>
      </c>
      <c r="AP14" t="s">
        <v>23</v>
      </c>
      <c r="AQ14" t="s">
        <v>23</v>
      </c>
      <c r="AR14" t="s">
        <v>23</v>
      </c>
    </row>
    <row r="15" spans="1:44" x14ac:dyDescent="0.25">
      <c r="A15" t="s">
        <v>101</v>
      </c>
      <c r="B15" t="s">
        <v>102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140</v>
      </c>
      <c r="K15" t="s">
        <v>141</v>
      </c>
      <c r="L15" t="s">
        <v>142</v>
      </c>
      <c r="M15" t="s">
        <v>23</v>
      </c>
      <c r="N15" t="s">
        <v>54</v>
      </c>
      <c r="O15" t="s">
        <v>143</v>
      </c>
      <c r="P15" t="s">
        <v>107</v>
      </c>
      <c r="Q15" t="s">
        <v>144</v>
      </c>
      <c r="R15" s="3">
        <v>0.92800000000000005</v>
      </c>
      <c r="S15" s="3">
        <v>0</v>
      </c>
      <c r="T15" t="s">
        <v>23</v>
      </c>
      <c r="U15" t="s">
        <v>23</v>
      </c>
      <c r="V15" t="s">
        <v>23</v>
      </c>
      <c r="W15" t="s">
        <v>23</v>
      </c>
      <c r="X15" s="3">
        <v>0</v>
      </c>
      <c r="Y15" s="3">
        <v>14.866</v>
      </c>
      <c r="Z15" t="s">
        <v>23</v>
      </c>
      <c r="AA15" t="s">
        <v>58</v>
      </c>
      <c r="AB15" t="s">
        <v>109</v>
      </c>
      <c r="AC15" t="s">
        <v>110</v>
      </c>
      <c r="AD15" t="s">
        <v>61</v>
      </c>
      <c r="AE15" t="s">
        <v>62</v>
      </c>
      <c r="AF15" t="s">
        <v>111</v>
      </c>
      <c r="AG15" t="s">
        <v>112</v>
      </c>
      <c r="AH15" t="s">
        <v>113</v>
      </c>
      <c r="AI15" t="s">
        <v>23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71</v>
      </c>
      <c r="AP15" t="s">
        <v>23</v>
      </c>
      <c r="AQ15" t="s">
        <v>23</v>
      </c>
      <c r="AR15" t="s">
        <v>23</v>
      </c>
    </row>
    <row r="16" spans="1:44" x14ac:dyDescent="0.25">
      <c r="A16" t="s">
        <v>101</v>
      </c>
      <c r="B16" t="s">
        <v>102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145</v>
      </c>
      <c r="K16" t="s">
        <v>146</v>
      </c>
      <c r="L16" t="s">
        <v>147</v>
      </c>
      <c r="M16" t="s">
        <v>23</v>
      </c>
      <c r="N16" t="s">
        <v>54</v>
      </c>
      <c r="O16" t="s">
        <v>148</v>
      </c>
      <c r="P16" t="s">
        <v>149</v>
      </c>
      <c r="Q16" t="s">
        <v>150</v>
      </c>
      <c r="R16" s="3">
        <v>0.65500000000000003</v>
      </c>
      <c r="S16" s="3">
        <v>0</v>
      </c>
      <c r="T16" t="s">
        <v>23</v>
      </c>
      <c r="U16" t="s">
        <v>23</v>
      </c>
      <c r="V16" t="s">
        <v>23</v>
      </c>
      <c r="W16" t="s">
        <v>23</v>
      </c>
      <c r="X16" s="3">
        <v>0</v>
      </c>
      <c r="Y16" s="3">
        <v>14.866</v>
      </c>
      <c r="Z16" t="s">
        <v>23</v>
      </c>
      <c r="AA16" t="s">
        <v>58</v>
      </c>
      <c r="AB16" t="s">
        <v>109</v>
      </c>
      <c r="AC16" t="s">
        <v>110</v>
      </c>
      <c r="AD16" t="s">
        <v>61</v>
      </c>
      <c r="AE16" t="s">
        <v>62</v>
      </c>
      <c r="AF16" t="s">
        <v>111</v>
      </c>
      <c r="AG16" t="s">
        <v>112</v>
      </c>
      <c r="AH16" t="s">
        <v>113</v>
      </c>
      <c r="AI16" t="s">
        <v>23</v>
      </c>
      <c r="AJ16" t="s">
        <v>114</v>
      </c>
      <c r="AK16" t="s">
        <v>115</v>
      </c>
      <c r="AL16" t="s">
        <v>116</v>
      </c>
      <c r="AM16" t="s">
        <v>117</v>
      </c>
      <c r="AN16" t="s">
        <v>118</v>
      </c>
      <c r="AO16" t="s">
        <v>71</v>
      </c>
      <c r="AP16" t="s">
        <v>23</v>
      </c>
      <c r="AQ16" t="s">
        <v>23</v>
      </c>
      <c r="AR16" t="s">
        <v>23</v>
      </c>
    </row>
    <row r="17" spans="1:44" x14ac:dyDescent="0.25">
      <c r="A17" t="s">
        <v>101</v>
      </c>
      <c r="B17" t="s">
        <v>102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151</v>
      </c>
      <c r="K17" t="s">
        <v>152</v>
      </c>
      <c r="L17" t="s">
        <v>153</v>
      </c>
      <c r="M17" t="s">
        <v>23</v>
      </c>
      <c r="N17" t="s">
        <v>54</v>
      </c>
      <c r="O17" t="s">
        <v>154</v>
      </c>
      <c r="P17" t="s">
        <v>149</v>
      </c>
      <c r="Q17" t="s">
        <v>155</v>
      </c>
      <c r="R17" s="3">
        <v>3.2759999999999998</v>
      </c>
      <c r="S17" s="3">
        <v>0</v>
      </c>
      <c r="T17" t="s">
        <v>23</v>
      </c>
      <c r="U17" t="s">
        <v>23</v>
      </c>
      <c r="V17" t="s">
        <v>23</v>
      </c>
      <c r="W17" t="s">
        <v>23</v>
      </c>
      <c r="X17" s="3">
        <v>0</v>
      </c>
      <c r="Y17" s="3">
        <v>14.866</v>
      </c>
      <c r="Z17" t="s">
        <v>23</v>
      </c>
      <c r="AA17" t="s">
        <v>58</v>
      </c>
      <c r="AB17" t="s">
        <v>109</v>
      </c>
      <c r="AC17" t="s">
        <v>110</v>
      </c>
      <c r="AD17" t="s">
        <v>61</v>
      </c>
      <c r="AE17" t="s">
        <v>62</v>
      </c>
      <c r="AF17" t="s">
        <v>111</v>
      </c>
      <c r="AG17" t="s">
        <v>112</v>
      </c>
      <c r="AH17" t="s">
        <v>113</v>
      </c>
      <c r="AI17" t="s">
        <v>23</v>
      </c>
      <c r="AJ17" t="s">
        <v>114</v>
      </c>
      <c r="AK17" t="s">
        <v>115</v>
      </c>
      <c r="AL17" t="s">
        <v>116</v>
      </c>
      <c r="AM17" t="s">
        <v>117</v>
      </c>
      <c r="AN17" t="s">
        <v>118</v>
      </c>
      <c r="AO17" t="s">
        <v>71</v>
      </c>
      <c r="AP17" t="s">
        <v>23</v>
      </c>
      <c r="AQ17" t="s">
        <v>23</v>
      </c>
      <c r="AR17" t="s">
        <v>23</v>
      </c>
    </row>
    <row r="18" spans="1:44" x14ac:dyDescent="0.25">
      <c r="A18" t="s">
        <v>101</v>
      </c>
      <c r="B18" t="s">
        <v>102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  <c r="J18" t="s">
        <v>156</v>
      </c>
      <c r="K18" t="s">
        <v>157</v>
      </c>
      <c r="L18" t="s">
        <v>158</v>
      </c>
      <c r="M18" t="s">
        <v>23</v>
      </c>
      <c r="N18" t="s">
        <v>54</v>
      </c>
      <c r="O18" t="s">
        <v>148</v>
      </c>
      <c r="P18" t="s">
        <v>159</v>
      </c>
      <c r="Q18" t="s">
        <v>160</v>
      </c>
      <c r="R18" s="3">
        <v>0.59</v>
      </c>
      <c r="S18" s="3">
        <v>0</v>
      </c>
      <c r="T18" t="s">
        <v>23</v>
      </c>
      <c r="U18" t="s">
        <v>23</v>
      </c>
      <c r="V18" t="s">
        <v>23</v>
      </c>
      <c r="W18" t="s">
        <v>23</v>
      </c>
      <c r="X18" s="3">
        <v>0</v>
      </c>
      <c r="Y18" s="3">
        <v>14.866</v>
      </c>
      <c r="Z18" t="s">
        <v>23</v>
      </c>
      <c r="AA18" t="s">
        <v>58</v>
      </c>
      <c r="AB18" t="s">
        <v>109</v>
      </c>
      <c r="AC18" t="s">
        <v>110</v>
      </c>
      <c r="AD18" t="s">
        <v>61</v>
      </c>
      <c r="AE18" t="s">
        <v>62</v>
      </c>
      <c r="AF18" t="s">
        <v>111</v>
      </c>
      <c r="AG18" t="s">
        <v>112</v>
      </c>
      <c r="AH18" t="s">
        <v>113</v>
      </c>
      <c r="AI18" t="s">
        <v>23</v>
      </c>
      <c r="AJ18" t="s">
        <v>114</v>
      </c>
      <c r="AK18" t="s">
        <v>115</v>
      </c>
      <c r="AL18" t="s">
        <v>116</v>
      </c>
      <c r="AM18" t="s">
        <v>117</v>
      </c>
      <c r="AN18" t="s">
        <v>118</v>
      </c>
      <c r="AO18" t="s">
        <v>71</v>
      </c>
      <c r="AP18" t="s">
        <v>23</v>
      </c>
      <c r="AQ18" t="s">
        <v>23</v>
      </c>
      <c r="AR18" t="s">
        <v>23</v>
      </c>
    </row>
    <row r="19" spans="1:44" x14ac:dyDescent="0.25">
      <c r="A19" t="s">
        <v>101</v>
      </c>
      <c r="B19" t="s">
        <v>102</v>
      </c>
      <c r="C19" t="s">
        <v>44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  <c r="I19" t="s">
        <v>50</v>
      </c>
      <c r="J19" t="s">
        <v>161</v>
      </c>
      <c r="K19" t="s">
        <v>162</v>
      </c>
      <c r="L19" t="s">
        <v>163</v>
      </c>
      <c r="M19" t="s">
        <v>23</v>
      </c>
      <c r="N19" t="s">
        <v>54</v>
      </c>
      <c r="O19" t="s">
        <v>164</v>
      </c>
      <c r="P19" t="s">
        <v>139</v>
      </c>
      <c r="Q19" t="s">
        <v>165</v>
      </c>
      <c r="R19" s="3">
        <v>5.5E-2</v>
      </c>
      <c r="S19" s="3">
        <v>0</v>
      </c>
      <c r="T19" t="s">
        <v>23</v>
      </c>
      <c r="U19" t="s">
        <v>23</v>
      </c>
      <c r="V19" t="s">
        <v>23</v>
      </c>
      <c r="W19" t="s">
        <v>23</v>
      </c>
      <c r="X19" s="3">
        <v>0</v>
      </c>
      <c r="Y19" s="3">
        <v>14.866</v>
      </c>
      <c r="Z19" t="s">
        <v>23</v>
      </c>
      <c r="AA19" t="s">
        <v>58</v>
      </c>
      <c r="AB19" t="s">
        <v>166</v>
      </c>
      <c r="AC19" t="s">
        <v>110</v>
      </c>
      <c r="AD19" t="s">
        <v>61</v>
      </c>
      <c r="AE19" t="s">
        <v>62</v>
      </c>
      <c r="AF19" t="s">
        <v>167</v>
      </c>
      <c r="AG19" t="s">
        <v>112</v>
      </c>
      <c r="AH19" t="s">
        <v>113</v>
      </c>
      <c r="AI19" t="s">
        <v>23</v>
      </c>
      <c r="AJ19" t="s">
        <v>168</v>
      </c>
      <c r="AK19" t="s">
        <v>169</v>
      </c>
      <c r="AL19" t="s">
        <v>116</v>
      </c>
      <c r="AM19" t="s">
        <v>117</v>
      </c>
      <c r="AN19" t="s">
        <v>118</v>
      </c>
      <c r="AO19" t="s">
        <v>71</v>
      </c>
      <c r="AP19" t="s">
        <v>23</v>
      </c>
      <c r="AQ19" t="s">
        <v>23</v>
      </c>
      <c r="AR19" t="s">
        <v>23</v>
      </c>
    </row>
    <row r="20" spans="1:44" x14ac:dyDescent="0.25">
      <c r="A20" t="s">
        <v>101</v>
      </c>
      <c r="B20" t="s">
        <v>102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49</v>
      </c>
      <c r="I20" t="s">
        <v>50</v>
      </c>
      <c r="J20" t="s">
        <v>170</v>
      </c>
      <c r="K20" t="s">
        <v>171</v>
      </c>
      <c r="L20" t="s">
        <v>172</v>
      </c>
      <c r="M20" t="s">
        <v>23</v>
      </c>
      <c r="N20" t="s">
        <v>54</v>
      </c>
      <c r="O20" t="s">
        <v>164</v>
      </c>
      <c r="P20" t="s">
        <v>93</v>
      </c>
      <c r="Q20" t="s">
        <v>173</v>
      </c>
      <c r="R20" s="3">
        <v>0.5</v>
      </c>
      <c r="S20" s="3">
        <v>0</v>
      </c>
      <c r="T20" t="s">
        <v>23</v>
      </c>
      <c r="U20" t="s">
        <v>23</v>
      </c>
      <c r="V20" t="s">
        <v>23</v>
      </c>
      <c r="W20" t="s">
        <v>23</v>
      </c>
      <c r="X20" s="3">
        <v>0</v>
      </c>
      <c r="Y20" s="3">
        <v>14.866</v>
      </c>
      <c r="Z20" t="s">
        <v>23</v>
      </c>
      <c r="AA20" t="s">
        <v>58</v>
      </c>
      <c r="AB20" t="s">
        <v>109</v>
      </c>
      <c r="AC20" t="s">
        <v>110</v>
      </c>
      <c r="AD20" t="s">
        <v>61</v>
      </c>
      <c r="AE20" t="s">
        <v>62</v>
      </c>
      <c r="AF20" t="s">
        <v>111</v>
      </c>
      <c r="AG20" t="s">
        <v>112</v>
      </c>
      <c r="AH20" t="s">
        <v>113</v>
      </c>
      <c r="AI20" t="s">
        <v>23</v>
      </c>
      <c r="AJ20" t="s">
        <v>114</v>
      </c>
      <c r="AK20" t="s">
        <v>115</v>
      </c>
      <c r="AL20" t="s">
        <v>116</v>
      </c>
      <c r="AM20" t="s">
        <v>117</v>
      </c>
      <c r="AN20" t="s">
        <v>118</v>
      </c>
      <c r="AO20" t="s">
        <v>71</v>
      </c>
      <c r="AP20" t="s">
        <v>23</v>
      </c>
      <c r="AQ20" t="s">
        <v>23</v>
      </c>
      <c r="AR20" t="s">
        <v>23</v>
      </c>
    </row>
    <row r="21" spans="1:44" x14ac:dyDescent="0.25">
      <c r="A21" t="s">
        <v>101</v>
      </c>
      <c r="B21" t="s">
        <v>102</v>
      </c>
      <c r="C21" t="s">
        <v>44</v>
      </c>
      <c r="D21" t="s">
        <v>45</v>
      </c>
      <c r="E21" t="s">
        <v>46</v>
      </c>
      <c r="F21" t="s">
        <v>47</v>
      </c>
      <c r="G21" t="s">
        <v>48</v>
      </c>
      <c r="H21" t="s">
        <v>49</v>
      </c>
      <c r="I21" t="s">
        <v>50</v>
      </c>
      <c r="J21" t="s">
        <v>174</v>
      </c>
      <c r="K21" t="s">
        <v>175</v>
      </c>
      <c r="L21" t="s">
        <v>176</v>
      </c>
      <c r="M21" t="s">
        <v>23</v>
      </c>
      <c r="N21" t="s">
        <v>177</v>
      </c>
      <c r="O21" t="s">
        <v>178</v>
      </c>
      <c r="P21" t="s">
        <v>179</v>
      </c>
      <c r="Q21" t="s">
        <v>180</v>
      </c>
      <c r="R21" s="3">
        <v>1.26</v>
      </c>
      <c r="S21" s="3">
        <v>0</v>
      </c>
      <c r="T21" t="s">
        <v>23</v>
      </c>
      <c r="U21" t="s">
        <v>23</v>
      </c>
      <c r="V21" t="s">
        <v>23</v>
      </c>
      <c r="W21" t="s">
        <v>23</v>
      </c>
      <c r="X21" s="3">
        <v>0</v>
      </c>
      <c r="Y21" s="3">
        <v>14.866</v>
      </c>
      <c r="Z21" t="s">
        <v>23</v>
      </c>
      <c r="AA21" t="s">
        <v>58</v>
      </c>
      <c r="AB21" t="s">
        <v>109</v>
      </c>
      <c r="AC21" t="s">
        <v>110</v>
      </c>
      <c r="AD21" t="s">
        <v>61</v>
      </c>
      <c r="AE21" t="s">
        <v>62</v>
      </c>
      <c r="AF21" t="s">
        <v>111</v>
      </c>
      <c r="AG21" t="s">
        <v>112</v>
      </c>
      <c r="AH21" t="s">
        <v>113</v>
      </c>
      <c r="AI21" t="s">
        <v>23</v>
      </c>
      <c r="AJ21" t="s">
        <v>114</v>
      </c>
      <c r="AK21" t="s">
        <v>115</v>
      </c>
      <c r="AL21" t="s">
        <v>116</v>
      </c>
      <c r="AM21" t="s">
        <v>117</v>
      </c>
      <c r="AN21" t="s">
        <v>118</v>
      </c>
      <c r="AO21" t="s">
        <v>71</v>
      </c>
      <c r="AP21" t="s">
        <v>23</v>
      </c>
      <c r="AQ21" t="s">
        <v>23</v>
      </c>
      <c r="AR21" t="s">
        <v>23</v>
      </c>
    </row>
    <row r="22" spans="1:44" x14ac:dyDescent="0.25">
      <c r="A22" t="s">
        <v>101</v>
      </c>
      <c r="B22" t="s">
        <v>102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181</v>
      </c>
      <c r="K22" t="s">
        <v>182</v>
      </c>
      <c r="L22" t="s">
        <v>183</v>
      </c>
      <c r="M22" t="s">
        <v>23</v>
      </c>
      <c r="N22" t="s">
        <v>177</v>
      </c>
      <c r="O22" t="s">
        <v>106</v>
      </c>
      <c r="P22" t="s">
        <v>179</v>
      </c>
      <c r="Q22" t="s">
        <v>154</v>
      </c>
      <c r="R22" s="3">
        <v>0.18</v>
      </c>
      <c r="S22" s="3">
        <v>0</v>
      </c>
      <c r="T22" t="s">
        <v>23</v>
      </c>
      <c r="U22" t="s">
        <v>23</v>
      </c>
      <c r="V22" t="s">
        <v>23</v>
      </c>
      <c r="W22" t="s">
        <v>23</v>
      </c>
      <c r="X22" s="3">
        <v>0</v>
      </c>
      <c r="Y22" s="3">
        <v>14.866</v>
      </c>
      <c r="Z22" t="s">
        <v>23</v>
      </c>
      <c r="AA22" t="s">
        <v>58</v>
      </c>
      <c r="AB22" t="s">
        <v>109</v>
      </c>
      <c r="AC22" t="s">
        <v>110</v>
      </c>
      <c r="AD22" t="s">
        <v>61</v>
      </c>
      <c r="AE22" t="s">
        <v>62</v>
      </c>
      <c r="AF22" t="s">
        <v>111</v>
      </c>
      <c r="AG22" t="s">
        <v>112</v>
      </c>
      <c r="AH22" t="s">
        <v>113</v>
      </c>
      <c r="AI22" t="s">
        <v>23</v>
      </c>
      <c r="AJ22" t="s">
        <v>114</v>
      </c>
      <c r="AK22" t="s">
        <v>115</v>
      </c>
      <c r="AL22" t="s">
        <v>116</v>
      </c>
      <c r="AM22" t="s">
        <v>117</v>
      </c>
      <c r="AN22" t="s">
        <v>118</v>
      </c>
      <c r="AO22" t="s">
        <v>71</v>
      </c>
      <c r="AP22" t="s">
        <v>23</v>
      </c>
      <c r="AQ22" t="s">
        <v>23</v>
      </c>
      <c r="AR22" t="s">
        <v>23</v>
      </c>
    </row>
    <row r="23" spans="1:44" x14ac:dyDescent="0.25">
      <c r="A23" t="s">
        <v>101</v>
      </c>
      <c r="B23" t="s">
        <v>102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J23" t="s">
        <v>184</v>
      </c>
      <c r="K23" t="s">
        <v>185</v>
      </c>
      <c r="L23" t="s">
        <v>186</v>
      </c>
      <c r="M23" t="s">
        <v>23</v>
      </c>
      <c r="N23" t="s">
        <v>54</v>
      </c>
      <c r="O23" t="s">
        <v>106</v>
      </c>
      <c r="P23" t="s">
        <v>187</v>
      </c>
      <c r="Q23" t="s">
        <v>188</v>
      </c>
      <c r="R23" s="3">
        <v>0.09</v>
      </c>
      <c r="S23" s="3">
        <v>0</v>
      </c>
      <c r="T23" t="s">
        <v>23</v>
      </c>
      <c r="U23" t="s">
        <v>23</v>
      </c>
      <c r="V23" t="s">
        <v>23</v>
      </c>
      <c r="W23" t="s">
        <v>23</v>
      </c>
      <c r="X23" s="3">
        <v>0</v>
      </c>
      <c r="Y23" s="3">
        <v>14.866</v>
      </c>
      <c r="Z23" t="s">
        <v>23</v>
      </c>
      <c r="AA23" t="s">
        <v>58</v>
      </c>
      <c r="AB23" t="s">
        <v>189</v>
      </c>
      <c r="AC23" t="s">
        <v>110</v>
      </c>
      <c r="AD23" t="s">
        <v>61</v>
      </c>
      <c r="AE23" t="s">
        <v>62</v>
      </c>
      <c r="AF23" t="s">
        <v>167</v>
      </c>
      <c r="AG23" t="s">
        <v>112</v>
      </c>
      <c r="AH23" t="s">
        <v>113</v>
      </c>
      <c r="AI23" t="s">
        <v>23</v>
      </c>
      <c r="AJ23" t="s">
        <v>190</v>
      </c>
      <c r="AK23" t="s">
        <v>191</v>
      </c>
      <c r="AL23" t="s">
        <v>116</v>
      </c>
      <c r="AM23" t="s">
        <v>117</v>
      </c>
      <c r="AN23" t="s">
        <v>118</v>
      </c>
      <c r="AO23" t="s">
        <v>71</v>
      </c>
      <c r="AP23" t="s">
        <v>23</v>
      </c>
      <c r="AQ23" t="s">
        <v>23</v>
      </c>
      <c r="AR23" t="s">
        <v>23</v>
      </c>
    </row>
    <row r="24" spans="1:44" x14ac:dyDescent="0.25">
      <c r="A24" t="s">
        <v>101</v>
      </c>
      <c r="B24" t="s">
        <v>102</v>
      </c>
      <c r="C24" t="s">
        <v>44</v>
      </c>
      <c r="D24" t="s">
        <v>45</v>
      </c>
      <c r="E24" t="s">
        <v>46</v>
      </c>
      <c r="F24" t="s">
        <v>47</v>
      </c>
      <c r="G24" t="s">
        <v>48</v>
      </c>
      <c r="H24" t="s">
        <v>49</v>
      </c>
      <c r="I24" t="s">
        <v>50</v>
      </c>
      <c r="J24" t="s">
        <v>192</v>
      </c>
      <c r="K24" t="s">
        <v>193</v>
      </c>
      <c r="L24" t="s">
        <v>194</v>
      </c>
      <c r="M24" t="s">
        <v>23</v>
      </c>
      <c r="N24" t="s">
        <v>54</v>
      </c>
      <c r="O24" t="s">
        <v>195</v>
      </c>
      <c r="P24" t="s">
        <v>196</v>
      </c>
      <c r="Q24" t="s">
        <v>197</v>
      </c>
      <c r="R24" s="3">
        <v>0.06</v>
      </c>
      <c r="S24" s="3">
        <v>0</v>
      </c>
      <c r="T24" t="s">
        <v>23</v>
      </c>
      <c r="U24" t="s">
        <v>23</v>
      </c>
      <c r="V24" t="s">
        <v>23</v>
      </c>
      <c r="W24" t="s">
        <v>23</v>
      </c>
      <c r="X24" s="3">
        <v>0</v>
      </c>
      <c r="Y24" s="3">
        <v>14.866</v>
      </c>
      <c r="Z24" t="s">
        <v>23</v>
      </c>
      <c r="AA24" t="s">
        <v>58</v>
      </c>
      <c r="AB24" t="s">
        <v>189</v>
      </c>
      <c r="AC24" t="s">
        <v>110</v>
      </c>
      <c r="AD24" t="s">
        <v>61</v>
      </c>
      <c r="AE24" t="s">
        <v>62</v>
      </c>
      <c r="AF24" t="s">
        <v>167</v>
      </c>
      <c r="AG24" t="s">
        <v>112</v>
      </c>
      <c r="AH24" t="s">
        <v>113</v>
      </c>
      <c r="AI24" t="s">
        <v>23</v>
      </c>
      <c r="AJ24" t="s">
        <v>190</v>
      </c>
      <c r="AK24" t="s">
        <v>191</v>
      </c>
      <c r="AL24" t="s">
        <v>116</v>
      </c>
      <c r="AM24" t="s">
        <v>117</v>
      </c>
      <c r="AN24" t="s">
        <v>118</v>
      </c>
      <c r="AO24" t="s">
        <v>71</v>
      </c>
      <c r="AP24" t="s">
        <v>23</v>
      </c>
      <c r="AQ24" t="s">
        <v>23</v>
      </c>
      <c r="AR24" t="s">
        <v>23</v>
      </c>
    </row>
    <row r="25" spans="1:44" x14ac:dyDescent="0.25">
      <c r="A25" t="s">
        <v>101</v>
      </c>
      <c r="B25" t="s">
        <v>102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  <c r="H25" t="s">
        <v>49</v>
      </c>
      <c r="I25" t="s">
        <v>50</v>
      </c>
      <c r="J25" t="s">
        <v>198</v>
      </c>
      <c r="K25" t="s">
        <v>199</v>
      </c>
      <c r="L25" t="s">
        <v>200</v>
      </c>
      <c r="M25" t="s">
        <v>23</v>
      </c>
      <c r="N25" t="s">
        <v>54</v>
      </c>
      <c r="O25" t="s">
        <v>55</v>
      </c>
      <c r="P25" t="s">
        <v>201</v>
      </c>
      <c r="Q25" t="s">
        <v>202</v>
      </c>
      <c r="R25" s="3">
        <v>0.16800000000000001</v>
      </c>
      <c r="S25" s="3">
        <v>0</v>
      </c>
      <c r="T25" t="s">
        <v>23</v>
      </c>
      <c r="U25" t="s">
        <v>23</v>
      </c>
      <c r="V25" t="s">
        <v>23</v>
      </c>
      <c r="W25" t="s">
        <v>23</v>
      </c>
      <c r="X25" s="3">
        <v>0</v>
      </c>
      <c r="Y25" s="3">
        <v>14.866</v>
      </c>
      <c r="Z25" t="s">
        <v>23</v>
      </c>
      <c r="AA25" t="s">
        <v>58</v>
      </c>
      <c r="AB25" t="s">
        <v>189</v>
      </c>
      <c r="AC25" t="s">
        <v>110</v>
      </c>
      <c r="AD25" t="s">
        <v>61</v>
      </c>
      <c r="AE25" t="s">
        <v>62</v>
      </c>
      <c r="AF25" t="s">
        <v>167</v>
      </c>
      <c r="AG25" t="s">
        <v>112</v>
      </c>
      <c r="AH25" t="s">
        <v>113</v>
      </c>
      <c r="AI25" t="s">
        <v>23</v>
      </c>
      <c r="AJ25" t="s">
        <v>190</v>
      </c>
      <c r="AK25" t="s">
        <v>191</v>
      </c>
      <c r="AL25" t="s">
        <v>116</v>
      </c>
      <c r="AM25" t="s">
        <v>117</v>
      </c>
      <c r="AN25" t="s">
        <v>118</v>
      </c>
      <c r="AO25" t="s">
        <v>71</v>
      </c>
      <c r="AP25" t="s">
        <v>23</v>
      </c>
      <c r="AQ25" t="s">
        <v>23</v>
      </c>
      <c r="AR25" t="s">
        <v>23</v>
      </c>
    </row>
    <row r="26" spans="1:44" x14ac:dyDescent="0.25">
      <c r="A26" t="s">
        <v>101</v>
      </c>
      <c r="B26" t="s">
        <v>102</v>
      </c>
      <c r="C26" t="s">
        <v>44</v>
      </c>
      <c r="D26" t="s">
        <v>45</v>
      </c>
      <c r="E26" t="s">
        <v>46</v>
      </c>
      <c r="F26" t="s">
        <v>47</v>
      </c>
      <c r="G26" t="s">
        <v>48</v>
      </c>
      <c r="H26" t="s">
        <v>49</v>
      </c>
      <c r="I26" t="s">
        <v>50</v>
      </c>
      <c r="J26" t="s">
        <v>203</v>
      </c>
      <c r="K26" t="s">
        <v>204</v>
      </c>
      <c r="L26" t="s">
        <v>205</v>
      </c>
      <c r="M26" t="s">
        <v>23</v>
      </c>
      <c r="N26" t="s">
        <v>54</v>
      </c>
      <c r="O26" t="s">
        <v>206</v>
      </c>
      <c r="P26" t="s">
        <v>207</v>
      </c>
      <c r="Q26" t="s">
        <v>208</v>
      </c>
      <c r="R26" s="3">
        <v>0.28199999999999997</v>
      </c>
      <c r="S26" s="3">
        <v>0</v>
      </c>
      <c r="T26" t="s">
        <v>23</v>
      </c>
      <c r="U26" t="s">
        <v>23</v>
      </c>
      <c r="V26" t="s">
        <v>23</v>
      </c>
      <c r="W26" t="s">
        <v>23</v>
      </c>
      <c r="X26" s="3">
        <v>0</v>
      </c>
      <c r="Y26" s="3">
        <v>14.866</v>
      </c>
      <c r="Z26" t="s">
        <v>23</v>
      </c>
      <c r="AA26" t="s">
        <v>58</v>
      </c>
      <c r="AB26" t="s">
        <v>189</v>
      </c>
      <c r="AC26" t="s">
        <v>110</v>
      </c>
      <c r="AD26" t="s">
        <v>61</v>
      </c>
      <c r="AE26" t="s">
        <v>62</v>
      </c>
      <c r="AF26" t="s">
        <v>167</v>
      </c>
      <c r="AG26" t="s">
        <v>112</v>
      </c>
      <c r="AH26" t="s">
        <v>113</v>
      </c>
      <c r="AI26" t="s">
        <v>23</v>
      </c>
      <c r="AJ26" t="s">
        <v>190</v>
      </c>
      <c r="AK26" t="s">
        <v>191</v>
      </c>
      <c r="AL26" t="s">
        <v>116</v>
      </c>
      <c r="AM26" t="s">
        <v>117</v>
      </c>
      <c r="AN26" t="s">
        <v>118</v>
      </c>
      <c r="AO26" t="s">
        <v>71</v>
      </c>
      <c r="AP26" t="s">
        <v>23</v>
      </c>
      <c r="AQ26" t="s">
        <v>23</v>
      </c>
      <c r="AR26" t="s">
        <v>23</v>
      </c>
    </row>
    <row r="27" spans="1:44" x14ac:dyDescent="0.25">
      <c r="A27" t="s">
        <v>101</v>
      </c>
      <c r="B27" t="s">
        <v>102</v>
      </c>
      <c r="C27" t="s">
        <v>44</v>
      </c>
      <c r="D27" t="s">
        <v>45</v>
      </c>
      <c r="E27" t="s">
        <v>46</v>
      </c>
      <c r="F27" t="s">
        <v>47</v>
      </c>
      <c r="G27" t="s">
        <v>48</v>
      </c>
      <c r="H27" t="s">
        <v>49</v>
      </c>
      <c r="I27" t="s">
        <v>50</v>
      </c>
      <c r="J27" t="s">
        <v>209</v>
      </c>
      <c r="K27" t="s">
        <v>210</v>
      </c>
      <c r="L27" t="s">
        <v>211</v>
      </c>
      <c r="M27" t="s">
        <v>23</v>
      </c>
      <c r="N27" t="s">
        <v>212</v>
      </c>
      <c r="O27" t="s">
        <v>213</v>
      </c>
      <c r="P27" t="s">
        <v>187</v>
      </c>
      <c r="Q27" t="s">
        <v>214</v>
      </c>
      <c r="R27" s="3">
        <v>0.33300000000000002</v>
      </c>
      <c r="S27" s="3">
        <v>0</v>
      </c>
      <c r="T27" t="s">
        <v>23</v>
      </c>
      <c r="U27" t="s">
        <v>23</v>
      </c>
      <c r="V27" t="s">
        <v>23</v>
      </c>
      <c r="W27" t="s">
        <v>23</v>
      </c>
      <c r="X27" s="3">
        <v>0</v>
      </c>
      <c r="Y27" s="3">
        <v>14.866</v>
      </c>
      <c r="Z27" t="s">
        <v>23</v>
      </c>
      <c r="AA27" t="s">
        <v>58</v>
      </c>
      <c r="AB27" t="s">
        <v>189</v>
      </c>
      <c r="AC27" t="s">
        <v>110</v>
      </c>
      <c r="AD27" t="s">
        <v>61</v>
      </c>
      <c r="AE27" t="s">
        <v>62</v>
      </c>
      <c r="AF27" t="s">
        <v>167</v>
      </c>
      <c r="AG27" t="s">
        <v>112</v>
      </c>
      <c r="AH27" t="s">
        <v>113</v>
      </c>
      <c r="AI27" t="s">
        <v>23</v>
      </c>
      <c r="AJ27" t="s">
        <v>190</v>
      </c>
      <c r="AK27" t="s">
        <v>191</v>
      </c>
      <c r="AL27" t="s">
        <v>116</v>
      </c>
      <c r="AM27" t="s">
        <v>117</v>
      </c>
      <c r="AN27" t="s">
        <v>118</v>
      </c>
      <c r="AO27" t="s">
        <v>71</v>
      </c>
      <c r="AP27" t="s">
        <v>23</v>
      </c>
      <c r="AQ27" t="s">
        <v>23</v>
      </c>
      <c r="AR27" t="s">
        <v>23</v>
      </c>
    </row>
    <row r="28" spans="1:44" x14ac:dyDescent="0.25">
      <c r="A28" t="s">
        <v>101</v>
      </c>
      <c r="B28" t="s">
        <v>102</v>
      </c>
      <c r="C28" t="s">
        <v>44</v>
      </c>
      <c r="D28" t="s">
        <v>45</v>
      </c>
      <c r="E28" t="s">
        <v>46</v>
      </c>
      <c r="F28" t="s">
        <v>47</v>
      </c>
      <c r="G28" t="s">
        <v>48</v>
      </c>
      <c r="H28" t="s">
        <v>49</v>
      </c>
      <c r="I28" t="s">
        <v>50</v>
      </c>
      <c r="J28" t="s">
        <v>215</v>
      </c>
      <c r="K28" t="s">
        <v>216</v>
      </c>
      <c r="L28" t="s">
        <v>217</v>
      </c>
      <c r="M28" t="s">
        <v>23</v>
      </c>
      <c r="N28" t="s">
        <v>54</v>
      </c>
      <c r="O28" t="s">
        <v>106</v>
      </c>
      <c r="P28" t="s">
        <v>77</v>
      </c>
      <c r="Q28" t="s">
        <v>218</v>
      </c>
      <c r="R28" s="3">
        <v>9.6000000000000002E-2</v>
      </c>
      <c r="S28" s="3">
        <v>0</v>
      </c>
      <c r="T28" t="s">
        <v>23</v>
      </c>
      <c r="U28" t="s">
        <v>23</v>
      </c>
      <c r="V28" t="s">
        <v>23</v>
      </c>
      <c r="W28" t="s">
        <v>23</v>
      </c>
      <c r="X28" s="3">
        <v>0</v>
      </c>
      <c r="Y28" s="3">
        <v>14.866</v>
      </c>
      <c r="Z28" t="s">
        <v>23</v>
      </c>
      <c r="AA28" t="s">
        <v>58</v>
      </c>
      <c r="AB28" t="s">
        <v>189</v>
      </c>
      <c r="AC28" t="s">
        <v>110</v>
      </c>
      <c r="AD28" t="s">
        <v>61</v>
      </c>
      <c r="AE28" t="s">
        <v>62</v>
      </c>
      <c r="AF28" t="s">
        <v>167</v>
      </c>
      <c r="AG28" t="s">
        <v>112</v>
      </c>
      <c r="AH28" t="s">
        <v>113</v>
      </c>
      <c r="AI28" t="s">
        <v>23</v>
      </c>
      <c r="AJ28" t="s">
        <v>190</v>
      </c>
      <c r="AK28" t="s">
        <v>191</v>
      </c>
      <c r="AL28" t="s">
        <v>116</v>
      </c>
      <c r="AM28" t="s">
        <v>117</v>
      </c>
      <c r="AN28" t="s">
        <v>118</v>
      </c>
      <c r="AO28" t="s">
        <v>71</v>
      </c>
      <c r="AP28" t="s">
        <v>23</v>
      </c>
      <c r="AQ28" t="s">
        <v>23</v>
      </c>
      <c r="AR28" t="s">
        <v>23</v>
      </c>
    </row>
    <row r="29" spans="1:44" x14ac:dyDescent="0.25">
      <c r="A29" t="s">
        <v>101</v>
      </c>
      <c r="B29" t="s">
        <v>102</v>
      </c>
      <c r="C29" t="s">
        <v>44</v>
      </c>
      <c r="D29" t="s">
        <v>45</v>
      </c>
      <c r="E29" t="s">
        <v>46</v>
      </c>
      <c r="F29" t="s">
        <v>47</v>
      </c>
      <c r="G29" t="s">
        <v>48</v>
      </c>
      <c r="H29" t="s">
        <v>49</v>
      </c>
      <c r="I29" t="s">
        <v>50</v>
      </c>
      <c r="J29" t="s">
        <v>219</v>
      </c>
      <c r="K29" t="s">
        <v>220</v>
      </c>
      <c r="L29" t="s">
        <v>221</v>
      </c>
      <c r="M29" t="s">
        <v>23</v>
      </c>
      <c r="N29" t="s">
        <v>54</v>
      </c>
      <c r="O29" t="s">
        <v>55</v>
      </c>
      <c r="P29" t="s">
        <v>201</v>
      </c>
      <c r="Q29" t="s">
        <v>202</v>
      </c>
      <c r="R29" s="3">
        <v>0.16800000000000001</v>
      </c>
      <c r="S29" s="3">
        <v>0</v>
      </c>
      <c r="T29" t="s">
        <v>23</v>
      </c>
      <c r="U29" t="s">
        <v>23</v>
      </c>
      <c r="V29" t="s">
        <v>23</v>
      </c>
      <c r="W29" t="s">
        <v>23</v>
      </c>
      <c r="X29" s="3">
        <v>0</v>
      </c>
      <c r="Y29" s="3">
        <v>14.866</v>
      </c>
      <c r="Z29" t="s">
        <v>23</v>
      </c>
      <c r="AA29" t="s">
        <v>58</v>
      </c>
      <c r="AB29" t="s">
        <v>189</v>
      </c>
      <c r="AC29" t="s">
        <v>110</v>
      </c>
      <c r="AD29" t="s">
        <v>61</v>
      </c>
      <c r="AE29" t="s">
        <v>62</v>
      </c>
      <c r="AF29" t="s">
        <v>167</v>
      </c>
      <c r="AG29" t="s">
        <v>112</v>
      </c>
      <c r="AH29" t="s">
        <v>113</v>
      </c>
      <c r="AI29" t="s">
        <v>23</v>
      </c>
      <c r="AJ29" t="s">
        <v>190</v>
      </c>
      <c r="AK29" t="s">
        <v>191</v>
      </c>
      <c r="AL29" t="s">
        <v>116</v>
      </c>
      <c r="AM29" t="s">
        <v>117</v>
      </c>
      <c r="AN29" t="s">
        <v>118</v>
      </c>
      <c r="AO29" t="s">
        <v>71</v>
      </c>
      <c r="AP29" t="s">
        <v>23</v>
      </c>
      <c r="AQ29" t="s">
        <v>23</v>
      </c>
      <c r="AR29" t="s">
        <v>23</v>
      </c>
    </row>
    <row r="30" spans="1:44" x14ac:dyDescent="0.25">
      <c r="A30" t="s">
        <v>101</v>
      </c>
      <c r="B30" t="s">
        <v>102</v>
      </c>
      <c r="C30" t="s">
        <v>44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222</v>
      </c>
      <c r="K30" t="s">
        <v>223</v>
      </c>
      <c r="L30" t="s">
        <v>224</v>
      </c>
      <c r="M30" t="s">
        <v>23</v>
      </c>
      <c r="N30" t="s">
        <v>54</v>
      </c>
      <c r="O30" t="s">
        <v>225</v>
      </c>
      <c r="P30" t="s">
        <v>226</v>
      </c>
      <c r="Q30" t="s">
        <v>227</v>
      </c>
      <c r="R30" s="3">
        <v>2.2400000000000002</v>
      </c>
      <c r="S30" s="3">
        <v>0</v>
      </c>
      <c r="T30" t="s">
        <v>23</v>
      </c>
      <c r="U30" t="s">
        <v>23</v>
      </c>
      <c r="V30" t="s">
        <v>23</v>
      </c>
      <c r="W30" t="s">
        <v>23</v>
      </c>
      <c r="X30" s="3">
        <v>0</v>
      </c>
      <c r="Y30" s="3">
        <v>14.866</v>
      </c>
      <c r="Z30" t="s">
        <v>23</v>
      </c>
      <c r="AA30" t="s">
        <v>58</v>
      </c>
      <c r="AB30" t="s">
        <v>189</v>
      </c>
      <c r="AC30" t="s">
        <v>110</v>
      </c>
      <c r="AD30" t="s">
        <v>61</v>
      </c>
      <c r="AE30" t="s">
        <v>62</v>
      </c>
      <c r="AF30" t="s">
        <v>167</v>
      </c>
      <c r="AG30" t="s">
        <v>112</v>
      </c>
      <c r="AH30" t="s">
        <v>113</v>
      </c>
      <c r="AI30" t="s">
        <v>23</v>
      </c>
      <c r="AJ30" t="s">
        <v>190</v>
      </c>
      <c r="AK30" t="s">
        <v>191</v>
      </c>
      <c r="AL30" t="s">
        <v>116</v>
      </c>
      <c r="AM30" t="s">
        <v>117</v>
      </c>
      <c r="AN30" t="s">
        <v>118</v>
      </c>
      <c r="AO30" t="s">
        <v>71</v>
      </c>
      <c r="AP30" t="s">
        <v>23</v>
      </c>
      <c r="AQ30" t="s">
        <v>23</v>
      </c>
      <c r="AR30" t="s">
        <v>23</v>
      </c>
    </row>
    <row r="31" spans="1:44" x14ac:dyDescent="0.25">
      <c r="A31" t="s">
        <v>101</v>
      </c>
      <c r="B31" t="s">
        <v>102</v>
      </c>
      <c r="C31" t="s">
        <v>44</v>
      </c>
      <c r="D31" t="s">
        <v>45</v>
      </c>
      <c r="E31" t="s">
        <v>46</v>
      </c>
      <c r="F31" t="s">
        <v>47</v>
      </c>
      <c r="G31" t="s">
        <v>48</v>
      </c>
      <c r="H31" t="s">
        <v>49</v>
      </c>
      <c r="I31" t="s">
        <v>50</v>
      </c>
      <c r="J31" t="s">
        <v>228</v>
      </c>
      <c r="K31" t="s">
        <v>229</v>
      </c>
      <c r="L31" t="s">
        <v>230</v>
      </c>
      <c r="M31" t="s">
        <v>23</v>
      </c>
      <c r="N31" t="s">
        <v>212</v>
      </c>
      <c r="O31" t="s">
        <v>231</v>
      </c>
      <c r="P31" t="s">
        <v>187</v>
      </c>
      <c r="Q31" t="s">
        <v>232</v>
      </c>
      <c r="R31" s="3">
        <v>0.495</v>
      </c>
      <c r="S31" s="3">
        <v>0</v>
      </c>
      <c r="T31" t="s">
        <v>23</v>
      </c>
      <c r="U31" t="s">
        <v>23</v>
      </c>
      <c r="V31" t="s">
        <v>23</v>
      </c>
      <c r="W31" t="s">
        <v>23</v>
      </c>
      <c r="X31" s="3">
        <v>0</v>
      </c>
      <c r="Y31" s="3">
        <v>14.866</v>
      </c>
      <c r="Z31" t="s">
        <v>23</v>
      </c>
      <c r="AA31" t="s">
        <v>58</v>
      </c>
      <c r="AB31" t="s">
        <v>189</v>
      </c>
      <c r="AC31" t="s">
        <v>110</v>
      </c>
      <c r="AD31" t="s">
        <v>61</v>
      </c>
      <c r="AE31" t="s">
        <v>62</v>
      </c>
      <c r="AF31" t="s">
        <v>167</v>
      </c>
      <c r="AG31" t="s">
        <v>112</v>
      </c>
      <c r="AH31" t="s">
        <v>113</v>
      </c>
      <c r="AI31" t="s">
        <v>23</v>
      </c>
      <c r="AJ31" t="s">
        <v>190</v>
      </c>
      <c r="AK31" t="s">
        <v>191</v>
      </c>
      <c r="AL31" t="s">
        <v>116</v>
      </c>
      <c r="AM31" t="s">
        <v>117</v>
      </c>
      <c r="AN31" t="s">
        <v>118</v>
      </c>
      <c r="AO31" t="s">
        <v>71</v>
      </c>
      <c r="AP31" t="s">
        <v>23</v>
      </c>
      <c r="AQ31" t="s">
        <v>23</v>
      </c>
      <c r="AR31" t="s">
        <v>23</v>
      </c>
    </row>
    <row r="32" spans="1:44" x14ac:dyDescent="0.25">
      <c r="A32" t="s">
        <v>101</v>
      </c>
      <c r="B32" t="s">
        <v>102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49</v>
      </c>
      <c r="I32" t="s">
        <v>50</v>
      </c>
      <c r="J32" t="s">
        <v>233</v>
      </c>
      <c r="K32" t="s">
        <v>234</v>
      </c>
      <c r="L32" t="s">
        <v>235</v>
      </c>
      <c r="M32" t="s">
        <v>23</v>
      </c>
      <c r="N32" t="s">
        <v>54</v>
      </c>
      <c r="O32" t="s">
        <v>138</v>
      </c>
      <c r="P32" t="s">
        <v>207</v>
      </c>
      <c r="Q32" t="s">
        <v>236</v>
      </c>
      <c r="R32" s="3">
        <v>0.51200000000000001</v>
      </c>
      <c r="S32" s="3">
        <v>0</v>
      </c>
      <c r="T32" t="s">
        <v>23</v>
      </c>
      <c r="U32" t="s">
        <v>23</v>
      </c>
      <c r="V32" t="s">
        <v>23</v>
      </c>
      <c r="W32" t="s">
        <v>23</v>
      </c>
      <c r="X32" s="3">
        <v>0</v>
      </c>
      <c r="Y32" s="3">
        <v>14.866</v>
      </c>
      <c r="Z32" t="s">
        <v>23</v>
      </c>
      <c r="AA32" t="s">
        <v>58</v>
      </c>
      <c r="AB32" t="s">
        <v>189</v>
      </c>
      <c r="AC32" t="s">
        <v>110</v>
      </c>
      <c r="AD32" t="s">
        <v>61</v>
      </c>
      <c r="AE32" t="s">
        <v>62</v>
      </c>
      <c r="AF32" t="s">
        <v>167</v>
      </c>
      <c r="AG32" t="s">
        <v>112</v>
      </c>
      <c r="AH32" t="s">
        <v>113</v>
      </c>
      <c r="AI32" t="s">
        <v>23</v>
      </c>
      <c r="AJ32" t="s">
        <v>190</v>
      </c>
      <c r="AK32" t="s">
        <v>191</v>
      </c>
      <c r="AL32" t="s">
        <v>116</v>
      </c>
      <c r="AM32" t="s">
        <v>117</v>
      </c>
      <c r="AN32" t="s">
        <v>118</v>
      </c>
      <c r="AO32" t="s">
        <v>71</v>
      </c>
      <c r="AP32" t="s">
        <v>23</v>
      </c>
      <c r="AQ32" t="s">
        <v>23</v>
      </c>
      <c r="AR32" t="s">
        <v>23</v>
      </c>
    </row>
    <row r="33" spans="1:44" x14ac:dyDescent="0.25">
      <c r="A33" t="s">
        <v>101</v>
      </c>
      <c r="B33" t="s">
        <v>102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t="s">
        <v>237</v>
      </c>
      <c r="K33" t="s">
        <v>238</v>
      </c>
      <c r="L33" t="s">
        <v>239</v>
      </c>
      <c r="M33" t="s">
        <v>23</v>
      </c>
      <c r="N33" t="s">
        <v>54</v>
      </c>
      <c r="O33" t="s">
        <v>138</v>
      </c>
      <c r="P33" t="s">
        <v>207</v>
      </c>
      <c r="Q33" t="s">
        <v>236</v>
      </c>
      <c r="R33" s="3">
        <v>0.51200000000000001</v>
      </c>
      <c r="S33" s="3">
        <v>0</v>
      </c>
      <c r="T33" t="s">
        <v>23</v>
      </c>
      <c r="U33" t="s">
        <v>23</v>
      </c>
      <c r="V33" t="s">
        <v>23</v>
      </c>
      <c r="W33" t="s">
        <v>23</v>
      </c>
      <c r="X33" s="3">
        <v>0</v>
      </c>
      <c r="Y33" s="3">
        <v>14.866</v>
      </c>
      <c r="Z33" t="s">
        <v>23</v>
      </c>
      <c r="AA33" t="s">
        <v>58</v>
      </c>
      <c r="AB33" t="s">
        <v>189</v>
      </c>
      <c r="AC33" t="s">
        <v>110</v>
      </c>
      <c r="AD33" t="s">
        <v>61</v>
      </c>
      <c r="AE33" t="s">
        <v>62</v>
      </c>
      <c r="AF33" t="s">
        <v>167</v>
      </c>
      <c r="AG33" t="s">
        <v>112</v>
      </c>
      <c r="AH33" t="s">
        <v>113</v>
      </c>
      <c r="AI33" t="s">
        <v>23</v>
      </c>
      <c r="AJ33" t="s">
        <v>190</v>
      </c>
      <c r="AK33" t="s">
        <v>191</v>
      </c>
      <c r="AL33" t="s">
        <v>116</v>
      </c>
      <c r="AM33" t="s">
        <v>117</v>
      </c>
      <c r="AN33" t="s">
        <v>118</v>
      </c>
      <c r="AO33" t="s">
        <v>71</v>
      </c>
      <c r="AP33" t="s">
        <v>23</v>
      </c>
      <c r="AQ33" t="s">
        <v>23</v>
      </c>
      <c r="AR33" t="s">
        <v>23</v>
      </c>
    </row>
    <row r="34" spans="1:44" x14ac:dyDescent="0.25">
      <c r="A34" t="s">
        <v>101</v>
      </c>
      <c r="B34" t="s">
        <v>240</v>
      </c>
      <c r="C34" t="s">
        <v>44</v>
      </c>
      <c r="D34" t="s">
        <v>45</v>
      </c>
      <c r="E34" t="s">
        <v>46</v>
      </c>
      <c r="F34" t="s">
        <v>47</v>
      </c>
      <c r="G34" t="s">
        <v>48</v>
      </c>
      <c r="H34" t="s">
        <v>49</v>
      </c>
      <c r="I34" t="s">
        <v>50</v>
      </c>
      <c r="J34" t="s">
        <v>241</v>
      </c>
      <c r="K34" t="s">
        <v>242</v>
      </c>
      <c r="L34" t="s">
        <v>243</v>
      </c>
      <c r="M34" t="s">
        <v>244</v>
      </c>
      <c r="N34" t="s">
        <v>54</v>
      </c>
      <c r="O34" t="s">
        <v>143</v>
      </c>
      <c r="P34" t="s">
        <v>107</v>
      </c>
      <c r="Q34" t="s">
        <v>144</v>
      </c>
      <c r="R34" s="3">
        <v>0.92800000000000005</v>
      </c>
      <c r="S34" s="3">
        <v>0.92800000000000005</v>
      </c>
      <c r="T34" t="s">
        <v>23</v>
      </c>
      <c r="U34" t="s">
        <v>23</v>
      </c>
      <c r="V34" t="s">
        <v>23</v>
      </c>
      <c r="W34" t="s">
        <v>23</v>
      </c>
      <c r="X34" s="3">
        <v>0</v>
      </c>
      <c r="Y34" s="3">
        <v>14.866</v>
      </c>
      <c r="Z34" t="s">
        <v>23</v>
      </c>
      <c r="AA34" t="s">
        <v>58</v>
      </c>
      <c r="AB34" t="s">
        <v>109</v>
      </c>
      <c r="AC34" t="s">
        <v>245</v>
      </c>
      <c r="AD34" t="s">
        <v>61</v>
      </c>
      <c r="AE34" t="s">
        <v>62</v>
      </c>
      <c r="AF34" t="s">
        <v>111</v>
      </c>
      <c r="AG34" t="s">
        <v>112</v>
      </c>
      <c r="AH34" t="s">
        <v>113</v>
      </c>
      <c r="AI34" t="s">
        <v>23</v>
      </c>
      <c r="AJ34" t="s">
        <v>114</v>
      </c>
      <c r="AK34" t="s">
        <v>115</v>
      </c>
      <c r="AL34" t="s">
        <v>246</v>
      </c>
      <c r="AM34" t="s">
        <v>247</v>
      </c>
      <c r="AN34" t="s">
        <v>118</v>
      </c>
      <c r="AO34" t="s">
        <v>71</v>
      </c>
      <c r="AP34" t="s">
        <v>23</v>
      </c>
      <c r="AQ34" t="s">
        <v>23</v>
      </c>
      <c r="AR34" t="s">
        <v>23</v>
      </c>
    </row>
    <row r="35" spans="1:44" x14ac:dyDescent="0.25">
      <c r="A35" t="s">
        <v>101</v>
      </c>
      <c r="B35" t="s">
        <v>248</v>
      </c>
      <c r="C35" t="s">
        <v>44</v>
      </c>
      <c r="D35" t="s">
        <v>45</v>
      </c>
      <c r="E35" t="s">
        <v>46</v>
      </c>
      <c r="F35" t="s">
        <v>47</v>
      </c>
      <c r="G35" t="s">
        <v>48</v>
      </c>
      <c r="H35" t="s">
        <v>49</v>
      </c>
      <c r="I35" t="s">
        <v>50</v>
      </c>
      <c r="J35" t="s">
        <v>241</v>
      </c>
      <c r="K35" t="s">
        <v>242</v>
      </c>
      <c r="L35" t="s">
        <v>243</v>
      </c>
      <c r="M35" t="s">
        <v>244</v>
      </c>
      <c r="N35" t="s">
        <v>54</v>
      </c>
      <c r="O35" t="s">
        <v>249</v>
      </c>
      <c r="P35" t="s">
        <v>107</v>
      </c>
      <c r="Q35" t="s">
        <v>250</v>
      </c>
      <c r="R35" s="3">
        <v>0.26200000000000001</v>
      </c>
      <c r="S35" s="3">
        <v>0.26200000000000001</v>
      </c>
      <c r="T35" t="s">
        <v>23</v>
      </c>
      <c r="U35" t="s">
        <v>23</v>
      </c>
      <c r="V35" t="s">
        <v>23</v>
      </c>
      <c r="W35" t="s">
        <v>23</v>
      </c>
      <c r="X35" s="3">
        <v>0</v>
      </c>
      <c r="Y35" s="3">
        <v>14.866</v>
      </c>
      <c r="Z35" t="s">
        <v>23</v>
      </c>
      <c r="AA35" t="s">
        <v>58</v>
      </c>
      <c r="AB35" t="s">
        <v>109</v>
      </c>
      <c r="AC35" t="s">
        <v>251</v>
      </c>
      <c r="AD35" t="s">
        <v>61</v>
      </c>
      <c r="AE35" t="s">
        <v>62</v>
      </c>
      <c r="AF35" t="s">
        <v>111</v>
      </c>
      <c r="AG35" t="s">
        <v>112</v>
      </c>
      <c r="AH35" t="s">
        <v>113</v>
      </c>
      <c r="AI35" t="s">
        <v>98</v>
      </c>
      <c r="AJ35" t="s">
        <v>114</v>
      </c>
      <c r="AK35" t="s">
        <v>115</v>
      </c>
      <c r="AL35" t="s">
        <v>252</v>
      </c>
      <c r="AM35" t="s">
        <v>253</v>
      </c>
      <c r="AN35" t="s">
        <v>118</v>
      </c>
      <c r="AO35" t="s">
        <v>71</v>
      </c>
      <c r="AP35" t="s">
        <v>23</v>
      </c>
      <c r="AQ35" t="s">
        <v>23</v>
      </c>
      <c r="AR35" t="s">
        <v>23</v>
      </c>
    </row>
    <row r="36" spans="1:44" x14ac:dyDescent="0.25">
      <c r="A36" s="4" t="s">
        <v>23</v>
      </c>
      <c r="B36" s="4" t="s">
        <v>23</v>
      </c>
      <c r="C36" s="4" t="s">
        <v>23</v>
      </c>
      <c r="D36" s="4" t="s">
        <v>23</v>
      </c>
      <c r="E36" s="4" t="s">
        <v>23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5">
        <v>14.866</v>
      </c>
      <c r="S36" s="5">
        <v>14.574999999999999</v>
      </c>
      <c r="T36" s="4" t="s">
        <v>23</v>
      </c>
      <c r="U36" s="4" t="s">
        <v>23</v>
      </c>
      <c r="V36" s="5">
        <v>0.29099999999999998</v>
      </c>
      <c r="W36" s="4" t="s">
        <v>23</v>
      </c>
      <c r="X36" s="5">
        <v>14.866</v>
      </c>
      <c r="Y36" s="5">
        <v>14.866</v>
      </c>
      <c r="Z36" s="4" t="s">
        <v>23</v>
      </c>
      <c r="AA36" s="4" t="s">
        <v>23</v>
      </c>
      <c r="AB36" s="4" t="s">
        <v>23</v>
      </c>
      <c r="AC36" s="4" t="s">
        <v>23</v>
      </c>
      <c r="AD36" s="4" t="s">
        <v>23</v>
      </c>
      <c r="AE36" s="4" t="s">
        <v>23</v>
      </c>
      <c r="AF36" s="4" t="s">
        <v>23</v>
      </c>
      <c r="AG36" s="4" t="s">
        <v>23</v>
      </c>
      <c r="AH36" s="4" t="s">
        <v>23</v>
      </c>
      <c r="AI36" s="4" t="s">
        <v>23</v>
      </c>
      <c r="AJ36" s="4" t="s">
        <v>23</v>
      </c>
      <c r="AK36" s="4" t="s">
        <v>23</v>
      </c>
      <c r="AL36" s="4" t="s">
        <v>23</v>
      </c>
      <c r="AM36" s="4" t="s">
        <v>23</v>
      </c>
      <c r="AN36" s="4" t="s">
        <v>23</v>
      </c>
      <c r="AO36" s="4" t="s">
        <v>23</v>
      </c>
      <c r="AP36" s="4" t="s">
        <v>23</v>
      </c>
      <c r="AQ36" s="4" t="s">
        <v>23</v>
      </c>
      <c r="AR36" s="4" t="s">
        <v>23</v>
      </c>
    </row>
    <row r="37" spans="1:44" x14ac:dyDescent="0.25">
      <c r="A37" t="s">
        <v>254</v>
      </c>
      <c r="B37" t="s">
        <v>255</v>
      </c>
      <c r="C37" t="s">
        <v>44</v>
      </c>
      <c r="D37" t="s">
        <v>256</v>
      </c>
      <c r="E37" t="s">
        <v>257</v>
      </c>
      <c r="F37" t="s">
        <v>258</v>
      </c>
      <c r="G37" t="s">
        <v>259</v>
      </c>
      <c r="H37" t="s">
        <v>260</v>
      </c>
      <c r="I37" t="s">
        <v>261</v>
      </c>
      <c r="J37" t="s">
        <v>262</v>
      </c>
      <c r="K37" t="s">
        <v>263</v>
      </c>
      <c r="L37" t="s">
        <v>264</v>
      </c>
      <c r="M37" t="s">
        <v>265</v>
      </c>
      <c r="N37" t="s">
        <v>54</v>
      </c>
      <c r="O37" t="s">
        <v>94</v>
      </c>
      <c r="P37" t="s">
        <v>106</v>
      </c>
      <c r="Q37" t="s">
        <v>173</v>
      </c>
      <c r="R37" s="3">
        <v>0.5</v>
      </c>
      <c r="S37" t="s">
        <v>23</v>
      </c>
      <c r="T37" s="3">
        <v>0.5</v>
      </c>
      <c r="U37" t="s">
        <v>23</v>
      </c>
      <c r="V37" t="s">
        <v>23</v>
      </c>
      <c r="W37" t="s">
        <v>23</v>
      </c>
      <c r="X37" s="3">
        <v>1.25</v>
      </c>
      <c r="Y37" s="3">
        <v>1.25</v>
      </c>
      <c r="Z37" t="s">
        <v>23</v>
      </c>
      <c r="AA37" t="s">
        <v>266</v>
      </c>
      <c r="AB37" t="s">
        <v>267</v>
      </c>
      <c r="AC37" t="s">
        <v>268</v>
      </c>
      <c r="AD37" t="s">
        <v>269</v>
      </c>
      <c r="AE37" t="s">
        <v>270</v>
      </c>
      <c r="AF37" t="s">
        <v>271</v>
      </c>
      <c r="AG37" t="s">
        <v>112</v>
      </c>
      <c r="AH37" t="s">
        <v>272</v>
      </c>
      <c r="AI37" t="s">
        <v>23</v>
      </c>
      <c r="AJ37" t="s">
        <v>273</v>
      </c>
      <c r="AK37" t="s">
        <v>274</v>
      </c>
      <c r="AL37" t="s">
        <v>275</v>
      </c>
      <c r="AM37" t="s">
        <v>276</v>
      </c>
      <c r="AN37" t="s">
        <v>118</v>
      </c>
      <c r="AO37" t="s">
        <v>71</v>
      </c>
      <c r="AP37" t="s">
        <v>23</v>
      </c>
      <c r="AQ37" t="s">
        <v>23</v>
      </c>
      <c r="AR37" t="s">
        <v>23</v>
      </c>
    </row>
    <row r="38" spans="1:44" x14ac:dyDescent="0.25">
      <c r="A38" t="s">
        <v>101</v>
      </c>
      <c r="B38" t="s">
        <v>277</v>
      </c>
      <c r="C38" t="s">
        <v>44</v>
      </c>
      <c r="D38" t="s">
        <v>256</v>
      </c>
      <c r="E38" t="s">
        <v>278</v>
      </c>
      <c r="F38" t="s">
        <v>258</v>
      </c>
      <c r="G38" t="s">
        <v>259</v>
      </c>
      <c r="H38" t="s">
        <v>260</v>
      </c>
      <c r="I38" t="s">
        <v>261</v>
      </c>
      <c r="J38" t="s">
        <v>170</v>
      </c>
      <c r="K38" t="s">
        <v>171</v>
      </c>
      <c r="L38" t="s">
        <v>172</v>
      </c>
      <c r="M38" t="s">
        <v>279</v>
      </c>
      <c r="N38" t="s">
        <v>280</v>
      </c>
      <c r="O38" t="s">
        <v>281</v>
      </c>
      <c r="P38" t="s">
        <v>93</v>
      </c>
      <c r="Q38" t="s">
        <v>282</v>
      </c>
      <c r="R38" s="3">
        <v>0.75</v>
      </c>
      <c r="S38" s="3">
        <v>0.75</v>
      </c>
      <c r="T38" t="s">
        <v>23</v>
      </c>
      <c r="U38" t="s">
        <v>23</v>
      </c>
      <c r="V38" t="s">
        <v>23</v>
      </c>
      <c r="W38" t="s">
        <v>23</v>
      </c>
      <c r="X38" s="3">
        <v>0</v>
      </c>
      <c r="Y38" s="3">
        <v>1.25</v>
      </c>
      <c r="Z38" t="s">
        <v>23</v>
      </c>
      <c r="AA38" t="s">
        <v>266</v>
      </c>
      <c r="AB38" t="s">
        <v>283</v>
      </c>
      <c r="AC38" t="s">
        <v>284</v>
      </c>
      <c r="AD38" t="s">
        <v>269</v>
      </c>
      <c r="AE38" t="s">
        <v>270</v>
      </c>
      <c r="AF38" t="s">
        <v>285</v>
      </c>
      <c r="AG38" t="s">
        <v>112</v>
      </c>
      <c r="AH38" t="s">
        <v>272</v>
      </c>
      <c r="AI38" t="s">
        <v>286</v>
      </c>
      <c r="AJ38" t="s">
        <v>114</v>
      </c>
      <c r="AK38" t="s">
        <v>115</v>
      </c>
      <c r="AL38" t="s">
        <v>287</v>
      </c>
      <c r="AM38" t="s">
        <v>288</v>
      </c>
      <c r="AN38" t="s">
        <v>118</v>
      </c>
      <c r="AO38" t="s">
        <v>71</v>
      </c>
      <c r="AP38" t="s">
        <v>23</v>
      </c>
      <c r="AQ38" t="s">
        <v>23</v>
      </c>
      <c r="AR38" t="s">
        <v>23</v>
      </c>
    </row>
    <row r="39" spans="1:44" x14ac:dyDescent="0.25">
      <c r="A39" s="4" t="s">
        <v>23</v>
      </c>
      <c r="B39" s="4" t="s">
        <v>23</v>
      </c>
      <c r="C39" s="4" t="s">
        <v>23</v>
      </c>
      <c r="D39" s="4" t="s">
        <v>23</v>
      </c>
      <c r="E39" s="4" t="s">
        <v>23</v>
      </c>
      <c r="F39" s="4" t="s">
        <v>23</v>
      </c>
      <c r="G39" s="4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5">
        <v>1.25</v>
      </c>
      <c r="S39" s="5">
        <v>0.75</v>
      </c>
      <c r="T39" s="5">
        <v>0.5</v>
      </c>
      <c r="U39" s="4" t="s">
        <v>23</v>
      </c>
      <c r="V39" s="4" t="s">
        <v>23</v>
      </c>
      <c r="W39" s="4" t="s">
        <v>23</v>
      </c>
      <c r="X39" s="5">
        <v>1.25</v>
      </c>
      <c r="Y39" s="5">
        <v>1.25</v>
      </c>
      <c r="Z39" s="4" t="s">
        <v>23</v>
      </c>
      <c r="AA39" s="4" t="s">
        <v>23</v>
      </c>
      <c r="AB39" s="4" t="s">
        <v>23</v>
      </c>
      <c r="AC39" s="4" t="s">
        <v>23</v>
      </c>
      <c r="AD39" s="4" t="s">
        <v>23</v>
      </c>
      <c r="AE39" s="4" t="s">
        <v>23</v>
      </c>
      <c r="AF39" s="4" t="s">
        <v>23</v>
      </c>
      <c r="AG39" s="4" t="s">
        <v>23</v>
      </c>
      <c r="AH39" s="4" t="s">
        <v>23</v>
      </c>
      <c r="AI39" s="4" t="s">
        <v>23</v>
      </c>
      <c r="AJ39" s="4" t="s">
        <v>23</v>
      </c>
      <c r="AK39" s="4" t="s">
        <v>23</v>
      </c>
      <c r="AL39" s="4" t="s">
        <v>23</v>
      </c>
      <c r="AM39" s="4" t="s">
        <v>23</v>
      </c>
      <c r="AN39" s="4" t="s">
        <v>23</v>
      </c>
      <c r="AO39" s="4" t="s">
        <v>23</v>
      </c>
      <c r="AP39" s="4" t="s">
        <v>23</v>
      </c>
      <c r="AQ39" s="4" t="s">
        <v>23</v>
      </c>
      <c r="AR39" s="4" t="s">
        <v>23</v>
      </c>
    </row>
    <row r="40" spans="1:44" x14ac:dyDescent="0.25">
      <c r="A40" t="s">
        <v>101</v>
      </c>
      <c r="B40" t="s">
        <v>289</v>
      </c>
      <c r="C40" t="s">
        <v>44</v>
      </c>
      <c r="D40" t="s">
        <v>290</v>
      </c>
      <c r="E40" t="s">
        <v>291</v>
      </c>
      <c r="F40" t="s">
        <v>292</v>
      </c>
      <c r="G40" t="s">
        <v>293</v>
      </c>
      <c r="H40" t="s">
        <v>294</v>
      </c>
      <c r="I40" t="s">
        <v>50</v>
      </c>
      <c r="J40" t="s">
        <v>295</v>
      </c>
      <c r="K40" t="s">
        <v>296</v>
      </c>
      <c r="L40" t="s">
        <v>297</v>
      </c>
      <c r="M40" t="s">
        <v>298</v>
      </c>
      <c r="N40" t="s">
        <v>54</v>
      </c>
      <c r="O40" t="s">
        <v>143</v>
      </c>
      <c r="P40" t="s">
        <v>107</v>
      </c>
      <c r="Q40" t="s">
        <v>144</v>
      </c>
      <c r="R40" s="3">
        <v>0.92800000000000005</v>
      </c>
      <c r="S40" s="3">
        <v>2.673</v>
      </c>
      <c r="T40" t="s">
        <v>23</v>
      </c>
      <c r="U40" t="s">
        <v>23</v>
      </c>
      <c r="V40" t="s">
        <v>23</v>
      </c>
      <c r="W40" t="s">
        <v>23</v>
      </c>
      <c r="X40" s="3">
        <v>2.673</v>
      </c>
      <c r="Y40" s="3">
        <v>8.3970000000000002</v>
      </c>
      <c r="Z40" t="s">
        <v>23</v>
      </c>
      <c r="AA40" t="s">
        <v>299</v>
      </c>
      <c r="AB40" t="s">
        <v>109</v>
      </c>
      <c r="AC40" t="s">
        <v>300</v>
      </c>
      <c r="AD40" t="s">
        <v>61</v>
      </c>
      <c r="AE40" t="s">
        <v>62</v>
      </c>
      <c r="AF40" t="s">
        <v>111</v>
      </c>
      <c r="AG40" t="s">
        <v>112</v>
      </c>
      <c r="AH40" t="s">
        <v>113</v>
      </c>
      <c r="AI40" t="s">
        <v>23</v>
      </c>
      <c r="AJ40" t="s">
        <v>114</v>
      </c>
      <c r="AK40" t="s">
        <v>115</v>
      </c>
      <c r="AL40" t="s">
        <v>301</v>
      </c>
      <c r="AM40" t="s">
        <v>302</v>
      </c>
      <c r="AN40" t="s">
        <v>118</v>
      </c>
      <c r="AO40" t="s">
        <v>71</v>
      </c>
      <c r="AP40" t="s">
        <v>303</v>
      </c>
      <c r="AQ40" t="s">
        <v>304</v>
      </c>
      <c r="AR40" t="s">
        <v>305</v>
      </c>
    </row>
    <row r="41" spans="1:44" x14ac:dyDescent="0.25">
      <c r="A41" t="s">
        <v>101</v>
      </c>
      <c r="B41" t="s">
        <v>289</v>
      </c>
      <c r="C41" t="s">
        <v>44</v>
      </c>
      <c r="D41" t="s">
        <v>290</v>
      </c>
      <c r="E41" t="s">
        <v>291</v>
      </c>
      <c r="F41" t="s">
        <v>292</v>
      </c>
      <c r="G41" t="s">
        <v>293</v>
      </c>
      <c r="H41" t="s">
        <v>294</v>
      </c>
      <c r="I41" t="s">
        <v>50</v>
      </c>
      <c r="J41" t="s">
        <v>140</v>
      </c>
      <c r="K41" t="s">
        <v>141</v>
      </c>
      <c r="L41" t="s">
        <v>142</v>
      </c>
      <c r="M41" t="s">
        <v>298</v>
      </c>
      <c r="N41" t="s">
        <v>54</v>
      </c>
      <c r="O41" t="s">
        <v>143</v>
      </c>
      <c r="P41" t="s">
        <v>107</v>
      </c>
      <c r="Q41" t="s">
        <v>144</v>
      </c>
      <c r="R41" s="3">
        <v>0.92800000000000005</v>
      </c>
      <c r="S41" s="3">
        <v>0</v>
      </c>
      <c r="T41" t="s">
        <v>23</v>
      </c>
      <c r="U41" t="s">
        <v>23</v>
      </c>
      <c r="V41" t="s">
        <v>23</v>
      </c>
      <c r="W41" t="s">
        <v>23</v>
      </c>
      <c r="X41" s="3">
        <v>0</v>
      </c>
      <c r="Y41" s="3">
        <v>8.3970000000000002</v>
      </c>
      <c r="Z41" t="s">
        <v>23</v>
      </c>
      <c r="AA41" t="s">
        <v>299</v>
      </c>
      <c r="AB41" t="s">
        <v>109</v>
      </c>
      <c r="AC41" t="s">
        <v>300</v>
      </c>
      <c r="AD41" t="s">
        <v>61</v>
      </c>
      <c r="AE41" t="s">
        <v>62</v>
      </c>
      <c r="AF41" t="s">
        <v>111</v>
      </c>
      <c r="AG41" t="s">
        <v>112</v>
      </c>
      <c r="AH41" t="s">
        <v>113</v>
      </c>
      <c r="AI41" t="s">
        <v>23</v>
      </c>
      <c r="AJ41" t="s">
        <v>114</v>
      </c>
      <c r="AK41" t="s">
        <v>115</v>
      </c>
      <c r="AL41" t="s">
        <v>301</v>
      </c>
      <c r="AM41" t="s">
        <v>302</v>
      </c>
      <c r="AN41" t="s">
        <v>118</v>
      </c>
      <c r="AO41" t="s">
        <v>71</v>
      </c>
      <c r="AP41" t="s">
        <v>303</v>
      </c>
      <c r="AQ41" t="s">
        <v>304</v>
      </c>
      <c r="AR41" t="s">
        <v>305</v>
      </c>
    </row>
    <row r="42" spans="1:44" x14ac:dyDescent="0.25">
      <c r="A42" t="s">
        <v>101</v>
      </c>
      <c r="B42" t="s">
        <v>289</v>
      </c>
      <c r="C42" t="s">
        <v>44</v>
      </c>
      <c r="D42" t="s">
        <v>290</v>
      </c>
      <c r="E42" t="s">
        <v>291</v>
      </c>
      <c r="F42" t="s">
        <v>292</v>
      </c>
      <c r="G42" t="s">
        <v>293</v>
      </c>
      <c r="H42" t="s">
        <v>294</v>
      </c>
      <c r="I42" t="s">
        <v>50</v>
      </c>
      <c r="J42" t="s">
        <v>306</v>
      </c>
      <c r="K42" t="s">
        <v>307</v>
      </c>
      <c r="L42" t="s">
        <v>308</v>
      </c>
      <c r="M42" t="s">
        <v>298</v>
      </c>
      <c r="N42" t="s">
        <v>54</v>
      </c>
      <c r="O42" t="s">
        <v>143</v>
      </c>
      <c r="P42" t="s">
        <v>309</v>
      </c>
      <c r="Q42" t="s">
        <v>310</v>
      </c>
      <c r="R42" s="3">
        <v>0.81699999999999995</v>
      </c>
      <c r="S42" s="3">
        <v>0</v>
      </c>
      <c r="T42" t="s">
        <v>23</v>
      </c>
      <c r="U42" t="s">
        <v>23</v>
      </c>
      <c r="V42" t="s">
        <v>23</v>
      </c>
      <c r="W42" t="s">
        <v>23</v>
      </c>
      <c r="X42" s="3">
        <v>0</v>
      </c>
      <c r="Y42" s="3">
        <v>8.3970000000000002</v>
      </c>
      <c r="Z42" t="s">
        <v>23</v>
      </c>
      <c r="AA42" t="s">
        <v>299</v>
      </c>
      <c r="AB42" t="s">
        <v>109</v>
      </c>
      <c r="AC42" t="s">
        <v>300</v>
      </c>
      <c r="AD42" t="s">
        <v>61</v>
      </c>
      <c r="AE42" t="s">
        <v>62</v>
      </c>
      <c r="AF42" t="s">
        <v>111</v>
      </c>
      <c r="AG42" t="s">
        <v>112</v>
      </c>
      <c r="AH42" t="s">
        <v>113</v>
      </c>
      <c r="AI42" t="s">
        <v>23</v>
      </c>
      <c r="AJ42" t="s">
        <v>114</v>
      </c>
      <c r="AK42" t="s">
        <v>115</v>
      </c>
      <c r="AL42" t="s">
        <v>301</v>
      </c>
      <c r="AM42" t="s">
        <v>302</v>
      </c>
      <c r="AN42" t="s">
        <v>118</v>
      </c>
      <c r="AO42" t="s">
        <v>71</v>
      </c>
      <c r="AP42" t="s">
        <v>303</v>
      </c>
      <c r="AQ42" t="s">
        <v>304</v>
      </c>
      <c r="AR42" t="s">
        <v>305</v>
      </c>
    </row>
    <row r="43" spans="1:44" x14ac:dyDescent="0.25">
      <c r="A43" t="s">
        <v>311</v>
      </c>
      <c r="B43" t="s">
        <v>312</v>
      </c>
      <c r="C43" t="s">
        <v>44</v>
      </c>
      <c r="D43" t="s">
        <v>290</v>
      </c>
      <c r="E43" t="s">
        <v>291</v>
      </c>
      <c r="F43" t="s">
        <v>292</v>
      </c>
      <c r="G43" t="s">
        <v>293</v>
      </c>
      <c r="H43" t="s">
        <v>294</v>
      </c>
      <c r="I43" t="s">
        <v>50</v>
      </c>
      <c r="J43" t="s">
        <v>313</v>
      </c>
      <c r="K43" t="s">
        <v>314</v>
      </c>
      <c r="L43" t="s">
        <v>315</v>
      </c>
      <c r="M43" t="s">
        <v>298</v>
      </c>
      <c r="N43" t="s">
        <v>54</v>
      </c>
      <c r="O43" t="s">
        <v>316</v>
      </c>
      <c r="P43" t="s">
        <v>317</v>
      </c>
      <c r="Q43" t="s">
        <v>318</v>
      </c>
      <c r="R43" s="3">
        <v>0.56200000000000006</v>
      </c>
      <c r="S43" t="s">
        <v>23</v>
      </c>
      <c r="T43" t="s">
        <v>23</v>
      </c>
      <c r="U43" t="s">
        <v>23</v>
      </c>
      <c r="V43" t="s">
        <v>23</v>
      </c>
      <c r="W43" s="3">
        <v>3.3929999999999998</v>
      </c>
      <c r="X43" s="3">
        <v>3.492</v>
      </c>
      <c r="Y43" s="3">
        <v>8.3970000000000002</v>
      </c>
      <c r="Z43" t="s">
        <v>23</v>
      </c>
      <c r="AA43" t="s">
        <v>319</v>
      </c>
      <c r="AB43" t="s">
        <v>320</v>
      </c>
      <c r="AC43" t="s">
        <v>300</v>
      </c>
      <c r="AD43" t="s">
        <v>61</v>
      </c>
      <c r="AE43" t="s">
        <v>62</v>
      </c>
      <c r="AF43" t="s">
        <v>321</v>
      </c>
      <c r="AG43" t="s">
        <v>322</v>
      </c>
      <c r="AH43" t="s">
        <v>322</v>
      </c>
      <c r="AI43" t="s">
        <v>23</v>
      </c>
      <c r="AJ43" t="s">
        <v>323</v>
      </c>
      <c r="AK43" t="s">
        <v>324</v>
      </c>
      <c r="AL43" t="s">
        <v>325</v>
      </c>
      <c r="AM43" t="s">
        <v>326</v>
      </c>
      <c r="AN43" t="s">
        <v>118</v>
      </c>
      <c r="AO43" t="s">
        <v>71</v>
      </c>
      <c r="AP43" t="s">
        <v>303</v>
      </c>
      <c r="AQ43" t="s">
        <v>327</v>
      </c>
      <c r="AR43" t="s">
        <v>328</v>
      </c>
    </row>
    <row r="44" spans="1:44" x14ac:dyDescent="0.25">
      <c r="A44" t="s">
        <v>311</v>
      </c>
      <c r="B44" t="s">
        <v>312</v>
      </c>
      <c r="C44" t="s">
        <v>44</v>
      </c>
      <c r="D44" t="s">
        <v>290</v>
      </c>
      <c r="E44" t="s">
        <v>291</v>
      </c>
      <c r="F44" t="s">
        <v>292</v>
      </c>
      <c r="G44" t="s">
        <v>293</v>
      </c>
      <c r="H44" t="s">
        <v>294</v>
      </c>
      <c r="I44" t="s">
        <v>50</v>
      </c>
      <c r="J44" t="s">
        <v>329</v>
      </c>
      <c r="K44" t="s">
        <v>330</v>
      </c>
      <c r="L44" t="s">
        <v>331</v>
      </c>
      <c r="M44" t="s">
        <v>298</v>
      </c>
      <c r="N44" t="s">
        <v>54</v>
      </c>
      <c r="O44" t="s">
        <v>332</v>
      </c>
      <c r="P44" t="s">
        <v>77</v>
      </c>
      <c r="Q44" t="s">
        <v>333</v>
      </c>
      <c r="R44" s="3">
        <v>0.60499999999999998</v>
      </c>
      <c r="S44" t="s">
        <v>23</v>
      </c>
      <c r="T44" t="s">
        <v>23</v>
      </c>
      <c r="U44" t="s">
        <v>23</v>
      </c>
      <c r="V44" t="s">
        <v>23</v>
      </c>
      <c r="W44" s="3">
        <v>0</v>
      </c>
      <c r="X44" s="3">
        <v>0</v>
      </c>
      <c r="Y44" s="3">
        <v>8.3970000000000002</v>
      </c>
      <c r="Z44" t="s">
        <v>23</v>
      </c>
      <c r="AA44" t="s">
        <v>319</v>
      </c>
      <c r="AB44" t="s">
        <v>320</v>
      </c>
      <c r="AC44" t="s">
        <v>300</v>
      </c>
      <c r="AD44" t="s">
        <v>61</v>
      </c>
      <c r="AE44" t="s">
        <v>62</v>
      </c>
      <c r="AF44" t="s">
        <v>321</v>
      </c>
      <c r="AG44" t="s">
        <v>322</v>
      </c>
      <c r="AH44" t="s">
        <v>322</v>
      </c>
      <c r="AI44" t="s">
        <v>23</v>
      </c>
      <c r="AJ44" t="s">
        <v>323</v>
      </c>
      <c r="AK44" t="s">
        <v>324</v>
      </c>
      <c r="AL44" t="s">
        <v>325</v>
      </c>
      <c r="AM44" t="s">
        <v>326</v>
      </c>
      <c r="AN44" t="s">
        <v>118</v>
      </c>
      <c r="AO44" t="s">
        <v>71</v>
      </c>
      <c r="AP44" t="s">
        <v>303</v>
      </c>
      <c r="AQ44" t="s">
        <v>327</v>
      </c>
      <c r="AR44" t="s">
        <v>328</v>
      </c>
    </row>
    <row r="45" spans="1:44" x14ac:dyDescent="0.25">
      <c r="A45" t="s">
        <v>311</v>
      </c>
      <c r="B45" t="s">
        <v>312</v>
      </c>
      <c r="C45" t="s">
        <v>44</v>
      </c>
      <c r="D45" t="s">
        <v>290</v>
      </c>
      <c r="E45" t="s">
        <v>291</v>
      </c>
      <c r="F45" t="s">
        <v>292</v>
      </c>
      <c r="G45" t="s">
        <v>293</v>
      </c>
      <c r="H45" t="s">
        <v>294</v>
      </c>
      <c r="I45" t="s">
        <v>50</v>
      </c>
      <c r="J45" t="s">
        <v>334</v>
      </c>
      <c r="K45" t="s">
        <v>335</v>
      </c>
      <c r="L45" t="s">
        <v>336</v>
      </c>
      <c r="M45" t="s">
        <v>298</v>
      </c>
      <c r="N45" t="s">
        <v>54</v>
      </c>
      <c r="O45" t="s">
        <v>337</v>
      </c>
      <c r="P45" t="s">
        <v>338</v>
      </c>
      <c r="Q45" t="s">
        <v>339</v>
      </c>
      <c r="R45" s="3">
        <v>0.48599999999999999</v>
      </c>
      <c r="S45" t="s">
        <v>23</v>
      </c>
      <c r="T45" t="s">
        <v>23</v>
      </c>
      <c r="U45" t="s">
        <v>23</v>
      </c>
      <c r="V45" t="s">
        <v>23</v>
      </c>
      <c r="W45" s="3">
        <v>0</v>
      </c>
      <c r="X45" s="3">
        <v>0</v>
      </c>
      <c r="Y45" s="3">
        <v>8.3970000000000002</v>
      </c>
      <c r="Z45" t="s">
        <v>23</v>
      </c>
      <c r="AA45" t="s">
        <v>319</v>
      </c>
      <c r="AB45" t="s">
        <v>320</v>
      </c>
      <c r="AC45" t="s">
        <v>300</v>
      </c>
      <c r="AD45" t="s">
        <v>61</v>
      </c>
      <c r="AE45" t="s">
        <v>62</v>
      </c>
      <c r="AF45" t="s">
        <v>321</v>
      </c>
      <c r="AG45" t="s">
        <v>322</v>
      </c>
      <c r="AH45" t="s">
        <v>322</v>
      </c>
      <c r="AI45" t="s">
        <v>23</v>
      </c>
      <c r="AJ45" t="s">
        <v>323</v>
      </c>
      <c r="AK45" t="s">
        <v>324</v>
      </c>
      <c r="AL45" t="s">
        <v>325</v>
      </c>
      <c r="AM45" t="s">
        <v>326</v>
      </c>
      <c r="AN45" t="s">
        <v>118</v>
      </c>
      <c r="AO45" t="s">
        <v>71</v>
      </c>
      <c r="AP45" t="s">
        <v>303</v>
      </c>
      <c r="AQ45" t="s">
        <v>327</v>
      </c>
      <c r="AR45" t="s">
        <v>328</v>
      </c>
    </row>
    <row r="46" spans="1:44" x14ac:dyDescent="0.25">
      <c r="A46" t="s">
        <v>311</v>
      </c>
      <c r="B46" t="s">
        <v>312</v>
      </c>
      <c r="C46" t="s">
        <v>44</v>
      </c>
      <c r="D46" t="s">
        <v>290</v>
      </c>
      <c r="E46" t="s">
        <v>291</v>
      </c>
      <c r="F46" t="s">
        <v>292</v>
      </c>
      <c r="G46" t="s">
        <v>293</v>
      </c>
      <c r="H46" t="s">
        <v>294</v>
      </c>
      <c r="I46" t="s">
        <v>50</v>
      </c>
      <c r="J46" t="s">
        <v>340</v>
      </c>
      <c r="K46" t="s">
        <v>341</v>
      </c>
      <c r="L46" t="s">
        <v>342</v>
      </c>
      <c r="M46" t="s">
        <v>298</v>
      </c>
      <c r="N46" t="s">
        <v>343</v>
      </c>
      <c r="O46" t="s">
        <v>344</v>
      </c>
      <c r="P46" t="s">
        <v>164</v>
      </c>
      <c r="Q46" t="s">
        <v>345</v>
      </c>
      <c r="R46" s="3">
        <v>0.42</v>
      </c>
      <c r="S46" t="s">
        <v>23</v>
      </c>
      <c r="T46" t="s">
        <v>23</v>
      </c>
      <c r="U46" t="s">
        <v>23</v>
      </c>
      <c r="V46" t="s">
        <v>23</v>
      </c>
      <c r="W46" s="3">
        <v>0</v>
      </c>
      <c r="X46" s="3">
        <v>0</v>
      </c>
      <c r="Y46" s="3">
        <v>8.3970000000000002</v>
      </c>
      <c r="Z46" t="s">
        <v>23</v>
      </c>
      <c r="AA46" t="s">
        <v>319</v>
      </c>
      <c r="AB46" t="s">
        <v>320</v>
      </c>
      <c r="AC46" t="s">
        <v>300</v>
      </c>
      <c r="AD46" t="s">
        <v>61</v>
      </c>
      <c r="AE46" t="s">
        <v>62</v>
      </c>
      <c r="AF46" t="s">
        <v>321</v>
      </c>
      <c r="AG46" t="s">
        <v>322</v>
      </c>
      <c r="AH46" t="s">
        <v>322</v>
      </c>
      <c r="AI46" t="s">
        <v>23</v>
      </c>
      <c r="AJ46" t="s">
        <v>323</v>
      </c>
      <c r="AK46" t="s">
        <v>324</v>
      </c>
      <c r="AL46" t="s">
        <v>325</v>
      </c>
      <c r="AM46" t="s">
        <v>326</v>
      </c>
      <c r="AN46" t="s">
        <v>118</v>
      </c>
      <c r="AO46" t="s">
        <v>71</v>
      </c>
      <c r="AP46" t="s">
        <v>303</v>
      </c>
      <c r="AQ46" t="s">
        <v>327</v>
      </c>
      <c r="AR46" t="s">
        <v>328</v>
      </c>
    </row>
    <row r="47" spans="1:44" x14ac:dyDescent="0.25">
      <c r="A47" t="s">
        <v>311</v>
      </c>
      <c r="B47" t="s">
        <v>312</v>
      </c>
      <c r="C47" t="s">
        <v>44</v>
      </c>
      <c r="D47" t="s">
        <v>290</v>
      </c>
      <c r="E47" t="s">
        <v>291</v>
      </c>
      <c r="F47" t="s">
        <v>292</v>
      </c>
      <c r="G47" t="s">
        <v>293</v>
      </c>
      <c r="H47" t="s">
        <v>294</v>
      </c>
      <c r="I47" t="s">
        <v>50</v>
      </c>
      <c r="J47" t="s">
        <v>346</v>
      </c>
      <c r="K47" t="s">
        <v>347</v>
      </c>
      <c r="L47" t="s">
        <v>348</v>
      </c>
      <c r="M47" t="s">
        <v>298</v>
      </c>
      <c r="N47" t="s">
        <v>54</v>
      </c>
      <c r="O47" t="s">
        <v>94</v>
      </c>
      <c r="P47" t="s">
        <v>196</v>
      </c>
      <c r="Q47" t="s">
        <v>349</v>
      </c>
      <c r="R47" s="3">
        <v>0.6</v>
      </c>
      <c r="S47" t="s">
        <v>23</v>
      </c>
      <c r="T47" t="s">
        <v>23</v>
      </c>
      <c r="U47" t="s">
        <v>23</v>
      </c>
      <c r="V47" t="s">
        <v>23</v>
      </c>
      <c r="W47" s="3">
        <v>0</v>
      </c>
      <c r="X47" s="3">
        <v>0</v>
      </c>
      <c r="Y47" s="3">
        <v>8.3970000000000002</v>
      </c>
      <c r="Z47" t="s">
        <v>23</v>
      </c>
      <c r="AA47" t="s">
        <v>319</v>
      </c>
      <c r="AB47" t="s">
        <v>320</v>
      </c>
      <c r="AC47" t="s">
        <v>300</v>
      </c>
      <c r="AD47" t="s">
        <v>61</v>
      </c>
      <c r="AE47" t="s">
        <v>62</v>
      </c>
      <c r="AF47" t="s">
        <v>321</v>
      </c>
      <c r="AG47" t="s">
        <v>322</v>
      </c>
      <c r="AH47" t="s">
        <v>322</v>
      </c>
      <c r="AI47" t="s">
        <v>23</v>
      </c>
      <c r="AJ47" t="s">
        <v>323</v>
      </c>
      <c r="AK47" t="s">
        <v>324</v>
      </c>
      <c r="AL47" t="s">
        <v>325</v>
      </c>
      <c r="AM47" t="s">
        <v>326</v>
      </c>
      <c r="AN47" t="s">
        <v>118</v>
      </c>
      <c r="AO47" t="s">
        <v>71</v>
      </c>
      <c r="AP47" t="s">
        <v>303</v>
      </c>
      <c r="AQ47" t="s">
        <v>327</v>
      </c>
      <c r="AR47" t="s">
        <v>328</v>
      </c>
    </row>
    <row r="48" spans="1:44" x14ac:dyDescent="0.25">
      <c r="A48" t="s">
        <v>311</v>
      </c>
      <c r="B48" t="s">
        <v>312</v>
      </c>
      <c r="C48" t="s">
        <v>44</v>
      </c>
      <c r="D48" t="s">
        <v>290</v>
      </c>
      <c r="E48" t="s">
        <v>291</v>
      </c>
      <c r="F48" t="s">
        <v>292</v>
      </c>
      <c r="G48" t="s">
        <v>293</v>
      </c>
      <c r="H48" t="s">
        <v>294</v>
      </c>
      <c r="I48" t="s">
        <v>50</v>
      </c>
      <c r="J48" t="s">
        <v>350</v>
      </c>
      <c r="K48" t="s">
        <v>351</v>
      </c>
      <c r="L48" t="s">
        <v>352</v>
      </c>
      <c r="M48" t="s">
        <v>298</v>
      </c>
      <c r="N48" t="s">
        <v>54</v>
      </c>
      <c r="O48" t="s">
        <v>353</v>
      </c>
      <c r="P48" t="s">
        <v>55</v>
      </c>
      <c r="Q48" t="s">
        <v>354</v>
      </c>
      <c r="R48" s="3">
        <v>0.72</v>
      </c>
      <c r="S48" t="s">
        <v>23</v>
      </c>
      <c r="T48" t="s">
        <v>23</v>
      </c>
      <c r="U48" t="s">
        <v>23</v>
      </c>
      <c r="V48" t="s">
        <v>23</v>
      </c>
      <c r="W48" s="3">
        <v>0</v>
      </c>
      <c r="X48" s="3">
        <v>0</v>
      </c>
      <c r="Y48" s="3">
        <v>8.3970000000000002</v>
      </c>
      <c r="Z48" t="s">
        <v>23</v>
      </c>
      <c r="AA48" t="s">
        <v>319</v>
      </c>
      <c r="AB48" t="s">
        <v>320</v>
      </c>
      <c r="AC48" t="s">
        <v>300</v>
      </c>
      <c r="AD48" t="s">
        <v>61</v>
      </c>
      <c r="AE48" t="s">
        <v>62</v>
      </c>
      <c r="AF48" t="s">
        <v>321</v>
      </c>
      <c r="AG48" t="s">
        <v>322</v>
      </c>
      <c r="AH48" t="s">
        <v>322</v>
      </c>
      <c r="AI48" t="s">
        <v>23</v>
      </c>
      <c r="AJ48" t="s">
        <v>323</v>
      </c>
      <c r="AK48" t="s">
        <v>324</v>
      </c>
      <c r="AL48" t="s">
        <v>325</v>
      </c>
      <c r="AM48" t="s">
        <v>326</v>
      </c>
      <c r="AN48" t="s">
        <v>118</v>
      </c>
      <c r="AO48" t="s">
        <v>71</v>
      </c>
      <c r="AP48" t="s">
        <v>303</v>
      </c>
      <c r="AQ48" t="s">
        <v>327</v>
      </c>
      <c r="AR48" t="s">
        <v>328</v>
      </c>
    </row>
    <row r="49" spans="1:44" x14ac:dyDescent="0.25">
      <c r="A49" t="s">
        <v>311</v>
      </c>
      <c r="B49" t="s">
        <v>355</v>
      </c>
      <c r="C49" t="s">
        <v>44</v>
      </c>
      <c r="D49" t="s">
        <v>290</v>
      </c>
      <c r="E49" t="s">
        <v>291</v>
      </c>
      <c r="F49" t="s">
        <v>292</v>
      </c>
      <c r="G49" t="s">
        <v>293</v>
      </c>
      <c r="H49" t="s">
        <v>294</v>
      </c>
      <c r="I49" t="s">
        <v>50</v>
      </c>
      <c r="J49" t="s">
        <v>329</v>
      </c>
      <c r="K49" t="s">
        <v>330</v>
      </c>
      <c r="L49" t="s">
        <v>331</v>
      </c>
      <c r="M49" t="s">
        <v>298</v>
      </c>
      <c r="N49" t="s">
        <v>54</v>
      </c>
      <c r="O49" t="s">
        <v>356</v>
      </c>
      <c r="P49" t="s">
        <v>77</v>
      </c>
      <c r="Q49" t="s">
        <v>357</v>
      </c>
      <c r="R49" s="3">
        <v>6.7000000000000004E-2</v>
      </c>
      <c r="S49" t="s">
        <v>23</v>
      </c>
      <c r="T49" t="s">
        <v>23</v>
      </c>
      <c r="U49" t="s">
        <v>23</v>
      </c>
      <c r="V49" t="s">
        <v>23</v>
      </c>
      <c r="W49" s="3">
        <v>9.9000000000000005E-2</v>
      </c>
      <c r="X49" s="3">
        <v>0</v>
      </c>
      <c r="Y49" s="3">
        <v>8.3970000000000002</v>
      </c>
      <c r="Z49" t="s">
        <v>23</v>
      </c>
      <c r="AA49" t="s">
        <v>319</v>
      </c>
      <c r="AB49" t="s">
        <v>320</v>
      </c>
      <c r="AC49" t="s">
        <v>358</v>
      </c>
      <c r="AD49" t="s">
        <v>61</v>
      </c>
      <c r="AE49" t="s">
        <v>62</v>
      </c>
      <c r="AF49" t="s">
        <v>321</v>
      </c>
      <c r="AG49" t="s">
        <v>322</v>
      </c>
      <c r="AH49" t="s">
        <v>322</v>
      </c>
      <c r="AI49" t="s">
        <v>98</v>
      </c>
      <c r="AJ49" t="s">
        <v>323</v>
      </c>
      <c r="AK49" t="s">
        <v>324</v>
      </c>
      <c r="AL49" t="s">
        <v>359</v>
      </c>
      <c r="AM49" t="s">
        <v>360</v>
      </c>
      <c r="AN49" t="s">
        <v>118</v>
      </c>
      <c r="AO49" t="s">
        <v>71</v>
      </c>
      <c r="AP49" t="s">
        <v>303</v>
      </c>
      <c r="AQ49" t="s">
        <v>327</v>
      </c>
      <c r="AR49" t="s">
        <v>328</v>
      </c>
    </row>
    <row r="50" spans="1:44" x14ac:dyDescent="0.25">
      <c r="A50" t="s">
        <v>311</v>
      </c>
      <c r="B50" t="s">
        <v>355</v>
      </c>
      <c r="C50" t="s">
        <v>44</v>
      </c>
      <c r="D50" t="s">
        <v>290</v>
      </c>
      <c r="E50" t="s">
        <v>291</v>
      </c>
      <c r="F50" t="s">
        <v>292</v>
      </c>
      <c r="G50" t="s">
        <v>293</v>
      </c>
      <c r="H50" t="s">
        <v>294</v>
      </c>
      <c r="I50" t="s">
        <v>50</v>
      </c>
      <c r="J50" t="s">
        <v>334</v>
      </c>
      <c r="K50" t="s">
        <v>335</v>
      </c>
      <c r="L50" t="s">
        <v>336</v>
      </c>
      <c r="M50" t="s">
        <v>298</v>
      </c>
      <c r="N50" t="s">
        <v>54</v>
      </c>
      <c r="O50" t="s">
        <v>361</v>
      </c>
      <c r="P50" t="s">
        <v>338</v>
      </c>
      <c r="Q50" t="s">
        <v>362</v>
      </c>
      <c r="R50" s="3">
        <v>3.2000000000000001E-2</v>
      </c>
      <c r="S50" t="s">
        <v>23</v>
      </c>
      <c r="T50" t="s">
        <v>23</v>
      </c>
      <c r="U50" t="s">
        <v>23</v>
      </c>
      <c r="V50" t="s">
        <v>23</v>
      </c>
      <c r="W50" s="3">
        <v>0</v>
      </c>
      <c r="X50" s="3">
        <v>0</v>
      </c>
      <c r="Y50" s="3">
        <v>8.3970000000000002</v>
      </c>
      <c r="Z50" t="s">
        <v>23</v>
      </c>
      <c r="AA50" t="s">
        <v>319</v>
      </c>
      <c r="AB50" t="s">
        <v>320</v>
      </c>
      <c r="AC50" t="s">
        <v>358</v>
      </c>
      <c r="AD50" t="s">
        <v>61</v>
      </c>
      <c r="AE50" t="s">
        <v>62</v>
      </c>
      <c r="AF50" t="s">
        <v>321</v>
      </c>
      <c r="AG50" t="s">
        <v>322</v>
      </c>
      <c r="AH50" t="s">
        <v>322</v>
      </c>
      <c r="AI50" t="s">
        <v>98</v>
      </c>
      <c r="AJ50" t="s">
        <v>323</v>
      </c>
      <c r="AK50" t="s">
        <v>324</v>
      </c>
      <c r="AL50" t="s">
        <v>359</v>
      </c>
      <c r="AM50" t="s">
        <v>360</v>
      </c>
      <c r="AN50" t="s">
        <v>118</v>
      </c>
      <c r="AO50" t="s">
        <v>71</v>
      </c>
      <c r="AP50" t="s">
        <v>303</v>
      </c>
      <c r="AQ50" t="s">
        <v>327</v>
      </c>
      <c r="AR50" t="s">
        <v>328</v>
      </c>
    </row>
    <row r="51" spans="1:44" x14ac:dyDescent="0.25">
      <c r="A51" t="s">
        <v>363</v>
      </c>
      <c r="B51" t="s">
        <v>364</v>
      </c>
      <c r="C51" t="s">
        <v>44</v>
      </c>
      <c r="D51" t="s">
        <v>290</v>
      </c>
      <c r="E51" t="s">
        <v>291</v>
      </c>
      <c r="F51" t="s">
        <v>292</v>
      </c>
      <c r="G51" t="s">
        <v>293</v>
      </c>
      <c r="H51" t="s">
        <v>294</v>
      </c>
      <c r="I51" t="s">
        <v>50</v>
      </c>
      <c r="J51" t="s">
        <v>365</v>
      </c>
      <c r="K51" t="s">
        <v>366</v>
      </c>
      <c r="L51" t="s">
        <v>367</v>
      </c>
      <c r="M51" t="s">
        <v>298</v>
      </c>
      <c r="N51" t="s">
        <v>54</v>
      </c>
      <c r="O51" t="s">
        <v>197</v>
      </c>
      <c r="P51" t="s">
        <v>106</v>
      </c>
      <c r="Q51" t="s">
        <v>349</v>
      </c>
      <c r="R51" s="3">
        <v>0.6</v>
      </c>
      <c r="S51" t="s">
        <v>23</v>
      </c>
      <c r="T51" t="s">
        <v>23</v>
      </c>
      <c r="U51" s="3">
        <v>2.1720000000000002</v>
      </c>
      <c r="V51" t="s">
        <v>23</v>
      </c>
      <c r="W51" t="s">
        <v>23</v>
      </c>
      <c r="X51" s="3">
        <v>2.2320000000000002</v>
      </c>
      <c r="Y51" s="3">
        <v>8.3970000000000002</v>
      </c>
      <c r="Z51" t="s">
        <v>368</v>
      </c>
      <c r="AA51" t="s">
        <v>369</v>
      </c>
      <c r="AB51" t="s">
        <v>320</v>
      </c>
      <c r="AC51" t="s">
        <v>300</v>
      </c>
      <c r="AD51" t="s">
        <v>61</v>
      </c>
      <c r="AE51" t="s">
        <v>62</v>
      </c>
      <c r="AF51" t="s">
        <v>370</v>
      </c>
      <c r="AG51" t="s">
        <v>371</v>
      </c>
      <c r="AH51" t="s">
        <v>372</v>
      </c>
      <c r="AI51" t="s">
        <v>23</v>
      </c>
      <c r="AJ51" t="s">
        <v>373</v>
      </c>
      <c r="AK51" t="s">
        <v>374</v>
      </c>
      <c r="AL51" t="s">
        <v>375</v>
      </c>
      <c r="AM51" t="s">
        <v>376</v>
      </c>
      <c r="AN51" t="s">
        <v>118</v>
      </c>
      <c r="AO51" t="s">
        <v>71</v>
      </c>
      <c r="AP51" t="s">
        <v>303</v>
      </c>
      <c r="AQ51" t="s">
        <v>377</v>
      </c>
      <c r="AR51" t="s">
        <v>378</v>
      </c>
    </row>
    <row r="52" spans="1:44" x14ac:dyDescent="0.25">
      <c r="A52" t="s">
        <v>363</v>
      </c>
      <c r="B52" t="s">
        <v>364</v>
      </c>
      <c r="C52" t="s">
        <v>44</v>
      </c>
      <c r="D52" t="s">
        <v>290</v>
      </c>
      <c r="E52" t="s">
        <v>291</v>
      </c>
      <c r="F52" t="s">
        <v>292</v>
      </c>
      <c r="G52" t="s">
        <v>293</v>
      </c>
      <c r="H52" t="s">
        <v>294</v>
      </c>
      <c r="I52" t="s">
        <v>50</v>
      </c>
      <c r="J52" t="s">
        <v>379</v>
      </c>
      <c r="K52" t="s">
        <v>380</v>
      </c>
      <c r="L52" t="s">
        <v>381</v>
      </c>
      <c r="M52" t="s">
        <v>298</v>
      </c>
      <c r="N52" t="s">
        <v>54</v>
      </c>
      <c r="O52" t="s">
        <v>148</v>
      </c>
      <c r="P52" t="s">
        <v>382</v>
      </c>
      <c r="Q52" t="s">
        <v>383</v>
      </c>
      <c r="R52" s="3">
        <v>0.216</v>
      </c>
      <c r="S52" t="s">
        <v>23</v>
      </c>
      <c r="T52" t="s">
        <v>23</v>
      </c>
      <c r="U52" s="3">
        <v>0</v>
      </c>
      <c r="V52" t="s">
        <v>23</v>
      </c>
      <c r="W52" t="s">
        <v>23</v>
      </c>
      <c r="X52" s="3">
        <v>0</v>
      </c>
      <c r="Y52" s="3">
        <v>8.3970000000000002</v>
      </c>
      <c r="Z52" t="s">
        <v>368</v>
      </c>
      <c r="AA52" t="s">
        <v>369</v>
      </c>
      <c r="AB52" t="s">
        <v>320</v>
      </c>
      <c r="AC52" t="s">
        <v>300</v>
      </c>
      <c r="AD52" t="s">
        <v>61</v>
      </c>
      <c r="AE52" t="s">
        <v>62</v>
      </c>
      <c r="AF52" t="s">
        <v>370</v>
      </c>
      <c r="AG52" t="s">
        <v>371</v>
      </c>
      <c r="AH52" t="s">
        <v>372</v>
      </c>
      <c r="AI52" t="s">
        <v>23</v>
      </c>
      <c r="AJ52" t="s">
        <v>373</v>
      </c>
      <c r="AK52" t="s">
        <v>374</v>
      </c>
      <c r="AL52" t="s">
        <v>375</v>
      </c>
      <c r="AM52" t="s">
        <v>376</v>
      </c>
      <c r="AN52" t="s">
        <v>118</v>
      </c>
      <c r="AO52" t="s">
        <v>71</v>
      </c>
      <c r="AP52" t="s">
        <v>303</v>
      </c>
      <c r="AQ52" t="s">
        <v>377</v>
      </c>
      <c r="AR52" t="s">
        <v>378</v>
      </c>
    </row>
    <row r="53" spans="1:44" x14ac:dyDescent="0.25">
      <c r="A53" t="s">
        <v>363</v>
      </c>
      <c r="B53" t="s">
        <v>364</v>
      </c>
      <c r="C53" t="s">
        <v>44</v>
      </c>
      <c r="D53" t="s">
        <v>290</v>
      </c>
      <c r="E53" t="s">
        <v>291</v>
      </c>
      <c r="F53" t="s">
        <v>292</v>
      </c>
      <c r="G53" t="s">
        <v>293</v>
      </c>
      <c r="H53" t="s">
        <v>294</v>
      </c>
      <c r="I53" t="s">
        <v>50</v>
      </c>
      <c r="J53" t="s">
        <v>384</v>
      </c>
      <c r="K53" t="s">
        <v>385</v>
      </c>
      <c r="L53" t="s">
        <v>386</v>
      </c>
      <c r="M53" t="s">
        <v>298</v>
      </c>
      <c r="N53" t="s">
        <v>54</v>
      </c>
      <c r="O53" t="s">
        <v>148</v>
      </c>
      <c r="P53" t="s">
        <v>382</v>
      </c>
      <c r="Q53" t="s">
        <v>383</v>
      </c>
      <c r="R53" s="3">
        <v>0.216</v>
      </c>
      <c r="S53" t="s">
        <v>23</v>
      </c>
      <c r="T53" t="s">
        <v>23</v>
      </c>
      <c r="U53" s="3">
        <v>0</v>
      </c>
      <c r="V53" t="s">
        <v>23</v>
      </c>
      <c r="W53" t="s">
        <v>23</v>
      </c>
      <c r="X53" s="3">
        <v>0</v>
      </c>
      <c r="Y53" s="3">
        <v>8.3970000000000002</v>
      </c>
      <c r="Z53" t="s">
        <v>368</v>
      </c>
      <c r="AA53" t="s">
        <v>369</v>
      </c>
      <c r="AB53" t="s">
        <v>320</v>
      </c>
      <c r="AC53" t="s">
        <v>300</v>
      </c>
      <c r="AD53" t="s">
        <v>61</v>
      </c>
      <c r="AE53" t="s">
        <v>62</v>
      </c>
      <c r="AF53" t="s">
        <v>370</v>
      </c>
      <c r="AG53" t="s">
        <v>371</v>
      </c>
      <c r="AH53" t="s">
        <v>372</v>
      </c>
      <c r="AI53" t="s">
        <v>23</v>
      </c>
      <c r="AJ53" t="s">
        <v>373</v>
      </c>
      <c r="AK53" t="s">
        <v>374</v>
      </c>
      <c r="AL53" t="s">
        <v>375</v>
      </c>
      <c r="AM53" t="s">
        <v>376</v>
      </c>
      <c r="AN53" t="s">
        <v>118</v>
      </c>
      <c r="AO53" t="s">
        <v>71</v>
      </c>
      <c r="AP53" t="s">
        <v>303</v>
      </c>
      <c r="AQ53" t="s">
        <v>377</v>
      </c>
      <c r="AR53" t="s">
        <v>378</v>
      </c>
    </row>
    <row r="54" spans="1:44" x14ac:dyDescent="0.25">
      <c r="A54" t="s">
        <v>363</v>
      </c>
      <c r="B54" t="s">
        <v>364</v>
      </c>
      <c r="C54" t="s">
        <v>44</v>
      </c>
      <c r="D54" t="s">
        <v>290</v>
      </c>
      <c r="E54" t="s">
        <v>291</v>
      </c>
      <c r="F54" t="s">
        <v>292</v>
      </c>
      <c r="G54" t="s">
        <v>293</v>
      </c>
      <c r="H54" t="s">
        <v>294</v>
      </c>
      <c r="I54" t="s">
        <v>50</v>
      </c>
      <c r="J54" t="s">
        <v>387</v>
      </c>
      <c r="K54" t="s">
        <v>388</v>
      </c>
      <c r="L54" t="s">
        <v>389</v>
      </c>
      <c r="M54" t="s">
        <v>298</v>
      </c>
      <c r="N54" t="s">
        <v>54</v>
      </c>
      <c r="O54" t="s">
        <v>148</v>
      </c>
      <c r="P54" t="s">
        <v>382</v>
      </c>
      <c r="Q54" t="s">
        <v>383</v>
      </c>
      <c r="R54" s="3">
        <v>0.216</v>
      </c>
      <c r="S54" t="s">
        <v>23</v>
      </c>
      <c r="T54" t="s">
        <v>23</v>
      </c>
      <c r="U54" s="3">
        <v>0</v>
      </c>
      <c r="V54" t="s">
        <v>23</v>
      </c>
      <c r="W54" t="s">
        <v>23</v>
      </c>
      <c r="X54" s="3">
        <v>0</v>
      </c>
      <c r="Y54" s="3">
        <v>8.3970000000000002</v>
      </c>
      <c r="Z54" t="s">
        <v>368</v>
      </c>
      <c r="AA54" t="s">
        <v>369</v>
      </c>
      <c r="AB54" t="s">
        <v>320</v>
      </c>
      <c r="AC54" t="s">
        <v>300</v>
      </c>
      <c r="AD54" t="s">
        <v>61</v>
      </c>
      <c r="AE54" t="s">
        <v>62</v>
      </c>
      <c r="AF54" t="s">
        <v>370</v>
      </c>
      <c r="AG54" t="s">
        <v>371</v>
      </c>
      <c r="AH54" t="s">
        <v>372</v>
      </c>
      <c r="AI54" t="s">
        <v>23</v>
      </c>
      <c r="AJ54" t="s">
        <v>373</v>
      </c>
      <c r="AK54" t="s">
        <v>374</v>
      </c>
      <c r="AL54" t="s">
        <v>375</v>
      </c>
      <c r="AM54" t="s">
        <v>376</v>
      </c>
      <c r="AN54" t="s">
        <v>118</v>
      </c>
      <c r="AO54" t="s">
        <v>71</v>
      </c>
      <c r="AP54" t="s">
        <v>303</v>
      </c>
      <c r="AQ54" t="s">
        <v>377</v>
      </c>
      <c r="AR54" t="s">
        <v>378</v>
      </c>
    </row>
    <row r="55" spans="1:44" x14ac:dyDescent="0.25">
      <c r="A55" t="s">
        <v>363</v>
      </c>
      <c r="B55" t="s">
        <v>364</v>
      </c>
      <c r="C55" t="s">
        <v>44</v>
      </c>
      <c r="D55" t="s">
        <v>290</v>
      </c>
      <c r="E55" t="s">
        <v>291</v>
      </c>
      <c r="F55" t="s">
        <v>292</v>
      </c>
      <c r="G55" t="s">
        <v>293</v>
      </c>
      <c r="H55" t="s">
        <v>294</v>
      </c>
      <c r="I55" t="s">
        <v>50</v>
      </c>
      <c r="J55" t="s">
        <v>390</v>
      </c>
      <c r="K55" t="s">
        <v>391</v>
      </c>
      <c r="L55" t="s">
        <v>392</v>
      </c>
      <c r="M55" t="s">
        <v>298</v>
      </c>
      <c r="N55" t="s">
        <v>54</v>
      </c>
      <c r="O55" t="s">
        <v>393</v>
      </c>
      <c r="P55" t="s">
        <v>76</v>
      </c>
      <c r="Q55" t="s">
        <v>394</v>
      </c>
      <c r="R55" s="3">
        <v>0.38400000000000001</v>
      </c>
      <c r="S55" t="s">
        <v>23</v>
      </c>
      <c r="T55" t="s">
        <v>23</v>
      </c>
      <c r="U55" s="3">
        <v>0</v>
      </c>
      <c r="V55" t="s">
        <v>23</v>
      </c>
      <c r="W55" t="s">
        <v>23</v>
      </c>
      <c r="X55" s="3">
        <v>0</v>
      </c>
      <c r="Y55" s="3">
        <v>8.3970000000000002</v>
      </c>
      <c r="Z55" t="s">
        <v>368</v>
      </c>
      <c r="AA55" t="s">
        <v>369</v>
      </c>
      <c r="AB55" t="s">
        <v>320</v>
      </c>
      <c r="AC55" t="s">
        <v>300</v>
      </c>
      <c r="AD55" t="s">
        <v>61</v>
      </c>
      <c r="AE55" t="s">
        <v>62</v>
      </c>
      <c r="AF55" t="s">
        <v>370</v>
      </c>
      <c r="AG55" t="s">
        <v>371</v>
      </c>
      <c r="AH55" t="s">
        <v>372</v>
      </c>
      <c r="AI55" t="s">
        <v>23</v>
      </c>
      <c r="AJ55" t="s">
        <v>373</v>
      </c>
      <c r="AK55" t="s">
        <v>374</v>
      </c>
      <c r="AL55" t="s">
        <v>375</v>
      </c>
      <c r="AM55" t="s">
        <v>376</v>
      </c>
      <c r="AN55" t="s">
        <v>118</v>
      </c>
      <c r="AO55" t="s">
        <v>71</v>
      </c>
      <c r="AP55" t="s">
        <v>303</v>
      </c>
      <c r="AQ55" t="s">
        <v>377</v>
      </c>
      <c r="AR55" t="s">
        <v>378</v>
      </c>
    </row>
    <row r="56" spans="1:44" x14ac:dyDescent="0.25">
      <c r="A56" t="s">
        <v>363</v>
      </c>
      <c r="B56" t="s">
        <v>364</v>
      </c>
      <c r="C56" t="s">
        <v>44</v>
      </c>
      <c r="D56" t="s">
        <v>290</v>
      </c>
      <c r="E56" t="s">
        <v>291</v>
      </c>
      <c r="F56" t="s">
        <v>292</v>
      </c>
      <c r="G56" t="s">
        <v>293</v>
      </c>
      <c r="H56" t="s">
        <v>294</v>
      </c>
      <c r="I56" t="s">
        <v>50</v>
      </c>
      <c r="J56" t="s">
        <v>395</v>
      </c>
      <c r="K56" t="s">
        <v>396</v>
      </c>
      <c r="L56" t="s">
        <v>397</v>
      </c>
      <c r="M56" t="s">
        <v>298</v>
      </c>
      <c r="N56" t="s">
        <v>92</v>
      </c>
      <c r="O56" t="s">
        <v>398</v>
      </c>
      <c r="P56" t="s">
        <v>106</v>
      </c>
      <c r="Q56" t="s">
        <v>399</v>
      </c>
      <c r="R56" s="3">
        <v>0.3</v>
      </c>
      <c r="S56" t="s">
        <v>23</v>
      </c>
      <c r="T56" t="s">
        <v>23</v>
      </c>
      <c r="U56" s="3">
        <v>0</v>
      </c>
      <c r="V56" t="s">
        <v>23</v>
      </c>
      <c r="W56" t="s">
        <v>23</v>
      </c>
      <c r="X56" s="3">
        <v>0</v>
      </c>
      <c r="Y56" s="3">
        <v>8.3970000000000002</v>
      </c>
      <c r="Z56" t="s">
        <v>368</v>
      </c>
      <c r="AA56" t="s">
        <v>369</v>
      </c>
      <c r="AB56" t="s">
        <v>320</v>
      </c>
      <c r="AC56" t="s">
        <v>300</v>
      </c>
      <c r="AD56" t="s">
        <v>61</v>
      </c>
      <c r="AE56" t="s">
        <v>62</v>
      </c>
      <c r="AF56" t="s">
        <v>370</v>
      </c>
      <c r="AG56" t="s">
        <v>371</v>
      </c>
      <c r="AH56" t="s">
        <v>372</v>
      </c>
      <c r="AI56" t="s">
        <v>23</v>
      </c>
      <c r="AJ56" t="s">
        <v>373</v>
      </c>
      <c r="AK56" t="s">
        <v>374</v>
      </c>
      <c r="AL56" t="s">
        <v>375</v>
      </c>
      <c r="AM56" t="s">
        <v>376</v>
      </c>
      <c r="AN56" t="s">
        <v>118</v>
      </c>
      <c r="AO56" t="s">
        <v>71</v>
      </c>
      <c r="AP56" t="s">
        <v>303</v>
      </c>
      <c r="AQ56" t="s">
        <v>377</v>
      </c>
      <c r="AR56" t="s">
        <v>378</v>
      </c>
    </row>
    <row r="57" spans="1:44" x14ac:dyDescent="0.25">
      <c r="A57" t="s">
        <v>363</v>
      </c>
      <c r="B57" t="s">
        <v>364</v>
      </c>
      <c r="C57" t="s">
        <v>44</v>
      </c>
      <c r="D57" t="s">
        <v>290</v>
      </c>
      <c r="E57" t="s">
        <v>291</v>
      </c>
      <c r="F57" t="s">
        <v>292</v>
      </c>
      <c r="G57" t="s">
        <v>293</v>
      </c>
      <c r="H57" t="s">
        <v>294</v>
      </c>
      <c r="I57" t="s">
        <v>50</v>
      </c>
      <c r="J57" t="s">
        <v>400</v>
      </c>
      <c r="K57" t="s">
        <v>401</v>
      </c>
      <c r="L57" t="s">
        <v>402</v>
      </c>
      <c r="M57" t="s">
        <v>298</v>
      </c>
      <c r="N57" t="s">
        <v>54</v>
      </c>
      <c r="O57" t="s">
        <v>94</v>
      </c>
      <c r="P57" t="s">
        <v>76</v>
      </c>
      <c r="Q57" t="s">
        <v>403</v>
      </c>
      <c r="R57" s="3">
        <v>0.24</v>
      </c>
      <c r="S57" t="s">
        <v>23</v>
      </c>
      <c r="T57" t="s">
        <v>23</v>
      </c>
      <c r="U57" s="3">
        <v>0</v>
      </c>
      <c r="V57" t="s">
        <v>23</v>
      </c>
      <c r="W57" t="s">
        <v>23</v>
      </c>
      <c r="X57" s="3">
        <v>0</v>
      </c>
      <c r="Y57" s="3">
        <v>8.3970000000000002</v>
      </c>
      <c r="Z57" t="s">
        <v>368</v>
      </c>
      <c r="AA57" t="s">
        <v>369</v>
      </c>
      <c r="AB57" t="s">
        <v>320</v>
      </c>
      <c r="AC57" t="s">
        <v>300</v>
      </c>
      <c r="AD57" t="s">
        <v>61</v>
      </c>
      <c r="AE57" t="s">
        <v>62</v>
      </c>
      <c r="AF57" t="s">
        <v>370</v>
      </c>
      <c r="AG57" t="s">
        <v>371</v>
      </c>
      <c r="AH57" t="s">
        <v>372</v>
      </c>
      <c r="AI57" t="s">
        <v>23</v>
      </c>
      <c r="AJ57" t="s">
        <v>404</v>
      </c>
      <c r="AK57" t="s">
        <v>405</v>
      </c>
      <c r="AL57" t="s">
        <v>375</v>
      </c>
      <c r="AM57" t="s">
        <v>376</v>
      </c>
      <c r="AN57" t="s">
        <v>118</v>
      </c>
      <c r="AO57" t="s">
        <v>71</v>
      </c>
      <c r="AP57" t="s">
        <v>303</v>
      </c>
      <c r="AQ57" t="s">
        <v>377</v>
      </c>
      <c r="AR57" t="s">
        <v>378</v>
      </c>
    </row>
    <row r="58" spans="1:44" x14ac:dyDescent="0.25">
      <c r="A58" t="s">
        <v>363</v>
      </c>
      <c r="B58" t="s">
        <v>406</v>
      </c>
      <c r="C58" t="s">
        <v>44</v>
      </c>
      <c r="D58" t="s">
        <v>290</v>
      </c>
      <c r="E58" t="s">
        <v>291</v>
      </c>
      <c r="F58" t="s">
        <v>292</v>
      </c>
      <c r="G58" t="s">
        <v>293</v>
      </c>
      <c r="H58" t="s">
        <v>294</v>
      </c>
      <c r="I58" t="s">
        <v>50</v>
      </c>
      <c r="J58" t="s">
        <v>365</v>
      </c>
      <c r="K58" t="s">
        <v>366</v>
      </c>
      <c r="L58" t="s">
        <v>367</v>
      </c>
      <c r="M58" t="s">
        <v>298</v>
      </c>
      <c r="N58" t="s">
        <v>54</v>
      </c>
      <c r="O58" t="s">
        <v>382</v>
      </c>
      <c r="P58" t="s">
        <v>106</v>
      </c>
      <c r="Q58" t="s">
        <v>197</v>
      </c>
      <c r="R58" s="3">
        <v>0.06</v>
      </c>
      <c r="S58" t="s">
        <v>23</v>
      </c>
      <c r="T58" t="s">
        <v>23</v>
      </c>
      <c r="U58" s="3">
        <v>0.06</v>
      </c>
      <c r="V58" t="s">
        <v>23</v>
      </c>
      <c r="W58" t="s">
        <v>23</v>
      </c>
      <c r="X58" s="3">
        <v>0</v>
      </c>
      <c r="Y58" s="3">
        <v>8.3970000000000002</v>
      </c>
      <c r="Z58" t="s">
        <v>368</v>
      </c>
      <c r="AA58" t="s">
        <v>369</v>
      </c>
      <c r="AB58" t="s">
        <v>320</v>
      </c>
      <c r="AC58" t="s">
        <v>358</v>
      </c>
      <c r="AD58" t="s">
        <v>61</v>
      </c>
      <c r="AE58" t="s">
        <v>62</v>
      </c>
      <c r="AF58" t="s">
        <v>370</v>
      </c>
      <c r="AG58" t="s">
        <v>371</v>
      </c>
      <c r="AH58" t="s">
        <v>372</v>
      </c>
      <c r="AI58" t="s">
        <v>98</v>
      </c>
      <c r="AJ58" t="s">
        <v>373</v>
      </c>
      <c r="AK58" t="s">
        <v>374</v>
      </c>
      <c r="AL58" t="s">
        <v>407</v>
      </c>
      <c r="AM58" t="s">
        <v>408</v>
      </c>
      <c r="AN58" t="s">
        <v>118</v>
      </c>
      <c r="AO58" t="s">
        <v>71</v>
      </c>
      <c r="AP58" t="s">
        <v>303</v>
      </c>
      <c r="AQ58" t="s">
        <v>377</v>
      </c>
      <c r="AR58" t="s">
        <v>378</v>
      </c>
    </row>
    <row r="59" spans="1:44" x14ac:dyDescent="0.25">
      <c r="A59" s="4" t="s">
        <v>23</v>
      </c>
      <c r="B59" s="4" t="s">
        <v>23</v>
      </c>
      <c r="C59" s="4" t="s">
        <v>23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7">
        <f>SUM(R40:R58)</f>
        <v>8.397000000000002</v>
      </c>
      <c r="S59" s="7">
        <f t="shared" ref="S59:W59" si="0">SUM(S40:S58)</f>
        <v>2.673</v>
      </c>
      <c r="T59" s="5"/>
      <c r="U59" s="5">
        <f t="shared" si="0"/>
        <v>2.2320000000000002</v>
      </c>
      <c r="V59" s="5"/>
      <c r="W59" s="5">
        <f t="shared" si="0"/>
        <v>3.492</v>
      </c>
      <c r="X59" s="5">
        <f>SUM(S59:W59)</f>
        <v>8.3970000000000002</v>
      </c>
      <c r="Y59" s="5">
        <v>8.3970000000000002</v>
      </c>
      <c r="Z59" s="4" t="s">
        <v>23</v>
      </c>
      <c r="AA59" s="4" t="s">
        <v>23</v>
      </c>
      <c r="AB59" s="4" t="s">
        <v>23</v>
      </c>
      <c r="AC59" s="4" t="s">
        <v>23</v>
      </c>
      <c r="AD59" s="4" t="s">
        <v>23</v>
      </c>
      <c r="AE59" s="4" t="s">
        <v>23</v>
      </c>
      <c r="AF59" s="4" t="s">
        <v>23</v>
      </c>
      <c r="AG59" s="4" t="s">
        <v>23</v>
      </c>
      <c r="AH59" s="4" t="s">
        <v>23</v>
      </c>
      <c r="AI59" s="4" t="s">
        <v>23</v>
      </c>
      <c r="AJ59" s="4" t="s">
        <v>23</v>
      </c>
      <c r="AK59" s="4" t="s">
        <v>23</v>
      </c>
      <c r="AL59" s="4" t="s">
        <v>23</v>
      </c>
      <c r="AM59" s="4" t="s">
        <v>23</v>
      </c>
      <c r="AN59" s="4" t="s">
        <v>23</v>
      </c>
      <c r="AO59" s="4" t="s">
        <v>23</v>
      </c>
      <c r="AP59" s="4" t="s">
        <v>23</v>
      </c>
      <c r="AQ59" s="4" t="s">
        <v>23</v>
      </c>
      <c r="AR59" s="4" t="s">
        <v>23</v>
      </c>
    </row>
    <row r="60" spans="1:44" x14ac:dyDescent="0.25">
      <c r="A60" t="s">
        <v>101</v>
      </c>
      <c r="B60" t="s">
        <v>409</v>
      </c>
      <c r="C60" t="s">
        <v>44</v>
      </c>
      <c r="D60" t="s">
        <v>410</v>
      </c>
      <c r="E60" t="s">
        <v>411</v>
      </c>
      <c r="F60" t="s">
        <v>412</v>
      </c>
      <c r="G60" t="s">
        <v>413</v>
      </c>
      <c r="H60" t="s">
        <v>294</v>
      </c>
      <c r="I60" t="s">
        <v>50</v>
      </c>
      <c r="J60" t="s">
        <v>414</v>
      </c>
      <c r="K60" t="s">
        <v>415</v>
      </c>
      <c r="L60" t="s">
        <v>416</v>
      </c>
      <c r="M60" t="s">
        <v>23</v>
      </c>
      <c r="N60" t="s">
        <v>54</v>
      </c>
      <c r="O60" t="s">
        <v>143</v>
      </c>
      <c r="P60" t="s">
        <v>107</v>
      </c>
      <c r="Q60" t="s">
        <v>144</v>
      </c>
      <c r="R60" s="3">
        <v>0.92800000000000005</v>
      </c>
      <c r="S60" s="3">
        <v>13.718</v>
      </c>
      <c r="T60" t="s">
        <v>23</v>
      </c>
      <c r="U60" t="s">
        <v>23</v>
      </c>
      <c r="V60" t="s">
        <v>23</v>
      </c>
      <c r="W60" t="s">
        <v>23</v>
      </c>
      <c r="X60" s="3">
        <v>13.718</v>
      </c>
      <c r="Y60" s="3">
        <v>13.718</v>
      </c>
      <c r="Z60" t="s">
        <v>23</v>
      </c>
      <c r="AA60" t="s">
        <v>417</v>
      </c>
      <c r="AB60" t="s">
        <v>109</v>
      </c>
      <c r="AC60" t="s">
        <v>418</v>
      </c>
      <c r="AD60" t="s">
        <v>61</v>
      </c>
      <c r="AE60" t="s">
        <v>62</v>
      </c>
      <c r="AF60" t="s">
        <v>111</v>
      </c>
      <c r="AG60" t="s">
        <v>112</v>
      </c>
      <c r="AH60" t="s">
        <v>113</v>
      </c>
      <c r="AI60" t="s">
        <v>23</v>
      </c>
      <c r="AJ60" t="s">
        <v>114</v>
      </c>
      <c r="AK60" t="s">
        <v>115</v>
      </c>
      <c r="AL60" t="s">
        <v>419</v>
      </c>
      <c r="AM60" t="s">
        <v>420</v>
      </c>
      <c r="AN60" t="s">
        <v>118</v>
      </c>
      <c r="AO60" t="s">
        <v>71</v>
      </c>
      <c r="AP60" t="s">
        <v>23</v>
      </c>
      <c r="AQ60" t="s">
        <v>23</v>
      </c>
      <c r="AR60" t="s">
        <v>23</v>
      </c>
    </row>
    <row r="61" spans="1:44" x14ac:dyDescent="0.25">
      <c r="A61" t="s">
        <v>101</v>
      </c>
      <c r="B61" t="s">
        <v>409</v>
      </c>
      <c r="C61" t="s">
        <v>44</v>
      </c>
      <c r="D61" t="s">
        <v>410</v>
      </c>
      <c r="E61" t="s">
        <v>411</v>
      </c>
      <c r="F61" t="s">
        <v>412</v>
      </c>
      <c r="G61" t="s">
        <v>413</v>
      </c>
      <c r="H61" t="s">
        <v>294</v>
      </c>
      <c r="I61" t="s">
        <v>50</v>
      </c>
      <c r="J61" t="s">
        <v>140</v>
      </c>
      <c r="K61" t="s">
        <v>141</v>
      </c>
      <c r="L61" t="s">
        <v>142</v>
      </c>
      <c r="M61" t="s">
        <v>23</v>
      </c>
      <c r="N61" t="s">
        <v>54</v>
      </c>
      <c r="O61" t="s">
        <v>421</v>
      </c>
      <c r="P61" t="s">
        <v>107</v>
      </c>
      <c r="Q61" t="s">
        <v>422</v>
      </c>
      <c r="R61" s="3">
        <v>1.8560000000000001</v>
      </c>
      <c r="S61" s="3">
        <v>0</v>
      </c>
      <c r="T61" t="s">
        <v>23</v>
      </c>
      <c r="U61" t="s">
        <v>23</v>
      </c>
      <c r="V61" t="s">
        <v>23</v>
      </c>
      <c r="W61" t="s">
        <v>23</v>
      </c>
      <c r="X61" s="3">
        <v>0</v>
      </c>
      <c r="Y61" s="3">
        <v>13.718</v>
      </c>
      <c r="Z61" t="s">
        <v>23</v>
      </c>
      <c r="AA61" t="s">
        <v>417</v>
      </c>
      <c r="AB61" t="s">
        <v>109</v>
      </c>
      <c r="AC61" t="s">
        <v>418</v>
      </c>
      <c r="AD61" t="s">
        <v>61</v>
      </c>
      <c r="AE61" t="s">
        <v>62</v>
      </c>
      <c r="AF61" t="s">
        <v>111</v>
      </c>
      <c r="AG61" t="s">
        <v>112</v>
      </c>
      <c r="AH61" t="s">
        <v>113</v>
      </c>
      <c r="AI61" t="s">
        <v>23</v>
      </c>
      <c r="AJ61" t="s">
        <v>114</v>
      </c>
      <c r="AK61" t="s">
        <v>115</v>
      </c>
      <c r="AL61" t="s">
        <v>419</v>
      </c>
      <c r="AM61" t="s">
        <v>420</v>
      </c>
      <c r="AN61" t="s">
        <v>118</v>
      </c>
      <c r="AO61" t="s">
        <v>71</v>
      </c>
      <c r="AP61" t="s">
        <v>23</v>
      </c>
      <c r="AQ61" t="s">
        <v>23</v>
      </c>
      <c r="AR61" t="s">
        <v>23</v>
      </c>
    </row>
    <row r="62" spans="1:44" x14ac:dyDescent="0.25">
      <c r="A62" t="s">
        <v>101</v>
      </c>
      <c r="B62" t="s">
        <v>409</v>
      </c>
      <c r="C62" t="s">
        <v>44</v>
      </c>
      <c r="D62" t="s">
        <v>410</v>
      </c>
      <c r="E62" t="s">
        <v>411</v>
      </c>
      <c r="F62" t="s">
        <v>412</v>
      </c>
      <c r="G62" t="s">
        <v>413</v>
      </c>
      <c r="H62" t="s">
        <v>294</v>
      </c>
      <c r="I62" t="s">
        <v>50</v>
      </c>
      <c r="J62" t="s">
        <v>145</v>
      </c>
      <c r="K62" t="s">
        <v>146</v>
      </c>
      <c r="L62" t="s">
        <v>147</v>
      </c>
      <c r="M62" t="s">
        <v>23</v>
      </c>
      <c r="N62" t="s">
        <v>54</v>
      </c>
      <c r="O62" t="s">
        <v>423</v>
      </c>
      <c r="P62" t="s">
        <v>149</v>
      </c>
      <c r="Q62" t="s">
        <v>424</v>
      </c>
      <c r="R62" s="3">
        <v>1.966</v>
      </c>
      <c r="S62" s="3">
        <v>0</v>
      </c>
      <c r="T62" t="s">
        <v>23</v>
      </c>
      <c r="U62" t="s">
        <v>23</v>
      </c>
      <c r="V62" t="s">
        <v>23</v>
      </c>
      <c r="W62" t="s">
        <v>23</v>
      </c>
      <c r="X62" s="3">
        <v>0</v>
      </c>
      <c r="Y62" s="3">
        <v>13.718</v>
      </c>
      <c r="Z62" t="s">
        <v>23</v>
      </c>
      <c r="AA62" t="s">
        <v>417</v>
      </c>
      <c r="AB62" t="s">
        <v>109</v>
      </c>
      <c r="AC62" t="s">
        <v>418</v>
      </c>
      <c r="AD62" t="s">
        <v>61</v>
      </c>
      <c r="AE62" t="s">
        <v>62</v>
      </c>
      <c r="AF62" t="s">
        <v>111</v>
      </c>
      <c r="AG62" t="s">
        <v>112</v>
      </c>
      <c r="AH62" t="s">
        <v>113</v>
      </c>
      <c r="AI62" t="s">
        <v>23</v>
      </c>
      <c r="AJ62" t="s">
        <v>114</v>
      </c>
      <c r="AK62" t="s">
        <v>115</v>
      </c>
      <c r="AL62" t="s">
        <v>419</v>
      </c>
      <c r="AM62" t="s">
        <v>420</v>
      </c>
      <c r="AN62" t="s">
        <v>118</v>
      </c>
      <c r="AO62" t="s">
        <v>71</v>
      </c>
      <c r="AP62" t="s">
        <v>23</v>
      </c>
      <c r="AQ62" t="s">
        <v>23</v>
      </c>
      <c r="AR62" t="s">
        <v>23</v>
      </c>
    </row>
    <row r="63" spans="1:44" x14ac:dyDescent="0.25">
      <c r="A63" t="s">
        <v>101</v>
      </c>
      <c r="B63" t="s">
        <v>409</v>
      </c>
      <c r="C63" t="s">
        <v>44</v>
      </c>
      <c r="D63" t="s">
        <v>410</v>
      </c>
      <c r="E63" t="s">
        <v>411</v>
      </c>
      <c r="F63" t="s">
        <v>412</v>
      </c>
      <c r="G63" t="s">
        <v>413</v>
      </c>
      <c r="H63" t="s">
        <v>294</v>
      </c>
      <c r="I63" t="s">
        <v>50</v>
      </c>
      <c r="J63" t="s">
        <v>306</v>
      </c>
      <c r="K63" t="s">
        <v>307</v>
      </c>
      <c r="L63" t="s">
        <v>308</v>
      </c>
      <c r="M63" t="s">
        <v>23</v>
      </c>
      <c r="N63" t="s">
        <v>54</v>
      </c>
      <c r="O63" t="s">
        <v>143</v>
      </c>
      <c r="P63" t="s">
        <v>309</v>
      </c>
      <c r="Q63" t="s">
        <v>310</v>
      </c>
      <c r="R63" s="3">
        <v>0.81699999999999995</v>
      </c>
      <c r="S63" s="3">
        <v>0</v>
      </c>
      <c r="T63" t="s">
        <v>23</v>
      </c>
      <c r="U63" t="s">
        <v>23</v>
      </c>
      <c r="V63" t="s">
        <v>23</v>
      </c>
      <c r="W63" t="s">
        <v>23</v>
      </c>
      <c r="X63" s="3">
        <v>0</v>
      </c>
      <c r="Y63" s="3">
        <v>13.718</v>
      </c>
      <c r="Z63" t="s">
        <v>23</v>
      </c>
      <c r="AA63" t="s">
        <v>417</v>
      </c>
      <c r="AB63" t="s">
        <v>109</v>
      </c>
      <c r="AC63" t="s">
        <v>418</v>
      </c>
      <c r="AD63" t="s">
        <v>61</v>
      </c>
      <c r="AE63" t="s">
        <v>62</v>
      </c>
      <c r="AF63" t="s">
        <v>111</v>
      </c>
      <c r="AG63" t="s">
        <v>112</v>
      </c>
      <c r="AH63" t="s">
        <v>113</v>
      </c>
      <c r="AI63" t="s">
        <v>23</v>
      </c>
      <c r="AJ63" t="s">
        <v>114</v>
      </c>
      <c r="AK63" t="s">
        <v>115</v>
      </c>
      <c r="AL63" t="s">
        <v>419</v>
      </c>
      <c r="AM63" t="s">
        <v>420</v>
      </c>
      <c r="AN63" t="s">
        <v>118</v>
      </c>
      <c r="AO63" t="s">
        <v>71</v>
      </c>
      <c r="AP63" t="s">
        <v>23</v>
      </c>
      <c r="AQ63" t="s">
        <v>23</v>
      </c>
      <c r="AR63" t="s">
        <v>23</v>
      </c>
    </row>
    <row r="64" spans="1:44" x14ac:dyDescent="0.25">
      <c r="A64" t="s">
        <v>101</v>
      </c>
      <c r="B64" t="s">
        <v>409</v>
      </c>
      <c r="C64" t="s">
        <v>44</v>
      </c>
      <c r="D64" t="s">
        <v>410</v>
      </c>
      <c r="E64" t="s">
        <v>411</v>
      </c>
      <c r="F64" t="s">
        <v>412</v>
      </c>
      <c r="G64" t="s">
        <v>413</v>
      </c>
      <c r="H64" t="s">
        <v>294</v>
      </c>
      <c r="I64" t="s">
        <v>50</v>
      </c>
      <c r="J64" t="s">
        <v>151</v>
      </c>
      <c r="K64" t="s">
        <v>152</v>
      </c>
      <c r="L64" t="s">
        <v>153</v>
      </c>
      <c r="M64" t="s">
        <v>23</v>
      </c>
      <c r="N64" t="s">
        <v>54</v>
      </c>
      <c r="O64" t="s">
        <v>154</v>
      </c>
      <c r="P64" t="s">
        <v>149</v>
      </c>
      <c r="Q64" t="s">
        <v>155</v>
      </c>
      <c r="R64" s="3">
        <v>3.2759999999999998</v>
      </c>
      <c r="S64" s="3">
        <v>0</v>
      </c>
      <c r="T64" t="s">
        <v>23</v>
      </c>
      <c r="U64" t="s">
        <v>23</v>
      </c>
      <c r="V64" t="s">
        <v>23</v>
      </c>
      <c r="W64" t="s">
        <v>23</v>
      </c>
      <c r="X64" s="3">
        <v>0</v>
      </c>
      <c r="Y64" s="3">
        <v>13.718</v>
      </c>
      <c r="Z64" t="s">
        <v>23</v>
      </c>
      <c r="AA64" t="s">
        <v>417</v>
      </c>
      <c r="AB64" t="s">
        <v>109</v>
      </c>
      <c r="AC64" t="s">
        <v>418</v>
      </c>
      <c r="AD64" t="s">
        <v>61</v>
      </c>
      <c r="AE64" t="s">
        <v>62</v>
      </c>
      <c r="AF64" t="s">
        <v>111</v>
      </c>
      <c r="AG64" t="s">
        <v>112</v>
      </c>
      <c r="AH64" t="s">
        <v>113</v>
      </c>
      <c r="AI64" t="s">
        <v>23</v>
      </c>
      <c r="AJ64" t="s">
        <v>114</v>
      </c>
      <c r="AK64" t="s">
        <v>115</v>
      </c>
      <c r="AL64" t="s">
        <v>419</v>
      </c>
      <c r="AM64" t="s">
        <v>420</v>
      </c>
      <c r="AN64" t="s">
        <v>118</v>
      </c>
      <c r="AO64" t="s">
        <v>71</v>
      </c>
      <c r="AP64" t="s">
        <v>23</v>
      </c>
      <c r="AQ64" t="s">
        <v>23</v>
      </c>
      <c r="AR64" t="s">
        <v>23</v>
      </c>
    </row>
    <row r="65" spans="1:44" x14ac:dyDescent="0.25">
      <c r="A65" t="s">
        <v>101</v>
      </c>
      <c r="B65" t="s">
        <v>409</v>
      </c>
      <c r="C65" t="s">
        <v>44</v>
      </c>
      <c r="D65" t="s">
        <v>410</v>
      </c>
      <c r="E65" t="s">
        <v>411</v>
      </c>
      <c r="F65" t="s">
        <v>412</v>
      </c>
      <c r="G65" t="s">
        <v>413</v>
      </c>
      <c r="H65" t="s">
        <v>294</v>
      </c>
      <c r="I65" t="s">
        <v>50</v>
      </c>
      <c r="J65" t="s">
        <v>425</v>
      </c>
      <c r="K65" t="s">
        <v>426</v>
      </c>
      <c r="L65" t="s">
        <v>427</v>
      </c>
      <c r="M65" t="s">
        <v>23</v>
      </c>
      <c r="N65" t="s">
        <v>428</v>
      </c>
      <c r="O65" t="s">
        <v>429</v>
      </c>
      <c r="P65" t="s">
        <v>93</v>
      </c>
      <c r="Q65" t="s">
        <v>430</v>
      </c>
      <c r="R65" s="3">
        <v>2.625</v>
      </c>
      <c r="S65" s="3">
        <v>0</v>
      </c>
      <c r="T65" t="s">
        <v>23</v>
      </c>
      <c r="U65" t="s">
        <v>23</v>
      </c>
      <c r="V65" t="s">
        <v>23</v>
      </c>
      <c r="W65" t="s">
        <v>23</v>
      </c>
      <c r="X65" s="3">
        <v>0</v>
      </c>
      <c r="Y65" s="3">
        <v>13.718</v>
      </c>
      <c r="Z65" t="s">
        <v>23</v>
      </c>
      <c r="AA65" t="s">
        <v>417</v>
      </c>
      <c r="AB65" t="s">
        <v>109</v>
      </c>
      <c r="AC65" t="s">
        <v>418</v>
      </c>
      <c r="AD65" t="s">
        <v>61</v>
      </c>
      <c r="AE65" t="s">
        <v>62</v>
      </c>
      <c r="AF65" t="s">
        <v>111</v>
      </c>
      <c r="AG65" t="s">
        <v>112</v>
      </c>
      <c r="AH65" t="s">
        <v>113</v>
      </c>
      <c r="AI65" t="s">
        <v>23</v>
      </c>
      <c r="AJ65" t="s">
        <v>114</v>
      </c>
      <c r="AK65" t="s">
        <v>115</v>
      </c>
      <c r="AL65" t="s">
        <v>419</v>
      </c>
      <c r="AM65" t="s">
        <v>420</v>
      </c>
      <c r="AN65" t="s">
        <v>118</v>
      </c>
      <c r="AO65" t="s">
        <v>71</v>
      </c>
      <c r="AP65" t="s">
        <v>23</v>
      </c>
      <c r="AQ65" t="s">
        <v>23</v>
      </c>
      <c r="AR65" t="s">
        <v>23</v>
      </c>
    </row>
    <row r="66" spans="1:44" x14ac:dyDescent="0.25">
      <c r="A66" t="s">
        <v>101</v>
      </c>
      <c r="B66" t="s">
        <v>409</v>
      </c>
      <c r="C66" t="s">
        <v>44</v>
      </c>
      <c r="D66" t="s">
        <v>410</v>
      </c>
      <c r="E66" t="s">
        <v>411</v>
      </c>
      <c r="F66" t="s">
        <v>412</v>
      </c>
      <c r="G66" t="s">
        <v>413</v>
      </c>
      <c r="H66" t="s">
        <v>294</v>
      </c>
      <c r="I66" t="s">
        <v>50</v>
      </c>
      <c r="J66" t="s">
        <v>431</v>
      </c>
      <c r="K66" t="s">
        <v>432</v>
      </c>
      <c r="L66" t="s">
        <v>433</v>
      </c>
      <c r="M66" t="s">
        <v>23</v>
      </c>
      <c r="N66" t="s">
        <v>428</v>
      </c>
      <c r="O66" t="s">
        <v>188</v>
      </c>
      <c r="P66" t="s">
        <v>93</v>
      </c>
      <c r="Q66" t="s">
        <v>434</v>
      </c>
      <c r="R66" s="3">
        <v>2.25</v>
      </c>
      <c r="S66" s="3">
        <v>0</v>
      </c>
      <c r="T66" t="s">
        <v>23</v>
      </c>
      <c r="U66" t="s">
        <v>23</v>
      </c>
      <c r="V66" t="s">
        <v>23</v>
      </c>
      <c r="W66" t="s">
        <v>23</v>
      </c>
      <c r="X66" s="3">
        <v>0</v>
      </c>
      <c r="Y66" s="3">
        <v>13.718</v>
      </c>
      <c r="Z66" t="s">
        <v>23</v>
      </c>
      <c r="AA66" t="s">
        <v>417</v>
      </c>
      <c r="AB66" t="s">
        <v>109</v>
      </c>
      <c r="AC66" t="s">
        <v>418</v>
      </c>
      <c r="AD66" t="s">
        <v>61</v>
      </c>
      <c r="AE66" t="s">
        <v>62</v>
      </c>
      <c r="AF66" t="s">
        <v>111</v>
      </c>
      <c r="AG66" t="s">
        <v>112</v>
      </c>
      <c r="AH66" t="s">
        <v>113</v>
      </c>
      <c r="AI66" t="s">
        <v>23</v>
      </c>
      <c r="AJ66" t="s">
        <v>114</v>
      </c>
      <c r="AK66" t="s">
        <v>115</v>
      </c>
      <c r="AL66" t="s">
        <v>419</v>
      </c>
      <c r="AM66" t="s">
        <v>420</v>
      </c>
      <c r="AN66" t="s">
        <v>118</v>
      </c>
      <c r="AO66" t="s">
        <v>71</v>
      </c>
      <c r="AP66" t="s">
        <v>23</v>
      </c>
      <c r="AQ66" t="s">
        <v>23</v>
      </c>
      <c r="AR66" t="s">
        <v>23</v>
      </c>
    </row>
    <row r="67" spans="1:44" x14ac:dyDescent="0.25">
      <c r="A67" s="4" t="s">
        <v>23</v>
      </c>
      <c r="B67" s="4" t="s">
        <v>23</v>
      </c>
      <c r="C67" s="4" t="s">
        <v>23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5">
        <v>13.718</v>
      </c>
      <c r="S67" s="5">
        <v>13.718</v>
      </c>
      <c r="T67" s="4" t="s">
        <v>23</v>
      </c>
      <c r="U67" s="4" t="s">
        <v>23</v>
      </c>
      <c r="V67" s="4" t="s">
        <v>23</v>
      </c>
      <c r="W67" s="4" t="s">
        <v>23</v>
      </c>
      <c r="X67" s="5">
        <v>13.718</v>
      </c>
      <c r="Y67" s="5">
        <v>13.718</v>
      </c>
      <c r="Z67" s="4" t="s">
        <v>23</v>
      </c>
      <c r="AA67" s="4" t="s">
        <v>23</v>
      </c>
      <c r="AB67" s="4" t="s">
        <v>23</v>
      </c>
      <c r="AC67" s="4" t="s">
        <v>23</v>
      </c>
      <c r="AD67" s="4" t="s">
        <v>23</v>
      </c>
      <c r="AE67" s="4" t="s">
        <v>23</v>
      </c>
      <c r="AF67" s="4" t="s">
        <v>23</v>
      </c>
      <c r="AG67" s="4" t="s">
        <v>23</v>
      </c>
      <c r="AH67" s="4" t="s">
        <v>23</v>
      </c>
      <c r="AI67" s="4" t="s">
        <v>23</v>
      </c>
      <c r="AJ67" s="4" t="s">
        <v>23</v>
      </c>
      <c r="AK67" s="4" t="s">
        <v>23</v>
      </c>
      <c r="AL67" s="4" t="s">
        <v>23</v>
      </c>
      <c r="AM67" s="4" t="s">
        <v>23</v>
      </c>
      <c r="AN67" s="4" t="s">
        <v>23</v>
      </c>
      <c r="AO67" s="4" t="s">
        <v>23</v>
      </c>
      <c r="AP67" s="4" t="s">
        <v>23</v>
      </c>
      <c r="AQ67" s="4" t="s">
        <v>23</v>
      </c>
      <c r="AR67" s="4" t="s">
        <v>23</v>
      </c>
    </row>
    <row r="68" spans="1:44" x14ac:dyDescent="0.25">
      <c r="A68" t="s">
        <v>21</v>
      </c>
      <c r="B68" t="s">
        <v>435</v>
      </c>
      <c r="C68" t="s">
        <v>44</v>
      </c>
      <c r="D68" t="s">
        <v>436</v>
      </c>
      <c r="E68" t="s">
        <v>437</v>
      </c>
      <c r="F68" t="s">
        <v>438</v>
      </c>
      <c r="G68" t="s">
        <v>439</v>
      </c>
      <c r="H68" t="s">
        <v>260</v>
      </c>
      <c r="I68" t="s">
        <v>261</v>
      </c>
      <c r="J68" t="s">
        <v>440</v>
      </c>
      <c r="K68" t="s">
        <v>441</v>
      </c>
      <c r="L68" t="s">
        <v>442</v>
      </c>
      <c r="M68" t="s">
        <v>23</v>
      </c>
      <c r="N68" t="s">
        <v>54</v>
      </c>
      <c r="O68" t="s">
        <v>443</v>
      </c>
      <c r="P68" t="s">
        <v>444</v>
      </c>
      <c r="Q68" t="s">
        <v>445</v>
      </c>
      <c r="R68" s="3">
        <v>0.188</v>
      </c>
      <c r="S68" t="s">
        <v>23</v>
      </c>
      <c r="T68" t="s">
        <v>23</v>
      </c>
      <c r="U68" t="s">
        <v>23</v>
      </c>
      <c r="V68" s="3">
        <v>0.188</v>
      </c>
      <c r="W68" t="s">
        <v>23</v>
      </c>
      <c r="X68" s="3">
        <v>1.9179999999999999</v>
      </c>
      <c r="Y68" s="3">
        <v>1.9179999999999999</v>
      </c>
      <c r="Z68" t="s">
        <v>23</v>
      </c>
      <c r="AA68" t="s">
        <v>446</v>
      </c>
      <c r="AB68" t="s">
        <v>59</v>
      </c>
      <c r="AC68" t="s">
        <v>447</v>
      </c>
      <c r="AD68" t="s">
        <v>61</v>
      </c>
      <c r="AE68" t="s">
        <v>62</v>
      </c>
      <c r="AF68" t="s">
        <v>63</v>
      </c>
      <c r="AG68" t="s">
        <v>65</v>
      </c>
      <c r="AH68" t="s">
        <v>65</v>
      </c>
      <c r="AI68" t="s">
        <v>23</v>
      </c>
      <c r="AJ68" t="s">
        <v>66</v>
      </c>
      <c r="AK68" t="s">
        <v>67</v>
      </c>
      <c r="AL68" t="s">
        <v>448</v>
      </c>
      <c r="AM68" t="s">
        <v>449</v>
      </c>
      <c r="AN68" t="s">
        <v>70</v>
      </c>
      <c r="AO68" t="s">
        <v>71</v>
      </c>
      <c r="AP68" t="s">
        <v>450</v>
      </c>
      <c r="AQ68" t="s">
        <v>451</v>
      </c>
      <c r="AR68" t="s">
        <v>452</v>
      </c>
    </row>
    <row r="69" spans="1:44" x14ac:dyDescent="0.25">
      <c r="A69" t="s">
        <v>101</v>
      </c>
      <c r="B69" t="s">
        <v>453</v>
      </c>
      <c r="C69" t="s">
        <v>44</v>
      </c>
      <c r="D69" t="s">
        <v>436</v>
      </c>
      <c r="E69" t="s">
        <v>437</v>
      </c>
      <c r="F69" t="s">
        <v>438</v>
      </c>
      <c r="G69" t="s">
        <v>439</v>
      </c>
      <c r="H69" t="s">
        <v>260</v>
      </c>
      <c r="I69" t="s">
        <v>261</v>
      </c>
      <c r="J69" t="s">
        <v>454</v>
      </c>
      <c r="K69" t="s">
        <v>455</v>
      </c>
      <c r="L69" t="s">
        <v>456</v>
      </c>
      <c r="M69" t="s">
        <v>23</v>
      </c>
      <c r="N69" t="s">
        <v>54</v>
      </c>
      <c r="O69" t="s">
        <v>106</v>
      </c>
      <c r="P69" t="s">
        <v>149</v>
      </c>
      <c r="Q69" t="s">
        <v>457</v>
      </c>
      <c r="R69" s="3">
        <v>0.182</v>
      </c>
      <c r="S69" s="3">
        <v>1.5129999999999999</v>
      </c>
      <c r="T69" t="s">
        <v>23</v>
      </c>
      <c r="U69" t="s">
        <v>23</v>
      </c>
      <c r="V69" t="s">
        <v>23</v>
      </c>
      <c r="W69" t="s">
        <v>23</v>
      </c>
      <c r="X69" s="3">
        <v>0</v>
      </c>
      <c r="Y69" s="3">
        <v>1.9179999999999999</v>
      </c>
      <c r="Z69" t="s">
        <v>23</v>
      </c>
      <c r="AA69" t="s">
        <v>446</v>
      </c>
      <c r="AB69" t="s">
        <v>283</v>
      </c>
      <c r="AC69" t="s">
        <v>458</v>
      </c>
      <c r="AD69" t="s">
        <v>61</v>
      </c>
      <c r="AE69" t="s">
        <v>62</v>
      </c>
      <c r="AF69" t="s">
        <v>285</v>
      </c>
      <c r="AG69" t="s">
        <v>459</v>
      </c>
      <c r="AH69" t="s">
        <v>272</v>
      </c>
      <c r="AI69" t="s">
        <v>23</v>
      </c>
      <c r="AJ69" t="s">
        <v>114</v>
      </c>
      <c r="AK69" t="s">
        <v>115</v>
      </c>
      <c r="AL69" t="s">
        <v>460</v>
      </c>
      <c r="AM69" t="s">
        <v>461</v>
      </c>
      <c r="AN69" t="s">
        <v>118</v>
      </c>
      <c r="AO69" t="s">
        <v>71</v>
      </c>
      <c r="AP69" t="s">
        <v>450</v>
      </c>
      <c r="AQ69" t="s">
        <v>451</v>
      </c>
      <c r="AR69" t="s">
        <v>452</v>
      </c>
    </row>
    <row r="70" spans="1:44" x14ac:dyDescent="0.25">
      <c r="A70" t="s">
        <v>101</v>
      </c>
      <c r="B70" t="s">
        <v>453</v>
      </c>
      <c r="C70" t="s">
        <v>44</v>
      </c>
      <c r="D70" t="s">
        <v>436</v>
      </c>
      <c r="E70" t="s">
        <v>437</v>
      </c>
      <c r="F70" t="s">
        <v>438</v>
      </c>
      <c r="G70" t="s">
        <v>439</v>
      </c>
      <c r="H70" t="s">
        <v>260</v>
      </c>
      <c r="I70" t="s">
        <v>261</v>
      </c>
      <c r="J70" t="s">
        <v>425</v>
      </c>
      <c r="K70" t="s">
        <v>426</v>
      </c>
      <c r="L70" t="s">
        <v>427</v>
      </c>
      <c r="M70" t="s">
        <v>23</v>
      </c>
      <c r="N70" t="s">
        <v>428</v>
      </c>
      <c r="O70" t="s">
        <v>94</v>
      </c>
      <c r="P70" t="s">
        <v>93</v>
      </c>
      <c r="Q70" t="s">
        <v>462</v>
      </c>
      <c r="R70" s="3">
        <v>1.25</v>
      </c>
      <c r="S70" s="3">
        <v>0</v>
      </c>
      <c r="T70" t="s">
        <v>23</v>
      </c>
      <c r="U70" t="s">
        <v>23</v>
      </c>
      <c r="V70" t="s">
        <v>23</v>
      </c>
      <c r="W70" t="s">
        <v>23</v>
      </c>
      <c r="X70" s="3">
        <v>0</v>
      </c>
      <c r="Y70" s="3">
        <v>1.9179999999999999</v>
      </c>
      <c r="Z70" t="s">
        <v>23</v>
      </c>
      <c r="AA70" t="s">
        <v>446</v>
      </c>
      <c r="AB70" t="s">
        <v>283</v>
      </c>
      <c r="AC70" t="s">
        <v>458</v>
      </c>
      <c r="AD70" t="s">
        <v>61</v>
      </c>
      <c r="AE70" t="s">
        <v>62</v>
      </c>
      <c r="AF70" t="s">
        <v>285</v>
      </c>
      <c r="AG70" t="s">
        <v>459</v>
      </c>
      <c r="AH70" t="s">
        <v>272</v>
      </c>
      <c r="AI70" t="s">
        <v>23</v>
      </c>
      <c r="AJ70" t="s">
        <v>114</v>
      </c>
      <c r="AK70" t="s">
        <v>115</v>
      </c>
      <c r="AL70" t="s">
        <v>460</v>
      </c>
      <c r="AM70" t="s">
        <v>461</v>
      </c>
      <c r="AN70" t="s">
        <v>118</v>
      </c>
      <c r="AO70" t="s">
        <v>71</v>
      </c>
      <c r="AP70" t="s">
        <v>450</v>
      </c>
      <c r="AQ70" t="s">
        <v>451</v>
      </c>
      <c r="AR70" t="s">
        <v>452</v>
      </c>
    </row>
    <row r="71" spans="1:44" x14ac:dyDescent="0.25">
      <c r="A71" t="s">
        <v>101</v>
      </c>
      <c r="B71" t="s">
        <v>453</v>
      </c>
      <c r="C71" t="s">
        <v>44</v>
      </c>
      <c r="D71" t="s">
        <v>436</v>
      </c>
      <c r="E71" t="s">
        <v>437</v>
      </c>
      <c r="F71" t="s">
        <v>438</v>
      </c>
      <c r="G71" t="s">
        <v>439</v>
      </c>
      <c r="H71" t="s">
        <v>260</v>
      </c>
      <c r="I71" t="s">
        <v>261</v>
      </c>
      <c r="J71" t="s">
        <v>463</v>
      </c>
      <c r="K71" t="s">
        <v>464</v>
      </c>
      <c r="L71" t="s">
        <v>465</v>
      </c>
      <c r="M71" t="s">
        <v>23</v>
      </c>
      <c r="N71" t="s">
        <v>54</v>
      </c>
      <c r="O71" t="s">
        <v>356</v>
      </c>
      <c r="P71" t="s">
        <v>466</v>
      </c>
      <c r="Q71" t="s">
        <v>467</v>
      </c>
      <c r="R71" s="3">
        <v>8.1000000000000003E-2</v>
      </c>
      <c r="S71" s="3">
        <v>0</v>
      </c>
      <c r="T71" t="s">
        <v>23</v>
      </c>
      <c r="U71" t="s">
        <v>23</v>
      </c>
      <c r="V71" t="s">
        <v>23</v>
      </c>
      <c r="W71" t="s">
        <v>23</v>
      </c>
      <c r="X71" s="3">
        <v>0</v>
      </c>
      <c r="Y71" s="3">
        <v>1.9179999999999999</v>
      </c>
      <c r="Z71" t="s">
        <v>23</v>
      </c>
      <c r="AA71" t="s">
        <v>446</v>
      </c>
      <c r="AB71" t="s">
        <v>468</v>
      </c>
      <c r="AC71" t="s">
        <v>458</v>
      </c>
      <c r="AD71" t="s">
        <v>61</v>
      </c>
      <c r="AE71" t="s">
        <v>62</v>
      </c>
      <c r="AF71" t="s">
        <v>469</v>
      </c>
      <c r="AG71" t="s">
        <v>459</v>
      </c>
      <c r="AH71" t="s">
        <v>272</v>
      </c>
      <c r="AI71" t="s">
        <v>23</v>
      </c>
      <c r="AJ71" t="s">
        <v>190</v>
      </c>
      <c r="AK71" t="s">
        <v>191</v>
      </c>
      <c r="AL71" t="s">
        <v>460</v>
      </c>
      <c r="AM71" t="s">
        <v>461</v>
      </c>
      <c r="AN71" t="s">
        <v>118</v>
      </c>
      <c r="AO71" t="s">
        <v>71</v>
      </c>
      <c r="AP71" t="s">
        <v>450</v>
      </c>
      <c r="AQ71" t="s">
        <v>451</v>
      </c>
      <c r="AR71" t="s">
        <v>452</v>
      </c>
    </row>
    <row r="72" spans="1:44" x14ac:dyDescent="0.25">
      <c r="A72" t="s">
        <v>363</v>
      </c>
      <c r="B72" t="s">
        <v>453</v>
      </c>
      <c r="C72" t="s">
        <v>44</v>
      </c>
      <c r="D72" t="s">
        <v>436</v>
      </c>
      <c r="E72" t="s">
        <v>437</v>
      </c>
      <c r="F72" t="s">
        <v>438</v>
      </c>
      <c r="G72" t="s">
        <v>439</v>
      </c>
      <c r="H72" t="s">
        <v>260</v>
      </c>
      <c r="I72" t="s">
        <v>261</v>
      </c>
      <c r="J72" t="s">
        <v>470</v>
      </c>
      <c r="K72" t="s">
        <v>471</v>
      </c>
      <c r="L72" t="s">
        <v>472</v>
      </c>
      <c r="M72" t="s">
        <v>23</v>
      </c>
      <c r="N72" t="s">
        <v>54</v>
      </c>
      <c r="O72" t="s">
        <v>122</v>
      </c>
      <c r="P72" t="s">
        <v>106</v>
      </c>
      <c r="Q72" t="s">
        <v>138</v>
      </c>
      <c r="R72" s="3">
        <v>0.04</v>
      </c>
      <c r="S72" t="s">
        <v>23</v>
      </c>
      <c r="T72" t="s">
        <v>23</v>
      </c>
      <c r="U72" s="3">
        <v>0.17899999999999999</v>
      </c>
      <c r="V72" t="s">
        <v>23</v>
      </c>
      <c r="W72" t="s">
        <v>23</v>
      </c>
      <c r="X72" s="3">
        <v>0</v>
      </c>
      <c r="Y72" s="3">
        <v>1.9179999999999999</v>
      </c>
      <c r="Z72" t="s">
        <v>23</v>
      </c>
      <c r="AA72" t="s">
        <v>446</v>
      </c>
      <c r="AB72" t="s">
        <v>473</v>
      </c>
      <c r="AC72" t="s">
        <v>458</v>
      </c>
      <c r="AD72" t="s">
        <v>61</v>
      </c>
      <c r="AE72" t="s">
        <v>62</v>
      </c>
      <c r="AF72" t="s">
        <v>474</v>
      </c>
      <c r="AG72" t="s">
        <v>459</v>
      </c>
      <c r="AH72" t="s">
        <v>272</v>
      </c>
      <c r="AI72" t="s">
        <v>23</v>
      </c>
      <c r="AJ72" t="s">
        <v>373</v>
      </c>
      <c r="AK72" t="s">
        <v>374</v>
      </c>
      <c r="AL72" t="s">
        <v>460</v>
      </c>
      <c r="AM72" t="s">
        <v>461</v>
      </c>
      <c r="AN72" t="s">
        <v>118</v>
      </c>
      <c r="AO72" t="s">
        <v>71</v>
      </c>
      <c r="AP72" t="s">
        <v>450</v>
      </c>
      <c r="AQ72" t="s">
        <v>451</v>
      </c>
      <c r="AR72" t="s">
        <v>452</v>
      </c>
    </row>
    <row r="73" spans="1:44" x14ac:dyDescent="0.25">
      <c r="A73" t="s">
        <v>363</v>
      </c>
      <c r="B73" t="s">
        <v>453</v>
      </c>
      <c r="C73" t="s">
        <v>44</v>
      </c>
      <c r="D73" t="s">
        <v>436</v>
      </c>
      <c r="E73" t="s">
        <v>437</v>
      </c>
      <c r="F73" t="s">
        <v>438</v>
      </c>
      <c r="G73" t="s">
        <v>439</v>
      </c>
      <c r="H73" t="s">
        <v>260</v>
      </c>
      <c r="I73" t="s">
        <v>261</v>
      </c>
      <c r="J73" t="s">
        <v>475</v>
      </c>
      <c r="K73" t="s">
        <v>476</v>
      </c>
      <c r="L73" t="s">
        <v>477</v>
      </c>
      <c r="M73" t="s">
        <v>23</v>
      </c>
      <c r="N73" t="s">
        <v>54</v>
      </c>
      <c r="O73" t="s">
        <v>75</v>
      </c>
      <c r="P73" t="s">
        <v>106</v>
      </c>
      <c r="Q73" t="s">
        <v>164</v>
      </c>
      <c r="R73" s="3">
        <v>0.02</v>
      </c>
      <c r="S73" t="s">
        <v>23</v>
      </c>
      <c r="T73" t="s">
        <v>23</v>
      </c>
      <c r="U73" s="3">
        <v>0</v>
      </c>
      <c r="V73" t="s">
        <v>23</v>
      </c>
      <c r="W73" t="s">
        <v>23</v>
      </c>
      <c r="X73" s="3">
        <v>0</v>
      </c>
      <c r="Y73" s="3">
        <v>1.9179999999999999</v>
      </c>
      <c r="Z73" t="s">
        <v>23</v>
      </c>
      <c r="AA73" t="s">
        <v>446</v>
      </c>
      <c r="AB73" t="s">
        <v>473</v>
      </c>
      <c r="AC73" t="s">
        <v>458</v>
      </c>
      <c r="AD73" t="s">
        <v>61</v>
      </c>
      <c r="AE73" t="s">
        <v>62</v>
      </c>
      <c r="AF73" t="s">
        <v>474</v>
      </c>
      <c r="AG73" t="s">
        <v>459</v>
      </c>
      <c r="AH73" t="s">
        <v>272</v>
      </c>
      <c r="AI73" t="s">
        <v>23</v>
      </c>
      <c r="AJ73" t="s">
        <v>373</v>
      </c>
      <c r="AK73" t="s">
        <v>374</v>
      </c>
      <c r="AL73" t="s">
        <v>460</v>
      </c>
      <c r="AM73" t="s">
        <v>461</v>
      </c>
      <c r="AN73" t="s">
        <v>118</v>
      </c>
      <c r="AO73" t="s">
        <v>71</v>
      </c>
      <c r="AP73" t="s">
        <v>450</v>
      </c>
      <c r="AQ73" t="s">
        <v>451</v>
      </c>
      <c r="AR73" t="s">
        <v>452</v>
      </c>
    </row>
    <row r="74" spans="1:44" x14ac:dyDescent="0.25">
      <c r="A74" t="s">
        <v>363</v>
      </c>
      <c r="B74" t="s">
        <v>453</v>
      </c>
      <c r="C74" t="s">
        <v>44</v>
      </c>
      <c r="D74" t="s">
        <v>436</v>
      </c>
      <c r="E74" t="s">
        <v>437</v>
      </c>
      <c r="F74" t="s">
        <v>438</v>
      </c>
      <c r="G74" t="s">
        <v>439</v>
      </c>
      <c r="H74" t="s">
        <v>260</v>
      </c>
      <c r="I74" t="s">
        <v>261</v>
      </c>
      <c r="J74" t="s">
        <v>478</v>
      </c>
      <c r="K74" t="s">
        <v>479</v>
      </c>
      <c r="L74" t="s">
        <v>480</v>
      </c>
      <c r="M74" t="s">
        <v>23</v>
      </c>
      <c r="N74" t="s">
        <v>92</v>
      </c>
      <c r="O74" t="s">
        <v>195</v>
      </c>
      <c r="P74" t="s">
        <v>106</v>
      </c>
      <c r="Q74" t="s">
        <v>94</v>
      </c>
      <c r="R74" s="3">
        <v>0.05</v>
      </c>
      <c r="S74" t="s">
        <v>23</v>
      </c>
      <c r="T74" t="s">
        <v>23</v>
      </c>
      <c r="U74" s="3">
        <v>0</v>
      </c>
      <c r="V74" t="s">
        <v>23</v>
      </c>
      <c r="W74" t="s">
        <v>23</v>
      </c>
      <c r="X74" s="3">
        <v>0</v>
      </c>
      <c r="Y74" s="3">
        <v>1.9179999999999999</v>
      </c>
      <c r="Z74" t="s">
        <v>23</v>
      </c>
      <c r="AA74" t="s">
        <v>446</v>
      </c>
      <c r="AB74" t="s">
        <v>473</v>
      </c>
      <c r="AC74" t="s">
        <v>458</v>
      </c>
      <c r="AD74" t="s">
        <v>61</v>
      </c>
      <c r="AE74" t="s">
        <v>62</v>
      </c>
      <c r="AF74" t="s">
        <v>474</v>
      </c>
      <c r="AG74" t="s">
        <v>459</v>
      </c>
      <c r="AH74" t="s">
        <v>272</v>
      </c>
      <c r="AI74" t="s">
        <v>23</v>
      </c>
      <c r="AJ74" t="s">
        <v>373</v>
      </c>
      <c r="AK74" t="s">
        <v>374</v>
      </c>
      <c r="AL74" t="s">
        <v>460</v>
      </c>
      <c r="AM74" t="s">
        <v>461</v>
      </c>
      <c r="AN74" t="s">
        <v>118</v>
      </c>
      <c r="AO74" t="s">
        <v>71</v>
      </c>
      <c r="AP74" t="s">
        <v>450</v>
      </c>
      <c r="AQ74" t="s">
        <v>451</v>
      </c>
      <c r="AR74" t="s">
        <v>452</v>
      </c>
    </row>
    <row r="75" spans="1:44" x14ac:dyDescent="0.25">
      <c r="A75" t="s">
        <v>363</v>
      </c>
      <c r="B75" t="s">
        <v>453</v>
      </c>
      <c r="C75" t="s">
        <v>44</v>
      </c>
      <c r="D75" t="s">
        <v>436</v>
      </c>
      <c r="E75" t="s">
        <v>437</v>
      </c>
      <c r="F75" t="s">
        <v>438</v>
      </c>
      <c r="G75" t="s">
        <v>439</v>
      </c>
      <c r="H75" t="s">
        <v>260</v>
      </c>
      <c r="I75" t="s">
        <v>261</v>
      </c>
      <c r="J75" t="s">
        <v>387</v>
      </c>
      <c r="K75" t="s">
        <v>388</v>
      </c>
      <c r="L75" t="s">
        <v>389</v>
      </c>
      <c r="M75" t="s">
        <v>23</v>
      </c>
      <c r="N75" t="s">
        <v>54</v>
      </c>
      <c r="O75" t="s">
        <v>122</v>
      </c>
      <c r="P75" t="s">
        <v>382</v>
      </c>
      <c r="Q75" t="s">
        <v>249</v>
      </c>
      <c r="R75" s="3">
        <v>2.4E-2</v>
      </c>
      <c r="S75" t="s">
        <v>23</v>
      </c>
      <c r="T75" t="s">
        <v>23</v>
      </c>
      <c r="U75" s="3">
        <v>0</v>
      </c>
      <c r="V75" t="s">
        <v>23</v>
      </c>
      <c r="W75" t="s">
        <v>23</v>
      </c>
      <c r="X75" s="3">
        <v>0</v>
      </c>
      <c r="Y75" s="3">
        <v>1.9179999999999999</v>
      </c>
      <c r="Z75" t="s">
        <v>23</v>
      </c>
      <c r="AA75" t="s">
        <v>446</v>
      </c>
      <c r="AB75" t="s">
        <v>473</v>
      </c>
      <c r="AC75" t="s">
        <v>458</v>
      </c>
      <c r="AD75" t="s">
        <v>61</v>
      </c>
      <c r="AE75" t="s">
        <v>62</v>
      </c>
      <c r="AF75" t="s">
        <v>474</v>
      </c>
      <c r="AG75" t="s">
        <v>459</v>
      </c>
      <c r="AH75" t="s">
        <v>272</v>
      </c>
      <c r="AI75" t="s">
        <v>23</v>
      </c>
      <c r="AJ75" t="s">
        <v>373</v>
      </c>
      <c r="AK75" t="s">
        <v>374</v>
      </c>
      <c r="AL75" t="s">
        <v>460</v>
      </c>
      <c r="AM75" t="s">
        <v>461</v>
      </c>
      <c r="AN75" t="s">
        <v>118</v>
      </c>
      <c r="AO75" t="s">
        <v>71</v>
      </c>
      <c r="AP75" t="s">
        <v>450</v>
      </c>
      <c r="AQ75" t="s">
        <v>451</v>
      </c>
      <c r="AR75" t="s">
        <v>452</v>
      </c>
    </row>
    <row r="76" spans="1:44" x14ac:dyDescent="0.25">
      <c r="A76" t="s">
        <v>363</v>
      </c>
      <c r="B76" t="s">
        <v>453</v>
      </c>
      <c r="C76" t="s">
        <v>44</v>
      </c>
      <c r="D76" t="s">
        <v>436</v>
      </c>
      <c r="E76" t="s">
        <v>437</v>
      </c>
      <c r="F76" t="s">
        <v>438</v>
      </c>
      <c r="G76" t="s">
        <v>439</v>
      </c>
      <c r="H76" t="s">
        <v>260</v>
      </c>
      <c r="I76" t="s">
        <v>261</v>
      </c>
      <c r="J76" t="s">
        <v>481</v>
      </c>
      <c r="K76" t="s">
        <v>482</v>
      </c>
      <c r="L76" t="s">
        <v>483</v>
      </c>
      <c r="M76" t="s">
        <v>23</v>
      </c>
      <c r="N76" t="s">
        <v>54</v>
      </c>
      <c r="O76" t="s">
        <v>195</v>
      </c>
      <c r="P76" t="s">
        <v>187</v>
      </c>
      <c r="Q76" t="s">
        <v>337</v>
      </c>
      <c r="R76" s="3">
        <v>4.4999999999999998E-2</v>
      </c>
      <c r="S76" t="s">
        <v>23</v>
      </c>
      <c r="T76" t="s">
        <v>23</v>
      </c>
      <c r="U76" s="3">
        <v>0</v>
      </c>
      <c r="V76" t="s">
        <v>23</v>
      </c>
      <c r="W76" t="s">
        <v>23</v>
      </c>
      <c r="X76" s="3">
        <v>0</v>
      </c>
      <c r="Y76" s="3">
        <v>1.9179999999999999</v>
      </c>
      <c r="Z76" t="s">
        <v>23</v>
      </c>
      <c r="AA76" t="s">
        <v>446</v>
      </c>
      <c r="AB76" t="s">
        <v>473</v>
      </c>
      <c r="AC76" t="s">
        <v>458</v>
      </c>
      <c r="AD76" t="s">
        <v>61</v>
      </c>
      <c r="AE76" t="s">
        <v>62</v>
      </c>
      <c r="AF76" t="s">
        <v>474</v>
      </c>
      <c r="AG76" t="s">
        <v>459</v>
      </c>
      <c r="AH76" t="s">
        <v>272</v>
      </c>
      <c r="AI76" t="s">
        <v>23</v>
      </c>
      <c r="AJ76" t="s">
        <v>404</v>
      </c>
      <c r="AK76" t="s">
        <v>405</v>
      </c>
      <c r="AL76" t="s">
        <v>460</v>
      </c>
      <c r="AM76" t="s">
        <v>461</v>
      </c>
      <c r="AN76" t="s">
        <v>118</v>
      </c>
      <c r="AO76" t="s">
        <v>71</v>
      </c>
      <c r="AP76" t="s">
        <v>450</v>
      </c>
      <c r="AQ76" t="s">
        <v>451</v>
      </c>
      <c r="AR76" t="s">
        <v>452</v>
      </c>
    </row>
    <row r="77" spans="1:44" x14ac:dyDescent="0.25">
      <c r="A77" t="s">
        <v>311</v>
      </c>
      <c r="B77" t="s">
        <v>453</v>
      </c>
      <c r="C77" t="s">
        <v>44</v>
      </c>
      <c r="D77" t="s">
        <v>436</v>
      </c>
      <c r="E77" t="s">
        <v>437</v>
      </c>
      <c r="F77" t="s">
        <v>438</v>
      </c>
      <c r="G77" t="s">
        <v>439</v>
      </c>
      <c r="H77" t="s">
        <v>260</v>
      </c>
      <c r="I77" t="s">
        <v>261</v>
      </c>
      <c r="J77" t="s">
        <v>484</v>
      </c>
      <c r="K77" t="s">
        <v>485</v>
      </c>
      <c r="L77" t="s">
        <v>486</v>
      </c>
      <c r="M77" t="s">
        <v>23</v>
      </c>
      <c r="N77" t="s">
        <v>54</v>
      </c>
      <c r="O77" t="s">
        <v>75</v>
      </c>
      <c r="P77" t="s">
        <v>487</v>
      </c>
      <c r="Q77" t="s">
        <v>488</v>
      </c>
      <c r="R77" s="3">
        <v>2.5999999999999999E-2</v>
      </c>
      <c r="S77" t="s">
        <v>23</v>
      </c>
      <c r="T77" t="s">
        <v>23</v>
      </c>
      <c r="U77" t="s">
        <v>23</v>
      </c>
      <c r="V77" t="s">
        <v>23</v>
      </c>
      <c r="W77" s="3">
        <v>3.7999999999999999E-2</v>
      </c>
      <c r="X77" s="3">
        <v>0</v>
      </c>
      <c r="Y77" s="3">
        <v>1.9179999999999999</v>
      </c>
      <c r="Z77" t="s">
        <v>23</v>
      </c>
      <c r="AA77" t="s">
        <v>446</v>
      </c>
      <c r="AB77" t="s">
        <v>473</v>
      </c>
      <c r="AC77" t="s">
        <v>458</v>
      </c>
      <c r="AD77" t="s">
        <v>61</v>
      </c>
      <c r="AE77" t="s">
        <v>62</v>
      </c>
      <c r="AF77" t="s">
        <v>474</v>
      </c>
      <c r="AG77" t="s">
        <v>459</v>
      </c>
      <c r="AH77" t="s">
        <v>272</v>
      </c>
      <c r="AI77" t="s">
        <v>23</v>
      </c>
      <c r="AJ77" t="s">
        <v>323</v>
      </c>
      <c r="AK77" t="s">
        <v>324</v>
      </c>
      <c r="AL77" t="s">
        <v>460</v>
      </c>
      <c r="AM77" t="s">
        <v>461</v>
      </c>
      <c r="AN77" t="s">
        <v>118</v>
      </c>
      <c r="AO77" t="s">
        <v>71</v>
      </c>
      <c r="AP77" t="s">
        <v>450</v>
      </c>
      <c r="AQ77" t="s">
        <v>451</v>
      </c>
      <c r="AR77" t="s">
        <v>452</v>
      </c>
    </row>
    <row r="78" spans="1:44" x14ac:dyDescent="0.25">
      <c r="A78" t="s">
        <v>311</v>
      </c>
      <c r="B78" t="s">
        <v>453</v>
      </c>
      <c r="C78" t="s">
        <v>44</v>
      </c>
      <c r="D78" t="s">
        <v>436</v>
      </c>
      <c r="E78" t="s">
        <v>437</v>
      </c>
      <c r="F78" t="s">
        <v>438</v>
      </c>
      <c r="G78" t="s">
        <v>439</v>
      </c>
      <c r="H78" t="s">
        <v>260</v>
      </c>
      <c r="I78" t="s">
        <v>261</v>
      </c>
      <c r="J78" t="s">
        <v>489</v>
      </c>
      <c r="K78" t="s">
        <v>490</v>
      </c>
      <c r="L78" t="s">
        <v>491</v>
      </c>
      <c r="M78" t="s">
        <v>23</v>
      </c>
      <c r="N78" t="s">
        <v>54</v>
      </c>
      <c r="O78" t="s">
        <v>96</v>
      </c>
      <c r="P78" t="s">
        <v>196</v>
      </c>
      <c r="Q78" t="s">
        <v>196</v>
      </c>
      <c r="R78" s="3">
        <v>1.2E-2</v>
      </c>
      <c r="S78" t="s">
        <v>23</v>
      </c>
      <c r="T78" t="s">
        <v>23</v>
      </c>
      <c r="U78" t="s">
        <v>23</v>
      </c>
      <c r="V78" t="s">
        <v>23</v>
      </c>
      <c r="W78" s="3">
        <v>0</v>
      </c>
      <c r="X78" s="3">
        <v>0</v>
      </c>
      <c r="Y78" s="3">
        <v>1.9179999999999999</v>
      </c>
      <c r="Z78" t="s">
        <v>23</v>
      </c>
      <c r="AA78" t="s">
        <v>446</v>
      </c>
      <c r="AB78" t="s">
        <v>473</v>
      </c>
      <c r="AC78" t="s">
        <v>458</v>
      </c>
      <c r="AD78" t="s">
        <v>61</v>
      </c>
      <c r="AE78" t="s">
        <v>62</v>
      </c>
      <c r="AF78" t="s">
        <v>474</v>
      </c>
      <c r="AG78" t="s">
        <v>459</v>
      </c>
      <c r="AH78" t="s">
        <v>272</v>
      </c>
      <c r="AI78" t="s">
        <v>23</v>
      </c>
      <c r="AJ78" t="s">
        <v>323</v>
      </c>
      <c r="AK78" t="s">
        <v>324</v>
      </c>
      <c r="AL78" t="s">
        <v>460</v>
      </c>
      <c r="AM78" t="s">
        <v>461</v>
      </c>
      <c r="AN78" t="s">
        <v>118</v>
      </c>
      <c r="AO78" t="s">
        <v>71</v>
      </c>
      <c r="AP78" t="s">
        <v>450</v>
      </c>
      <c r="AQ78" t="s">
        <v>451</v>
      </c>
      <c r="AR78" t="s">
        <v>452</v>
      </c>
    </row>
    <row r="79" spans="1:44" x14ac:dyDescent="0.25">
      <c r="A79" t="s">
        <v>311</v>
      </c>
      <c r="B79" t="s">
        <v>492</v>
      </c>
      <c r="C79" t="s">
        <v>44</v>
      </c>
      <c r="D79" t="s">
        <v>436</v>
      </c>
      <c r="E79" t="s">
        <v>437</v>
      </c>
      <c r="F79" t="s">
        <v>438</v>
      </c>
      <c r="G79" t="s">
        <v>439</v>
      </c>
      <c r="H79" t="s">
        <v>260</v>
      </c>
      <c r="I79" t="s">
        <v>261</v>
      </c>
      <c r="J79" t="s">
        <v>493</v>
      </c>
      <c r="K79" t="s">
        <v>494</v>
      </c>
      <c r="L79" t="s">
        <v>495</v>
      </c>
      <c r="M79" t="s">
        <v>23</v>
      </c>
      <c r="N79" t="s">
        <v>496</v>
      </c>
      <c r="O79" t="s">
        <v>75</v>
      </c>
      <c r="P79" t="s">
        <v>497</v>
      </c>
      <c r="Q79" t="s">
        <v>497</v>
      </c>
      <c r="R79" s="3">
        <v>0</v>
      </c>
      <c r="S79" t="s">
        <v>23</v>
      </c>
      <c r="T79" t="s">
        <v>23</v>
      </c>
      <c r="U79" t="s">
        <v>23</v>
      </c>
      <c r="V79" t="s">
        <v>23</v>
      </c>
      <c r="W79" s="3">
        <v>0</v>
      </c>
      <c r="X79" s="3">
        <v>0</v>
      </c>
      <c r="Y79" s="3">
        <v>1.9179999999999999</v>
      </c>
      <c r="Z79" t="s">
        <v>23</v>
      </c>
      <c r="AA79" t="s">
        <v>446</v>
      </c>
      <c r="AB79" t="s">
        <v>473</v>
      </c>
      <c r="AC79" t="s">
        <v>498</v>
      </c>
      <c r="AD79" t="s">
        <v>61</v>
      </c>
      <c r="AE79" t="s">
        <v>62</v>
      </c>
      <c r="AF79" t="s">
        <v>474</v>
      </c>
      <c r="AG79" t="s">
        <v>459</v>
      </c>
      <c r="AH79" t="s">
        <v>272</v>
      </c>
      <c r="AI79" t="s">
        <v>23</v>
      </c>
      <c r="AJ79" t="s">
        <v>323</v>
      </c>
      <c r="AK79" t="s">
        <v>324</v>
      </c>
      <c r="AL79" t="s">
        <v>499</v>
      </c>
      <c r="AM79" t="s">
        <v>500</v>
      </c>
      <c r="AN79" t="s">
        <v>118</v>
      </c>
      <c r="AO79" t="s">
        <v>501</v>
      </c>
      <c r="AP79" t="s">
        <v>450</v>
      </c>
      <c r="AQ79" t="s">
        <v>451</v>
      </c>
      <c r="AR79" t="s">
        <v>452</v>
      </c>
    </row>
    <row r="80" spans="1:44" x14ac:dyDescent="0.25">
      <c r="A80" s="4" t="s">
        <v>23</v>
      </c>
      <c r="B80" s="4" t="s">
        <v>23</v>
      </c>
      <c r="C80" s="4" t="s">
        <v>23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5">
        <v>1.9179999999999999</v>
      </c>
      <c r="S80" s="5">
        <v>1.5129999999999999</v>
      </c>
      <c r="T80" s="4" t="s">
        <v>23</v>
      </c>
      <c r="U80" s="5">
        <v>0.17899999999999999</v>
      </c>
      <c r="V80" s="5">
        <v>0.188</v>
      </c>
      <c r="W80" s="5">
        <v>3.7999999999999999E-2</v>
      </c>
      <c r="X80" s="5">
        <v>1.9179999999999999</v>
      </c>
      <c r="Y80" s="5">
        <v>1.9179999999999999</v>
      </c>
      <c r="Z80" s="4" t="s">
        <v>23</v>
      </c>
      <c r="AA80" s="4" t="s">
        <v>23</v>
      </c>
      <c r="AB80" s="4" t="s">
        <v>23</v>
      </c>
      <c r="AC80" s="4" t="s">
        <v>23</v>
      </c>
      <c r="AD80" s="4" t="s">
        <v>23</v>
      </c>
      <c r="AE80" s="4" t="s">
        <v>23</v>
      </c>
      <c r="AF80" s="4" t="s">
        <v>23</v>
      </c>
      <c r="AG80" s="4" t="s">
        <v>23</v>
      </c>
      <c r="AH80" s="4" t="s">
        <v>23</v>
      </c>
      <c r="AI80" s="4" t="s">
        <v>23</v>
      </c>
      <c r="AJ80" s="4" t="s">
        <v>23</v>
      </c>
      <c r="AK80" s="4" t="s">
        <v>23</v>
      </c>
      <c r="AL80" s="4" t="s">
        <v>23</v>
      </c>
      <c r="AM80" s="4" t="s">
        <v>23</v>
      </c>
      <c r="AN80" s="4" t="s">
        <v>23</v>
      </c>
      <c r="AO80" s="4" t="s">
        <v>23</v>
      </c>
      <c r="AP80" s="4" t="s">
        <v>23</v>
      </c>
      <c r="AQ80" s="4" t="s">
        <v>23</v>
      </c>
      <c r="AR80" s="4" t="s">
        <v>23</v>
      </c>
    </row>
    <row r="81" spans="1:44" x14ac:dyDescent="0.25">
      <c r="A81" t="s">
        <v>101</v>
      </c>
      <c r="B81" t="s">
        <v>502</v>
      </c>
      <c r="C81" t="s">
        <v>44</v>
      </c>
      <c r="D81" t="s">
        <v>436</v>
      </c>
      <c r="E81" t="s">
        <v>503</v>
      </c>
      <c r="F81" t="s">
        <v>504</v>
      </c>
      <c r="G81" t="s">
        <v>505</v>
      </c>
      <c r="H81" t="s">
        <v>260</v>
      </c>
      <c r="I81" t="s">
        <v>261</v>
      </c>
      <c r="J81" t="s">
        <v>425</v>
      </c>
      <c r="K81" t="s">
        <v>426</v>
      </c>
      <c r="L81" t="s">
        <v>427</v>
      </c>
      <c r="M81" t="s">
        <v>23</v>
      </c>
      <c r="N81" t="s">
        <v>428</v>
      </c>
      <c r="O81" t="s">
        <v>506</v>
      </c>
      <c r="P81" t="s">
        <v>93</v>
      </c>
      <c r="Q81" t="s">
        <v>507</v>
      </c>
      <c r="R81" s="3">
        <v>1.8</v>
      </c>
      <c r="S81" s="3">
        <v>1.8</v>
      </c>
      <c r="T81" t="s">
        <v>23</v>
      </c>
      <c r="U81" t="s">
        <v>23</v>
      </c>
      <c r="V81" t="s">
        <v>23</v>
      </c>
      <c r="W81" t="s">
        <v>23</v>
      </c>
      <c r="X81" s="3">
        <v>1.8</v>
      </c>
      <c r="Y81" s="3">
        <v>1.8</v>
      </c>
      <c r="Z81" t="s">
        <v>23</v>
      </c>
      <c r="AA81" t="s">
        <v>508</v>
      </c>
      <c r="AB81" t="s">
        <v>283</v>
      </c>
      <c r="AC81" t="s">
        <v>509</v>
      </c>
      <c r="AD81" t="s">
        <v>61</v>
      </c>
      <c r="AE81" t="s">
        <v>62</v>
      </c>
      <c r="AF81" t="s">
        <v>285</v>
      </c>
      <c r="AG81" t="s">
        <v>112</v>
      </c>
      <c r="AH81" t="s">
        <v>272</v>
      </c>
      <c r="AI81" t="s">
        <v>23</v>
      </c>
      <c r="AJ81" t="s">
        <v>114</v>
      </c>
      <c r="AK81" t="s">
        <v>115</v>
      </c>
      <c r="AL81" t="s">
        <v>510</v>
      </c>
      <c r="AM81" t="s">
        <v>511</v>
      </c>
      <c r="AN81" t="s">
        <v>118</v>
      </c>
      <c r="AO81" t="s">
        <v>71</v>
      </c>
      <c r="AP81" t="s">
        <v>23</v>
      </c>
      <c r="AQ81" t="s">
        <v>23</v>
      </c>
      <c r="AR81" t="s">
        <v>23</v>
      </c>
    </row>
    <row r="82" spans="1:44" x14ac:dyDescent="0.25">
      <c r="A82" s="4" t="s">
        <v>23</v>
      </c>
      <c r="B82" s="4" t="s">
        <v>23</v>
      </c>
      <c r="C82" s="4" t="s">
        <v>23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5">
        <v>1.8</v>
      </c>
      <c r="S82" s="5">
        <v>1.8</v>
      </c>
      <c r="T82" s="4" t="s">
        <v>23</v>
      </c>
      <c r="U82" s="4" t="s">
        <v>23</v>
      </c>
      <c r="V82" s="4" t="s">
        <v>23</v>
      </c>
      <c r="W82" s="4" t="s">
        <v>23</v>
      </c>
      <c r="X82" s="5">
        <v>1.8</v>
      </c>
      <c r="Y82" s="5">
        <v>1.8</v>
      </c>
      <c r="Z82" s="4" t="s">
        <v>23</v>
      </c>
      <c r="AA82" s="4" t="s">
        <v>23</v>
      </c>
      <c r="AB82" s="4" t="s">
        <v>23</v>
      </c>
      <c r="AC82" s="4" t="s">
        <v>23</v>
      </c>
      <c r="AD82" s="4" t="s">
        <v>23</v>
      </c>
      <c r="AE82" s="4" t="s">
        <v>23</v>
      </c>
      <c r="AF82" s="4" t="s">
        <v>23</v>
      </c>
      <c r="AG82" s="4" t="s">
        <v>23</v>
      </c>
      <c r="AH82" s="4" t="s">
        <v>23</v>
      </c>
      <c r="AI82" s="4" t="s">
        <v>23</v>
      </c>
      <c r="AJ82" s="4" t="s">
        <v>23</v>
      </c>
      <c r="AK82" s="4" t="s">
        <v>23</v>
      </c>
      <c r="AL82" s="4" t="s">
        <v>23</v>
      </c>
      <c r="AM82" s="4" t="s">
        <v>23</v>
      </c>
      <c r="AN82" s="4" t="s">
        <v>23</v>
      </c>
      <c r="AO82" s="4" t="s">
        <v>23</v>
      </c>
      <c r="AP82" s="4" t="s">
        <v>23</v>
      </c>
      <c r="AQ82" s="4" t="s">
        <v>23</v>
      </c>
      <c r="AR82" s="4" t="s">
        <v>23</v>
      </c>
    </row>
    <row r="83" spans="1:44" x14ac:dyDescent="0.25">
      <c r="A83" t="s">
        <v>101</v>
      </c>
      <c r="B83" t="s">
        <v>512</v>
      </c>
      <c r="C83" t="s">
        <v>44</v>
      </c>
      <c r="D83" t="s">
        <v>513</v>
      </c>
      <c r="E83" t="s">
        <v>514</v>
      </c>
      <c r="F83" t="s">
        <v>515</v>
      </c>
      <c r="G83" t="s">
        <v>516</v>
      </c>
      <c r="H83" t="s">
        <v>260</v>
      </c>
      <c r="I83" t="s">
        <v>261</v>
      </c>
      <c r="J83" t="s">
        <v>125</v>
      </c>
      <c r="K83" t="s">
        <v>126</v>
      </c>
      <c r="L83" t="s">
        <v>127</v>
      </c>
      <c r="M83" t="s">
        <v>517</v>
      </c>
      <c r="N83" t="s">
        <v>54</v>
      </c>
      <c r="O83" t="s">
        <v>518</v>
      </c>
      <c r="P83" t="s">
        <v>107</v>
      </c>
      <c r="Q83" t="s">
        <v>519</v>
      </c>
      <c r="R83" s="3">
        <v>1.31</v>
      </c>
      <c r="S83" s="3">
        <v>1.31</v>
      </c>
      <c r="T83" t="s">
        <v>23</v>
      </c>
      <c r="U83" t="s">
        <v>23</v>
      </c>
      <c r="V83" t="s">
        <v>23</v>
      </c>
      <c r="W83" t="s">
        <v>23</v>
      </c>
      <c r="X83" s="3">
        <v>1.31</v>
      </c>
      <c r="Y83" s="3">
        <v>1.31</v>
      </c>
      <c r="Z83" t="s">
        <v>23</v>
      </c>
      <c r="AA83" t="s">
        <v>520</v>
      </c>
      <c r="AB83" t="s">
        <v>283</v>
      </c>
      <c r="AC83" t="s">
        <v>521</v>
      </c>
      <c r="AD83" t="s">
        <v>61</v>
      </c>
      <c r="AE83" t="s">
        <v>522</v>
      </c>
      <c r="AF83" t="s">
        <v>285</v>
      </c>
      <c r="AG83" t="s">
        <v>112</v>
      </c>
      <c r="AH83" t="s">
        <v>272</v>
      </c>
      <c r="AI83" t="s">
        <v>523</v>
      </c>
      <c r="AJ83" t="s">
        <v>114</v>
      </c>
      <c r="AK83" t="s">
        <v>115</v>
      </c>
      <c r="AL83" t="s">
        <v>524</v>
      </c>
      <c r="AM83" t="s">
        <v>525</v>
      </c>
      <c r="AN83" t="s">
        <v>118</v>
      </c>
      <c r="AO83" t="s">
        <v>71</v>
      </c>
      <c r="AP83" t="s">
        <v>526</v>
      </c>
      <c r="AQ83" t="s">
        <v>527</v>
      </c>
      <c r="AR83" t="s">
        <v>528</v>
      </c>
    </row>
    <row r="84" spans="1:44" x14ac:dyDescent="0.25">
      <c r="A84" s="4" t="s">
        <v>23</v>
      </c>
      <c r="B84" s="4" t="s">
        <v>23</v>
      </c>
      <c r="C84" s="4" t="s">
        <v>23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5">
        <v>1.31</v>
      </c>
      <c r="S84" s="5">
        <v>1.31</v>
      </c>
      <c r="T84" s="4" t="s">
        <v>23</v>
      </c>
      <c r="U84" s="4" t="s">
        <v>23</v>
      </c>
      <c r="V84" s="4" t="s">
        <v>23</v>
      </c>
      <c r="W84" s="4" t="s">
        <v>23</v>
      </c>
      <c r="X84" s="5">
        <v>1.31</v>
      </c>
      <c r="Y84" s="5">
        <v>1.31</v>
      </c>
      <c r="Z84" s="4" t="s">
        <v>23</v>
      </c>
      <c r="AA84" s="4" t="s">
        <v>23</v>
      </c>
      <c r="AB84" s="4" t="s">
        <v>23</v>
      </c>
      <c r="AC84" s="4" t="s">
        <v>23</v>
      </c>
      <c r="AD84" s="4" t="s">
        <v>23</v>
      </c>
      <c r="AE84" s="4" t="s">
        <v>23</v>
      </c>
      <c r="AF84" s="4" t="s">
        <v>23</v>
      </c>
      <c r="AG84" s="4" t="s">
        <v>23</v>
      </c>
      <c r="AH84" s="4" t="s">
        <v>23</v>
      </c>
      <c r="AI84" s="4" t="s">
        <v>23</v>
      </c>
      <c r="AJ84" s="4" t="s">
        <v>23</v>
      </c>
      <c r="AK84" s="4" t="s">
        <v>23</v>
      </c>
      <c r="AL84" s="4" t="s">
        <v>23</v>
      </c>
      <c r="AM84" s="4" t="s">
        <v>23</v>
      </c>
      <c r="AN84" s="4" t="s">
        <v>23</v>
      </c>
      <c r="AO84" s="4" t="s">
        <v>23</v>
      </c>
      <c r="AP84" s="4" t="s">
        <v>23</v>
      </c>
      <c r="AQ84" s="4" t="s">
        <v>23</v>
      </c>
      <c r="AR84" s="4" t="s">
        <v>23</v>
      </c>
    </row>
    <row r="85" spans="1:44" x14ac:dyDescent="0.25">
      <c r="A85" t="s">
        <v>21</v>
      </c>
      <c r="B85" t="s">
        <v>529</v>
      </c>
      <c r="C85" t="s">
        <v>44</v>
      </c>
      <c r="D85" t="s">
        <v>513</v>
      </c>
      <c r="E85" t="s">
        <v>530</v>
      </c>
      <c r="F85" t="s">
        <v>531</v>
      </c>
      <c r="G85" t="s">
        <v>532</v>
      </c>
      <c r="H85" t="s">
        <v>260</v>
      </c>
      <c r="I85" t="s">
        <v>261</v>
      </c>
      <c r="J85" t="s">
        <v>533</v>
      </c>
      <c r="K85" t="s">
        <v>534</v>
      </c>
      <c r="L85" t="s">
        <v>535</v>
      </c>
      <c r="M85" t="s">
        <v>536</v>
      </c>
      <c r="N85" t="s">
        <v>54</v>
      </c>
      <c r="O85" t="s">
        <v>106</v>
      </c>
      <c r="P85" t="s">
        <v>537</v>
      </c>
      <c r="Q85" t="s">
        <v>538</v>
      </c>
      <c r="R85" s="3">
        <v>4.9000000000000002E-2</v>
      </c>
      <c r="S85" t="s">
        <v>23</v>
      </c>
      <c r="T85" t="s">
        <v>23</v>
      </c>
      <c r="U85" t="s">
        <v>23</v>
      </c>
      <c r="V85" s="3">
        <v>0.309</v>
      </c>
      <c r="W85" t="s">
        <v>23</v>
      </c>
      <c r="X85" s="3">
        <v>1.7729999999999999</v>
      </c>
      <c r="Y85" s="3">
        <v>1.7729999999999999</v>
      </c>
      <c r="Z85" t="s">
        <v>23</v>
      </c>
      <c r="AA85" t="s">
        <v>539</v>
      </c>
      <c r="AB85" t="s">
        <v>59</v>
      </c>
      <c r="AC85" t="s">
        <v>540</v>
      </c>
      <c r="AD85" t="s">
        <v>61</v>
      </c>
      <c r="AE85" t="s">
        <v>522</v>
      </c>
      <c r="AF85" t="s">
        <v>63</v>
      </c>
      <c r="AG85" t="s">
        <v>64</v>
      </c>
      <c r="AH85" t="s">
        <v>65</v>
      </c>
      <c r="AI85" t="s">
        <v>541</v>
      </c>
      <c r="AJ85" t="s">
        <v>66</v>
      </c>
      <c r="AK85" t="s">
        <v>67</v>
      </c>
      <c r="AL85" t="s">
        <v>542</v>
      </c>
      <c r="AM85" t="s">
        <v>543</v>
      </c>
      <c r="AN85" t="s">
        <v>70</v>
      </c>
      <c r="AO85" t="s">
        <v>71</v>
      </c>
      <c r="AP85" t="s">
        <v>544</v>
      </c>
      <c r="AQ85" t="s">
        <v>545</v>
      </c>
      <c r="AR85" t="s">
        <v>546</v>
      </c>
    </row>
    <row r="86" spans="1:44" x14ac:dyDescent="0.25">
      <c r="A86" t="s">
        <v>21</v>
      </c>
      <c r="B86" t="s">
        <v>529</v>
      </c>
      <c r="C86" t="s">
        <v>44</v>
      </c>
      <c r="D86" t="s">
        <v>513</v>
      </c>
      <c r="E86" t="s">
        <v>530</v>
      </c>
      <c r="F86" t="s">
        <v>531</v>
      </c>
      <c r="G86" t="s">
        <v>532</v>
      </c>
      <c r="H86" t="s">
        <v>260</v>
      </c>
      <c r="I86" t="s">
        <v>261</v>
      </c>
      <c r="J86" t="s">
        <v>547</v>
      </c>
      <c r="K86" t="s">
        <v>548</v>
      </c>
      <c r="L86" t="s">
        <v>549</v>
      </c>
      <c r="M86" t="s">
        <v>536</v>
      </c>
      <c r="N86" t="s">
        <v>54</v>
      </c>
      <c r="O86" t="s">
        <v>195</v>
      </c>
      <c r="P86" t="s">
        <v>550</v>
      </c>
      <c r="Q86" t="s">
        <v>551</v>
      </c>
      <c r="R86" s="3">
        <v>2.5000000000000001E-2</v>
      </c>
      <c r="S86" t="s">
        <v>23</v>
      </c>
      <c r="T86" t="s">
        <v>23</v>
      </c>
      <c r="U86" t="s">
        <v>23</v>
      </c>
      <c r="V86" s="3">
        <v>0</v>
      </c>
      <c r="W86" t="s">
        <v>23</v>
      </c>
      <c r="X86" s="3">
        <v>0</v>
      </c>
      <c r="Y86" s="3">
        <v>1.7729999999999999</v>
      </c>
      <c r="Z86" t="s">
        <v>23</v>
      </c>
      <c r="AA86" t="s">
        <v>539</v>
      </c>
      <c r="AB86" t="s">
        <v>59</v>
      </c>
      <c r="AC86" t="s">
        <v>540</v>
      </c>
      <c r="AD86" t="s">
        <v>61</v>
      </c>
      <c r="AE86" t="s">
        <v>522</v>
      </c>
      <c r="AF86" t="s">
        <v>63</v>
      </c>
      <c r="AG86" t="s">
        <v>64</v>
      </c>
      <c r="AH86" t="s">
        <v>65</v>
      </c>
      <c r="AI86" t="s">
        <v>541</v>
      </c>
      <c r="AJ86" t="s">
        <v>66</v>
      </c>
      <c r="AK86" t="s">
        <v>67</v>
      </c>
      <c r="AL86" t="s">
        <v>542</v>
      </c>
      <c r="AM86" t="s">
        <v>543</v>
      </c>
      <c r="AN86" t="s">
        <v>70</v>
      </c>
      <c r="AO86" t="s">
        <v>71</v>
      </c>
      <c r="AP86" t="s">
        <v>544</v>
      </c>
      <c r="AQ86" t="s">
        <v>545</v>
      </c>
      <c r="AR86" t="s">
        <v>546</v>
      </c>
    </row>
    <row r="87" spans="1:44" x14ac:dyDescent="0.25">
      <c r="A87" t="s">
        <v>21</v>
      </c>
      <c r="B87" t="s">
        <v>529</v>
      </c>
      <c r="C87" t="s">
        <v>44</v>
      </c>
      <c r="D87" t="s">
        <v>513</v>
      </c>
      <c r="E87" t="s">
        <v>530</v>
      </c>
      <c r="F87" t="s">
        <v>531</v>
      </c>
      <c r="G87" t="s">
        <v>532</v>
      </c>
      <c r="H87" t="s">
        <v>260</v>
      </c>
      <c r="I87" t="s">
        <v>261</v>
      </c>
      <c r="J87" t="s">
        <v>552</v>
      </c>
      <c r="K87" t="s">
        <v>553</v>
      </c>
      <c r="L87" t="s">
        <v>554</v>
      </c>
      <c r="M87" t="s">
        <v>536</v>
      </c>
      <c r="N87" t="s">
        <v>54</v>
      </c>
      <c r="O87" t="s">
        <v>106</v>
      </c>
      <c r="P87" t="s">
        <v>555</v>
      </c>
      <c r="Q87" t="s">
        <v>556</v>
      </c>
      <c r="R87" s="3">
        <v>0.05</v>
      </c>
      <c r="S87" t="s">
        <v>23</v>
      </c>
      <c r="T87" t="s">
        <v>23</v>
      </c>
      <c r="U87" t="s">
        <v>23</v>
      </c>
      <c r="V87" s="3">
        <v>0</v>
      </c>
      <c r="W87" t="s">
        <v>23</v>
      </c>
      <c r="X87" s="3">
        <v>0</v>
      </c>
      <c r="Y87" s="3">
        <v>1.7729999999999999</v>
      </c>
      <c r="Z87" t="s">
        <v>23</v>
      </c>
      <c r="AA87" t="s">
        <v>539</v>
      </c>
      <c r="AB87" t="s">
        <v>59</v>
      </c>
      <c r="AC87" t="s">
        <v>540</v>
      </c>
      <c r="AD87" t="s">
        <v>61</v>
      </c>
      <c r="AE87" t="s">
        <v>522</v>
      </c>
      <c r="AF87" t="s">
        <v>63</v>
      </c>
      <c r="AG87" t="s">
        <v>64</v>
      </c>
      <c r="AH87" t="s">
        <v>65</v>
      </c>
      <c r="AI87" t="s">
        <v>541</v>
      </c>
      <c r="AJ87" t="s">
        <v>66</v>
      </c>
      <c r="AK87" t="s">
        <v>67</v>
      </c>
      <c r="AL87" t="s">
        <v>542</v>
      </c>
      <c r="AM87" t="s">
        <v>543</v>
      </c>
      <c r="AN87" t="s">
        <v>70</v>
      </c>
      <c r="AO87" t="s">
        <v>71</v>
      </c>
      <c r="AP87" t="s">
        <v>544</v>
      </c>
      <c r="AQ87" t="s">
        <v>545</v>
      </c>
      <c r="AR87" t="s">
        <v>546</v>
      </c>
    </row>
    <row r="88" spans="1:44" x14ac:dyDescent="0.25">
      <c r="A88" t="s">
        <v>21</v>
      </c>
      <c r="B88" t="s">
        <v>529</v>
      </c>
      <c r="C88" t="s">
        <v>44</v>
      </c>
      <c r="D88" t="s">
        <v>513</v>
      </c>
      <c r="E88" t="s">
        <v>530</v>
      </c>
      <c r="F88" t="s">
        <v>531</v>
      </c>
      <c r="G88" t="s">
        <v>532</v>
      </c>
      <c r="H88" t="s">
        <v>260</v>
      </c>
      <c r="I88" t="s">
        <v>261</v>
      </c>
      <c r="J88" t="s">
        <v>51</v>
      </c>
      <c r="K88" t="s">
        <v>52</v>
      </c>
      <c r="L88" t="s">
        <v>53</v>
      </c>
      <c r="M88" t="s">
        <v>536</v>
      </c>
      <c r="N88" t="s">
        <v>54</v>
      </c>
      <c r="O88" t="s">
        <v>106</v>
      </c>
      <c r="P88" t="s">
        <v>56</v>
      </c>
      <c r="Q88" t="s">
        <v>557</v>
      </c>
      <c r="R88" s="3">
        <v>0.123</v>
      </c>
      <c r="S88" t="s">
        <v>23</v>
      </c>
      <c r="T88" t="s">
        <v>23</v>
      </c>
      <c r="U88" t="s">
        <v>23</v>
      </c>
      <c r="V88" s="3">
        <v>0</v>
      </c>
      <c r="W88" t="s">
        <v>23</v>
      </c>
      <c r="X88" s="3">
        <v>0</v>
      </c>
      <c r="Y88" s="3">
        <v>1.7729999999999999</v>
      </c>
      <c r="Z88" t="s">
        <v>23</v>
      </c>
      <c r="AA88" t="s">
        <v>539</v>
      </c>
      <c r="AB88" t="s">
        <v>59</v>
      </c>
      <c r="AC88" t="s">
        <v>540</v>
      </c>
      <c r="AD88" t="s">
        <v>61</v>
      </c>
      <c r="AE88" t="s">
        <v>522</v>
      </c>
      <c r="AF88" t="s">
        <v>63</v>
      </c>
      <c r="AG88" t="s">
        <v>64</v>
      </c>
      <c r="AH88" t="s">
        <v>65</v>
      </c>
      <c r="AI88" t="s">
        <v>541</v>
      </c>
      <c r="AJ88" t="s">
        <v>66</v>
      </c>
      <c r="AK88" t="s">
        <v>67</v>
      </c>
      <c r="AL88" t="s">
        <v>542</v>
      </c>
      <c r="AM88" t="s">
        <v>543</v>
      </c>
      <c r="AN88" t="s">
        <v>70</v>
      </c>
      <c r="AO88" t="s">
        <v>71</v>
      </c>
      <c r="AP88" t="s">
        <v>544</v>
      </c>
      <c r="AQ88" t="s">
        <v>545</v>
      </c>
      <c r="AR88" t="s">
        <v>546</v>
      </c>
    </row>
    <row r="89" spans="1:44" x14ac:dyDescent="0.25">
      <c r="A89" t="s">
        <v>21</v>
      </c>
      <c r="B89" t="s">
        <v>529</v>
      </c>
      <c r="C89" t="s">
        <v>44</v>
      </c>
      <c r="D89" t="s">
        <v>513</v>
      </c>
      <c r="E89" t="s">
        <v>530</v>
      </c>
      <c r="F89" t="s">
        <v>531</v>
      </c>
      <c r="G89" t="s">
        <v>532</v>
      </c>
      <c r="H89" t="s">
        <v>260</v>
      </c>
      <c r="I89" t="s">
        <v>261</v>
      </c>
      <c r="J89" t="s">
        <v>558</v>
      </c>
      <c r="K89" t="s">
        <v>559</v>
      </c>
      <c r="L89" t="s">
        <v>560</v>
      </c>
      <c r="M89" t="s">
        <v>536</v>
      </c>
      <c r="N89" t="s">
        <v>54</v>
      </c>
      <c r="O89" t="s">
        <v>195</v>
      </c>
      <c r="P89" t="s">
        <v>56</v>
      </c>
      <c r="Q89" t="s">
        <v>561</v>
      </c>
      <c r="R89" s="3">
        <v>6.2E-2</v>
      </c>
      <c r="S89" t="s">
        <v>23</v>
      </c>
      <c r="T89" t="s">
        <v>23</v>
      </c>
      <c r="U89" t="s">
        <v>23</v>
      </c>
      <c r="V89" s="3">
        <v>0</v>
      </c>
      <c r="W89" t="s">
        <v>23</v>
      </c>
      <c r="X89" s="3">
        <v>0</v>
      </c>
      <c r="Y89" s="3">
        <v>1.7729999999999999</v>
      </c>
      <c r="Z89" t="s">
        <v>23</v>
      </c>
      <c r="AA89" t="s">
        <v>539</v>
      </c>
      <c r="AB89" t="s">
        <v>59</v>
      </c>
      <c r="AC89" t="s">
        <v>540</v>
      </c>
      <c r="AD89" t="s">
        <v>61</v>
      </c>
      <c r="AE89" t="s">
        <v>522</v>
      </c>
      <c r="AF89" t="s">
        <v>63</v>
      </c>
      <c r="AG89" t="s">
        <v>64</v>
      </c>
      <c r="AH89" t="s">
        <v>65</v>
      </c>
      <c r="AI89" t="s">
        <v>541</v>
      </c>
      <c r="AJ89" t="s">
        <v>66</v>
      </c>
      <c r="AK89" t="s">
        <v>67</v>
      </c>
      <c r="AL89" t="s">
        <v>542</v>
      </c>
      <c r="AM89" t="s">
        <v>543</v>
      </c>
      <c r="AN89" t="s">
        <v>70</v>
      </c>
      <c r="AO89" t="s">
        <v>71</v>
      </c>
      <c r="AP89" t="s">
        <v>544</v>
      </c>
      <c r="AQ89" t="s">
        <v>545</v>
      </c>
      <c r="AR89" t="s">
        <v>546</v>
      </c>
    </row>
    <row r="90" spans="1:44" x14ac:dyDescent="0.25">
      <c r="A90" t="s">
        <v>21</v>
      </c>
      <c r="B90" t="s">
        <v>562</v>
      </c>
      <c r="C90" t="s">
        <v>44</v>
      </c>
      <c r="D90" t="s">
        <v>513</v>
      </c>
      <c r="E90" t="s">
        <v>530</v>
      </c>
      <c r="F90" t="s">
        <v>531</v>
      </c>
      <c r="G90" t="s">
        <v>532</v>
      </c>
      <c r="H90" t="s">
        <v>260</v>
      </c>
      <c r="I90" t="s">
        <v>261</v>
      </c>
      <c r="J90" t="s">
        <v>533</v>
      </c>
      <c r="K90" t="s">
        <v>534</v>
      </c>
      <c r="L90" t="s">
        <v>535</v>
      </c>
      <c r="M90" t="s">
        <v>536</v>
      </c>
      <c r="N90" t="s">
        <v>54</v>
      </c>
      <c r="O90" t="s">
        <v>361</v>
      </c>
      <c r="P90" t="s">
        <v>537</v>
      </c>
      <c r="Q90" t="s">
        <v>563</v>
      </c>
      <c r="R90" s="3">
        <v>1.4999999999999999E-2</v>
      </c>
      <c r="S90" t="s">
        <v>23</v>
      </c>
      <c r="T90" t="s">
        <v>23</v>
      </c>
      <c r="U90" t="s">
        <v>23</v>
      </c>
      <c r="V90" s="3">
        <v>7.1999999999999995E-2</v>
      </c>
      <c r="W90" t="s">
        <v>23</v>
      </c>
      <c r="X90" s="3">
        <v>0</v>
      </c>
      <c r="Y90" s="3">
        <v>1.7729999999999999</v>
      </c>
      <c r="Z90" t="s">
        <v>23</v>
      </c>
      <c r="AA90" t="s">
        <v>539</v>
      </c>
      <c r="AB90" t="s">
        <v>59</v>
      </c>
      <c r="AC90" t="s">
        <v>564</v>
      </c>
      <c r="AD90" t="s">
        <v>61</v>
      </c>
      <c r="AE90" t="s">
        <v>522</v>
      </c>
      <c r="AF90" t="s">
        <v>63</v>
      </c>
      <c r="AG90" t="s">
        <v>64</v>
      </c>
      <c r="AH90" t="s">
        <v>65</v>
      </c>
      <c r="AI90" t="s">
        <v>541</v>
      </c>
      <c r="AJ90" t="s">
        <v>66</v>
      </c>
      <c r="AK90" t="s">
        <v>67</v>
      </c>
      <c r="AL90" t="s">
        <v>565</v>
      </c>
      <c r="AM90" t="s">
        <v>566</v>
      </c>
      <c r="AN90" t="s">
        <v>70</v>
      </c>
      <c r="AO90" t="s">
        <v>567</v>
      </c>
      <c r="AP90" t="s">
        <v>544</v>
      </c>
      <c r="AQ90" t="s">
        <v>545</v>
      </c>
      <c r="AR90" t="s">
        <v>546</v>
      </c>
    </row>
    <row r="91" spans="1:44" x14ac:dyDescent="0.25">
      <c r="A91" t="s">
        <v>21</v>
      </c>
      <c r="B91" t="s">
        <v>562</v>
      </c>
      <c r="C91" t="s">
        <v>44</v>
      </c>
      <c r="D91" t="s">
        <v>513</v>
      </c>
      <c r="E91" t="s">
        <v>530</v>
      </c>
      <c r="F91" t="s">
        <v>531</v>
      </c>
      <c r="G91" t="s">
        <v>532</v>
      </c>
      <c r="H91" t="s">
        <v>260</v>
      </c>
      <c r="I91" t="s">
        <v>261</v>
      </c>
      <c r="J91" t="s">
        <v>547</v>
      </c>
      <c r="K91" t="s">
        <v>548</v>
      </c>
      <c r="L91" t="s">
        <v>549</v>
      </c>
      <c r="M91" t="s">
        <v>536</v>
      </c>
      <c r="N91" t="s">
        <v>54</v>
      </c>
      <c r="O91" t="s">
        <v>96</v>
      </c>
      <c r="P91" t="s">
        <v>550</v>
      </c>
      <c r="Q91" t="s">
        <v>550</v>
      </c>
      <c r="R91" s="3">
        <v>5.0000000000000001E-3</v>
      </c>
      <c r="S91" t="s">
        <v>23</v>
      </c>
      <c r="T91" t="s">
        <v>23</v>
      </c>
      <c r="U91" t="s">
        <v>23</v>
      </c>
      <c r="V91" s="3">
        <v>0</v>
      </c>
      <c r="W91" t="s">
        <v>23</v>
      </c>
      <c r="X91" s="3">
        <v>0</v>
      </c>
      <c r="Y91" s="3">
        <v>1.7729999999999999</v>
      </c>
      <c r="Z91" t="s">
        <v>23</v>
      </c>
      <c r="AA91" t="s">
        <v>539</v>
      </c>
      <c r="AB91" t="s">
        <v>59</v>
      </c>
      <c r="AC91" t="s">
        <v>564</v>
      </c>
      <c r="AD91" t="s">
        <v>61</v>
      </c>
      <c r="AE91" t="s">
        <v>522</v>
      </c>
      <c r="AF91" t="s">
        <v>63</v>
      </c>
      <c r="AG91" t="s">
        <v>64</v>
      </c>
      <c r="AH91" t="s">
        <v>65</v>
      </c>
      <c r="AI91" t="s">
        <v>541</v>
      </c>
      <c r="AJ91" t="s">
        <v>66</v>
      </c>
      <c r="AK91" t="s">
        <v>67</v>
      </c>
      <c r="AL91" t="s">
        <v>565</v>
      </c>
      <c r="AM91" t="s">
        <v>566</v>
      </c>
      <c r="AN91" t="s">
        <v>70</v>
      </c>
      <c r="AO91" t="s">
        <v>567</v>
      </c>
      <c r="AP91" t="s">
        <v>544</v>
      </c>
      <c r="AQ91" t="s">
        <v>545</v>
      </c>
      <c r="AR91" t="s">
        <v>546</v>
      </c>
    </row>
    <row r="92" spans="1:44" x14ac:dyDescent="0.25">
      <c r="A92" t="s">
        <v>21</v>
      </c>
      <c r="B92" t="s">
        <v>562</v>
      </c>
      <c r="C92" t="s">
        <v>44</v>
      </c>
      <c r="D92" t="s">
        <v>513</v>
      </c>
      <c r="E92" t="s">
        <v>530</v>
      </c>
      <c r="F92" t="s">
        <v>531</v>
      </c>
      <c r="G92" t="s">
        <v>532</v>
      </c>
      <c r="H92" t="s">
        <v>260</v>
      </c>
      <c r="I92" t="s">
        <v>261</v>
      </c>
      <c r="J92" t="s">
        <v>552</v>
      </c>
      <c r="K92" t="s">
        <v>553</v>
      </c>
      <c r="L92" t="s">
        <v>554</v>
      </c>
      <c r="M92" t="s">
        <v>536</v>
      </c>
      <c r="N92" t="s">
        <v>54</v>
      </c>
      <c r="O92" t="s">
        <v>361</v>
      </c>
      <c r="P92" t="s">
        <v>555</v>
      </c>
      <c r="Q92" t="s">
        <v>568</v>
      </c>
      <c r="R92" s="3">
        <v>1.4999999999999999E-2</v>
      </c>
      <c r="S92" t="s">
        <v>23</v>
      </c>
      <c r="T92" t="s">
        <v>23</v>
      </c>
      <c r="U92" t="s">
        <v>23</v>
      </c>
      <c r="V92" s="3">
        <v>0</v>
      </c>
      <c r="W92" t="s">
        <v>23</v>
      </c>
      <c r="X92" s="3">
        <v>0</v>
      </c>
      <c r="Y92" s="3">
        <v>1.7729999999999999</v>
      </c>
      <c r="Z92" t="s">
        <v>23</v>
      </c>
      <c r="AA92" t="s">
        <v>539</v>
      </c>
      <c r="AB92" t="s">
        <v>59</v>
      </c>
      <c r="AC92" t="s">
        <v>564</v>
      </c>
      <c r="AD92" t="s">
        <v>61</v>
      </c>
      <c r="AE92" t="s">
        <v>522</v>
      </c>
      <c r="AF92" t="s">
        <v>63</v>
      </c>
      <c r="AG92" t="s">
        <v>64</v>
      </c>
      <c r="AH92" t="s">
        <v>65</v>
      </c>
      <c r="AI92" t="s">
        <v>541</v>
      </c>
      <c r="AJ92" t="s">
        <v>66</v>
      </c>
      <c r="AK92" t="s">
        <v>67</v>
      </c>
      <c r="AL92" t="s">
        <v>565</v>
      </c>
      <c r="AM92" t="s">
        <v>566</v>
      </c>
      <c r="AN92" t="s">
        <v>70</v>
      </c>
      <c r="AO92" t="s">
        <v>567</v>
      </c>
      <c r="AP92" t="s">
        <v>544</v>
      </c>
      <c r="AQ92" t="s">
        <v>545</v>
      </c>
      <c r="AR92" t="s">
        <v>546</v>
      </c>
    </row>
    <row r="93" spans="1:44" x14ac:dyDescent="0.25">
      <c r="A93" t="s">
        <v>21</v>
      </c>
      <c r="B93" t="s">
        <v>562</v>
      </c>
      <c r="C93" t="s">
        <v>44</v>
      </c>
      <c r="D93" t="s">
        <v>513</v>
      </c>
      <c r="E93" t="s">
        <v>530</v>
      </c>
      <c r="F93" t="s">
        <v>531</v>
      </c>
      <c r="G93" t="s">
        <v>532</v>
      </c>
      <c r="H93" t="s">
        <v>260</v>
      </c>
      <c r="I93" t="s">
        <v>261</v>
      </c>
      <c r="J93" t="s">
        <v>51</v>
      </c>
      <c r="K93" t="s">
        <v>52</v>
      </c>
      <c r="L93" t="s">
        <v>53</v>
      </c>
      <c r="M93" t="s">
        <v>536</v>
      </c>
      <c r="N93" t="s">
        <v>54</v>
      </c>
      <c r="O93" t="s">
        <v>75</v>
      </c>
      <c r="P93" t="s">
        <v>56</v>
      </c>
      <c r="Q93" t="s">
        <v>569</v>
      </c>
      <c r="R93" s="3">
        <v>2.5000000000000001E-2</v>
      </c>
      <c r="S93" t="s">
        <v>23</v>
      </c>
      <c r="T93" t="s">
        <v>23</v>
      </c>
      <c r="U93" t="s">
        <v>23</v>
      </c>
      <c r="V93" s="3">
        <v>0</v>
      </c>
      <c r="W93" t="s">
        <v>23</v>
      </c>
      <c r="X93" s="3">
        <v>0</v>
      </c>
      <c r="Y93" s="3">
        <v>1.7729999999999999</v>
      </c>
      <c r="Z93" t="s">
        <v>23</v>
      </c>
      <c r="AA93" t="s">
        <v>539</v>
      </c>
      <c r="AB93" t="s">
        <v>59</v>
      </c>
      <c r="AC93" t="s">
        <v>564</v>
      </c>
      <c r="AD93" t="s">
        <v>61</v>
      </c>
      <c r="AE93" t="s">
        <v>522</v>
      </c>
      <c r="AF93" t="s">
        <v>63</v>
      </c>
      <c r="AG93" t="s">
        <v>64</v>
      </c>
      <c r="AH93" t="s">
        <v>65</v>
      </c>
      <c r="AI93" t="s">
        <v>541</v>
      </c>
      <c r="AJ93" t="s">
        <v>66</v>
      </c>
      <c r="AK93" t="s">
        <v>67</v>
      </c>
      <c r="AL93" t="s">
        <v>565</v>
      </c>
      <c r="AM93" t="s">
        <v>566</v>
      </c>
      <c r="AN93" t="s">
        <v>70</v>
      </c>
      <c r="AO93" t="s">
        <v>567</v>
      </c>
      <c r="AP93" t="s">
        <v>544</v>
      </c>
      <c r="AQ93" t="s">
        <v>545</v>
      </c>
      <c r="AR93" t="s">
        <v>546</v>
      </c>
    </row>
    <row r="94" spans="1:44" x14ac:dyDescent="0.25">
      <c r="A94" t="s">
        <v>21</v>
      </c>
      <c r="B94" t="s">
        <v>562</v>
      </c>
      <c r="C94" t="s">
        <v>44</v>
      </c>
      <c r="D94" t="s">
        <v>513</v>
      </c>
      <c r="E94" t="s">
        <v>530</v>
      </c>
      <c r="F94" t="s">
        <v>531</v>
      </c>
      <c r="G94" t="s">
        <v>532</v>
      </c>
      <c r="H94" t="s">
        <v>260</v>
      </c>
      <c r="I94" t="s">
        <v>261</v>
      </c>
      <c r="J94" t="s">
        <v>558</v>
      </c>
      <c r="K94" t="s">
        <v>559</v>
      </c>
      <c r="L94" t="s">
        <v>560</v>
      </c>
      <c r="M94" t="s">
        <v>536</v>
      </c>
      <c r="N94" t="s">
        <v>54</v>
      </c>
      <c r="O94" t="s">
        <v>96</v>
      </c>
      <c r="P94" t="s">
        <v>56</v>
      </c>
      <c r="Q94" t="s">
        <v>56</v>
      </c>
      <c r="R94" s="3">
        <v>1.2E-2</v>
      </c>
      <c r="S94" t="s">
        <v>23</v>
      </c>
      <c r="T94" t="s">
        <v>23</v>
      </c>
      <c r="U94" t="s">
        <v>23</v>
      </c>
      <c r="V94" s="3">
        <v>0</v>
      </c>
      <c r="W94" t="s">
        <v>23</v>
      </c>
      <c r="X94" s="3">
        <v>0</v>
      </c>
      <c r="Y94" s="3">
        <v>1.7729999999999999</v>
      </c>
      <c r="Z94" t="s">
        <v>23</v>
      </c>
      <c r="AA94" t="s">
        <v>539</v>
      </c>
      <c r="AB94" t="s">
        <v>59</v>
      </c>
      <c r="AC94" t="s">
        <v>564</v>
      </c>
      <c r="AD94" t="s">
        <v>61</v>
      </c>
      <c r="AE94" t="s">
        <v>522</v>
      </c>
      <c r="AF94" t="s">
        <v>63</v>
      </c>
      <c r="AG94" t="s">
        <v>64</v>
      </c>
      <c r="AH94" t="s">
        <v>65</v>
      </c>
      <c r="AI94" t="s">
        <v>541</v>
      </c>
      <c r="AJ94" t="s">
        <v>66</v>
      </c>
      <c r="AK94" t="s">
        <v>67</v>
      </c>
      <c r="AL94" t="s">
        <v>565</v>
      </c>
      <c r="AM94" t="s">
        <v>566</v>
      </c>
      <c r="AN94" t="s">
        <v>70</v>
      </c>
      <c r="AO94" t="s">
        <v>567</v>
      </c>
      <c r="AP94" t="s">
        <v>544</v>
      </c>
      <c r="AQ94" t="s">
        <v>545</v>
      </c>
      <c r="AR94" t="s">
        <v>546</v>
      </c>
    </row>
    <row r="95" spans="1:44" x14ac:dyDescent="0.25">
      <c r="A95" t="s">
        <v>101</v>
      </c>
      <c r="B95" t="s">
        <v>570</v>
      </c>
      <c r="C95" t="s">
        <v>44</v>
      </c>
      <c r="D95" t="s">
        <v>513</v>
      </c>
      <c r="E95" t="s">
        <v>571</v>
      </c>
      <c r="F95" t="s">
        <v>531</v>
      </c>
      <c r="G95" t="s">
        <v>532</v>
      </c>
      <c r="H95" t="s">
        <v>260</v>
      </c>
      <c r="I95" t="s">
        <v>261</v>
      </c>
      <c r="J95" t="s">
        <v>572</v>
      </c>
      <c r="K95" t="s">
        <v>573</v>
      </c>
      <c r="L95" t="s">
        <v>574</v>
      </c>
      <c r="M95" t="s">
        <v>575</v>
      </c>
      <c r="N95" t="s">
        <v>54</v>
      </c>
      <c r="O95" t="s">
        <v>106</v>
      </c>
      <c r="P95" t="s">
        <v>149</v>
      </c>
      <c r="Q95" t="s">
        <v>457</v>
      </c>
      <c r="R95" s="3">
        <v>0.182</v>
      </c>
      <c r="S95" s="3">
        <v>0.88900000000000001</v>
      </c>
      <c r="T95" t="s">
        <v>23</v>
      </c>
      <c r="U95" t="s">
        <v>23</v>
      </c>
      <c r="V95" t="s">
        <v>23</v>
      </c>
      <c r="W95" t="s">
        <v>23</v>
      </c>
      <c r="X95" s="3">
        <v>0</v>
      </c>
      <c r="Y95" s="3">
        <v>1.7729999999999999</v>
      </c>
      <c r="Z95" t="s">
        <v>23</v>
      </c>
      <c r="AA95" t="s">
        <v>539</v>
      </c>
      <c r="AB95" t="s">
        <v>283</v>
      </c>
      <c r="AC95" t="s">
        <v>576</v>
      </c>
      <c r="AD95" t="s">
        <v>61</v>
      </c>
      <c r="AE95" t="s">
        <v>522</v>
      </c>
      <c r="AF95" t="s">
        <v>285</v>
      </c>
      <c r="AG95" t="s">
        <v>577</v>
      </c>
      <c r="AH95" t="s">
        <v>272</v>
      </c>
      <c r="AI95" t="s">
        <v>578</v>
      </c>
      <c r="AJ95" t="s">
        <v>114</v>
      </c>
      <c r="AK95" t="s">
        <v>115</v>
      </c>
      <c r="AL95" t="s">
        <v>579</v>
      </c>
      <c r="AM95" t="s">
        <v>580</v>
      </c>
      <c r="AN95" t="s">
        <v>118</v>
      </c>
      <c r="AO95" t="s">
        <v>71</v>
      </c>
      <c r="AP95" t="s">
        <v>544</v>
      </c>
      <c r="AQ95" t="s">
        <v>545</v>
      </c>
      <c r="AR95" t="s">
        <v>546</v>
      </c>
    </row>
    <row r="96" spans="1:44" x14ac:dyDescent="0.25">
      <c r="A96" t="s">
        <v>101</v>
      </c>
      <c r="B96" t="s">
        <v>570</v>
      </c>
      <c r="C96" t="s">
        <v>44</v>
      </c>
      <c r="D96" t="s">
        <v>513</v>
      </c>
      <c r="E96" t="s">
        <v>571</v>
      </c>
      <c r="F96" t="s">
        <v>531</v>
      </c>
      <c r="G96" t="s">
        <v>532</v>
      </c>
      <c r="H96" t="s">
        <v>260</v>
      </c>
      <c r="I96" t="s">
        <v>261</v>
      </c>
      <c r="J96" t="s">
        <v>581</v>
      </c>
      <c r="K96" t="s">
        <v>146</v>
      </c>
      <c r="L96" t="s">
        <v>582</v>
      </c>
      <c r="M96" t="s">
        <v>575</v>
      </c>
      <c r="N96" t="s">
        <v>54</v>
      </c>
      <c r="O96" t="s">
        <v>195</v>
      </c>
      <c r="P96" t="s">
        <v>149</v>
      </c>
      <c r="Q96" t="s">
        <v>583</v>
      </c>
      <c r="R96" s="3">
        <v>9.0999999999999998E-2</v>
      </c>
      <c r="S96" s="3">
        <v>0</v>
      </c>
      <c r="T96" t="s">
        <v>23</v>
      </c>
      <c r="U96" t="s">
        <v>23</v>
      </c>
      <c r="V96" t="s">
        <v>23</v>
      </c>
      <c r="W96" t="s">
        <v>23</v>
      </c>
      <c r="X96" s="3">
        <v>0</v>
      </c>
      <c r="Y96" s="3">
        <v>1.7729999999999999</v>
      </c>
      <c r="Z96" t="s">
        <v>23</v>
      </c>
      <c r="AA96" t="s">
        <v>539</v>
      </c>
      <c r="AB96" t="s">
        <v>283</v>
      </c>
      <c r="AC96" t="s">
        <v>576</v>
      </c>
      <c r="AD96" t="s">
        <v>61</v>
      </c>
      <c r="AE96" t="s">
        <v>522</v>
      </c>
      <c r="AF96" t="s">
        <v>285</v>
      </c>
      <c r="AG96" t="s">
        <v>577</v>
      </c>
      <c r="AH96" t="s">
        <v>272</v>
      </c>
      <c r="AI96" t="s">
        <v>578</v>
      </c>
      <c r="AJ96" t="s">
        <v>114</v>
      </c>
      <c r="AK96" t="s">
        <v>115</v>
      </c>
      <c r="AL96" t="s">
        <v>579</v>
      </c>
      <c r="AM96" t="s">
        <v>580</v>
      </c>
      <c r="AN96" t="s">
        <v>118</v>
      </c>
      <c r="AO96" t="s">
        <v>71</v>
      </c>
      <c r="AP96" t="s">
        <v>544</v>
      </c>
      <c r="AQ96" t="s">
        <v>545</v>
      </c>
      <c r="AR96" t="s">
        <v>546</v>
      </c>
    </row>
    <row r="97" spans="1:44" x14ac:dyDescent="0.25">
      <c r="A97" t="s">
        <v>101</v>
      </c>
      <c r="B97" t="s">
        <v>570</v>
      </c>
      <c r="C97" t="s">
        <v>44</v>
      </c>
      <c r="D97" t="s">
        <v>513</v>
      </c>
      <c r="E97" t="s">
        <v>571</v>
      </c>
      <c r="F97" t="s">
        <v>531</v>
      </c>
      <c r="G97" t="s">
        <v>532</v>
      </c>
      <c r="H97" t="s">
        <v>260</v>
      </c>
      <c r="I97" t="s">
        <v>261</v>
      </c>
      <c r="J97" t="s">
        <v>584</v>
      </c>
      <c r="K97" t="s">
        <v>141</v>
      </c>
      <c r="L97" t="s">
        <v>585</v>
      </c>
      <c r="M97" t="s">
        <v>575</v>
      </c>
      <c r="N97" t="s">
        <v>54</v>
      </c>
      <c r="O97" t="s">
        <v>106</v>
      </c>
      <c r="P97" t="s">
        <v>107</v>
      </c>
      <c r="Q97" t="s">
        <v>108</v>
      </c>
      <c r="R97" s="3">
        <v>0.109</v>
      </c>
      <c r="S97" s="3">
        <v>0</v>
      </c>
      <c r="T97" t="s">
        <v>23</v>
      </c>
      <c r="U97" t="s">
        <v>23</v>
      </c>
      <c r="V97" t="s">
        <v>23</v>
      </c>
      <c r="W97" t="s">
        <v>23</v>
      </c>
      <c r="X97" s="3">
        <v>0</v>
      </c>
      <c r="Y97" s="3">
        <v>1.7729999999999999</v>
      </c>
      <c r="Z97" t="s">
        <v>23</v>
      </c>
      <c r="AA97" t="s">
        <v>539</v>
      </c>
      <c r="AB97" t="s">
        <v>283</v>
      </c>
      <c r="AC97" t="s">
        <v>576</v>
      </c>
      <c r="AD97" t="s">
        <v>61</v>
      </c>
      <c r="AE97" t="s">
        <v>522</v>
      </c>
      <c r="AF97" t="s">
        <v>285</v>
      </c>
      <c r="AG97" t="s">
        <v>577</v>
      </c>
      <c r="AH97" t="s">
        <v>272</v>
      </c>
      <c r="AI97" t="s">
        <v>578</v>
      </c>
      <c r="AJ97" t="s">
        <v>114</v>
      </c>
      <c r="AK97" t="s">
        <v>115</v>
      </c>
      <c r="AL97" t="s">
        <v>579</v>
      </c>
      <c r="AM97" t="s">
        <v>580</v>
      </c>
      <c r="AN97" t="s">
        <v>118</v>
      </c>
      <c r="AO97" t="s">
        <v>71</v>
      </c>
      <c r="AP97" t="s">
        <v>544</v>
      </c>
      <c r="AQ97" t="s">
        <v>545</v>
      </c>
      <c r="AR97" t="s">
        <v>546</v>
      </c>
    </row>
    <row r="98" spans="1:44" x14ac:dyDescent="0.25">
      <c r="A98" t="s">
        <v>101</v>
      </c>
      <c r="B98" t="s">
        <v>570</v>
      </c>
      <c r="C98" t="s">
        <v>44</v>
      </c>
      <c r="D98" t="s">
        <v>513</v>
      </c>
      <c r="E98" t="s">
        <v>571</v>
      </c>
      <c r="F98" t="s">
        <v>531</v>
      </c>
      <c r="G98" t="s">
        <v>532</v>
      </c>
      <c r="H98" t="s">
        <v>260</v>
      </c>
      <c r="I98" t="s">
        <v>261</v>
      </c>
      <c r="J98" t="s">
        <v>295</v>
      </c>
      <c r="K98" t="s">
        <v>296</v>
      </c>
      <c r="L98" t="s">
        <v>297</v>
      </c>
      <c r="M98" t="s">
        <v>575</v>
      </c>
      <c r="N98" t="s">
        <v>54</v>
      </c>
      <c r="O98" t="s">
        <v>586</v>
      </c>
      <c r="P98" t="s">
        <v>107</v>
      </c>
      <c r="Q98" t="s">
        <v>587</v>
      </c>
      <c r="R98" s="3">
        <v>0.17499999999999999</v>
      </c>
      <c r="S98" s="3">
        <v>0</v>
      </c>
      <c r="T98" t="s">
        <v>23</v>
      </c>
      <c r="U98" t="s">
        <v>23</v>
      </c>
      <c r="V98" t="s">
        <v>23</v>
      </c>
      <c r="W98" t="s">
        <v>23</v>
      </c>
      <c r="X98" s="3">
        <v>0</v>
      </c>
      <c r="Y98" s="3">
        <v>1.7729999999999999</v>
      </c>
      <c r="Z98" t="s">
        <v>23</v>
      </c>
      <c r="AA98" t="s">
        <v>539</v>
      </c>
      <c r="AB98" t="s">
        <v>283</v>
      </c>
      <c r="AC98" t="s">
        <v>576</v>
      </c>
      <c r="AD98" t="s">
        <v>61</v>
      </c>
      <c r="AE98" t="s">
        <v>522</v>
      </c>
      <c r="AF98" t="s">
        <v>285</v>
      </c>
      <c r="AG98" t="s">
        <v>577</v>
      </c>
      <c r="AH98" t="s">
        <v>272</v>
      </c>
      <c r="AI98" t="s">
        <v>578</v>
      </c>
      <c r="AJ98" t="s">
        <v>114</v>
      </c>
      <c r="AK98" t="s">
        <v>115</v>
      </c>
      <c r="AL98" t="s">
        <v>579</v>
      </c>
      <c r="AM98" t="s">
        <v>580</v>
      </c>
      <c r="AN98" t="s">
        <v>118</v>
      </c>
      <c r="AO98" t="s">
        <v>71</v>
      </c>
      <c r="AP98" t="s">
        <v>544</v>
      </c>
      <c r="AQ98" t="s">
        <v>545</v>
      </c>
      <c r="AR98" t="s">
        <v>546</v>
      </c>
    </row>
    <row r="99" spans="1:44" x14ac:dyDescent="0.25">
      <c r="A99" t="s">
        <v>101</v>
      </c>
      <c r="B99" t="s">
        <v>570</v>
      </c>
      <c r="C99" t="s">
        <v>44</v>
      </c>
      <c r="D99" t="s">
        <v>513</v>
      </c>
      <c r="E99" t="s">
        <v>571</v>
      </c>
      <c r="F99" t="s">
        <v>531</v>
      </c>
      <c r="G99" t="s">
        <v>532</v>
      </c>
      <c r="H99" t="s">
        <v>260</v>
      </c>
      <c r="I99" t="s">
        <v>261</v>
      </c>
      <c r="J99" t="s">
        <v>414</v>
      </c>
      <c r="K99" t="s">
        <v>415</v>
      </c>
      <c r="L99" t="s">
        <v>416</v>
      </c>
      <c r="M99" t="s">
        <v>575</v>
      </c>
      <c r="N99" t="s">
        <v>54</v>
      </c>
      <c r="O99" t="s">
        <v>195</v>
      </c>
      <c r="P99" t="s">
        <v>107</v>
      </c>
      <c r="Q99" t="s">
        <v>165</v>
      </c>
      <c r="R99" s="3">
        <v>5.5E-2</v>
      </c>
      <c r="S99" s="3">
        <v>0</v>
      </c>
      <c r="T99" t="s">
        <v>23</v>
      </c>
      <c r="U99" t="s">
        <v>23</v>
      </c>
      <c r="V99" t="s">
        <v>23</v>
      </c>
      <c r="W99" t="s">
        <v>23</v>
      </c>
      <c r="X99" s="3">
        <v>0</v>
      </c>
      <c r="Y99" s="3">
        <v>1.7729999999999999</v>
      </c>
      <c r="Z99" t="s">
        <v>23</v>
      </c>
      <c r="AA99" t="s">
        <v>539</v>
      </c>
      <c r="AB99" t="s">
        <v>283</v>
      </c>
      <c r="AC99" t="s">
        <v>576</v>
      </c>
      <c r="AD99" t="s">
        <v>61</v>
      </c>
      <c r="AE99" t="s">
        <v>522</v>
      </c>
      <c r="AF99" t="s">
        <v>285</v>
      </c>
      <c r="AG99" t="s">
        <v>577</v>
      </c>
      <c r="AH99" t="s">
        <v>272</v>
      </c>
      <c r="AI99" t="s">
        <v>578</v>
      </c>
      <c r="AJ99" t="s">
        <v>114</v>
      </c>
      <c r="AK99" t="s">
        <v>115</v>
      </c>
      <c r="AL99" t="s">
        <v>579</v>
      </c>
      <c r="AM99" t="s">
        <v>580</v>
      </c>
      <c r="AN99" t="s">
        <v>118</v>
      </c>
      <c r="AO99" t="s">
        <v>71</v>
      </c>
      <c r="AP99" t="s">
        <v>544</v>
      </c>
      <c r="AQ99" t="s">
        <v>545</v>
      </c>
      <c r="AR99" t="s">
        <v>546</v>
      </c>
    </row>
    <row r="100" spans="1:44" x14ac:dyDescent="0.25">
      <c r="A100" t="s">
        <v>101</v>
      </c>
      <c r="B100" t="s">
        <v>570</v>
      </c>
      <c r="C100" t="s">
        <v>44</v>
      </c>
      <c r="D100" t="s">
        <v>513</v>
      </c>
      <c r="E100" t="s">
        <v>571</v>
      </c>
      <c r="F100" t="s">
        <v>531</v>
      </c>
      <c r="G100" t="s">
        <v>532</v>
      </c>
      <c r="H100" t="s">
        <v>260</v>
      </c>
      <c r="I100" t="s">
        <v>261</v>
      </c>
      <c r="J100" t="s">
        <v>130</v>
      </c>
      <c r="K100" t="s">
        <v>131</v>
      </c>
      <c r="L100" t="s">
        <v>132</v>
      </c>
      <c r="M100" t="s">
        <v>575</v>
      </c>
      <c r="N100" t="s">
        <v>54</v>
      </c>
      <c r="O100" t="s">
        <v>195</v>
      </c>
      <c r="P100" t="s">
        <v>133</v>
      </c>
      <c r="Q100" t="s">
        <v>588</v>
      </c>
      <c r="R100" s="3">
        <v>1.0999999999999999E-2</v>
      </c>
      <c r="S100" s="3">
        <v>0</v>
      </c>
      <c r="T100" t="s">
        <v>23</v>
      </c>
      <c r="U100" t="s">
        <v>23</v>
      </c>
      <c r="V100" t="s">
        <v>23</v>
      </c>
      <c r="W100" t="s">
        <v>23</v>
      </c>
      <c r="X100" s="3">
        <v>0</v>
      </c>
      <c r="Y100" s="3">
        <v>1.7729999999999999</v>
      </c>
      <c r="Z100" t="s">
        <v>23</v>
      </c>
      <c r="AA100" t="s">
        <v>539</v>
      </c>
      <c r="AB100" t="s">
        <v>283</v>
      </c>
      <c r="AC100" t="s">
        <v>576</v>
      </c>
      <c r="AD100" t="s">
        <v>61</v>
      </c>
      <c r="AE100" t="s">
        <v>522</v>
      </c>
      <c r="AF100" t="s">
        <v>285</v>
      </c>
      <c r="AG100" t="s">
        <v>577</v>
      </c>
      <c r="AH100" t="s">
        <v>272</v>
      </c>
      <c r="AI100" t="s">
        <v>578</v>
      </c>
      <c r="AJ100" t="s">
        <v>114</v>
      </c>
      <c r="AK100" t="s">
        <v>115</v>
      </c>
      <c r="AL100" t="s">
        <v>579</v>
      </c>
      <c r="AM100" t="s">
        <v>580</v>
      </c>
      <c r="AN100" t="s">
        <v>118</v>
      </c>
      <c r="AO100" t="s">
        <v>71</v>
      </c>
      <c r="AP100" t="s">
        <v>544</v>
      </c>
      <c r="AQ100" t="s">
        <v>545</v>
      </c>
      <c r="AR100" t="s">
        <v>546</v>
      </c>
    </row>
    <row r="101" spans="1:44" x14ac:dyDescent="0.25">
      <c r="A101" t="s">
        <v>101</v>
      </c>
      <c r="B101" t="s">
        <v>570</v>
      </c>
      <c r="C101" t="s">
        <v>44</v>
      </c>
      <c r="D101" t="s">
        <v>513</v>
      </c>
      <c r="E101" t="s">
        <v>571</v>
      </c>
      <c r="F101" t="s">
        <v>531</v>
      </c>
      <c r="G101" t="s">
        <v>532</v>
      </c>
      <c r="H101" t="s">
        <v>260</v>
      </c>
      <c r="I101" t="s">
        <v>261</v>
      </c>
      <c r="J101" t="s">
        <v>135</v>
      </c>
      <c r="K101" t="s">
        <v>136</v>
      </c>
      <c r="L101" t="s">
        <v>137</v>
      </c>
      <c r="M101" t="s">
        <v>575</v>
      </c>
      <c r="N101" t="s">
        <v>54</v>
      </c>
      <c r="O101" t="s">
        <v>195</v>
      </c>
      <c r="P101" t="s">
        <v>139</v>
      </c>
      <c r="Q101" t="s">
        <v>589</v>
      </c>
      <c r="R101" s="3">
        <v>1.4E-2</v>
      </c>
      <c r="S101" s="3">
        <v>0</v>
      </c>
      <c r="T101" t="s">
        <v>23</v>
      </c>
      <c r="U101" t="s">
        <v>23</v>
      </c>
      <c r="V101" t="s">
        <v>23</v>
      </c>
      <c r="W101" t="s">
        <v>23</v>
      </c>
      <c r="X101" s="3">
        <v>0</v>
      </c>
      <c r="Y101" s="3">
        <v>1.7729999999999999</v>
      </c>
      <c r="Z101" t="s">
        <v>23</v>
      </c>
      <c r="AA101" t="s">
        <v>539</v>
      </c>
      <c r="AB101" t="s">
        <v>283</v>
      </c>
      <c r="AC101" t="s">
        <v>576</v>
      </c>
      <c r="AD101" t="s">
        <v>61</v>
      </c>
      <c r="AE101" t="s">
        <v>522</v>
      </c>
      <c r="AF101" t="s">
        <v>285</v>
      </c>
      <c r="AG101" t="s">
        <v>577</v>
      </c>
      <c r="AH101" t="s">
        <v>272</v>
      </c>
      <c r="AI101" t="s">
        <v>578</v>
      </c>
      <c r="AJ101" t="s">
        <v>114</v>
      </c>
      <c r="AK101" t="s">
        <v>115</v>
      </c>
      <c r="AL101" t="s">
        <v>579</v>
      </c>
      <c r="AM101" t="s">
        <v>580</v>
      </c>
      <c r="AN101" t="s">
        <v>118</v>
      </c>
      <c r="AO101" t="s">
        <v>71</v>
      </c>
      <c r="AP101" t="s">
        <v>544</v>
      </c>
      <c r="AQ101" t="s">
        <v>545</v>
      </c>
      <c r="AR101" t="s">
        <v>546</v>
      </c>
    </row>
    <row r="102" spans="1:44" x14ac:dyDescent="0.25">
      <c r="A102" t="s">
        <v>101</v>
      </c>
      <c r="B102" t="s">
        <v>570</v>
      </c>
      <c r="C102" t="s">
        <v>44</v>
      </c>
      <c r="D102" t="s">
        <v>513</v>
      </c>
      <c r="E102" t="s">
        <v>571</v>
      </c>
      <c r="F102" t="s">
        <v>531</v>
      </c>
      <c r="G102" t="s">
        <v>532</v>
      </c>
      <c r="H102" t="s">
        <v>260</v>
      </c>
      <c r="I102" t="s">
        <v>261</v>
      </c>
      <c r="J102" t="s">
        <v>161</v>
      </c>
      <c r="K102" t="s">
        <v>162</v>
      </c>
      <c r="L102" t="s">
        <v>163</v>
      </c>
      <c r="M102" t="s">
        <v>575</v>
      </c>
      <c r="N102" t="s">
        <v>54</v>
      </c>
      <c r="O102" t="s">
        <v>195</v>
      </c>
      <c r="P102" t="s">
        <v>139</v>
      </c>
      <c r="Q102" t="s">
        <v>589</v>
      </c>
      <c r="R102" s="3">
        <v>1.4E-2</v>
      </c>
      <c r="S102" s="3">
        <v>0</v>
      </c>
      <c r="T102" t="s">
        <v>23</v>
      </c>
      <c r="U102" t="s">
        <v>23</v>
      </c>
      <c r="V102" t="s">
        <v>23</v>
      </c>
      <c r="W102" t="s">
        <v>23</v>
      </c>
      <c r="X102" s="3">
        <v>0</v>
      </c>
      <c r="Y102" s="3">
        <v>1.7729999999999999</v>
      </c>
      <c r="Z102" t="s">
        <v>23</v>
      </c>
      <c r="AA102" t="s">
        <v>539</v>
      </c>
      <c r="AB102" t="s">
        <v>590</v>
      </c>
      <c r="AC102" t="s">
        <v>576</v>
      </c>
      <c r="AD102" t="s">
        <v>61</v>
      </c>
      <c r="AE102" t="s">
        <v>522</v>
      </c>
      <c r="AF102" t="s">
        <v>469</v>
      </c>
      <c r="AG102" t="s">
        <v>577</v>
      </c>
      <c r="AH102" t="s">
        <v>272</v>
      </c>
      <c r="AI102" t="s">
        <v>578</v>
      </c>
      <c r="AJ102" t="s">
        <v>168</v>
      </c>
      <c r="AK102" t="s">
        <v>169</v>
      </c>
      <c r="AL102" t="s">
        <v>579</v>
      </c>
      <c r="AM102" t="s">
        <v>580</v>
      </c>
      <c r="AN102" t="s">
        <v>118</v>
      </c>
      <c r="AO102" t="s">
        <v>71</v>
      </c>
      <c r="AP102" t="s">
        <v>544</v>
      </c>
      <c r="AQ102" t="s">
        <v>545</v>
      </c>
      <c r="AR102" t="s">
        <v>546</v>
      </c>
    </row>
    <row r="103" spans="1:44" x14ac:dyDescent="0.25">
      <c r="A103" t="s">
        <v>101</v>
      </c>
      <c r="B103" t="s">
        <v>570</v>
      </c>
      <c r="C103" t="s">
        <v>44</v>
      </c>
      <c r="D103" t="s">
        <v>513</v>
      </c>
      <c r="E103" t="s">
        <v>571</v>
      </c>
      <c r="F103" t="s">
        <v>531</v>
      </c>
      <c r="G103" t="s">
        <v>532</v>
      </c>
      <c r="H103" t="s">
        <v>260</v>
      </c>
      <c r="I103" t="s">
        <v>261</v>
      </c>
      <c r="J103" t="s">
        <v>591</v>
      </c>
      <c r="K103" t="s">
        <v>592</v>
      </c>
      <c r="L103" t="s">
        <v>593</v>
      </c>
      <c r="M103" t="s">
        <v>575</v>
      </c>
      <c r="N103" t="s">
        <v>54</v>
      </c>
      <c r="O103" t="s">
        <v>195</v>
      </c>
      <c r="P103" t="s">
        <v>594</v>
      </c>
      <c r="Q103" t="s">
        <v>595</v>
      </c>
      <c r="R103" s="3">
        <v>0.02</v>
      </c>
      <c r="S103" s="3">
        <v>0</v>
      </c>
      <c r="T103" t="s">
        <v>23</v>
      </c>
      <c r="U103" t="s">
        <v>23</v>
      </c>
      <c r="V103" t="s">
        <v>23</v>
      </c>
      <c r="W103" t="s">
        <v>23</v>
      </c>
      <c r="X103" s="3">
        <v>0</v>
      </c>
      <c r="Y103" s="3">
        <v>1.7729999999999999</v>
      </c>
      <c r="Z103" t="s">
        <v>23</v>
      </c>
      <c r="AA103" t="s">
        <v>539</v>
      </c>
      <c r="AB103" t="s">
        <v>590</v>
      </c>
      <c r="AC103" t="s">
        <v>576</v>
      </c>
      <c r="AD103" t="s">
        <v>61</v>
      </c>
      <c r="AE103" t="s">
        <v>522</v>
      </c>
      <c r="AF103" t="s">
        <v>469</v>
      </c>
      <c r="AG103" t="s">
        <v>577</v>
      </c>
      <c r="AH103" t="s">
        <v>272</v>
      </c>
      <c r="AI103" t="s">
        <v>578</v>
      </c>
      <c r="AJ103" t="s">
        <v>168</v>
      </c>
      <c r="AK103" t="s">
        <v>169</v>
      </c>
      <c r="AL103" t="s">
        <v>579</v>
      </c>
      <c r="AM103" t="s">
        <v>580</v>
      </c>
      <c r="AN103" t="s">
        <v>118</v>
      </c>
      <c r="AO103" t="s">
        <v>71</v>
      </c>
      <c r="AP103" t="s">
        <v>544</v>
      </c>
      <c r="AQ103" t="s">
        <v>545</v>
      </c>
      <c r="AR103" t="s">
        <v>546</v>
      </c>
    </row>
    <row r="104" spans="1:44" x14ac:dyDescent="0.25">
      <c r="A104" t="s">
        <v>101</v>
      </c>
      <c r="B104" t="s">
        <v>570</v>
      </c>
      <c r="C104" t="s">
        <v>44</v>
      </c>
      <c r="D104" t="s">
        <v>513</v>
      </c>
      <c r="E104" t="s">
        <v>571</v>
      </c>
      <c r="F104" t="s">
        <v>531</v>
      </c>
      <c r="G104" t="s">
        <v>532</v>
      </c>
      <c r="H104" t="s">
        <v>260</v>
      </c>
      <c r="I104" t="s">
        <v>261</v>
      </c>
      <c r="J104" t="s">
        <v>103</v>
      </c>
      <c r="K104" t="s">
        <v>104</v>
      </c>
      <c r="L104" t="s">
        <v>105</v>
      </c>
      <c r="M104" t="s">
        <v>575</v>
      </c>
      <c r="N104" t="s">
        <v>54</v>
      </c>
      <c r="O104" t="s">
        <v>164</v>
      </c>
      <c r="P104" t="s">
        <v>107</v>
      </c>
      <c r="Q104" t="s">
        <v>596</v>
      </c>
      <c r="R104" s="3">
        <v>0.218</v>
      </c>
      <c r="S104" s="3">
        <v>0</v>
      </c>
      <c r="T104" t="s">
        <v>23</v>
      </c>
      <c r="U104" t="s">
        <v>23</v>
      </c>
      <c r="V104" t="s">
        <v>23</v>
      </c>
      <c r="W104" t="s">
        <v>23</v>
      </c>
      <c r="X104" s="3">
        <v>0</v>
      </c>
      <c r="Y104" s="3">
        <v>1.7729999999999999</v>
      </c>
      <c r="Z104" t="s">
        <v>23</v>
      </c>
      <c r="AA104" t="s">
        <v>539</v>
      </c>
      <c r="AB104" t="s">
        <v>283</v>
      </c>
      <c r="AC104" t="s">
        <v>576</v>
      </c>
      <c r="AD104" t="s">
        <v>61</v>
      </c>
      <c r="AE104" t="s">
        <v>522</v>
      </c>
      <c r="AF104" t="s">
        <v>285</v>
      </c>
      <c r="AG104" t="s">
        <v>577</v>
      </c>
      <c r="AH104" t="s">
        <v>272</v>
      </c>
      <c r="AI104" t="s">
        <v>578</v>
      </c>
      <c r="AJ104" t="s">
        <v>114</v>
      </c>
      <c r="AK104" t="s">
        <v>115</v>
      </c>
      <c r="AL104" t="s">
        <v>579</v>
      </c>
      <c r="AM104" t="s">
        <v>580</v>
      </c>
      <c r="AN104" t="s">
        <v>118</v>
      </c>
      <c r="AO104" t="s">
        <v>71</v>
      </c>
      <c r="AP104" t="s">
        <v>544</v>
      </c>
      <c r="AQ104" t="s">
        <v>545</v>
      </c>
      <c r="AR104" t="s">
        <v>546</v>
      </c>
    </row>
    <row r="105" spans="1:44" x14ac:dyDescent="0.25">
      <c r="A105" t="s">
        <v>101</v>
      </c>
      <c r="B105" t="s">
        <v>597</v>
      </c>
      <c r="C105" t="s">
        <v>44</v>
      </c>
      <c r="D105" t="s">
        <v>513</v>
      </c>
      <c r="E105" t="s">
        <v>571</v>
      </c>
      <c r="F105" t="s">
        <v>531</v>
      </c>
      <c r="G105" t="s">
        <v>532</v>
      </c>
      <c r="H105" t="s">
        <v>260</v>
      </c>
      <c r="I105" t="s">
        <v>261</v>
      </c>
      <c r="J105" t="s">
        <v>572</v>
      </c>
      <c r="K105" t="s">
        <v>573</v>
      </c>
      <c r="L105" t="s">
        <v>574</v>
      </c>
      <c r="M105" t="s">
        <v>575</v>
      </c>
      <c r="N105" t="s">
        <v>54</v>
      </c>
      <c r="O105" t="s">
        <v>96</v>
      </c>
      <c r="P105" t="s">
        <v>149</v>
      </c>
      <c r="Q105" t="s">
        <v>149</v>
      </c>
      <c r="R105" s="3">
        <v>1.7999999999999999E-2</v>
      </c>
      <c r="S105" s="3">
        <v>4.3999999999999997E-2</v>
      </c>
      <c r="T105" t="s">
        <v>23</v>
      </c>
      <c r="U105" t="s">
        <v>23</v>
      </c>
      <c r="V105" t="s">
        <v>23</v>
      </c>
      <c r="W105" t="s">
        <v>23</v>
      </c>
      <c r="X105" s="3">
        <v>0</v>
      </c>
      <c r="Y105" s="3">
        <v>1.7729999999999999</v>
      </c>
      <c r="Z105" t="s">
        <v>23</v>
      </c>
      <c r="AA105" t="s">
        <v>539</v>
      </c>
      <c r="AB105" t="s">
        <v>283</v>
      </c>
      <c r="AC105" t="s">
        <v>598</v>
      </c>
      <c r="AD105" t="s">
        <v>61</v>
      </c>
      <c r="AE105" t="s">
        <v>522</v>
      </c>
      <c r="AF105" t="s">
        <v>285</v>
      </c>
      <c r="AG105" t="s">
        <v>577</v>
      </c>
      <c r="AH105" t="s">
        <v>272</v>
      </c>
      <c r="AI105" t="s">
        <v>578</v>
      </c>
      <c r="AJ105" t="s">
        <v>114</v>
      </c>
      <c r="AK105" t="s">
        <v>115</v>
      </c>
      <c r="AL105" t="s">
        <v>599</v>
      </c>
      <c r="AM105" t="s">
        <v>600</v>
      </c>
      <c r="AN105" t="s">
        <v>118</v>
      </c>
      <c r="AO105" t="s">
        <v>567</v>
      </c>
      <c r="AP105" t="s">
        <v>544</v>
      </c>
      <c r="AQ105" t="s">
        <v>545</v>
      </c>
      <c r="AR105" t="s">
        <v>546</v>
      </c>
    </row>
    <row r="106" spans="1:44" x14ac:dyDescent="0.25">
      <c r="A106" t="s">
        <v>101</v>
      </c>
      <c r="B106" t="s">
        <v>597</v>
      </c>
      <c r="C106" t="s">
        <v>44</v>
      </c>
      <c r="D106" t="s">
        <v>513</v>
      </c>
      <c r="E106" t="s">
        <v>571</v>
      </c>
      <c r="F106" t="s">
        <v>531</v>
      </c>
      <c r="G106" t="s">
        <v>532</v>
      </c>
      <c r="H106" t="s">
        <v>260</v>
      </c>
      <c r="I106" t="s">
        <v>261</v>
      </c>
      <c r="J106" t="s">
        <v>601</v>
      </c>
      <c r="K106" t="s">
        <v>602</v>
      </c>
      <c r="L106" t="s">
        <v>603</v>
      </c>
      <c r="M106" t="s">
        <v>575</v>
      </c>
      <c r="N106" t="s">
        <v>54</v>
      </c>
      <c r="O106" t="s">
        <v>361</v>
      </c>
      <c r="P106" t="s">
        <v>123</v>
      </c>
      <c r="Q106" t="s">
        <v>604</v>
      </c>
      <c r="R106" s="3">
        <v>2.5999999999999999E-2</v>
      </c>
      <c r="S106" s="3">
        <v>0</v>
      </c>
      <c r="T106" t="s">
        <v>23</v>
      </c>
      <c r="U106" t="s">
        <v>23</v>
      </c>
      <c r="V106" t="s">
        <v>23</v>
      </c>
      <c r="W106" t="s">
        <v>23</v>
      </c>
      <c r="X106" s="3">
        <v>0</v>
      </c>
      <c r="Y106" s="3">
        <v>1.7729999999999999</v>
      </c>
      <c r="Z106" t="s">
        <v>23</v>
      </c>
      <c r="AA106" t="s">
        <v>539</v>
      </c>
      <c r="AB106" t="s">
        <v>283</v>
      </c>
      <c r="AC106" t="s">
        <v>598</v>
      </c>
      <c r="AD106" t="s">
        <v>61</v>
      </c>
      <c r="AE106" t="s">
        <v>522</v>
      </c>
      <c r="AF106" t="s">
        <v>285</v>
      </c>
      <c r="AG106" t="s">
        <v>577</v>
      </c>
      <c r="AH106" t="s">
        <v>272</v>
      </c>
      <c r="AI106" t="s">
        <v>578</v>
      </c>
      <c r="AJ106" t="s">
        <v>114</v>
      </c>
      <c r="AK106" t="s">
        <v>115</v>
      </c>
      <c r="AL106" t="s">
        <v>599</v>
      </c>
      <c r="AM106" t="s">
        <v>600</v>
      </c>
      <c r="AN106" t="s">
        <v>118</v>
      </c>
      <c r="AO106" t="s">
        <v>567</v>
      </c>
      <c r="AP106" t="s">
        <v>544</v>
      </c>
      <c r="AQ106" t="s">
        <v>545</v>
      </c>
      <c r="AR106" t="s">
        <v>546</v>
      </c>
    </row>
    <row r="107" spans="1:44" x14ac:dyDescent="0.25">
      <c r="A107" t="s">
        <v>363</v>
      </c>
      <c r="B107" t="s">
        <v>605</v>
      </c>
      <c r="C107" t="s">
        <v>44</v>
      </c>
      <c r="D107" t="s">
        <v>513</v>
      </c>
      <c r="E107" t="s">
        <v>606</v>
      </c>
      <c r="F107" t="s">
        <v>531</v>
      </c>
      <c r="G107" t="s">
        <v>532</v>
      </c>
      <c r="H107" t="s">
        <v>260</v>
      </c>
      <c r="I107" t="s">
        <v>261</v>
      </c>
      <c r="J107" t="s">
        <v>607</v>
      </c>
      <c r="K107" t="s">
        <v>608</v>
      </c>
      <c r="L107" t="s">
        <v>609</v>
      </c>
      <c r="M107" t="s">
        <v>610</v>
      </c>
      <c r="N107" t="s">
        <v>54</v>
      </c>
      <c r="O107" t="s">
        <v>195</v>
      </c>
      <c r="P107" t="s">
        <v>611</v>
      </c>
      <c r="Q107" t="s">
        <v>179</v>
      </c>
      <c r="R107" s="3">
        <v>1.7999999999999999E-2</v>
      </c>
      <c r="S107" t="s">
        <v>23</v>
      </c>
      <c r="T107" t="s">
        <v>23</v>
      </c>
      <c r="U107" s="3">
        <v>0.191</v>
      </c>
      <c r="V107" t="s">
        <v>23</v>
      </c>
      <c r="W107" t="s">
        <v>23</v>
      </c>
      <c r="X107" s="3">
        <v>0</v>
      </c>
      <c r="Y107" s="3">
        <v>1.7729999999999999</v>
      </c>
      <c r="Z107" t="s">
        <v>23</v>
      </c>
      <c r="AA107" t="s">
        <v>539</v>
      </c>
      <c r="AB107" t="s">
        <v>473</v>
      </c>
      <c r="AC107" t="s">
        <v>612</v>
      </c>
      <c r="AD107" t="s">
        <v>61</v>
      </c>
      <c r="AE107" t="s">
        <v>522</v>
      </c>
      <c r="AF107" t="s">
        <v>474</v>
      </c>
      <c r="AG107" t="s">
        <v>577</v>
      </c>
      <c r="AH107" t="s">
        <v>272</v>
      </c>
      <c r="AI107" t="s">
        <v>613</v>
      </c>
      <c r="AJ107" t="s">
        <v>373</v>
      </c>
      <c r="AK107" t="s">
        <v>374</v>
      </c>
      <c r="AL107" t="s">
        <v>614</v>
      </c>
      <c r="AM107" t="s">
        <v>615</v>
      </c>
      <c r="AN107" t="s">
        <v>118</v>
      </c>
      <c r="AO107" t="s">
        <v>71</v>
      </c>
      <c r="AP107" t="s">
        <v>544</v>
      </c>
      <c r="AQ107" t="s">
        <v>545</v>
      </c>
      <c r="AR107" t="s">
        <v>546</v>
      </c>
    </row>
    <row r="108" spans="1:44" x14ac:dyDescent="0.25">
      <c r="A108" t="s">
        <v>363</v>
      </c>
      <c r="B108" t="s">
        <v>605</v>
      </c>
      <c r="C108" t="s">
        <v>44</v>
      </c>
      <c r="D108" t="s">
        <v>513</v>
      </c>
      <c r="E108" t="s">
        <v>606</v>
      </c>
      <c r="F108" t="s">
        <v>531</v>
      </c>
      <c r="G108" t="s">
        <v>532</v>
      </c>
      <c r="H108" t="s">
        <v>260</v>
      </c>
      <c r="I108" t="s">
        <v>261</v>
      </c>
      <c r="J108" t="s">
        <v>616</v>
      </c>
      <c r="K108" t="s">
        <v>617</v>
      </c>
      <c r="L108" t="s">
        <v>618</v>
      </c>
      <c r="M108" t="s">
        <v>610</v>
      </c>
      <c r="N108" t="s">
        <v>54</v>
      </c>
      <c r="O108" t="s">
        <v>195</v>
      </c>
      <c r="P108" t="s">
        <v>76</v>
      </c>
      <c r="Q108" t="s">
        <v>249</v>
      </c>
      <c r="R108" s="3">
        <v>2.4E-2</v>
      </c>
      <c r="S108" t="s">
        <v>23</v>
      </c>
      <c r="T108" t="s">
        <v>23</v>
      </c>
      <c r="U108" s="3">
        <v>0</v>
      </c>
      <c r="V108" t="s">
        <v>23</v>
      </c>
      <c r="W108" t="s">
        <v>23</v>
      </c>
      <c r="X108" s="3">
        <v>0</v>
      </c>
      <c r="Y108" s="3">
        <v>1.7729999999999999</v>
      </c>
      <c r="Z108" t="s">
        <v>23</v>
      </c>
      <c r="AA108" t="s">
        <v>539</v>
      </c>
      <c r="AB108" t="s">
        <v>473</v>
      </c>
      <c r="AC108" t="s">
        <v>612</v>
      </c>
      <c r="AD108" t="s">
        <v>61</v>
      </c>
      <c r="AE108" t="s">
        <v>522</v>
      </c>
      <c r="AF108" t="s">
        <v>474</v>
      </c>
      <c r="AG108" t="s">
        <v>577</v>
      </c>
      <c r="AH108" t="s">
        <v>272</v>
      </c>
      <c r="AI108" t="s">
        <v>613</v>
      </c>
      <c r="AJ108" t="s">
        <v>373</v>
      </c>
      <c r="AK108" t="s">
        <v>374</v>
      </c>
      <c r="AL108" t="s">
        <v>614</v>
      </c>
      <c r="AM108" t="s">
        <v>615</v>
      </c>
      <c r="AN108" t="s">
        <v>118</v>
      </c>
      <c r="AO108" t="s">
        <v>71</v>
      </c>
      <c r="AP108" t="s">
        <v>544</v>
      </c>
      <c r="AQ108" t="s">
        <v>545</v>
      </c>
      <c r="AR108" t="s">
        <v>546</v>
      </c>
    </row>
    <row r="109" spans="1:44" x14ac:dyDescent="0.25">
      <c r="A109" t="s">
        <v>363</v>
      </c>
      <c r="B109" t="s">
        <v>605</v>
      </c>
      <c r="C109" t="s">
        <v>44</v>
      </c>
      <c r="D109" t="s">
        <v>513</v>
      </c>
      <c r="E109" t="s">
        <v>606</v>
      </c>
      <c r="F109" t="s">
        <v>531</v>
      </c>
      <c r="G109" t="s">
        <v>532</v>
      </c>
      <c r="H109" t="s">
        <v>260</v>
      </c>
      <c r="I109" t="s">
        <v>261</v>
      </c>
      <c r="J109" t="s">
        <v>619</v>
      </c>
      <c r="K109" t="s">
        <v>620</v>
      </c>
      <c r="L109" t="s">
        <v>621</v>
      </c>
      <c r="M109" t="s">
        <v>610</v>
      </c>
      <c r="N109" t="s">
        <v>54</v>
      </c>
      <c r="O109" t="s">
        <v>195</v>
      </c>
      <c r="P109" t="s">
        <v>622</v>
      </c>
      <c r="Q109" t="s">
        <v>623</v>
      </c>
      <c r="R109" s="3">
        <v>1.7000000000000001E-2</v>
      </c>
      <c r="S109" t="s">
        <v>23</v>
      </c>
      <c r="T109" t="s">
        <v>23</v>
      </c>
      <c r="U109" s="3">
        <v>0</v>
      </c>
      <c r="V109" t="s">
        <v>23</v>
      </c>
      <c r="W109" t="s">
        <v>23</v>
      </c>
      <c r="X109" s="3">
        <v>0</v>
      </c>
      <c r="Y109" s="3">
        <v>1.7729999999999999</v>
      </c>
      <c r="Z109" t="s">
        <v>23</v>
      </c>
      <c r="AA109" t="s">
        <v>539</v>
      </c>
      <c r="AB109" t="s">
        <v>473</v>
      </c>
      <c r="AC109" t="s">
        <v>612</v>
      </c>
      <c r="AD109" t="s">
        <v>61</v>
      </c>
      <c r="AE109" t="s">
        <v>522</v>
      </c>
      <c r="AF109" t="s">
        <v>474</v>
      </c>
      <c r="AG109" t="s">
        <v>577</v>
      </c>
      <c r="AH109" t="s">
        <v>272</v>
      </c>
      <c r="AI109" t="s">
        <v>613</v>
      </c>
      <c r="AJ109" t="s">
        <v>373</v>
      </c>
      <c r="AK109" t="s">
        <v>374</v>
      </c>
      <c r="AL109" t="s">
        <v>614</v>
      </c>
      <c r="AM109" t="s">
        <v>615</v>
      </c>
      <c r="AN109" t="s">
        <v>118</v>
      </c>
      <c r="AO109" t="s">
        <v>71</v>
      </c>
      <c r="AP109" t="s">
        <v>544</v>
      </c>
      <c r="AQ109" t="s">
        <v>545</v>
      </c>
      <c r="AR109" t="s">
        <v>546</v>
      </c>
    </row>
    <row r="110" spans="1:44" x14ac:dyDescent="0.25">
      <c r="A110" t="s">
        <v>363</v>
      </c>
      <c r="B110" t="s">
        <v>605</v>
      </c>
      <c r="C110" t="s">
        <v>44</v>
      </c>
      <c r="D110" t="s">
        <v>513</v>
      </c>
      <c r="E110" t="s">
        <v>606</v>
      </c>
      <c r="F110" t="s">
        <v>531</v>
      </c>
      <c r="G110" t="s">
        <v>532</v>
      </c>
      <c r="H110" t="s">
        <v>260</v>
      </c>
      <c r="I110" t="s">
        <v>261</v>
      </c>
      <c r="J110" t="s">
        <v>624</v>
      </c>
      <c r="K110" t="s">
        <v>625</v>
      </c>
      <c r="L110" t="s">
        <v>626</v>
      </c>
      <c r="M110" t="s">
        <v>610</v>
      </c>
      <c r="N110" t="s">
        <v>54</v>
      </c>
      <c r="O110" t="s">
        <v>195</v>
      </c>
      <c r="P110" t="s">
        <v>76</v>
      </c>
      <c r="Q110" t="s">
        <v>249</v>
      </c>
      <c r="R110" s="3">
        <v>2.4E-2</v>
      </c>
      <c r="S110" t="s">
        <v>23</v>
      </c>
      <c r="T110" t="s">
        <v>23</v>
      </c>
      <c r="U110" s="3">
        <v>0</v>
      </c>
      <c r="V110" t="s">
        <v>23</v>
      </c>
      <c r="W110" t="s">
        <v>23</v>
      </c>
      <c r="X110" s="3">
        <v>0</v>
      </c>
      <c r="Y110" s="3">
        <v>1.7729999999999999</v>
      </c>
      <c r="Z110" t="s">
        <v>23</v>
      </c>
      <c r="AA110" t="s">
        <v>539</v>
      </c>
      <c r="AB110" t="s">
        <v>473</v>
      </c>
      <c r="AC110" t="s">
        <v>612</v>
      </c>
      <c r="AD110" t="s">
        <v>61</v>
      </c>
      <c r="AE110" t="s">
        <v>522</v>
      </c>
      <c r="AF110" t="s">
        <v>474</v>
      </c>
      <c r="AG110" t="s">
        <v>577</v>
      </c>
      <c r="AH110" t="s">
        <v>272</v>
      </c>
      <c r="AI110" t="s">
        <v>613</v>
      </c>
      <c r="AJ110" t="s">
        <v>373</v>
      </c>
      <c r="AK110" t="s">
        <v>374</v>
      </c>
      <c r="AL110" t="s">
        <v>614</v>
      </c>
      <c r="AM110" t="s">
        <v>615</v>
      </c>
      <c r="AN110" t="s">
        <v>118</v>
      </c>
      <c r="AO110" t="s">
        <v>71</v>
      </c>
      <c r="AP110" t="s">
        <v>544</v>
      </c>
      <c r="AQ110" t="s">
        <v>545</v>
      </c>
      <c r="AR110" t="s">
        <v>546</v>
      </c>
    </row>
    <row r="111" spans="1:44" x14ac:dyDescent="0.25">
      <c r="A111" t="s">
        <v>363</v>
      </c>
      <c r="B111" t="s">
        <v>605</v>
      </c>
      <c r="C111" t="s">
        <v>44</v>
      </c>
      <c r="D111" t="s">
        <v>513</v>
      </c>
      <c r="E111" t="s">
        <v>606</v>
      </c>
      <c r="F111" t="s">
        <v>531</v>
      </c>
      <c r="G111" t="s">
        <v>532</v>
      </c>
      <c r="H111" t="s">
        <v>260</v>
      </c>
      <c r="I111" t="s">
        <v>261</v>
      </c>
      <c r="J111" t="s">
        <v>627</v>
      </c>
      <c r="K111" t="s">
        <v>628</v>
      </c>
      <c r="L111" t="s">
        <v>629</v>
      </c>
      <c r="M111" t="s">
        <v>610</v>
      </c>
      <c r="N111" t="s">
        <v>54</v>
      </c>
      <c r="O111" t="s">
        <v>195</v>
      </c>
      <c r="P111" t="s">
        <v>611</v>
      </c>
      <c r="Q111" t="s">
        <v>179</v>
      </c>
      <c r="R111" s="3">
        <v>1.7999999999999999E-2</v>
      </c>
      <c r="S111" t="s">
        <v>23</v>
      </c>
      <c r="T111" t="s">
        <v>23</v>
      </c>
      <c r="U111" s="3">
        <v>0</v>
      </c>
      <c r="V111" t="s">
        <v>23</v>
      </c>
      <c r="W111" t="s">
        <v>23</v>
      </c>
      <c r="X111" s="3">
        <v>0</v>
      </c>
      <c r="Y111" s="3">
        <v>1.7729999999999999</v>
      </c>
      <c r="Z111" t="s">
        <v>23</v>
      </c>
      <c r="AA111" t="s">
        <v>539</v>
      </c>
      <c r="AB111" t="s">
        <v>473</v>
      </c>
      <c r="AC111" t="s">
        <v>612</v>
      </c>
      <c r="AD111" t="s">
        <v>61</v>
      </c>
      <c r="AE111" t="s">
        <v>522</v>
      </c>
      <c r="AF111" t="s">
        <v>474</v>
      </c>
      <c r="AG111" t="s">
        <v>577</v>
      </c>
      <c r="AH111" t="s">
        <v>272</v>
      </c>
      <c r="AI111" t="s">
        <v>613</v>
      </c>
      <c r="AJ111" t="s">
        <v>373</v>
      </c>
      <c r="AK111" t="s">
        <v>374</v>
      </c>
      <c r="AL111" t="s">
        <v>614</v>
      </c>
      <c r="AM111" t="s">
        <v>615</v>
      </c>
      <c r="AN111" t="s">
        <v>118</v>
      </c>
      <c r="AO111" t="s">
        <v>71</v>
      </c>
      <c r="AP111" t="s">
        <v>544</v>
      </c>
      <c r="AQ111" t="s">
        <v>545</v>
      </c>
      <c r="AR111" t="s">
        <v>546</v>
      </c>
    </row>
    <row r="112" spans="1:44" x14ac:dyDescent="0.25">
      <c r="A112" t="s">
        <v>363</v>
      </c>
      <c r="B112" t="s">
        <v>605</v>
      </c>
      <c r="C112" t="s">
        <v>44</v>
      </c>
      <c r="D112" t="s">
        <v>513</v>
      </c>
      <c r="E112" t="s">
        <v>606</v>
      </c>
      <c r="F112" t="s">
        <v>531</v>
      </c>
      <c r="G112" t="s">
        <v>532</v>
      </c>
      <c r="H112" t="s">
        <v>260</v>
      </c>
      <c r="I112" t="s">
        <v>261</v>
      </c>
      <c r="J112" t="s">
        <v>379</v>
      </c>
      <c r="K112" t="s">
        <v>380</v>
      </c>
      <c r="L112" t="s">
        <v>381</v>
      </c>
      <c r="M112" t="s">
        <v>610</v>
      </c>
      <c r="N112" t="s">
        <v>54</v>
      </c>
      <c r="O112" t="s">
        <v>106</v>
      </c>
      <c r="P112" t="s">
        <v>382</v>
      </c>
      <c r="Q112" t="s">
        <v>197</v>
      </c>
      <c r="R112" s="3">
        <v>0.06</v>
      </c>
      <c r="S112" t="s">
        <v>23</v>
      </c>
      <c r="T112" t="s">
        <v>23</v>
      </c>
      <c r="U112" s="3">
        <v>0</v>
      </c>
      <c r="V112" t="s">
        <v>23</v>
      </c>
      <c r="W112" t="s">
        <v>23</v>
      </c>
      <c r="X112" s="3">
        <v>0</v>
      </c>
      <c r="Y112" s="3">
        <v>1.7729999999999999</v>
      </c>
      <c r="Z112" t="s">
        <v>23</v>
      </c>
      <c r="AA112" t="s">
        <v>539</v>
      </c>
      <c r="AB112" t="s">
        <v>473</v>
      </c>
      <c r="AC112" t="s">
        <v>612</v>
      </c>
      <c r="AD112" t="s">
        <v>61</v>
      </c>
      <c r="AE112" t="s">
        <v>522</v>
      </c>
      <c r="AF112" t="s">
        <v>474</v>
      </c>
      <c r="AG112" t="s">
        <v>577</v>
      </c>
      <c r="AH112" t="s">
        <v>272</v>
      </c>
      <c r="AI112" t="s">
        <v>613</v>
      </c>
      <c r="AJ112" t="s">
        <v>373</v>
      </c>
      <c r="AK112" t="s">
        <v>374</v>
      </c>
      <c r="AL112" t="s">
        <v>614</v>
      </c>
      <c r="AM112" t="s">
        <v>615</v>
      </c>
      <c r="AN112" t="s">
        <v>118</v>
      </c>
      <c r="AO112" t="s">
        <v>71</v>
      </c>
      <c r="AP112" t="s">
        <v>544</v>
      </c>
      <c r="AQ112" t="s">
        <v>545</v>
      </c>
      <c r="AR112" t="s">
        <v>546</v>
      </c>
    </row>
    <row r="113" spans="1:44" x14ac:dyDescent="0.25">
      <c r="A113" t="s">
        <v>363</v>
      </c>
      <c r="B113" t="s">
        <v>605</v>
      </c>
      <c r="C113" t="s">
        <v>44</v>
      </c>
      <c r="D113" t="s">
        <v>513</v>
      </c>
      <c r="E113" t="s">
        <v>606</v>
      </c>
      <c r="F113" t="s">
        <v>531</v>
      </c>
      <c r="G113" t="s">
        <v>532</v>
      </c>
      <c r="H113" t="s">
        <v>260</v>
      </c>
      <c r="I113" t="s">
        <v>261</v>
      </c>
      <c r="J113" t="s">
        <v>387</v>
      </c>
      <c r="K113" t="s">
        <v>388</v>
      </c>
      <c r="L113" t="s">
        <v>389</v>
      </c>
      <c r="M113" t="s">
        <v>610</v>
      </c>
      <c r="N113" t="s">
        <v>54</v>
      </c>
      <c r="O113" t="s">
        <v>195</v>
      </c>
      <c r="P113" t="s">
        <v>382</v>
      </c>
      <c r="Q113" t="s">
        <v>398</v>
      </c>
      <c r="R113" s="3">
        <v>0.03</v>
      </c>
      <c r="S113" t="s">
        <v>23</v>
      </c>
      <c r="T113" t="s">
        <v>23</v>
      </c>
      <c r="U113" s="3">
        <v>0</v>
      </c>
      <c r="V113" t="s">
        <v>23</v>
      </c>
      <c r="W113" t="s">
        <v>23</v>
      </c>
      <c r="X113" s="3">
        <v>0</v>
      </c>
      <c r="Y113" s="3">
        <v>1.7729999999999999</v>
      </c>
      <c r="Z113" t="s">
        <v>23</v>
      </c>
      <c r="AA113" t="s">
        <v>539</v>
      </c>
      <c r="AB113" t="s">
        <v>473</v>
      </c>
      <c r="AC113" t="s">
        <v>612</v>
      </c>
      <c r="AD113" t="s">
        <v>61</v>
      </c>
      <c r="AE113" t="s">
        <v>522</v>
      </c>
      <c r="AF113" t="s">
        <v>474</v>
      </c>
      <c r="AG113" t="s">
        <v>577</v>
      </c>
      <c r="AH113" t="s">
        <v>272</v>
      </c>
      <c r="AI113" t="s">
        <v>613</v>
      </c>
      <c r="AJ113" t="s">
        <v>373</v>
      </c>
      <c r="AK113" t="s">
        <v>374</v>
      </c>
      <c r="AL113" t="s">
        <v>614</v>
      </c>
      <c r="AM113" t="s">
        <v>615</v>
      </c>
      <c r="AN113" t="s">
        <v>118</v>
      </c>
      <c r="AO113" t="s">
        <v>71</v>
      </c>
      <c r="AP113" t="s">
        <v>544</v>
      </c>
      <c r="AQ113" t="s">
        <v>545</v>
      </c>
      <c r="AR113" t="s">
        <v>546</v>
      </c>
    </row>
    <row r="114" spans="1:44" x14ac:dyDescent="0.25">
      <c r="A114" t="s">
        <v>311</v>
      </c>
      <c r="B114" t="s">
        <v>630</v>
      </c>
      <c r="C114" t="s">
        <v>44</v>
      </c>
      <c r="D114" t="s">
        <v>513</v>
      </c>
      <c r="E114" t="s">
        <v>631</v>
      </c>
      <c r="F114" t="s">
        <v>531</v>
      </c>
      <c r="G114" t="s">
        <v>532</v>
      </c>
      <c r="H114" t="s">
        <v>260</v>
      </c>
      <c r="I114" t="s">
        <v>261</v>
      </c>
      <c r="J114" t="s">
        <v>632</v>
      </c>
      <c r="K114" t="s">
        <v>633</v>
      </c>
      <c r="L114" t="s">
        <v>634</v>
      </c>
      <c r="M114" t="s">
        <v>635</v>
      </c>
      <c r="N114" t="s">
        <v>54</v>
      </c>
      <c r="O114" t="s">
        <v>75</v>
      </c>
      <c r="P114" t="s">
        <v>636</v>
      </c>
      <c r="Q114" t="s">
        <v>637</v>
      </c>
      <c r="R114" s="3">
        <v>1.4999999999999999E-2</v>
      </c>
      <c r="S114" t="s">
        <v>23</v>
      </c>
      <c r="T114" t="s">
        <v>23</v>
      </c>
      <c r="U114" t="s">
        <v>23</v>
      </c>
      <c r="V114" t="s">
        <v>23</v>
      </c>
      <c r="W114" s="3">
        <v>0.19500000000000001</v>
      </c>
      <c r="X114" s="3">
        <v>0</v>
      </c>
      <c r="Y114" s="3">
        <v>1.7729999999999999</v>
      </c>
      <c r="Z114" t="s">
        <v>23</v>
      </c>
      <c r="AA114" t="s">
        <v>539</v>
      </c>
      <c r="AB114" t="s">
        <v>473</v>
      </c>
      <c r="AC114" t="s">
        <v>638</v>
      </c>
      <c r="AD114" t="s">
        <v>269</v>
      </c>
      <c r="AE114" t="s">
        <v>522</v>
      </c>
      <c r="AF114" t="s">
        <v>474</v>
      </c>
      <c r="AG114" t="s">
        <v>577</v>
      </c>
      <c r="AH114" t="s">
        <v>272</v>
      </c>
      <c r="AI114" t="s">
        <v>613</v>
      </c>
      <c r="AJ114" t="s">
        <v>323</v>
      </c>
      <c r="AK114" t="s">
        <v>324</v>
      </c>
      <c r="AL114" t="s">
        <v>639</v>
      </c>
      <c r="AM114" t="s">
        <v>640</v>
      </c>
      <c r="AN114" t="s">
        <v>118</v>
      </c>
      <c r="AO114" t="s">
        <v>71</v>
      </c>
      <c r="AP114" t="s">
        <v>544</v>
      </c>
      <c r="AQ114" t="s">
        <v>545</v>
      </c>
      <c r="AR114" t="s">
        <v>546</v>
      </c>
    </row>
    <row r="115" spans="1:44" x14ac:dyDescent="0.25">
      <c r="A115" t="s">
        <v>311</v>
      </c>
      <c r="B115" t="s">
        <v>630</v>
      </c>
      <c r="C115" t="s">
        <v>44</v>
      </c>
      <c r="D115" t="s">
        <v>513</v>
      </c>
      <c r="E115" t="s">
        <v>631</v>
      </c>
      <c r="F115" t="s">
        <v>531</v>
      </c>
      <c r="G115" t="s">
        <v>532</v>
      </c>
      <c r="H115" t="s">
        <v>260</v>
      </c>
      <c r="I115" t="s">
        <v>261</v>
      </c>
      <c r="J115" t="s">
        <v>641</v>
      </c>
      <c r="K115" t="s">
        <v>642</v>
      </c>
      <c r="L115" t="s">
        <v>643</v>
      </c>
      <c r="M115" t="s">
        <v>635</v>
      </c>
      <c r="N115" t="s">
        <v>54</v>
      </c>
      <c r="O115" t="s">
        <v>361</v>
      </c>
      <c r="P115" t="s">
        <v>644</v>
      </c>
      <c r="Q115" t="s">
        <v>645</v>
      </c>
      <c r="R115" s="3">
        <v>1.7000000000000001E-2</v>
      </c>
      <c r="S115" t="s">
        <v>23</v>
      </c>
      <c r="T115" t="s">
        <v>23</v>
      </c>
      <c r="U115" t="s">
        <v>23</v>
      </c>
      <c r="V115" t="s">
        <v>23</v>
      </c>
      <c r="W115" s="3">
        <v>0</v>
      </c>
      <c r="X115" s="3">
        <v>0</v>
      </c>
      <c r="Y115" s="3">
        <v>1.7729999999999999</v>
      </c>
      <c r="Z115" t="s">
        <v>23</v>
      </c>
      <c r="AA115" t="s">
        <v>539</v>
      </c>
      <c r="AB115" t="s">
        <v>473</v>
      </c>
      <c r="AC115" t="s">
        <v>638</v>
      </c>
      <c r="AD115" t="s">
        <v>269</v>
      </c>
      <c r="AE115" t="s">
        <v>522</v>
      </c>
      <c r="AF115" t="s">
        <v>474</v>
      </c>
      <c r="AG115" t="s">
        <v>577</v>
      </c>
      <c r="AH115" t="s">
        <v>272</v>
      </c>
      <c r="AI115" t="s">
        <v>613</v>
      </c>
      <c r="AJ115" t="s">
        <v>323</v>
      </c>
      <c r="AK115" t="s">
        <v>324</v>
      </c>
      <c r="AL115" t="s">
        <v>639</v>
      </c>
      <c r="AM115" t="s">
        <v>640</v>
      </c>
      <c r="AN115" t="s">
        <v>118</v>
      </c>
      <c r="AO115" t="s">
        <v>71</v>
      </c>
      <c r="AP115" t="s">
        <v>544</v>
      </c>
      <c r="AQ115" t="s">
        <v>545</v>
      </c>
      <c r="AR115" t="s">
        <v>546</v>
      </c>
    </row>
    <row r="116" spans="1:44" x14ac:dyDescent="0.25">
      <c r="A116" t="s">
        <v>311</v>
      </c>
      <c r="B116" t="s">
        <v>630</v>
      </c>
      <c r="C116" t="s">
        <v>44</v>
      </c>
      <c r="D116" t="s">
        <v>513</v>
      </c>
      <c r="E116" t="s">
        <v>631</v>
      </c>
      <c r="F116" t="s">
        <v>531</v>
      </c>
      <c r="G116" t="s">
        <v>532</v>
      </c>
      <c r="H116" t="s">
        <v>260</v>
      </c>
      <c r="I116" t="s">
        <v>261</v>
      </c>
      <c r="J116" t="s">
        <v>329</v>
      </c>
      <c r="K116" t="s">
        <v>330</v>
      </c>
      <c r="L116" t="s">
        <v>331</v>
      </c>
      <c r="M116" t="s">
        <v>635</v>
      </c>
      <c r="N116" t="s">
        <v>54</v>
      </c>
      <c r="O116" t="s">
        <v>195</v>
      </c>
      <c r="P116" t="s">
        <v>77</v>
      </c>
      <c r="Q116" t="s">
        <v>353</v>
      </c>
      <c r="R116" s="3">
        <v>4.8000000000000001E-2</v>
      </c>
      <c r="S116" t="s">
        <v>23</v>
      </c>
      <c r="T116" t="s">
        <v>23</v>
      </c>
      <c r="U116" t="s">
        <v>23</v>
      </c>
      <c r="V116" t="s">
        <v>23</v>
      </c>
      <c r="W116" s="3">
        <v>0</v>
      </c>
      <c r="X116" s="3">
        <v>0</v>
      </c>
      <c r="Y116" s="3">
        <v>1.7729999999999999</v>
      </c>
      <c r="Z116" t="s">
        <v>23</v>
      </c>
      <c r="AA116" t="s">
        <v>539</v>
      </c>
      <c r="AB116" t="s">
        <v>473</v>
      </c>
      <c r="AC116" t="s">
        <v>638</v>
      </c>
      <c r="AD116" t="s">
        <v>269</v>
      </c>
      <c r="AE116" t="s">
        <v>522</v>
      </c>
      <c r="AF116" t="s">
        <v>474</v>
      </c>
      <c r="AG116" t="s">
        <v>577</v>
      </c>
      <c r="AH116" t="s">
        <v>272</v>
      </c>
      <c r="AI116" t="s">
        <v>613</v>
      </c>
      <c r="AJ116" t="s">
        <v>323</v>
      </c>
      <c r="AK116" t="s">
        <v>324</v>
      </c>
      <c r="AL116" t="s">
        <v>639</v>
      </c>
      <c r="AM116" t="s">
        <v>640</v>
      </c>
      <c r="AN116" t="s">
        <v>118</v>
      </c>
      <c r="AO116" t="s">
        <v>71</v>
      </c>
      <c r="AP116" t="s">
        <v>544</v>
      </c>
      <c r="AQ116" t="s">
        <v>545</v>
      </c>
      <c r="AR116" t="s">
        <v>546</v>
      </c>
    </row>
    <row r="117" spans="1:44" x14ac:dyDescent="0.25">
      <c r="A117" t="s">
        <v>311</v>
      </c>
      <c r="B117" t="s">
        <v>630</v>
      </c>
      <c r="C117" t="s">
        <v>44</v>
      </c>
      <c r="D117" t="s">
        <v>513</v>
      </c>
      <c r="E117" t="s">
        <v>631</v>
      </c>
      <c r="F117" t="s">
        <v>531</v>
      </c>
      <c r="G117" t="s">
        <v>532</v>
      </c>
      <c r="H117" t="s">
        <v>260</v>
      </c>
      <c r="I117" t="s">
        <v>261</v>
      </c>
      <c r="J117" t="s">
        <v>646</v>
      </c>
      <c r="K117" t="s">
        <v>647</v>
      </c>
      <c r="L117" t="s">
        <v>648</v>
      </c>
      <c r="M117" t="s">
        <v>635</v>
      </c>
      <c r="N117" t="s">
        <v>54</v>
      </c>
      <c r="O117" t="s">
        <v>106</v>
      </c>
      <c r="P117" t="s">
        <v>649</v>
      </c>
      <c r="Q117" t="s">
        <v>650</v>
      </c>
      <c r="R117" s="3">
        <v>5.5E-2</v>
      </c>
      <c r="S117" t="s">
        <v>23</v>
      </c>
      <c r="T117" t="s">
        <v>23</v>
      </c>
      <c r="U117" t="s">
        <v>23</v>
      </c>
      <c r="V117" t="s">
        <v>23</v>
      </c>
      <c r="W117" s="3">
        <v>0</v>
      </c>
      <c r="X117" s="3">
        <v>0</v>
      </c>
      <c r="Y117" s="3">
        <v>1.7729999999999999</v>
      </c>
      <c r="Z117" t="s">
        <v>23</v>
      </c>
      <c r="AA117" t="s">
        <v>539</v>
      </c>
      <c r="AB117" t="s">
        <v>473</v>
      </c>
      <c r="AC117" t="s">
        <v>638</v>
      </c>
      <c r="AD117" t="s">
        <v>269</v>
      </c>
      <c r="AE117" t="s">
        <v>522</v>
      </c>
      <c r="AF117" t="s">
        <v>474</v>
      </c>
      <c r="AG117" t="s">
        <v>577</v>
      </c>
      <c r="AH117" t="s">
        <v>272</v>
      </c>
      <c r="AI117" t="s">
        <v>613</v>
      </c>
      <c r="AJ117" t="s">
        <v>323</v>
      </c>
      <c r="AK117" t="s">
        <v>324</v>
      </c>
      <c r="AL117" t="s">
        <v>639</v>
      </c>
      <c r="AM117" t="s">
        <v>640</v>
      </c>
      <c r="AN117" t="s">
        <v>118</v>
      </c>
      <c r="AO117" t="s">
        <v>71</v>
      </c>
      <c r="AP117" t="s">
        <v>544</v>
      </c>
      <c r="AQ117" t="s">
        <v>545</v>
      </c>
      <c r="AR117" t="s">
        <v>546</v>
      </c>
    </row>
    <row r="118" spans="1:44" x14ac:dyDescent="0.25">
      <c r="A118" t="s">
        <v>311</v>
      </c>
      <c r="B118" t="s">
        <v>630</v>
      </c>
      <c r="C118" t="s">
        <v>44</v>
      </c>
      <c r="D118" t="s">
        <v>513</v>
      </c>
      <c r="E118" t="s">
        <v>631</v>
      </c>
      <c r="F118" t="s">
        <v>531</v>
      </c>
      <c r="G118" t="s">
        <v>532</v>
      </c>
      <c r="H118" t="s">
        <v>260</v>
      </c>
      <c r="I118" t="s">
        <v>261</v>
      </c>
      <c r="J118" t="s">
        <v>651</v>
      </c>
      <c r="K118" t="s">
        <v>652</v>
      </c>
      <c r="L118" t="s">
        <v>653</v>
      </c>
      <c r="M118" t="s">
        <v>635</v>
      </c>
      <c r="N118" t="s">
        <v>54</v>
      </c>
      <c r="O118" t="s">
        <v>106</v>
      </c>
      <c r="P118" t="s">
        <v>382</v>
      </c>
      <c r="Q118" t="s">
        <v>197</v>
      </c>
      <c r="R118" s="3">
        <v>0.06</v>
      </c>
      <c r="S118" t="s">
        <v>23</v>
      </c>
      <c r="T118" t="s">
        <v>23</v>
      </c>
      <c r="U118" t="s">
        <v>23</v>
      </c>
      <c r="V118" t="s">
        <v>23</v>
      </c>
      <c r="W118" s="3">
        <v>0</v>
      </c>
      <c r="X118" s="3">
        <v>0</v>
      </c>
      <c r="Y118" s="3">
        <v>1.7729999999999999</v>
      </c>
      <c r="Z118" t="s">
        <v>23</v>
      </c>
      <c r="AA118" t="s">
        <v>539</v>
      </c>
      <c r="AB118" t="s">
        <v>473</v>
      </c>
      <c r="AC118" t="s">
        <v>638</v>
      </c>
      <c r="AD118" t="s">
        <v>269</v>
      </c>
      <c r="AE118" t="s">
        <v>522</v>
      </c>
      <c r="AF118" t="s">
        <v>474</v>
      </c>
      <c r="AG118" t="s">
        <v>577</v>
      </c>
      <c r="AH118" t="s">
        <v>272</v>
      </c>
      <c r="AI118" t="s">
        <v>613</v>
      </c>
      <c r="AJ118" t="s">
        <v>323</v>
      </c>
      <c r="AK118" t="s">
        <v>324</v>
      </c>
      <c r="AL118" t="s">
        <v>639</v>
      </c>
      <c r="AM118" t="s">
        <v>640</v>
      </c>
      <c r="AN118" t="s">
        <v>118</v>
      </c>
      <c r="AO118" t="s">
        <v>71</v>
      </c>
      <c r="AP118" t="s">
        <v>544</v>
      </c>
      <c r="AQ118" t="s">
        <v>545</v>
      </c>
      <c r="AR118" t="s">
        <v>546</v>
      </c>
    </row>
    <row r="119" spans="1:44" x14ac:dyDescent="0.25">
      <c r="A119" t="s">
        <v>311</v>
      </c>
      <c r="B119" t="s">
        <v>654</v>
      </c>
      <c r="C119" t="s">
        <v>44</v>
      </c>
      <c r="D119" t="s">
        <v>513</v>
      </c>
      <c r="E119" t="s">
        <v>631</v>
      </c>
      <c r="F119" t="s">
        <v>531</v>
      </c>
      <c r="G119" t="s">
        <v>532</v>
      </c>
      <c r="H119" t="s">
        <v>260</v>
      </c>
      <c r="I119" t="s">
        <v>261</v>
      </c>
      <c r="J119" t="s">
        <v>646</v>
      </c>
      <c r="K119" t="s">
        <v>647</v>
      </c>
      <c r="L119" t="s">
        <v>648</v>
      </c>
      <c r="M119" t="s">
        <v>635</v>
      </c>
      <c r="N119" t="s">
        <v>54</v>
      </c>
      <c r="O119" t="s">
        <v>195</v>
      </c>
      <c r="P119" t="s">
        <v>649</v>
      </c>
      <c r="Q119" t="s">
        <v>655</v>
      </c>
      <c r="R119" s="3">
        <v>2.8000000000000001E-2</v>
      </c>
      <c r="S119" t="s">
        <v>23</v>
      </c>
      <c r="T119" t="s">
        <v>23</v>
      </c>
      <c r="U119" t="s">
        <v>23</v>
      </c>
      <c r="V119" t="s">
        <v>23</v>
      </c>
      <c r="W119" s="3">
        <v>5.8000000000000003E-2</v>
      </c>
      <c r="X119" s="3">
        <v>0</v>
      </c>
      <c r="Y119" s="3">
        <v>1.7729999999999999</v>
      </c>
      <c r="Z119" t="s">
        <v>23</v>
      </c>
      <c r="AA119" t="s">
        <v>539</v>
      </c>
      <c r="AB119" t="s">
        <v>473</v>
      </c>
      <c r="AC119" t="s">
        <v>656</v>
      </c>
      <c r="AD119" t="s">
        <v>269</v>
      </c>
      <c r="AE119" t="s">
        <v>522</v>
      </c>
      <c r="AF119" t="s">
        <v>474</v>
      </c>
      <c r="AG119" t="s">
        <v>577</v>
      </c>
      <c r="AH119" t="s">
        <v>272</v>
      </c>
      <c r="AI119" t="s">
        <v>613</v>
      </c>
      <c r="AJ119" t="s">
        <v>323</v>
      </c>
      <c r="AK119" t="s">
        <v>324</v>
      </c>
      <c r="AL119" t="s">
        <v>657</v>
      </c>
      <c r="AM119" t="s">
        <v>658</v>
      </c>
      <c r="AN119" t="s">
        <v>118</v>
      </c>
      <c r="AO119" t="s">
        <v>567</v>
      </c>
      <c r="AP119" t="s">
        <v>544</v>
      </c>
      <c r="AQ119" t="s">
        <v>545</v>
      </c>
      <c r="AR119" t="s">
        <v>546</v>
      </c>
    </row>
    <row r="120" spans="1:44" x14ac:dyDescent="0.25">
      <c r="A120" t="s">
        <v>311</v>
      </c>
      <c r="B120" t="s">
        <v>654</v>
      </c>
      <c r="C120" t="s">
        <v>44</v>
      </c>
      <c r="D120" t="s">
        <v>513</v>
      </c>
      <c r="E120" t="s">
        <v>631</v>
      </c>
      <c r="F120" t="s">
        <v>531</v>
      </c>
      <c r="G120" t="s">
        <v>532</v>
      </c>
      <c r="H120" t="s">
        <v>260</v>
      </c>
      <c r="I120" t="s">
        <v>261</v>
      </c>
      <c r="J120" t="s">
        <v>651</v>
      </c>
      <c r="K120" t="s">
        <v>652</v>
      </c>
      <c r="L120" t="s">
        <v>653</v>
      </c>
      <c r="M120" t="s">
        <v>635</v>
      </c>
      <c r="N120" t="s">
        <v>54</v>
      </c>
      <c r="O120" t="s">
        <v>195</v>
      </c>
      <c r="P120" t="s">
        <v>382</v>
      </c>
      <c r="Q120" t="s">
        <v>398</v>
      </c>
      <c r="R120" s="3">
        <v>0.03</v>
      </c>
      <c r="S120" t="s">
        <v>23</v>
      </c>
      <c r="T120" t="s">
        <v>23</v>
      </c>
      <c r="U120" t="s">
        <v>23</v>
      </c>
      <c r="V120" t="s">
        <v>23</v>
      </c>
      <c r="W120" s="3">
        <v>0</v>
      </c>
      <c r="X120" s="3">
        <v>0</v>
      </c>
      <c r="Y120" s="3">
        <v>1.7729999999999999</v>
      </c>
      <c r="Z120" t="s">
        <v>23</v>
      </c>
      <c r="AA120" t="s">
        <v>539</v>
      </c>
      <c r="AB120" t="s">
        <v>473</v>
      </c>
      <c r="AC120" t="s">
        <v>656</v>
      </c>
      <c r="AD120" t="s">
        <v>269</v>
      </c>
      <c r="AE120" t="s">
        <v>522</v>
      </c>
      <c r="AF120" t="s">
        <v>474</v>
      </c>
      <c r="AG120" t="s">
        <v>577</v>
      </c>
      <c r="AH120" t="s">
        <v>272</v>
      </c>
      <c r="AI120" t="s">
        <v>613</v>
      </c>
      <c r="AJ120" t="s">
        <v>323</v>
      </c>
      <c r="AK120" t="s">
        <v>324</v>
      </c>
      <c r="AL120" t="s">
        <v>657</v>
      </c>
      <c r="AM120" t="s">
        <v>658</v>
      </c>
      <c r="AN120" t="s">
        <v>118</v>
      </c>
      <c r="AO120" t="s">
        <v>567</v>
      </c>
      <c r="AP120" t="s">
        <v>544</v>
      </c>
      <c r="AQ120" t="s">
        <v>545</v>
      </c>
      <c r="AR120" t="s">
        <v>546</v>
      </c>
    </row>
    <row r="121" spans="1:44" x14ac:dyDescent="0.25">
      <c r="A121" t="s">
        <v>311</v>
      </c>
      <c r="B121" t="s">
        <v>659</v>
      </c>
      <c r="C121" t="s">
        <v>44</v>
      </c>
      <c r="D121" t="s">
        <v>513</v>
      </c>
      <c r="E121" t="s">
        <v>631</v>
      </c>
      <c r="F121" t="s">
        <v>531</v>
      </c>
      <c r="G121" t="s">
        <v>532</v>
      </c>
      <c r="H121" t="s">
        <v>260</v>
      </c>
      <c r="I121" t="s">
        <v>261</v>
      </c>
      <c r="J121" t="s">
        <v>660</v>
      </c>
      <c r="K121" t="s">
        <v>661</v>
      </c>
      <c r="L121" t="s">
        <v>662</v>
      </c>
      <c r="M121" t="s">
        <v>635</v>
      </c>
      <c r="N121" t="s">
        <v>54</v>
      </c>
      <c r="O121" t="s">
        <v>96</v>
      </c>
      <c r="P121" t="s">
        <v>77</v>
      </c>
      <c r="Q121" t="s">
        <v>77</v>
      </c>
      <c r="R121" s="3">
        <v>0.01</v>
      </c>
      <c r="S121" t="s">
        <v>23</v>
      </c>
      <c r="T121" t="s">
        <v>23</v>
      </c>
      <c r="U121" t="s">
        <v>23</v>
      </c>
      <c r="V121" t="s">
        <v>23</v>
      </c>
      <c r="W121" s="3">
        <v>0.01</v>
      </c>
      <c r="X121" s="3">
        <v>0</v>
      </c>
      <c r="Y121" s="3">
        <v>1.7729999999999999</v>
      </c>
      <c r="Z121" t="s">
        <v>23</v>
      </c>
      <c r="AA121" t="s">
        <v>539</v>
      </c>
      <c r="AB121" t="s">
        <v>473</v>
      </c>
      <c r="AC121" t="s">
        <v>663</v>
      </c>
      <c r="AD121" t="s">
        <v>269</v>
      </c>
      <c r="AE121" t="s">
        <v>522</v>
      </c>
      <c r="AF121" t="s">
        <v>474</v>
      </c>
      <c r="AG121" t="s">
        <v>577</v>
      </c>
      <c r="AH121" t="s">
        <v>272</v>
      </c>
      <c r="AI121" t="s">
        <v>664</v>
      </c>
      <c r="AJ121" t="s">
        <v>323</v>
      </c>
      <c r="AK121" t="s">
        <v>324</v>
      </c>
      <c r="AL121" t="s">
        <v>665</v>
      </c>
      <c r="AM121" t="s">
        <v>666</v>
      </c>
      <c r="AN121" t="s">
        <v>118</v>
      </c>
      <c r="AO121" t="s">
        <v>71</v>
      </c>
      <c r="AP121" t="s">
        <v>544</v>
      </c>
      <c r="AQ121" t="s">
        <v>545</v>
      </c>
      <c r="AR121" t="s">
        <v>546</v>
      </c>
    </row>
    <row r="122" spans="1:44" x14ac:dyDescent="0.25">
      <c r="A122" t="s">
        <v>363</v>
      </c>
      <c r="B122" t="s">
        <v>667</v>
      </c>
      <c r="C122" t="s">
        <v>44</v>
      </c>
      <c r="D122" t="s">
        <v>513</v>
      </c>
      <c r="E122" t="s">
        <v>606</v>
      </c>
      <c r="F122" t="s">
        <v>531</v>
      </c>
      <c r="G122" t="s">
        <v>532</v>
      </c>
      <c r="H122" t="s">
        <v>260</v>
      </c>
      <c r="I122" t="s">
        <v>261</v>
      </c>
      <c r="J122" t="s">
        <v>390</v>
      </c>
      <c r="K122" t="s">
        <v>391</v>
      </c>
      <c r="L122" t="s">
        <v>392</v>
      </c>
      <c r="M122" t="s">
        <v>610</v>
      </c>
      <c r="N122" t="s">
        <v>54</v>
      </c>
      <c r="O122" t="s">
        <v>96</v>
      </c>
      <c r="P122" t="s">
        <v>76</v>
      </c>
      <c r="Q122" t="s">
        <v>76</v>
      </c>
      <c r="R122" s="3">
        <v>5.0000000000000001E-3</v>
      </c>
      <c r="S122" t="s">
        <v>23</v>
      </c>
      <c r="T122" t="s">
        <v>23</v>
      </c>
      <c r="U122" s="3">
        <v>5.0000000000000001E-3</v>
      </c>
      <c r="V122" t="s">
        <v>23</v>
      </c>
      <c r="W122" t="s">
        <v>23</v>
      </c>
      <c r="X122" s="3">
        <v>0</v>
      </c>
      <c r="Y122" s="3">
        <v>1.7729999999999999</v>
      </c>
      <c r="Z122" t="s">
        <v>23</v>
      </c>
      <c r="AA122" t="s">
        <v>539</v>
      </c>
      <c r="AB122" t="s">
        <v>473</v>
      </c>
      <c r="AC122" t="s">
        <v>668</v>
      </c>
      <c r="AD122" t="s">
        <v>61</v>
      </c>
      <c r="AE122" t="s">
        <v>522</v>
      </c>
      <c r="AF122" t="s">
        <v>474</v>
      </c>
      <c r="AG122" t="s">
        <v>577</v>
      </c>
      <c r="AH122" t="s">
        <v>272</v>
      </c>
      <c r="AI122" t="s">
        <v>664</v>
      </c>
      <c r="AJ122" t="s">
        <v>373</v>
      </c>
      <c r="AK122" t="s">
        <v>374</v>
      </c>
      <c r="AL122" t="s">
        <v>669</v>
      </c>
      <c r="AM122" t="s">
        <v>670</v>
      </c>
      <c r="AN122" t="s">
        <v>118</v>
      </c>
      <c r="AO122" t="s">
        <v>71</v>
      </c>
      <c r="AP122" t="s">
        <v>544</v>
      </c>
      <c r="AQ122" t="s">
        <v>545</v>
      </c>
      <c r="AR122" t="s">
        <v>546</v>
      </c>
    </row>
    <row r="123" spans="1:44" x14ac:dyDescent="0.25">
      <c r="A123" s="4" t="s">
        <v>23</v>
      </c>
      <c r="B123" s="4" t="s">
        <v>23</v>
      </c>
      <c r="C123" s="4" t="s">
        <v>23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5">
        <v>1.7729999999999999</v>
      </c>
      <c r="S123" s="5">
        <v>0.93300000000000005</v>
      </c>
      <c r="T123" s="4" t="s">
        <v>23</v>
      </c>
      <c r="U123" s="5">
        <v>0.19600000000000001</v>
      </c>
      <c r="V123" s="5">
        <v>0.38100000000000001</v>
      </c>
      <c r="W123" s="5">
        <v>0.26300000000000001</v>
      </c>
      <c r="X123" s="5">
        <v>1.7729999999999999</v>
      </c>
      <c r="Y123" s="5">
        <v>1.7729999999999999</v>
      </c>
      <c r="Z123" s="4" t="s">
        <v>23</v>
      </c>
      <c r="AA123" s="4" t="s">
        <v>23</v>
      </c>
      <c r="AB123" s="4" t="s">
        <v>23</v>
      </c>
      <c r="AC123" s="4" t="s">
        <v>23</v>
      </c>
      <c r="AD123" s="4" t="s">
        <v>23</v>
      </c>
      <c r="AE123" s="4" t="s">
        <v>23</v>
      </c>
      <c r="AF123" s="4" t="s">
        <v>23</v>
      </c>
      <c r="AG123" s="4" t="s">
        <v>23</v>
      </c>
      <c r="AH123" s="4" t="s">
        <v>23</v>
      </c>
      <c r="AI123" s="4" t="s">
        <v>23</v>
      </c>
      <c r="AJ123" s="4" t="s">
        <v>23</v>
      </c>
      <c r="AK123" s="4" t="s">
        <v>23</v>
      </c>
      <c r="AL123" s="4" t="s">
        <v>23</v>
      </c>
      <c r="AM123" s="4" t="s">
        <v>23</v>
      </c>
      <c r="AN123" s="4" t="s">
        <v>23</v>
      </c>
      <c r="AO123" s="4" t="s">
        <v>23</v>
      </c>
      <c r="AP123" s="4" t="s">
        <v>23</v>
      </c>
      <c r="AQ123" s="4" t="s">
        <v>23</v>
      </c>
      <c r="AR123" s="4" t="s">
        <v>23</v>
      </c>
    </row>
    <row r="124" spans="1:44" x14ac:dyDescent="0.25">
      <c r="A124" t="s">
        <v>101</v>
      </c>
      <c r="B124" t="s">
        <v>671</v>
      </c>
      <c r="C124" t="s">
        <v>44</v>
      </c>
      <c r="D124" t="s">
        <v>672</v>
      </c>
      <c r="E124" t="s">
        <v>278</v>
      </c>
      <c r="F124" t="s">
        <v>258</v>
      </c>
      <c r="G124" t="s">
        <v>259</v>
      </c>
      <c r="H124" t="s">
        <v>260</v>
      </c>
      <c r="I124" t="s">
        <v>261</v>
      </c>
      <c r="J124" t="s">
        <v>170</v>
      </c>
      <c r="K124" t="s">
        <v>171</v>
      </c>
      <c r="L124" t="s">
        <v>172</v>
      </c>
      <c r="M124" t="s">
        <v>279</v>
      </c>
      <c r="N124" t="s">
        <v>280</v>
      </c>
      <c r="O124" t="s">
        <v>673</v>
      </c>
      <c r="P124" t="s">
        <v>93</v>
      </c>
      <c r="Q124" t="s">
        <v>674</v>
      </c>
      <c r="R124" s="3">
        <v>0.25</v>
      </c>
      <c r="S124" s="3">
        <v>0.25</v>
      </c>
      <c r="T124" t="s">
        <v>23</v>
      </c>
      <c r="U124" t="s">
        <v>23</v>
      </c>
      <c r="V124" t="s">
        <v>23</v>
      </c>
      <c r="W124" t="s">
        <v>23</v>
      </c>
      <c r="X124" s="3">
        <v>1.25</v>
      </c>
      <c r="Y124" s="3">
        <v>1.25</v>
      </c>
      <c r="Z124" t="s">
        <v>23</v>
      </c>
      <c r="AA124" t="s">
        <v>675</v>
      </c>
      <c r="AB124" t="s">
        <v>283</v>
      </c>
      <c r="AC124" t="s">
        <v>284</v>
      </c>
      <c r="AD124" t="s">
        <v>269</v>
      </c>
      <c r="AE124" t="s">
        <v>270</v>
      </c>
      <c r="AF124" t="s">
        <v>285</v>
      </c>
      <c r="AG124" t="s">
        <v>459</v>
      </c>
      <c r="AH124" t="s">
        <v>272</v>
      </c>
      <c r="AI124" t="s">
        <v>286</v>
      </c>
      <c r="AJ124" t="s">
        <v>114</v>
      </c>
      <c r="AK124" t="s">
        <v>115</v>
      </c>
      <c r="AL124" t="s">
        <v>676</v>
      </c>
      <c r="AM124" t="s">
        <v>677</v>
      </c>
      <c r="AN124" t="s">
        <v>118</v>
      </c>
      <c r="AO124" t="s">
        <v>71</v>
      </c>
      <c r="AP124" t="s">
        <v>23</v>
      </c>
      <c r="AQ124" t="s">
        <v>23</v>
      </c>
      <c r="AR124" t="s">
        <v>23</v>
      </c>
    </row>
    <row r="125" spans="1:44" x14ac:dyDescent="0.25">
      <c r="A125" t="s">
        <v>101</v>
      </c>
      <c r="B125" t="s">
        <v>678</v>
      </c>
      <c r="C125" t="s">
        <v>44</v>
      </c>
      <c r="D125" t="s">
        <v>672</v>
      </c>
      <c r="E125" t="s">
        <v>278</v>
      </c>
      <c r="F125" t="s">
        <v>258</v>
      </c>
      <c r="G125" t="s">
        <v>259</v>
      </c>
      <c r="H125" t="s">
        <v>260</v>
      </c>
      <c r="I125" t="s">
        <v>261</v>
      </c>
      <c r="J125" t="s">
        <v>679</v>
      </c>
      <c r="K125" t="s">
        <v>680</v>
      </c>
      <c r="L125" t="s">
        <v>681</v>
      </c>
      <c r="M125" t="s">
        <v>279</v>
      </c>
      <c r="N125" t="s">
        <v>280</v>
      </c>
      <c r="O125" t="s">
        <v>96</v>
      </c>
      <c r="P125" t="s">
        <v>164</v>
      </c>
      <c r="Q125" t="s">
        <v>682</v>
      </c>
      <c r="R125" s="3">
        <v>1</v>
      </c>
      <c r="S125" s="3">
        <v>1</v>
      </c>
      <c r="T125" t="s">
        <v>23</v>
      </c>
      <c r="U125" t="s">
        <v>23</v>
      </c>
      <c r="V125" t="s">
        <v>23</v>
      </c>
      <c r="W125" t="s">
        <v>23</v>
      </c>
      <c r="X125" s="3">
        <v>0</v>
      </c>
      <c r="Y125" s="3">
        <v>1.25</v>
      </c>
      <c r="Z125" t="s">
        <v>23</v>
      </c>
      <c r="AA125" t="s">
        <v>675</v>
      </c>
      <c r="AB125" t="s">
        <v>283</v>
      </c>
      <c r="AC125" t="s">
        <v>683</v>
      </c>
      <c r="AD125" t="s">
        <v>269</v>
      </c>
      <c r="AE125" t="s">
        <v>270</v>
      </c>
      <c r="AF125" t="s">
        <v>285</v>
      </c>
      <c r="AG125" t="s">
        <v>459</v>
      </c>
      <c r="AH125" t="s">
        <v>272</v>
      </c>
      <c r="AI125" t="s">
        <v>684</v>
      </c>
      <c r="AJ125" t="s">
        <v>114</v>
      </c>
      <c r="AK125" t="s">
        <v>115</v>
      </c>
      <c r="AL125" t="s">
        <v>685</v>
      </c>
      <c r="AM125" t="s">
        <v>686</v>
      </c>
      <c r="AN125" t="s">
        <v>118</v>
      </c>
      <c r="AO125" t="s">
        <v>71</v>
      </c>
      <c r="AP125" t="s">
        <v>23</v>
      </c>
      <c r="AQ125" t="s">
        <v>23</v>
      </c>
      <c r="AR125" t="s">
        <v>23</v>
      </c>
    </row>
    <row r="126" spans="1:44" x14ac:dyDescent="0.25">
      <c r="A126" s="4" t="s">
        <v>23</v>
      </c>
      <c r="B126" s="4" t="s">
        <v>23</v>
      </c>
      <c r="C126" s="4" t="s">
        <v>23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5">
        <v>1.25</v>
      </c>
      <c r="S126" s="5">
        <v>1.25</v>
      </c>
      <c r="T126" s="4" t="s">
        <v>23</v>
      </c>
      <c r="U126" s="4" t="s">
        <v>23</v>
      </c>
      <c r="V126" s="4" t="s">
        <v>23</v>
      </c>
      <c r="W126" s="4" t="s">
        <v>23</v>
      </c>
      <c r="X126" s="5">
        <v>1.25</v>
      </c>
      <c r="Y126" s="5">
        <v>1.25</v>
      </c>
      <c r="Z126" s="4" t="s">
        <v>23</v>
      </c>
      <c r="AA126" s="4" t="s">
        <v>23</v>
      </c>
      <c r="AB126" s="4" t="s">
        <v>23</v>
      </c>
      <c r="AC126" s="4" t="s">
        <v>23</v>
      </c>
      <c r="AD126" s="4" t="s">
        <v>23</v>
      </c>
      <c r="AE126" s="4" t="s">
        <v>23</v>
      </c>
      <c r="AF126" s="4" t="s">
        <v>23</v>
      </c>
      <c r="AG126" s="4" t="s">
        <v>23</v>
      </c>
      <c r="AH126" s="4" t="s">
        <v>23</v>
      </c>
      <c r="AI126" s="4" t="s">
        <v>23</v>
      </c>
      <c r="AJ126" s="4" t="s">
        <v>23</v>
      </c>
      <c r="AK126" s="4" t="s">
        <v>23</v>
      </c>
      <c r="AL126" s="4" t="s">
        <v>23</v>
      </c>
      <c r="AM126" s="4" t="s">
        <v>23</v>
      </c>
      <c r="AN126" s="4" t="s">
        <v>23</v>
      </c>
      <c r="AO126" s="4" t="s">
        <v>23</v>
      </c>
      <c r="AP126" s="4" t="s">
        <v>23</v>
      </c>
      <c r="AQ126" s="4" t="s">
        <v>23</v>
      </c>
      <c r="AR126" s="4" t="s">
        <v>23</v>
      </c>
    </row>
    <row r="127" spans="1:44" x14ac:dyDescent="0.25">
      <c r="A127" t="s">
        <v>101</v>
      </c>
      <c r="B127" t="s">
        <v>687</v>
      </c>
      <c r="C127" t="s">
        <v>44</v>
      </c>
      <c r="D127" t="s">
        <v>688</v>
      </c>
      <c r="E127" t="s">
        <v>689</v>
      </c>
      <c r="F127" t="s">
        <v>690</v>
      </c>
      <c r="G127" t="s">
        <v>691</v>
      </c>
      <c r="H127" t="s">
        <v>260</v>
      </c>
      <c r="I127" t="s">
        <v>261</v>
      </c>
      <c r="J127" t="s">
        <v>692</v>
      </c>
      <c r="K127" t="s">
        <v>693</v>
      </c>
      <c r="L127" t="s">
        <v>694</v>
      </c>
      <c r="M127" t="s">
        <v>23</v>
      </c>
      <c r="N127" t="s">
        <v>280</v>
      </c>
      <c r="O127" t="s">
        <v>695</v>
      </c>
      <c r="P127" t="s">
        <v>179</v>
      </c>
      <c r="Q127" t="s">
        <v>696</v>
      </c>
      <c r="R127" s="3">
        <v>1.8</v>
      </c>
      <c r="S127" s="3">
        <v>1.8</v>
      </c>
      <c r="T127" t="s">
        <v>23</v>
      </c>
      <c r="U127" t="s">
        <v>23</v>
      </c>
      <c r="V127" t="s">
        <v>23</v>
      </c>
      <c r="W127" t="s">
        <v>23</v>
      </c>
      <c r="X127" s="3">
        <v>1.8</v>
      </c>
      <c r="Y127" s="3">
        <v>1.8</v>
      </c>
      <c r="Z127" t="s">
        <v>23</v>
      </c>
      <c r="AA127" t="s">
        <v>697</v>
      </c>
      <c r="AB127" t="s">
        <v>283</v>
      </c>
      <c r="AC127" t="s">
        <v>698</v>
      </c>
      <c r="AD127" t="s">
        <v>699</v>
      </c>
      <c r="AE127" t="s">
        <v>700</v>
      </c>
      <c r="AF127" t="s">
        <v>285</v>
      </c>
      <c r="AG127" t="s">
        <v>459</v>
      </c>
      <c r="AH127" t="s">
        <v>272</v>
      </c>
      <c r="AI127" t="s">
        <v>701</v>
      </c>
      <c r="AJ127" t="s">
        <v>114</v>
      </c>
      <c r="AK127" t="s">
        <v>115</v>
      </c>
      <c r="AL127" t="s">
        <v>702</v>
      </c>
      <c r="AM127" t="s">
        <v>703</v>
      </c>
      <c r="AN127" t="s">
        <v>118</v>
      </c>
      <c r="AO127" t="s">
        <v>71</v>
      </c>
      <c r="AP127" t="s">
        <v>23</v>
      </c>
      <c r="AQ127" t="s">
        <v>23</v>
      </c>
      <c r="AR127" t="s">
        <v>23</v>
      </c>
    </row>
    <row r="128" spans="1:44" x14ac:dyDescent="0.25">
      <c r="A128" s="4" t="s">
        <v>23</v>
      </c>
      <c r="B128" s="4" t="s">
        <v>23</v>
      </c>
      <c r="C128" s="4" t="s">
        <v>23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5">
        <v>1.8</v>
      </c>
      <c r="S128" s="5">
        <v>1.8</v>
      </c>
      <c r="T128" s="4" t="s">
        <v>23</v>
      </c>
      <c r="U128" s="4" t="s">
        <v>23</v>
      </c>
      <c r="V128" s="4" t="s">
        <v>23</v>
      </c>
      <c r="W128" s="4" t="s">
        <v>23</v>
      </c>
      <c r="X128" s="5">
        <v>1.8</v>
      </c>
      <c r="Y128" s="5">
        <v>1.8</v>
      </c>
      <c r="Z128" s="4" t="s">
        <v>23</v>
      </c>
      <c r="AA128" s="4" t="s">
        <v>23</v>
      </c>
      <c r="AB128" s="4" t="s">
        <v>23</v>
      </c>
      <c r="AC128" s="4" t="s">
        <v>23</v>
      </c>
      <c r="AD128" s="4" t="s">
        <v>23</v>
      </c>
      <c r="AE128" s="4" t="s">
        <v>23</v>
      </c>
      <c r="AF128" s="4" t="s">
        <v>23</v>
      </c>
      <c r="AG128" s="4" t="s">
        <v>23</v>
      </c>
      <c r="AH128" s="4" t="s">
        <v>23</v>
      </c>
      <c r="AI128" s="4" t="s">
        <v>23</v>
      </c>
      <c r="AJ128" s="4" t="s">
        <v>23</v>
      </c>
      <c r="AK128" s="4" t="s">
        <v>23</v>
      </c>
      <c r="AL128" s="4" t="s">
        <v>23</v>
      </c>
      <c r="AM128" s="4" t="s">
        <v>23</v>
      </c>
      <c r="AN128" s="4" t="s">
        <v>23</v>
      </c>
      <c r="AO128" s="4" t="s">
        <v>23</v>
      </c>
      <c r="AP128" s="4" t="s">
        <v>23</v>
      </c>
      <c r="AQ128" s="4" t="s">
        <v>23</v>
      </c>
      <c r="AR128" s="4" t="s">
        <v>23</v>
      </c>
    </row>
    <row r="129" spans="1:44" x14ac:dyDescent="0.25">
      <c r="A129" t="s">
        <v>21</v>
      </c>
      <c r="B129" t="s">
        <v>704</v>
      </c>
      <c r="C129" t="s">
        <v>44</v>
      </c>
      <c r="D129" t="s">
        <v>705</v>
      </c>
      <c r="E129" t="s">
        <v>706</v>
      </c>
      <c r="F129" t="s">
        <v>707</v>
      </c>
      <c r="G129" t="s">
        <v>708</v>
      </c>
      <c r="H129" t="s">
        <v>260</v>
      </c>
      <c r="I129" t="s">
        <v>261</v>
      </c>
      <c r="J129" t="s">
        <v>440</v>
      </c>
      <c r="K129" t="s">
        <v>441</v>
      </c>
      <c r="L129" t="s">
        <v>442</v>
      </c>
      <c r="M129" t="s">
        <v>709</v>
      </c>
      <c r="N129" t="s">
        <v>54</v>
      </c>
      <c r="O129" t="s">
        <v>106</v>
      </c>
      <c r="P129" t="s">
        <v>444</v>
      </c>
      <c r="Q129" t="s">
        <v>710</v>
      </c>
      <c r="R129" s="3">
        <v>0.23499999999999999</v>
      </c>
      <c r="S129" t="s">
        <v>23</v>
      </c>
      <c r="T129" t="s">
        <v>23</v>
      </c>
      <c r="U129" t="s">
        <v>23</v>
      </c>
      <c r="V129" s="3">
        <v>0.23499999999999999</v>
      </c>
      <c r="W129" t="s">
        <v>23</v>
      </c>
      <c r="X129" s="3">
        <v>1.875</v>
      </c>
      <c r="Y129" s="3">
        <v>1.875</v>
      </c>
      <c r="Z129" t="s">
        <v>23</v>
      </c>
      <c r="AA129" t="s">
        <v>711</v>
      </c>
      <c r="AB129" t="s">
        <v>59</v>
      </c>
      <c r="AC129" t="s">
        <v>712</v>
      </c>
      <c r="AD129" t="s">
        <v>61</v>
      </c>
      <c r="AE129" t="s">
        <v>62</v>
      </c>
      <c r="AF129" t="s">
        <v>63</v>
      </c>
      <c r="AG129" t="s">
        <v>64</v>
      </c>
      <c r="AH129" t="s">
        <v>65</v>
      </c>
      <c r="AI129" t="s">
        <v>23</v>
      </c>
      <c r="AJ129" t="s">
        <v>66</v>
      </c>
      <c r="AK129" t="s">
        <v>67</v>
      </c>
      <c r="AL129" t="s">
        <v>713</v>
      </c>
      <c r="AM129" t="s">
        <v>714</v>
      </c>
      <c r="AN129" t="s">
        <v>70</v>
      </c>
      <c r="AO129" t="s">
        <v>71</v>
      </c>
      <c r="AP129" t="s">
        <v>544</v>
      </c>
      <c r="AQ129" t="s">
        <v>715</v>
      </c>
      <c r="AR129" t="s">
        <v>716</v>
      </c>
    </row>
    <row r="130" spans="1:44" x14ac:dyDescent="0.25">
      <c r="A130" t="s">
        <v>101</v>
      </c>
      <c r="B130" t="s">
        <v>717</v>
      </c>
      <c r="C130" t="s">
        <v>44</v>
      </c>
      <c r="D130" t="s">
        <v>705</v>
      </c>
      <c r="E130" t="s">
        <v>706</v>
      </c>
      <c r="F130" t="s">
        <v>707</v>
      </c>
      <c r="G130" t="s">
        <v>708</v>
      </c>
      <c r="H130" t="s">
        <v>260</v>
      </c>
      <c r="I130" t="s">
        <v>261</v>
      </c>
      <c r="J130" t="s">
        <v>431</v>
      </c>
      <c r="K130" t="s">
        <v>432</v>
      </c>
      <c r="L130" t="s">
        <v>433</v>
      </c>
      <c r="M130" t="s">
        <v>709</v>
      </c>
      <c r="N130" t="s">
        <v>428</v>
      </c>
      <c r="O130" t="s">
        <v>55</v>
      </c>
      <c r="P130" t="s">
        <v>93</v>
      </c>
      <c r="Q130" t="s">
        <v>718</v>
      </c>
      <c r="R130" s="3">
        <v>0.375</v>
      </c>
      <c r="S130" s="3">
        <v>0.51500000000000001</v>
      </c>
      <c r="T130" t="s">
        <v>23</v>
      </c>
      <c r="U130" t="s">
        <v>23</v>
      </c>
      <c r="V130" t="s">
        <v>23</v>
      </c>
      <c r="W130" t="s">
        <v>23</v>
      </c>
      <c r="X130" s="3">
        <v>0</v>
      </c>
      <c r="Y130" s="3">
        <v>1.875</v>
      </c>
      <c r="Z130" t="s">
        <v>23</v>
      </c>
      <c r="AA130" t="s">
        <v>711</v>
      </c>
      <c r="AB130" t="s">
        <v>283</v>
      </c>
      <c r="AC130" t="s">
        <v>719</v>
      </c>
      <c r="AD130" t="s">
        <v>61</v>
      </c>
      <c r="AE130" t="s">
        <v>62</v>
      </c>
      <c r="AF130" t="s">
        <v>285</v>
      </c>
      <c r="AG130" t="s">
        <v>577</v>
      </c>
      <c r="AH130" t="s">
        <v>272</v>
      </c>
      <c r="AI130" t="s">
        <v>23</v>
      </c>
      <c r="AJ130" t="s">
        <v>114</v>
      </c>
      <c r="AK130" t="s">
        <v>115</v>
      </c>
      <c r="AL130" t="s">
        <v>720</v>
      </c>
      <c r="AM130" t="s">
        <v>721</v>
      </c>
      <c r="AN130" t="s">
        <v>118</v>
      </c>
      <c r="AO130" t="s">
        <v>71</v>
      </c>
      <c r="AP130" t="s">
        <v>544</v>
      </c>
      <c r="AQ130" t="s">
        <v>715</v>
      </c>
      <c r="AR130" t="s">
        <v>716</v>
      </c>
    </row>
    <row r="131" spans="1:44" x14ac:dyDescent="0.25">
      <c r="A131" t="s">
        <v>101</v>
      </c>
      <c r="B131" t="s">
        <v>717</v>
      </c>
      <c r="C131" t="s">
        <v>44</v>
      </c>
      <c r="D131" t="s">
        <v>705</v>
      </c>
      <c r="E131" t="s">
        <v>706</v>
      </c>
      <c r="F131" t="s">
        <v>707</v>
      </c>
      <c r="G131" t="s">
        <v>708</v>
      </c>
      <c r="H131" t="s">
        <v>260</v>
      </c>
      <c r="I131" t="s">
        <v>261</v>
      </c>
      <c r="J131" t="s">
        <v>722</v>
      </c>
      <c r="K131" t="s">
        <v>723</v>
      </c>
      <c r="L131" t="s">
        <v>724</v>
      </c>
      <c r="M131" t="s">
        <v>709</v>
      </c>
      <c r="N131" t="s">
        <v>54</v>
      </c>
      <c r="O131" t="s">
        <v>106</v>
      </c>
      <c r="P131" t="s">
        <v>226</v>
      </c>
      <c r="Q131" t="s">
        <v>725</v>
      </c>
      <c r="R131" s="3">
        <v>0.14000000000000001</v>
      </c>
      <c r="S131" s="3">
        <v>0</v>
      </c>
      <c r="T131" t="s">
        <v>23</v>
      </c>
      <c r="U131" t="s">
        <v>23</v>
      </c>
      <c r="V131" t="s">
        <v>23</v>
      </c>
      <c r="W131" t="s">
        <v>23</v>
      </c>
      <c r="X131" s="3">
        <v>0</v>
      </c>
      <c r="Y131" s="3">
        <v>1.875</v>
      </c>
      <c r="Z131" t="s">
        <v>23</v>
      </c>
      <c r="AA131" t="s">
        <v>711</v>
      </c>
      <c r="AB131" t="s">
        <v>468</v>
      </c>
      <c r="AC131" t="s">
        <v>719</v>
      </c>
      <c r="AD131" t="s">
        <v>61</v>
      </c>
      <c r="AE131" t="s">
        <v>62</v>
      </c>
      <c r="AF131" t="s">
        <v>469</v>
      </c>
      <c r="AG131" t="s">
        <v>577</v>
      </c>
      <c r="AH131" t="s">
        <v>272</v>
      </c>
      <c r="AI131" t="s">
        <v>23</v>
      </c>
      <c r="AJ131" t="s">
        <v>190</v>
      </c>
      <c r="AK131" t="s">
        <v>191</v>
      </c>
      <c r="AL131" t="s">
        <v>720</v>
      </c>
      <c r="AM131" t="s">
        <v>721</v>
      </c>
      <c r="AN131" t="s">
        <v>118</v>
      </c>
      <c r="AO131" t="s">
        <v>71</v>
      </c>
      <c r="AP131" t="s">
        <v>544</v>
      </c>
      <c r="AQ131" t="s">
        <v>715</v>
      </c>
      <c r="AR131" t="s">
        <v>716</v>
      </c>
    </row>
    <row r="132" spans="1:44" x14ac:dyDescent="0.25">
      <c r="A132" t="s">
        <v>101</v>
      </c>
      <c r="B132" t="s">
        <v>726</v>
      </c>
      <c r="C132" t="s">
        <v>44</v>
      </c>
      <c r="D132" t="s">
        <v>705</v>
      </c>
      <c r="E132" t="s">
        <v>706</v>
      </c>
      <c r="F132" t="s">
        <v>707</v>
      </c>
      <c r="G132" t="s">
        <v>708</v>
      </c>
      <c r="H132" t="s">
        <v>260</v>
      </c>
      <c r="I132" t="s">
        <v>261</v>
      </c>
      <c r="J132" t="s">
        <v>431</v>
      </c>
      <c r="K132" t="s">
        <v>432</v>
      </c>
      <c r="L132" t="s">
        <v>433</v>
      </c>
      <c r="M132" t="s">
        <v>709</v>
      </c>
      <c r="N132" t="s">
        <v>428</v>
      </c>
      <c r="O132" t="s">
        <v>337</v>
      </c>
      <c r="P132" t="s">
        <v>93</v>
      </c>
      <c r="Q132" t="s">
        <v>727</v>
      </c>
      <c r="R132" s="3">
        <v>1.125</v>
      </c>
      <c r="S132" s="3">
        <v>1.125</v>
      </c>
      <c r="T132" t="s">
        <v>23</v>
      </c>
      <c r="U132" t="s">
        <v>23</v>
      </c>
      <c r="V132" t="s">
        <v>23</v>
      </c>
      <c r="W132" t="s">
        <v>23</v>
      </c>
      <c r="X132" s="3">
        <v>0</v>
      </c>
      <c r="Y132" s="3">
        <v>1.875</v>
      </c>
      <c r="Z132" t="s">
        <v>23</v>
      </c>
      <c r="AA132" t="s">
        <v>711</v>
      </c>
      <c r="AB132" t="s">
        <v>283</v>
      </c>
      <c r="AC132" t="s">
        <v>728</v>
      </c>
      <c r="AD132" t="s">
        <v>61</v>
      </c>
      <c r="AE132" t="s">
        <v>62</v>
      </c>
      <c r="AF132" t="s">
        <v>285</v>
      </c>
      <c r="AG132" t="s">
        <v>577</v>
      </c>
      <c r="AH132" t="s">
        <v>272</v>
      </c>
      <c r="AI132" t="s">
        <v>729</v>
      </c>
      <c r="AJ132" t="s">
        <v>114</v>
      </c>
      <c r="AK132" t="s">
        <v>115</v>
      </c>
      <c r="AL132" t="s">
        <v>730</v>
      </c>
      <c r="AM132" t="s">
        <v>731</v>
      </c>
      <c r="AN132" t="s">
        <v>118</v>
      </c>
      <c r="AO132" t="s">
        <v>71</v>
      </c>
      <c r="AP132" t="s">
        <v>544</v>
      </c>
      <c r="AQ132" t="s">
        <v>715</v>
      </c>
      <c r="AR132" t="s">
        <v>716</v>
      </c>
    </row>
    <row r="133" spans="1:44" x14ac:dyDescent="0.25">
      <c r="A133" s="4" t="s">
        <v>23</v>
      </c>
      <c r="B133" s="4" t="s">
        <v>23</v>
      </c>
      <c r="C133" s="4" t="s">
        <v>23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5">
        <v>1.875</v>
      </c>
      <c r="S133" s="5">
        <v>1.64</v>
      </c>
      <c r="T133" s="4" t="s">
        <v>23</v>
      </c>
      <c r="U133" s="4" t="s">
        <v>23</v>
      </c>
      <c r="V133" s="5">
        <v>0.23499999999999999</v>
      </c>
      <c r="W133" s="4" t="s">
        <v>23</v>
      </c>
      <c r="X133" s="5">
        <v>1.875</v>
      </c>
      <c r="Y133" s="5">
        <v>1.875</v>
      </c>
      <c r="Z133" s="4" t="s">
        <v>23</v>
      </c>
      <c r="AA133" s="4" t="s">
        <v>23</v>
      </c>
      <c r="AB133" s="4" t="s">
        <v>23</v>
      </c>
      <c r="AC133" s="4" t="s">
        <v>23</v>
      </c>
      <c r="AD133" s="4" t="s">
        <v>23</v>
      </c>
      <c r="AE133" s="4" t="s">
        <v>23</v>
      </c>
      <c r="AF133" s="4" t="s">
        <v>23</v>
      </c>
      <c r="AG133" s="4" t="s">
        <v>23</v>
      </c>
      <c r="AH133" s="4" t="s">
        <v>23</v>
      </c>
      <c r="AI133" s="4" t="s">
        <v>23</v>
      </c>
      <c r="AJ133" s="4" t="s">
        <v>23</v>
      </c>
      <c r="AK133" s="4" t="s">
        <v>23</v>
      </c>
      <c r="AL133" s="4" t="s">
        <v>23</v>
      </c>
      <c r="AM133" s="4" t="s">
        <v>23</v>
      </c>
      <c r="AN133" s="4" t="s">
        <v>23</v>
      </c>
      <c r="AO133" s="4" t="s">
        <v>23</v>
      </c>
      <c r="AP133" s="4" t="s">
        <v>23</v>
      </c>
      <c r="AQ133" s="4" t="s">
        <v>23</v>
      </c>
      <c r="AR133" s="4" t="s">
        <v>23</v>
      </c>
    </row>
    <row r="134" spans="1:44" x14ac:dyDescent="0.25">
      <c r="A134" t="s">
        <v>21</v>
      </c>
      <c r="B134" t="s">
        <v>732</v>
      </c>
      <c r="C134" t="s">
        <v>44</v>
      </c>
      <c r="D134" t="s">
        <v>733</v>
      </c>
      <c r="E134" t="s">
        <v>734</v>
      </c>
      <c r="F134" t="s">
        <v>735</v>
      </c>
      <c r="G134" t="s">
        <v>736</v>
      </c>
      <c r="H134" t="s">
        <v>260</v>
      </c>
      <c r="I134" t="s">
        <v>261</v>
      </c>
      <c r="J134" t="s">
        <v>737</v>
      </c>
      <c r="K134" t="s">
        <v>738</v>
      </c>
      <c r="L134" t="s">
        <v>739</v>
      </c>
      <c r="M134" t="s">
        <v>23</v>
      </c>
      <c r="N134" t="s">
        <v>280</v>
      </c>
      <c r="O134" t="s">
        <v>740</v>
      </c>
      <c r="P134" t="s">
        <v>179</v>
      </c>
      <c r="Q134" t="s">
        <v>741</v>
      </c>
      <c r="R134" s="3">
        <v>0.09</v>
      </c>
      <c r="S134" t="s">
        <v>23</v>
      </c>
      <c r="T134" t="s">
        <v>23</v>
      </c>
      <c r="U134" t="s">
        <v>23</v>
      </c>
      <c r="V134" s="3">
        <v>0.09</v>
      </c>
      <c r="W134" t="s">
        <v>23</v>
      </c>
      <c r="X134" s="3">
        <v>1.456</v>
      </c>
      <c r="Y134" s="3">
        <v>1.456</v>
      </c>
      <c r="Z134" t="s">
        <v>23</v>
      </c>
      <c r="AA134" t="s">
        <v>742</v>
      </c>
      <c r="AB134" t="s">
        <v>59</v>
      </c>
      <c r="AC134" t="s">
        <v>743</v>
      </c>
      <c r="AD134" t="s">
        <v>269</v>
      </c>
      <c r="AE134" t="s">
        <v>744</v>
      </c>
      <c r="AF134" t="s">
        <v>63</v>
      </c>
      <c r="AG134" t="s">
        <v>64</v>
      </c>
      <c r="AH134" t="s">
        <v>65</v>
      </c>
      <c r="AI134" t="s">
        <v>745</v>
      </c>
      <c r="AJ134" t="s">
        <v>66</v>
      </c>
      <c r="AK134" t="s">
        <v>67</v>
      </c>
      <c r="AL134" t="s">
        <v>746</v>
      </c>
      <c r="AM134" t="s">
        <v>747</v>
      </c>
      <c r="AN134" t="s">
        <v>70</v>
      </c>
      <c r="AO134" t="s">
        <v>71</v>
      </c>
      <c r="AP134" t="s">
        <v>544</v>
      </c>
      <c r="AQ134" t="s">
        <v>748</v>
      </c>
      <c r="AR134" t="s">
        <v>749</v>
      </c>
    </row>
    <row r="135" spans="1:44" x14ac:dyDescent="0.25">
      <c r="A135" t="s">
        <v>101</v>
      </c>
      <c r="B135" t="s">
        <v>750</v>
      </c>
      <c r="C135" t="s">
        <v>44</v>
      </c>
      <c r="D135" t="s">
        <v>733</v>
      </c>
      <c r="E135" t="s">
        <v>734</v>
      </c>
      <c r="F135" t="s">
        <v>735</v>
      </c>
      <c r="G135" t="s">
        <v>736</v>
      </c>
      <c r="H135" t="s">
        <v>260</v>
      </c>
      <c r="I135" t="s">
        <v>261</v>
      </c>
      <c r="J135" t="s">
        <v>170</v>
      </c>
      <c r="K135" t="s">
        <v>171</v>
      </c>
      <c r="L135" t="s">
        <v>172</v>
      </c>
      <c r="M135" t="s">
        <v>23</v>
      </c>
      <c r="N135" t="s">
        <v>280</v>
      </c>
      <c r="O135" t="s">
        <v>751</v>
      </c>
      <c r="P135" t="s">
        <v>93</v>
      </c>
      <c r="Q135" t="s">
        <v>173</v>
      </c>
      <c r="R135" s="3">
        <v>0.5</v>
      </c>
      <c r="S135" s="3">
        <v>1.33</v>
      </c>
      <c r="T135" t="s">
        <v>23</v>
      </c>
      <c r="U135" t="s">
        <v>23</v>
      </c>
      <c r="V135" t="s">
        <v>23</v>
      </c>
      <c r="W135" t="s">
        <v>23</v>
      </c>
      <c r="X135" s="3">
        <v>0</v>
      </c>
      <c r="Y135" s="3">
        <v>1.456</v>
      </c>
      <c r="Z135" t="s">
        <v>23</v>
      </c>
      <c r="AA135" t="s">
        <v>742</v>
      </c>
      <c r="AB135" t="s">
        <v>283</v>
      </c>
      <c r="AC135" t="s">
        <v>752</v>
      </c>
      <c r="AD135" t="s">
        <v>269</v>
      </c>
      <c r="AE135" t="s">
        <v>744</v>
      </c>
      <c r="AF135" t="s">
        <v>285</v>
      </c>
      <c r="AG135" t="s">
        <v>112</v>
      </c>
      <c r="AH135" t="s">
        <v>272</v>
      </c>
      <c r="AI135" t="s">
        <v>753</v>
      </c>
      <c r="AJ135" t="s">
        <v>114</v>
      </c>
      <c r="AK135" t="s">
        <v>115</v>
      </c>
      <c r="AL135" t="s">
        <v>754</v>
      </c>
      <c r="AM135" t="s">
        <v>755</v>
      </c>
      <c r="AN135" t="s">
        <v>118</v>
      </c>
      <c r="AO135" t="s">
        <v>71</v>
      </c>
      <c r="AP135" t="s">
        <v>544</v>
      </c>
      <c r="AQ135" t="s">
        <v>748</v>
      </c>
      <c r="AR135" t="s">
        <v>749</v>
      </c>
    </row>
    <row r="136" spans="1:44" x14ac:dyDescent="0.25">
      <c r="A136" t="s">
        <v>101</v>
      </c>
      <c r="B136" t="s">
        <v>750</v>
      </c>
      <c r="C136" t="s">
        <v>44</v>
      </c>
      <c r="D136" t="s">
        <v>733</v>
      </c>
      <c r="E136" t="s">
        <v>734</v>
      </c>
      <c r="F136" t="s">
        <v>735</v>
      </c>
      <c r="G136" t="s">
        <v>736</v>
      </c>
      <c r="H136" t="s">
        <v>260</v>
      </c>
      <c r="I136" t="s">
        <v>261</v>
      </c>
      <c r="J136" t="s">
        <v>181</v>
      </c>
      <c r="K136" t="s">
        <v>182</v>
      </c>
      <c r="L136" t="s">
        <v>183</v>
      </c>
      <c r="M136" t="s">
        <v>23</v>
      </c>
      <c r="N136" t="s">
        <v>280</v>
      </c>
      <c r="O136" t="s">
        <v>756</v>
      </c>
      <c r="P136" t="s">
        <v>179</v>
      </c>
      <c r="Q136" t="s">
        <v>757</v>
      </c>
      <c r="R136" s="3">
        <v>0.36</v>
      </c>
      <c r="S136" s="3">
        <v>0</v>
      </c>
      <c r="T136" t="s">
        <v>23</v>
      </c>
      <c r="U136" t="s">
        <v>23</v>
      </c>
      <c r="V136" t="s">
        <v>23</v>
      </c>
      <c r="W136" t="s">
        <v>23</v>
      </c>
      <c r="X136" s="3">
        <v>0</v>
      </c>
      <c r="Y136" s="3">
        <v>1.456</v>
      </c>
      <c r="Z136" t="s">
        <v>23</v>
      </c>
      <c r="AA136" t="s">
        <v>742</v>
      </c>
      <c r="AB136" t="s">
        <v>283</v>
      </c>
      <c r="AC136" t="s">
        <v>752</v>
      </c>
      <c r="AD136" t="s">
        <v>269</v>
      </c>
      <c r="AE136" t="s">
        <v>744</v>
      </c>
      <c r="AF136" t="s">
        <v>285</v>
      </c>
      <c r="AG136" t="s">
        <v>112</v>
      </c>
      <c r="AH136" t="s">
        <v>272</v>
      </c>
      <c r="AI136" t="s">
        <v>753</v>
      </c>
      <c r="AJ136" t="s">
        <v>114</v>
      </c>
      <c r="AK136" t="s">
        <v>115</v>
      </c>
      <c r="AL136" t="s">
        <v>754</v>
      </c>
      <c r="AM136" t="s">
        <v>755</v>
      </c>
      <c r="AN136" t="s">
        <v>118</v>
      </c>
      <c r="AO136" t="s">
        <v>71</v>
      </c>
      <c r="AP136" t="s">
        <v>544</v>
      </c>
      <c r="AQ136" t="s">
        <v>748</v>
      </c>
      <c r="AR136" t="s">
        <v>749</v>
      </c>
    </row>
    <row r="137" spans="1:44" x14ac:dyDescent="0.25">
      <c r="A137" t="s">
        <v>101</v>
      </c>
      <c r="B137" t="s">
        <v>750</v>
      </c>
      <c r="C137" t="s">
        <v>44</v>
      </c>
      <c r="D137" t="s">
        <v>733</v>
      </c>
      <c r="E137" t="s">
        <v>734</v>
      </c>
      <c r="F137" t="s">
        <v>735</v>
      </c>
      <c r="G137" t="s">
        <v>736</v>
      </c>
      <c r="H137" t="s">
        <v>260</v>
      </c>
      <c r="I137" t="s">
        <v>261</v>
      </c>
      <c r="J137" t="s">
        <v>174</v>
      </c>
      <c r="K137" t="s">
        <v>175</v>
      </c>
      <c r="L137" t="s">
        <v>176</v>
      </c>
      <c r="M137" t="s">
        <v>23</v>
      </c>
      <c r="N137" t="s">
        <v>280</v>
      </c>
      <c r="O137" t="s">
        <v>758</v>
      </c>
      <c r="P137" t="s">
        <v>179</v>
      </c>
      <c r="Q137" t="s">
        <v>759</v>
      </c>
      <c r="R137" s="3">
        <v>0.27</v>
      </c>
      <c r="S137" s="3">
        <v>0</v>
      </c>
      <c r="T137" t="s">
        <v>23</v>
      </c>
      <c r="U137" t="s">
        <v>23</v>
      </c>
      <c r="V137" t="s">
        <v>23</v>
      </c>
      <c r="W137" t="s">
        <v>23</v>
      </c>
      <c r="X137" s="3">
        <v>0</v>
      </c>
      <c r="Y137" s="3">
        <v>1.456</v>
      </c>
      <c r="Z137" t="s">
        <v>23</v>
      </c>
      <c r="AA137" t="s">
        <v>742</v>
      </c>
      <c r="AB137" t="s">
        <v>283</v>
      </c>
      <c r="AC137" t="s">
        <v>752</v>
      </c>
      <c r="AD137" t="s">
        <v>269</v>
      </c>
      <c r="AE137" t="s">
        <v>744</v>
      </c>
      <c r="AF137" t="s">
        <v>285</v>
      </c>
      <c r="AG137" t="s">
        <v>112</v>
      </c>
      <c r="AH137" t="s">
        <v>272</v>
      </c>
      <c r="AI137" t="s">
        <v>753</v>
      </c>
      <c r="AJ137" t="s">
        <v>114</v>
      </c>
      <c r="AK137" t="s">
        <v>115</v>
      </c>
      <c r="AL137" t="s">
        <v>754</v>
      </c>
      <c r="AM137" t="s">
        <v>755</v>
      </c>
      <c r="AN137" t="s">
        <v>118</v>
      </c>
      <c r="AO137" t="s">
        <v>71</v>
      </c>
      <c r="AP137" t="s">
        <v>544</v>
      </c>
      <c r="AQ137" t="s">
        <v>748</v>
      </c>
      <c r="AR137" t="s">
        <v>749</v>
      </c>
    </row>
    <row r="138" spans="1:44" x14ac:dyDescent="0.25">
      <c r="A138" t="s">
        <v>101</v>
      </c>
      <c r="B138" t="s">
        <v>750</v>
      </c>
      <c r="C138" t="s">
        <v>44</v>
      </c>
      <c r="D138" t="s">
        <v>733</v>
      </c>
      <c r="E138" t="s">
        <v>734</v>
      </c>
      <c r="F138" t="s">
        <v>735</v>
      </c>
      <c r="G138" t="s">
        <v>736</v>
      </c>
      <c r="H138" t="s">
        <v>260</v>
      </c>
      <c r="I138" t="s">
        <v>261</v>
      </c>
      <c r="J138" t="s">
        <v>760</v>
      </c>
      <c r="K138" t="s">
        <v>761</v>
      </c>
      <c r="L138" t="s">
        <v>762</v>
      </c>
      <c r="M138" t="s">
        <v>23</v>
      </c>
      <c r="N138" t="s">
        <v>280</v>
      </c>
      <c r="O138" t="s">
        <v>763</v>
      </c>
      <c r="P138" t="s">
        <v>164</v>
      </c>
      <c r="Q138" t="s">
        <v>764</v>
      </c>
      <c r="R138" s="3">
        <v>0.2</v>
      </c>
      <c r="S138" s="3">
        <v>0</v>
      </c>
      <c r="T138" t="s">
        <v>23</v>
      </c>
      <c r="U138" t="s">
        <v>23</v>
      </c>
      <c r="V138" t="s">
        <v>23</v>
      </c>
      <c r="W138" t="s">
        <v>23</v>
      </c>
      <c r="X138" s="3">
        <v>0</v>
      </c>
      <c r="Y138" s="3">
        <v>1.456</v>
      </c>
      <c r="Z138" t="s">
        <v>23</v>
      </c>
      <c r="AA138" t="s">
        <v>742</v>
      </c>
      <c r="AB138" t="s">
        <v>283</v>
      </c>
      <c r="AC138" t="s">
        <v>752</v>
      </c>
      <c r="AD138" t="s">
        <v>269</v>
      </c>
      <c r="AE138" t="s">
        <v>744</v>
      </c>
      <c r="AF138" t="s">
        <v>285</v>
      </c>
      <c r="AG138" t="s">
        <v>112</v>
      </c>
      <c r="AH138" t="s">
        <v>272</v>
      </c>
      <c r="AI138" t="s">
        <v>753</v>
      </c>
      <c r="AJ138" t="s">
        <v>114</v>
      </c>
      <c r="AK138" t="s">
        <v>115</v>
      </c>
      <c r="AL138" t="s">
        <v>754</v>
      </c>
      <c r="AM138" t="s">
        <v>755</v>
      </c>
      <c r="AN138" t="s">
        <v>118</v>
      </c>
      <c r="AO138" t="s">
        <v>71</v>
      </c>
      <c r="AP138" t="s">
        <v>544</v>
      </c>
      <c r="AQ138" t="s">
        <v>748</v>
      </c>
      <c r="AR138" t="s">
        <v>749</v>
      </c>
    </row>
    <row r="139" spans="1:44" x14ac:dyDescent="0.25">
      <c r="A139" t="s">
        <v>101</v>
      </c>
      <c r="B139" t="s">
        <v>765</v>
      </c>
      <c r="C139" t="s">
        <v>44</v>
      </c>
      <c r="D139" t="s">
        <v>733</v>
      </c>
      <c r="E139" t="s">
        <v>734</v>
      </c>
      <c r="F139" t="s">
        <v>735</v>
      </c>
      <c r="G139" t="s">
        <v>736</v>
      </c>
      <c r="H139" t="s">
        <v>260</v>
      </c>
      <c r="I139" t="s">
        <v>261</v>
      </c>
      <c r="J139" t="s">
        <v>174</v>
      </c>
      <c r="K139" t="s">
        <v>175</v>
      </c>
      <c r="L139" t="s">
        <v>176</v>
      </c>
      <c r="M139" t="s">
        <v>23</v>
      </c>
      <c r="N139" t="s">
        <v>177</v>
      </c>
      <c r="O139" t="s">
        <v>96</v>
      </c>
      <c r="P139" t="s">
        <v>179</v>
      </c>
      <c r="Q139" t="s">
        <v>179</v>
      </c>
      <c r="R139" s="3">
        <v>1.7999999999999999E-2</v>
      </c>
      <c r="S139" s="3">
        <v>3.5999999999999997E-2</v>
      </c>
      <c r="T139" t="s">
        <v>23</v>
      </c>
      <c r="U139" t="s">
        <v>23</v>
      </c>
      <c r="V139" t="s">
        <v>23</v>
      </c>
      <c r="W139" t="s">
        <v>23</v>
      </c>
      <c r="X139" s="3">
        <v>0</v>
      </c>
      <c r="Y139" s="3">
        <v>1.456</v>
      </c>
      <c r="Z139" t="s">
        <v>23</v>
      </c>
      <c r="AA139" t="s">
        <v>742</v>
      </c>
      <c r="AB139" t="s">
        <v>283</v>
      </c>
      <c r="AC139" t="s">
        <v>766</v>
      </c>
      <c r="AD139" t="s">
        <v>269</v>
      </c>
      <c r="AE139" t="s">
        <v>744</v>
      </c>
      <c r="AF139" t="s">
        <v>285</v>
      </c>
      <c r="AG139" t="s">
        <v>112</v>
      </c>
      <c r="AH139" t="s">
        <v>272</v>
      </c>
      <c r="AI139" t="s">
        <v>23</v>
      </c>
      <c r="AJ139" t="s">
        <v>114</v>
      </c>
      <c r="AK139" t="s">
        <v>115</v>
      </c>
      <c r="AL139" t="s">
        <v>767</v>
      </c>
      <c r="AM139" t="s">
        <v>23</v>
      </c>
      <c r="AN139" t="s">
        <v>118</v>
      </c>
      <c r="AO139" t="s">
        <v>71</v>
      </c>
      <c r="AP139" t="s">
        <v>544</v>
      </c>
      <c r="AQ139" t="s">
        <v>748</v>
      </c>
      <c r="AR139" t="s">
        <v>749</v>
      </c>
    </row>
    <row r="140" spans="1:44" x14ac:dyDescent="0.25">
      <c r="A140" t="s">
        <v>101</v>
      </c>
      <c r="B140" t="s">
        <v>765</v>
      </c>
      <c r="C140" t="s">
        <v>44</v>
      </c>
      <c r="D140" t="s">
        <v>733</v>
      </c>
      <c r="E140" t="s">
        <v>734</v>
      </c>
      <c r="F140" t="s">
        <v>735</v>
      </c>
      <c r="G140" t="s">
        <v>736</v>
      </c>
      <c r="H140" t="s">
        <v>260</v>
      </c>
      <c r="I140" t="s">
        <v>261</v>
      </c>
      <c r="J140" t="s">
        <v>181</v>
      </c>
      <c r="K140" t="s">
        <v>182</v>
      </c>
      <c r="L140" t="s">
        <v>183</v>
      </c>
      <c r="M140" t="s">
        <v>23</v>
      </c>
      <c r="N140" t="s">
        <v>177</v>
      </c>
      <c r="O140" t="s">
        <v>96</v>
      </c>
      <c r="P140" t="s">
        <v>179</v>
      </c>
      <c r="Q140" t="s">
        <v>179</v>
      </c>
      <c r="R140" s="3">
        <v>1.7999999999999999E-2</v>
      </c>
      <c r="S140" s="3">
        <v>0</v>
      </c>
      <c r="T140" t="s">
        <v>23</v>
      </c>
      <c r="U140" t="s">
        <v>23</v>
      </c>
      <c r="V140" t="s">
        <v>23</v>
      </c>
      <c r="W140" t="s">
        <v>23</v>
      </c>
      <c r="X140" s="3">
        <v>0</v>
      </c>
      <c r="Y140" s="3">
        <v>1.456</v>
      </c>
      <c r="Z140" t="s">
        <v>23</v>
      </c>
      <c r="AA140" t="s">
        <v>742</v>
      </c>
      <c r="AB140" t="s">
        <v>283</v>
      </c>
      <c r="AC140" t="s">
        <v>766</v>
      </c>
      <c r="AD140" t="s">
        <v>269</v>
      </c>
      <c r="AE140" t="s">
        <v>744</v>
      </c>
      <c r="AF140" t="s">
        <v>285</v>
      </c>
      <c r="AG140" t="s">
        <v>112</v>
      </c>
      <c r="AH140" t="s">
        <v>272</v>
      </c>
      <c r="AI140" t="s">
        <v>23</v>
      </c>
      <c r="AJ140" t="s">
        <v>114</v>
      </c>
      <c r="AK140" t="s">
        <v>115</v>
      </c>
      <c r="AL140" t="s">
        <v>767</v>
      </c>
      <c r="AM140" t="s">
        <v>23</v>
      </c>
      <c r="AN140" t="s">
        <v>118</v>
      </c>
      <c r="AO140" t="s">
        <v>71</v>
      </c>
      <c r="AP140" t="s">
        <v>544</v>
      </c>
      <c r="AQ140" t="s">
        <v>748</v>
      </c>
      <c r="AR140" t="s">
        <v>749</v>
      </c>
    </row>
    <row r="141" spans="1:44" x14ac:dyDescent="0.25">
      <c r="A141" s="4" t="s">
        <v>23</v>
      </c>
      <c r="B141" s="4" t="s">
        <v>23</v>
      </c>
      <c r="C141" s="4" t="s">
        <v>23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5">
        <v>1.456</v>
      </c>
      <c r="S141" s="5">
        <v>1.3660000000000001</v>
      </c>
      <c r="T141" s="4" t="s">
        <v>23</v>
      </c>
      <c r="U141" s="4" t="s">
        <v>23</v>
      </c>
      <c r="V141" s="5">
        <v>0.09</v>
      </c>
      <c r="W141" s="4" t="s">
        <v>23</v>
      </c>
      <c r="X141" s="5">
        <v>1.456</v>
      </c>
      <c r="Y141" s="5">
        <v>1.456</v>
      </c>
      <c r="Z141" s="4" t="s">
        <v>23</v>
      </c>
      <c r="AA141" s="4" t="s">
        <v>23</v>
      </c>
      <c r="AB141" s="4" t="s">
        <v>23</v>
      </c>
      <c r="AC141" s="4" t="s">
        <v>23</v>
      </c>
      <c r="AD141" s="4" t="s">
        <v>23</v>
      </c>
      <c r="AE141" s="4" t="s">
        <v>23</v>
      </c>
      <c r="AF141" s="4" t="s">
        <v>23</v>
      </c>
      <c r="AG141" s="4" t="s">
        <v>23</v>
      </c>
      <c r="AH141" s="4" t="s">
        <v>23</v>
      </c>
      <c r="AI141" s="4" t="s">
        <v>23</v>
      </c>
      <c r="AJ141" s="4" t="s">
        <v>23</v>
      </c>
      <c r="AK141" s="4" t="s">
        <v>23</v>
      </c>
      <c r="AL141" s="4" t="s">
        <v>23</v>
      </c>
      <c r="AM141" s="4" t="s">
        <v>23</v>
      </c>
      <c r="AN141" s="4" t="s">
        <v>23</v>
      </c>
      <c r="AO141" s="4" t="s">
        <v>23</v>
      </c>
      <c r="AP141" s="4" t="s">
        <v>23</v>
      </c>
      <c r="AQ141" s="4" t="s">
        <v>23</v>
      </c>
      <c r="AR141" s="4" t="s">
        <v>23</v>
      </c>
    </row>
    <row r="142" spans="1:44" x14ac:dyDescent="0.25">
      <c r="A142" t="s">
        <v>101</v>
      </c>
      <c r="B142" t="s">
        <v>768</v>
      </c>
      <c r="C142" t="s">
        <v>44</v>
      </c>
      <c r="D142" t="s">
        <v>733</v>
      </c>
      <c r="E142" t="s">
        <v>769</v>
      </c>
      <c r="F142" t="s">
        <v>770</v>
      </c>
      <c r="G142" t="s">
        <v>771</v>
      </c>
      <c r="H142" t="s">
        <v>260</v>
      </c>
      <c r="I142" t="s">
        <v>261</v>
      </c>
      <c r="J142" t="s">
        <v>772</v>
      </c>
      <c r="K142" t="s">
        <v>773</v>
      </c>
      <c r="L142" t="s">
        <v>774</v>
      </c>
      <c r="M142" t="s">
        <v>23</v>
      </c>
      <c r="N142" t="s">
        <v>280</v>
      </c>
      <c r="O142" t="s">
        <v>75</v>
      </c>
      <c r="P142" t="s">
        <v>674</v>
      </c>
      <c r="Q142" t="s">
        <v>775</v>
      </c>
      <c r="R142" s="3">
        <v>2</v>
      </c>
      <c r="S142" s="3">
        <v>2</v>
      </c>
      <c r="T142" t="s">
        <v>23</v>
      </c>
      <c r="U142" t="s">
        <v>23</v>
      </c>
      <c r="V142" t="s">
        <v>23</v>
      </c>
      <c r="W142" t="s">
        <v>23</v>
      </c>
      <c r="X142" s="3">
        <v>2</v>
      </c>
      <c r="Y142" s="3">
        <v>2</v>
      </c>
      <c r="Z142" t="s">
        <v>23</v>
      </c>
      <c r="AA142" t="s">
        <v>776</v>
      </c>
      <c r="AB142" t="s">
        <v>777</v>
      </c>
      <c r="AC142" t="s">
        <v>778</v>
      </c>
      <c r="AD142" t="s">
        <v>269</v>
      </c>
      <c r="AE142" t="s">
        <v>744</v>
      </c>
      <c r="AF142" t="s">
        <v>779</v>
      </c>
      <c r="AG142" t="s">
        <v>780</v>
      </c>
      <c r="AH142" t="s">
        <v>780</v>
      </c>
      <c r="AI142" t="s">
        <v>781</v>
      </c>
      <c r="AJ142" t="s">
        <v>190</v>
      </c>
      <c r="AK142" t="s">
        <v>191</v>
      </c>
      <c r="AL142" t="s">
        <v>782</v>
      </c>
      <c r="AM142" t="s">
        <v>783</v>
      </c>
      <c r="AN142" t="s">
        <v>118</v>
      </c>
      <c r="AO142" t="s">
        <v>71</v>
      </c>
      <c r="AP142" t="s">
        <v>544</v>
      </c>
      <c r="AQ142" t="s">
        <v>784</v>
      </c>
      <c r="AR142" t="s">
        <v>785</v>
      </c>
    </row>
    <row r="143" spans="1:44" x14ac:dyDescent="0.25">
      <c r="A143" s="4" t="s">
        <v>23</v>
      </c>
      <c r="B143" s="4" t="s">
        <v>23</v>
      </c>
      <c r="C143" s="4" t="s">
        <v>23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5">
        <v>2</v>
      </c>
      <c r="S143" s="5">
        <v>2</v>
      </c>
      <c r="T143" s="4" t="s">
        <v>23</v>
      </c>
      <c r="U143" s="4" t="s">
        <v>23</v>
      </c>
      <c r="V143" s="4" t="s">
        <v>23</v>
      </c>
      <c r="W143" s="4" t="s">
        <v>23</v>
      </c>
      <c r="X143" s="5">
        <v>2</v>
      </c>
      <c r="Y143" s="5">
        <v>2</v>
      </c>
      <c r="Z143" s="4" t="s">
        <v>23</v>
      </c>
      <c r="AA143" s="4" t="s">
        <v>23</v>
      </c>
      <c r="AB143" s="4" t="s">
        <v>23</v>
      </c>
      <c r="AC143" s="4" t="s">
        <v>23</v>
      </c>
      <c r="AD143" s="4" t="s">
        <v>23</v>
      </c>
      <c r="AE143" s="4" t="s">
        <v>23</v>
      </c>
      <c r="AF143" s="4" t="s">
        <v>23</v>
      </c>
      <c r="AG143" s="4" t="s">
        <v>23</v>
      </c>
      <c r="AH143" s="4" t="s">
        <v>23</v>
      </c>
      <c r="AI143" s="4" t="s">
        <v>23</v>
      </c>
      <c r="AJ143" s="4" t="s">
        <v>23</v>
      </c>
      <c r="AK143" s="4" t="s">
        <v>23</v>
      </c>
      <c r="AL143" s="4" t="s">
        <v>23</v>
      </c>
      <c r="AM143" s="4" t="s">
        <v>23</v>
      </c>
      <c r="AN143" s="4" t="s">
        <v>23</v>
      </c>
      <c r="AO143" s="4" t="s">
        <v>23</v>
      </c>
      <c r="AP143" s="4" t="s">
        <v>23</v>
      </c>
      <c r="AQ143" s="4" t="s">
        <v>23</v>
      </c>
      <c r="AR143" s="4" t="s">
        <v>23</v>
      </c>
    </row>
    <row r="144" spans="1:44" x14ac:dyDescent="0.25">
      <c r="A144" t="s">
        <v>363</v>
      </c>
      <c r="B144" t="s">
        <v>786</v>
      </c>
      <c r="C144" t="s">
        <v>44</v>
      </c>
      <c r="D144" t="s">
        <v>787</v>
      </c>
      <c r="E144" t="s">
        <v>788</v>
      </c>
      <c r="F144" t="s">
        <v>789</v>
      </c>
      <c r="G144" t="s">
        <v>790</v>
      </c>
      <c r="H144" t="s">
        <v>260</v>
      </c>
      <c r="I144" t="s">
        <v>261</v>
      </c>
      <c r="J144" t="s">
        <v>475</v>
      </c>
      <c r="K144" t="s">
        <v>476</v>
      </c>
      <c r="L144" t="s">
        <v>477</v>
      </c>
      <c r="M144" t="s">
        <v>791</v>
      </c>
      <c r="N144" t="s">
        <v>54</v>
      </c>
      <c r="O144" t="s">
        <v>164</v>
      </c>
      <c r="P144" t="s">
        <v>106</v>
      </c>
      <c r="Q144" t="s">
        <v>764</v>
      </c>
      <c r="R144" s="3">
        <v>0.2</v>
      </c>
      <c r="S144" t="s">
        <v>23</v>
      </c>
      <c r="T144" t="s">
        <v>23</v>
      </c>
      <c r="U144" s="3">
        <v>0.2</v>
      </c>
      <c r="V144" t="s">
        <v>23</v>
      </c>
      <c r="W144" t="s">
        <v>23</v>
      </c>
      <c r="X144" s="3">
        <v>2.0449999999999999</v>
      </c>
      <c r="Y144" s="3">
        <v>2.0449999999999999</v>
      </c>
      <c r="Z144" t="s">
        <v>23</v>
      </c>
      <c r="AA144" t="s">
        <v>792</v>
      </c>
      <c r="AB144" t="s">
        <v>473</v>
      </c>
      <c r="AC144" t="s">
        <v>793</v>
      </c>
      <c r="AD144" t="s">
        <v>269</v>
      </c>
      <c r="AE144" t="s">
        <v>270</v>
      </c>
      <c r="AF144" t="s">
        <v>474</v>
      </c>
      <c r="AG144" t="s">
        <v>794</v>
      </c>
      <c r="AH144" t="s">
        <v>272</v>
      </c>
      <c r="AI144" t="s">
        <v>795</v>
      </c>
      <c r="AJ144" t="s">
        <v>373</v>
      </c>
      <c r="AK144" t="s">
        <v>374</v>
      </c>
      <c r="AL144" t="s">
        <v>796</v>
      </c>
      <c r="AM144" t="s">
        <v>797</v>
      </c>
      <c r="AN144" t="s">
        <v>118</v>
      </c>
      <c r="AO144" t="s">
        <v>71</v>
      </c>
      <c r="AP144" t="s">
        <v>544</v>
      </c>
      <c r="AQ144" t="s">
        <v>798</v>
      </c>
      <c r="AR144" t="s">
        <v>799</v>
      </c>
    </row>
    <row r="145" spans="1:44" x14ac:dyDescent="0.25">
      <c r="A145" t="s">
        <v>101</v>
      </c>
      <c r="B145" t="s">
        <v>800</v>
      </c>
      <c r="C145" t="s">
        <v>44</v>
      </c>
      <c r="D145" t="s">
        <v>787</v>
      </c>
      <c r="E145" t="s">
        <v>788</v>
      </c>
      <c r="F145" t="s">
        <v>789</v>
      </c>
      <c r="G145" t="s">
        <v>790</v>
      </c>
      <c r="H145" t="s">
        <v>260</v>
      </c>
      <c r="I145" t="s">
        <v>261</v>
      </c>
      <c r="J145" t="s">
        <v>801</v>
      </c>
      <c r="K145" t="s">
        <v>802</v>
      </c>
      <c r="L145" t="s">
        <v>803</v>
      </c>
      <c r="M145" t="s">
        <v>791</v>
      </c>
      <c r="N145" t="s">
        <v>280</v>
      </c>
      <c r="O145" t="s">
        <v>96</v>
      </c>
      <c r="P145" t="s">
        <v>93</v>
      </c>
      <c r="Q145" t="s">
        <v>682</v>
      </c>
      <c r="R145" s="3">
        <v>1</v>
      </c>
      <c r="S145" s="3">
        <v>1.845</v>
      </c>
      <c r="T145" t="s">
        <v>23</v>
      </c>
      <c r="U145" t="s">
        <v>23</v>
      </c>
      <c r="V145" t="s">
        <v>23</v>
      </c>
      <c r="W145" t="s">
        <v>23</v>
      </c>
      <c r="X145" s="3">
        <v>0</v>
      </c>
      <c r="Y145" s="3">
        <v>2.0449999999999999</v>
      </c>
      <c r="Z145" t="s">
        <v>23</v>
      </c>
      <c r="AA145" t="s">
        <v>792</v>
      </c>
      <c r="AB145" t="s">
        <v>283</v>
      </c>
      <c r="AC145" t="s">
        <v>804</v>
      </c>
      <c r="AD145" t="s">
        <v>269</v>
      </c>
      <c r="AE145" t="s">
        <v>270</v>
      </c>
      <c r="AF145" t="s">
        <v>285</v>
      </c>
      <c r="AG145" t="s">
        <v>794</v>
      </c>
      <c r="AH145" t="s">
        <v>272</v>
      </c>
      <c r="AI145" t="s">
        <v>805</v>
      </c>
      <c r="AJ145" t="s">
        <v>114</v>
      </c>
      <c r="AK145" t="s">
        <v>115</v>
      </c>
      <c r="AL145" t="s">
        <v>806</v>
      </c>
      <c r="AM145" t="s">
        <v>807</v>
      </c>
      <c r="AN145" t="s">
        <v>118</v>
      </c>
      <c r="AO145" t="s">
        <v>71</v>
      </c>
      <c r="AP145" t="s">
        <v>544</v>
      </c>
      <c r="AQ145" t="s">
        <v>798</v>
      </c>
      <c r="AR145" t="s">
        <v>799</v>
      </c>
    </row>
    <row r="146" spans="1:44" x14ac:dyDescent="0.25">
      <c r="A146" t="s">
        <v>101</v>
      </c>
      <c r="B146" t="s">
        <v>800</v>
      </c>
      <c r="C146" t="s">
        <v>44</v>
      </c>
      <c r="D146" t="s">
        <v>787</v>
      </c>
      <c r="E146" t="s">
        <v>788</v>
      </c>
      <c r="F146" t="s">
        <v>789</v>
      </c>
      <c r="G146" t="s">
        <v>790</v>
      </c>
      <c r="H146" t="s">
        <v>260</v>
      </c>
      <c r="I146" t="s">
        <v>261</v>
      </c>
      <c r="J146" t="s">
        <v>170</v>
      </c>
      <c r="K146" t="s">
        <v>171</v>
      </c>
      <c r="L146" t="s">
        <v>172</v>
      </c>
      <c r="M146" t="s">
        <v>791</v>
      </c>
      <c r="N146" t="s">
        <v>280</v>
      </c>
      <c r="O146" t="s">
        <v>808</v>
      </c>
      <c r="P146" t="s">
        <v>93</v>
      </c>
      <c r="Q146" t="s">
        <v>809</v>
      </c>
      <c r="R146" s="3">
        <v>0.125</v>
      </c>
      <c r="S146" s="3">
        <v>0</v>
      </c>
      <c r="T146" t="s">
        <v>23</v>
      </c>
      <c r="U146" t="s">
        <v>23</v>
      </c>
      <c r="V146" t="s">
        <v>23</v>
      </c>
      <c r="W146" t="s">
        <v>23</v>
      </c>
      <c r="X146" s="3">
        <v>0</v>
      </c>
      <c r="Y146" s="3">
        <v>2.0449999999999999</v>
      </c>
      <c r="Z146" t="s">
        <v>23</v>
      </c>
      <c r="AA146" t="s">
        <v>792</v>
      </c>
      <c r="AB146" t="s">
        <v>283</v>
      </c>
      <c r="AC146" t="s">
        <v>804</v>
      </c>
      <c r="AD146" t="s">
        <v>269</v>
      </c>
      <c r="AE146" t="s">
        <v>270</v>
      </c>
      <c r="AF146" t="s">
        <v>285</v>
      </c>
      <c r="AG146" t="s">
        <v>794</v>
      </c>
      <c r="AH146" t="s">
        <v>272</v>
      </c>
      <c r="AI146" t="s">
        <v>805</v>
      </c>
      <c r="AJ146" t="s">
        <v>114</v>
      </c>
      <c r="AK146" t="s">
        <v>115</v>
      </c>
      <c r="AL146" t="s">
        <v>806</v>
      </c>
      <c r="AM146" t="s">
        <v>807</v>
      </c>
      <c r="AN146" t="s">
        <v>118</v>
      </c>
      <c r="AO146" t="s">
        <v>71</v>
      </c>
      <c r="AP146" t="s">
        <v>544</v>
      </c>
      <c r="AQ146" t="s">
        <v>798</v>
      </c>
      <c r="AR146" t="s">
        <v>799</v>
      </c>
    </row>
    <row r="147" spans="1:44" x14ac:dyDescent="0.25">
      <c r="A147" t="s">
        <v>101</v>
      </c>
      <c r="B147" t="s">
        <v>800</v>
      </c>
      <c r="C147" t="s">
        <v>44</v>
      </c>
      <c r="D147" t="s">
        <v>787</v>
      </c>
      <c r="E147" t="s">
        <v>788</v>
      </c>
      <c r="F147" t="s">
        <v>789</v>
      </c>
      <c r="G147" t="s">
        <v>790</v>
      </c>
      <c r="H147" t="s">
        <v>260</v>
      </c>
      <c r="I147" t="s">
        <v>261</v>
      </c>
      <c r="J147" t="s">
        <v>181</v>
      </c>
      <c r="K147" t="s">
        <v>182</v>
      </c>
      <c r="L147" t="s">
        <v>183</v>
      </c>
      <c r="M147" t="s">
        <v>791</v>
      </c>
      <c r="N147" t="s">
        <v>280</v>
      </c>
      <c r="O147" t="s">
        <v>756</v>
      </c>
      <c r="P147" t="s">
        <v>179</v>
      </c>
      <c r="Q147" t="s">
        <v>757</v>
      </c>
      <c r="R147" s="3">
        <v>0.36</v>
      </c>
      <c r="S147" s="3">
        <v>0</v>
      </c>
      <c r="T147" t="s">
        <v>23</v>
      </c>
      <c r="U147" t="s">
        <v>23</v>
      </c>
      <c r="V147" t="s">
        <v>23</v>
      </c>
      <c r="W147" t="s">
        <v>23</v>
      </c>
      <c r="X147" s="3">
        <v>0</v>
      </c>
      <c r="Y147" s="3">
        <v>2.0449999999999999</v>
      </c>
      <c r="Z147" t="s">
        <v>23</v>
      </c>
      <c r="AA147" t="s">
        <v>792</v>
      </c>
      <c r="AB147" t="s">
        <v>283</v>
      </c>
      <c r="AC147" t="s">
        <v>804</v>
      </c>
      <c r="AD147" t="s">
        <v>269</v>
      </c>
      <c r="AE147" t="s">
        <v>270</v>
      </c>
      <c r="AF147" t="s">
        <v>285</v>
      </c>
      <c r="AG147" t="s">
        <v>794</v>
      </c>
      <c r="AH147" t="s">
        <v>272</v>
      </c>
      <c r="AI147" t="s">
        <v>805</v>
      </c>
      <c r="AJ147" t="s">
        <v>114</v>
      </c>
      <c r="AK147" t="s">
        <v>115</v>
      </c>
      <c r="AL147" t="s">
        <v>806</v>
      </c>
      <c r="AM147" t="s">
        <v>807</v>
      </c>
      <c r="AN147" t="s">
        <v>118</v>
      </c>
      <c r="AO147" t="s">
        <v>71</v>
      </c>
      <c r="AP147" t="s">
        <v>544</v>
      </c>
      <c r="AQ147" t="s">
        <v>798</v>
      </c>
      <c r="AR147" t="s">
        <v>799</v>
      </c>
    </row>
    <row r="148" spans="1:44" x14ac:dyDescent="0.25">
      <c r="A148" t="s">
        <v>101</v>
      </c>
      <c r="B148" t="s">
        <v>800</v>
      </c>
      <c r="C148" t="s">
        <v>44</v>
      </c>
      <c r="D148" t="s">
        <v>787</v>
      </c>
      <c r="E148" t="s">
        <v>788</v>
      </c>
      <c r="F148" t="s">
        <v>789</v>
      </c>
      <c r="G148" t="s">
        <v>790</v>
      </c>
      <c r="H148" t="s">
        <v>260</v>
      </c>
      <c r="I148" t="s">
        <v>261</v>
      </c>
      <c r="J148" t="s">
        <v>174</v>
      </c>
      <c r="K148" t="s">
        <v>175</v>
      </c>
      <c r="L148" t="s">
        <v>176</v>
      </c>
      <c r="M148" t="s">
        <v>791</v>
      </c>
      <c r="N148" t="s">
        <v>280</v>
      </c>
      <c r="O148" t="s">
        <v>756</v>
      </c>
      <c r="P148" t="s">
        <v>179</v>
      </c>
      <c r="Q148" t="s">
        <v>757</v>
      </c>
      <c r="R148" s="3">
        <v>0.36</v>
      </c>
      <c r="S148" s="3">
        <v>0</v>
      </c>
      <c r="T148" t="s">
        <v>23</v>
      </c>
      <c r="U148" t="s">
        <v>23</v>
      </c>
      <c r="V148" t="s">
        <v>23</v>
      </c>
      <c r="W148" t="s">
        <v>23</v>
      </c>
      <c r="X148" s="3">
        <v>0</v>
      </c>
      <c r="Y148" s="3">
        <v>2.0449999999999999</v>
      </c>
      <c r="Z148" t="s">
        <v>23</v>
      </c>
      <c r="AA148" t="s">
        <v>792</v>
      </c>
      <c r="AB148" t="s">
        <v>283</v>
      </c>
      <c r="AC148" t="s">
        <v>804</v>
      </c>
      <c r="AD148" t="s">
        <v>269</v>
      </c>
      <c r="AE148" t="s">
        <v>270</v>
      </c>
      <c r="AF148" t="s">
        <v>285</v>
      </c>
      <c r="AG148" t="s">
        <v>794</v>
      </c>
      <c r="AH148" t="s">
        <v>272</v>
      </c>
      <c r="AI148" t="s">
        <v>805</v>
      </c>
      <c r="AJ148" t="s">
        <v>114</v>
      </c>
      <c r="AK148" t="s">
        <v>115</v>
      </c>
      <c r="AL148" t="s">
        <v>806</v>
      </c>
      <c r="AM148" t="s">
        <v>807</v>
      </c>
      <c r="AN148" t="s">
        <v>118</v>
      </c>
      <c r="AO148" t="s">
        <v>71</v>
      </c>
      <c r="AP148" t="s">
        <v>544</v>
      </c>
      <c r="AQ148" t="s">
        <v>798</v>
      </c>
      <c r="AR148" t="s">
        <v>799</v>
      </c>
    </row>
    <row r="149" spans="1:44" x14ac:dyDescent="0.25">
      <c r="A149" s="4" t="s">
        <v>23</v>
      </c>
      <c r="B149" s="4" t="s">
        <v>23</v>
      </c>
      <c r="C149" s="4" t="s">
        <v>23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5">
        <v>2.0449999999999999</v>
      </c>
      <c r="S149" s="5">
        <v>1.845</v>
      </c>
      <c r="T149" s="4" t="s">
        <v>23</v>
      </c>
      <c r="U149" s="5">
        <v>0.2</v>
      </c>
      <c r="V149" s="4" t="s">
        <v>23</v>
      </c>
      <c r="W149" s="4" t="s">
        <v>23</v>
      </c>
      <c r="X149" s="5">
        <v>2.0449999999999999</v>
      </c>
      <c r="Y149" s="5">
        <v>2.0449999999999999</v>
      </c>
      <c r="Z149" s="4" t="s">
        <v>23</v>
      </c>
      <c r="AA149" s="4" t="s">
        <v>23</v>
      </c>
      <c r="AB149" s="4" t="s">
        <v>23</v>
      </c>
      <c r="AC149" s="4" t="s">
        <v>23</v>
      </c>
      <c r="AD149" s="4" t="s">
        <v>23</v>
      </c>
      <c r="AE149" s="4" t="s">
        <v>23</v>
      </c>
      <c r="AF149" s="4" t="s">
        <v>23</v>
      </c>
      <c r="AG149" s="4" t="s">
        <v>23</v>
      </c>
      <c r="AH149" s="4" t="s">
        <v>23</v>
      </c>
      <c r="AI149" s="4" t="s">
        <v>23</v>
      </c>
      <c r="AJ149" s="4" t="s">
        <v>23</v>
      </c>
      <c r="AK149" s="4" t="s">
        <v>23</v>
      </c>
      <c r="AL149" s="4" t="s">
        <v>23</v>
      </c>
      <c r="AM149" s="4" t="s">
        <v>23</v>
      </c>
      <c r="AN149" s="4" t="s">
        <v>23</v>
      </c>
      <c r="AO149" s="4" t="s">
        <v>23</v>
      </c>
      <c r="AP149" s="4" t="s">
        <v>23</v>
      </c>
      <c r="AQ149" s="4" t="s">
        <v>23</v>
      </c>
      <c r="AR149" s="4" t="s">
        <v>23</v>
      </c>
    </row>
    <row r="150" spans="1:44" x14ac:dyDescent="0.25">
      <c r="A150" t="s">
        <v>101</v>
      </c>
      <c r="B150" t="s">
        <v>810</v>
      </c>
      <c r="C150" t="s">
        <v>44</v>
      </c>
      <c r="D150" t="s">
        <v>811</v>
      </c>
      <c r="E150" t="s">
        <v>291</v>
      </c>
      <c r="F150" t="s">
        <v>292</v>
      </c>
      <c r="G150" t="s">
        <v>293</v>
      </c>
      <c r="H150" t="s">
        <v>294</v>
      </c>
      <c r="I150" t="s">
        <v>50</v>
      </c>
      <c r="J150" t="s">
        <v>572</v>
      </c>
      <c r="K150" t="s">
        <v>573</v>
      </c>
      <c r="L150" t="s">
        <v>574</v>
      </c>
      <c r="M150" t="s">
        <v>298</v>
      </c>
      <c r="N150" t="s">
        <v>54</v>
      </c>
      <c r="O150" t="s">
        <v>148</v>
      </c>
      <c r="P150" t="s">
        <v>149</v>
      </c>
      <c r="Q150" t="s">
        <v>150</v>
      </c>
      <c r="R150" s="3">
        <v>0.65500000000000003</v>
      </c>
      <c r="S150" s="3">
        <v>10.760999999999999</v>
      </c>
      <c r="T150" t="s">
        <v>23</v>
      </c>
      <c r="U150" t="s">
        <v>23</v>
      </c>
      <c r="V150" t="s">
        <v>23</v>
      </c>
      <c r="W150" t="s">
        <v>23</v>
      </c>
      <c r="X150" s="3">
        <v>10.760999999999999</v>
      </c>
      <c r="Y150" s="3">
        <v>10.760999999999999</v>
      </c>
      <c r="Z150" t="s">
        <v>23</v>
      </c>
      <c r="AA150" t="s">
        <v>812</v>
      </c>
      <c r="AB150" t="s">
        <v>109</v>
      </c>
      <c r="AC150" t="s">
        <v>300</v>
      </c>
      <c r="AD150" t="s">
        <v>61</v>
      </c>
      <c r="AE150" t="s">
        <v>62</v>
      </c>
      <c r="AF150" t="s">
        <v>111</v>
      </c>
      <c r="AG150" t="s">
        <v>112</v>
      </c>
      <c r="AH150" t="s">
        <v>113</v>
      </c>
      <c r="AI150" t="s">
        <v>23</v>
      </c>
      <c r="AJ150" t="s">
        <v>114</v>
      </c>
      <c r="AK150" t="s">
        <v>115</v>
      </c>
      <c r="AL150" t="s">
        <v>813</v>
      </c>
      <c r="AM150" t="s">
        <v>814</v>
      </c>
      <c r="AN150" t="s">
        <v>118</v>
      </c>
      <c r="AO150" t="s">
        <v>71</v>
      </c>
      <c r="AP150" t="s">
        <v>303</v>
      </c>
      <c r="AQ150" t="s">
        <v>304</v>
      </c>
      <c r="AR150" t="s">
        <v>815</v>
      </c>
    </row>
    <row r="151" spans="1:44" x14ac:dyDescent="0.25">
      <c r="A151" t="s">
        <v>101</v>
      </c>
      <c r="B151" t="s">
        <v>810</v>
      </c>
      <c r="C151" t="s">
        <v>44</v>
      </c>
      <c r="D151" t="s">
        <v>811</v>
      </c>
      <c r="E151" t="s">
        <v>291</v>
      </c>
      <c r="F151" t="s">
        <v>292</v>
      </c>
      <c r="G151" t="s">
        <v>293</v>
      </c>
      <c r="H151" t="s">
        <v>294</v>
      </c>
      <c r="I151" t="s">
        <v>50</v>
      </c>
      <c r="J151" t="s">
        <v>454</v>
      </c>
      <c r="K151" t="s">
        <v>455</v>
      </c>
      <c r="L151" t="s">
        <v>456</v>
      </c>
      <c r="M151" t="s">
        <v>298</v>
      </c>
      <c r="N151" t="s">
        <v>54</v>
      </c>
      <c r="O151" t="s">
        <v>148</v>
      </c>
      <c r="P151" t="s">
        <v>149</v>
      </c>
      <c r="Q151" t="s">
        <v>150</v>
      </c>
      <c r="R151" s="3">
        <v>0.65500000000000003</v>
      </c>
      <c r="S151" s="3">
        <v>0</v>
      </c>
      <c r="T151" t="s">
        <v>23</v>
      </c>
      <c r="U151" t="s">
        <v>23</v>
      </c>
      <c r="V151" t="s">
        <v>23</v>
      </c>
      <c r="W151" t="s">
        <v>23</v>
      </c>
      <c r="X151" s="3">
        <v>0</v>
      </c>
      <c r="Y151" s="3">
        <v>10.760999999999999</v>
      </c>
      <c r="Z151" t="s">
        <v>23</v>
      </c>
      <c r="AA151" t="s">
        <v>812</v>
      </c>
      <c r="AB151" t="s">
        <v>109</v>
      </c>
      <c r="AC151" t="s">
        <v>300</v>
      </c>
      <c r="AD151" t="s">
        <v>61</v>
      </c>
      <c r="AE151" t="s">
        <v>62</v>
      </c>
      <c r="AF151" t="s">
        <v>111</v>
      </c>
      <c r="AG151" t="s">
        <v>112</v>
      </c>
      <c r="AH151" t="s">
        <v>113</v>
      </c>
      <c r="AI151" t="s">
        <v>23</v>
      </c>
      <c r="AJ151" t="s">
        <v>114</v>
      </c>
      <c r="AK151" t="s">
        <v>115</v>
      </c>
      <c r="AL151" t="s">
        <v>813</v>
      </c>
      <c r="AM151" t="s">
        <v>814</v>
      </c>
      <c r="AN151" t="s">
        <v>118</v>
      </c>
      <c r="AO151" t="s">
        <v>71</v>
      </c>
      <c r="AP151" t="s">
        <v>303</v>
      </c>
      <c r="AQ151" t="s">
        <v>304</v>
      </c>
      <c r="AR151" t="s">
        <v>815</v>
      </c>
    </row>
    <row r="152" spans="1:44" x14ac:dyDescent="0.25">
      <c r="A152" t="s">
        <v>101</v>
      </c>
      <c r="B152" t="s">
        <v>810</v>
      </c>
      <c r="C152" t="s">
        <v>44</v>
      </c>
      <c r="D152" t="s">
        <v>811</v>
      </c>
      <c r="E152" t="s">
        <v>291</v>
      </c>
      <c r="F152" t="s">
        <v>292</v>
      </c>
      <c r="G152" t="s">
        <v>293</v>
      </c>
      <c r="H152" t="s">
        <v>294</v>
      </c>
      <c r="I152" t="s">
        <v>50</v>
      </c>
      <c r="J152" t="s">
        <v>816</v>
      </c>
      <c r="K152" t="s">
        <v>817</v>
      </c>
      <c r="L152" t="s">
        <v>818</v>
      </c>
      <c r="M152" t="s">
        <v>298</v>
      </c>
      <c r="N152" t="s">
        <v>54</v>
      </c>
      <c r="O152" t="s">
        <v>819</v>
      </c>
      <c r="P152" t="s">
        <v>123</v>
      </c>
      <c r="Q152" t="s">
        <v>820</v>
      </c>
      <c r="R152" s="3">
        <v>0.68100000000000005</v>
      </c>
      <c r="S152" s="3">
        <v>0</v>
      </c>
      <c r="T152" t="s">
        <v>23</v>
      </c>
      <c r="U152" t="s">
        <v>23</v>
      </c>
      <c r="V152" t="s">
        <v>23</v>
      </c>
      <c r="W152" t="s">
        <v>23</v>
      </c>
      <c r="X152" s="3">
        <v>0</v>
      </c>
      <c r="Y152" s="3">
        <v>10.760999999999999</v>
      </c>
      <c r="Z152" t="s">
        <v>23</v>
      </c>
      <c r="AA152" t="s">
        <v>812</v>
      </c>
      <c r="AB152" t="s">
        <v>109</v>
      </c>
      <c r="AC152" t="s">
        <v>300</v>
      </c>
      <c r="AD152" t="s">
        <v>61</v>
      </c>
      <c r="AE152" t="s">
        <v>62</v>
      </c>
      <c r="AF152" t="s">
        <v>111</v>
      </c>
      <c r="AG152" t="s">
        <v>112</v>
      </c>
      <c r="AH152" t="s">
        <v>113</v>
      </c>
      <c r="AI152" t="s">
        <v>23</v>
      </c>
      <c r="AJ152" t="s">
        <v>114</v>
      </c>
      <c r="AK152" t="s">
        <v>115</v>
      </c>
      <c r="AL152" t="s">
        <v>813</v>
      </c>
      <c r="AM152" t="s">
        <v>814</v>
      </c>
      <c r="AN152" t="s">
        <v>118</v>
      </c>
      <c r="AO152" t="s">
        <v>71</v>
      </c>
      <c r="AP152" t="s">
        <v>303</v>
      </c>
      <c r="AQ152" t="s">
        <v>304</v>
      </c>
      <c r="AR152" t="s">
        <v>815</v>
      </c>
    </row>
    <row r="153" spans="1:44" x14ac:dyDescent="0.25">
      <c r="A153" t="s">
        <v>101</v>
      </c>
      <c r="B153" t="s">
        <v>810</v>
      </c>
      <c r="C153" t="s">
        <v>44</v>
      </c>
      <c r="D153" t="s">
        <v>811</v>
      </c>
      <c r="E153" t="s">
        <v>291</v>
      </c>
      <c r="F153" t="s">
        <v>292</v>
      </c>
      <c r="G153" t="s">
        <v>293</v>
      </c>
      <c r="H153" t="s">
        <v>294</v>
      </c>
      <c r="I153" t="s">
        <v>50</v>
      </c>
      <c r="J153" t="s">
        <v>145</v>
      </c>
      <c r="K153" t="s">
        <v>146</v>
      </c>
      <c r="L153" t="s">
        <v>147</v>
      </c>
      <c r="M153" t="s">
        <v>298</v>
      </c>
      <c r="N153" t="s">
        <v>54</v>
      </c>
      <c r="O153" t="s">
        <v>821</v>
      </c>
      <c r="P153" t="s">
        <v>149</v>
      </c>
      <c r="Q153" t="s">
        <v>822</v>
      </c>
      <c r="R153" s="3">
        <v>2.621</v>
      </c>
      <c r="S153" s="3">
        <v>0</v>
      </c>
      <c r="T153" t="s">
        <v>23</v>
      </c>
      <c r="U153" t="s">
        <v>23</v>
      </c>
      <c r="V153" t="s">
        <v>23</v>
      </c>
      <c r="W153" t="s">
        <v>23</v>
      </c>
      <c r="X153" s="3">
        <v>0</v>
      </c>
      <c r="Y153" s="3">
        <v>10.760999999999999</v>
      </c>
      <c r="Z153" t="s">
        <v>23</v>
      </c>
      <c r="AA153" t="s">
        <v>812</v>
      </c>
      <c r="AB153" t="s">
        <v>109</v>
      </c>
      <c r="AC153" t="s">
        <v>300</v>
      </c>
      <c r="AD153" t="s">
        <v>61</v>
      </c>
      <c r="AE153" t="s">
        <v>62</v>
      </c>
      <c r="AF153" t="s">
        <v>111</v>
      </c>
      <c r="AG153" t="s">
        <v>112</v>
      </c>
      <c r="AH153" t="s">
        <v>113</v>
      </c>
      <c r="AI153" t="s">
        <v>23</v>
      </c>
      <c r="AJ153" t="s">
        <v>114</v>
      </c>
      <c r="AK153" t="s">
        <v>115</v>
      </c>
      <c r="AL153" t="s">
        <v>813</v>
      </c>
      <c r="AM153" t="s">
        <v>814</v>
      </c>
      <c r="AN153" t="s">
        <v>118</v>
      </c>
      <c r="AO153" t="s">
        <v>71</v>
      </c>
      <c r="AP153" t="s">
        <v>303</v>
      </c>
      <c r="AQ153" t="s">
        <v>304</v>
      </c>
      <c r="AR153" t="s">
        <v>815</v>
      </c>
    </row>
    <row r="154" spans="1:44" x14ac:dyDescent="0.25">
      <c r="A154" t="s">
        <v>101</v>
      </c>
      <c r="B154" t="s">
        <v>810</v>
      </c>
      <c r="C154" t="s">
        <v>44</v>
      </c>
      <c r="D154" t="s">
        <v>811</v>
      </c>
      <c r="E154" t="s">
        <v>291</v>
      </c>
      <c r="F154" t="s">
        <v>292</v>
      </c>
      <c r="G154" t="s">
        <v>293</v>
      </c>
      <c r="H154" t="s">
        <v>294</v>
      </c>
      <c r="I154" t="s">
        <v>50</v>
      </c>
      <c r="J154" t="s">
        <v>823</v>
      </c>
      <c r="K154" t="s">
        <v>824</v>
      </c>
      <c r="L154" t="s">
        <v>825</v>
      </c>
      <c r="M154" t="s">
        <v>298</v>
      </c>
      <c r="N154" t="s">
        <v>54</v>
      </c>
      <c r="O154" t="s">
        <v>143</v>
      </c>
      <c r="P154" t="s">
        <v>107</v>
      </c>
      <c r="Q154" t="s">
        <v>144</v>
      </c>
      <c r="R154" s="3">
        <v>0.92800000000000005</v>
      </c>
      <c r="S154" s="3">
        <v>0</v>
      </c>
      <c r="T154" t="s">
        <v>23</v>
      </c>
      <c r="U154" t="s">
        <v>23</v>
      </c>
      <c r="V154" t="s">
        <v>23</v>
      </c>
      <c r="W154" t="s">
        <v>23</v>
      </c>
      <c r="X154" s="3">
        <v>0</v>
      </c>
      <c r="Y154" s="3">
        <v>10.760999999999999</v>
      </c>
      <c r="Z154" t="s">
        <v>23</v>
      </c>
      <c r="AA154" t="s">
        <v>812</v>
      </c>
      <c r="AB154" t="s">
        <v>109</v>
      </c>
      <c r="AC154" t="s">
        <v>300</v>
      </c>
      <c r="AD154" t="s">
        <v>61</v>
      </c>
      <c r="AE154" t="s">
        <v>62</v>
      </c>
      <c r="AF154" t="s">
        <v>111</v>
      </c>
      <c r="AG154" t="s">
        <v>112</v>
      </c>
      <c r="AH154" t="s">
        <v>113</v>
      </c>
      <c r="AI154" t="s">
        <v>23</v>
      </c>
      <c r="AJ154" t="s">
        <v>114</v>
      </c>
      <c r="AK154" t="s">
        <v>115</v>
      </c>
      <c r="AL154" t="s">
        <v>813</v>
      </c>
      <c r="AM154" t="s">
        <v>814</v>
      </c>
      <c r="AN154" t="s">
        <v>118</v>
      </c>
      <c r="AO154" t="s">
        <v>71</v>
      </c>
      <c r="AP154" t="s">
        <v>303</v>
      </c>
      <c r="AQ154" t="s">
        <v>304</v>
      </c>
      <c r="AR154" t="s">
        <v>815</v>
      </c>
    </row>
    <row r="155" spans="1:44" x14ac:dyDescent="0.25">
      <c r="A155" t="s">
        <v>101</v>
      </c>
      <c r="B155" t="s">
        <v>810</v>
      </c>
      <c r="C155" t="s">
        <v>44</v>
      </c>
      <c r="D155" t="s">
        <v>811</v>
      </c>
      <c r="E155" t="s">
        <v>291</v>
      </c>
      <c r="F155" t="s">
        <v>292</v>
      </c>
      <c r="G155" t="s">
        <v>293</v>
      </c>
      <c r="H155" t="s">
        <v>294</v>
      </c>
      <c r="I155" t="s">
        <v>50</v>
      </c>
      <c r="J155" t="s">
        <v>151</v>
      </c>
      <c r="K155" t="s">
        <v>152</v>
      </c>
      <c r="L155" t="s">
        <v>153</v>
      </c>
      <c r="M155" t="s">
        <v>298</v>
      </c>
      <c r="N155" t="s">
        <v>54</v>
      </c>
      <c r="O155" t="s">
        <v>383</v>
      </c>
      <c r="P155" t="s">
        <v>149</v>
      </c>
      <c r="Q155" t="s">
        <v>826</v>
      </c>
      <c r="R155" s="3">
        <v>3.931</v>
      </c>
      <c r="S155" s="3">
        <v>0</v>
      </c>
      <c r="T155" t="s">
        <v>23</v>
      </c>
      <c r="U155" t="s">
        <v>23</v>
      </c>
      <c r="V155" t="s">
        <v>23</v>
      </c>
      <c r="W155" t="s">
        <v>23</v>
      </c>
      <c r="X155" s="3">
        <v>0</v>
      </c>
      <c r="Y155" s="3">
        <v>10.760999999999999</v>
      </c>
      <c r="Z155" t="s">
        <v>23</v>
      </c>
      <c r="AA155" t="s">
        <v>812</v>
      </c>
      <c r="AB155" t="s">
        <v>109</v>
      </c>
      <c r="AC155" t="s">
        <v>300</v>
      </c>
      <c r="AD155" t="s">
        <v>61</v>
      </c>
      <c r="AE155" t="s">
        <v>62</v>
      </c>
      <c r="AF155" t="s">
        <v>111</v>
      </c>
      <c r="AG155" t="s">
        <v>112</v>
      </c>
      <c r="AH155" t="s">
        <v>113</v>
      </c>
      <c r="AI155" t="s">
        <v>23</v>
      </c>
      <c r="AJ155" t="s">
        <v>114</v>
      </c>
      <c r="AK155" t="s">
        <v>115</v>
      </c>
      <c r="AL155" t="s">
        <v>813</v>
      </c>
      <c r="AM155" t="s">
        <v>814</v>
      </c>
      <c r="AN155" t="s">
        <v>118</v>
      </c>
      <c r="AO155" t="s">
        <v>71</v>
      </c>
      <c r="AP155" t="s">
        <v>303</v>
      </c>
      <c r="AQ155" t="s">
        <v>304</v>
      </c>
      <c r="AR155" t="s">
        <v>815</v>
      </c>
    </row>
    <row r="156" spans="1:44" x14ac:dyDescent="0.25">
      <c r="A156" t="s">
        <v>101</v>
      </c>
      <c r="B156" t="s">
        <v>810</v>
      </c>
      <c r="C156" t="s">
        <v>44</v>
      </c>
      <c r="D156" t="s">
        <v>811</v>
      </c>
      <c r="E156" t="s">
        <v>291</v>
      </c>
      <c r="F156" t="s">
        <v>292</v>
      </c>
      <c r="G156" t="s">
        <v>293</v>
      </c>
      <c r="H156" t="s">
        <v>294</v>
      </c>
      <c r="I156" t="s">
        <v>50</v>
      </c>
      <c r="J156" t="s">
        <v>156</v>
      </c>
      <c r="K156" t="s">
        <v>157</v>
      </c>
      <c r="L156" t="s">
        <v>158</v>
      </c>
      <c r="M156" t="s">
        <v>298</v>
      </c>
      <c r="N156" t="s">
        <v>54</v>
      </c>
      <c r="O156" t="s">
        <v>148</v>
      </c>
      <c r="P156" t="s">
        <v>159</v>
      </c>
      <c r="Q156" t="s">
        <v>160</v>
      </c>
      <c r="R156" s="3">
        <v>0.59</v>
      </c>
      <c r="S156" s="3">
        <v>0</v>
      </c>
      <c r="T156" t="s">
        <v>23</v>
      </c>
      <c r="U156" t="s">
        <v>23</v>
      </c>
      <c r="V156" t="s">
        <v>23</v>
      </c>
      <c r="W156" t="s">
        <v>23</v>
      </c>
      <c r="X156" s="3">
        <v>0</v>
      </c>
      <c r="Y156" s="3">
        <v>10.760999999999999</v>
      </c>
      <c r="Z156" t="s">
        <v>23</v>
      </c>
      <c r="AA156" t="s">
        <v>812</v>
      </c>
      <c r="AB156" t="s">
        <v>109</v>
      </c>
      <c r="AC156" t="s">
        <v>300</v>
      </c>
      <c r="AD156" t="s">
        <v>61</v>
      </c>
      <c r="AE156" t="s">
        <v>62</v>
      </c>
      <c r="AF156" t="s">
        <v>111</v>
      </c>
      <c r="AG156" t="s">
        <v>112</v>
      </c>
      <c r="AH156" t="s">
        <v>113</v>
      </c>
      <c r="AI156" t="s">
        <v>23</v>
      </c>
      <c r="AJ156" t="s">
        <v>114</v>
      </c>
      <c r="AK156" t="s">
        <v>115</v>
      </c>
      <c r="AL156" t="s">
        <v>813</v>
      </c>
      <c r="AM156" t="s">
        <v>814</v>
      </c>
      <c r="AN156" t="s">
        <v>118</v>
      </c>
      <c r="AO156" t="s">
        <v>71</v>
      </c>
      <c r="AP156" t="s">
        <v>303</v>
      </c>
      <c r="AQ156" t="s">
        <v>304</v>
      </c>
      <c r="AR156" t="s">
        <v>815</v>
      </c>
    </row>
    <row r="157" spans="1:44" x14ac:dyDescent="0.25">
      <c r="A157" t="s">
        <v>101</v>
      </c>
      <c r="B157" t="s">
        <v>810</v>
      </c>
      <c r="C157" t="s">
        <v>44</v>
      </c>
      <c r="D157" t="s">
        <v>811</v>
      </c>
      <c r="E157" t="s">
        <v>291</v>
      </c>
      <c r="F157" t="s">
        <v>292</v>
      </c>
      <c r="G157" t="s">
        <v>293</v>
      </c>
      <c r="H157" t="s">
        <v>294</v>
      </c>
      <c r="I157" t="s">
        <v>50</v>
      </c>
      <c r="J157" t="s">
        <v>170</v>
      </c>
      <c r="K157" t="s">
        <v>171</v>
      </c>
      <c r="L157" t="s">
        <v>172</v>
      </c>
      <c r="M157" t="s">
        <v>298</v>
      </c>
      <c r="N157" t="s">
        <v>54</v>
      </c>
      <c r="O157" t="s">
        <v>827</v>
      </c>
      <c r="P157" t="s">
        <v>93</v>
      </c>
      <c r="Q157" t="s">
        <v>828</v>
      </c>
      <c r="R157" s="3">
        <v>0.7</v>
      </c>
      <c r="S157" s="3">
        <v>0</v>
      </c>
      <c r="T157" t="s">
        <v>23</v>
      </c>
      <c r="U157" t="s">
        <v>23</v>
      </c>
      <c r="V157" t="s">
        <v>23</v>
      </c>
      <c r="W157" t="s">
        <v>23</v>
      </c>
      <c r="X157" s="3">
        <v>0</v>
      </c>
      <c r="Y157" s="3">
        <v>10.760999999999999</v>
      </c>
      <c r="Z157" t="s">
        <v>23</v>
      </c>
      <c r="AA157" t="s">
        <v>812</v>
      </c>
      <c r="AB157" t="s">
        <v>109</v>
      </c>
      <c r="AC157" t="s">
        <v>300</v>
      </c>
      <c r="AD157" t="s">
        <v>61</v>
      </c>
      <c r="AE157" t="s">
        <v>62</v>
      </c>
      <c r="AF157" t="s">
        <v>111</v>
      </c>
      <c r="AG157" t="s">
        <v>112</v>
      </c>
      <c r="AH157" t="s">
        <v>113</v>
      </c>
      <c r="AI157" t="s">
        <v>23</v>
      </c>
      <c r="AJ157" t="s">
        <v>114</v>
      </c>
      <c r="AK157" t="s">
        <v>115</v>
      </c>
      <c r="AL157" t="s">
        <v>813</v>
      </c>
      <c r="AM157" t="s">
        <v>814</v>
      </c>
      <c r="AN157" t="s">
        <v>118</v>
      </c>
      <c r="AO157" t="s">
        <v>71</v>
      </c>
      <c r="AP157" t="s">
        <v>303</v>
      </c>
      <c r="AQ157" t="s">
        <v>304</v>
      </c>
      <c r="AR157" t="s">
        <v>815</v>
      </c>
    </row>
    <row r="158" spans="1:44" x14ac:dyDescent="0.25">
      <c r="A158" s="4" t="s">
        <v>23</v>
      </c>
      <c r="B158" s="4" t="s">
        <v>23</v>
      </c>
      <c r="C158" s="4" t="s">
        <v>23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5">
        <v>10.760999999999999</v>
      </c>
      <c r="S158" s="5">
        <v>10.760999999999999</v>
      </c>
      <c r="T158" s="4" t="s">
        <v>23</v>
      </c>
      <c r="U158" s="4" t="s">
        <v>23</v>
      </c>
      <c r="V158" s="4" t="s">
        <v>23</v>
      </c>
      <c r="W158" s="4" t="s">
        <v>23</v>
      </c>
      <c r="X158" s="5">
        <v>10.760999999999999</v>
      </c>
      <c r="Y158" s="5">
        <v>10.760999999999999</v>
      </c>
      <c r="Z158" s="4" t="s">
        <v>23</v>
      </c>
      <c r="AA158" s="4" t="s">
        <v>23</v>
      </c>
      <c r="AB158" s="4" t="s">
        <v>23</v>
      </c>
      <c r="AC158" s="4" t="s">
        <v>23</v>
      </c>
      <c r="AD158" s="4" t="s">
        <v>23</v>
      </c>
      <c r="AE158" s="4" t="s">
        <v>23</v>
      </c>
      <c r="AF158" s="4" t="s">
        <v>23</v>
      </c>
      <c r="AG158" s="4" t="s">
        <v>23</v>
      </c>
      <c r="AH158" s="4" t="s">
        <v>23</v>
      </c>
      <c r="AI158" s="4" t="s">
        <v>23</v>
      </c>
      <c r="AJ158" s="4" t="s">
        <v>23</v>
      </c>
      <c r="AK158" s="4" t="s">
        <v>23</v>
      </c>
      <c r="AL158" s="4" t="s">
        <v>23</v>
      </c>
      <c r="AM158" s="4" t="s">
        <v>23</v>
      </c>
      <c r="AN158" s="4" t="s">
        <v>23</v>
      </c>
      <c r="AO158" s="4" t="s">
        <v>23</v>
      </c>
      <c r="AP158" s="4" t="s">
        <v>23</v>
      </c>
      <c r="AQ158" s="4" t="s">
        <v>23</v>
      </c>
      <c r="AR158" s="4" t="s">
        <v>23</v>
      </c>
    </row>
    <row r="159" spans="1:44" x14ac:dyDescent="0.25">
      <c r="A159" t="s">
        <v>101</v>
      </c>
      <c r="B159" t="s">
        <v>829</v>
      </c>
      <c r="C159" t="s">
        <v>44</v>
      </c>
      <c r="D159" t="s">
        <v>830</v>
      </c>
      <c r="E159" t="s">
        <v>831</v>
      </c>
      <c r="F159" t="s">
        <v>832</v>
      </c>
      <c r="G159" t="s">
        <v>833</v>
      </c>
      <c r="H159" t="s">
        <v>260</v>
      </c>
      <c r="I159" t="s">
        <v>261</v>
      </c>
      <c r="J159" t="s">
        <v>834</v>
      </c>
      <c r="K159" t="s">
        <v>835</v>
      </c>
      <c r="L159" t="s">
        <v>836</v>
      </c>
      <c r="M159" t="s">
        <v>23</v>
      </c>
      <c r="N159" t="s">
        <v>280</v>
      </c>
      <c r="O159" t="s">
        <v>837</v>
      </c>
      <c r="P159" t="s">
        <v>179</v>
      </c>
      <c r="Q159" t="s">
        <v>838</v>
      </c>
      <c r="R159" s="3">
        <v>0.70199999999999996</v>
      </c>
      <c r="S159" s="3">
        <v>1.002</v>
      </c>
      <c r="T159" t="s">
        <v>23</v>
      </c>
      <c r="U159" t="s">
        <v>23</v>
      </c>
      <c r="V159" t="s">
        <v>23</v>
      </c>
      <c r="W159" t="s">
        <v>23</v>
      </c>
      <c r="X159" s="3">
        <v>1.3080000000000001</v>
      </c>
      <c r="Y159" s="3">
        <v>1.3080000000000001</v>
      </c>
      <c r="Z159" t="s">
        <v>23</v>
      </c>
      <c r="AA159" t="s">
        <v>839</v>
      </c>
      <c r="AB159" t="s">
        <v>283</v>
      </c>
      <c r="AC159" t="s">
        <v>840</v>
      </c>
      <c r="AD159" t="s">
        <v>699</v>
      </c>
      <c r="AE159" t="s">
        <v>700</v>
      </c>
      <c r="AF159" t="s">
        <v>285</v>
      </c>
      <c r="AG159" t="s">
        <v>794</v>
      </c>
      <c r="AH159" t="s">
        <v>272</v>
      </c>
      <c r="AI159" t="s">
        <v>841</v>
      </c>
      <c r="AJ159" t="s">
        <v>114</v>
      </c>
      <c r="AK159" t="s">
        <v>115</v>
      </c>
      <c r="AL159" t="s">
        <v>842</v>
      </c>
      <c r="AM159" t="s">
        <v>843</v>
      </c>
      <c r="AN159" t="s">
        <v>118</v>
      </c>
      <c r="AO159" t="s">
        <v>71</v>
      </c>
      <c r="AP159" t="s">
        <v>544</v>
      </c>
      <c r="AQ159" t="s">
        <v>844</v>
      </c>
      <c r="AR159" t="s">
        <v>845</v>
      </c>
    </row>
    <row r="160" spans="1:44" x14ac:dyDescent="0.25">
      <c r="A160" t="s">
        <v>101</v>
      </c>
      <c r="B160" t="s">
        <v>829</v>
      </c>
      <c r="C160" t="s">
        <v>44</v>
      </c>
      <c r="D160" t="s">
        <v>830</v>
      </c>
      <c r="E160" t="s">
        <v>831</v>
      </c>
      <c r="F160" t="s">
        <v>832</v>
      </c>
      <c r="G160" t="s">
        <v>833</v>
      </c>
      <c r="H160" t="s">
        <v>260</v>
      </c>
      <c r="I160" t="s">
        <v>261</v>
      </c>
      <c r="J160" t="s">
        <v>846</v>
      </c>
      <c r="K160" t="s">
        <v>847</v>
      </c>
      <c r="L160" t="s">
        <v>848</v>
      </c>
      <c r="M160" t="s">
        <v>23</v>
      </c>
      <c r="N160" t="s">
        <v>280</v>
      </c>
      <c r="O160" t="s">
        <v>849</v>
      </c>
      <c r="P160" t="s">
        <v>164</v>
      </c>
      <c r="Q160" t="s">
        <v>399</v>
      </c>
      <c r="R160" s="3">
        <v>0.3</v>
      </c>
      <c r="S160" s="3">
        <v>0</v>
      </c>
      <c r="T160" t="s">
        <v>23</v>
      </c>
      <c r="U160" t="s">
        <v>23</v>
      </c>
      <c r="V160" t="s">
        <v>23</v>
      </c>
      <c r="W160" t="s">
        <v>23</v>
      </c>
      <c r="X160" s="3">
        <v>0</v>
      </c>
      <c r="Y160" s="3">
        <v>1.3080000000000001</v>
      </c>
      <c r="Z160" t="s">
        <v>23</v>
      </c>
      <c r="AA160" t="s">
        <v>839</v>
      </c>
      <c r="AB160" t="s">
        <v>283</v>
      </c>
      <c r="AC160" t="s">
        <v>840</v>
      </c>
      <c r="AD160" t="s">
        <v>699</v>
      </c>
      <c r="AE160" t="s">
        <v>700</v>
      </c>
      <c r="AF160" t="s">
        <v>285</v>
      </c>
      <c r="AG160" t="s">
        <v>794</v>
      </c>
      <c r="AH160" t="s">
        <v>272</v>
      </c>
      <c r="AI160" t="s">
        <v>841</v>
      </c>
      <c r="AJ160" t="s">
        <v>114</v>
      </c>
      <c r="AK160" t="s">
        <v>115</v>
      </c>
      <c r="AL160" t="s">
        <v>842</v>
      </c>
      <c r="AM160" t="s">
        <v>843</v>
      </c>
      <c r="AN160" t="s">
        <v>118</v>
      </c>
      <c r="AO160" t="s">
        <v>71</v>
      </c>
      <c r="AP160" t="s">
        <v>544</v>
      </c>
      <c r="AQ160" t="s">
        <v>844</v>
      </c>
      <c r="AR160" t="s">
        <v>845</v>
      </c>
    </row>
    <row r="161" spans="1:44" x14ac:dyDescent="0.25">
      <c r="A161" t="s">
        <v>101</v>
      </c>
      <c r="B161" t="s">
        <v>850</v>
      </c>
      <c r="C161" t="s">
        <v>44</v>
      </c>
      <c r="D161" t="s">
        <v>830</v>
      </c>
      <c r="E161" t="s">
        <v>831</v>
      </c>
      <c r="F161" t="s">
        <v>832</v>
      </c>
      <c r="G161" t="s">
        <v>833</v>
      </c>
      <c r="H161" t="s">
        <v>260</v>
      </c>
      <c r="I161" t="s">
        <v>261</v>
      </c>
      <c r="J161" t="s">
        <v>834</v>
      </c>
      <c r="K161" t="s">
        <v>835</v>
      </c>
      <c r="L161" t="s">
        <v>836</v>
      </c>
      <c r="M161" t="s">
        <v>23</v>
      </c>
      <c r="N161" t="s">
        <v>280</v>
      </c>
      <c r="O161" t="s">
        <v>851</v>
      </c>
      <c r="P161" t="s">
        <v>179</v>
      </c>
      <c r="Q161" t="s">
        <v>852</v>
      </c>
      <c r="R161" s="3">
        <v>0.30599999999999999</v>
      </c>
      <c r="S161" s="3">
        <v>0.30599999999999999</v>
      </c>
      <c r="T161" t="s">
        <v>23</v>
      </c>
      <c r="U161" t="s">
        <v>23</v>
      </c>
      <c r="V161" t="s">
        <v>23</v>
      </c>
      <c r="W161" t="s">
        <v>23</v>
      </c>
      <c r="X161" s="3">
        <v>0</v>
      </c>
      <c r="Y161" s="3">
        <v>1.3080000000000001</v>
      </c>
      <c r="Z161" t="s">
        <v>23</v>
      </c>
      <c r="AA161" t="s">
        <v>839</v>
      </c>
      <c r="AB161" t="s">
        <v>283</v>
      </c>
      <c r="AC161" t="s">
        <v>853</v>
      </c>
      <c r="AD161" t="s">
        <v>699</v>
      </c>
      <c r="AE161" t="s">
        <v>700</v>
      </c>
      <c r="AF161" t="s">
        <v>285</v>
      </c>
      <c r="AG161" t="s">
        <v>794</v>
      </c>
      <c r="AH161" t="s">
        <v>272</v>
      </c>
      <c r="AI161" t="s">
        <v>854</v>
      </c>
      <c r="AJ161" t="s">
        <v>114</v>
      </c>
      <c r="AK161" t="s">
        <v>115</v>
      </c>
      <c r="AL161" t="s">
        <v>855</v>
      </c>
      <c r="AM161" t="s">
        <v>856</v>
      </c>
      <c r="AN161" t="s">
        <v>118</v>
      </c>
      <c r="AO161" t="s">
        <v>71</v>
      </c>
      <c r="AP161" t="s">
        <v>544</v>
      </c>
      <c r="AQ161" t="s">
        <v>844</v>
      </c>
      <c r="AR161" t="s">
        <v>845</v>
      </c>
    </row>
    <row r="162" spans="1:44" x14ac:dyDescent="0.25">
      <c r="A162" s="4" t="s">
        <v>23</v>
      </c>
      <c r="B162" s="4" t="s">
        <v>23</v>
      </c>
      <c r="C162" s="4" t="s">
        <v>23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5">
        <v>1.3080000000000001</v>
      </c>
      <c r="S162" s="5">
        <v>1.3080000000000001</v>
      </c>
      <c r="T162" s="4" t="s">
        <v>23</v>
      </c>
      <c r="U162" s="4" t="s">
        <v>23</v>
      </c>
      <c r="V162" s="4" t="s">
        <v>23</v>
      </c>
      <c r="W162" s="4" t="s">
        <v>23</v>
      </c>
      <c r="X162" s="5">
        <v>1.3080000000000001</v>
      </c>
      <c r="Y162" s="5">
        <v>1.3080000000000001</v>
      </c>
      <c r="Z162" s="4" t="s">
        <v>23</v>
      </c>
      <c r="AA162" s="4" t="s">
        <v>23</v>
      </c>
      <c r="AB162" s="4" t="s">
        <v>23</v>
      </c>
      <c r="AC162" s="4" t="s">
        <v>23</v>
      </c>
      <c r="AD162" s="4" t="s">
        <v>23</v>
      </c>
      <c r="AE162" s="4" t="s">
        <v>23</v>
      </c>
      <c r="AF162" s="4" t="s">
        <v>23</v>
      </c>
      <c r="AG162" s="4" t="s">
        <v>23</v>
      </c>
      <c r="AH162" s="4" t="s">
        <v>23</v>
      </c>
      <c r="AI162" s="4" t="s">
        <v>23</v>
      </c>
      <c r="AJ162" s="4" t="s">
        <v>23</v>
      </c>
      <c r="AK162" s="4" t="s">
        <v>23</v>
      </c>
      <c r="AL162" s="4" t="s">
        <v>23</v>
      </c>
      <c r="AM162" s="4" t="s">
        <v>23</v>
      </c>
      <c r="AN162" s="4" t="s">
        <v>23</v>
      </c>
      <c r="AO162" s="4" t="s">
        <v>23</v>
      </c>
      <c r="AP162" s="4" t="s">
        <v>23</v>
      </c>
      <c r="AQ162" s="4" t="s">
        <v>23</v>
      </c>
      <c r="AR162" s="4" t="s">
        <v>23</v>
      </c>
    </row>
    <row r="163" spans="1:44" x14ac:dyDescent="0.25">
      <c r="A163" t="s">
        <v>101</v>
      </c>
      <c r="B163" t="s">
        <v>857</v>
      </c>
      <c r="C163" t="s">
        <v>44</v>
      </c>
      <c r="D163" t="s">
        <v>858</v>
      </c>
      <c r="E163" t="s">
        <v>859</v>
      </c>
      <c r="F163" t="s">
        <v>860</v>
      </c>
      <c r="G163" t="s">
        <v>861</v>
      </c>
      <c r="H163" t="s">
        <v>260</v>
      </c>
      <c r="I163" t="s">
        <v>261</v>
      </c>
      <c r="J163" t="s">
        <v>862</v>
      </c>
      <c r="K163" t="s">
        <v>863</v>
      </c>
      <c r="L163" t="s">
        <v>864</v>
      </c>
      <c r="M163" t="s">
        <v>23</v>
      </c>
      <c r="N163" t="s">
        <v>280</v>
      </c>
      <c r="O163" t="s">
        <v>865</v>
      </c>
      <c r="P163" t="s">
        <v>179</v>
      </c>
      <c r="Q163" t="s">
        <v>866</v>
      </c>
      <c r="R163" s="3">
        <v>1.08</v>
      </c>
      <c r="S163" s="3">
        <v>1.08</v>
      </c>
      <c r="T163" t="s">
        <v>23</v>
      </c>
      <c r="U163" t="s">
        <v>23</v>
      </c>
      <c r="V163" t="s">
        <v>23</v>
      </c>
      <c r="W163" t="s">
        <v>23</v>
      </c>
      <c r="X163" s="3">
        <v>1.08</v>
      </c>
      <c r="Y163" s="3">
        <v>1.08</v>
      </c>
      <c r="Z163" t="s">
        <v>23</v>
      </c>
      <c r="AA163" t="s">
        <v>867</v>
      </c>
      <c r="AB163" t="s">
        <v>283</v>
      </c>
      <c r="AC163" t="s">
        <v>868</v>
      </c>
      <c r="AD163" t="s">
        <v>699</v>
      </c>
      <c r="AE163" t="s">
        <v>744</v>
      </c>
      <c r="AF163" t="s">
        <v>285</v>
      </c>
      <c r="AG163" t="s">
        <v>112</v>
      </c>
      <c r="AH163" t="s">
        <v>272</v>
      </c>
      <c r="AI163" t="s">
        <v>869</v>
      </c>
      <c r="AJ163" t="s">
        <v>114</v>
      </c>
      <c r="AK163" t="s">
        <v>115</v>
      </c>
      <c r="AL163" t="s">
        <v>870</v>
      </c>
      <c r="AM163" t="s">
        <v>871</v>
      </c>
      <c r="AN163" t="s">
        <v>118</v>
      </c>
      <c r="AO163" t="s">
        <v>71</v>
      </c>
      <c r="AP163" t="s">
        <v>544</v>
      </c>
      <c r="AQ163" t="s">
        <v>872</v>
      </c>
      <c r="AR163" t="s">
        <v>873</v>
      </c>
    </row>
    <row r="164" spans="1:44" x14ac:dyDescent="0.25">
      <c r="A164" s="4" t="s">
        <v>23</v>
      </c>
      <c r="B164" s="4" t="s">
        <v>23</v>
      </c>
      <c r="C164" s="4" t="s">
        <v>23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5">
        <v>1.08</v>
      </c>
      <c r="S164" s="5">
        <v>1.08</v>
      </c>
      <c r="T164" s="4" t="s">
        <v>23</v>
      </c>
      <c r="U164" s="4" t="s">
        <v>23</v>
      </c>
      <c r="V164" s="4" t="s">
        <v>23</v>
      </c>
      <c r="W164" s="4" t="s">
        <v>23</v>
      </c>
      <c r="X164" s="5">
        <v>1.08</v>
      </c>
      <c r="Y164" s="5">
        <v>1.08</v>
      </c>
      <c r="Z164" s="4" t="s">
        <v>23</v>
      </c>
      <c r="AA164" s="4" t="s">
        <v>23</v>
      </c>
      <c r="AB164" s="4" t="s">
        <v>23</v>
      </c>
      <c r="AC164" s="4" t="s">
        <v>23</v>
      </c>
      <c r="AD164" s="4" t="s">
        <v>23</v>
      </c>
      <c r="AE164" s="4" t="s">
        <v>23</v>
      </c>
      <c r="AF164" s="4" t="s">
        <v>23</v>
      </c>
      <c r="AG164" s="4" t="s">
        <v>23</v>
      </c>
      <c r="AH164" s="4" t="s">
        <v>23</v>
      </c>
      <c r="AI164" s="4" t="s">
        <v>23</v>
      </c>
      <c r="AJ164" s="4" t="s">
        <v>23</v>
      </c>
      <c r="AK164" s="4" t="s">
        <v>23</v>
      </c>
      <c r="AL164" s="4" t="s">
        <v>23</v>
      </c>
      <c r="AM164" s="4" t="s">
        <v>23</v>
      </c>
      <c r="AN164" s="4" t="s">
        <v>23</v>
      </c>
      <c r="AO164" s="4" t="s">
        <v>23</v>
      </c>
      <c r="AP164" s="4" t="s">
        <v>23</v>
      </c>
      <c r="AQ164" s="4" t="s">
        <v>23</v>
      </c>
      <c r="AR164" s="4" t="s">
        <v>23</v>
      </c>
    </row>
    <row r="165" spans="1:44" x14ac:dyDescent="0.25">
      <c r="A165" t="s">
        <v>101</v>
      </c>
      <c r="B165" t="s">
        <v>874</v>
      </c>
      <c r="C165" t="s">
        <v>44</v>
      </c>
      <c r="D165" t="s">
        <v>858</v>
      </c>
      <c r="E165" t="s">
        <v>875</v>
      </c>
      <c r="F165" t="s">
        <v>876</v>
      </c>
      <c r="G165" t="s">
        <v>877</v>
      </c>
      <c r="H165" t="s">
        <v>260</v>
      </c>
      <c r="I165" t="s">
        <v>261</v>
      </c>
      <c r="J165" t="s">
        <v>878</v>
      </c>
      <c r="K165" t="s">
        <v>879</v>
      </c>
      <c r="L165" t="s">
        <v>880</v>
      </c>
      <c r="M165" t="s">
        <v>23</v>
      </c>
      <c r="N165" t="s">
        <v>280</v>
      </c>
      <c r="O165" t="s">
        <v>881</v>
      </c>
      <c r="P165" t="s">
        <v>164</v>
      </c>
      <c r="Q165" t="s">
        <v>882</v>
      </c>
      <c r="R165" s="3">
        <v>1.6</v>
      </c>
      <c r="S165" s="3">
        <v>1.6</v>
      </c>
      <c r="T165" t="s">
        <v>23</v>
      </c>
      <c r="U165" t="s">
        <v>23</v>
      </c>
      <c r="V165" t="s">
        <v>23</v>
      </c>
      <c r="W165" t="s">
        <v>23</v>
      </c>
      <c r="X165" s="3">
        <v>1.6</v>
      </c>
      <c r="Y165" s="3">
        <v>1.6</v>
      </c>
      <c r="Z165" t="s">
        <v>23</v>
      </c>
      <c r="AA165" t="s">
        <v>883</v>
      </c>
      <c r="AB165" t="s">
        <v>884</v>
      </c>
      <c r="AC165" t="s">
        <v>885</v>
      </c>
      <c r="AD165" t="s">
        <v>699</v>
      </c>
      <c r="AE165" t="s">
        <v>886</v>
      </c>
      <c r="AF165" t="s">
        <v>887</v>
      </c>
      <c r="AG165" t="s">
        <v>888</v>
      </c>
      <c r="AH165" t="s">
        <v>272</v>
      </c>
      <c r="AI165" t="s">
        <v>889</v>
      </c>
      <c r="AJ165" t="s">
        <v>114</v>
      </c>
      <c r="AK165" t="s">
        <v>115</v>
      </c>
      <c r="AL165" t="s">
        <v>890</v>
      </c>
      <c r="AM165" t="s">
        <v>891</v>
      </c>
      <c r="AN165" t="s">
        <v>118</v>
      </c>
      <c r="AO165" t="s">
        <v>71</v>
      </c>
      <c r="AP165" t="s">
        <v>892</v>
      </c>
      <c r="AQ165" t="s">
        <v>893</v>
      </c>
      <c r="AR165" t="s">
        <v>894</v>
      </c>
    </row>
    <row r="166" spans="1:44" x14ac:dyDescent="0.25">
      <c r="A166" s="4" t="s">
        <v>23</v>
      </c>
      <c r="B166" s="4" t="s">
        <v>23</v>
      </c>
      <c r="C166" s="4" t="s">
        <v>23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5">
        <v>1.6</v>
      </c>
      <c r="S166" s="5">
        <v>1.6</v>
      </c>
      <c r="T166" s="4" t="s">
        <v>23</v>
      </c>
      <c r="U166" s="4" t="s">
        <v>23</v>
      </c>
      <c r="V166" s="4" t="s">
        <v>23</v>
      </c>
      <c r="W166" s="4" t="s">
        <v>23</v>
      </c>
      <c r="X166" s="5">
        <v>1.6</v>
      </c>
      <c r="Y166" s="5">
        <v>1.6</v>
      </c>
      <c r="Z166" s="4" t="s">
        <v>23</v>
      </c>
      <c r="AA166" s="4" t="s">
        <v>23</v>
      </c>
      <c r="AB166" s="4" t="s">
        <v>23</v>
      </c>
      <c r="AC166" s="4" t="s">
        <v>23</v>
      </c>
      <c r="AD166" s="4" t="s">
        <v>23</v>
      </c>
      <c r="AE166" s="4" t="s">
        <v>23</v>
      </c>
      <c r="AF166" s="4" t="s">
        <v>23</v>
      </c>
      <c r="AG166" s="4" t="s">
        <v>23</v>
      </c>
      <c r="AH166" s="4" t="s">
        <v>23</v>
      </c>
      <c r="AI166" s="4" t="s">
        <v>23</v>
      </c>
      <c r="AJ166" s="4" t="s">
        <v>23</v>
      </c>
      <c r="AK166" s="4" t="s">
        <v>23</v>
      </c>
      <c r="AL166" s="4" t="s">
        <v>23</v>
      </c>
      <c r="AM166" s="4" t="s">
        <v>23</v>
      </c>
      <c r="AN166" s="4" t="s">
        <v>23</v>
      </c>
      <c r="AO166" s="4" t="s">
        <v>23</v>
      </c>
      <c r="AP166" s="4" t="s">
        <v>23</v>
      </c>
      <c r="AQ166" s="4" t="s">
        <v>23</v>
      </c>
      <c r="AR166" s="4" t="s">
        <v>23</v>
      </c>
    </row>
    <row r="167" spans="1:44" x14ac:dyDescent="0.25">
      <c r="A167" t="s">
        <v>101</v>
      </c>
      <c r="B167" t="s">
        <v>895</v>
      </c>
      <c r="C167" t="s">
        <v>44</v>
      </c>
      <c r="D167" t="s">
        <v>896</v>
      </c>
      <c r="E167" t="s">
        <v>897</v>
      </c>
      <c r="F167" t="s">
        <v>898</v>
      </c>
      <c r="G167" t="s">
        <v>899</v>
      </c>
      <c r="H167" t="s">
        <v>260</v>
      </c>
      <c r="I167" t="s">
        <v>261</v>
      </c>
      <c r="J167" t="s">
        <v>900</v>
      </c>
      <c r="K167" t="s">
        <v>901</v>
      </c>
      <c r="L167" t="s">
        <v>902</v>
      </c>
      <c r="M167" t="s">
        <v>23</v>
      </c>
      <c r="N167" t="s">
        <v>280</v>
      </c>
      <c r="O167" t="s">
        <v>75</v>
      </c>
      <c r="P167" t="s">
        <v>164</v>
      </c>
      <c r="Q167" t="s">
        <v>775</v>
      </c>
      <c r="R167" s="3">
        <v>2</v>
      </c>
      <c r="S167" s="3">
        <v>2</v>
      </c>
      <c r="T167" t="s">
        <v>23</v>
      </c>
      <c r="U167" t="s">
        <v>23</v>
      </c>
      <c r="V167" t="s">
        <v>23</v>
      </c>
      <c r="W167" t="s">
        <v>23</v>
      </c>
      <c r="X167" s="3">
        <v>2</v>
      </c>
      <c r="Y167" s="3">
        <v>2</v>
      </c>
      <c r="Z167" t="s">
        <v>23</v>
      </c>
      <c r="AA167" t="s">
        <v>903</v>
      </c>
      <c r="AB167" t="s">
        <v>166</v>
      </c>
      <c r="AC167" t="s">
        <v>904</v>
      </c>
      <c r="AD167" t="s">
        <v>699</v>
      </c>
      <c r="AE167" t="s">
        <v>744</v>
      </c>
      <c r="AF167" t="s">
        <v>167</v>
      </c>
      <c r="AG167" t="s">
        <v>112</v>
      </c>
      <c r="AH167" t="s">
        <v>272</v>
      </c>
      <c r="AI167" t="s">
        <v>905</v>
      </c>
      <c r="AJ167" t="s">
        <v>168</v>
      </c>
      <c r="AK167" t="s">
        <v>169</v>
      </c>
      <c r="AL167" t="s">
        <v>906</v>
      </c>
      <c r="AM167" t="s">
        <v>907</v>
      </c>
      <c r="AN167" t="s">
        <v>118</v>
      </c>
      <c r="AO167" t="s">
        <v>71</v>
      </c>
      <c r="AP167" t="s">
        <v>908</v>
      </c>
      <c r="AQ167" t="s">
        <v>909</v>
      </c>
      <c r="AR167" t="s">
        <v>910</v>
      </c>
    </row>
    <row r="168" spans="1:44" x14ac:dyDescent="0.25">
      <c r="A168" s="4" t="s">
        <v>23</v>
      </c>
      <c r="B168" s="4" t="s">
        <v>23</v>
      </c>
      <c r="C168" s="4" t="s">
        <v>23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5">
        <v>2</v>
      </c>
      <c r="S168" s="5">
        <v>2</v>
      </c>
      <c r="T168" s="4" t="s">
        <v>23</v>
      </c>
      <c r="U168" s="4" t="s">
        <v>23</v>
      </c>
      <c r="V168" s="4" t="s">
        <v>23</v>
      </c>
      <c r="W168" s="4" t="s">
        <v>23</v>
      </c>
      <c r="X168" s="5">
        <v>2</v>
      </c>
      <c r="Y168" s="5">
        <v>2</v>
      </c>
      <c r="Z168" s="4" t="s">
        <v>23</v>
      </c>
      <c r="AA168" s="4" t="s">
        <v>23</v>
      </c>
      <c r="AB168" s="4" t="s">
        <v>23</v>
      </c>
      <c r="AC168" s="4" t="s">
        <v>23</v>
      </c>
      <c r="AD168" s="4" t="s">
        <v>23</v>
      </c>
      <c r="AE168" s="4" t="s">
        <v>23</v>
      </c>
      <c r="AF168" s="4" t="s">
        <v>23</v>
      </c>
      <c r="AG168" s="4" t="s">
        <v>23</v>
      </c>
      <c r="AH168" s="4" t="s">
        <v>23</v>
      </c>
      <c r="AI168" s="4" t="s">
        <v>23</v>
      </c>
      <c r="AJ168" s="4" t="s">
        <v>23</v>
      </c>
      <c r="AK168" s="4" t="s">
        <v>23</v>
      </c>
      <c r="AL168" s="4" t="s">
        <v>23</v>
      </c>
      <c r="AM168" s="4" t="s">
        <v>23</v>
      </c>
      <c r="AN168" s="4" t="s">
        <v>23</v>
      </c>
      <c r="AO168" s="4" t="s">
        <v>23</v>
      </c>
      <c r="AP168" s="4" t="s">
        <v>23</v>
      </c>
      <c r="AQ168" s="4" t="s">
        <v>23</v>
      </c>
      <c r="AR168" s="4" t="s">
        <v>23</v>
      </c>
    </row>
    <row r="169" spans="1:44" x14ac:dyDescent="0.25">
      <c r="A169" t="s">
        <v>101</v>
      </c>
      <c r="B169" t="s">
        <v>911</v>
      </c>
      <c r="C169" t="s">
        <v>44</v>
      </c>
      <c r="D169" t="s">
        <v>912</v>
      </c>
      <c r="E169" t="s">
        <v>689</v>
      </c>
      <c r="F169" t="s">
        <v>690</v>
      </c>
      <c r="G169" t="s">
        <v>691</v>
      </c>
      <c r="H169" t="s">
        <v>260</v>
      </c>
      <c r="I169" t="s">
        <v>261</v>
      </c>
      <c r="J169" t="s">
        <v>692</v>
      </c>
      <c r="K169" t="s">
        <v>693</v>
      </c>
      <c r="L169" t="s">
        <v>694</v>
      </c>
      <c r="M169" t="s">
        <v>23</v>
      </c>
      <c r="N169" t="s">
        <v>280</v>
      </c>
      <c r="O169" t="s">
        <v>913</v>
      </c>
      <c r="P169" t="s">
        <v>179</v>
      </c>
      <c r="Q169" t="s">
        <v>914</v>
      </c>
      <c r="R169" s="3">
        <v>1.6919999999999999</v>
      </c>
      <c r="S169" s="3">
        <v>1.6919999999999999</v>
      </c>
      <c r="T169" t="s">
        <v>23</v>
      </c>
      <c r="U169" t="s">
        <v>23</v>
      </c>
      <c r="V169" t="s">
        <v>23</v>
      </c>
      <c r="W169" t="s">
        <v>23</v>
      </c>
      <c r="X169" s="3">
        <v>1.6919999999999999</v>
      </c>
      <c r="Y169" s="3">
        <v>1.6919999999999999</v>
      </c>
      <c r="Z169" t="s">
        <v>23</v>
      </c>
      <c r="AA169" t="s">
        <v>915</v>
      </c>
      <c r="AB169" t="s">
        <v>283</v>
      </c>
      <c r="AC169" t="s">
        <v>698</v>
      </c>
      <c r="AD169" t="s">
        <v>699</v>
      </c>
      <c r="AE169" t="s">
        <v>700</v>
      </c>
      <c r="AF169" t="s">
        <v>285</v>
      </c>
      <c r="AG169" t="s">
        <v>459</v>
      </c>
      <c r="AH169" t="s">
        <v>272</v>
      </c>
      <c r="AI169" t="s">
        <v>701</v>
      </c>
      <c r="AJ169" t="s">
        <v>114</v>
      </c>
      <c r="AK169" t="s">
        <v>115</v>
      </c>
      <c r="AL169" t="s">
        <v>916</v>
      </c>
      <c r="AM169" t="s">
        <v>917</v>
      </c>
      <c r="AN169" t="s">
        <v>118</v>
      </c>
      <c r="AO169" t="s">
        <v>71</v>
      </c>
      <c r="AP169" t="s">
        <v>23</v>
      </c>
      <c r="AQ169" t="s">
        <v>23</v>
      </c>
      <c r="AR169" t="s">
        <v>23</v>
      </c>
    </row>
    <row r="170" spans="1:44" x14ac:dyDescent="0.25">
      <c r="A170" s="4" t="s">
        <v>23</v>
      </c>
      <c r="B170" s="4" t="s">
        <v>23</v>
      </c>
      <c r="C170" s="4" t="s">
        <v>23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5">
        <v>1.6919999999999999</v>
      </c>
      <c r="S170" s="5">
        <v>1.6919999999999999</v>
      </c>
      <c r="T170" s="4" t="s">
        <v>23</v>
      </c>
      <c r="U170" s="4" t="s">
        <v>23</v>
      </c>
      <c r="V170" s="4" t="s">
        <v>23</v>
      </c>
      <c r="W170" s="4" t="s">
        <v>23</v>
      </c>
      <c r="X170" s="5">
        <v>1.6919999999999999</v>
      </c>
      <c r="Y170" s="5">
        <v>1.6919999999999999</v>
      </c>
      <c r="Z170" s="4" t="s">
        <v>23</v>
      </c>
      <c r="AA170" s="4" t="s">
        <v>23</v>
      </c>
      <c r="AB170" s="4" t="s">
        <v>23</v>
      </c>
      <c r="AC170" s="4" t="s">
        <v>23</v>
      </c>
      <c r="AD170" s="4" t="s">
        <v>23</v>
      </c>
      <c r="AE170" s="4" t="s">
        <v>23</v>
      </c>
      <c r="AF170" s="4" t="s">
        <v>23</v>
      </c>
      <c r="AG170" s="4" t="s">
        <v>23</v>
      </c>
      <c r="AH170" s="4" t="s">
        <v>23</v>
      </c>
      <c r="AI170" s="4" t="s">
        <v>23</v>
      </c>
      <c r="AJ170" s="4" t="s">
        <v>23</v>
      </c>
      <c r="AK170" s="4" t="s">
        <v>23</v>
      </c>
      <c r="AL170" s="4" t="s">
        <v>23</v>
      </c>
      <c r="AM170" s="4" t="s">
        <v>23</v>
      </c>
      <c r="AN170" s="4" t="s">
        <v>23</v>
      </c>
      <c r="AO170" s="4" t="s">
        <v>23</v>
      </c>
      <c r="AP170" s="4" t="s">
        <v>23</v>
      </c>
      <c r="AQ170" s="4" t="s">
        <v>23</v>
      </c>
      <c r="AR170" s="4" t="s">
        <v>23</v>
      </c>
    </row>
    <row r="171" spans="1:44" x14ac:dyDescent="0.25">
      <c r="A171" t="s">
        <v>101</v>
      </c>
      <c r="B171" t="s">
        <v>918</v>
      </c>
      <c r="C171" t="s">
        <v>44</v>
      </c>
      <c r="D171" t="s">
        <v>912</v>
      </c>
      <c r="E171" t="s">
        <v>875</v>
      </c>
      <c r="F171" t="s">
        <v>876</v>
      </c>
      <c r="G171" t="s">
        <v>877</v>
      </c>
      <c r="H171" t="s">
        <v>260</v>
      </c>
      <c r="I171" t="s">
        <v>261</v>
      </c>
      <c r="J171" t="s">
        <v>878</v>
      </c>
      <c r="K171" t="s">
        <v>879</v>
      </c>
      <c r="L171" t="s">
        <v>880</v>
      </c>
      <c r="M171" t="s">
        <v>23</v>
      </c>
      <c r="N171" t="s">
        <v>280</v>
      </c>
      <c r="O171" t="s">
        <v>919</v>
      </c>
      <c r="P171" t="s">
        <v>164</v>
      </c>
      <c r="Q171" t="s">
        <v>920</v>
      </c>
      <c r="R171" s="3">
        <v>0.4</v>
      </c>
      <c r="S171" s="3">
        <v>0.4</v>
      </c>
      <c r="T171" t="s">
        <v>23</v>
      </c>
      <c r="U171" t="s">
        <v>23</v>
      </c>
      <c r="V171" t="s">
        <v>23</v>
      </c>
      <c r="W171" t="s">
        <v>23</v>
      </c>
      <c r="X171" s="3">
        <v>1.4079999999999999</v>
      </c>
      <c r="Y171" s="3">
        <v>1.4079999999999999</v>
      </c>
      <c r="Z171" t="s">
        <v>23</v>
      </c>
      <c r="AA171" t="s">
        <v>921</v>
      </c>
      <c r="AB171" t="s">
        <v>884</v>
      </c>
      <c r="AC171" t="s">
        <v>885</v>
      </c>
      <c r="AD171" t="s">
        <v>699</v>
      </c>
      <c r="AE171" t="s">
        <v>886</v>
      </c>
      <c r="AF171" t="s">
        <v>887</v>
      </c>
      <c r="AG171" t="s">
        <v>888</v>
      </c>
      <c r="AH171" t="s">
        <v>272</v>
      </c>
      <c r="AI171" t="s">
        <v>889</v>
      </c>
      <c r="AJ171" t="s">
        <v>114</v>
      </c>
      <c r="AK171" t="s">
        <v>115</v>
      </c>
      <c r="AL171" t="s">
        <v>922</v>
      </c>
      <c r="AM171" t="s">
        <v>923</v>
      </c>
      <c r="AN171" t="s">
        <v>118</v>
      </c>
      <c r="AO171" t="s">
        <v>71</v>
      </c>
      <c r="AP171" t="s">
        <v>892</v>
      </c>
      <c r="AQ171" t="s">
        <v>893</v>
      </c>
      <c r="AR171" t="s">
        <v>924</v>
      </c>
    </row>
    <row r="172" spans="1:44" x14ac:dyDescent="0.25">
      <c r="A172" t="s">
        <v>101</v>
      </c>
      <c r="B172" t="s">
        <v>925</v>
      </c>
      <c r="C172" t="s">
        <v>44</v>
      </c>
      <c r="D172" t="s">
        <v>912</v>
      </c>
      <c r="E172" t="s">
        <v>875</v>
      </c>
      <c r="F172" t="s">
        <v>876</v>
      </c>
      <c r="G172" t="s">
        <v>877</v>
      </c>
      <c r="H172" t="s">
        <v>260</v>
      </c>
      <c r="I172" t="s">
        <v>261</v>
      </c>
      <c r="J172" t="s">
        <v>926</v>
      </c>
      <c r="K172" t="s">
        <v>927</v>
      </c>
      <c r="L172" t="s">
        <v>928</v>
      </c>
      <c r="M172" t="s">
        <v>23</v>
      </c>
      <c r="N172" t="s">
        <v>280</v>
      </c>
      <c r="O172" t="s">
        <v>929</v>
      </c>
      <c r="P172" t="s">
        <v>179</v>
      </c>
      <c r="Q172" t="s">
        <v>930</v>
      </c>
      <c r="R172" s="3">
        <v>1.008</v>
      </c>
      <c r="S172" s="3">
        <v>1.008</v>
      </c>
      <c r="T172" t="s">
        <v>23</v>
      </c>
      <c r="U172" t="s">
        <v>23</v>
      </c>
      <c r="V172" t="s">
        <v>23</v>
      </c>
      <c r="W172" t="s">
        <v>23</v>
      </c>
      <c r="X172" s="3">
        <v>0</v>
      </c>
      <c r="Y172" s="3">
        <v>1.4079999999999999</v>
      </c>
      <c r="Z172" t="s">
        <v>23</v>
      </c>
      <c r="AA172" t="s">
        <v>921</v>
      </c>
      <c r="AB172" t="s">
        <v>283</v>
      </c>
      <c r="AC172" t="s">
        <v>931</v>
      </c>
      <c r="AD172" t="s">
        <v>699</v>
      </c>
      <c r="AE172" t="s">
        <v>886</v>
      </c>
      <c r="AF172" t="s">
        <v>285</v>
      </c>
      <c r="AG172" t="s">
        <v>888</v>
      </c>
      <c r="AH172" t="s">
        <v>272</v>
      </c>
      <c r="AI172" t="s">
        <v>932</v>
      </c>
      <c r="AJ172" t="s">
        <v>114</v>
      </c>
      <c r="AK172" t="s">
        <v>115</v>
      </c>
      <c r="AL172" t="s">
        <v>933</v>
      </c>
      <c r="AM172" t="s">
        <v>934</v>
      </c>
      <c r="AN172" t="s">
        <v>118</v>
      </c>
      <c r="AO172" t="s">
        <v>71</v>
      </c>
      <c r="AP172" t="s">
        <v>892</v>
      </c>
      <c r="AQ172" t="s">
        <v>893</v>
      </c>
      <c r="AR172" t="s">
        <v>924</v>
      </c>
    </row>
    <row r="173" spans="1:44" x14ac:dyDescent="0.25">
      <c r="A173" s="4" t="s">
        <v>23</v>
      </c>
      <c r="B173" s="4" t="s">
        <v>23</v>
      </c>
      <c r="C173" s="4" t="s">
        <v>23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5">
        <v>1.4079999999999999</v>
      </c>
      <c r="S173" s="5">
        <v>1.4079999999999999</v>
      </c>
      <c r="T173" s="4" t="s">
        <v>23</v>
      </c>
      <c r="U173" s="4" t="s">
        <v>23</v>
      </c>
      <c r="V173" s="4" t="s">
        <v>23</v>
      </c>
      <c r="W173" s="4" t="s">
        <v>23</v>
      </c>
      <c r="X173" s="5">
        <v>1.4079999999999999</v>
      </c>
      <c r="Y173" s="5">
        <v>1.4079999999999999</v>
      </c>
      <c r="Z173" s="4" t="s">
        <v>23</v>
      </c>
      <c r="AA173" s="4" t="s">
        <v>23</v>
      </c>
      <c r="AB173" s="4" t="s">
        <v>23</v>
      </c>
      <c r="AC173" s="4" t="s">
        <v>23</v>
      </c>
      <c r="AD173" s="4" t="s">
        <v>23</v>
      </c>
      <c r="AE173" s="4" t="s">
        <v>23</v>
      </c>
      <c r="AF173" s="4" t="s">
        <v>23</v>
      </c>
      <c r="AG173" s="4" t="s">
        <v>23</v>
      </c>
      <c r="AH173" s="4" t="s">
        <v>23</v>
      </c>
      <c r="AI173" s="4" t="s">
        <v>23</v>
      </c>
      <c r="AJ173" s="4" t="s">
        <v>23</v>
      </c>
      <c r="AK173" s="4" t="s">
        <v>23</v>
      </c>
      <c r="AL173" s="4" t="s">
        <v>23</v>
      </c>
      <c r="AM173" s="4" t="s">
        <v>23</v>
      </c>
      <c r="AN173" s="4" t="s">
        <v>23</v>
      </c>
      <c r="AO173" s="4" t="s">
        <v>23</v>
      </c>
      <c r="AP173" s="4" t="s">
        <v>23</v>
      </c>
      <c r="AQ173" s="4" t="s">
        <v>23</v>
      </c>
      <c r="AR173" s="4" t="s">
        <v>23</v>
      </c>
    </row>
    <row r="174" spans="1:44" x14ac:dyDescent="0.25">
      <c r="A174" t="s">
        <v>101</v>
      </c>
      <c r="B174" t="s">
        <v>935</v>
      </c>
      <c r="C174" t="s">
        <v>44</v>
      </c>
      <c r="D174" t="s">
        <v>936</v>
      </c>
      <c r="E174" t="s">
        <v>937</v>
      </c>
      <c r="F174" t="s">
        <v>938</v>
      </c>
      <c r="G174" t="s">
        <v>939</v>
      </c>
      <c r="H174" t="s">
        <v>49</v>
      </c>
      <c r="I174" t="s">
        <v>50</v>
      </c>
      <c r="J174" t="s">
        <v>940</v>
      </c>
      <c r="K174" t="s">
        <v>941</v>
      </c>
      <c r="L174" t="s">
        <v>942</v>
      </c>
      <c r="M174" t="s">
        <v>23</v>
      </c>
      <c r="N174" t="s">
        <v>280</v>
      </c>
      <c r="O174" t="s">
        <v>943</v>
      </c>
      <c r="P174" t="s">
        <v>96</v>
      </c>
      <c r="Q174" t="s">
        <v>944</v>
      </c>
      <c r="R174" s="3">
        <v>6.72</v>
      </c>
      <c r="S174" s="3">
        <v>6.72</v>
      </c>
      <c r="T174" t="s">
        <v>23</v>
      </c>
      <c r="U174" t="s">
        <v>23</v>
      </c>
      <c r="V174" t="s">
        <v>23</v>
      </c>
      <c r="W174" t="s">
        <v>23</v>
      </c>
      <c r="X174" s="3">
        <v>6.72</v>
      </c>
      <c r="Y174" s="3">
        <v>6.72</v>
      </c>
      <c r="Z174" t="s">
        <v>23</v>
      </c>
      <c r="AA174" t="s">
        <v>945</v>
      </c>
      <c r="AB174" t="s">
        <v>946</v>
      </c>
      <c r="AC174" t="s">
        <v>947</v>
      </c>
      <c r="AD174" t="s">
        <v>699</v>
      </c>
      <c r="AE174" t="s">
        <v>700</v>
      </c>
      <c r="AF174" t="s">
        <v>948</v>
      </c>
      <c r="AG174" t="s">
        <v>577</v>
      </c>
      <c r="AH174" t="s">
        <v>888</v>
      </c>
      <c r="AI174" t="s">
        <v>949</v>
      </c>
      <c r="AJ174" t="s">
        <v>114</v>
      </c>
      <c r="AK174" t="s">
        <v>115</v>
      </c>
      <c r="AL174" t="s">
        <v>950</v>
      </c>
      <c r="AM174" t="s">
        <v>951</v>
      </c>
      <c r="AN174" t="s">
        <v>118</v>
      </c>
      <c r="AO174" t="s">
        <v>71</v>
      </c>
      <c r="AP174" t="s">
        <v>23</v>
      </c>
      <c r="AQ174" t="s">
        <v>23</v>
      </c>
      <c r="AR174" t="s">
        <v>23</v>
      </c>
    </row>
    <row r="175" spans="1:44" x14ac:dyDescent="0.25">
      <c r="A175" s="4" t="s">
        <v>23</v>
      </c>
      <c r="B175" s="4" t="s">
        <v>23</v>
      </c>
      <c r="C175" s="4" t="s">
        <v>23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5">
        <v>6.72</v>
      </c>
      <c r="S175" s="5">
        <v>6.72</v>
      </c>
      <c r="T175" s="4" t="s">
        <v>23</v>
      </c>
      <c r="U175" s="4" t="s">
        <v>23</v>
      </c>
      <c r="V175" s="4" t="s">
        <v>23</v>
      </c>
      <c r="W175" s="4" t="s">
        <v>23</v>
      </c>
      <c r="X175" s="5">
        <v>6.72</v>
      </c>
      <c r="Y175" s="5">
        <v>6.72</v>
      </c>
      <c r="Z175" s="4" t="s">
        <v>23</v>
      </c>
      <c r="AA175" s="4" t="s">
        <v>23</v>
      </c>
      <c r="AB175" s="4" t="s">
        <v>23</v>
      </c>
      <c r="AC175" s="4" t="s">
        <v>23</v>
      </c>
      <c r="AD175" s="4" t="s">
        <v>23</v>
      </c>
      <c r="AE175" s="4" t="s">
        <v>23</v>
      </c>
      <c r="AF175" s="4" t="s">
        <v>23</v>
      </c>
      <c r="AG175" s="4" t="s">
        <v>23</v>
      </c>
      <c r="AH175" s="4" t="s">
        <v>23</v>
      </c>
      <c r="AI175" s="4" t="s">
        <v>23</v>
      </c>
      <c r="AJ175" s="4" t="s">
        <v>23</v>
      </c>
      <c r="AK175" s="4" t="s">
        <v>23</v>
      </c>
      <c r="AL175" s="4" t="s">
        <v>23</v>
      </c>
      <c r="AM175" s="4" t="s">
        <v>23</v>
      </c>
      <c r="AN175" s="4" t="s">
        <v>23</v>
      </c>
      <c r="AO175" s="4" t="s">
        <v>23</v>
      </c>
      <c r="AP175" s="4" t="s">
        <v>23</v>
      </c>
      <c r="AQ175" s="4" t="s">
        <v>23</v>
      </c>
      <c r="AR175" s="4" t="s">
        <v>23</v>
      </c>
    </row>
    <row r="176" spans="1:44" x14ac:dyDescent="0.25">
      <c r="A176" t="s">
        <v>101</v>
      </c>
      <c r="B176" t="s">
        <v>952</v>
      </c>
      <c r="C176" t="s">
        <v>44</v>
      </c>
      <c r="D176" t="s">
        <v>953</v>
      </c>
      <c r="E176" t="s">
        <v>503</v>
      </c>
      <c r="F176" t="s">
        <v>504</v>
      </c>
      <c r="G176" t="s">
        <v>505</v>
      </c>
      <c r="H176" t="s">
        <v>260</v>
      </c>
      <c r="I176" t="s">
        <v>261</v>
      </c>
      <c r="J176" t="s">
        <v>425</v>
      </c>
      <c r="K176" t="s">
        <v>426</v>
      </c>
      <c r="L176" t="s">
        <v>427</v>
      </c>
      <c r="M176" t="s">
        <v>23</v>
      </c>
      <c r="N176" t="s">
        <v>428</v>
      </c>
      <c r="O176" t="s">
        <v>506</v>
      </c>
      <c r="P176" t="s">
        <v>93</v>
      </c>
      <c r="Q176" t="s">
        <v>507</v>
      </c>
      <c r="R176" s="3">
        <v>1.8</v>
      </c>
      <c r="S176" s="3">
        <v>1.8</v>
      </c>
      <c r="T176" t="s">
        <v>23</v>
      </c>
      <c r="U176" t="s">
        <v>23</v>
      </c>
      <c r="V176" t="s">
        <v>23</v>
      </c>
      <c r="W176" t="s">
        <v>23</v>
      </c>
      <c r="X176" s="3">
        <v>1.8</v>
      </c>
      <c r="Y176" s="3">
        <v>1.8</v>
      </c>
      <c r="Z176" t="s">
        <v>23</v>
      </c>
      <c r="AA176" t="s">
        <v>954</v>
      </c>
      <c r="AB176" t="s">
        <v>283</v>
      </c>
      <c r="AC176" t="s">
        <v>509</v>
      </c>
      <c r="AD176" t="s">
        <v>61</v>
      </c>
      <c r="AE176" t="s">
        <v>62</v>
      </c>
      <c r="AF176" t="s">
        <v>285</v>
      </c>
      <c r="AG176" t="s">
        <v>577</v>
      </c>
      <c r="AH176" t="s">
        <v>272</v>
      </c>
      <c r="AI176" t="s">
        <v>23</v>
      </c>
      <c r="AJ176" t="s">
        <v>114</v>
      </c>
      <c r="AK176" t="s">
        <v>115</v>
      </c>
      <c r="AL176" t="s">
        <v>955</v>
      </c>
      <c r="AM176" t="s">
        <v>956</v>
      </c>
      <c r="AN176" t="s">
        <v>118</v>
      </c>
      <c r="AO176" t="s">
        <v>71</v>
      </c>
      <c r="AP176" t="s">
        <v>23</v>
      </c>
      <c r="AQ176" t="s">
        <v>23</v>
      </c>
      <c r="AR176" t="s">
        <v>23</v>
      </c>
    </row>
    <row r="177" spans="1:44" x14ac:dyDescent="0.25">
      <c r="A177" s="4" t="s">
        <v>23</v>
      </c>
      <c r="B177" s="4" t="s">
        <v>23</v>
      </c>
      <c r="C177" s="4" t="s">
        <v>23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5">
        <v>1.8</v>
      </c>
      <c r="S177" s="5">
        <v>1.8</v>
      </c>
      <c r="T177" s="4" t="s">
        <v>23</v>
      </c>
      <c r="U177" s="4" t="s">
        <v>23</v>
      </c>
      <c r="V177" s="4" t="s">
        <v>23</v>
      </c>
      <c r="W177" s="4" t="s">
        <v>23</v>
      </c>
      <c r="X177" s="5">
        <v>1.8</v>
      </c>
      <c r="Y177" s="5">
        <v>1.8</v>
      </c>
      <c r="Z177" s="4" t="s">
        <v>23</v>
      </c>
      <c r="AA177" s="4" t="s">
        <v>23</v>
      </c>
      <c r="AB177" s="4" t="s">
        <v>23</v>
      </c>
      <c r="AC177" s="4" t="s">
        <v>23</v>
      </c>
      <c r="AD177" s="4" t="s">
        <v>23</v>
      </c>
      <c r="AE177" s="4" t="s">
        <v>23</v>
      </c>
      <c r="AF177" s="4" t="s">
        <v>23</v>
      </c>
      <c r="AG177" s="4" t="s">
        <v>23</v>
      </c>
      <c r="AH177" s="4" t="s">
        <v>23</v>
      </c>
      <c r="AI177" s="4" t="s">
        <v>23</v>
      </c>
      <c r="AJ177" s="4" t="s">
        <v>23</v>
      </c>
      <c r="AK177" s="4" t="s">
        <v>23</v>
      </c>
      <c r="AL177" s="4" t="s">
        <v>23</v>
      </c>
      <c r="AM177" s="4" t="s">
        <v>23</v>
      </c>
      <c r="AN177" s="4" t="s">
        <v>23</v>
      </c>
      <c r="AO177" s="4" t="s">
        <v>23</v>
      </c>
      <c r="AP177" s="4" t="s">
        <v>23</v>
      </c>
      <c r="AQ177" s="4" t="s">
        <v>23</v>
      </c>
      <c r="AR177" s="4" t="s">
        <v>23</v>
      </c>
    </row>
    <row r="178" spans="1:44" x14ac:dyDescent="0.25">
      <c r="A178" t="s">
        <v>101</v>
      </c>
      <c r="B178" t="s">
        <v>957</v>
      </c>
      <c r="C178" t="s">
        <v>44</v>
      </c>
      <c r="D178" t="s">
        <v>958</v>
      </c>
      <c r="E178" t="s">
        <v>959</v>
      </c>
      <c r="F178" t="s">
        <v>960</v>
      </c>
      <c r="G178" t="s">
        <v>961</v>
      </c>
      <c r="H178" t="s">
        <v>294</v>
      </c>
      <c r="I178" t="s">
        <v>50</v>
      </c>
      <c r="J178" t="s">
        <v>431</v>
      </c>
      <c r="K178" t="s">
        <v>432</v>
      </c>
      <c r="L178" t="s">
        <v>433</v>
      </c>
      <c r="M178" t="s">
        <v>959</v>
      </c>
      <c r="N178" t="s">
        <v>428</v>
      </c>
      <c r="O178" t="s">
        <v>195</v>
      </c>
      <c r="P178" t="s">
        <v>93</v>
      </c>
      <c r="Q178" t="s">
        <v>809</v>
      </c>
      <c r="R178" s="3">
        <v>0.125</v>
      </c>
      <c r="S178" s="3">
        <v>0.125</v>
      </c>
      <c r="T178" t="s">
        <v>23</v>
      </c>
      <c r="U178" t="s">
        <v>23</v>
      </c>
      <c r="V178" t="s">
        <v>23</v>
      </c>
      <c r="W178" t="s">
        <v>23</v>
      </c>
      <c r="X178" s="3">
        <v>0.125</v>
      </c>
      <c r="Y178" s="3">
        <v>0.125</v>
      </c>
      <c r="Z178" t="s">
        <v>23</v>
      </c>
      <c r="AA178" t="s">
        <v>962</v>
      </c>
      <c r="AB178" t="s">
        <v>109</v>
      </c>
      <c r="AC178" t="s">
        <v>963</v>
      </c>
      <c r="AD178" t="s">
        <v>61</v>
      </c>
      <c r="AE178" t="s">
        <v>62</v>
      </c>
      <c r="AF178" t="s">
        <v>111</v>
      </c>
      <c r="AG178" t="s">
        <v>112</v>
      </c>
      <c r="AH178" t="s">
        <v>113</v>
      </c>
      <c r="AI178" t="s">
        <v>23</v>
      </c>
      <c r="AJ178" t="s">
        <v>114</v>
      </c>
      <c r="AK178" t="s">
        <v>115</v>
      </c>
      <c r="AL178" t="s">
        <v>964</v>
      </c>
      <c r="AM178" t="s">
        <v>23</v>
      </c>
      <c r="AN178" t="s">
        <v>118</v>
      </c>
      <c r="AO178" t="s">
        <v>71</v>
      </c>
      <c r="AP178" t="s">
        <v>965</v>
      </c>
      <c r="AQ178" t="s">
        <v>966</v>
      </c>
      <c r="AR178" t="s">
        <v>967</v>
      </c>
    </row>
    <row r="179" spans="1:44" x14ac:dyDescent="0.25">
      <c r="A179" s="4" t="s">
        <v>23</v>
      </c>
      <c r="B179" s="4" t="s">
        <v>23</v>
      </c>
      <c r="C179" s="4" t="s">
        <v>23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5">
        <v>0.125</v>
      </c>
      <c r="S179" s="5">
        <v>0.125</v>
      </c>
      <c r="T179" s="4" t="s">
        <v>23</v>
      </c>
      <c r="U179" s="4" t="s">
        <v>23</v>
      </c>
      <c r="V179" s="4" t="s">
        <v>23</v>
      </c>
      <c r="W179" s="4" t="s">
        <v>23</v>
      </c>
      <c r="X179" s="5">
        <v>0.125</v>
      </c>
      <c r="Y179" s="5">
        <v>0.125</v>
      </c>
      <c r="Z179" s="4" t="s">
        <v>23</v>
      </c>
      <c r="AA179" s="4" t="s">
        <v>23</v>
      </c>
      <c r="AB179" s="4" t="s">
        <v>23</v>
      </c>
      <c r="AC179" s="4" t="s">
        <v>23</v>
      </c>
      <c r="AD179" s="4" t="s">
        <v>23</v>
      </c>
      <c r="AE179" s="4" t="s">
        <v>23</v>
      </c>
      <c r="AF179" s="4" t="s">
        <v>23</v>
      </c>
      <c r="AG179" s="4" t="s">
        <v>23</v>
      </c>
      <c r="AH179" s="4" t="s">
        <v>23</v>
      </c>
      <c r="AI179" s="4" t="s">
        <v>23</v>
      </c>
      <c r="AJ179" s="4" t="s">
        <v>23</v>
      </c>
      <c r="AK179" s="4" t="s">
        <v>23</v>
      </c>
      <c r="AL179" s="4" t="s">
        <v>23</v>
      </c>
      <c r="AM179" s="4" t="s">
        <v>23</v>
      </c>
      <c r="AN179" s="4" t="s">
        <v>23</v>
      </c>
      <c r="AO179" s="4" t="s">
        <v>23</v>
      </c>
      <c r="AP179" s="4" t="s">
        <v>23</v>
      </c>
      <c r="AQ179" s="4" t="s">
        <v>23</v>
      </c>
      <c r="AR179" s="4" t="s">
        <v>23</v>
      </c>
    </row>
    <row r="180" spans="1:44" x14ac:dyDescent="0.25">
      <c r="A180" t="s">
        <v>254</v>
      </c>
      <c r="B180" t="s">
        <v>968</v>
      </c>
      <c r="C180" t="s">
        <v>44</v>
      </c>
      <c r="D180" t="s">
        <v>969</v>
      </c>
      <c r="E180" t="s">
        <v>970</v>
      </c>
      <c r="F180" t="s">
        <v>971</v>
      </c>
      <c r="G180" t="s">
        <v>972</v>
      </c>
      <c r="H180" t="s">
        <v>260</v>
      </c>
      <c r="I180" t="s">
        <v>261</v>
      </c>
      <c r="J180" t="s">
        <v>973</v>
      </c>
      <c r="K180" t="s">
        <v>974</v>
      </c>
      <c r="L180" t="s">
        <v>975</v>
      </c>
      <c r="M180" t="s">
        <v>976</v>
      </c>
      <c r="N180" t="s">
        <v>54</v>
      </c>
      <c r="O180" t="s">
        <v>75</v>
      </c>
      <c r="P180" t="s">
        <v>106</v>
      </c>
      <c r="Q180" t="s">
        <v>164</v>
      </c>
      <c r="R180" s="3">
        <v>0.02</v>
      </c>
      <c r="S180" t="s">
        <v>23</v>
      </c>
      <c r="T180" s="3">
        <v>0.02</v>
      </c>
      <c r="U180" t="s">
        <v>23</v>
      </c>
      <c r="V180" t="s">
        <v>23</v>
      </c>
      <c r="W180" t="s">
        <v>23</v>
      </c>
      <c r="X180" s="3">
        <v>1.222</v>
      </c>
      <c r="Y180" s="3">
        <v>1.222</v>
      </c>
      <c r="Z180" t="s">
        <v>23</v>
      </c>
      <c r="AA180" t="s">
        <v>23</v>
      </c>
      <c r="AB180" t="s">
        <v>977</v>
      </c>
      <c r="AC180" t="s">
        <v>978</v>
      </c>
      <c r="AD180" t="s">
        <v>61</v>
      </c>
      <c r="AE180" t="s">
        <v>522</v>
      </c>
      <c r="AF180" t="s">
        <v>979</v>
      </c>
      <c r="AG180" t="s">
        <v>980</v>
      </c>
      <c r="AH180" t="s">
        <v>980</v>
      </c>
      <c r="AI180" t="s">
        <v>981</v>
      </c>
      <c r="AJ180" t="s">
        <v>273</v>
      </c>
      <c r="AK180" t="s">
        <v>274</v>
      </c>
      <c r="AL180" t="s">
        <v>982</v>
      </c>
      <c r="AM180" t="s">
        <v>983</v>
      </c>
      <c r="AN180" t="s">
        <v>118</v>
      </c>
      <c r="AO180" t="s">
        <v>71</v>
      </c>
      <c r="AP180" t="s">
        <v>544</v>
      </c>
      <c r="AQ180" t="s">
        <v>984</v>
      </c>
      <c r="AR180" t="s">
        <v>985</v>
      </c>
    </row>
    <row r="181" spans="1:44" x14ac:dyDescent="0.25">
      <c r="A181" t="s">
        <v>363</v>
      </c>
      <c r="B181" t="s">
        <v>986</v>
      </c>
      <c r="C181" t="s">
        <v>44</v>
      </c>
      <c r="D181" t="s">
        <v>969</v>
      </c>
      <c r="E181" t="s">
        <v>970</v>
      </c>
      <c r="F181" t="s">
        <v>971</v>
      </c>
      <c r="G181" t="s">
        <v>987</v>
      </c>
      <c r="H181" t="s">
        <v>260</v>
      </c>
      <c r="I181" t="s">
        <v>261</v>
      </c>
      <c r="J181" t="s">
        <v>390</v>
      </c>
      <c r="K181" t="s">
        <v>391</v>
      </c>
      <c r="L181" t="s">
        <v>392</v>
      </c>
      <c r="M181" t="s">
        <v>988</v>
      </c>
      <c r="N181" t="s">
        <v>54</v>
      </c>
      <c r="O181" t="s">
        <v>195</v>
      </c>
      <c r="P181" t="s">
        <v>76</v>
      </c>
      <c r="Q181" t="s">
        <v>249</v>
      </c>
      <c r="R181" s="3">
        <v>2.4E-2</v>
      </c>
      <c r="S181" t="s">
        <v>23</v>
      </c>
      <c r="T181" t="s">
        <v>23</v>
      </c>
      <c r="U181" s="3">
        <v>5.7000000000000002E-2</v>
      </c>
      <c r="V181" t="s">
        <v>23</v>
      </c>
      <c r="W181" t="s">
        <v>23</v>
      </c>
      <c r="X181" s="3">
        <v>0</v>
      </c>
      <c r="Y181" s="3">
        <v>1.222</v>
      </c>
      <c r="Z181" t="s">
        <v>23</v>
      </c>
      <c r="AA181" t="s">
        <v>23</v>
      </c>
      <c r="AB181" t="s">
        <v>977</v>
      </c>
      <c r="AC181" t="s">
        <v>989</v>
      </c>
      <c r="AD181" t="s">
        <v>61</v>
      </c>
      <c r="AE181" t="s">
        <v>522</v>
      </c>
      <c r="AF181" t="s">
        <v>979</v>
      </c>
      <c r="AG181" t="s">
        <v>980</v>
      </c>
      <c r="AH181" t="s">
        <v>980</v>
      </c>
      <c r="AI181" t="s">
        <v>990</v>
      </c>
      <c r="AJ181" t="s">
        <v>373</v>
      </c>
      <c r="AK181" t="s">
        <v>374</v>
      </c>
      <c r="AL181" t="s">
        <v>991</v>
      </c>
      <c r="AM181" t="s">
        <v>992</v>
      </c>
      <c r="AN181" t="s">
        <v>118</v>
      </c>
      <c r="AO181" t="s">
        <v>71</v>
      </c>
      <c r="AP181" t="s">
        <v>544</v>
      </c>
      <c r="AQ181" t="s">
        <v>984</v>
      </c>
      <c r="AR181" t="s">
        <v>985</v>
      </c>
    </row>
    <row r="182" spans="1:44" x14ac:dyDescent="0.25">
      <c r="A182" t="s">
        <v>363</v>
      </c>
      <c r="B182" t="s">
        <v>986</v>
      </c>
      <c r="C182" t="s">
        <v>44</v>
      </c>
      <c r="D182" t="s">
        <v>969</v>
      </c>
      <c r="E182" t="s">
        <v>970</v>
      </c>
      <c r="F182" t="s">
        <v>971</v>
      </c>
      <c r="G182" t="s">
        <v>987</v>
      </c>
      <c r="H182" t="s">
        <v>260</v>
      </c>
      <c r="I182" t="s">
        <v>261</v>
      </c>
      <c r="J182" t="s">
        <v>993</v>
      </c>
      <c r="K182" t="s">
        <v>994</v>
      </c>
      <c r="L182" t="s">
        <v>995</v>
      </c>
      <c r="M182" t="s">
        <v>988</v>
      </c>
      <c r="N182" t="s">
        <v>54</v>
      </c>
      <c r="O182" t="s">
        <v>195</v>
      </c>
      <c r="P182" t="s">
        <v>361</v>
      </c>
      <c r="Q182" t="s">
        <v>55</v>
      </c>
      <c r="R182" s="3">
        <v>1.4999999999999999E-2</v>
      </c>
      <c r="S182" t="s">
        <v>23</v>
      </c>
      <c r="T182" t="s">
        <v>23</v>
      </c>
      <c r="U182" s="3">
        <v>0</v>
      </c>
      <c r="V182" t="s">
        <v>23</v>
      </c>
      <c r="W182" t="s">
        <v>23</v>
      </c>
      <c r="X182" s="3">
        <v>0</v>
      </c>
      <c r="Y182" s="3">
        <v>1.222</v>
      </c>
      <c r="Z182" t="s">
        <v>23</v>
      </c>
      <c r="AA182" t="s">
        <v>23</v>
      </c>
      <c r="AB182" t="s">
        <v>977</v>
      </c>
      <c r="AC182" t="s">
        <v>989</v>
      </c>
      <c r="AD182" t="s">
        <v>61</v>
      </c>
      <c r="AE182" t="s">
        <v>522</v>
      </c>
      <c r="AF182" t="s">
        <v>979</v>
      </c>
      <c r="AG182" t="s">
        <v>980</v>
      </c>
      <c r="AH182" t="s">
        <v>980</v>
      </c>
      <c r="AI182" t="s">
        <v>990</v>
      </c>
      <c r="AJ182" t="s">
        <v>373</v>
      </c>
      <c r="AK182" t="s">
        <v>374</v>
      </c>
      <c r="AL182" t="s">
        <v>991</v>
      </c>
      <c r="AM182" t="s">
        <v>992</v>
      </c>
      <c r="AN182" t="s">
        <v>118</v>
      </c>
      <c r="AO182" t="s">
        <v>71</v>
      </c>
      <c r="AP182" t="s">
        <v>544</v>
      </c>
      <c r="AQ182" t="s">
        <v>984</v>
      </c>
      <c r="AR182" t="s">
        <v>985</v>
      </c>
    </row>
    <row r="183" spans="1:44" x14ac:dyDescent="0.25">
      <c r="A183" t="s">
        <v>363</v>
      </c>
      <c r="B183" t="s">
        <v>986</v>
      </c>
      <c r="C183" t="s">
        <v>44</v>
      </c>
      <c r="D183" t="s">
        <v>969</v>
      </c>
      <c r="E183" t="s">
        <v>970</v>
      </c>
      <c r="F183" t="s">
        <v>971</v>
      </c>
      <c r="G183" t="s">
        <v>987</v>
      </c>
      <c r="H183" t="s">
        <v>260</v>
      </c>
      <c r="I183" t="s">
        <v>261</v>
      </c>
      <c r="J183" t="s">
        <v>387</v>
      </c>
      <c r="K183" t="s">
        <v>388</v>
      </c>
      <c r="L183" t="s">
        <v>389</v>
      </c>
      <c r="M183" t="s">
        <v>988</v>
      </c>
      <c r="N183" t="s">
        <v>54</v>
      </c>
      <c r="O183" t="s">
        <v>361</v>
      </c>
      <c r="P183" t="s">
        <v>382</v>
      </c>
      <c r="Q183" t="s">
        <v>179</v>
      </c>
      <c r="R183" s="3">
        <v>1.7999999999999999E-2</v>
      </c>
      <c r="S183" t="s">
        <v>23</v>
      </c>
      <c r="T183" t="s">
        <v>23</v>
      </c>
      <c r="U183" s="3">
        <v>0</v>
      </c>
      <c r="V183" t="s">
        <v>23</v>
      </c>
      <c r="W183" t="s">
        <v>23</v>
      </c>
      <c r="X183" s="3">
        <v>0</v>
      </c>
      <c r="Y183" s="3">
        <v>1.222</v>
      </c>
      <c r="Z183" t="s">
        <v>23</v>
      </c>
      <c r="AA183" t="s">
        <v>23</v>
      </c>
      <c r="AB183" t="s">
        <v>977</v>
      </c>
      <c r="AC183" t="s">
        <v>989</v>
      </c>
      <c r="AD183" t="s">
        <v>61</v>
      </c>
      <c r="AE183" t="s">
        <v>522</v>
      </c>
      <c r="AF183" t="s">
        <v>979</v>
      </c>
      <c r="AG183" t="s">
        <v>980</v>
      </c>
      <c r="AH183" t="s">
        <v>980</v>
      </c>
      <c r="AI183" t="s">
        <v>990</v>
      </c>
      <c r="AJ183" t="s">
        <v>373</v>
      </c>
      <c r="AK183" t="s">
        <v>374</v>
      </c>
      <c r="AL183" t="s">
        <v>991</v>
      </c>
      <c r="AM183" t="s">
        <v>992</v>
      </c>
      <c r="AN183" t="s">
        <v>118</v>
      </c>
      <c r="AO183" t="s">
        <v>71</v>
      </c>
      <c r="AP183" t="s">
        <v>544</v>
      </c>
      <c r="AQ183" t="s">
        <v>984</v>
      </c>
      <c r="AR183" t="s">
        <v>985</v>
      </c>
    </row>
    <row r="184" spans="1:44" x14ac:dyDescent="0.25">
      <c r="A184" t="s">
        <v>101</v>
      </c>
      <c r="B184" t="s">
        <v>996</v>
      </c>
      <c r="C184" t="s">
        <v>44</v>
      </c>
      <c r="D184" t="s">
        <v>969</v>
      </c>
      <c r="E184" t="s">
        <v>997</v>
      </c>
      <c r="F184" t="s">
        <v>971</v>
      </c>
      <c r="G184" t="s">
        <v>987</v>
      </c>
      <c r="H184" t="s">
        <v>260</v>
      </c>
      <c r="I184" t="s">
        <v>261</v>
      </c>
      <c r="J184" t="s">
        <v>135</v>
      </c>
      <c r="K184" t="s">
        <v>136</v>
      </c>
      <c r="L184" t="s">
        <v>137</v>
      </c>
      <c r="M184" t="s">
        <v>998</v>
      </c>
      <c r="N184" t="s">
        <v>54</v>
      </c>
      <c r="O184" t="s">
        <v>195</v>
      </c>
      <c r="P184" t="s">
        <v>139</v>
      </c>
      <c r="Q184" t="s">
        <v>589</v>
      </c>
      <c r="R184" s="3">
        <v>1.4E-2</v>
      </c>
      <c r="S184" s="3">
        <v>1.4E-2</v>
      </c>
      <c r="T184" t="s">
        <v>23</v>
      </c>
      <c r="U184" t="s">
        <v>23</v>
      </c>
      <c r="V184" t="s">
        <v>23</v>
      </c>
      <c r="W184" t="s">
        <v>23</v>
      </c>
      <c r="X184" s="3">
        <v>0</v>
      </c>
      <c r="Y184" s="3">
        <v>1.222</v>
      </c>
      <c r="Z184" t="s">
        <v>23</v>
      </c>
      <c r="AA184" t="s">
        <v>23</v>
      </c>
      <c r="AB184" t="s">
        <v>977</v>
      </c>
      <c r="AC184" t="s">
        <v>999</v>
      </c>
      <c r="AD184" t="s">
        <v>61</v>
      </c>
      <c r="AE184" t="s">
        <v>522</v>
      </c>
      <c r="AF184" t="s">
        <v>979</v>
      </c>
      <c r="AG184" t="s">
        <v>980</v>
      </c>
      <c r="AH184" t="s">
        <v>980</v>
      </c>
      <c r="AI184" t="s">
        <v>990</v>
      </c>
      <c r="AJ184" t="s">
        <v>114</v>
      </c>
      <c r="AK184" t="s">
        <v>115</v>
      </c>
      <c r="AL184" t="s">
        <v>1000</v>
      </c>
      <c r="AM184" t="s">
        <v>1001</v>
      </c>
      <c r="AN184" t="s">
        <v>118</v>
      </c>
      <c r="AO184" t="s">
        <v>71</v>
      </c>
      <c r="AP184" t="s">
        <v>544</v>
      </c>
      <c r="AQ184" t="s">
        <v>984</v>
      </c>
      <c r="AR184" t="s">
        <v>985</v>
      </c>
    </row>
    <row r="185" spans="1:44" x14ac:dyDescent="0.25">
      <c r="A185" t="s">
        <v>101</v>
      </c>
      <c r="B185" t="s">
        <v>1002</v>
      </c>
      <c r="C185" t="s">
        <v>44</v>
      </c>
      <c r="D185" t="s">
        <v>969</v>
      </c>
      <c r="E185" t="s">
        <v>997</v>
      </c>
      <c r="F185" t="s">
        <v>971</v>
      </c>
      <c r="G185" t="s">
        <v>987</v>
      </c>
      <c r="H185" t="s">
        <v>260</v>
      </c>
      <c r="I185" t="s">
        <v>261</v>
      </c>
      <c r="J185" t="s">
        <v>801</v>
      </c>
      <c r="K185" t="s">
        <v>802</v>
      </c>
      <c r="L185" t="s">
        <v>803</v>
      </c>
      <c r="M185" t="s">
        <v>998</v>
      </c>
      <c r="N185" t="s">
        <v>428</v>
      </c>
      <c r="O185" t="s">
        <v>55</v>
      </c>
      <c r="P185" t="s">
        <v>93</v>
      </c>
      <c r="Q185" t="s">
        <v>718</v>
      </c>
      <c r="R185" s="3">
        <v>0.375</v>
      </c>
      <c r="S185" s="3">
        <v>0.375</v>
      </c>
      <c r="T185" t="s">
        <v>23</v>
      </c>
      <c r="U185" t="s">
        <v>23</v>
      </c>
      <c r="V185" t="s">
        <v>23</v>
      </c>
      <c r="W185" t="s">
        <v>23</v>
      </c>
      <c r="X185" s="3">
        <v>0</v>
      </c>
      <c r="Y185" s="3">
        <v>1.222</v>
      </c>
      <c r="Z185" t="s">
        <v>23</v>
      </c>
      <c r="AA185" t="s">
        <v>23</v>
      </c>
      <c r="AB185" t="s">
        <v>977</v>
      </c>
      <c r="AC185" t="s">
        <v>1003</v>
      </c>
      <c r="AD185" t="s">
        <v>61</v>
      </c>
      <c r="AE185" t="s">
        <v>522</v>
      </c>
      <c r="AF185" t="s">
        <v>979</v>
      </c>
      <c r="AG185" t="s">
        <v>980</v>
      </c>
      <c r="AH185" t="s">
        <v>980</v>
      </c>
      <c r="AI185" t="s">
        <v>1004</v>
      </c>
      <c r="AJ185" t="s">
        <v>114</v>
      </c>
      <c r="AK185" t="s">
        <v>115</v>
      </c>
      <c r="AL185" t="s">
        <v>1005</v>
      </c>
      <c r="AM185" t="s">
        <v>1006</v>
      </c>
      <c r="AN185" t="s">
        <v>118</v>
      </c>
      <c r="AO185" t="s">
        <v>71</v>
      </c>
      <c r="AP185" t="s">
        <v>544</v>
      </c>
      <c r="AQ185" t="s">
        <v>984</v>
      </c>
      <c r="AR185" t="s">
        <v>985</v>
      </c>
    </row>
    <row r="186" spans="1:44" x14ac:dyDescent="0.25">
      <c r="A186" t="s">
        <v>311</v>
      </c>
      <c r="B186" t="s">
        <v>1007</v>
      </c>
      <c r="C186" t="s">
        <v>44</v>
      </c>
      <c r="D186" t="s">
        <v>969</v>
      </c>
      <c r="E186" t="s">
        <v>1008</v>
      </c>
      <c r="F186" t="s">
        <v>971</v>
      </c>
      <c r="G186" t="s">
        <v>972</v>
      </c>
      <c r="H186" t="s">
        <v>260</v>
      </c>
      <c r="I186" t="s">
        <v>261</v>
      </c>
      <c r="J186" t="s">
        <v>1009</v>
      </c>
      <c r="K186" t="s">
        <v>1010</v>
      </c>
      <c r="L186" t="s">
        <v>1011</v>
      </c>
      <c r="M186" t="s">
        <v>1012</v>
      </c>
      <c r="N186" t="s">
        <v>54</v>
      </c>
      <c r="O186" t="s">
        <v>96</v>
      </c>
      <c r="P186" t="s">
        <v>1013</v>
      </c>
      <c r="Q186" t="s">
        <v>1013</v>
      </c>
      <c r="R186" s="3">
        <v>1.2999999999999999E-2</v>
      </c>
      <c r="S186" t="s">
        <v>23</v>
      </c>
      <c r="T186" t="s">
        <v>23</v>
      </c>
      <c r="U186" t="s">
        <v>23</v>
      </c>
      <c r="V186" t="s">
        <v>23</v>
      </c>
      <c r="W186" s="3">
        <v>1.2999999999999999E-2</v>
      </c>
      <c r="X186" s="3">
        <v>0</v>
      </c>
      <c r="Y186" s="3">
        <v>1.222</v>
      </c>
      <c r="Z186" t="s">
        <v>23</v>
      </c>
      <c r="AA186" t="s">
        <v>23</v>
      </c>
      <c r="AB186" t="s">
        <v>1014</v>
      </c>
      <c r="AC186" t="s">
        <v>1015</v>
      </c>
      <c r="AD186" t="s">
        <v>61</v>
      </c>
      <c r="AE186" t="s">
        <v>522</v>
      </c>
      <c r="AF186" t="s">
        <v>370</v>
      </c>
      <c r="AG186" t="s">
        <v>980</v>
      </c>
      <c r="AH186" t="s">
        <v>980</v>
      </c>
      <c r="AI186" t="s">
        <v>1016</v>
      </c>
      <c r="AJ186" t="s">
        <v>323</v>
      </c>
      <c r="AK186" t="s">
        <v>324</v>
      </c>
      <c r="AL186" t="s">
        <v>1017</v>
      </c>
      <c r="AM186" t="s">
        <v>1018</v>
      </c>
      <c r="AN186" t="s">
        <v>118</v>
      </c>
      <c r="AO186" t="s">
        <v>71</v>
      </c>
      <c r="AP186" t="s">
        <v>544</v>
      </c>
      <c r="AQ186" t="s">
        <v>984</v>
      </c>
      <c r="AR186" t="s">
        <v>985</v>
      </c>
    </row>
    <row r="187" spans="1:44" x14ac:dyDescent="0.25">
      <c r="A187" t="s">
        <v>363</v>
      </c>
      <c r="B187" t="s">
        <v>1019</v>
      </c>
      <c r="C187" t="s">
        <v>44</v>
      </c>
      <c r="D187" t="s">
        <v>969</v>
      </c>
      <c r="E187" t="s">
        <v>970</v>
      </c>
      <c r="F187" t="s">
        <v>971</v>
      </c>
      <c r="G187" t="s">
        <v>972</v>
      </c>
      <c r="H187" t="s">
        <v>260</v>
      </c>
      <c r="I187" t="s">
        <v>261</v>
      </c>
      <c r="J187" t="s">
        <v>607</v>
      </c>
      <c r="K187" t="s">
        <v>608</v>
      </c>
      <c r="L187" t="s">
        <v>609</v>
      </c>
      <c r="M187" t="s">
        <v>976</v>
      </c>
      <c r="N187" t="s">
        <v>54</v>
      </c>
      <c r="O187" t="s">
        <v>96</v>
      </c>
      <c r="P187" t="s">
        <v>611</v>
      </c>
      <c r="Q187" t="s">
        <v>611</v>
      </c>
      <c r="R187" s="3">
        <v>4.0000000000000001E-3</v>
      </c>
      <c r="S187" t="s">
        <v>23</v>
      </c>
      <c r="T187" t="s">
        <v>23</v>
      </c>
      <c r="U187" s="3">
        <v>2.1000000000000001E-2</v>
      </c>
      <c r="V187" t="s">
        <v>23</v>
      </c>
      <c r="W187" t="s">
        <v>23</v>
      </c>
      <c r="X187" s="3">
        <v>0</v>
      </c>
      <c r="Y187" s="3">
        <v>1.222</v>
      </c>
      <c r="Z187" t="s">
        <v>23</v>
      </c>
      <c r="AA187" t="s">
        <v>23</v>
      </c>
      <c r="AB187" t="s">
        <v>977</v>
      </c>
      <c r="AC187" t="s">
        <v>1020</v>
      </c>
      <c r="AD187" t="s">
        <v>61</v>
      </c>
      <c r="AE187" t="s">
        <v>522</v>
      </c>
      <c r="AF187" t="s">
        <v>979</v>
      </c>
      <c r="AG187" t="s">
        <v>980</v>
      </c>
      <c r="AH187" t="s">
        <v>980</v>
      </c>
      <c r="AI187" t="s">
        <v>981</v>
      </c>
      <c r="AJ187" t="s">
        <v>373</v>
      </c>
      <c r="AK187" t="s">
        <v>374</v>
      </c>
      <c r="AL187" t="s">
        <v>1021</v>
      </c>
      <c r="AM187" t="s">
        <v>1022</v>
      </c>
      <c r="AN187" t="s">
        <v>118</v>
      </c>
      <c r="AO187" t="s">
        <v>71</v>
      </c>
      <c r="AP187" t="s">
        <v>544</v>
      </c>
      <c r="AQ187" t="s">
        <v>984</v>
      </c>
      <c r="AR187" t="s">
        <v>985</v>
      </c>
    </row>
    <row r="188" spans="1:44" x14ac:dyDescent="0.25">
      <c r="A188" t="s">
        <v>363</v>
      </c>
      <c r="B188" t="s">
        <v>1019</v>
      </c>
      <c r="C188" t="s">
        <v>44</v>
      </c>
      <c r="D188" t="s">
        <v>969</v>
      </c>
      <c r="E188" t="s">
        <v>970</v>
      </c>
      <c r="F188" t="s">
        <v>971</v>
      </c>
      <c r="G188" t="s">
        <v>972</v>
      </c>
      <c r="H188" t="s">
        <v>260</v>
      </c>
      <c r="I188" t="s">
        <v>261</v>
      </c>
      <c r="J188" t="s">
        <v>390</v>
      </c>
      <c r="K188" t="s">
        <v>391</v>
      </c>
      <c r="L188" t="s">
        <v>392</v>
      </c>
      <c r="M188" t="s">
        <v>976</v>
      </c>
      <c r="N188" t="s">
        <v>54</v>
      </c>
      <c r="O188" t="s">
        <v>96</v>
      </c>
      <c r="P188" t="s">
        <v>76</v>
      </c>
      <c r="Q188" t="s">
        <v>76</v>
      </c>
      <c r="R188" s="3">
        <v>5.0000000000000001E-3</v>
      </c>
      <c r="S188" t="s">
        <v>23</v>
      </c>
      <c r="T188" t="s">
        <v>23</v>
      </c>
      <c r="U188" s="3">
        <v>0</v>
      </c>
      <c r="V188" t="s">
        <v>23</v>
      </c>
      <c r="W188" t="s">
        <v>23</v>
      </c>
      <c r="X188" s="3">
        <v>0</v>
      </c>
      <c r="Y188" s="3">
        <v>1.222</v>
      </c>
      <c r="Z188" t="s">
        <v>23</v>
      </c>
      <c r="AA188" t="s">
        <v>23</v>
      </c>
      <c r="AB188" t="s">
        <v>977</v>
      </c>
      <c r="AC188" t="s">
        <v>1020</v>
      </c>
      <c r="AD188" t="s">
        <v>61</v>
      </c>
      <c r="AE188" t="s">
        <v>522</v>
      </c>
      <c r="AF188" t="s">
        <v>979</v>
      </c>
      <c r="AG188" t="s">
        <v>980</v>
      </c>
      <c r="AH188" t="s">
        <v>980</v>
      </c>
      <c r="AI188" t="s">
        <v>981</v>
      </c>
      <c r="AJ188" t="s">
        <v>373</v>
      </c>
      <c r="AK188" t="s">
        <v>374</v>
      </c>
      <c r="AL188" t="s">
        <v>1021</v>
      </c>
      <c r="AM188" t="s">
        <v>1022</v>
      </c>
      <c r="AN188" t="s">
        <v>118</v>
      </c>
      <c r="AO188" t="s">
        <v>71</v>
      </c>
      <c r="AP188" t="s">
        <v>544</v>
      </c>
      <c r="AQ188" t="s">
        <v>984</v>
      </c>
      <c r="AR188" t="s">
        <v>985</v>
      </c>
    </row>
    <row r="189" spans="1:44" x14ac:dyDescent="0.25">
      <c r="A189" t="s">
        <v>363</v>
      </c>
      <c r="B189" t="s">
        <v>1019</v>
      </c>
      <c r="C189" t="s">
        <v>44</v>
      </c>
      <c r="D189" t="s">
        <v>969</v>
      </c>
      <c r="E189" t="s">
        <v>970</v>
      </c>
      <c r="F189" t="s">
        <v>971</v>
      </c>
      <c r="G189" t="s">
        <v>972</v>
      </c>
      <c r="H189" t="s">
        <v>260</v>
      </c>
      <c r="I189" t="s">
        <v>261</v>
      </c>
      <c r="J189" t="s">
        <v>627</v>
      </c>
      <c r="K189" t="s">
        <v>628</v>
      </c>
      <c r="L189" t="s">
        <v>629</v>
      </c>
      <c r="M189" t="s">
        <v>976</v>
      </c>
      <c r="N189" t="s">
        <v>54</v>
      </c>
      <c r="O189" t="s">
        <v>96</v>
      </c>
      <c r="P189" t="s">
        <v>611</v>
      </c>
      <c r="Q189" t="s">
        <v>611</v>
      </c>
      <c r="R189" s="3">
        <v>4.0000000000000001E-3</v>
      </c>
      <c r="S189" t="s">
        <v>23</v>
      </c>
      <c r="T189" t="s">
        <v>23</v>
      </c>
      <c r="U189" s="3">
        <v>0</v>
      </c>
      <c r="V189" t="s">
        <v>23</v>
      </c>
      <c r="W189" t="s">
        <v>23</v>
      </c>
      <c r="X189" s="3">
        <v>0</v>
      </c>
      <c r="Y189" s="3">
        <v>1.222</v>
      </c>
      <c r="Z189" t="s">
        <v>23</v>
      </c>
      <c r="AA189" t="s">
        <v>23</v>
      </c>
      <c r="AB189" t="s">
        <v>977</v>
      </c>
      <c r="AC189" t="s">
        <v>1020</v>
      </c>
      <c r="AD189" t="s">
        <v>61</v>
      </c>
      <c r="AE189" t="s">
        <v>522</v>
      </c>
      <c r="AF189" t="s">
        <v>979</v>
      </c>
      <c r="AG189" t="s">
        <v>980</v>
      </c>
      <c r="AH189" t="s">
        <v>980</v>
      </c>
      <c r="AI189" t="s">
        <v>981</v>
      </c>
      <c r="AJ189" t="s">
        <v>373</v>
      </c>
      <c r="AK189" t="s">
        <v>374</v>
      </c>
      <c r="AL189" t="s">
        <v>1021</v>
      </c>
      <c r="AM189" t="s">
        <v>1022</v>
      </c>
      <c r="AN189" t="s">
        <v>118</v>
      </c>
      <c r="AO189" t="s">
        <v>71</v>
      </c>
      <c r="AP189" t="s">
        <v>544</v>
      </c>
      <c r="AQ189" t="s">
        <v>984</v>
      </c>
      <c r="AR189" t="s">
        <v>985</v>
      </c>
    </row>
    <row r="190" spans="1:44" x14ac:dyDescent="0.25">
      <c r="A190" t="s">
        <v>363</v>
      </c>
      <c r="B190" t="s">
        <v>1019</v>
      </c>
      <c r="C190" t="s">
        <v>44</v>
      </c>
      <c r="D190" t="s">
        <v>969</v>
      </c>
      <c r="E190" t="s">
        <v>970</v>
      </c>
      <c r="F190" t="s">
        <v>971</v>
      </c>
      <c r="G190" t="s">
        <v>972</v>
      </c>
      <c r="H190" t="s">
        <v>260</v>
      </c>
      <c r="I190" t="s">
        <v>261</v>
      </c>
      <c r="J190" t="s">
        <v>619</v>
      </c>
      <c r="K190" t="s">
        <v>620</v>
      </c>
      <c r="L190" t="s">
        <v>621</v>
      </c>
      <c r="M190" t="s">
        <v>976</v>
      </c>
      <c r="N190" t="s">
        <v>54</v>
      </c>
      <c r="O190" t="s">
        <v>96</v>
      </c>
      <c r="P190" t="s">
        <v>622</v>
      </c>
      <c r="Q190" t="s">
        <v>622</v>
      </c>
      <c r="R190" s="3">
        <v>3.0000000000000001E-3</v>
      </c>
      <c r="S190" t="s">
        <v>23</v>
      </c>
      <c r="T190" t="s">
        <v>23</v>
      </c>
      <c r="U190" s="3">
        <v>0</v>
      </c>
      <c r="V190" t="s">
        <v>23</v>
      </c>
      <c r="W190" t="s">
        <v>23</v>
      </c>
      <c r="X190" s="3">
        <v>0</v>
      </c>
      <c r="Y190" s="3">
        <v>1.222</v>
      </c>
      <c r="Z190" t="s">
        <v>23</v>
      </c>
      <c r="AA190" t="s">
        <v>23</v>
      </c>
      <c r="AB190" t="s">
        <v>977</v>
      </c>
      <c r="AC190" t="s">
        <v>1020</v>
      </c>
      <c r="AD190" t="s">
        <v>61</v>
      </c>
      <c r="AE190" t="s">
        <v>522</v>
      </c>
      <c r="AF190" t="s">
        <v>979</v>
      </c>
      <c r="AG190" t="s">
        <v>980</v>
      </c>
      <c r="AH190" t="s">
        <v>980</v>
      </c>
      <c r="AI190" t="s">
        <v>981</v>
      </c>
      <c r="AJ190" t="s">
        <v>373</v>
      </c>
      <c r="AK190" t="s">
        <v>374</v>
      </c>
      <c r="AL190" t="s">
        <v>1021</v>
      </c>
      <c r="AM190" t="s">
        <v>1022</v>
      </c>
      <c r="AN190" t="s">
        <v>118</v>
      </c>
      <c r="AO190" t="s">
        <v>71</v>
      </c>
      <c r="AP190" t="s">
        <v>544</v>
      </c>
      <c r="AQ190" t="s">
        <v>984</v>
      </c>
      <c r="AR190" t="s">
        <v>985</v>
      </c>
    </row>
    <row r="191" spans="1:44" x14ac:dyDescent="0.25">
      <c r="A191" t="s">
        <v>363</v>
      </c>
      <c r="B191" t="s">
        <v>1019</v>
      </c>
      <c r="C191" t="s">
        <v>44</v>
      </c>
      <c r="D191" t="s">
        <v>969</v>
      </c>
      <c r="E191" t="s">
        <v>970</v>
      </c>
      <c r="F191" t="s">
        <v>971</v>
      </c>
      <c r="G191" t="s">
        <v>972</v>
      </c>
      <c r="H191" t="s">
        <v>260</v>
      </c>
      <c r="I191" t="s">
        <v>261</v>
      </c>
      <c r="J191" t="s">
        <v>1023</v>
      </c>
      <c r="K191" t="s">
        <v>1024</v>
      </c>
      <c r="L191" t="s">
        <v>1025</v>
      </c>
      <c r="M191" t="s">
        <v>976</v>
      </c>
      <c r="N191" t="s">
        <v>54</v>
      </c>
      <c r="O191" t="s">
        <v>96</v>
      </c>
      <c r="P191" t="s">
        <v>76</v>
      </c>
      <c r="Q191" t="s">
        <v>76</v>
      </c>
      <c r="R191" s="3">
        <v>5.0000000000000001E-3</v>
      </c>
      <c r="S191" t="s">
        <v>23</v>
      </c>
      <c r="T191" t="s">
        <v>23</v>
      </c>
      <c r="U191" s="3">
        <v>0</v>
      </c>
      <c r="V191" t="s">
        <v>23</v>
      </c>
      <c r="W191" t="s">
        <v>23</v>
      </c>
      <c r="X191" s="3">
        <v>0</v>
      </c>
      <c r="Y191" s="3">
        <v>1.222</v>
      </c>
      <c r="Z191" t="s">
        <v>23</v>
      </c>
      <c r="AA191" t="s">
        <v>23</v>
      </c>
      <c r="AB191" t="s">
        <v>977</v>
      </c>
      <c r="AC191" t="s">
        <v>1020</v>
      </c>
      <c r="AD191" t="s">
        <v>61</v>
      </c>
      <c r="AE191" t="s">
        <v>522</v>
      </c>
      <c r="AF191" t="s">
        <v>979</v>
      </c>
      <c r="AG191" t="s">
        <v>980</v>
      </c>
      <c r="AH191" t="s">
        <v>980</v>
      </c>
      <c r="AI191" t="s">
        <v>981</v>
      </c>
      <c r="AJ191" t="s">
        <v>373</v>
      </c>
      <c r="AK191" t="s">
        <v>374</v>
      </c>
      <c r="AL191" t="s">
        <v>1021</v>
      </c>
      <c r="AM191" t="s">
        <v>1022</v>
      </c>
      <c r="AN191" t="s">
        <v>118</v>
      </c>
      <c r="AO191" t="s">
        <v>71</v>
      </c>
      <c r="AP191" t="s">
        <v>544</v>
      </c>
      <c r="AQ191" t="s">
        <v>984</v>
      </c>
      <c r="AR191" t="s">
        <v>985</v>
      </c>
    </row>
    <row r="192" spans="1:44" x14ac:dyDescent="0.25">
      <c r="A192" t="s">
        <v>101</v>
      </c>
      <c r="B192" t="s">
        <v>1026</v>
      </c>
      <c r="C192" t="s">
        <v>44</v>
      </c>
      <c r="D192" t="s">
        <v>969</v>
      </c>
      <c r="E192" t="s">
        <v>997</v>
      </c>
      <c r="F192" t="s">
        <v>971</v>
      </c>
      <c r="G192" t="s">
        <v>972</v>
      </c>
      <c r="H192" t="s">
        <v>260</v>
      </c>
      <c r="I192" t="s">
        <v>261</v>
      </c>
      <c r="J192" t="s">
        <v>125</v>
      </c>
      <c r="K192" t="s">
        <v>126</v>
      </c>
      <c r="L192" t="s">
        <v>127</v>
      </c>
      <c r="M192" t="s">
        <v>1027</v>
      </c>
      <c r="N192" t="s">
        <v>54</v>
      </c>
      <c r="O192" t="s">
        <v>382</v>
      </c>
      <c r="P192" t="s">
        <v>107</v>
      </c>
      <c r="Q192" t="s">
        <v>1028</v>
      </c>
      <c r="R192" s="3">
        <v>6.6000000000000003E-2</v>
      </c>
      <c r="S192" s="3">
        <v>0.23100000000000001</v>
      </c>
      <c r="T192" t="s">
        <v>23</v>
      </c>
      <c r="U192" t="s">
        <v>23</v>
      </c>
      <c r="V192" t="s">
        <v>23</v>
      </c>
      <c r="W192" t="s">
        <v>23</v>
      </c>
      <c r="X192" s="3">
        <v>0</v>
      </c>
      <c r="Y192" s="3">
        <v>1.222</v>
      </c>
      <c r="Z192" t="s">
        <v>23</v>
      </c>
      <c r="AA192" t="s">
        <v>23</v>
      </c>
      <c r="AB192" t="s">
        <v>977</v>
      </c>
      <c r="AC192" t="s">
        <v>1029</v>
      </c>
      <c r="AD192" t="s">
        <v>61</v>
      </c>
      <c r="AE192" t="s">
        <v>522</v>
      </c>
      <c r="AF192" t="s">
        <v>979</v>
      </c>
      <c r="AG192" t="s">
        <v>980</v>
      </c>
      <c r="AH192" t="s">
        <v>980</v>
      </c>
      <c r="AI192" t="s">
        <v>1030</v>
      </c>
      <c r="AJ192" t="s">
        <v>114</v>
      </c>
      <c r="AK192" t="s">
        <v>115</v>
      </c>
      <c r="AL192" t="s">
        <v>1031</v>
      </c>
      <c r="AM192" t="s">
        <v>1032</v>
      </c>
      <c r="AN192" t="s">
        <v>118</v>
      </c>
      <c r="AO192" t="s">
        <v>71</v>
      </c>
      <c r="AP192" t="s">
        <v>544</v>
      </c>
      <c r="AQ192" t="s">
        <v>984</v>
      </c>
      <c r="AR192" t="s">
        <v>985</v>
      </c>
    </row>
    <row r="193" spans="1:44" x14ac:dyDescent="0.25">
      <c r="A193" t="s">
        <v>101</v>
      </c>
      <c r="B193" t="s">
        <v>1026</v>
      </c>
      <c r="C193" t="s">
        <v>44</v>
      </c>
      <c r="D193" t="s">
        <v>969</v>
      </c>
      <c r="E193" t="s">
        <v>997</v>
      </c>
      <c r="F193" t="s">
        <v>971</v>
      </c>
      <c r="G193" t="s">
        <v>972</v>
      </c>
      <c r="H193" t="s">
        <v>260</v>
      </c>
      <c r="I193" t="s">
        <v>261</v>
      </c>
      <c r="J193" t="s">
        <v>125</v>
      </c>
      <c r="K193" t="s">
        <v>126</v>
      </c>
      <c r="L193" t="s">
        <v>127</v>
      </c>
      <c r="M193" t="s">
        <v>1027</v>
      </c>
      <c r="N193" t="s">
        <v>54</v>
      </c>
      <c r="O193" t="s">
        <v>96</v>
      </c>
      <c r="P193" t="s">
        <v>107</v>
      </c>
      <c r="Q193" t="s">
        <v>107</v>
      </c>
      <c r="R193" s="3">
        <v>1.0999999999999999E-2</v>
      </c>
      <c r="S193" s="3">
        <v>0</v>
      </c>
      <c r="T193" t="s">
        <v>23</v>
      </c>
      <c r="U193" t="s">
        <v>23</v>
      </c>
      <c r="V193" t="s">
        <v>23</v>
      </c>
      <c r="W193" t="s">
        <v>23</v>
      </c>
      <c r="X193" s="3">
        <v>0</v>
      </c>
      <c r="Y193" s="3">
        <v>1.222</v>
      </c>
      <c r="Z193" t="s">
        <v>23</v>
      </c>
      <c r="AA193" t="s">
        <v>23</v>
      </c>
      <c r="AB193" t="s">
        <v>977</v>
      </c>
      <c r="AC193" t="s">
        <v>1029</v>
      </c>
      <c r="AD193" t="s">
        <v>61</v>
      </c>
      <c r="AE193" t="s">
        <v>522</v>
      </c>
      <c r="AF193" t="s">
        <v>979</v>
      </c>
      <c r="AG193" t="s">
        <v>980</v>
      </c>
      <c r="AH193" t="s">
        <v>980</v>
      </c>
      <c r="AI193" t="s">
        <v>1030</v>
      </c>
      <c r="AJ193" t="s">
        <v>114</v>
      </c>
      <c r="AK193" t="s">
        <v>115</v>
      </c>
      <c r="AL193" t="s">
        <v>1031</v>
      </c>
      <c r="AM193" t="s">
        <v>1032</v>
      </c>
      <c r="AN193" t="s">
        <v>118</v>
      </c>
      <c r="AO193" t="s">
        <v>567</v>
      </c>
      <c r="AP193" t="s">
        <v>544</v>
      </c>
      <c r="AQ193" t="s">
        <v>984</v>
      </c>
      <c r="AR193" t="s">
        <v>985</v>
      </c>
    </row>
    <row r="194" spans="1:44" x14ac:dyDescent="0.25">
      <c r="A194" t="s">
        <v>101</v>
      </c>
      <c r="B194" t="s">
        <v>1026</v>
      </c>
      <c r="C194" t="s">
        <v>44</v>
      </c>
      <c r="D194" t="s">
        <v>969</v>
      </c>
      <c r="E194" t="s">
        <v>997</v>
      </c>
      <c r="F194" t="s">
        <v>971</v>
      </c>
      <c r="G194" t="s">
        <v>972</v>
      </c>
      <c r="H194" t="s">
        <v>260</v>
      </c>
      <c r="I194" t="s">
        <v>261</v>
      </c>
      <c r="J194" t="s">
        <v>241</v>
      </c>
      <c r="K194" t="s">
        <v>242</v>
      </c>
      <c r="L194" t="s">
        <v>243</v>
      </c>
      <c r="M194" t="s">
        <v>1027</v>
      </c>
      <c r="N194" t="s">
        <v>54</v>
      </c>
      <c r="O194" t="s">
        <v>195</v>
      </c>
      <c r="P194" t="s">
        <v>107</v>
      </c>
      <c r="Q194" t="s">
        <v>165</v>
      </c>
      <c r="R194" s="3">
        <v>5.5E-2</v>
      </c>
      <c r="S194" s="3">
        <v>0</v>
      </c>
      <c r="T194" t="s">
        <v>23</v>
      </c>
      <c r="U194" t="s">
        <v>23</v>
      </c>
      <c r="V194" t="s">
        <v>23</v>
      </c>
      <c r="W194" t="s">
        <v>23</v>
      </c>
      <c r="X194" s="3">
        <v>0</v>
      </c>
      <c r="Y194" s="3">
        <v>1.222</v>
      </c>
      <c r="Z194" t="s">
        <v>23</v>
      </c>
      <c r="AA194" t="s">
        <v>23</v>
      </c>
      <c r="AB194" t="s">
        <v>977</v>
      </c>
      <c r="AC194" t="s">
        <v>1029</v>
      </c>
      <c r="AD194" t="s">
        <v>61</v>
      </c>
      <c r="AE194" t="s">
        <v>522</v>
      </c>
      <c r="AF194" t="s">
        <v>979</v>
      </c>
      <c r="AG194" t="s">
        <v>980</v>
      </c>
      <c r="AH194" t="s">
        <v>980</v>
      </c>
      <c r="AI194" t="s">
        <v>1030</v>
      </c>
      <c r="AJ194" t="s">
        <v>114</v>
      </c>
      <c r="AK194" t="s">
        <v>115</v>
      </c>
      <c r="AL194" t="s">
        <v>1031</v>
      </c>
      <c r="AM194" t="s">
        <v>1032</v>
      </c>
      <c r="AN194" t="s">
        <v>118</v>
      </c>
      <c r="AO194" t="s">
        <v>71</v>
      </c>
      <c r="AP194" t="s">
        <v>544</v>
      </c>
      <c r="AQ194" t="s">
        <v>984</v>
      </c>
      <c r="AR194" t="s">
        <v>985</v>
      </c>
    </row>
    <row r="195" spans="1:44" x14ac:dyDescent="0.25">
      <c r="A195" t="s">
        <v>101</v>
      </c>
      <c r="B195" t="s">
        <v>1026</v>
      </c>
      <c r="C195" t="s">
        <v>44</v>
      </c>
      <c r="D195" t="s">
        <v>969</v>
      </c>
      <c r="E195" t="s">
        <v>997</v>
      </c>
      <c r="F195" t="s">
        <v>971</v>
      </c>
      <c r="G195" t="s">
        <v>972</v>
      </c>
      <c r="H195" t="s">
        <v>260</v>
      </c>
      <c r="I195" t="s">
        <v>261</v>
      </c>
      <c r="J195" t="s">
        <v>241</v>
      </c>
      <c r="K195" t="s">
        <v>242</v>
      </c>
      <c r="L195" t="s">
        <v>243</v>
      </c>
      <c r="M195" t="s">
        <v>1027</v>
      </c>
      <c r="N195" t="s">
        <v>54</v>
      </c>
      <c r="O195" t="s">
        <v>96</v>
      </c>
      <c r="P195" t="s">
        <v>107</v>
      </c>
      <c r="Q195" t="s">
        <v>107</v>
      </c>
      <c r="R195" s="3">
        <v>1.0999999999999999E-2</v>
      </c>
      <c r="S195" s="3">
        <v>0</v>
      </c>
      <c r="T195" t="s">
        <v>23</v>
      </c>
      <c r="U195" t="s">
        <v>23</v>
      </c>
      <c r="V195" t="s">
        <v>23</v>
      </c>
      <c r="W195" t="s">
        <v>23</v>
      </c>
      <c r="X195" s="3">
        <v>0</v>
      </c>
      <c r="Y195" s="3">
        <v>1.222</v>
      </c>
      <c r="Z195" t="s">
        <v>23</v>
      </c>
      <c r="AA195" t="s">
        <v>23</v>
      </c>
      <c r="AB195" t="s">
        <v>977</v>
      </c>
      <c r="AC195" t="s">
        <v>1029</v>
      </c>
      <c r="AD195" t="s">
        <v>61</v>
      </c>
      <c r="AE195" t="s">
        <v>522</v>
      </c>
      <c r="AF195" t="s">
        <v>979</v>
      </c>
      <c r="AG195" t="s">
        <v>980</v>
      </c>
      <c r="AH195" t="s">
        <v>980</v>
      </c>
      <c r="AI195" t="s">
        <v>1030</v>
      </c>
      <c r="AJ195" t="s">
        <v>114</v>
      </c>
      <c r="AK195" t="s">
        <v>115</v>
      </c>
      <c r="AL195" t="s">
        <v>1031</v>
      </c>
      <c r="AM195" t="s">
        <v>1032</v>
      </c>
      <c r="AN195" t="s">
        <v>118</v>
      </c>
      <c r="AO195" t="s">
        <v>567</v>
      </c>
      <c r="AP195" t="s">
        <v>544</v>
      </c>
      <c r="AQ195" t="s">
        <v>984</v>
      </c>
      <c r="AR195" t="s">
        <v>985</v>
      </c>
    </row>
    <row r="196" spans="1:44" x14ac:dyDescent="0.25">
      <c r="A196" t="s">
        <v>101</v>
      </c>
      <c r="B196" t="s">
        <v>1026</v>
      </c>
      <c r="C196" t="s">
        <v>44</v>
      </c>
      <c r="D196" t="s">
        <v>969</v>
      </c>
      <c r="E196" t="s">
        <v>997</v>
      </c>
      <c r="F196" t="s">
        <v>971</v>
      </c>
      <c r="G196" t="s">
        <v>972</v>
      </c>
      <c r="H196" t="s">
        <v>260</v>
      </c>
      <c r="I196" t="s">
        <v>261</v>
      </c>
      <c r="J196" t="s">
        <v>295</v>
      </c>
      <c r="K196" t="s">
        <v>296</v>
      </c>
      <c r="L196" t="s">
        <v>297</v>
      </c>
      <c r="M196" t="s">
        <v>1027</v>
      </c>
      <c r="N196" t="s">
        <v>54</v>
      </c>
      <c r="O196" t="s">
        <v>96</v>
      </c>
      <c r="P196" t="s">
        <v>107</v>
      </c>
      <c r="Q196" t="s">
        <v>107</v>
      </c>
      <c r="R196" s="3">
        <v>1.0999999999999999E-2</v>
      </c>
      <c r="S196" s="3">
        <v>0</v>
      </c>
      <c r="T196" t="s">
        <v>23</v>
      </c>
      <c r="U196" t="s">
        <v>23</v>
      </c>
      <c r="V196" t="s">
        <v>23</v>
      </c>
      <c r="W196" t="s">
        <v>23</v>
      </c>
      <c r="X196" s="3">
        <v>0</v>
      </c>
      <c r="Y196" s="3">
        <v>1.222</v>
      </c>
      <c r="Z196" t="s">
        <v>23</v>
      </c>
      <c r="AA196" t="s">
        <v>23</v>
      </c>
      <c r="AB196" t="s">
        <v>977</v>
      </c>
      <c r="AC196" t="s">
        <v>1029</v>
      </c>
      <c r="AD196" t="s">
        <v>61</v>
      </c>
      <c r="AE196" t="s">
        <v>522</v>
      </c>
      <c r="AF196" t="s">
        <v>979</v>
      </c>
      <c r="AG196" t="s">
        <v>980</v>
      </c>
      <c r="AH196" t="s">
        <v>980</v>
      </c>
      <c r="AI196" t="s">
        <v>1030</v>
      </c>
      <c r="AJ196" t="s">
        <v>114</v>
      </c>
      <c r="AK196" t="s">
        <v>115</v>
      </c>
      <c r="AL196" t="s">
        <v>1031</v>
      </c>
      <c r="AM196" t="s">
        <v>1032</v>
      </c>
      <c r="AN196" t="s">
        <v>118</v>
      </c>
      <c r="AO196" t="s">
        <v>71</v>
      </c>
      <c r="AP196" t="s">
        <v>544</v>
      </c>
      <c r="AQ196" t="s">
        <v>984</v>
      </c>
      <c r="AR196" t="s">
        <v>985</v>
      </c>
    </row>
    <row r="197" spans="1:44" x14ac:dyDescent="0.25">
      <c r="A197" t="s">
        <v>101</v>
      </c>
      <c r="B197" t="s">
        <v>1026</v>
      </c>
      <c r="C197" t="s">
        <v>44</v>
      </c>
      <c r="D197" t="s">
        <v>969</v>
      </c>
      <c r="E197" t="s">
        <v>997</v>
      </c>
      <c r="F197" t="s">
        <v>971</v>
      </c>
      <c r="G197" t="s">
        <v>972</v>
      </c>
      <c r="H197" t="s">
        <v>260</v>
      </c>
      <c r="I197" t="s">
        <v>261</v>
      </c>
      <c r="J197" t="s">
        <v>1033</v>
      </c>
      <c r="K197" t="s">
        <v>1034</v>
      </c>
      <c r="L197" t="s">
        <v>1035</v>
      </c>
      <c r="M197" t="s">
        <v>1027</v>
      </c>
      <c r="N197" t="s">
        <v>54</v>
      </c>
      <c r="O197" t="s">
        <v>122</v>
      </c>
      <c r="P197" t="s">
        <v>107</v>
      </c>
      <c r="Q197" t="s">
        <v>1036</v>
      </c>
      <c r="R197" s="3">
        <v>4.3999999999999997E-2</v>
      </c>
      <c r="S197" s="3">
        <v>0</v>
      </c>
      <c r="T197" t="s">
        <v>23</v>
      </c>
      <c r="U197" t="s">
        <v>23</v>
      </c>
      <c r="V197" t="s">
        <v>23</v>
      </c>
      <c r="W197" t="s">
        <v>23</v>
      </c>
      <c r="X197" s="3">
        <v>0</v>
      </c>
      <c r="Y197" s="3">
        <v>1.222</v>
      </c>
      <c r="Z197" t="s">
        <v>23</v>
      </c>
      <c r="AA197" t="s">
        <v>23</v>
      </c>
      <c r="AB197" t="s">
        <v>977</v>
      </c>
      <c r="AC197" t="s">
        <v>1029</v>
      </c>
      <c r="AD197" t="s">
        <v>61</v>
      </c>
      <c r="AE197" t="s">
        <v>522</v>
      </c>
      <c r="AF197" t="s">
        <v>979</v>
      </c>
      <c r="AG197" t="s">
        <v>980</v>
      </c>
      <c r="AH197" t="s">
        <v>980</v>
      </c>
      <c r="AI197" t="s">
        <v>1030</v>
      </c>
      <c r="AJ197" t="s">
        <v>114</v>
      </c>
      <c r="AK197" t="s">
        <v>115</v>
      </c>
      <c r="AL197" t="s">
        <v>1031</v>
      </c>
      <c r="AM197" t="s">
        <v>1032</v>
      </c>
      <c r="AN197" t="s">
        <v>118</v>
      </c>
      <c r="AO197" t="s">
        <v>71</v>
      </c>
      <c r="AP197" t="s">
        <v>544</v>
      </c>
      <c r="AQ197" t="s">
        <v>984</v>
      </c>
      <c r="AR197" t="s">
        <v>985</v>
      </c>
    </row>
    <row r="198" spans="1:44" x14ac:dyDescent="0.25">
      <c r="A198" t="s">
        <v>101</v>
      </c>
      <c r="B198" t="s">
        <v>1026</v>
      </c>
      <c r="C198" t="s">
        <v>44</v>
      </c>
      <c r="D198" t="s">
        <v>969</v>
      </c>
      <c r="E198" t="s">
        <v>997</v>
      </c>
      <c r="F198" t="s">
        <v>971</v>
      </c>
      <c r="G198" t="s">
        <v>972</v>
      </c>
      <c r="H198" t="s">
        <v>260</v>
      </c>
      <c r="I198" t="s">
        <v>261</v>
      </c>
      <c r="J198" t="s">
        <v>601</v>
      </c>
      <c r="K198" t="s">
        <v>602</v>
      </c>
      <c r="L198" t="s">
        <v>603</v>
      </c>
      <c r="M198" t="s">
        <v>1027</v>
      </c>
      <c r="N198" t="s">
        <v>54</v>
      </c>
      <c r="O198" t="s">
        <v>96</v>
      </c>
      <c r="P198" t="s">
        <v>123</v>
      </c>
      <c r="Q198" t="s">
        <v>123</v>
      </c>
      <c r="R198" s="3">
        <v>8.9999999999999993E-3</v>
      </c>
      <c r="S198" s="3">
        <v>0</v>
      </c>
      <c r="T198" t="s">
        <v>23</v>
      </c>
      <c r="U198" t="s">
        <v>23</v>
      </c>
      <c r="V198" t="s">
        <v>23</v>
      </c>
      <c r="W198" t="s">
        <v>23</v>
      </c>
      <c r="X198" s="3">
        <v>0</v>
      </c>
      <c r="Y198" s="3">
        <v>1.222</v>
      </c>
      <c r="Z198" t="s">
        <v>23</v>
      </c>
      <c r="AA198" t="s">
        <v>23</v>
      </c>
      <c r="AB198" t="s">
        <v>977</v>
      </c>
      <c r="AC198" t="s">
        <v>1029</v>
      </c>
      <c r="AD198" t="s">
        <v>61</v>
      </c>
      <c r="AE198" t="s">
        <v>522</v>
      </c>
      <c r="AF198" t="s">
        <v>979</v>
      </c>
      <c r="AG198" t="s">
        <v>980</v>
      </c>
      <c r="AH198" t="s">
        <v>980</v>
      </c>
      <c r="AI198" t="s">
        <v>1030</v>
      </c>
      <c r="AJ198" t="s">
        <v>114</v>
      </c>
      <c r="AK198" t="s">
        <v>115</v>
      </c>
      <c r="AL198" t="s">
        <v>1031</v>
      </c>
      <c r="AM198" t="s">
        <v>1032</v>
      </c>
      <c r="AN198" t="s">
        <v>118</v>
      </c>
      <c r="AO198" t="s">
        <v>567</v>
      </c>
      <c r="AP198" t="s">
        <v>544</v>
      </c>
      <c r="AQ198" t="s">
        <v>984</v>
      </c>
      <c r="AR198" t="s">
        <v>985</v>
      </c>
    </row>
    <row r="199" spans="1:44" x14ac:dyDescent="0.25">
      <c r="A199" t="s">
        <v>101</v>
      </c>
      <c r="B199" t="s">
        <v>1026</v>
      </c>
      <c r="C199" t="s">
        <v>44</v>
      </c>
      <c r="D199" t="s">
        <v>969</v>
      </c>
      <c r="E199" t="s">
        <v>997</v>
      </c>
      <c r="F199" t="s">
        <v>971</v>
      </c>
      <c r="G199" t="s">
        <v>972</v>
      </c>
      <c r="H199" t="s">
        <v>260</v>
      </c>
      <c r="I199" t="s">
        <v>261</v>
      </c>
      <c r="J199" t="s">
        <v>414</v>
      </c>
      <c r="K199" t="s">
        <v>415</v>
      </c>
      <c r="L199" t="s">
        <v>416</v>
      </c>
      <c r="M199" t="s">
        <v>1027</v>
      </c>
      <c r="N199" t="s">
        <v>54</v>
      </c>
      <c r="O199" t="s">
        <v>96</v>
      </c>
      <c r="P199" t="s">
        <v>107</v>
      </c>
      <c r="Q199" t="s">
        <v>107</v>
      </c>
      <c r="R199" s="3">
        <v>1.0999999999999999E-2</v>
      </c>
      <c r="S199" s="3">
        <v>0</v>
      </c>
      <c r="T199" t="s">
        <v>23</v>
      </c>
      <c r="U199" t="s">
        <v>23</v>
      </c>
      <c r="V199" t="s">
        <v>23</v>
      </c>
      <c r="W199" t="s">
        <v>23</v>
      </c>
      <c r="X199" s="3">
        <v>0</v>
      </c>
      <c r="Y199" s="3">
        <v>1.222</v>
      </c>
      <c r="Z199" t="s">
        <v>23</v>
      </c>
      <c r="AA199" t="s">
        <v>23</v>
      </c>
      <c r="AB199" t="s">
        <v>977</v>
      </c>
      <c r="AC199" t="s">
        <v>1029</v>
      </c>
      <c r="AD199" t="s">
        <v>61</v>
      </c>
      <c r="AE199" t="s">
        <v>522</v>
      </c>
      <c r="AF199" t="s">
        <v>979</v>
      </c>
      <c r="AG199" t="s">
        <v>980</v>
      </c>
      <c r="AH199" t="s">
        <v>980</v>
      </c>
      <c r="AI199" t="s">
        <v>1030</v>
      </c>
      <c r="AJ199" t="s">
        <v>114</v>
      </c>
      <c r="AK199" t="s">
        <v>115</v>
      </c>
      <c r="AL199" t="s">
        <v>1031</v>
      </c>
      <c r="AM199" t="s">
        <v>1032</v>
      </c>
      <c r="AN199" t="s">
        <v>118</v>
      </c>
      <c r="AO199" t="s">
        <v>71</v>
      </c>
      <c r="AP199" t="s">
        <v>544</v>
      </c>
      <c r="AQ199" t="s">
        <v>984</v>
      </c>
      <c r="AR199" t="s">
        <v>985</v>
      </c>
    </row>
    <row r="200" spans="1:44" x14ac:dyDescent="0.25">
      <c r="A200" t="s">
        <v>101</v>
      </c>
      <c r="B200" t="s">
        <v>1026</v>
      </c>
      <c r="C200" t="s">
        <v>44</v>
      </c>
      <c r="D200" t="s">
        <v>969</v>
      </c>
      <c r="E200" t="s">
        <v>997</v>
      </c>
      <c r="F200" t="s">
        <v>971</v>
      </c>
      <c r="G200" t="s">
        <v>972</v>
      </c>
      <c r="H200" t="s">
        <v>260</v>
      </c>
      <c r="I200" t="s">
        <v>261</v>
      </c>
      <c r="J200" t="s">
        <v>1037</v>
      </c>
      <c r="K200" t="s">
        <v>1038</v>
      </c>
      <c r="L200" t="s">
        <v>1039</v>
      </c>
      <c r="M200" t="s">
        <v>1027</v>
      </c>
      <c r="N200" t="s">
        <v>54</v>
      </c>
      <c r="O200" t="s">
        <v>96</v>
      </c>
      <c r="P200" t="s">
        <v>107</v>
      </c>
      <c r="Q200" t="s">
        <v>107</v>
      </c>
      <c r="R200" s="3">
        <v>1.0999999999999999E-2</v>
      </c>
      <c r="S200" s="3">
        <v>0</v>
      </c>
      <c r="T200" t="s">
        <v>23</v>
      </c>
      <c r="U200" t="s">
        <v>23</v>
      </c>
      <c r="V200" t="s">
        <v>23</v>
      </c>
      <c r="W200" t="s">
        <v>23</v>
      </c>
      <c r="X200" s="3">
        <v>0</v>
      </c>
      <c r="Y200" s="3">
        <v>1.222</v>
      </c>
      <c r="Z200" t="s">
        <v>23</v>
      </c>
      <c r="AA200" t="s">
        <v>23</v>
      </c>
      <c r="AB200" t="s">
        <v>977</v>
      </c>
      <c r="AC200" t="s">
        <v>1029</v>
      </c>
      <c r="AD200" t="s">
        <v>61</v>
      </c>
      <c r="AE200" t="s">
        <v>522</v>
      </c>
      <c r="AF200" t="s">
        <v>979</v>
      </c>
      <c r="AG200" t="s">
        <v>980</v>
      </c>
      <c r="AH200" t="s">
        <v>980</v>
      </c>
      <c r="AI200" t="s">
        <v>1030</v>
      </c>
      <c r="AJ200" t="s">
        <v>114</v>
      </c>
      <c r="AK200" t="s">
        <v>115</v>
      </c>
      <c r="AL200" t="s">
        <v>1031</v>
      </c>
      <c r="AM200" t="s">
        <v>1032</v>
      </c>
      <c r="AN200" t="s">
        <v>118</v>
      </c>
      <c r="AO200" t="s">
        <v>71</v>
      </c>
      <c r="AP200" t="s">
        <v>544</v>
      </c>
      <c r="AQ200" t="s">
        <v>984</v>
      </c>
      <c r="AR200" t="s">
        <v>985</v>
      </c>
    </row>
    <row r="201" spans="1:44" x14ac:dyDescent="0.25">
      <c r="A201" t="s">
        <v>101</v>
      </c>
      <c r="B201" t="s">
        <v>1026</v>
      </c>
      <c r="C201" t="s">
        <v>44</v>
      </c>
      <c r="D201" t="s">
        <v>969</v>
      </c>
      <c r="E201" t="s">
        <v>997</v>
      </c>
      <c r="F201" t="s">
        <v>971</v>
      </c>
      <c r="G201" t="s">
        <v>972</v>
      </c>
      <c r="H201" t="s">
        <v>260</v>
      </c>
      <c r="I201" t="s">
        <v>261</v>
      </c>
      <c r="J201" t="s">
        <v>130</v>
      </c>
      <c r="K201" t="s">
        <v>131</v>
      </c>
      <c r="L201" t="s">
        <v>132</v>
      </c>
      <c r="M201" t="s">
        <v>1027</v>
      </c>
      <c r="N201" t="s">
        <v>54</v>
      </c>
      <c r="O201" t="s">
        <v>96</v>
      </c>
      <c r="P201" t="s">
        <v>133</v>
      </c>
      <c r="Q201" t="s">
        <v>133</v>
      </c>
      <c r="R201" s="3">
        <v>2E-3</v>
      </c>
      <c r="S201" s="3">
        <v>0</v>
      </c>
      <c r="T201" t="s">
        <v>23</v>
      </c>
      <c r="U201" t="s">
        <v>23</v>
      </c>
      <c r="V201" t="s">
        <v>23</v>
      </c>
      <c r="W201" t="s">
        <v>23</v>
      </c>
      <c r="X201" s="3">
        <v>0</v>
      </c>
      <c r="Y201" s="3">
        <v>1.222</v>
      </c>
      <c r="Z201" t="s">
        <v>23</v>
      </c>
      <c r="AA201" t="s">
        <v>23</v>
      </c>
      <c r="AB201" t="s">
        <v>977</v>
      </c>
      <c r="AC201" t="s">
        <v>1029</v>
      </c>
      <c r="AD201" t="s">
        <v>61</v>
      </c>
      <c r="AE201" t="s">
        <v>522</v>
      </c>
      <c r="AF201" t="s">
        <v>979</v>
      </c>
      <c r="AG201" t="s">
        <v>980</v>
      </c>
      <c r="AH201" t="s">
        <v>980</v>
      </c>
      <c r="AI201" t="s">
        <v>1030</v>
      </c>
      <c r="AJ201" t="s">
        <v>114</v>
      </c>
      <c r="AK201" t="s">
        <v>115</v>
      </c>
      <c r="AL201" t="s">
        <v>1031</v>
      </c>
      <c r="AM201" t="s">
        <v>1032</v>
      </c>
      <c r="AN201" t="s">
        <v>118</v>
      </c>
      <c r="AO201" t="s">
        <v>71</v>
      </c>
      <c r="AP201" t="s">
        <v>544</v>
      </c>
      <c r="AQ201" t="s">
        <v>984</v>
      </c>
      <c r="AR201" t="s">
        <v>985</v>
      </c>
    </row>
    <row r="202" spans="1:44" x14ac:dyDescent="0.25">
      <c r="A202" t="s">
        <v>254</v>
      </c>
      <c r="B202" t="s">
        <v>1040</v>
      </c>
      <c r="C202" t="s">
        <v>44</v>
      </c>
      <c r="D202" t="s">
        <v>969</v>
      </c>
      <c r="E202" t="s">
        <v>970</v>
      </c>
      <c r="F202" t="s">
        <v>971</v>
      </c>
      <c r="G202" t="s">
        <v>987</v>
      </c>
      <c r="H202" t="s">
        <v>260</v>
      </c>
      <c r="I202" t="s">
        <v>261</v>
      </c>
      <c r="J202" t="s">
        <v>973</v>
      </c>
      <c r="K202" t="s">
        <v>974</v>
      </c>
      <c r="L202" t="s">
        <v>975</v>
      </c>
      <c r="M202" t="s">
        <v>1041</v>
      </c>
      <c r="N202" t="s">
        <v>54</v>
      </c>
      <c r="O202" t="s">
        <v>75</v>
      </c>
      <c r="P202" t="s">
        <v>106</v>
      </c>
      <c r="Q202" t="s">
        <v>164</v>
      </c>
      <c r="R202" s="3">
        <v>0.02</v>
      </c>
      <c r="S202" t="s">
        <v>23</v>
      </c>
      <c r="T202" s="3">
        <v>0.04</v>
      </c>
      <c r="U202" t="s">
        <v>23</v>
      </c>
      <c r="V202" t="s">
        <v>23</v>
      </c>
      <c r="W202" t="s">
        <v>23</v>
      </c>
      <c r="X202" s="3">
        <v>0</v>
      </c>
      <c r="Y202" s="3">
        <v>1.222</v>
      </c>
      <c r="Z202" t="s">
        <v>23</v>
      </c>
      <c r="AA202" t="s">
        <v>23</v>
      </c>
      <c r="AB202" t="s">
        <v>977</v>
      </c>
      <c r="AC202" t="s">
        <v>1042</v>
      </c>
      <c r="AD202" t="s">
        <v>61</v>
      </c>
      <c r="AE202" t="s">
        <v>522</v>
      </c>
      <c r="AF202" t="s">
        <v>979</v>
      </c>
      <c r="AG202" t="s">
        <v>980</v>
      </c>
      <c r="AH202" t="s">
        <v>980</v>
      </c>
      <c r="AI202" t="s">
        <v>1043</v>
      </c>
      <c r="AJ202" t="s">
        <v>273</v>
      </c>
      <c r="AK202" t="s">
        <v>274</v>
      </c>
      <c r="AL202" t="s">
        <v>1044</v>
      </c>
      <c r="AM202" t="s">
        <v>1045</v>
      </c>
      <c r="AN202" t="s">
        <v>118</v>
      </c>
      <c r="AO202" t="s">
        <v>71</v>
      </c>
      <c r="AP202" t="s">
        <v>544</v>
      </c>
      <c r="AQ202" t="s">
        <v>984</v>
      </c>
      <c r="AR202" t="s">
        <v>985</v>
      </c>
    </row>
    <row r="203" spans="1:44" x14ac:dyDescent="0.25">
      <c r="A203" t="s">
        <v>254</v>
      </c>
      <c r="B203" t="s">
        <v>1040</v>
      </c>
      <c r="C203" t="s">
        <v>44</v>
      </c>
      <c r="D203" t="s">
        <v>969</v>
      </c>
      <c r="E203" t="s">
        <v>970</v>
      </c>
      <c r="F203" t="s">
        <v>971</v>
      </c>
      <c r="G203" t="s">
        <v>987</v>
      </c>
      <c r="H203" t="s">
        <v>260</v>
      </c>
      <c r="I203" t="s">
        <v>261</v>
      </c>
      <c r="J203" t="s">
        <v>262</v>
      </c>
      <c r="K203" t="s">
        <v>263</v>
      </c>
      <c r="L203" t="s">
        <v>264</v>
      </c>
      <c r="M203" t="s">
        <v>1041</v>
      </c>
      <c r="N203" t="s">
        <v>54</v>
      </c>
      <c r="O203" t="s">
        <v>75</v>
      </c>
      <c r="P203" t="s">
        <v>106</v>
      </c>
      <c r="Q203" t="s">
        <v>164</v>
      </c>
      <c r="R203" s="3">
        <v>0.02</v>
      </c>
      <c r="S203" t="s">
        <v>23</v>
      </c>
      <c r="T203" s="3">
        <v>0</v>
      </c>
      <c r="U203" t="s">
        <v>23</v>
      </c>
      <c r="V203" t="s">
        <v>23</v>
      </c>
      <c r="W203" t="s">
        <v>23</v>
      </c>
      <c r="X203" s="3">
        <v>0</v>
      </c>
      <c r="Y203" s="3">
        <v>1.222</v>
      </c>
      <c r="Z203" t="s">
        <v>23</v>
      </c>
      <c r="AA203" t="s">
        <v>23</v>
      </c>
      <c r="AB203" t="s">
        <v>977</v>
      </c>
      <c r="AC203" t="s">
        <v>1042</v>
      </c>
      <c r="AD203" t="s">
        <v>61</v>
      </c>
      <c r="AE203" t="s">
        <v>522</v>
      </c>
      <c r="AF203" t="s">
        <v>979</v>
      </c>
      <c r="AG203" t="s">
        <v>980</v>
      </c>
      <c r="AH203" t="s">
        <v>980</v>
      </c>
      <c r="AI203" t="s">
        <v>1043</v>
      </c>
      <c r="AJ203" t="s">
        <v>273</v>
      </c>
      <c r="AK203" t="s">
        <v>274</v>
      </c>
      <c r="AL203" t="s">
        <v>1044</v>
      </c>
      <c r="AM203" t="s">
        <v>1045</v>
      </c>
      <c r="AN203" t="s">
        <v>118</v>
      </c>
      <c r="AO203" t="s">
        <v>71</v>
      </c>
      <c r="AP203" t="s">
        <v>544</v>
      </c>
      <c r="AQ203" t="s">
        <v>984</v>
      </c>
      <c r="AR203" t="s">
        <v>985</v>
      </c>
    </row>
    <row r="204" spans="1:44" x14ac:dyDescent="0.25">
      <c r="A204" t="s">
        <v>101</v>
      </c>
      <c r="B204" t="s">
        <v>1046</v>
      </c>
      <c r="C204" t="s">
        <v>44</v>
      </c>
      <c r="D204" t="s">
        <v>969</v>
      </c>
      <c r="E204" t="s">
        <v>1047</v>
      </c>
      <c r="F204" t="s">
        <v>971</v>
      </c>
      <c r="G204" t="s">
        <v>987</v>
      </c>
      <c r="H204" t="s">
        <v>260</v>
      </c>
      <c r="I204" t="s">
        <v>261</v>
      </c>
      <c r="J204" t="s">
        <v>1048</v>
      </c>
      <c r="K204" t="s">
        <v>1049</v>
      </c>
      <c r="L204" t="s">
        <v>1050</v>
      </c>
      <c r="M204" t="s">
        <v>1051</v>
      </c>
      <c r="N204" t="s">
        <v>54</v>
      </c>
      <c r="O204" t="s">
        <v>96</v>
      </c>
      <c r="P204" t="s">
        <v>1052</v>
      </c>
      <c r="Q204" t="s">
        <v>1052</v>
      </c>
      <c r="R204" s="3">
        <v>1.2E-2</v>
      </c>
      <c r="S204" s="3">
        <v>4.3999999999999997E-2</v>
      </c>
      <c r="T204" t="s">
        <v>23</v>
      </c>
      <c r="U204" t="s">
        <v>23</v>
      </c>
      <c r="V204" t="s">
        <v>23</v>
      </c>
      <c r="W204" t="s">
        <v>23</v>
      </c>
      <c r="X204" s="3">
        <v>0</v>
      </c>
      <c r="Y204" s="3">
        <v>1.222</v>
      </c>
      <c r="Z204" t="s">
        <v>23</v>
      </c>
      <c r="AA204" t="s">
        <v>23</v>
      </c>
      <c r="AB204" t="s">
        <v>977</v>
      </c>
      <c r="AC204" t="s">
        <v>1053</v>
      </c>
      <c r="AD204" t="s">
        <v>61</v>
      </c>
      <c r="AE204" t="s">
        <v>522</v>
      </c>
      <c r="AF204" t="s">
        <v>979</v>
      </c>
      <c r="AG204" t="s">
        <v>980</v>
      </c>
      <c r="AH204" t="s">
        <v>980</v>
      </c>
      <c r="AI204" t="s">
        <v>1054</v>
      </c>
      <c r="AJ204" t="s">
        <v>190</v>
      </c>
      <c r="AK204" t="s">
        <v>191</v>
      </c>
      <c r="AL204" t="s">
        <v>1055</v>
      </c>
      <c r="AM204" t="s">
        <v>1056</v>
      </c>
      <c r="AN204" t="s">
        <v>118</v>
      </c>
      <c r="AO204" t="s">
        <v>71</v>
      </c>
      <c r="AP204" t="s">
        <v>544</v>
      </c>
      <c r="AQ204" t="s">
        <v>984</v>
      </c>
      <c r="AR204" t="s">
        <v>985</v>
      </c>
    </row>
    <row r="205" spans="1:44" x14ac:dyDescent="0.25">
      <c r="A205" t="s">
        <v>101</v>
      </c>
      <c r="B205" t="s">
        <v>1046</v>
      </c>
      <c r="C205" t="s">
        <v>44</v>
      </c>
      <c r="D205" t="s">
        <v>969</v>
      </c>
      <c r="E205" t="s">
        <v>1047</v>
      </c>
      <c r="F205" t="s">
        <v>971</v>
      </c>
      <c r="G205" t="s">
        <v>987</v>
      </c>
      <c r="H205" t="s">
        <v>260</v>
      </c>
      <c r="I205" t="s">
        <v>261</v>
      </c>
      <c r="J205" t="s">
        <v>1057</v>
      </c>
      <c r="K205" t="s">
        <v>1058</v>
      </c>
      <c r="L205" t="s">
        <v>1059</v>
      </c>
      <c r="M205" t="s">
        <v>1051</v>
      </c>
      <c r="N205" t="s">
        <v>54</v>
      </c>
      <c r="O205" t="s">
        <v>75</v>
      </c>
      <c r="P205" t="s">
        <v>1060</v>
      </c>
      <c r="Q205" t="s">
        <v>1061</v>
      </c>
      <c r="R205" s="3">
        <v>3.2000000000000001E-2</v>
      </c>
      <c r="S205" s="3">
        <v>0</v>
      </c>
      <c r="T205" t="s">
        <v>23</v>
      </c>
      <c r="U205" t="s">
        <v>23</v>
      </c>
      <c r="V205" t="s">
        <v>23</v>
      </c>
      <c r="W205" t="s">
        <v>23</v>
      </c>
      <c r="X205" s="3">
        <v>0</v>
      </c>
      <c r="Y205" s="3">
        <v>1.222</v>
      </c>
      <c r="Z205" t="s">
        <v>23</v>
      </c>
      <c r="AA205" t="s">
        <v>23</v>
      </c>
      <c r="AB205" t="s">
        <v>977</v>
      </c>
      <c r="AC205" t="s">
        <v>1053</v>
      </c>
      <c r="AD205" t="s">
        <v>61</v>
      </c>
      <c r="AE205" t="s">
        <v>522</v>
      </c>
      <c r="AF205" t="s">
        <v>979</v>
      </c>
      <c r="AG205" t="s">
        <v>980</v>
      </c>
      <c r="AH205" t="s">
        <v>980</v>
      </c>
      <c r="AI205" t="s">
        <v>1054</v>
      </c>
      <c r="AJ205" t="s">
        <v>190</v>
      </c>
      <c r="AK205" t="s">
        <v>191</v>
      </c>
      <c r="AL205" t="s">
        <v>1055</v>
      </c>
      <c r="AM205" t="s">
        <v>1056</v>
      </c>
      <c r="AN205" t="s">
        <v>118</v>
      </c>
      <c r="AO205" t="s">
        <v>71</v>
      </c>
      <c r="AP205" t="s">
        <v>544</v>
      </c>
      <c r="AQ205" t="s">
        <v>984</v>
      </c>
      <c r="AR205" t="s">
        <v>985</v>
      </c>
    </row>
    <row r="206" spans="1:44" x14ac:dyDescent="0.25">
      <c r="A206" t="s">
        <v>363</v>
      </c>
      <c r="B206" t="s">
        <v>1062</v>
      </c>
      <c r="C206" t="s">
        <v>44</v>
      </c>
      <c r="D206" t="s">
        <v>969</v>
      </c>
      <c r="E206" t="s">
        <v>970</v>
      </c>
      <c r="F206" t="s">
        <v>971</v>
      </c>
      <c r="G206" t="s">
        <v>972</v>
      </c>
      <c r="H206" t="s">
        <v>260</v>
      </c>
      <c r="I206" t="s">
        <v>261</v>
      </c>
      <c r="J206" t="s">
        <v>390</v>
      </c>
      <c r="K206" t="s">
        <v>391</v>
      </c>
      <c r="L206" t="s">
        <v>392</v>
      </c>
      <c r="M206" t="s">
        <v>1063</v>
      </c>
      <c r="N206" t="s">
        <v>54</v>
      </c>
      <c r="O206" t="s">
        <v>195</v>
      </c>
      <c r="P206" t="s">
        <v>76</v>
      </c>
      <c r="Q206" t="s">
        <v>249</v>
      </c>
      <c r="R206" s="3">
        <v>2.4E-2</v>
      </c>
      <c r="S206" t="s">
        <v>23</v>
      </c>
      <c r="T206" t="s">
        <v>23</v>
      </c>
      <c r="U206" s="3">
        <v>4.4999999999999998E-2</v>
      </c>
      <c r="V206" t="s">
        <v>23</v>
      </c>
      <c r="W206" t="s">
        <v>23</v>
      </c>
      <c r="X206" s="3">
        <v>0</v>
      </c>
      <c r="Y206" s="3">
        <v>1.222</v>
      </c>
      <c r="Z206" t="s">
        <v>23</v>
      </c>
      <c r="AA206" t="s">
        <v>23</v>
      </c>
      <c r="AB206" t="s">
        <v>977</v>
      </c>
      <c r="AC206" t="s">
        <v>1064</v>
      </c>
      <c r="AD206" t="s">
        <v>61</v>
      </c>
      <c r="AE206" t="s">
        <v>522</v>
      </c>
      <c r="AF206" t="s">
        <v>979</v>
      </c>
      <c r="AG206" t="s">
        <v>980</v>
      </c>
      <c r="AH206" t="s">
        <v>980</v>
      </c>
      <c r="AI206" t="s">
        <v>1065</v>
      </c>
      <c r="AJ206" t="s">
        <v>373</v>
      </c>
      <c r="AK206" t="s">
        <v>374</v>
      </c>
      <c r="AL206" t="s">
        <v>1066</v>
      </c>
      <c r="AM206" t="s">
        <v>1067</v>
      </c>
      <c r="AN206" t="s">
        <v>118</v>
      </c>
      <c r="AO206" t="s">
        <v>71</v>
      </c>
      <c r="AP206" t="s">
        <v>544</v>
      </c>
      <c r="AQ206" t="s">
        <v>984</v>
      </c>
      <c r="AR206" t="s">
        <v>985</v>
      </c>
    </row>
    <row r="207" spans="1:44" x14ac:dyDescent="0.25">
      <c r="A207" t="s">
        <v>363</v>
      </c>
      <c r="B207" t="s">
        <v>1062</v>
      </c>
      <c r="C207" t="s">
        <v>44</v>
      </c>
      <c r="D207" t="s">
        <v>969</v>
      </c>
      <c r="E207" t="s">
        <v>970</v>
      </c>
      <c r="F207" t="s">
        <v>971</v>
      </c>
      <c r="G207" t="s">
        <v>972</v>
      </c>
      <c r="H207" t="s">
        <v>260</v>
      </c>
      <c r="I207" t="s">
        <v>261</v>
      </c>
      <c r="J207" t="s">
        <v>993</v>
      </c>
      <c r="K207" t="s">
        <v>994</v>
      </c>
      <c r="L207" t="s">
        <v>995</v>
      </c>
      <c r="M207" t="s">
        <v>1063</v>
      </c>
      <c r="N207" t="s">
        <v>54</v>
      </c>
      <c r="O207" t="s">
        <v>195</v>
      </c>
      <c r="P207" t="s">
        <v>361</v>
      </c>
      <c r="Q207" t="s">
        <v>55</v>
      </c>
      <c r="R207" s="3">
        <v>1.4999999999999999E-2</v>
      </c>
      <c r="S207" t="s">
        <v>23</v>
      </c>
      <c r="T207" t="s">
        <v>23</v>
      </c>
      <c r="U207" s="3">
        <v>0</v>
      </c>
      <c r="V207" t="s">
        <v>23</v>
      </c>
      <c r="W207" t="s">
        <v>23</v>
      </c>
      <c r="X207" s="3">
        <v>0</v>
      </c>
      <c r="Y207" s="3">
        <v>1.222</v>
      </c>
      <c r="Z207" t="s">
        <v>23</v>
      </c>
      <c r="AA207" t="s">
        <v>23</v>
      </c>
      <c r="AB207" t="s">
        <v>977</v>
      </c>
      <c r="AC207" t="s">
        <v>1064</v>
      </c>
      <c r="AD207" t="s">
        <v>61</v>
      </c>
      <c r="AE207" t="s">
        <v>522</v>
      </c>
      <c r="AF207" t="s">
        <v>979</v>
      </c>
      <c r="AG207" t="s">
        <v>980</v>
      </c>
      <c r="AH207" t="s">
        <v>980</v>
      </c>
      <c r="AI207" t="s">
        <v>1065</v>
      </c>
      <c r="AJ207" t="s">
        <v>373</v>
      </c>
      <c r="AK207" t="s">
        <v>374</v>
      </c>
      <c r="AL207" t="s">
        <v>1066</v>
      </c>
      <c r="AM207" t="s">
        <v>1067</v>
      </c>
      <c r="AN207" t="s">
        <v>118</v>
      </c>
      <c r="AO207" t="s">
        <v>71</v>
      </c>
      <c r="AP207" t="s">
        <v>544</v>
      </c>
      <c r="AQ207" t="s">
        <v>984</v>
      </c>
      <c r="AR207" t="s">
        <v>985</v>
      </c>
    </row>
    <row r="208" spans="1:44" x14ac:dyDescent="0.25">
      <c r="A208" t="s">
        <v>363</v>
      </c>
      <c r="B208" t="s">
        <v>1062</v>
      </c>
      <c r="C208" t="s">
        <v>44</v>
      </c>
      <c r="D208" t="s">
        <v>969</v>
      </c>
      <c r="E208" t="s">
        <v>970</v>
      </c>
      <c r="F208" t="s">
        <v>971</v>
      </c>
      <c r="G208" t="s">
        <v>972</v>
      </c>
      <c r="H208" t="s">
        <v>260</v>
      </c>
      <c r="I208" t="s">
        <v>261</v>
      </c>
      <c r="J208" t="s">
        <v>387</v>
      </c>
      <c r="K208" t="s">
        <v>388</v>
      </c>
      <c r="L208" t="s">
        <v>389</v>
      </c>
      <c r="M208" t="s">
        <v>1063</v>
      </c>
      <c r="N208" t="s">
        <v>54</v>
      </c>
      <c r="O208" t="s">
        <v>96</v>
      </c>
      <c r="P208" t="s">
        <v>382</v>
      </c>
      <c r="Q208" t="s">
        <v>382</v>
      </c>
      <c r="R208" s="3">
        <v>6.0000000000000001E-3</v>
      </c>
      <c r="S208" t="s">
        <v>23</v>
      </c>
      <c r="T208" t="s">
        <v>23</v>
      </c>
      <c r="U208" s="3">
        <v>0</v>
      </c>
      <c r="V208" t="s">
        <v>23</v>
      </c>
      <c r="W208" t="s">
        <v>23</v>
      </c>
      <c r="X208" s="3">
        <v>0</v>
      </c>
      <c r="Y208" s="3">
        <v>1.222</v>
      </c>
      <c r="Z208" t="s">
        <v>23</v>
      </c>
      <c r="AA208" t="s">
        <v>23</v>
      </c>
      <c r="AB208" t="s">
        <v>977</v>
      </c>
      <c r="AC208" t="s">
        <v>1064</v>
      </c>
      <c r="AD208" t="s">
        <v>61</v>
      </c>
      <c r="AE208" t="s">
        <v>522</v>
      </c>
      <c r="AF208" t="s">
        <v>979</v>
      </c>
      <c r="AG208" t="s">
        <v>980</v>
      </c>
      <c r="AH208" t="s">
        <v>980</v>
      </c>
      <c r="AI208" t="s">
        <v>1065</v>
      </c>
      <c r="AJ208" t="s">
        <v>373</v>
      </c>
      <c r="AK208" t="s">
        <v>374</v>
      </c>
      <c r="AL208" t="s">
        <v>1066</v>
      </c>
      <c r="AM208" t="s">
        <v>1067</v>
      </c>
      <c r="AN208" t="s">
        <v>118</v>
      </c>
      <c r="AO208" t="s">
        <v>71</v>
      </c>
      <c r="AP208" t="s">
        <v>544</v>
      </c>
      <c r="AQ208" t="s">
        <v>984</v>
      </c>
      <c r="AR208" t="s">
        <v>985</v>
      </c>
    </row>
    <row r="209" spans="1:44" x14ac:dyDescent="0.25">
      <c r="A209" t="s">
        <v>101</v>
      </c>
      <c r="B209" t="s">
        <v>1068</v>
      </c>
      <c r="C209" t="s">
        <v>44</v>
      </c>
      <c r="D209" t="s">
        <v>969</v>
      </c>
      <c r="E209" t="s">
        <v>997</v>
      </c>
      <c r="F209" t="s">
        <v>971</v>
      </c>
      <c r="G209" t="s">
        <v>972</v>
      </c>
      <c r="H209" t="s">
        <v>260</v>
      </c>
      <c r="I209" t="s">
        <v>261</v>
      </c>
      <c r="J209" t="s">
        <v>135</v>
      </c>
      <c r="K209" t="s">
        <v>136</v>
      </c>
      <c r="L209" t="s">
        <v>137</v>
      </c>
      <c r="M209" t="s">
        <v>1069</v>
      </c>
      <c r="N209" t="s">
        <v>54</v>
      </c>
      <c r="O209" t="s">
        <v>75</v>
      </c>
      <c r="P209" t="s">
        <v>139</v>
      </c>
      <c r="Q209" t="s">
        <v>1070</v>
      </c>
      <c r="R209" s="3">
        <v>5.0000000000000001E-3</v>
      </c>
      <c r="S209" s="3">
        <v>5.0000000000000001E-3</v>
      </c>
      <c r="T209" t="s">
        <v>23</v>
      </c>
      <c r="U209" t="s">
        <v>23</v>
      </c>
      <c r="V209" t="s">
        <v>23</v>
      </c>
      <c r="W209" t="s">
        <v>23</v>
      </c>
      <c r="X209" s="3">
        <v>0</v>
      </c>
      <c r="Y209" s="3">
        <v>1.222</v>
      </c>
      <c r="Z209" t="s">
        <v>23</v>
      </c>
      <c r="AA209" t="s">
        <v>23</v>
      </c>
      <c r="AB209" t="s">
        <v>977</v>
      </c>
      <c r="AC209" t="s">
        <v>1071</v>
      </c>
      <c r="AD209" t="s">
        <v>61</v>
      </c>
      <c r="AE209" t="s">
        <v>522</v>
      </c>
      <c r="AF209" t="s">
        <v>979</v>
      </c>
      <c r="AG209" t="s">
        <v>980</v>
      </c>
      <c r="AH209" t="s">
        <v>980</v>
      </c>
      <c r="AI209" t="s">
        <v>1072</v>
      </c>
      <c r="AJ209" t="s">
        <v>114</v>
      </c>
      <c r="AK209" t="s">
        <v>115</v>
      </c>
      <c r="AL209" t="s">
        <v>1073</v>
      </c>
      <c r="AM209" t="s">
        <v>1074</v>
      </c>
      <c r="AN209" t="s">
        <v>118</v>
      </c>
      <c r="AO209" t="s">
        <v>71</v>
      </c>
      <c r="AP209" t="s">
        <v>544</v>
      </c>
      <c r="AQ209" t="s">
        <v>984</v>
      </c>
      <c r="AR209" t="s">
        <v>985</v>
      </c>
    </row>
    <row r="210" spans="1:44" x14ac:dyDescent="0.25">
      <c r="A210" t="s">
        <v>101</v>
      </c>
      <c r="B210" t="s">
        <v>1075</v>
      </c>
      <c r="C210" t="s">
        <v>44</v>
      </c>
      <c r="D210" t="s">
        <v>969</v>
      </c>
      <c r="E210" t="s">
        <v>997</v>
      </c>
      <c r="F210" t="s">
        <v>971</v>
      </c>
      <c r="G210" t="s">
        <v>987</v>
      </c>
      <c r="H210" t="s">
        <v>260</v>
      </c>
      <c r="I210" t="s">
        <v>261</v>
      </c>
      <c r="J210" t="s">
        <v>801</v>
      </c>
      <c r="K210" t="s">
        <v>802</v>
      </c>
      <c r="L210" t="s">
        <v>803</v>
      </c>
      <c r="M210" t="s">
        <v>1076</v>
      </c>
      <c r="N210" t="s">
        <v>428</v>
      </c>
      <c r="O210" t="s">
        <v>106</v>
      </c>
      <c r="P210" t="s">
        <v>93</v>
      </c>
      <c r="Q210" t="s">
        <v>674</v>
      </c>
      <c r="R210" s="3">
        <v>0.25</v>
      </c>
      <c r="S210" s="3">
        <v>0.25</v>
      </c>
      <c r="T210" t="s">
        <v>23</v>
      </c>
      <c r="U210" t="s">
        <v>23</v>
      </c>
      <c r="V210" t="s">
        <v>23</v>
      </c>
      <c r="W210" t="s">
        <v>23</v>
      </c>
      <c r="X210" s="3">
        <v>0</v>
      </c>
      <c r="Y210" s="3">
        <v>1.222</v>
      </c>
      <c r="Z210" t="s">
        <v>23</v>
      </c>
      <c r="AA210" t="s">
        <v>23</v>
      </c>
      <c r="AB210" t="s">
        <v>977</v>
      </c>
      <c r="AC210" t="s">
        <v>1077</v>
      </c>
      <c r="AD210" t="s">
        <v>61</v>
      </c>
      <c r="AE210" t="s">
        <v>522</v>
      </c>
      <c r="AF210" t="s">
        <v>979</v>
      </c>
      <c r="AG210" t="s">
        <v>980</v>
      </c>
      <c r="AH210" t="s">
        <v>980</v>
      </c>
      <c r="AI210" t="s">
        <v>1078</v>
      </c>
      <c r="AJ210" t="s">
        <v>114</v>
      </c>
      <c r="AK210" t="s">
        <v>115</v>
      </c>
      <c r="AL210" t="s">
        <v>1079</v>
      </c>
      <c r="AM210" t="s">
        <v>1080</v>
      </c>
      <c r="AN210" t="s">
        <v>118</v>
      </c>
      <c r="AO210" t="s">
        <v>71</v>
      </c>
      <c r="AP210" t="s">
        <v>544</v>
      </c>
      <c r="AQ210" t="s">
        <v>984</v>
      </c>
      <c r="AR210" t="s">
        <v>985</v>
      </c>
    </row>
    <row r="211" spans="1:44" x14ac:dyDescent="0.25">
      <c r="A211" t="s">
        <v>363</v>
      </c>
      <c r="B211" t="s">
        <v>1081</v>
      </c>
      <c r="C211" t="s">
        <v>44</v>
      </c>
      <c r="D211" t="s">
        <v>969</v>
      </c>
      <c r="E211" t="s">
        <v>970</v>
      </c>
      <c r="F211" t="s">
        <v>971</v>
      </c>
      <c r="G211" t="s">
        <v>987</v>
      </c>
      <c r="H211" t="s">
        <v>260</v>
      </c>
      <c r="I211" t="s">
        <v>261</v>
      </c>
      <c r="J211" t="s">
        <v>390</v>
      </c>
      <c r="K211" t="s">
        <v>391</v>
      </c>
      <c r="L211" t="s">
        <v>392</v>
      </c>
      <c r="M211" t="s">
        <v>1041</v>
      </c>
      <c r="N211" t="s">
        <v>54</v>
      </c>
      <c r="O211" t="s">
        <v>96</v>
      </c>
      <c r="P211" t="s">
        <v>76</v>
      </c>
      <c r="Q211" t="s">
        <v>76</v>
      </c>
      <c r="R211" s="3">
        <v>5.0000000000000001E-3</v>
      </c>
      <c r="S211" t="s">
        <v>23</v>
      </c>
      <c r="T211" t="s">
        <v>23</v>
      </c>
      <c r="U211" s="3">
        <v>1.7000000000000001E-2</v>
      </c>
      <c r="V211" t="s">
        <v>23</v>
      </c>
      <c r="W211" t="s">
        <v>23</v>
      </c>
      <c r="X211" s="3">
        <v>0</v>
      </c>
      <c r="Y211" s="3">
        <v>1.222</v>
      </c>
      <c r="Z211" t="s">
        <v>23</v>
      </c>
      <c r="AA211" t="s">
        <v>23</v>
      </c>
      <c r="AB211" t="s">
        <v>977</v>
      </c>
      <c r="AC211" t="s">
        <v>1082</v>
      </c>
      <c r="AD211" t="s">
        <v>61</v>
      </c>
      <c r="AE211" t="s">
        <v>522</v>
      </c>
      <c r="AF211" t="s">
        <v>979</v>
      </c>
      <c r="AG211" t="s">
        <v>980</v>
      </c>
      <c r="AH211" t="s">
        <v>980</v>
      </c>
      <c r="AI211" t="s">
        <v>1083</v>
      </c>
      <c r="AJ211" t="s">
        <v>373</v>
      </c>
      <c r="AK211" t="s">
        <v>374</v>
      </c>
      <c r="AL211" t="s">
        <v>1084</v>
      </c>
      <c r="AM211" t="s">
        <v>1085</v>
      </c>
      <c r="AN211" t="s">
        <v>118</v>
      </c>
      <c r="AO211" t="s">
        <v>71</v>
      </c>
      <c r="AP211" t="s">
        <v>544</v>
      </c>
      <c r="AQ211" t="s">
        <v>984</v>
      </c>
      <c r="AR211" t="s">
        <v>985</v>
      </c>
    </row>
    <row r="212" spans="1:44" x14ac:dyDescent="0.25">
      <c r="A212" t="s">
        <v>363</v>
      </c>
      <c r="B212" t="s">
        <v>1081</v>
      </c>
      <c r="C212" t="s">
        <v>44</v>
      </c>
      <c r="D212" t="s">
        <v>969</v>
      </c>
      <c r="E212" t="s">
        <v>970</v>
      </c>
      <c r="F212" t="s">
        <v>971</v>
      </c>
      <c r="G212" t="s">
        <v>987</v>
      </c>
      <c r="H212" t="s">
        <v>260</v>
      </c>
      <c r="I212" t="s">
        <v>261</v>
      </c>
      <c r="J212" t="s">
        <v>387</v>
      </c>
      <c r="K212" t="s">
        <v>388</v>
      </c>
      <c r="L212" t="s">
        <v>389</v>
      </c>
      <c r="M212" t="s">
        <v>1041</v>
      </c>
      <c r="N212" t="s">
        <v>54</v>
      </c>
      <c r="O212" t="s">
        <v>75</v>
      </c>
      <c r="P212" t="s">
        <v>382</v>
      </c>
      <c r="Q212" t="s">
        <v>196</v>
      </c>
      <c r="R212" s="3">
        <v>1.2E-2</v>
      </c>
      <c r="S212" t="s">
        <v>23</v>
      </c>
      <c r="T212" t="s">
        <v>23</v>
      </c>
      <c r="U212" s="3">
        <v>0</v>
      </c>
      <c r="V212" t="s">
        <v>23</v>
      </c>
      <c r="W212" t="s">
        <v>23</v>
      </c>
      <c r="X212" s="3">
        <v>0</v>
      </c>
      <c r="Y212" s="3">
        <v>1.222</v>
      </c>
      <c r="Z212" t="s">
        <v>23</v>
      </c>
      <c r="AA212" t="s">
        <v>23</v>
      </c>
      <c r="AB212" t="s">
        <v>977</v>
      </c>
      <c r="AC212" t="s">
        <v>1082</v>
      </c>
      <c r="AD212" t="s">
        <v>61</v>
      </c>
      <c r="AE212" t="s">
        <v>522</v>
      </c>
      <c r="AF212" t="s">
        <v>979</v>
      </c>
      <c r="AG212" t="s">
        <v>980</v>
      </c>
      <c r="AH212" t="s">
        <v>980</v>
      </c>
      <c r="AI212" t="s">
        <v>1083</v>
      </c>
      <c r="AJ212" t="s">
        <v>373</v>
      </c>
      <c r="AK212" t="s">
        <v>374</v>
      </c>
      <c r="AL212" t="s">
        <v>1084</v>
      </c>
      <c r="AM212" t="s">
        <v>1085</v>
      </c>
      <c r="AN212" t="s">
        <v>118</v>
      </c>
      <c r="AO212" t="s">
        <v>71</v>
      </c>
      <c r="AP212" t="s">
        <v>544</v>
      </c>
      <c r="AQ212" t="s">
        <v>984</v>
      </c>
      <c r="AR212" t="s">
        <v>985</v>
      </c>
    </row>
    <row r="213" spans="1:44" x14ac:dyDescent="0.25">
      <c r="A213" t="s">
        <v>101</v>
      </c>
      <c r="B213" t="s">
        <v>1086</v>
      </c>
      <c r="C213" t="s">
        <v>44</v>
      </c>
      <c r="D213" t="s">
        <v>969</v>
      </c>
      <c r="E213" t="s">
        <v>997</v>
      </c>
      <c r="F213" t="s">
        <v>971</v>
      </c>
      <c r="G213" t="s">
        <v>987</v>
      </c>
      <c r="H213" t="s">
        <v>260</v>
      </c>
      <c r="I213" t="s">
        <v>261</v>
      </c>
      <c r="J213" t="s">
        <v>135</v>
      </c>
      <c r="K213" t="s">
        <v>136</v>
      </c>
      <c r="L213" t="s">
        <v>137</v>
      </c>
      <c r="M213" t="s">
        <v>1087</v>
      </c>
      <c r="N213" t="s">
        <v>54</v>
      </c>
      <c r="O213" t="s">
        <v>96</v>
      </c>
      <c r="P213" t="s">
        <v>139</v>
      </c>
      <c r="Q213" t="s">
        <v>139</v>
      </c>
      <c r="R213" s="3">
        <v>3.0000000000000001E-3</v>
      </c>
      <c r="S213" s="3">
        <v>3.0000000000000001E-3</v>
      </c>
      <c r="T213" t="s">
        <v>23</v>
      </c>
      <c r="U213" t="s">
        <v>23</v>
      </c>
      <c r="V213" t="s">
        <v>23</v>
      </c>
      <c r="W213" t="s">
        <v>23</v>
      </c>
      <c r="X213" s="3">
        <v>0</v>
      </c>
      <c r="Y213" s="3">
        <v>1.222</v>
      </c>
      <c r="Z213" t="s">
        <v>23</v>
      </c>
      <c r="AA213" t="s">
        <v>23</v>
      </c>
      <c r="AB213" t="s">
        <v>977</v>
      </c>
      <c r="AC213" t="s">
        <v>1088</v>
      </c>
      <c r="AD213" t="s">
        <v>61</v>
      </c>
      <c r="AE213" t="s">
        <v>522</v>
      </c>
      <c r="AF213" t="s">
        <v>979</v>
      </c>
      <c r="AG213" t="s">
        <v>980</v>
      </c>
      <c r="AH213" t="s">
        <v>980</v>
      </c>
      <c r="AI213" t="s">
        <v>1083</v>
      </c>
      <c r="AJ213" t="s">
        <v>114</v>
      </c>
      <c r="AK213" t="s">
        <v>115</v>
      </c>
      <c r="AL213" t="s">
        <v>1089</v>
      </c>
      <c r="AM213" t="s">
        <v>1090</v>
      </c>
      <c r="AN213" t="s">
        <v>118</v>
      </c>
      <c r="AO213" t="s">
        <v>71</v>
      </c>
      <c r="AP213" t="s">
        <v>544</v>
      </c>
      <c r="AQ213" t="s">
        <v>984</v>
      </c>
      <c r="AR213" t="s">
        <v>985</v>
      </c>
    </row>
    <row r="214" spans="1:44" x14ac:dyDescent="0.25">
      <c r="A214" t="s">
        <v>363</v>
      </c>
      <c r="B214" t="s">
        <v>1091</v>
      </c>
      <c r="C214" t="s">
        <v>44</v>
      </c>
      <c r="D214" t="s">
        <v>969</v>
      </c>
      <c r="E214" t="s">
        <v>970</v>
      </c>
      <c r="F214" t="s">
        <v>971</v>
      </c>
      <c r="G214" t="s">
        <v>987</v>
      </c>
      <c r="H214" t="s">
        <v>260</v>
      </c>
      <c r="I214" t="s">
        <v>261</v>
      </c>
      <c r="J214" t="s">
        <v>607</v>
      </c>
      <c r="K214" t="s">
        <v>608</v>
      </c>
      <c r="L214" t="s">
        <v>609</v>
      </c>
      <c r="M214" t="s">
        <v>1041</v>
      </c>
      <c r="N214" t="s">
        <v>54</v>
      </c>
      <c r="O214" t="s">
        <v>361</v>
      </c>
      <c r="P214" t="s">
        <v>611</v>
      </c>
      <c r="Q214" t="s">
        <v>338</v>
      </c>
      <c r="R214" s="3">
        <v>1.0999999999999999E-2</v>
      </c>
      <c r="S214" t="s">
        <v>23</v>
      </c>
      <c r="T214" t="s">
        <v>23</v>
      </c>
      <c r="U214" s="3">
        <v>6.7000000000000004E-2</v>
      </c>
      <c r="V214" t="s">
        <v>23</v>
      </c>
      <c r="W214" t="s">
        <v>23</v>
      </c>
      <c r="X214" s="3">
        <v>0</v>
      </c>
      <c r="Y214" s="3">
        <v>1.222</v>
      </c>
      <c r="Z214" t="s">
        <v>23</v>
      </c>
      <c r="AA214" t="s">
        <v>23</v>
      </c>
      <c r="AB214" t="s">
        <v>977</v>
      </c>
      <c r="AC214" t="s">
        <v>1092</v>
      </c>
      <c r="AD214" t="s">
        <v>61</v>
      </c>
      <c r="AE214" t="s">
        <v>522</v>
      </c>
      <c r="AF214" t="s">
        <v>979</v>
      </c>
      <c r="AG214" t="s">
        <v>980</v>
      </c>
      <c r="AH214" t="s">
        <v>980</v>
      </c>
      <c r="AI214" t="s">
        <v>1043</v>
      </c>
      <c r="AJ214" t="s">
        <v>373</v>
      </c>
      <c r="AK214" t="s">
        <v>374</v>
      </c>
      <c r="AL214" t="s">
        <v>1093</v>
      </c>
      <c r="AM214" t="s">
        <v>1094</v>
      </c>
      <c r="AN214" t="s">
        <v>118</v>
      </c>
      <c r="AO214" t="s">
        <v>71</v>
      </c>
      <c r="AP214" t="s">
        <v>544</v>
      </c>
      <c r="AQ214" t="s">
        <v>984</v>
      </c>
      <c r="AR214" t="s">
        <v>985</v>
      </c>
    </row>
    <row r="215" spans="1:44" x14ac:dyDescent="0.25">
      <c r="A215" t="s">
        <v>363</v>
      </c>
      <c r="B215" t="s">
        <v>1091</v>
      </c>
      <c r="C215" t="s">
        <v>44</v>
      </c>
      <c r="D215" t="s">
        <v>969</v>
      </c>
      <c r="E215" t="s">
        <v>970</v>
      </c>
      <c r="F215" t="s">
        <v>971</v>
      </c>
      <c r="G215" t="s">
        <v>987</v>
      </c>
      <c r="H215" t="s">
        <v>260</v>
      </c>
      <c r="I215" t="s">
        <v>261</v>
      </c>
      <c r="J215" t="s">
        <v>379</v>
      </c>
      <c r="K215" t="s">
        <v>380</v>
      </c>
      <c r="L215" t="s">
        <v>381</v>
      </c>
      <c r="M215" t="s">
        <v>1041</v>
      </c>
      <c r="N215" t="s">
        <v>54</v>
      </c>
      <c r="O215" t="s">
        <v>361</v>
      </c>
      <c r="P215" t="s">
        <v>382</v>
      </c>
      <c r="Q215" t="s">
        <v>179</v>
      </c>
      <c r="R215" s="3">
        <v>1.7999999999999999E-2</v>
      </c>
      <c r="S215" t="s">
        <v>23</v>
      </c>
      <c r="T215" t="s">
        <v>23</v>
      </c>
      <c r="U215" s="3">
        <v>0</v>
      </c>
      <c r="V215" t="s">
        <v>23</v>
      </c>
      <c r="W215" t="s">
        <v>23</v>
      </c>
      <c r="X215" s="3">
        <v>0</v>
      </c>
      <c r="Y215" s="3">
        <v>1.222</v>
      </c>
      <c r="Z215" t="s">
        <v>23</v>
      </c>
      <c r="AA215" t="s">
        <v>23</v>
      </c>
      <c r="AB215" t="s">
        <v>977</v>
      </c>
      <c r="AC215" t="s">
        <v>1092</v>
      </c>
      <c r="AD215" t="s">
        <v>61</v>
      </c>
      <c r="AE215" t="s">
        <v>522</v>
      </c>
      <c r="AF215" t="s">
        <v>979</v>
      </c>
      <c r="AG215" t="s">
        <v>980</v>
      </c>
      <c r="AH215" t="s">
        <v>980</v>
      </c>
      <c r="AI215" t="s">
        <v>1043</v>
      </c>
      <c r="AJ215" t="s">
        <v>373</v>
      </c>
      <c r="AK215" t="s">
        <v>374</v>
      </c>
      <c r="AL215" t="s">
        <v>1093</v>
      </c>
      <c r="AM215" t="s">
        <v>1094</v>
      </c>
      <c r="AN215" t="s">
        <v>118</v>
      </c>
      <c r="AO215" t="s">
        <v>71</v>
      </c>
      <c r="AP215" t="s">
        <v>544</v>
      </c>
      <c r="AQ215" t="s">
        <v>984</v>
      </c>
      <c r="AR215" t="s">
        <v>985</v>
      </c>
    </row>
    <row r="216" spans="1:44" x14ac:dyDescent="0.25">
      <c r="A216" t="s">
        <v>363</v>
      </c>
      <c r="B216" t="s">
        <v>1091</v>
      </c>
      <c r="C216" t="s">
        <v>44</v>
      </c>
      <c r="D216" t="s">
        <v>969</v>
      </c>
      <c r="E216" t="s">
        <v>970</v>
      </c>
      <c r="F216" t="s">
        <v>971</v>
      </c>
      <c r="G216" t="s">
        <v>987</v>
      </c>
      <c r="H216" t="s">
        <v>260</v>
      </c>
      <c r="I216" t="s">
        <v>261</v>
      </c>
      <c r="J216" t="s">
        <v>1095</v>
      </c>
      <c r="K216" t="s">
        <v>1096</v>
      </c>
      <c r="L216" t="s">
        <v>1097</v>
      </c>
      <c r="M216" t="s">
        <v>1041</v>
      </c>
      <c r="N216" t="s">
        <v>54</v>
      </c>
      <c r="O216" t="s">
        <v>75</v>
      </c>
      <c r="P216" t="s">
        <v>76</v>
      </c>
      <c r="Q216" t="s">
        <v>77</v>
      </c>
      <c r="R216" s="3">
        <v>0.01</v>
      </c>
      <c r="S216" t="s">
        <v>23</v>
      </c>
      <c r="T216" t="s">
        <v>23</v>
      </c>
      <c r="U216" s="3">
        <v>0</v>
      </c>
      <c r="V216" t="s">
        <v>23</v>
      </c>
      <c r="W216" t="s">
        <v>23</v>
      </c>
      <c r="X216" s="3">
        <v>0</v>
      </c>
      <c r="Y216" s="3">
        <v>1.222</v>
      </c>
      <c r="Z216" t="s">
        <v>23</v>
      </c>
      <c r="AA216" t="s">
        <v>23</v>
      </c>
      <c r="AB216" t="s">
        <v>977</v>
      </c>
      <c r="AC216" t="s">
        <v>1092</v>
      </c>
      <c r="AD216" t="s">
        <v>61</v>
      </c>
      <c r="AE216" t="s">
        <v>522</v>
      </c>
      <c r="AF216" t="s">
        <v>979</v>
      </c>
      <c r="AG216" t="s">
        <v>980</v>
      </c>
      <c r="AH216" t="s">
        <v>980</v>
      </c>
      <c r="AI216" t="s">
        <v>1043</v>
      </c>
      <c r="AJ216" t="s">
        <v>373</v>
      </c>
      <c r="AK216" t="s">
        <v>374</v>
      </c>
      <c r="AL216" t="s">
        <v>1093</v>
      </c>
      <c r="AM216" t="s">
        <v>1094</v>
      </c>
      <c r="AN216" t="s">
        <v>118</v>
      </c>
      <c r="AO216" t="s">
        <v>71</v>
      </c>
      <c r="AP216" t="s">
        <v>544</v>
      </c>
      <c r="AQ216" t="s">
        <v>984</v>
      </c>
      <c r="AR216" t="s">
        <v>985</v>
      </c>
    </row>
    <row r="217" spans="1:44" x14ac:dyDescent="0.25">
      <c r="A217" t="s">
        <v>363</v>
      </c>
      <c r="B217" t="s">
        <v>1091</v>
      </c>
      <c r="C217" t="s">
        <v>44</v>
      </c>
      <c r="D217" t="s">
        <v>969</v>
      </c>
      <c r="E217" t="s">
        <v>970</v>
      </c>
      <c r="F217" t="s">
        <v>971</v>
      </c>
      <c r="G217" t="s">
        <v>987</v>
      </c>
      <c r="H217" t="s">
        <v>260</v>
      </c>
      <c r="I217" t="s">
        <v>261</v>
      </c>
      <c r="J217" t="s">
        <v>993</v>
      </c>
      <c r="K217" t="s">
        <v>994</v>
      </c>
      <c r="L217" t="s">
        <v>995</v>
      </c>
      <c r="M217" t="s">
        <v>1041</v>
      </c>
      <c r="N217" t="s">
        <v>54</v>
      </c>
      <c r="O217" t="s">
        <v>75</v>
      </c>
      <c r="P217" t="s">
        <v>361</v>
      </c>
      <c r="Q217" t="s">
        <v>382</v>
      </c>
      <c r="R217" s="3">
        <v>6.0000000000000001E-3</v>
      </c>
      <c r="S217" t="s">
        <v>23</v>
      </c>
      <c r="T217" t="s">
        <v>23</v>
      </c>
      <c r="U217" s="3">
        <v>0</v>
      </c>
      <c r="V217" t="s">
        <v>23</v>
      </c>
      <c r="W217" t="s">
        <v>23</v>
      </c>
      <c r="X217" s="3">
        <v>0</v>
      </c>
      <c r="Y217" s="3">
        <v>1.222</v>
      </c>
      <c r="Z217" t="s">
        <v>23</v>
      </c>
      <c r="AA217" t="s">
        <v>23</v>
      </c>
      <c r="AB217" t="s">
        <v>977</v>
      </c>
      <c r="AC217" t="s">
        <v>1092</v>
      </c>
      <c r="AD217" t="s">
        <v>61</v>
      </c>
      <c r="AE217" t="s">
        <v>522</v>
      </c>
      <c r="AF217" t="s">
        <v>979</v>
      </c>
      <c r="AG217" t="s">
        <v>980</v>
      </c>
      <c r="AH217" t="s">
        <v>980</v>
      </c>
      <c r="AI217" t="s">
        <v>1043</v>
      </c>
      <c r="AJ217" t="s">
        <v>373</v>
      </c>
      <c r="AK217" t="s">
        <v>374</v>
      </c>
      <c r="AL217" t="s">
        <v>1093</v>
      </c>
      <c r="AM217" t="s">
        <v>1094</v>
      </c>
      <c r="AN217" t="s">
        <v>118</v>
      </c>
      <c r="AO217" t="s">
        <v>71</v>
      </c>
      <c r="AP217" t="s">
        <v>544</v>
      </c>
      <c r="AQ217" t="s">
        <v>984</v>
      </c>
      <c r="AR217" t="s">
        <v>985</v>
      </c>
    </row>
    <row r="218" spans="1:44" x14ac:dyDescent="0.25">
      <c r="A218" t="s">
        <v>363</v>
      </c>
      <c r="B218" t="s">
        <v>1091</v>
      </c>
      <c r="C218" t="s">
        <v>44</v>
      </c>
      <c r="D218" t="s">
        <v>969</v>
      </c>
      <c r="E218" t="s">
        <v>970</v>
      </c>
      <c r="F218" t="s">
        <v>971</v>
      </c>
      <c r="G218" t="s">
        <v>987</v>
      </c>
      <c r="H218" t="s">
        <v>260</v>
      </c>
      <c r="I218" t="s">
        <v>261</v>
      </c>
      <c r="J218" t="s">
        <v>387</v>
      </c>
      <c r="K218" t="s">
        <v>388</v>
      </c>
      <c r="L218" t="s">
        <v>389</v>
      </c>
      <c r="M218" t="s">
        <v>1041</v>
      </c>
      <c r="N218" t="s">
        <v>54</v>
      </c>
      <c r="O218" t="s">
        <v>75</v>
      </c>
      <c r="P218" t="s">
        <v>382</v>
      </c>
      <c r="Q218" t="s">
        <v>196</v>
      </c>
      <c r="R218" s="3">
        <v>1.2E-2</v>
      </c>
      <c r="S218" t="s">
        <v>23</v>
      </c>
      <c r="T218" t="s">
        <v>23</v>
      </c>
      <c r="U218" s="3">
        <v>0</v>
      </c>
      <c r="V218" t="s">
        <v>23</v>
      </c>
      <c r="W218" t="s">
        <v>23</v>
      </c>
      <c r="X218" s="3">
        <v>0</v>
      </c>
      <c r="Y218" s="3">
        <v>1.222</v>
      </c>
      <c r="Z218" t="s">
        <v>23</v>
      </c>
      <c r="AA218" t="s">
        <v>23</v>
      </c>
      <c r="AB218" t="s">
        <v>977</v>
      </c>
      <c r="AC218" t="s">
        <v>1092</v>
      </c>
      <c r="AD218" t="s">
        <v>61</v>
      </c>
      <c r="AE218" t="s">
        <v>522</v>
      </c>
      <c r="AF218" t="s">
        <v>979</v>
      </c>
      <c r="AG218" t="s">
        <v>980</v>
      </c>
      <c r="AH218" t="s">
        <v>980</v>
      </c>
      <c r="AI218" t="s">
        <v>1043</v>
      </c>
      <c r="AJ218" t="s">
        <v>373</v>
      </c>
      <c r="AK218" t="s">
        <v>374</v>
      </c>
      <c r="AL218" t="s">
        <v>1093</v>
      </c>
      <c r="AM218" t="s">
        <v>1094</v>
      </c>
      <c r="AN218" t="s">
        <v>118</v>
      </c>
      <c r="AO218" t="s">
        <v>71</v>
      </c>
      <c r="AP218" t="s">
        <v>544</v>
      </c>
      <c r="AQ218" t="s">
        <v>984</v>
      </c>
      <c r="AR218" t="s">
        <v>985</v>
      </c>
    </row>
    <row r="219" spans="1:44" x14ac:dyDescent="0.25">
      <c r="A219" t="s">
        <v>363</v>
      </c>
      <c r="B219" t="s">
        <v>1091</v>
      </c>
      <c r="C219" t="s">
        <v>44</v>
      </c>
      <c r="D219" t="s">
        <v>969</v>
      </c>
      <c r="E219" t="s">
        <v>970</v>
      </c>
      <c r="F219" t="s">
        <v>971</v>
      </c>
      <c r="G219" t="s">
        <v>987</v>
      </c>
      <c r="H219" t="s">
        <v>260</v>
      </c>
      <c r="I219" t="s">
        <v>261</v>
      </c>
      <c r="J219" t="s">
        <v>1023</v>
      </c>
      <c r="K219" t="s">
        <v>1024</v>
      </c>
      <c r="L219" t="s">
        <v>1025</v>
      </c>
      <c r="M219" t="s">
        <v>1041</v>
      </c>
      <c r="N219" t="s">
        <v>54</v>
      </c>
      <c r="O219" t="s">
        <v>75</v>
      </c>
      <c r="P219" t="s">
        <v>76</v>
      </c>
      <c r="Q219" t="s">
        <v>77</v>
      </c>
      <c r="R219" s="3">
        <v>0.01</v>
      </c>
      <c r="S219" t="s">
        <v>23</v>
      </c>
      <c r="T219" t="s">
        <v>23</v>
      </c>
      <c r="U219" s="3">
        <v>0</v>
      </c>
      <c r="V219" t="s">
        <v>23</v>
      </c>
      <c r="W219" t="s">
        <v>23</v>
      </c>
      <c r="X219" s="3">
        <v>0</v>
      </c>
      <c r="Y219" s="3">
        <v>1.222</v>
      </c>
      <c r="Z219" t="s">
        <v>23</v>
      </c>
      <c r="AA219" t="s">
        <v>23</v>
      </c>
      <c r="AB219" t="s">
        <v>977</v>
      </c>
      <c r="AC219" t="s">
        <v>1092</v>
      </c>
      <c r="AD219" t="s">
        <v>61</v>
      </c>
      <c r="AE219" t="s">
        <v>522</v>
      </c>
      <c r="AF219" t="s">
        <v>979</v>
      </c>
      <c r="AG219" t="s">
        <v>980</v>
      </c>
      <c r="AH219" t="s">
        <v>980</v>
      </c>
      <c r="AI219" t="s">
        <v>1043</v>
      </c>
      <c r="AJ219" t="s">
        <v>373</v>
      </c>
      <c r="AK219" t="s">
        <v>374</v>
      </c>
      <c r="AL219" t="s">
        <v>1093</v>
      </c>
      <c r="AM219" t="s">
        <v>1094</v>
      </c>
      <c r="AN219" t="s">
        <v>118</v>
      </c>
      <c r="AO219" t="s">
        <v>71</v>
      </c>
      <c r="AP219" t="s">
        <v>544</v>
      </c>
      <c r="AQ219" t="s">
        <v>984</v>
      </c>
      <c r="AR219" t="s">
        <v>985</v>
      </c>
    </row>
    <row r="220" spans="1:44" x14ac:dyDescent="0.25">
      <c r="A220" t="s">
        <v>101</v>
      </c>
      <c r="B220" t="s">
        <v>1098</v>
      </c>
      <c r="C220" t="s">
        <v>44</v>
      </c>
      <c r="D220" t="s">
        <v>969</v>
      </c>
      <c r="E220" t="s">
        <v>997</v>
      </c>
      <c r="F220" t="s">
        <v>971</v>
      </c>
      <c r="G220" t="s">
        <v>987</v>
      </c>
      <c r="H220" t="s">
        <v>260</v>
      </c>
      <c r="I220" t="s">
        <v>261</v>
      </c>
      <c r="J220" t="s">
        <v>1099</v>
      </c>
      <c r="K220" t="s">
        <v>1100</v>
      </c>
      <c r="L220" t="s">
        <v>1101</v>
      </c>
      <c r="M220" t="s">
        <v>1076</v>
      </c>
      <c r="N220" t="s">
        <v>54</v>
      </c>
      <c r="O220" t="s">
        <v>96</v>
      </c>
      <c r="P220" t="s">
        <v>76</v>
      </c>
      <c r="Q220" t="s">
        <v>76</v>
      </c>
      <c r="R220" s="3">
        <v>5.0000000000000001E-3</v>
      </c>
      <c r="S220" s="3">
        <v>1.2E-2</v>
      </c>
      <c r="T220" t="s">
        <v>23</v>
      </c>
      <c r="U220" t="s">
        <v>23</v>
      </c>
      <c r="V220" t="s">
        <v>23</v>
      </c>
      <c r="W220" t="s">
        <v>23</v>
      </c>
      <c r="X220" s="3">
        <v>0</v>
      </c>
      <c r="Y220" s="3">
        <v>1.222</v>
      </c>
      <c r="Z220" t="s">
        <v>23</v>
      </c>
      <c r="AA220" t="s">
        <v>23</v>
      </c>
      <c r="AB220" t="s">
        <v>977</v>
      </c>
      <c r="AC220" t="s">
        <v>1102</v>
      </c>
      <c r="AD220" t="s">
        <v>61</v>
      </c>
      <c r="AE220" t="s">
        <v>522</v>
      </c>
      <c r="AF220" t="s">
        <v>979</v>
      </c>
      <c r="AG220" t="s">
        <v>980</v>
      </c>
      <c r="AH220" t="s">
        <v>980</v>
      </c>
      <c r="AI220" t="s">
        <v>1103</v>
      </c>
      <c r="AJ220" t="s">
        <v>168</v>
      </c>
      <c r="AK220" t="s">
        <v>169</v>
      </c>
      <c r="AL220" t="s">
        <v>1104</v>
      </c>
      <c r="AM220" t="s">
        <v>1105</v>
      </c>
      <c r="AN220" t="s">
        <v>118</v>
      </c>
      <c r="AO220" t="s">
        <v>71</v>
      </c>
      <c r="AP220" t="s">
        <v>544</v>
      </c>
      <c r="AQ220" t="s">
        <v>984</v>
      </c>
      <c r="AR220" t="s">
        <v>985</v>
      </c>
    </row>
    <row r="221" spans="1:44" x14ac:dyDescent="0.25">
      <c r="A221" t="s">
        <v>101</v>
      </c>
      <c r="B221" t="s">
        <v>1098</v>
      </c>
      <c r="C221" t="s">
        <v>44</v>
      </c>
      <c r="D221" t="s">
        <v>969</v>
      </c>
      <c r="E221" t="s">
        <v>997</v>
      </c>
      <c r="F221" t="s">
        <v>971</v>
      </c>
      <c r="G221" t="s">
        <v>987</v>
      </c>
      <c r="H221" t="s">
        <v>260</v>
      </c>
      <c r="I221" t="s">
        <v>261</v>
      </c>
      <c r="J221" t="s">
        <v>1106</v>
      </c>
      <c r="K221" t="s">
        <v>1107</v>
      </c>
      <c r="L221" t="s">
        <v>1108</v>
      </c>
      <c r="M221" t="s">
        <v>1076</v>
      </c>
      <c r="N221" t="s">
        <v>54</v>
      </c>
      <c r="O221" t="s">
        <v>96</v>
      </c>
      <c r="P221" t="s">
        <v>1109</v>
      </c>
      <c r="Q221" t="s">
        <v>1109</v>
      </c>
      <c r="R221" s="3">
        <v>7.0000000000000001E-3</v>
      </c>
      <c r="S221" s="3">
        <v>0</v>
      </c>
      <c r="T221" t="s">
        <v>23</v>
      </c>
      <c r="U221" t="s">
        <v>23</v>
      </c>
      <c r="V221" t="s">
        <v>23</v>
      </c>
      <c r="W221" t="s">
        <v>23</v>
      </c>
      <c r="X221" s="3">
        <v>0</v>
      </c>
      <c r="Y221" s="3">
        <v>1.222</v>
      </c>
      <c r="Z221" t="s">
        <v>23</v>
      </c>
      <c r="AA221" t="s">
        <v>23</v>
      </c>
      <c r="AB221" t="s">
        <v>977</v>
      </c>
      <c r="AC221" t="s">
        <v>1102</v>
      </c>
      <c r="AD221" t="s">
        <v>61</v>
      </c>
      <c r="AE221" t="s">
        <v>522</v>
      </c>
      <c r="AF221" t="s">
        <v>979</v>
      </c>
      <c r="AG221" t="s">
        <v>980</v>
      </c>
      <c r="AH221" t="s">
        <v>980</v>
      </c>
      <c r="AI221" t="s">
        <v>1103</v>
      </c>
      <c r="AJ221" t="s">
        <v>168</v>
      </c>
      <c r="AK221" t="s">
        <v>169</v>
      </c>
      <c r="AL221" t="s">
        <v>1104</v>
      </c>
      <c r="AM221" t="s">
        <v>1105</v>
      </c>
      <c r="AN221" t="s">
        <v>118</v>
      </c>
      <c r="AO221" t="s">
        <v>71</v>
      </c>
      <c r="AP221" t="s">
        <v>544</v>
      </c>
      <c r="AQ221" t="s">
        <v>984</v>
      </c>
      <c r="AR221" t="s">
        <v>985</v>
      </c>
    </row>
    <row r="222" spans="1:44" x14ac:dyDescent="0.25">
      <c r="A222" t="s">
        <v>311</v>
      </c>
      <c r="B222" t="s">
        <v>1110</v>
      </c>
      <c r="C222" t="s">
        <v>44</v>
      </c>
      <c r="D222" t="s">
        <v>969</v>
      </c>
      <c r="E222" t="s">
        <v>1008</v>
      </c>
      <c r="F222" t="s">
        <v>971</v>
      </c>
      <c r="G222" t="s">
        <v>987</v>
      </c>
      <c r="H222" t="s">
        <v>260</v>
      </c>
      <c r="I222" t="s">
        <v>261</v>
      </c>
      <c r="J222" t="s">
        <v>1111</v>
      </c>
      <c r="K222" t="s">
        <v>1112</v>
      </c>
      <c r="L222" t="s">
        <v>1113</v>
      </c>
      <c r="M222" t="s">
        <v>1114</v>
      </c>
      <c r="N222" t="s">
        <v>54</v>
      </c>
      <c r="O222" t="s">
        <v>96</v>
      </c>
      <c r="P222" t="s">
        <v>1115</v>
      </c>
      <c r="Q222" t="s">
        <v>1115</v>
      </c>
      <c r="R222" s="3">
        <v>8.0000000000000002E-3</v>
      </c>
      <c r="S222" t="s">
        <v>23</v>
      </c>
      <c r="T222" t="s">
        <v>23</v>
      </c>
      <c r="U222" t="s">
        <v>23</v>
      </c>
      <c r="V222" t="s">
        <v>23</v>
      </c>
      <c r="W222" s="3">
        <v>8.0000000000000002E-3</v>
      </c>
      <c r="X222" s="3">
        <v>0</v>
      </c>
      <c r="Y222" s="3">
        <v>1.222</v>
      </c>
      <c r="Z222" t="s">
        <v>23</v>
      </c>
      <c r="AA222" t="s">
        <v>23</v>
      </c>
      <c r="AB222" t="s">
        <v>1014</v>
      </c>
      <c r="AC222" t="s">
        <v>1116</v>
      </c>
      <c r="AD222" t="s">
        <v>61</v>
      </c>
      <c r="AE222" t="s">
        <v>522</v>
      </c>
      <c r="AF222" t="s">
        <v>370</v>
      </c>
      <c r="AG222" t="s">
        <v>980</v>
      </c>
      <c r="AH222" t="s">
        <v>980</v>
      </c>
      <c r="AI222" t="s">
        <v>1083</v>
      </c>
      <c r="AJ222" t="s">
        <v>323</v>
      </c>
      <c r="AK222" t="s">
        <v>324</v>
      </c>
      <c r="AL222" t="s">
        <v>1117</v>
      </c>
      <c r="AM222" t="s">
        <v>1118</v>
      </c>
      <c r="AN222" t="s">
        <v>118</v>
      </c>
      <c r="AO222" t="s">
        <v>71</v>
      </c>
      <c r="AP222" t="s">
        <v>544</v>
      </c>
      <c r="AQ222" t="s">
        <v>984</v>
      </c>
      <c r="AR222" t="s">
        <v>985</v>
      </c>
    </row>
    <row r="223" spans="1:44" x14ac:dyDescent="0.25">
      <c r="A223" s="4" t="s">
        <v>23</v>
      </c>
      <c r="B223" s="4" t="s">
        <v>23</v>
      </c>
      <c r="C223" s="4" t="s">
        <v>23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5">
        <v>1.222</v>
      </c>
      <c r="S223" s="5">
        <v>0.93400000000000005</v>
      </c>
      <c r="T223" s="5">
        <v>0.06</v>
      </c>
      <c r="U223" s="5">
        <v>0.20699999999999999</v>
      </c>
      <c r="V223" s="4" t="s">
        <v>23</v>
      </c>
      <c r="W223" s="5">
        <v>2.1000000000000001E-2</v>
      </c>
      <c r="X223" s="5">
        <v>1.222</v>
      </c>
      <c r="Y223" s="5">
        <v>1.222</v>
      </c>
      <c r="Z223" s="4" t="s">
        <v>23</v>
      </c>
      <c r="AA223" s="4" t="s">
        <v>23</v>
      </c>
      <c r="AB223" s="4" t="s">
        <v>23</v>
      </c>
      <c r="AC223" s="4" t="s">
        <v>23</v>
      </c>
      <c r="AD223" s="4" t="s">
        <v>23</v>
      </c>
      <c r="AE223" s="4" t="s">
        <v>23</v>
      </c>
      <c r="AF223" s="4" t="s">
        <v>23</v>
      </c>
      <c r="AG223" s="4" t="s">
        <v>23</v>
      </c>
      <c r="AH223" s="4" t="s">
        <v>23</v>
      </c>
      <c r="AI223" s="4" t="s">
        <v>23</v>
      </c>
      <c r="AJ223" s="4" t="s">
        <v>23</v>
      </c>
      <c r="AK223" s="4" t="s">
        <v>23</v>
      </c>
      <c r="AL223" s="4" t="s">
        <v>23</v>
      </c>
      <c r="AM223" s="4" t="s">
        <v>23</v>
      </c>
      <c r="AN223" s="4" t="s">
        <v>23</v>
      </c>
      <c r="AO223" s="4" t="s">
        <v>23</v>
      </c>
      <c r="AP223" s="4" t="s">
        <v>23</v>
      </c>
      <c r="AQ223" s="4" t="s">
        <v>23</v>
      </c>
      <c r="AR223" s="4" t="s">
        <v>23</v>
      </c>
    </row>
    <row r="224" spans="1:44" x14ac:dyDescent="0.25">
      <c r="A224" t="s">
        <v>101</v>
      </c>
      <c r="B224" t="s">
        <v>1119</v>
      </c>
      <c r="C224" t="s">
        <v>44</v>
      </c>
      <c r="D224" t="s">
        <v>1120</v>
      </c>
      <c r="E224" t="s">
        <v>1047</v>
      </c>
      <c r="F224" t="s">
        <v>971</v>
      </c>
      <c r="G224" t="s">
        <v>972</v>
      </c>
      <c r="H224" t="s">
        <v>260</v>
      </c>
      <c r="I224" t="s">
        <v>261</v>
      </c>
      <c r="J224" t="s">
        <v>1121</v>
      </c>
      <c r="K224" t="s">
        <v>1122</v>
      </c>
      <c r="L224" t="s">
        <v>1123</v>
      </c>
      <c r="M224" t="s">
        <v>1124</v>
      </c>
      <c r="N224" t="s">
        <v>54</v>
      </c>
      <c r="O224" t="s">
        <v>75</v>
      </c>
      <c r="P224" t="s">
        <v>196</v>
      </c>
      <c r="Q224" t="s">
        <v>249</v>
      </c>
      <c r="R224" s="3">
        <v>2.4E-2</v>
      </c>
      <c r="S224" s="3">
        <v>1.304</v>
      </c>
      <c r="T224" t="s">
        <v>23</v>
      </c>
      <c r="U224" t="s">
        <v>23</v>
      </c>
      <c r="V224" t="s">
        <v>23</v>
      </c>
      <c r="W224" t="s">
        <v>23</v>
      </c>
      <c r="X224" s="3">
        <v>1.304</v>
      </c>
      <c r="Y224" s="3">
        <v>1.304</v>
      </c>
      <c r="Z224" t="s">
        <v>23</v>
      </c>
      <c r="AA224" t="s">
        <v>23</v>
      </c>
      <c r="AB224" t="s">
        <v>977</v>
      </c>
      <c r="AC224" t="s">
        <v>1125</v>
      </c>
      <c r="AD224" t="s">
        <v>61</v>
      </c>
      <c r="AE224" t="s">
        <v>522</v>
      </c>
      <c r="AF224" t="s">
        <v>979</v>
      </c>
      <c r="AG224" t="s">
        <v>1126</v>
      </c>
      <c r="AH224" t="s">
        <v>1126</v>
      </c>
      <c r="AI224" t="s">
        <v>1127</v>
      </c>
      <c r="AJ224" t="s">
        <v>190</v>
      </c>
      <c r="AK224" t="s">
        <v>191</v>
      </c>
      <c r="AL224" t="s">
        <v>1128</v>
      </c>
      <c r="AM224" t="s">
        <v>1129</v>
      </c>
      <c r="AN224" t="s">
        <v>118</v>
      </c>
      <c r="AO224" t="s">
        <v>71</v>
      </c>
      <c r="AP224" t="s">
        <v>544</v>
      </c>
      <c r="AQ224" t="s">
        <v>984</v>
      </c>
      <c r="AR224" t="s">
        <v>1130</v>
      </c>
    </row>
    <row r="225" spans="1:44" x14ac:dyDescent="0.25">
      <c r="A225" t="s">
        <v>101</v>
      </c>
      <c r="B225" t="s">
        <v>1119</v>
      </c>
      <c r="C225" t="s">
        <v>44</v>
      </c>
      <c r="D225" t="s">
        <v>1120</v>
      </c>
      <c r="E225" t="s">
        <v>1047</v>
      </c>
      <c r="F225" t="s">
        <v>971</v>
      </c>
      <c r="G225" t="s">
        <v>972</v>
      </c>
      <c r="H225" t="s">
        <v>260</v>
      </c>
      <c r="I225" t="s">
        <v>261</v>
      </c>
      <c r="J225" t="s">
        <v>237</v>
      </c>
      <c r="K225" t="s">
        <v>238</v>
      </c>
      <c r="L225" t="s">
        <v>239</v>
      </c>
      <c r="M225" t="s">
        <v>1124</v>
      </c>
      <c r="N225" t="s">
        <v>54</v>
      </c>
      <c r="O225" t="s">
        <v>1131</v>
      </c>
      <c r="P225" t="s">
        <v>207</v>
      </c>
      <c r="Q225" t="s">
        <v>1132</v>
      </c>
      <c r="R225" s="3">
        <v>1.28</v>
      </c>
      <c r="S225" s="3">
        <v>0</v>
      </c>
      <c r="T225" t="s">
        <v>23</v>
      </c>
      <c r="U225" t="s">
        <v>23</v>
      </c>
      <c r="V225" t="s">
        <v>23</v>
      </c>
      <c r="W225" t="s">
        <v>23</v>
      </c>
      <c r="X225" s="3">
        <v>0</v>
      </c>
      <c r="Y225" s="3">
        <v>1.304</v>
      </c>
      <c r="Z225" t="s">
        <v>23</v>
      </c>
      <c r="AA225" t="s">
        <v>23</v>
      </c>
      <c r="AB225" t="s">
        <v>977</v>
      </c>
      <c r="AC225" t="s">
        <v>1125</v>
      </c>
      <c r="AD225" t="s">
        <v>61</v>
      </c>
      <c r="AE225" t="s">
        <v>522</v>
      </c>
      <c r="AF225" t="s">
        <v>979</v>
      </c>
      <c r="AG225" t="s">
        <v>1126</v>
      </c>
      <c r="AH225" t="s">
        <v>1126</v>
      </c>
      <c r="AI225" t="s">
        <v>1127</v>
      </c>
      <c r="AJ225" t="s">
        <v>190</v>
      </c>
      <c r="AK225" t="s">
        <v>191</v>
      </c>
      <c r="AL225" t="s">
        <v>1128</v>
      </c>
      <c r="AM225" t="s">
        <v>1129</v>
      </c>
      <c r="AN225" t="s">
        <v>118</v>
      </c>
      <c r="AO225" t="s">
        <v>71</v>
      </c>
      <c r="AP225" t="s">
        <v>544</v>
      </c>
      <c r="AQ225" t="s">
        <v>984</v>
      </c>
      <c r="AR225" t="s">
        <v>1130</v>
      </c>
    </row>
    <row r="226" spans="1:44" x14ac:dyDescent="0.25">
      <c r="A226" s="4" t="s">
        <v>23</v>
      </c>
      <c r="B226" s="4" t="s">
        <v>23</v>
      </c>
      <c r="C226" s="4" t="s">
        <v>23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5">
        <v>1.304</v>
      </c>
      <c r="S226" s="5">
        <v>1.304</v>
      </c>
      <c r="T226" s="4" t="s">
        <v>23</v>
      </c>
      <c r="U226" s="4" t="s">
        <v>23</v>
      </c>
      <c r="V226" s="4" t="s">
        <v>23</v>
      </c>
      <c r="W226" s="4" t="s">
        <v>23</v>
      </c>
      <c r="X226" s="5">
        <v>1.304</v>
      </c>
      <c r="Y226" s="5">
        <v>1.304</v>
      </c>
      <c r="Z226" s="4" t="s">
        <v>23</v>
      </c>
      <c r="AA226" s="4" t="s">
        <v>23</v>
      </c>
      <c r="AB226" s="4" t="s">
        <v>23</v>
      </c>
      <c r="AC226" s="4" t="s">
        <v>23</v>
      </c>
      <c r="AD226" s="4" t="s">
        <v>23</v>
      </c>
      <c r="AE226" s="4" t="s">
        <v>23</v>
      </c>
      <c r="AF226" s="4" t="s">
        <v>23</v>
      </c>
      <c r="AG226" s="4" t="s">
        <v>23</v>
      </c>
      <c r="AH226" s="4" t="s">
        <v>23</v>
      </c>
      <c r="AI226" s="4" t="s">
        <v>23</v>
      </c>
      <c r="AJ226" s="4" t="s">
        <v>23</v>
      </c>
      <c r="AK226" s="4" t="s">
        <v>23</v>
      </c>
      <c r="AL226" s="4" t="s">
        <v>23</v>
      </c>
      <c r="AM226" s="4" t="s">
        <v>23</v>
      </c>
      <c r="AN226" s="4" t="s">
        <v>23</v>
      </c>
      <c r="AO226" s="4" t="s">
        <v>23</v>
      </c>
      <c r="AP226" s="4" t="s">
        <v>23</v>
      </c>
      <c r="AQ226" s="4" t="s">
        <v>23</v>
      </c>
      <c r="AR226" s="4" t="s">
        <v>23</v>
      </c>
    </row>
    <row r="227" spans="1:44" x14ac:dyDescent="0.25">
      <c r="A227" t="s">
        <v>101</v>
      </c>
      <c r="B227" t="s">
        <v>1133</v>
      </c>
      <c r="C227" t="s">
        <v>44</v>
      </c>
      <c r="D227" t="s">
        <v>1134</v>
      </c>
      <c r="E227" t="s">
        <v>706</v>
      </c>
      <c r="F227" t="s">
        <v>707</v>
      </c>
      <c r="G227" t="s">
        <v>708</v>
      </c>
      <c r="H227" t="s">
        <v>260</v>
      </c>
      <c r="I227" t="s">
        <v>261</v>
      </c>
      <c r="J227" t="s">
        <v>722</v>
      </c>
      <c r="K227" t="s">
        <v>723</v>
      </c>
      <c r="L227" t="s">
        <v>724</v>
      </c>
      <c r="M227" t="s">
        <v>709</v>
      </c>
      <c r="N227" t="s">
        <v>54</v>
      </c>
      <c r="O227" t="s">
        <v>106</v>
      </c>
      <c r="P227" t="s">
        <v>226</v>
      </c>
      <c r="Q227" t="s">
        <v>725</v>
      </c>
      <c r="R227" s="3">
        <v>0.14000000000000001</v>
      </c>
      <c r="S227" s="3">
        <v>0.17599999999999999</v>
      </c>
      <c r="T227" t="s">
        <v>23</v>
      </c>
      <c r="U227" t="s">
        <v>23</v>
      </c>
      <c r="V227" t="s">
        <v>23</v>
      </c>
      <c r="W227" t="s">
        <v>23</v>
      </c>
      <c r="X227" s="3">
        <v>1.847</v>
      </c>
      <c r="Y227" s="3">
        <v>1.847</v>
      </c>
      <c r="Z227" t="s">
        <v>23</v>
      </c>
      <c r="AA227" t="s">
        <v>1135</v>
      </c>
      <c r="AB227" t="s">
        <v>468</v>
      </c>
      <c r="AC227" t="s">
        <v>719</v>
      </c>
      <c r="AD227" t="s">
        <v>61</v>
      </c>
      <c r="AE227" t="s">
        <v>62</v>
      </c>
      <c r="AF227" t="s">
        <v>469</v>
      </c>
      <c r="AG227" t="s">
        <v>577</v>
      </c>
      <c r="AH227" t="s">
        <v>272</v>
      </c>
      <c r="AI227" t="s">
        <v>23</v>
      </c>
      <c r="AJ227" t="s">
        <v>190</v>
      </c>
      <c r="AK227" t="s">
        <v>191</v>
      </c>
      <c r="AL227" t="s">
        <v>1136</v>
      </c>
      <c r="AM227" t="s">
        <v>1137</v>
      </c>
      <c r="AN227" t="s">
        <v>118</v>
      </c>
      <c r="AO227" t="s">
        <v>71</v>
      </c>
      <c r="AP227" t="s">
        <v>544</v>
      </c>
      <c r="AQ227" t="s">
        <v>715</v>
      </c>
      <c r="AR227" t="s">
        <v>1138</v>
      </c>
    </row>
    <row r="228" spans="1:44" x14ac:dyDescent="0.25">
      <c r="A228" t="s">
        <v>101</v>
      </c>
      <c r="B228" t="s">
        <v>1133</v>
      </c>
      <c r="C228" t="s">
        <v>44</v>
      </c>
      <c r="D228" t="s">
        <v>1134</v>
      </c>
      <c r="E228" t="s">
        <v>706</v>
      </c>
      <c r="F228" t="s">
        <v>707</v>
      </c>
      <c r="G228" t="s">
        <v>708</v>
      </c>
      <c r="H228" t="s">
        <v>260</v>
      </c>
      <c r="I228" t="s">
        <v>261</v>
      </c>
      <c r="J228" t="s">
        <v>209</v>
      </c>
      <c r="K228" t="s">
        <v>210</v>
      </c>
      <c r="L228" t="s">
        <v>211</v>
      </c>
      <c r="M228" t="s">
        <v>709</v>
      </c>
      <c r="N228" t="s">
        <v>212</v>
      </c>
      <c r="O228" t="s">
        <v>122</v>
      </c>
      <c r="P228" t="s">
        <v>187</v>
      </c>
      <c r="Q228" t="s">
        <v>148</v>
      </c>
      <c r="R228" s="3">
        <v>3.5999999999999997E-2</v>
      </c>
      <c r="S228" s="3">
        <v>0</v>
      </c>
      <c r="T228" t="s">
        <v>23</v>
      </c>
      <c r="U228" t="s">
        <v>23</v>
      </c>
      <c r="V228" t="s">
        <v>23</v>
      </c>
      <c r="W228" t="s">
        <v>23</v>
      </c>
      <c r="X228" s="3">
        <v>0</v>
      </c>
      <c r="Y228" s="3">
        <v>1.847</v>
      </c>
      <c r="Z228" t="s">
        <v>23</v>
      </c>
      <c r="AA228" t="s">
        <v>1135</v>
      </c>
      <c r="AB228" t="s">
        <v>468</v>
      </c>
      <c r="AC228" t="s">
        <v>719</v>
      </c>
      <c r="AD228" t="s">
        <v>61</v>
      </c>
      <c r="AE228" t="s">
        <v>62</v>
      </c>
      <c r="AF228" t="s">
        <v>469</v>
      </c>
      <c r="AG228" t="s">
        <v>577</v>
      </c>
      <c r="AH228" t="s">
        <v>272</v>
      </c>
      <c r="AI228" t="s">
        <v>23</v>
      </c>
      <c r="AJ228" t="s">
        <v>190</v>
      </c>
      <c r="AK228" t="s">
        <v>191</v>
      </c>
      <c r="AL228" t="s">
        <v>1136</v>
      </c>
      <c r="AM228" t="s">
        <v>1137</v>
      </c>
      <c r="AN228" t="s">
        <v>118</v>
      </c>
      <c r="AO228" t="s">
        <v>71</v>
      </c>
      <c r="AP228" t="s">
        <v>544</v>
      </c>
      <c r="AQ228" t="s">
        <v>715</v>
      </c>
      <c r="AR228" t="s">
        <v>1138</v>
      </c>
    </row>
    <row r="229" spans="1:44" x14ac:dyDescent="0.25">
      <c r="A229" t="s">
        <v>363</v>
      </c>
      <c r="B229" t="s">
        <v>1133</v>
      </c>
      <c r="C229" t="s">
        <v>44</v>
      </c>
      <c r="D229" t="s">
        <v>1134</v>
      </c>
      <c r="E229" t="s">
        <v>706</v>
      </c>
      <c r="F229" t="s">
        <v>707</v>
      </c>
      <c r="G229" t="s">
        <v>708</v>
      </c>
      <c r="H229" t="s">
        <v>260</v>
      </c>
      <c r="I229" t="s">
        <v>261</v>
      </c>
      <c r="J229" t="s">
        <v>365</v>
      </c>
      <c r="K229" t="s">
        <v>366</v>
      </c>
      <c r="L229" t="s">
        <v>367</v>
      </c>
      <c r="M229" t="s">
        <v>709</v>
      </c>
      <c r="N229" t="s">
        <v>54</v>
      </c>
      <c r="O229" t="s">
        <v>164</v>
      </c>
      <c r="P229" t="s">
        <v>106</v>
      </c>
      <c r="Q229" t="s">
        <v>764</v>
      </c>
      <c r="R229" s="3">
        <v>0.2</v>
      </c>
      <c r="S229" t="s">
        <v>23</v>
      </c>
      <c r="T229" t="s">
        <v>23</v>
      </c>
      <c r="U229" s="3">
        <v>0.64800000000000002</v>
      </c>
      <c r="V229" t="s">
        <v>23</v>
      </c>
      <c r="W229" t="s">
        <v>23</v>
      </c>
      <c r="X229" s="3">
        <v>0</v>
      </c>
      <c r="Y229" s="3">
        <v>1.847</v>
      </c>
      <c r="Z229" t="s">
        <v>23</v>
      </c>
      <c r="AA229" t="s">
        <v>1135</v>
      </c>
      <c r="AB229" t="s">
        <v>473</v>
      </c>
      <c r="AC229" t="s">
        <v>719</v>
      </c>
      <c r="AD229" t="s">
        <v>61</v>
      </c>
      <c r="AE229" t="s">
        <v>62</v>
      </c>
      <c r="AF229" t="s">
        <v>474</v>
      </c>
      <c r="AG229" t="s">
        <v>577</v>
      </c>
      <c r="AH229" t="s">
        <v>272</v>
      </c>
      <c r="AI229" t="s">
        <v>23</v>
      </c>
      <c r="AJ229" t="s">
        <v>373</v>
      </c>
      <c r="AK229" t="s">
        <v>374</v>
      </c>
      <c r="AL229" t="s">
        <v>1136</v>
      </c>
      <c r="AM229" t="s">
        <v>1137</v>
      </c>
      <c r="AN229" t="s">
        <v>118</v>
      </c>
      <c r="AO229" t="s">
        <v>71</v>
      </c>
      <c r="AP229" t="s">
        <v>544</v>
      </c>
      <c r="AQ229" t="s">
        <v>715</v>
      </c>
      <c r="AR229" t="s">
        <v>1138</v>
      </c>
    </row>
    <row r="230" spans="1:44" x14ac:dyDescent="0.25">
      <c r="A230" t="s">
        <v>363</v>
      </c>
      <c r="B230" t="s">
        <v>1133</v>
      </c>
      <c r="C230" t="s">
        <v>44</v>
      </c>
      <c r="D230" t="s">
        <v>1134</v>
      </c>
      <c r="E230" t="s">
        <v>706</v>
      </c>
      <c r="F230" t="s">
        <v>707</v>
      </c>
      <c r="G230" t="s">
        <v>708</v>
      </c>
      <c r="H230" t="s">
        <v>260</v>
      </c>
      <c r="I230" t="s">
        <v>261</v>
      </c>
      <c r="J230" t="s">
        <v>470</v>
      </c>
      <c r="K230" t="s">
        <v>471</v>
      </c>
      <c r="L230" t="s">
        <v>472</v>
      </c>
      <c r="M230" t="s">
        <v>709</v>
      </c>
      <c r="N230" t="s">
        <v>54</v>
      </c>
      <c r="O230" t="s">
        <v>164</v>
      </c>
      <c r="P230" t="s">
        <v>106</v>
      </c>
      <c r="Q230" t="s">
        <v>764</v>
      </c>
      <c r="R230" s="3">
        <v>0.2</v>
      </c>
      <c r="S230" t="s">
        <v>23</v>
      </c>
      <c r="T230" t="s">
        <v>23</v>
      </c>
      <c r="U230" s="3">
        <v>0</v>
      </c>
      <c r="V230" t="s">
        <v>23</v>
      </c>
      <c r="W230" t="s">
        <v>23</v>
      </c>
      <c r="X230" s="3">
        <v>0</v>
      </c>
      <c r="Y230" s="3">
        <v>1.847</v>
      </c>
      <c r="Z230" t="s">
        <v>23</v>
      </c>
      <c r="AA230" t="s">
        <v>1135</v>
      </c>
      <c r="AB230" t="s">
        <v>473</v>
      </c>
      <c r="AC230" t="s">
        <v>719</v>
      </c>
      <c r="AD230" t="s">
        <v>61</v>
      </c>
      <c r="AE230" t="s">
        <v>62</v>
      </c>
      <c r="AF230" t="s">
        <v>474</v>
      </c>
      <c r="AG230" t="s">
        <v>577</v>
      </c>
      <c r="AH230" t="s">
        <v>272</v>
      </c>
      <c r="AI230" t="s">
        <v>23</v>
      </c>
      <c r="AJ230" t="s">
        <v>373</v>
      </c>
      <c r="AK230" t="s">
        <v>374</v>
      </c>
      <c r="AL230" t="s">
        <v>1136</v>
      </c>
      <c r="AM230" t="s">
        <v>1137</v>
      </c>
      <c r="AN230" t="s">
        <v>118</v>
      </c>
      <c r="AO230" t="s">
        <v>71</v>
      </c>
      <c r="AP230" t="s">
        <v>544</v>
      </c>
      <c r="AQ230" t="s">
        <v>715</v>
      </c>
      <c r="AR230" t="s">
        <v>1138</v>
      </c>
    </row>
    <row r="231" spans="1:44" x14ac:dyDescent="0.25">
      <c r="A231" t="s">
        <v>363</v>
      </c>
      <c r="B231" t="s">
        <v>1133</v>
      </c>
      <c r="C231" t="s">
        <v>44</v>
      </c>
      <c r="D231" t="s">
        <v>1134</v>
      </c>
      <c r="E231" t="s">
        <v>706</v>
      </c>
      <c r="F231" t="s">
        <v>707</v>
      </c>
      <c r="G231" t="s">
        <v>708</v>
      </c>
      <c r="H231" t="s">
        <v>260</v>
      </c>
      <c r="I231" t="s">
        <v>261</v>
      </c>
      <c r="J231" t="s">
        <v>616</v>
      </c>
      <c r="K231" t="s">
        <v>617</v>
      </c>
      <c r="L231" t="s">
        <v>618</v>
      </c>
      <c r="M231" t="s">
        <v>709</v>
      </c>
      <c r="N231" t="s">
        <v>54</v>
      </c>
      <c r="O231" t="s">
        <v>106</v>
      </c>
      <c r="P231" t="s">
        <v>76</v>
      </c>
      <c r="Q231" t="s">
        <v>353</v>
      </c>
      <c r="R231" s="3">
        <v>4.8000000000000001E-2</v>
      </c>
      <c r="S231" t="s">
        <v>23</v>
      </c>
      <c r="T231" t="s">
        <v>23</v>
      </c>
      <c r="U231" s="3">
        <v>0</v>
      </c>
      <c r="V231" t="s">
        <v>23</v>
      </c>
      <c r="W231" t="s">
        <v>23</v>
      </c>
      <c r="X231" s="3">
        <v>0</v>
      </c>
      <c r="Y231" s="3">
        <v>1.847</v>
      </c>
      <c r="Z231" t="s">
        <v>23</v>
      </c>
      <c r="AA231" t="s">
        <v>1135</v>
      </c>
      <c r="AB231" t="s">
        <v>473</v>
      </c>
      <c r="AC231" t="s">
        <v>719</v>
      </c>
      <c r="AD231" t="s">
        <v>61</v>
      </c>
      <c r="AE231" t="s">
        <v>62</v>
      </c>
      <c r="AF231" t="s">
        <v>474</v>
      </c>
      <c r="AG231" t="s">
        <v>577</v>
      </c>
      <c r="AH231" t="s">
        <v>272</v>
      </c>
      <c r="AI231" t="s">
        <v>23</v>
      </c>
      <c r="AJ231" t="s">
        <v>373</v>
      </c>
      <c r="AK231" t="s">
        <v>374</v>
      </c>
      <c r="AL231" t="s">
        <v>1136</v>
      </c>
      <c r="AM231" t="s">
        <v>1137</v>
      </c>
      <c r="AN231" t="s">
        <v>118</v>
      </c>
      <c r="AO231" t="s">
        <v>71</v>
      </c>
      <c r="AP231" t="s">
        <v>544</v>
      </c>
      <c r="AQ231" t="s">
        <v>715</v>
      </c>
      <c r="AR231" t="s">
        <v>1138</v>
      </c>
    </row>
    <row r="232" spans="1:44" x14ac:dyDescent="0.25">
      <c r="A232" t="s">
        <v>363</v>
      </c>
      <c r="B232" t="s">
        <v>1133</v>
      </c>
      <c r="C232" t="s">
        <v>44</v>
      </c>
      <c r="D232" t="s">
        <v>1134</v>
      </c>
      <c r="E232" t="s">
        <v>706</v>
      </c>
      <c r="F232" t="s">
        <v>707</v>
      </c>
      <c r="G232" t="s">
        <v>708</v>
      </c>
      <c r="H232" t="s">
        <v>260</v>
      </c>
      <c r="I232" t="s">
        <v>261</v>
      </c>
      <c r="J232" t="s">
        <v>475</v>
      </c>
      <c r="K232" t="s">
        <v>476</v>
      </c>
      <c r="L232" t="s">
        <v>477</v>
      </c>
      <c r="M232" t="s">
        <v>709</v>
      </c>
      <c r="N232" t="s">
        <v>54</v>
      </c>
      <c r="O232" t="s">
        <v>164</v>
      </c>
      <c r="P232" t="s">
        <v>106</v>
      </c>
      <c r="Q232" t="s">
        <v>764</v>
      </c>
      <c r="R232" s="3">
        <v>0.2</v>
      </c>
      <c r="S232" t="s">
        <v>23</v>
      </c>
      <c r="T232" t="s">
        <v>23</v>
      </c>
      <c r="U232" s="3">
        <v>0</v>
      </c>
      <c r="V232" t="s">
        <v>23</v>
      </c>
      <c r="W232" t="s">
        <v>23</v>
      </c>
      <c r="X232" s="3">
        <v>0</v>
      </c>
      <c r="Y232" s="3">
        <v>1.847</v>
      </c>
      <c r="Z232" t="s">
        <v>23</v>
      </c>
      <c r="AA232" t="s">
        <v>1135</v>
      </c>
      <c r="AB232" t="s">
        <v>473</v>
      </c>
      <c r="AC232" t="s">
        <v>719</v>
      </c>
      <c r="AD232" t="s">
        <v>61</v>
      </c>
      <c r="AE232" t="s">
        <v>62</v>
      </c>
      <c r="AF232" t="s">
        <v>474</v>
      </c>
      <c r="AG232" t="s">
        <v>577</v>
      </c>
      <c r="AH232" t="s">
        <v>272</v>
      </c>
      <c r="AI232" t="s">
        <v>23</v>
      </c>
      <c r="AJ232" t="s">
        <v>373</v>
      </c>
      <c r="AK232" t="s">
        <v>374</v>
      </c>
      <c r="AL232" t="s">
        <v>1136</v>
      </c>
      <c r="AM232" t="s">
        <v>1137</v>
      </c>
      <c r="AN232" t="s">
        <v>118</v>
      </c>
      <c r="AO232" t="s">
        <v>71</v>
      </c>
      <c r="AP232" t="s">
        <v>544</v>
      </c>
      <c r="AQ232" t="s">
        <v>715</v>
      </c>
      <c r="AR232" t="s">
        <v>1138</v>
      </c>
    </row>
    <row r="233" spans="1:44" x14ac:dyDescent="0.25">
      <c r="A233" t="s">
        <v>311</v>
      </c>
      <c r="B233" t="s">
        <v>1133</v>
      </c>
      <c r="C233" t="s">
        <v>44</v>
      </c>
      <c r="D233" t="s">
        <v>1134</v>
      </c>
      <c r="E233" t="s">
        <v>706</v>
      </c>
      <c r="F233" t="s">
        <v>707</v>
      </c>
      <c r="G233" t="s">
        <v>708</v>
      </c>
      <c r="H233" t="s">
        <v>260</v>
      </c>
      <c r="I233" t="s">
        <v>261</v>
      </c>
      <c r="J233" t="s">
        <v>1139</v>
      </c>
      <c r="K233" t="s">
        <v>1140</v>
      </c>
      <c r="L233" t="s">
        <v>1141</v>
      </c>
      <c r="M233" t="s">
        <v>709</v>
      </c>
      <c r="N233" t="s">
        <v>54</v>
      </c>
      <c r="O233" t="s">
        <v>106</v>
      </c>
      <c r="P233" t="s">
        <v>1142</v>
      </c>
      <c r="Q233" t="s">
        <v>1143</v>
      </c>
      <c r="R233" s="3">
        <v>0.17100000000000001</v>
      </c>
      <c r="S233" t="s">
        <v>23</v>
      </c>
      <c r="T233" t="s">
        <v>23</v>
      </c>
      <c r="U233" t="s">
        <v>23</v>
      </c>
      <c r="V233" t="s">
        <v>23</v>
      </c>
      <c r="W233" s="3">
        <v>1.0229999999999999</v>
      </c>
      <c r="X233" s="3">
        <v>0</v>
      </c>
      <c r="Y233" s="3">
        <v>1.847</v>
      </c>
      <c r="Z233" t="s">
        <v>23</v>
      </c>
      <c r="AA233" t="s">
        <v>1135</v>
      </c>
      <c r="AB233" t="s">
        <v>473</v>
      </c>
      <c r="AC233" t="s">
        <v>719</v>
      </c>
      <c r="AD233" t="s">
        <v>61</v>
      </c>
      <c r="AE233" t="s">
        <v>62</v>
      </c>
      <c r="AF233" t="s">
        <v>474</v>
      </c>
      <c r="AG233" t="s">
        <v>577</v>
      </c>
      <c r="AH233" t="s">
        <v>272</v>
      </c>
      <c r="AI233" t="s">
        <v>23</v>
      </c>
      <c r="AJ233" t="s">
        <v>323</v>
      </c>
      <c r="AK233" t="s">
        <v>324</v>
      </c>
      <c r="AL233" t="s">
        <v>1136</v>
      </c>
      <c r="AM233" t="s">
        <v>1137</v>
      </c>
      <c r="AN233" t="s">
        <v>118</v>
      </c>
      <c r="AO233" t="s">
        <v>71</v>
      </c>
      <c r="AP233" t="s">
        <v>544</v>
      </c>
      <c r="AQ233" t="s">
        <v>715</v>
      </c>
      <c r="AR233" t="s">
        <v>1138</v>
      </c>
    </row>
    <row r="234" spans="1:44" x14ac:dyDescent="0.25">
      <c r="A234" t="s">
        <v>311</v>
      </c>
      <c r="B234" t="s">
        <v>1133</v>
      </c>
      <c r="C234" t="s">
        <v>44</v>
      </c>
      <c r="D234" t="s">
        <v>1134</v>
      </c>
      <c r="E234" t="s">
        <v>706</v>
      </c>
      <c r="F234" t="s">
        <v>707</v>
      </c>
      <c r="G234" t="s">
        <v>708</v>
      </c>
      <c r="H234" t="s">
        <v>260</v>
      </c>
      <c r="I234" t="s">
        <v>261</v>
      </c>
      <c r="J234" t="s">
        <v>329</v>
      </c>
      <c r="K234" t="s">
        <v>330</v>
      </c>
      <c r="L234" t="s">
        <v>331</v>
      </c>
      <c r="M234" t="s">
        <v>709</v>
      </c>
      <c r="N234" t="s">
        <v>54</v>
      </c>
      <c r="O234" t="s">
        <v>178</v>
      </c>
      <c r="P234" t="s">
        <v>77</v>
      </c>
      <c r="Q234" t="s">
        <v>1144</v>
      </c>
      <c r="R234" s="3">
        <v>0.67200000000000004</v>
      </c>
      <c r="S234" t="s">
        <v>23</v>
      </c>
      <c r="T234" t="s">
        <v>23</v>
      </c>
      <c r="U234" t="s">
        <v>23</v>
      </c>
      <c r="V234" t="s">
        <v>23</v>
      </c>
      <c r="W234" s="3">
        <v>0</v>
      </c>
      <c r="X234" s="3">
        <v>0</v>
      </c>
      <c r="Y234" s="3">
        <v>1.847</v>
      </c>
      <c r="Z234" t="s">
        <v>23</v>
      </c>
      <c r="AA234" t="s">
        <v>1135</v>
      </c>
      <c r="AB234" t="s">
        <v>473</v>
      </c>
      <c r="AC234" t="s">
        <v>719</v>
      </c>
      <c r="AD234" t="s">
        <v>61</v>
      </c>
      <c r="AE234" t="s">
        <v>62</v>
      </c>
      <c r="AF234" t="s">
        <v>474</v>
      </c>
      <c r="AG234" t="s">
        <v>577</v>
      </c>
      <c r="AH234" t="s">
        <v>272</v>
      </c>
      <c r="AI234" t="s">
        <v>23</v>
      </c>
      <c r="AJ234" t="s">
        <v>323</v>
      </c>
      <c r="AK234" t="s">
        <v>324</v>
      </c>
      <c r="AL234" t="s">
        <v>1136</v>
      </c>
      <c r="AM234" t="s">
        <v>1137</v>
      </c>
      <c r="AN234" t="s">
        <v>118</v>
      </c>
      <c r="AO234" t="s">
        <v>71</v>
      </c>
      <c r="AP234" t="s">
        <v>544</v>
      </c>
      <c r="AQ234" t="s">
        <v>715</v>
      </c>
      <c r="AR234" t="s">
        <v>1138</v>
      </c>
    </row>
    <row r="235" spans="1:44" x14ac:dyDescent="0.25">
      <c r="A235" t="s">
        <v>311</v>
      </c>
      <c r="B235" t="s">
        <v>1133</v>
      </c>
      <c r="C235" t="s">
        <v>44</v>
      </c>
      <c r="D235" t="s">
        <v>1134</v>
      </c>
      <c r="E235" t="s">
        <v>706</v>
      </c>
      <c r="F235" t="s">
        <v>707</v>
      </c>
      <c r="G235" t="s">
        <v>708</v>
      </c>
      <c r="H235" t="s">
        <v>260</v>
      </c>
      <c r="I235" t="s">
        <v>261</v>
      </c>
      <c r="J235" t="s">
        <v>1145</v>
      </c>
      <c r="K235" t="s">
        <v>1146</v>
      </c>
      <c r="L235" t="s">
        <v>1147</v>
      </c>
      <c r="M235" t="s">
        <v>709</v>
      </c>
      <c r="N235" t="s">
        <v>54</v>
      </c>
      <c r="O235" t="s">
        <v>106</v>
      </c>
      <c r="P235" t="s">
        <v>1148</v>
      </c>
      <c r="Q235" t="s">
        <v>202</v>
      </c>
      <c r="R235" s="3">
        <v>0.16800000000000001</v>
      </c>
      <c r="S235" t="s">
        <v>23</v>
      </c>
      <c r="T235" t="s">
        <v>23</v>
      </c>
      <c r="U235" t="s">
        <v>23</v>
      </c>
      <c r="V235" t="s">
        <v>23</v>
      </c>
      <c r="W235" s="3">
        <v>0</v>
      </c>
      <c r="X235" s="3">
        <v>0</v>
      </c>
      <c r="Y235" s="3">
        <v>1.847</v>
      </c>
      <c r="Z235" t="s">
        <v>23</v>
      </c>
      <c r="AA235" t="s">
        <v>1135</v>
      </c>
      <c r="AB235" t="s">
        <v>473</v>
      </c>
      <c r="AC235" t="s">
        <v>719</v>
      </c>
      <c r="AD235" t="s">
        <v>61</v>
      </c>
      <c r="AE235" t="s">
        <v>62</v>
      </c>
      <c r="AF235" t="s">
        <v>474</v>
      </c>
      <c r="AG235" t="s">
        <v>577</v>
      </c>
      <c r="AH235" t="s">
        <v>272</v>
      </c>
      <c r="AI235" t="s">
        <v>23</v>
      </c>
      <c r="AJ235" t="s">
        <v>323</v>
      </c>
      <c r="AK235" t="s">
        <v>324</v>
      </c>
      <c r="AL235" t="s">
        <v>1136</v>
      </c>
      <c r="AM235" t="s">
        <v>1137</v>
      </c>
      <c r="AN235" t="s">
        <v>118</v>
      </c>
      <c r="AO235" t="s">
        <v>71</v>
      </c>
      <c r="AP235" t="s">
        <v>544</v>
      </c>
      <c r="AQ235" t="s">
        <v>715</v>
      </c>
      <c r="AR235" t="s">
        <v>1138</v>
      </c>
    </row>
    <row r="236" spans="1:44" x14ac:dyDescent="0.25">
      <c r="A236" t="s">
        <v>311</v>
      </c>
      <c r="B236" t="s">
        <v>1133</v>
      </c>
      <c r="C236" t="s">
        <v>44</v>
      </c>
      <c r="D236" t="s">
        <v>1134</v>
      </c>
      <c r="E236" t="s">
        <v>706</v>
      </c>
      <c r="F236" t="s">
        <v>707</v>
      </c>
      <c r="G236" t="s">
        <v>708</v>
      </c>
      <c r="H236" t="s">
        <v>260</v>
      </c>
      <c r="I236" t="s">
        <v>261</v>
      </c>
      <c r="J236" t="s">
        <v>1149</v>
      </c>
      <c r="K236" t="s">
        <v>1150</v>
      </c>
      <c r="L236" t="s">
        <v>1151</v>
      </c>
      <c r="M236" t="s">
        <v>709</v>
      </c>
      <c r="N236" t="s">
        <v>54</v>
      </c>
      <c r="O236" t="s">
        <v>96</v>
      </c>
      <c r="P236" t="s">
        <v>196</v>
      </c>
      <c r="Q236" t="s">
        <v>196</v>
      </c>
      <c r="R236" s="3">
        <v>1.2E-2</v>
      </c>
      <c r="S236" t="s">
        <v>23</v>
      </c>
      <c r="T236" t="s">
        <v>23</v>
      </c>
      <c r="U236" t="s">
        <v>23</v>
      </c>
      <c r="V236" t="s">
        <v>23</v>
      </c>
      <c r="W236" s="3">
        <v>0</v>
      </c>
      <c r="X236" s="3">
        <v>0</v>
      </c>
      <c r="Y236" s="3">
        <v>1.847</v>
      </c>
      <c r="Z236" t="s">
        <v>23</v>
      </c>
      <c r="AA236" t="s">
        <v>1135</v>
      </c>
      <c r="AB236" t="s">
        <v>473</v>
      </c>
      <c r="AC236" t="s">
        <v>719</v>
      </c>
      <c r="AD236" t="s">
        <v>61</v>
      </c>
      <c r="AE236" t="s">
        <v>62</v>
      </c>
      <c r="AF236" t="s">
        <v>474</v>
      </c>
      <c r="AG236" t="s">
        <v>577</v>
      </c>
      <c r="AH236" t="s">
        <v>272</v>
      </c>
      <c r="AI236" t="s">
        <v>23</v>
      </c>
      <c r="AJ236" t="s">
        <v>323</v>
      </c>
      <c r="AK236" t="s">
        <v>324</v>
      </c>
      <c r="AL236" t="s">
        <v>1136</v>
      </c>
      <c r="AM236" t="s">
        <v>1137</v>
      </c>
      <c r="AN236" t="s">
        <v>118</v>
      </c>
      <c r="AO236" t="s">
        <v>71</v>
      </c>
      <c r="AP236" t="s">
        <v>544</v>
      </c>
      <c r="AQ236" t="s">
        <v>715</v>
      </c>
      <c r="AR236" t="s">
        <v>1138</v>
      </c>
    </row>
    <row r="237" spans="1:44" x14ac:dyDescent="0.25">
      <c r="A237" s="4" t="s">
        <v>23</v>
      </c>
      <c r="B237" s="4" t="s">
        <v>23</v>
      </c>
      <c r="C237" s="4" t="s">
        <v>23</v>
      </c>
      <c r="D237" s="4" t="s">
        <v>23</v>
      </c>
      <c r="E237" s="4" t="s">
        <v>23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5">
        <v>1.847</v>
      </c>
      <c r="S237" s="5">
        <v>0.17599999999999999</v>
      </c>
      <c r="T237" s="4" t="s">
        <v>23</v>
      </c>
      <c r="U237" s="5">
        <v>0.64800000000000002</v>
      </c>
      <c r="V237" s="4" t="s">
        <v>23</v>
      </c>
      <c r="W237" s="5">
        <v>1.0229999999999999</v>
      </c>
      <c r="X237" s="5">
        <v>1.847</v>
      </c>
      <c r="Y237" s="5">
        <v>1.847</v>
      </c>
      <c r="Z237" s="4" t="s">
        <v>23</v>
      </c>
      <c r="AA237" s="4" t="s">
        <v>23</v>
      </c>
      <c r="AB237" s="4" t="s">
        <v>23</v>
      </c>
      <c r="AC237" s="4" t="s">
        <v>23</v>
      </c>
      <c r="AD237" s="4" t="s">
        <v>23</v>
      </c>
      <c r="AE237" s="4" t="s">
        <v>23</v>
      </c>
      <c r="AF237" s="4" t="s">
        <v>23</v>
      </c>
      <c r="AG237" s="4" t="s">
        <v>23</v>
      </c>
      <c r="AH237" s="4" t="s">
        <v>23</v>
      </c>
      <c r="AI237" s="4" t="s">
        <v>23</v>
      </c>
      <c r="AJ237" s="4" t="s">
        <v>23</v>
      </c>
      <c r="AK237" s="4" t="s">
        <v>23</v>
      </c>
      <c r="AL237" s="4" t="s">
        <v>23</v>
      </c>
      <c r="AM237" s="4" t="s">
        <v>23</v>
      </c>
      <c r="AN237" s="4" t="s">
        <v>23</v>
      </c>
      <c r="AO237" s="4" t="s">
        <v>23</v>
      </c>
      <c r="AP237" s="4" t="s">
        <v>23</v>
      </c>
      <c r="AQ237" s="4" t="s">
        <v>23</v>
      </c>
      <c r="AR237" s="4" t="s">
        <v>23</v>
      </c>
    </row>
    <row r="238" spans="1:44" x14ac:dyDescent="0.25">
      <c r="A238" t="s">
        <v>311</v>
      </c>
      <c r="B238" t="s">
        <v>1152</v>
      </c>
      <c r="C238" t="s">
        <v>44</v>
      </c>
      <c r="D238" t="s">
        <v>1153</v>
      </c>
      <c r="E238" t="s">
        <v>1154</v>
      </c>
      <c r="F238" t="s">
        <v>1155</v>
      </c>
      <c r="G238" t="s">
        <v>1156</v>
      </c>
      <c r="H238" t="s">
        <v>260</v>
      </c>
      <c r="I238" t="s">
        <v>261</v>
      </c>
      <c r="J238" t="s">
        <v>660</v>
      </c>
      <c r="K238" t="s">
        <v>661</v>
      </c>
      <c r="L238" t="s">
        <v>662</v>
      </c>
      <c r="M238" t="s">
        <v>1157</v>
      </c>
      <c r="N238" t="s">
        <v>54</v>
      </c>
      <c r="O238" t="s">
        <v>75</v>
      </c>
      <c r="P238" t="s">
        <v>77</v>
      </c>
      <c r="Q238" t="s">
        <v>81</v>
      </c>
      <c r="R238" s="3">
        <v>1.9E-2</v>
      </c>
      <c r="S238" t="s">
        <v>23</v>
      </c>
      <c r="T238" t="s">
        <v>23</v>
      </c>
      <c r="U238" t="s">
        <v>23</v>
      </c>
      <c r="V238" t="s">
        <v>23</v>
      </c>
      <c r="W238" s="3">
        <v>0.17899999999999999</v>
      </c>
      <c r="X238" s="3">
        <v>1.1619999999999999</v>
      </c>
      <c r="Y238" s="3">
        <v>1.1619999999999999</v>
      </c>
      <c r="Z238" t="s">
        <v>23</v>
      </c>
      <c r="AA238" t="s">
        <v>23</v>
      </c>
      <c r="AB238" t="s">
        <v>1014</v>
      </c>
      <c r="AC238" t="s">
        <v>1158</v>
      </c>
      <c r="AD238" t="s">
        <v>61</v>
      </c>
      <c r="AE238" t="s">
        <v>522</v>
      </c>
      <c r="AF238" t="s">
        <v>370</v>
      </c>
      <c r="AG238" t="s">
        <v>980</v>
      </c>
      <c r="AH238" t="s">
        <v>980</v>
      </c>
      <c r="AI238" t="s">
        <v>1159</v>
      </c>
      <c r="AJ238" t="s">
        <v>323</v>
      </c>
      <c r="AK238" t="s">
        <v>324</v>
      </c>
      <c r="AL238" t="s">
        <v>1160</v>
      </c>
      <c r="AM238" t="s">
        <v>1161</v>
      </c>
      <c r="AN238" t="s">
        <v>118</v>
      </c>
      <c r="AO238" t="s">
        <v>71</v>
      </c>
      <c r="AP238" t="s">
        <v>1162</v>
      </c>
      <c r="AQ238" t="s">
        <v>1163</v>
      </c>
      <c r="AR238" t="s">
        <v>1164</v>
      </c>
    </row>
    <row r="239" spans="1:44" x14ac:dyDescent="0.25">
      <c r="A239" t="s">
        <v>311</v>
      </c>
      <c r="B239" t="s">
        <v>1152</v>
      </c>
      <c r="C239" t="s">
        <v>44</v>
      </c>
      <c r="D239" t="s">
        <v>1153</v>
      </c>
      <c r="E239" t="s">
        <v>1154</v>
      </c>
      <c r="F239" t="s">
        <v>1155</v>
      </c>
      <c r="G239" t="s">
        <v>1156</v>
      </c>
      <c r="H239" t="s">
        <v>260</v>
      </c>
      <c r="I239" t="s">
        <v>261</v>
      </c>
      <c r="J239" t="s">
        <v>1009</v>
      </c>
      <c r="K239" t="s">
        <v>1010</v>
      </c>
      <c r="L239" t="s">
        <v>1011</v>
      </c>
      <c r="M239" t="s">
        <v>1157</v>
      </c>
      <c r="N239" t="s">
        <v>54</v>
      </c>
      <c r="O239" t="s">
        <v>75</v>
      </c>
      <c r="P239" t="s">
        <v>1013</v>
      </c>
      <c r="Q239" t="s">
        <v>1165</v>
      </c>
      <c r="R239" s="3">
        <v>2.7E-2</v>
      </c>
      <c r="S239" t="s">
        <v>23</v>
      </c>
      <c r="T239" t="s">
        <v>23</v>
      </c>
      <c r="U239" t="s">
        <v>23</v>
      </c>
      <c r="V239" t="s">
        <v>23</v>
      </c>
      <c r="W239" s="3">
        <v>0</v>
      </c>
      <c r="X239" s="3">
        <v>0</v>
      </c>
      <c r="Y239" s="3">
        <v>1.1619999999999999</v>
      </c>
      <c r="Z239" t="s">
        <v>23</v>
      </c>
      <c r="AA239" t="s">
        <v>23</v>
      </c>
      <c r="AB239" t="s">
        <v>1014</v>
      </c>
      <c r="AC239" t="s">
        <v>1158</v>
      </c>
      <c r="AD239" t="s">
        <v>61</v>
      </c>
      <c r="AE239" t="s">
        <v>522</v>
      </c>
      <c r="AF239" t="s">
        <v>370</v>
      </c>
      <c r="AG239" t="s">
        <v>980</v>
      </c>
      <c r="AH239" t="s">
        <v>980</v>
      </c>
      <c r="AI239" t="s">
        <v>1159</v>
      </c>
      <c r="AJ239" t="s">
        <v>323</v>
      </c>
      <c r="AK239" t="s">
        <v>324</v>
      </c>
      <c r="AL239" t="s">
        <v>1160</v>
      </c>
      <c r="AM239" t="s">
        <v>1161</v>
      </c>
      <c r="AN239" t="s">
        <v>118</v>
      </c>
      <c r="AO239" t="s">
        <v>567</v>
      </c>
      <c r="AP239" t="s">
        <v>1162</v>
      </c>
      <c r="AQ239" t="s">
        <v>1163</v>
      </c>
      <c r="AR239" t="s">
        <v>1164</v>
      </c>
    </row>
    <row r="240" spans="1:44" x14ac:dyDescent="0.25">
      <c r="A240" t="s">
        <v>311</v>
      </c>
      <c r="B240" t="s">
        <v>1152</v>
      </c>
      <c r="C240" t="s">
        <v>44</v>
      </c>
      <c r="D240" t="s">
        <v>1153</v>
      </c>
      <c r="E240" t="s">
        <v>1154</v>
      </c>
      <c r="F240" t="s">
        <v>1155</v>
      </c>
      <c r="G240" t="s">
        <v>1156</v>
      </c>
      <c r="H240" t="s">
        <v>260</v>
      </c>
      <c r="I240" t="s">
        <v>261</v>
      </c>
      <c r="J240" t="s">
        <v>1009</v>
      </c>
      <c r="K240" t="s">
        <v>1010</v>
      </c>
      <c r="L240" t="s">
        <v>1011</v>
      </c>
      <c r="M240" t="s">
        <v>1157</v>
      </c>
      <c r="N240" t="s">
        <v>54</v>
      </c>
      <c r="O240" t="s">
        <v>122</v>
      </c>
      <c r="P240" t="s">
        <v>1013</v>
      </c>
      <c r="Q240" t="s">
        <v>1166</v>
      </c>
      <c r="R240" s="3">
        <v>5.3999999999999999E-2</v>
      </c>
      <c r="S240" t="s">
        <v>23</v>
      </c>
      <c r="T240" t="s">
        <v>23</v>
      </c>
      <c r="U240" t="s">
        <v>23</v>
      </c>
      <c r="V240" t="s">
        <v>23</v>
      </c>
      <c r="W240" s="3">
        <v>0</v>
      </c>
      <c r="X240" s="3">
        <v>0</v>
      </c>
      <c r="Y240" s="3">
        <v>1.1619999999999999</v>
      </c>
      <c r="Z240" t="s">
        <v>23</v>
      </c>
      <c r="AA240" t="s">
        <v>23</v>
      </c>
      <c r="AB240" t="s">
        <v>1014</v>
      </c>
      <c r="AC240" t="s">
        <v>1158</v>
      </c>
      <c r="AD240" t="s">
        <v>61</v>
      </c>
      <c r="AE240" t="s">
        <v>522</v>
      </c>
      <c r="AF240" t="s">
        <v>370</v>
      </c>
      <c r="AG240" t="s">
        <v>980</v>
      </c>
      <c r="AH240" t="s">
        <v>980</v>
      </c>
      <c r="AI240" t="s">
        <v>1159</v>
      </c>
      <c r="AJ240" t="s">
        <v>323</v>
      </c>
      <c r="AK240" t="s">
        <v>324</v>
      </c>
      <c r="AL240" t="s">
        <v>1160</v>
      </c>
      <c r="AM240" t="s">
        <v>1161</v>
      </c>
      <c r="AN240" t="s">
        <v>118</v>
      </c>
      <c r="AO240" t="s">
        <v>71</v>
      </c>
      <c r="AP240" t="s">
        <v>1162</v>
      </c>
      <c r="AQ240" t="s">
        <v>1163</v>
      </c>
      <c r="AR240" t="s">
        <v>1164</v>
      </c>
    </row>
    <row r="241" spans="1:44" x14ac:dyDescent="0.25">
      <c r="A241" t="s">
        <v>311</v>
      </c>
      <c r="B241" t="s">
        <v>1152</v>
      </c>
      <c r="C241" t="s">
        <v>44</v>
      </c>
      <c r="D241" t="s">
        <v>1153</v>
      </c>
      <c r="E241" t="s">
        <v>1154</v>
      </c>
      <c r="F241" t="s">
        <v>1155</v>
      </c>
      <c r="G241" t="s">
        <v>1156</v>
      </c>
      <c r="H241" t="s">
        <v>260</v>
      </c>
      <c r="I241" t="s">
        <v>261</v>
      </c>
      <c r="J241" t="s">
        <v>1167</v>
      </c>
      <c r="K241" t="s">
        <v>1168</v>
      </c>
      <c r="L241" t="s">
        <v>1169</v>
      </c>
      <c r="M241" t="s">
        <v>1157</v>
      </c>
      <c r="N241" t="s">
        <v>54</v>
      </c>
      <c r="O241" t="s">
        <v>361</v>
      </c>
      <c r="P241" t="s">
        <v>649</v>
      </c>
      <c r="Q241" t="s">
        <v>1170</v>
      </c>
      <c r="R241" s="3">
        <v>1.7000000000000001E-2</v>
      </c>
      <c r="S241" t="s">
        <v>23</v>
      </c>
      <c r="T241" t="s">
        <v>23</v>
      </c>
      <c r="U241" t="s">
        <v>23</v>
      </c>
      <c r="V241" t="s">
        <v>23</v>
      </c>
      <c r="W241" s="3">
        <v>0</v>
      </c>
      <c r="X241" s="3">
        <v>0</v>
      </c>
      <c r="Y241" s="3">
        <v>1.1619999999999999</v>
      </c>
      <c r="Z241" t="s">
        <v>23</v>
      </c>
      <c r="AA241" t="s">
        <v>23</v>
      </c>
      <c r="AB241" t="s">
        <v>1014</v>
      </c>
      <c r="AC241" t="s">
        <v>1158</v>
      </c>
      <c r="AD241" t="s">
        <v>61</v>
      </c>
      <c r="AE241" t="s">
        <v>522</v>
      </c>
      <c r="AF241" t="s">
        <v>370</v>
      </c>
      <c r="AG241" t="s">
        <v>980</v>
      </c>
      <c r="AH241" t="s">
        <v>980</v>
      </c>
      <c r="AI241" t="s">
        <v>1159</v>
      </c>
      <c r="AJ241" t="s">
        <v>323</v>
      </c>
      <c r="AK241" t="s">
        <v>324</v>
      </c>
      <c r="AL241" t="s">
        <v>1160</v>
      </c>
      <c r="AM241" t="s">
        <v>1161</v>
      </c>
      <c r="AN241" t="s">
        <v>118</v>
      </c>
      <c r="AO241" t="s">
        <v>567</v>
      </c>
      <c r="AP241" t="s">
        <v>1162</v>
      </c>
      <c r="AQ241" t="s">
        <v>1163</v>
      </c>
      <c r="AR241" t="s">
        <v>1164</v>
      </c>
    </row>
    <row r="242" spans="1:44" x14ac:dyDescent="0.25">
      <c r="A242" t="s">
        <v>311</v>
      </c>
      <c r="B242" t="s">
        <v>1152</v>
      </c>
      <c r="C242" t="s">
        <v>44</v>
      </c>
      <c r="D242" t="s">
        <v>1153</v>
      </c>
      <c r="E242" t="s">
        <v>1154</v>
      </c>
      <c r="F242" t="s">
        <v>1155</v>
      </c>
      <c r="G242" t="s">
        <v>1156</v>
      </c>
      <c r="H242" t="s">
        <v>260</v>
      </c>
      <c r="I242" t="s">
        <v>261</v>
      </c>
      <c r="J242" t="s">
        <v>1167</v>
      </c>
      <c r="K242" t="s">
        <v>1168</v>
      </c>
      <c r="L242" t="s">
        <v>1169</v>
      </c>
      <c r="M242" t="s">
        <v>1157</v>
      </c>
      <c r="N242" t="s">
        <v>54</v>
      </c>
      <c r="O242" t="s">
        <v>382</v>
      </c>
      <c r="P242" t="s">
        <v>649</v>
      </c>
      <c r="Q242" t="s">
        <v>1171</v>
      </c>
      <c r="R242" s="3">
        <v>3.3000000000000002E-2</v>
      </c>
      <c r="S242" t="s">
        <v>23</v>
      </c>
      <c r="T242" t="s">
        <v>23</v>
      </c>
      <c r="U242" t="s">
        <v>23</v>
      </c>
      <c r="V242" t="s">
        <v>23</v>
      </c>
      <c r="W242" s="3">
        <v>0</v>
      </c>
      <c r="X242" s="3">
        <v>0</v>
      </c>
      <c r="Y242" s="3">
        <v>1.1619999999999999</v>
      </c>
      <c r="Z242" t="s">
        <v>23</v>
      </c>
      <c r="AA242" t="s">
        <v>23</v>
      </c>
      <c r="AB242" t="s">
        <v>1014</v>
      </c>
      <c r="AC242" t="s">
        <v>1158</v>
      </c>
      <c r="AD242" t="s">
        <v>61</v>
      </c>
      <c r="AE242" t="s">
        <v>522</v>
      </c>
      <c r="AF242" t="s">
        <v>370</v>
      </c>
      <c r="AG242" t="s">
        <v>980</v>
      </c>
      <c r="AH242" t="s">
        <v>980</v>
      </c>
      <c r="AI242" t="s">
        <v>1159</v>
      </c>
      <c r="AJ242" t="s">
        <v>323</v>
      </c>
      <c r="AK242" t="s">
        <v>324</v>
      </c>
      <c r="AL242" t="s">
        <v>1160</v>
      </c>
      <c r="AM242" t="s">
        <v>1161</v>
      </c>
      <c r="AN242" t="s">
        <v>118</v>
      </c>
      <c r="AO242" t="s">
        <v>71</v>
      </c>
      <c r="AP242" t="s">
        <v>1162</v>
      </c>
      <c r="AQ242" t="s">
        <v>1163</v>
      </c>
      <c r="AR242" t="s">
        <v>1164</v>
      </c>
    </row>
    <row r="243" spans="1:44" x14ac:dyDescent="0.25">
      <c r="A243" t="s">
        <v>311</v>
      </c>
      <c r="B243" t="s">
        <v>1152</v>
      </c>
      <c r="C243" t="s">
        <v>44</v>
      </c>
      <c r="D243" t="s">
        <v>1153</v>
      </c>
      <c r="E243" t="s">
        <v>1154</v>
      </c>
      <c r="F243" t="s">
        <v>1155</v>
      </c>
      <c r="G243" t="s">
        <v>1156</v>
      </c>
      <c r="H243" t="s">
        <v>260</v>
      </c>
      <c r="I243" t="s">
        <v>261</v>
      </c>
      <c r="J243" t="s">
        <v>1172</v>
      </c>
      <c r="K243" t="s">
        <v>1173</v>
      </c>
      <c r="L243" t="s">
        <v>1174</v>
      </c>
      <c r="M243" t="s">
        <v>1157</v>
      </c>
      <c r="N243" t="s">
        <v>54</v>
      </c>
      <c r="O243" t="s">
        <v>361</v>
      </c>
      <c r="P243" t="s">
        <v>1175</v>
      </c>
      <c r="Q243" t="s">
        <v>1176</v>
      </c>
      <c r="R243" s="3">
        <v>2.9000000000000001E-2</v>
      </c>
      <c r="S243" t="s">
        <v>23</v>
      </c>
      <c r="T243" t="s">
        <v>23</v>
      </c>
      <c r="U243" t="s">
        <v>23</v>
      </c>
      <c r="V243" t="s">
        <v>23</v>
      </c>
      <c r="W243" s="3">
        <v>0</v>
      </c>
      <c r="X243" s="3">
        <v>0</v>
      </c>
      <c r="Y243" s="3">
        <v>1.1619999999999999</v>
      </c>
      <c r="Z243" t="s">
        <v>23</v>
      </c>
      <c r="AA243" t="s">
        <v>23</v>
      </c>
      <c r="AB243" t="s">
        <v>1014</v>
      </c>
      <c r="AC243" t="s">
        <v>1158</v>
      </c>
      <c r="AD243" t="s">
        <v>61</v>
      </c>
      <c r="AE243" t="s">
        <v>522</v>
      </c>
      <c r="AF243" t="s">
        <v>370</v>
      </c>
      <c r="AG243" t="s">
        <v>980</v>
      </c>
      <c r="AH243" t="s">
        <v>980</v>
      </c>
      <c r="AI243" t="s">
        <v>1159</v>
      </c>
      <c r="AJ243" t="s">
        <v>323</v>
      </c>
      <c r="AK243" t="s">
        <v>324</v>
      </c>
      <c r="AL243" t="s">
        <v>1160</v>
      </c>
      <c r="AM243" t="s">
        <v>1161</v>
      </c>
      <c r="AN243" t="s">
        <v>118</v>
      </c>
      <c r="AO243" t="s">
        <v>71</v>
      </c>
      <c r="AP243" t="s">
        <v>1162</v>
      </c>
      <c r="AQ243" t="s">
        <v>1163</v>
      </c>
      <c r="AR243" t="s">
        <v>1164</v>
      </c>
    </row>
    <row r="244" spans="1:44" x14ac:dyDescent="0.25">
      <c r="A244" t="s">
        <v>311</v>
      </c>
      <c r="B244" t="s">
        <v>1177</v>
      </c>
      <c r="C244" t="s">
        <v>44</v>
      </c>
      <c r="D244" t="s">
        <v>1153</v>
      </c>
      <c r="E244" t="s">
        <v>1154</v>
      </c>
      <c r="F244" t="s">
        <v>1155</v>
      </c>
      <c r="G244" t="s">
        <v>1156</v>
      </c>
      <c r="H244" t="s">
        <v>260</v>
      </c>
      <c r="I244" t="s">
        <v>261</v>
      </c>
      <c r="J244" t="s">
        <v>1178</v>
      </c>
      <c r="K244" t="s">
        <v>1179</v>
      </c>
      <c r="L244" t="s">
        <v>1180</v>
      </c>
      <c r="M244" t="s">
        <v>1157</v>
      </c>
      <c r="N244" t="s">
        <v>54</v>
      </c>
      <c r="O244" t="s">
        <v>382</v>
      </c>
      <c r="P244" t="s">
        <v>1181</v>
      </c>
      <c r="Q244" t="s">
        <v>1182</v>
      </c>
      <c r="R244" s="3">
        <v>5.0999999999999997E-2</v>
      </c>
      <c r="S244" t="s">
        <v>23</v>
      </c>
      <c r="T244" t="s">
        <v>23</v>
      </c>
      <c r="U244" t="s">
        <v>23</v>
      </c>
      <c r="V244" t="s">
        <v>23</v>
      </c>
      <c r="W244" s="3">
        <v>0.153</v>
      </c>
      <c r="X244" s="3">
        <v>0</v>
      </c>
      <c r="Y244" s="3">
        <v>1.1619999999999999</v>
      </c>
      <c r="Z244" t="s">
        <v>23</v>
      </c>
      <c r="AA244" t="s">
        <v>23</v>
      </c>
      <c r="AB244" t="s">
        <v>1014</v>
      </c>
      <c r="AC244" t="s">
        <v>1183</v>
      </c>
      <c r="AD244" t="s">
        <v>61</v>
      </c>
      <c r="AE244" t="s">
        <v>522</v>
      </c>
      <c r="AF244" t="s">
        <v>370</v>
      </c>
      <c r="AG244" t="s">
        <v>980</v>
      </c>
      <c r="AH244" t="s">
        <v>980</v>
      </c>
      <c r="AI244" t="s">
        <v>1184</v>
      </c>
      <c r="AJ244" t="s">
        <v>323</v>
      </c>
      <c r="AK244" t="s">
        <v>324</v>
      </c>
      <c r="AL244" t="s">
        <v>1185</v>
      </c>
      <c r="AM244" t="s">
        <v>1186</v>
      </c>
      <c r="AN244" t="s">
        <v>118</v>
      </c>
      <c r="AO244" t="s">
        <v>567</v>
      </c>
      <c r="AP244" t="s">
        <v>1162</v>
      </c>
      <c r="AQ244" t="s">
        <v>1163</v>
      </c>
      <c r="AR244" t="s">
        <v>1164</v>
      </c>
    </row>
    <row r="245" spans="1:44" x14ac:dyDescent="0.25">
      <c r="A245" t="s">
        <v>311</v>
      </c>
      <c r="B245" t="s">
        <v>1177</v>
      </c>
      <c r="C245" t="s">
        <v>44</v>
      </c>
      <c r="D245" t="s">
        <v>1153</v>
      </c>
      <c r="E245" t="s">
        <v>1154</v>
      </c>
      <c r="F245" t="s">
        <v>1155</v>
      </c>
      <c r="G245" t="s">
        <v>1156</v>
      </c>
      <c r="H245" t="s">
        <v>260</v>
      </c>
      <c r="I245" t="s">
        <v>261</v>
      </c>
      <c r="J245" t="s">
        <v>1178</v>
      </c>
      <c r="K245" t="s">
        <v>1179</v>
      </c>
      <c r="L245" t="s">
        <v>1180</v>
      </c>
      <c r="M245" t="s">
        <v>1157</v>
      </c>
      <c r="N245" t="s">
        <v>54</v>
      </c>
      <c r="O245" t="s">
        <v>196</v>
      </c>
      <c r="P245" t="s">
        <v>1181</v>
      </c>
      <c r="Q245" t="s">
        <v>1187</v>
      </c>
      <c r="R245" s="3">
        <v>0.10199999999999999</v>
      </c>
      <c r="S245" t="s">
        <v>23</v>
      </c>
      <c r="T245" t="s">
        <v>23</v>
      </c>
      <c r="U245" t="s">
        <v>23</v>
      </c>
      <c r="V245" t="s">
        <v>23</v>
      </c>
      <c r="W245" s="3">
        <v>0</v>
      </c>
      <c r="X245" s="3">
        <v>0</v>
      </c>
      <c r="Y245" s="3">
        <v>1.1619999999999999</v>
      </c>
      <c r="Z245" t="s">
        <v>23</v>
      </c>
      <c r="AA245" t="s">
        <v>23</v>
      </c>
      <c r="AB245" t="s">
        <v>1014</v>
      </c>
      <c r="AC245" t="s">
        <v>1183</v>
      </c>
      <c r="AD245" t="s">
        <v>61</v>
      </c>
      <c r="AE245" t="s">
        <v>522</v>
      </c>
      <c r="AF245" t="s">
        <v>370</v>
      </c>
      <c r="AG245" t="s">
        <v>980</v>
      </c>
      <c r="AH245" t="s">
        <v>980</v>
      </c>
      <c r="AI245" t="s">
        <v>1184</v>
      </c>
      <c r="AJ245" t="s">
        <v>323</v>
      </c>
      <c r="AK245" t="s">
        <v>324</v>
      </c>
      <c r="AL245" t="s">
        <v>1185</v>
      </c>
      <c r="AM245" t="s">
        <v>1186</v>
      </c>
      <c r="AN245" t="s">
        <v>118</v>
      </c>
      <c r="AO245" t="s">
        <v>71</v>
      </c>
      <c r="AP245" t="s">
        <v>1162</v>
      </c>
      <c r="AQ245" t="s">
        <v>1163</v>
      </c>
      <c r="AR245" t="s">
        <v>1164</v>
      </c>
    </row>
    <row r="246" spans="1:44" x14ac:dyDescent="0.25">
      <c r="A246" t="s">
        <v>363</v>
      </c>
      <c r="B246" t="s">
        <v>1188</v>
      </c>
      <c r="C246" t="s">
        <v>44</v>
      </c>
      <c r="D246" t="s">
        <v>1153</v>
      </c>
      <c r="E246" t="s">
        <v>1189</v>
      </c>
      <c r="F246" t="s">
        <v>1155</v>
      </c>
      <c r="G246" t="s">
        <v>1156</v>
      </c>
      <c r="H246" t="s">
        <v>260</v>
      </c>
      <c r="I246" t="s">
        <v>261</v>
      </c>
      <c r="J246" t="s">
        <v>627</v>
      </c>
      <c r="K246" t="s">
        <v>628</v>
      </c>
      <c r="L246" t="s">
        <v>629</v>
      </c>
      <c r="M246" t="s">
        <v>1190</v>
      </c>
      <c r="N246" t="s">
        <v>54</v>
      </c>
      <c r="O246" t="s">
        <v>195</v>
      </c>
      <c r="P246" t="s">
        <v>611</v>
      </c>
      <c r="Q246" t="s">
        <v>179</v>
      </c>
      <c r="R246" s="3">
        <v>1.7999999999999999E-2</v>
      </c>
      <c r="S246" t="s">
        <v>23</v>
      </c>
      <c r="T246" t="s">
        <v>23</v>
      </c>
      <c r="U246" s="3">
        <v>1.7999999999999999E-2</v>
      </c>
      <c r="V246" t="s">
        <v>23</v>
      </c>
      <c r="W246" t="s">
        <v>23</v>
      </c>
      <c r="X246" s="3">
        <v>0</v>
      </c>
      <c r="Y246" s="3">
        <v>1.1619999999999999</v>
      </c>
      <c r="Z246" t="s">
        <v>23</v>
      </c>
      <c r="AA246" t="s">
        <v>23</v>
      </c>
      <c r="AB246" t="s">
        <v>977</v>
      </c>
      <c r="AC246" t="s">
        <v>1191</v>
      </c>
      <c r="AD246" t="s">
        <v>61</v>
      </c>
      <c r="AE246" t="s">
        <v>522</v>
      </c>
      <c r="AF246" t="s">
        <v>979</v>
      </c>
      <c r="AG246" t="s">
        <v>980</v>
      </c>
      <c r="AH246" t="s">
        <v>980</v>
      </c>
      <c r="AI246" t="s">
        <v>1159</v>
      </c>
      <c r="AJ246" t="s">
        <v>373</v>
      </c>
      <c r="AK246" t="s">
        <v>374</v>
      </c>
      <c r="AL246" t="s">
        <v>1192</v>
      </c>
      <c r="AM246" t="s">
        <v>1193</v>
      </c>
      <c r="AN246" t="s">
        <v>118</v>
      </c>
      <c r="AO246" t="s">
        <v>71</v>
      </c>
      <c r="AP246" t="s">
        <v>1162</v>
      </c>
      <c r="AQ246" t="s">
        <v>1163</v>
      </c>
      <c r="AR246" t="s">
        <v>1164</v>
      </c>
    </row>
    <row r="247" spans="1:44" x14ac:dyDescent="0.25">
      <c r="A247" t="s">
        <v>363</v>
      </c>
      <c r="B247" t="s">
        <v>1194</v>
      </c>
      <c r="C247" t="s">
        <v>44</v>
      </c>
      <c r="D247" t="s">
        <v>1153</v>
      </c>
      <c r="E247" t="s">
        <v>1189</v>
      </c>
      <c r="F247" t="s">
        <v>1155</v>
      </c>
      <c r="G247" t="s">
        <v>1156</v>
      </c>
      <c r="H247" t="s">
        <v>260</v>
      </c>
      <c r="I247" t="s">
        <v>261</v>
      </c>
      <c r="J247" t="s">
        <v>1195</v>
      </c>
      <c r="K247" t="s">
        <v>1196</v>
      </c>
      <c r="L247" t="s">
        <v>1197</v>
      </c>
      <c r="M247" t="s">
        <v>1190</v>
      </c>
      <c r="N247" t="s">
        <v>54</v>
      </c>
      <c r="O247" t="s">
        <v>195</v>
      </c>
      <c r="P247" t="s">
        <v>76</v>
      </c>
      <c r="Q247" t="s">
        <v>249</v>
      </c>
      <c r="R247" s="3">
        <v>2.4E-2</v>
      </c>
      <c r="S247" t="s">
        <v>23</v>
      </c>
      <c r="T247" t="s">
        <v>23</v>
      </c>
      <c r="U247" s="3">
        <v>6.2E-2</v>
      </c>
      <c r="V247" t="s">
        <v>23</v>
      </c>
      <c r="W247" t="s">
        <v>23</v>
      </c>
      <c r="X247" s="3">
        <v>0</v>
      </c>
      <c r="Y247" s="3">
        <v>1.1619999999999999</v>
      </c>
      <c r="Z247" t="s">
        <v>23</v>
      </c>
      <c r="AA247" t="s">
        <v>23</v>
      </c>
      <c r="AB247" t="s">
        <v>977</v>
      </c>
      <c r="AC247" t="s">
        <v>1198</v>
      </c>
      <c r="AD247" t="s">
        <v>61</v>
      </c>
      <c r="AE247" t="s">
        <v>522</v>
      </c>
      <c r="AF247" t="s">
        <v>979</v>
      </c>
      <c r="AG247" t="s">
        <v>980</v>
      </c>
      <c r="AH247" t="s">
        <v>980</v>
      </c>
      <c r="AI247" t="s">
        <v>1184</v>
      </c>
      <c r="AJ247" t="s">
        <v>373</v>
      </c>
      <c r="AK247" t="s">
        <v>374</v>
      </c>
      <c r="AL247" t="s">
        <v>1199</v>
      </c>
      <c r="AM247" t="s">
        <v>1200</v>
      </c>
      <c r="AN247" t="s">
        <v>118</v>
      </c>
      <c r="AO247" t="s">
        <v>71</v>
      </c>
      <c r="AP247" t="s">
        <v>1162</v>
      </c>
      <c r="AQ247" t="s">
        <v>1163</v>
      </c>
      <c r="AR247" t="s">
        <v>1164</v>
      </c>
    </row>
    <row r="248" spans="1:44" x14ac:dyDescent="0.25">
      <c r="A248" t="s">
        <v>363</v>
      </c>
      <c r="B248" t="s">
        <v>1194</v>
      </c>
      <c r="C248" t="s">
        <v>44</v>
      </c>
      <c r="D248" t="s">
        <v>1153</v>
      </c>
      <c r="E248" t="s">
        <v>1189</v>
      </c>
      <c r="F248" t="s">
        <v>1155</v>
      </c>
      <c r="G248" t="s">
        <v>1156</v>
      </c>
      <c r="H248" t="s">
        <v>260</v>
      </c>
      <c r="I248" t="s">
        <v>261</v>
      </c>
      <c r="J248" t="s">
        <v>1201</v>
      </c>
      <c r="K248" t="s">
        <v>1202</v>
      </c>
      <c r="L248" t="s">
        <v>1203</v>
      </c>
      <c r="M248" t="s">
        <v>1190</v>
      </c>
      <c r="N248" t="s">
        <v>54</v>
      </c>
      <c r="O248" t="s">
        <v>195</v>
      </c>
      <c r="P248" t="s">
        <v>76</v>
      </c>
      <c r="Q248" t="s">
        <v>249</v>
      </c>
      <c r="R248" s="3">
        <v>2.4E-2</v>
      </c>
      <c r="S248" t="s">
        <v>23</v>
      </c>
      <c r="T248" t="s">
        <v>23</v>
      </c>
      <c r="U248" s="3">
        <v>0</v>
      </c>
      <c r="V248" t="s">
        <v>23</v>
      </c>
      <c r="W248" t="s">
        <v>23</v>
      </c>
      <c r="X248" s="3">
        <v>0</v>
      </c>
      <c r="Y248" s="3">
        <v>1.1619999999999999</v>
      </c>
      <c r="Z248" t="s">
        <v>23</v>
      </c>
      <c r="AA248" t="s">
        <v>23</v>
      </c>
      <c r="AB248" t="s">
        <v>977</v>
      </c>
      <c r="AC248" t="s">
        <v>1198</v>
      </c>
      <c r="AD248" t="s">
        <v>61</v>
      </c>
      <c r="AE248" t="s">
        <v>522</v>
      </c>
      <c r="AF248" t="s">
        <v>979</v>
      </c>
      <c r="AG248" t="s">
        <v>980</v>
      </c>
      <c r="AH248" t="s">
        <v>980</v>
      </c>
      <c r="AI248" t="s">
        <v>1184</v>
      </c>
      <c r="AJ248" t="s">
        <v>373</v>
      </c>
      <c r="AK248" t="s">
        <v>374</v>
      </c>
      <c r="AL248" t="s">
        <v>1199</v>
      </c>
      <c r="AM248" t="s">
        <v>1200</v>
      </c>
      <c r="AN248" t="s">
        <v>118</v>
      </c>
      <c r="AO248" t="s">
        <v>71</v>
      </c>
      <c r="AP248" t="s">
        <v>1162</v>
      </c>
      <c r="AQ248" t="s">
        <v>1163</v>
      </c>
      <c r="AR248" t="s">
        <v>1164</v>
      </c>
    </row>
    <row r="249" spans="1:44" x14ac:dyDescent="0.25">
      <c r="A249" t="s">
        <v>363</v>
      </c>
      <c r="B249" t="s">
        <v>1194</v>
      </c>
      <c r="C249" t="s">
        <v>44</v>
      </c>
      <c r="D249" t="s">
        <v>1153</v>
      </c>
      <c r="E249" t="s">
        <v>1189</v>
      </c>
      <c r="F249" t="s">
        <v>1155</v>
      </c>
      <c r="G249" t="s">
        <v>1156</v>
      </c>
      <c r="H249" t="s">
        <v>260</v>
      </c>
      <c r="I249" t="s">
        <v>261</v>
      </c>
      <c r="J249" t="s">
        <v>1204</v>
      </c>
      <c r="K249" t="s">
        <v>1205</v>
      </c>
      <c r="L249" t="s">
        <v>1206</v>
      </c>
      <c r="M249" t="s">
        <v>1190</v>
      </c>
      <c r="N249" t="s">
        <v>54</v>
      </c>
      <c r="O249" t="s">
        <v>361</v>
      </c>
      <c r="P249" t="s">
        <v>76</v>
      </c>
      <c r="Q249" t="s">
        <v>1207</v>
      </c>
      <c r="R249" s="3">
        <v>1.4E-2</v>
      </c>
      <c r="S249" t="s">
        <v>23</v>
      </c>
      <c r="T249" t="s">
        <v>23</v>
      </c>
      <c r="U249" s="3">
        <v>0</v>
      </c>
      <c r="V249" t="s">
        <v>23</v>
      </c>
      <c r="W249" t="s">
        <v>23</v>
      </c>
      <c r="X249" s="3">
        <v>0</v>
      </c>
      <c r="Y249" s="3">
        <v>1.1619999999999999</v>
      </c>
      <c r="Z249" t="s">
        <v>23</v>
      </c>
      <c r="AA249" t="s">
        <v>23</v>
      </c>
      <c r="AB249" t="s">
        <v>977</v>
      </c>
      <c r="AC249" t="s">
        <v>1198</v>
      </c>
      <c r="AD249" t="s">
        <v>61</v>
      </c>
      <c r="AE249" t="s">
        <v>522</v>
      </c>
      <c r="AF249" t="s">
        <v>979</v>
      </c>
      <c r="AG249" t="s">
        <v>980</v>
      </c>
      <c r="AH249" t="s">
        <v>980</v>
      </c>
      <c r="AI249" t="s">
        <v>1184</v>
      </c>
      <c r="AJ249" t="s">
        <v>373</v>
      </c>
      <c r="AK249" t="s">
        <v>374</v>
      </c>
      <c r="AL249" t="s">
        <v>1199</v>
      </c>
      <c r="AM249" t="s">
        <v>1200</v>
      </c>
      <c r="AN249" t="s">
        <v>118</v>
      </c>
      <c r="AO249" t="s">
        <v>71</v>
      </c>
      <c r="AP249" t="s">
        <v>1162</v>
      </c>
      <c r="AQ249" t="s">
        <v>1163</v>
      </c>
      <c r="AR249" t="s">
        <v>1164</v>
      </c>
    </row>
    <row r="250" spans="1:44" x14ac:dyDescent="0.25">
      <c r="A250" t="s">
        <v>101</v>
      </c>
      <c r="B250" t="s">
        <v>1208</v>
      </c>
      <c r="C250" t="s">
        <v>44</v>
      </c>
      <c r="D250" t="s">
        <v>1153</v>
      </c>
      <c r="E250" t="s">
        <v>1209</v>
      </c>
      <c r="F250" t="s">
        <v>1155</v>
      </c>
      <c r="G250" t="s">
        <v>1156</v>
      </c>
      <c r="H250" t="s">
        <v>260</v>
      </c>
      <c r="I250" t="s">
        <v>261</v>
      </c>
      <c r="J250" t="s">
        <v>1210</v>
      </c>
      <c r="K250" t="s">
        <v>1211</v>
      </c>
      <c r="L250" t="s">
        <v>1212</v>
      </c>
      <c r="M250" t="s">
        <v>1213</v>
      </c>
      <c r="N250" t="s">
        <v>54</v>
      </c>
      <c r="O250" t="s">
        <v>75</v>
      </c>
      <c r="P250" t="s">
        <v>107</v>
      </c>
      <c r="Q250" t="s">
        <v>1214</v>
      </c>
      <c r="R250" s="3">
        <v>2.1999999999999999E-2</v>
      </c>
      <c r="S250" s="3">
        <v>0.42399999999999999</v>
      </c>
      <c r="T250" t="s">
        <v>23</v>
      </c>
      <c r="U250" t="s">
        <v>23</v>
      </c>
      <c r="V250" t="s">
        <v>23</v>
      </c>
      <c r="W250" t="s">
        <v>23</v>
      </c>
      <c r="X250" s="3">
        <v>0</v>
      </c>
      <c r="Y250" s="3">
        <v>1.1619999999999999</v>
      </c>
      <c r="Z250" t="s">
        <v>23</v>
      </c>
      <c r="AA250" t="s">
        <v>23</v>
      </c>
      <c r="AB250" t="s">
        <v>977</v>
      </c>
      <c r="AC250" t="s">
        <v>1215</v>
      </c>
      <c r="AD250" t="s">
        <v>61</v>
      </c>
      <c r="AE250" t="s">
        <v>522</v>
      </c>
      <c r="AF250" t="s">
        <v>979</v>
      </c>
      <c r="AG250" t="s">
        <v>980</v>
      </c>
      <c r="AH250" t="s">
        <v>980</v>
      </c>
      <c r="AI250" t="s">
        <v>1159</v>
      </c>
      <c r="AJ250" t="s">
        <v>114</v>
      </c>
      <c r="AK250" t="s">
        <v>115</v>
      </c>
      <c r="AL250" t="s">
        <v>1216</v>
      </c>
      <c r="AM250" t="s">
        <v>1217</v>
      </c>
      <c r="AN250" t="s">
        <v>118</v>
      </c>
      <c r="AO250" t="s">
        <v>71</v>
      </c>
      <c r="AP250" t="s">
        <v>1162</v>
      </c>
      <c r="AQ250" t="s">
        <v>1163</v>
      </c>
      <c r="AR250" t="s">
        <v>1164</v>
      </c>
    </row>
    <row r="251" spans="1:44" x14ac:dyDescent="0.25">
      <c r="A251" t="s">
        <v>101</v>
      </c>
      <c r="B251" t="s">
        <v>1208</v>
      </c>
      <c r="C251" t="s">
        <v>44</v>
      </c>
      <c r="D251" t="s">
        <v>1153</v>
      </c>
      <c r="E251" t="s">
        <v>1209</v>
      </c>
      <c r="F251" t="s">
        <v>1155</v>
      </c>
      <c r="G251" t="s">
        <v>1156</v>
      </c>
      <c r="H251" t="s">
        <v>260</v>
      </c>
      <c r="I251" t="s">
        <v>261</v>
      </c>
      <c r="J251" t="s">
        <v>454</v>
      </c>
      <c r="K251" t="s">
        <v>455</v>
      </c>
      <c r="L251" t="s">
        <v>456</v>
      </c>
      <c r="M251" t="s">
        <v>1213</v>
      </c>
      <c r="N251" t="s">
        <v>54</v>
      </c>
      <c r="O251" t="s">
        <v>96</v>
      </c>
      <c r="P251" t="s">
        <v>149</v>
      </c>
      <c r="Q251" t="s">
        <v>149</v>
      </c>
      <c r="R251" s="3">
        <v>1.7999999999999999E-2</v>
      </c>
      <c r="S251" s="3">
        <v>0</v>
      </c>
      <c r="T251" t="s">
        <v>23</v>
      </c>
      <c r="U251" t="s">
        <v>23</v>
      </c>
      <c r="V251" t="s">
        <v>23</v>
      </c>
      <c r="W251" t="s">
        <v>23</v>
      </c>
      <c r="X251" s="3">
        <v>0</v>
      </c>
      <c r="Y251" s="3">
        <v>1.1619999999999999</v>
      </c>
      <c r="Z251" t="s">
        <v>23</v>
      </c>
      <c r="AA251" t="s">
        <v>23</v>
      </c>
      <c r="AB251" t="s">
        <v>977</v>
      </c>
      <c r="AC251" t="s">
        <v>1215</v>
      </c>
      <c r="AD251" t="s">
        <v>61</v>
      </c>
      <c r="AE251" t="s">
        <v>522</v>
      </c>
      <c r="AF251" t="s">
        <v>979</v>
      </c>
      <c r="AG251" t="s">
        <v>980</v>
      </c>
      <c r="AH251" t="s">
        <v>980</v>
      </c>
      <c r="AI251" t="s">
        <v>1159</v>
      </c>
      <c r="AJ251" t="s">
        <v>114</v>
      </c>
      <c r="AK251" t="s">
        <v>115</v>
      </c>
      <c r="AL251" t="s">
        <v>1216</v>
      </c>
      <c r="AM251" t="s">
        <v>1217</v>
      </c>
      <c r="AN251" t="s">
        <v>118</v>
      </c>
      <c r="AO251" t="s">
        <v>567</v>
      </c>
      <c r="AP251" t="s">
        <v>1162</v>
      </c>
      <c r="AQ251" t="s">
        <v>1163</v>
      </c>
      <c r="AR251" t="s">
        <v>1164</v>
      </c>
    </row>
    <row r="252" spans="1:44" x14ac:dyDescent="0.25">
      <c r="A252" t="s">
        <v>101</v>
      </c>
      <c r="B252" t="s">
        <v>1208</v>
      </c>
      <c r="C252" t="s">
        <v>44</v>
      </c>
      <c r="D252" t="s">
        <v>1153</v>
      </c>
      <c r="E252" t="s">
        <v>1209</v>
      </c>
      <c r="F252" t="s">
        <v>1155</v>
      </c>
      <c r="G252" t="s">
        <v>1156</v>
      </c>
      <c r="H252" t="s">
        <v>260</v>
      </c>
      <c r="I252" t="s">
        <v>261</v>
      </c>
      <c r="J252" t="s">
        <v>454</v>
      </c>
      <c r="K252" t="s">
        <v>455</v>
      </c>
      <c r="L252" t="s">
        <v>456</v>
      </c>
      <c r="M252" t="s">
        <v>1213</v>
      </c>
      <c r="N252" t="s">
        <v>54</v>
      </c>
      <c r="O252" t="s">
        <v>382</v>
      </c>
      <c r="P252" t="s">
        <v>149</v>
      </c>
      <c r="Q252" t="s">
        <v>1218</v>
      </c>
      <c r="R252" s="3">
        <v>0.109</v>
      </c>
      <c r="S252" s="3">
        <v>0</v>
      </c>
      <c r="T252" t="s">
        <v>23</v>
      </c>
      <c r="U252" t="s">
        <v>23</v>
      </c>
      <c r="V252" t="s">
        <v>23</v>
      </c>
      <c r="W252" t="s">
        <v>23</v>
      </c>
      <c r="X252" s="3">
        <v>0</v>
      </c>
      <c r="Y252" s="3">
        <v>1.1619999999999999</v>
      </c>
      <c r="Z252" t="s">
        <v>23</v>
      </c>
      <c r="AA252" t="s">
        <v>23</v>
      </c>
      <c r="AB252" t="s">
        <v>977</v>
      </c>
      <c r="AC252" t="s">
        <v>1215</v>
      </c>
      <c r="AD252" t="s">
        <v>61</v>
      </c>
      <c r="AE252" t="s">
        <v>522</v>
      </c>
      <c r="AF252" t="s">
        <v>979</v>
      </c>
      <c r="AG252" t="s">
        <v>980</v>
      </c>
      <c r="AH252" t="s">
        <v>980</v>
      </c>
      <c r="AI252" t="s">
        <v>1159</v>
      </c>
      <c r="AJ252" t="s">
        <v>114</v>
      </c>
      <c r="AK252" t="s">
        <v>115</v>
      </c>
      <c r="AL252" t="s">
        <v>1216</v>
      </c>
      <c r="AM252" t="s">
        <v>1217</v>
      </c>
      <c r="AN252" t="s">
        <v>118</v>
      </c>
      <c r="AO252" t="s">
        <v>71</v>
      </c>
      <c r="AP252" t="s">
        <v>1162</v>
      </c>
      <c r="AQ252" t="s">
        <v>1163</v>
      </c>
      <c r="AR252" t="s">
        <v>1164</v>
      </c>
    </row>
    <row r="253" spans="1:44" x14ac:dyDescent="0.25">
      <c r="A253" t="s">
        <v>101</v>
      </c>
      <c r="B253" t="s">
        <v>1208</v>
      </c>
      <c r="C253" t="s">
        <v>44</v>
      </c>
      <c r="D253" t="s">
        <v>1153</v>
      </c>
      <c r="E253" t="s">
        <v>1209</v>
      </c>
      <c r="F253" t="s">
        <v>1155</v>
      </c>
      <c r="G253" t="s">
        <v>1156</v>
      </c>
      <c r="H253" t="s">
        <v>260</v>
      </c>
      <c r="I253" t="s">
        <v>261</v>
      </c>
      <c r="J253" t="s">
        <v>1219</v>
      </c>
      <c r="K253" t="s">
        <v>1220</v>
      </c>
      <c r="L253" t="s">
        <v>1221</v>
      </c>
      <c r="M253" t="s">
        <v>1213</v>
      </c>
      <c r="N253" t="s">
        <v>54</v>
      </c>
      <c r="O253" t="s">
        <v>75</v>
      </c>
      <c r="P253" t="s">
        <v>107</v>
      </c>
      <c r="Q253" t="s">
        <v>1214</v>
      </c>
      <c r="R253" s="3">
        <v>2.1999999999999999E-2</v>
      </c>
      <c r="S253" s="3">
        <v>0</v>
      </c>
      <c r="T253" t="s">
        <v>23</v>
      </c>
      <c r="U253" t="s">
        <v>23</v>
      </c>
      <c r="V253" t="s">
        <v>23</v>
      </c>
      <c r="W253" t="s">
        <v>23</v>
      </c>
      <c r="X253" s="3">
        <v>0</v>
      </c>
      <c r="Y253" s="3">
        <v>1.1619999999999999</v>
      </c>
      <c r="Z253" t="s">
        <v>23</v>
      </c>
      <c r="AA253" t="s">
        <v>23</v>
      </c>
      <c r="AB253" t="s">
        <v>977</v>
      </c>
      <c r="AC253" t="s">
        <v>1215</v>
      </c>
      <c r="AD253" t="s">
        <v>61</v>
      </c>
      <c r="AE253" t="s">
        <v>522</v>
      </c>
      <c r="AF253" t="s">
        <v>979</v>
      </c>
      <c r="AG253" t="s">
        <v>980</v>
      </c>
      <c r="AH253" t="s">
        <v>980</v>
      </c>
      <c r="AI253" t="s">
        <v>1159</v>
      </c>
      <c r="AJ253" t="s">
        <v>114</v>
      </c>
      <c r="AK253" t="s">
        <v>115</v>
      </c>
      <c r="AL253" t="s">
        <v>1216</v>
      </c>
      <c r="AM253" t="s">
        <v>1217</v>
      </c>
      <c r="AN253" t="s">
        <v>118</v>
      </c>
      <c r="AO253" t="s">
        <v>71</v>
      </c>
      <c r="AP253" t="s">
        <v>1162</v>
      </c>
      <c r="AQ253" t="s">
        <v>1163</v>
      </c>
      <c r="AR253" t="s">
        <v>1164</v>
      </c>
    </row>
    <row r="254" spans="1:44" x14ac:dyDescent="0.25">
      <c r="A254" t="s">
        <v>101</v>
      </c>
      <c r="B254" t="s">
        <v>1208</v>
      </c>
      <c r="C254" t="s">
        <v>44</v>
      </c>
      <c r="D254" t="s">
        <v>1153</v>
      </c>
      <c r="E254" t="s">
        <v>1209</v>
      </c>
      <c r="F254" t="s">
        <v>1155</v>
      </c>
      <c r="G254" t="s">
        <v>1156</v>
      </c>
      <c r="H254" t="s">
        <v>260</v>
      </c>
      <c r="I254" t="s">
        <v>261</v>
      </c>
      <c r="J254" t="s">
        <v>584</v>
      </c>
      <c r="K254" t="s">
        <v>141</v>
      </c>
      <c r="L254" t="s">
        <v>585</v>
      </c>
      <c r="M254" t="s">
        <v>1213</v>
      </c>
      <c r="N254" t="s">
        <v>54</v>
      </c>
      <c r="O254" t="s">
        <v>96</v>
      </c>
      <c r="P254" t="s">
        <v>107</v>
      </c>
      <c r="Q254" t="s">
        <v>107</v>
      </c>
      <c r="R254" s="3">
        <v>1.0999999999999999E-2</v>
      </c>
      <c r="S254" s="3">
        <v>0</v>
      </c>
      <c r="T254" t="s">
        <v>23</v>
      </c>
      <c r="U254" t="s">
        <v>23</v>
      </c>
      <c r="V254" t="s">
        <v>23</v>
      </c>
      <c r="W254" t="s">
        <v>23</v>
      </c>
      <c r="X254" s="3">
        <v>0</v>
      </c>
      <c r="Y254" s="3">
        <v>1.1619999999999999</v>
      </c>
      <c r="Z254" t="s">
        <v>23</v>
      </c>
      <c r="AA254" t="s">
        <v>23</v>
      </c>
      <c r="AB254" t="s">
        <v>977</v>
      </c>
      <c r="AC254" t="s">
        <v>1215</v>
      </c>
      <c r="AD254" t="s">
        <v>61</v>
      </c>
      <c r="AE254" t="s">
        <v>522</v>
      </c>
      <c r="AF254" t="s">
        <v>979</v>
      </c>
      <c r="AG254" t="s">
        <v>980</v>
      </c>
      <c r="AH254" t="s">
        <v>980</v>
      </c>
      <c r="AI254" t="s">
        <v>1159</v>
      </c>
      <c r="AJ254" t="s">
        <v>114</v>
      </c>
      <c r="AK254" t="s">
        <v>115</v>
      </c>
      <c r="AL254" t="s">
        <v>1216</v>
      </c>
      <c r="AM254" t="s">
        <v>1217</v>
      </c>
      <c r="AN254" t="s">
        <v>118</v>
      </c>
      <c r="AO254" t="s">
        <v>71</v>
      </c>
      <c r="AP254" t="s">
        <v>1162</v>
      </c>
      <c r="AQ254" t="s">
        <v>1163</v>
      </c>
      <c r="AR254" t="s">
        <v>1164</v>
      </c>
    </row>
    <row r="255" spans="1:44" x14ac:dyDescent="0.25">
      <c r="A255" t="s">
        <v>101</v>
      </c>
      <c r="B255" t="s">
        <v>1208</v>
      </c>
      <c r="C255" t="s">
        <v>44</v>
      </c>
      <c r="D255" t="s">
        <v>1153</v>
      </c>
      <c r="E255" t="s">
        <v>1209</v>
      </c>
      <c r="F255" t="s">
        <v>1155</v>
      </c>
      <c r="G255" t="s">
        <v>1156</v>
      </c>
      <c r="H255" t="s">
        <v>260</v>
      </c>
      <c r="I255" t="s">
        <v>261</v>
      </c>
      <c r="J255" t="s">
        <v>1037</v>
      </c>
      <c r="K255" t="s">
        <v>1038</v>
      </c>
      <c r="L255" t="s">
        <v>1039</v>
      </c>
      <c r="M255" t="s">
        <v>1213</v>
      </c>
      <c r="N255" t="s">
        <v>54</v>
      </c>
      <c r="O255" t="s">
        <v>75</v>
      </c>
      <c r="P255" t="s">
        <v>107</v>
      </c>
      <c r="Q255" t="s">
        <v>1214</v>
      </c>
      <c r="R255" s="3">
        <v>2.1999999999999999E-2</v>
      </c>
      <c r="S255" s="3">
        <v>0</v>
      </c>
      <c r="T255" t="s">
        <v>23</v>
      </c>
      <c r="U255" t="s">
        <v>23</v>
      </c>
      <c r="V255" t="s">
        <v>23</v>
      </c>
      <c r="W255" t="s">
        <v>23</v>
      </c>
      <c r="X255" s="3">
        <v>0</v>
      </c>
      <c r="Y255" s="3">
        <v>1.1619999999999999</v>
      </c>
      <c r="Z255" t="s">
        <v>23</v>
      </c>
      <c r="AA255" t="s">
        <v>23</v>
      </c>
      <c r="AB255" t="s">
        <v>977</v>
      </c>
      <c r="AC255" t="s">
        <v>1215</v>
      </c>
      <c r="AD255" t="s">
        <v>61</v>
      </c>
      <c r="AE255" t="s">
        <v>522</v>
      </c>
      <c r="AF255" t="s">
        <v>979</v>
      </c>
      <c r="AG255" t="s">
        <v>980</v>
      </c>
      <c r="AH255" t="s">
        <v>980</v>
      </c>
      <c r="AI255" t="s">
        <v>1159</v>
      </c>
      <c r="AJ255" t="s">
        <v>114</v>
      </c>
      <c r="AK255" t="s">
        <v>115</v>
      </c>
      <c r="AL255" t="s">
        <v>1216</v>
      </c>
      <c r="AM255" t="s">
        <v>1217</v>
      </c>
      <c r="AN255" t="s">
        <v>118</v>
      </c>
      <c r="AO255" t="s">
        <v>71</v>
      </c>
      <c r="AP255" t="s">
        <v>1162</v>
      </c>
      <c r="AQ255" t="s">
        <v>1163</v>
      </c>
      <c r="AR255" t="s">
        <v>1164</v>
      </c>
    </row>
    <row r="256" spans="1:44" x14ac:dyDescent="0.25">
      <c r="A256" t="s">
        <v>101</v>
      </c>
      <c r="B256" t="s">
        <v>1208</v>
      </c>
      <c r="C256" t="s">
        <v>44</v>
      </c>
      <c r="D256" t="s">
        <v>1153</v>
      </c>
      <c r="E256" t="s">
        <v>1209</v>
      </c>
      <c r="F256" t="s">
        <v>1155</v>
      </c>
      <c r="G256" t="s">
        <v>1156</v>
      </c>
      <c r="H256" t="s">
        <v>260</v>
      </c>
      <c r="I256" t="s">
        <v>261</v>
      </c>
      <c r="J256" t="s">
        <v>581</v>
      </c>
      <c r="K256" t="s">
        <v>146</v>
      </c>
      <c r="L256" t="s">
        <v>582</v>
      </c>
      <c r="M256" t="s">
        <v>1213</v>
      </c>
      <c r="N256" t="s">
        <v>54</v>
      </c>
      <c r="O256" t="s">
        <v>195</v>
      </c>
      <c r="P256" t="s">
        <v>149</v>
      </c>
      <c r="Q256" t="s">
        <v>583</v>
      </c>
      <c r="R256" s="3">
        <v>9.0999999999999998E-2</v>
      </c>
      <c r="S256" s="3">
        <v>0</v>
      </c>
      <c r="T256" t="s">
        <v>23</v>
      </c>
      <c r="U256" t="s">
        <v>23</v>
      </c>
      <c r="V256" t="s">
        <v>23</v>
      </c>
      <c r="W256" t="s">
        <v>23</v>
      </c>
      <c r="X256" s="3">
        <v>0</v>
      </c>
      <c r="Y256" s="3">
        <v>1.1619999999999999</v>
      </c>
      <c r="Z256" t="s">
        <v>23</v>
      </c>
      <c r="AA256" t="s">
        <v>23</v>
      </c>
      <c r="AB256" t="s">
        <v>977</v>
      </c>
      <c r="AC256" t="s">
        <v>1215</v>
      </c>
      <c r="AD256" t="s">
        <v>61</v>
      </c>
      <c r="AE256" t="s">
        <v>522</v>
      </c>
      <c r="AF256" t="s">
        <v>979</v>
      </c>
      <c r="AG256" t="s">
        <v>980</v>
      </c>
      <c r="AH256" t="s">
        <v>980</v>
      </c>
      <c r="AI256" t="s">
        <v>1159</v>
      </c>
      <c r="AJ256" t="s">
        <v>114</v>
      </c>
      <c r="AK256" t="s">
        <v>115</v>
      </c>
      <c r="AL256" t="s">
        <v>1216</v>
      </c>
      <c r="AM256" t="s">
        <v>1217</v>
      </c>
      <c r="AN256" t="s">
        <v>118</v>
      </c>
      <c r="AO256" t="s">
        <v>71</v>
      </c>
      <c r="AP256" t="s">
        <v>1162</v>
      </c>
      <c r="AQ256" t="s">
        <v>1163</v>
      </c>
      <c r="AR256" t="s">
        <v>1164</v>
      </c>
    </row>
    <row r="257" spans="1:44" x14ac:dyDescent="0.25">
      <c r="A257" t="s">
        <v>101</v>
      </c>
      <c r="B257" t="s">
        <v>1208</v>
      </c>
      <c r="C257" t="s">
        <v>44</v>
      </c>
      <c r="D257" t="s">
        <v>1153</v>
      </c>
      <c r="E257" t="s">
        <v>1209</v>
      </c>
      <c r="F257" t="s">
        <v>1155</v>
      </c>
      <c r="G257" t="s">
        <v>1156</v>
      </c>
      <c r="H257" t="s">
        <v>260</v>
      </c>
      <c r="I257" t="s">
        <v>261</v>
      </c>
      <c r="J257" t="s">
        <v>1099</v>
      </c>
      <c r="K257" t="s">
        <v>1100</v>
      </c>
      <c r="L257" t="s">
        <v>1101</v>
      </c>
      <c r="M257" t="s">
        <v>1213</v>
      </c>
      <c r="N257" t="s">
        <v>54</v>
      </c>
      <c r="O257" t="s">
        <v>96</v>
      </c>
      <c r="P257" t="s">
        <v>76</v>
      </c>
      <c r="Q257" t="s">
        <v>76</v>
      </c>
      <c r="R257" s="3">
        <v>5.0000000000000001E-3</v>
      </c>
      <c r="S257" s="3">
        <v>0</v>
      </c>
      <c r="T257" t="s">
        <v>23</v>
      </c>
      <c r="U257" t="s">
        <v>23</v>
      </c>
      <c r="V257" t="s">
        <v>23</v>
      </c>
      <c r="W257" t="s">
        <v>23</v>
      </c>
      <c r="X257" s="3">
        <v>0</v>
      </c>
      <c r="Y257" s="3">
        <v>1.1619999999999999</v>
      </c>
      <c r="Z257" t="s">
        <v>23</v>
      </c>
      <c r="AA257" t="s">
        <v>23</v>
      </c>
      <c r="AB257" t="s">
        <v>977</v>
      </c>
      <c r="AC257" t="s">
        <v>1215</v>
      </c>
      <c r="AD257" t="s">
        <v>61</v>
      </c>
      <c r="AE257" t="s">
        <v>522</v>
      </c>
      <c r="AF257" t="s">
        <v>979</v>
      </c>
      <c r="AG257" t="s">
        <v>980</v>
      </c>
      <c r="AH257" t="s">
        <v>980</v>
      </c>
      <c r="AI257" t="s">
        <v>1159</v>
      </c>
      <c r="AJ257" t="s">
        <v>168</v>
      </c>
      <c r="AK257" t="s">
        <v>169</v>
      </c>
      <c r="AL257" t="s">
        <v>1216</v>
      </c>
      <c r="AM257" t="s">
        <v>1217</v>
      </c>
      <c r="AN257" t="s">
        <v>118</v>
      </c>
      <c r="AO257" t="s">
        <v>71</v>
      </c>
      <c r="AP257" t="s">
        <v>1162</v>
      </c>
      <c r="AQ257" t="s">
        <v>1163</v>
      </c>
      <c r="AR257" t="s">
        <v>1164</v>
      </c>
    </row>
    <row r="258" spans="1:44" x14ac:dyDescent="0.25">
      <c r="A258" t="s">
        <v>101</v>
      </c>
      <c r="B258" t="s">
        <v>1208</v>
      </c>
      <c r="C258" t="s">
        <v>44</v>
      </c>
      <c r="D258" t="s">
        <v>1153</v>
      </c>
      <c r="E258" t="s">
        <v>1209</v>
      </c>
      <c r="F258" t="s">
        <v>1155</v>
      </c>
      <c r="G258" t="s">
        <v>1156</v>
      </c>
      <c r="H258" t="s">
        <v>260</v>
      </c>
      <c r="I258" t="s">
        <v>261</v>
      </c>
      <c r="J258" t="s">
        <v>1222</v>
      </c>
      <c r="K258" t="s">
        <v>1223</v>
      </c>
      <c r="L258" t="s">
        <v>1224</v>
      </c>
      <c r="M258" t="s">
        <v>1213</v>
      </c>
      <c r="N258" t="s">
        <v>54</v>
      </c>
      <c r="O258" t="s">
        <v>96</v>
      </c>
      <c r="P258" t="s">
        <v>107</v>
      </c>
      <c r="Q258" t="s">
        <v>107</v>
      </c>
      <c r="R258" s="3">
        <v>1.0999999999999999E-2</v>
      </c>
      <c r="S258" s="3">
        <v>0</v>
      </c>
      <c r="T258" t="s">
        <v>23</v>
      </c>
      <c r="U258" t="s">
        <v>23</v>
      </c>
      <c r="V258" t="s">
        <v>23</v>
      </c>
      <c r="W258" t="s">
        <v>23</v>
      </c>
      <c r="X258" s="3">
        <v>0</v>
      </c>
      <c r="Y258" s="3">
        <v>1.1619999999999999</v>
      </c>
      <c r="Z258" t="s">
        <v>23</v>
      </c>
      <c r="AA258" t="s">
        <v>23</v>
      </c>
      <c r="AB258" t="s">
        <v>977</v>
      </c>
      <c r="AC258" t="s">
        <v>1215</v>
      </c>
      <c r="AD258" t="s">
        <v>61</v>
      </c>
      <c r="AE258" t="s">
        <v>522</v>
      </c>
      <c r="AF258" t="s">
        <v>979</v>
      </c>
      <c r="AG258" t="s">
        <v>980</v>
      </c>
      <c r="AH258" t="s">
        <v>980</v>
      </c>
      <c r="AI258" t="s">
        <v>1159</v>
      </c>
      <c r="AJ258" t="s">
        <v>114</v>
      </c>
      <c r="AK258" t="s">
        <v>115</v>
      </c>
      <c r="AL258" t="s">
        <v>1216</v>
      </c>
      <c r="AM258" t="s">
        <v>1217</v>
      </c>
      <c r="AN258" t="s">
        <v>118</v>
      </c>
      <c r="AO258" t="s">
        <v>567</v>
      </c>
      <c r="AP258" t="s">
        <v>1162</v>
      </c>
      <c r="AQ258" t="s">
        <v>1163</v>
      </c>
      <c r="AR258" t="s">
        <v>1164</v>
      </c>
    </row>
    <row r="259" spans="1:44" x14ac:dyDescent="0.25">
      <c r="A259" t="s">
        <v>101</v>
      </c>
      <c r="B259" t="s">
        <v>1208</v>
      </c>
      <c r="C259" t="s">
        <v>44</v>
      </c>
      <c r="D259" t="s">
        <v>1153</v>
      </c>
      <c r="E259" t="s">
        <v>1209</v>
      </c>
      <c r="F259" t="s">
        <v>1155</v>
      </c>
      <c r="G259" t="s">
        <v>1156</v>
      </c>
      <c r="H259" t="s">
        <v>260</v>
      </c>
      <c r="I259" t="s">
        <v>261</v>
      </c>
      <c r="J259" t="s">
        <v>1222</v>
      </c>
      <c r="K259" t="s">
        <v>1223</v>
      </c>
      <c r="L259" t="s">
        <v>1224</v>
      </c>
      <c r="M259" t="s">
        <v>1213</v>
      </c>
      <c r="N259" t="s">
        <v>54</v>
      </c>
      <c r="O259" t="s">
        <v>382</v>
      </c>
      <c r="P259" t="s">
        <v>107</v>
      </c>
      <c r="Q259" t="s">
        <v>1028</v>
      </c>
      <c r="R259" s="3">
        <v>6.6000000000000003E-2</v>
      </c>
      <c r="S259" s="3">
        <v>0</v>
      </c>
      <c r="T259" t="s">
        <v>23</v>
      </c>
      <c r="U259" t="s">
        <v>23</v>
      </c>
      <c r="V259" t="s">
        <v>23</v>
      </c>
      <c r="W259" t="s">
        <v>23</v>
      </c>
      <c r="X259" s="3">
        <v>0</v>
      </c>
      <c r="Y259" s="3">
        <v>1.1619999999999999</v>
      </c>
      <c r="Z259" t="s">
        <v>23</v>
      </c>
      <c r="AA259" t="s">
        <v>23</v>
      </c>
      <c r="AB259" t="s">
        <v>977</v>
      </c>
      <c r="AC259" t="s">
        <v>1215</v>
      </c>
      <c r="AD259" t="s">
        <v>61</v>
      </c>
      <c r="AE259" t="s">
        <v>522</v>
      </c>
      <c r="AF259" t="s">
        <v>979</v>
      </c>
      <c r="AG259" t="s">
        <v>980</v>
      </c>
      <c r="AH259" t="s">
        <v>980</v>
      </c>
      <c r="AI259" t="s">
        <v>1159</v>
      </c>
      <c r="AJ259" t="s">
        <v>114</v>
      </c>
      <c r="AK259" t="s">
        <v>115</v>
      </c>
      <c r="AL259" t="s">
        <v>1216</v>
      </c>
      <c r="AM259" t="s">
        <v>1217</v>
      </c>
      <c r="AN259" t="s">
        <v>118</v>
      </c>
      <c r="AO259" t="s">
        <v>71</v>
      </c>
      <c r="AP259" t="s">
        <v>1162</v>
      </c>
      <c r="AQ259" t="s">
        <v>1163</v>
      </c>
      <c r="AR259" t="s">
        <v>1164</v>
      </c>
    </row>
    <row r="260" spans="1:44" x14ac:dyDescent="0.25">
      <c r="A260" t="s">
        <v>101</v>
      </c>
      <c r="B260" t="s">
        <v>1208</v>
      </c>
      <c r="C260" t="s">
        <v>44</v>
      </c>
      <c r="D260" t="s">
        <v>1153</v>
      </c>
      <c r="E260" t="s">
        <v>1209</v>
      </c>
      <c r="F260" t="s">
        <v>1155</v>
      </c>
      <c r="G260" t="s">
        <v>1156</v>
      </c>
      <c r="H260" t="s">
        <v>260</v>
      </c>
      <c r="I260" t="s">
        <v>261</v>
      </c>
      <c r="J260" t="s">
        <v>591</v>
      </c>
      <c r="K260" t="s">
        <v>592</v>
      </c>
      <c r="L260" t="s">
        <v>593</v>
      </c>
      <c r="M260" t="s">
        <v>1213</v>
      </c>
      <c r="N260" t="s">
        <v>54</v>
      </c>
      <c r="O260" t="s">
        <v>195</v>
      </c>
      <c r="P260" t="s">
        <v>594</v>
      </c>
      <c r="Q260" t="s">
        <v>595</v>
      </c>
      <c r="R260" s="3">
        <v>0.02</v>
      </c>
      <c r="S260" s="3">
        <v>0</v>
      </c>
      <c r="T260" t="s">
        <v>23</v>
      </c>
      <c r="U260" t="s">
        <v>23</v>
      </c>
      <c r="V260" t="s">
        <v>23</v>
      </c>
      <c r="W260" t="s">
        <v>23</v>
      </c>
      <c r="X260" s="3">
        <v>0</v>
      </c>
      <c r="Y260" s="3">
        <v>1.1619999999999999</v>
      </c>
      <c r="Z260" t="s">
        <v>23</v>
      </c>
      <c r="AA260" t="s">
        <v>23</v>
      </c>
      <c r="AB260" t="s">
        <v>977</v>
      </c>
      <c r="AC260" t="s">
        <v>1215</v>
      </c>
      <c r="AD260" t="s">
        <v>61</v>
      </c>
      <c r="AE260" t="s">
        <v>522</v>
      </c>
      <c r="AF260" t="s">
        <v>979</v>
      </c>
      <c r="AG260" t="s">
        <v>980</v>
      </c>
      <c r="AH260" t="s">
        <v>980</v>
      </c>
      <c r="AI260" t="s">
        <v>1159</v>
      </c>
      <c r="AJ260" t="s">
        <v>168</v>
      </c>
      <c r="AK260" t="s">
        <v>169</v>
      </c>
      <c r="AL260" t="s">
        <v>1216</v>
      </c>
      <c r="AM260" t="s">
        <v>1217</v>
      </c>
      <c r="AN260" t="s">
        <v>118</v>
      </c>
      <c r="AO260" t="s">
        <v>71</v>
      </c>
      <c r="AP260" t="s">
        <v>1162</v>
      </c>
      <c r="AQ260" t="s">
        <v>1163</v>
      </c>
      <c r="AR260" t="s">
        <v>1164</v>
      </c>
    </row>
    <row r="261" spans="1:44" x14ac:dyDescent="0.25">
      <c r="A261" t="s">
        <v>101</v>
      </c>
      <c r="B261" t="s">
        <v>1208</v>
      </c>
      <c r="C261" t="s">
        <v>44</v>
      </c>
      <c r="D261" t="s">
        <v>1153</v>
      </c>
      <c r="E261" t="s">
        <v>1209</v>
      </c>
      <c r="F261" t="s">
        <v>1155</v>
      </c>
      <c r="G261" t="s">
        <v>1156</v>
      </c>
      <c r="H261" t="s">
        <v>260</v>
      </c>
      <c r="I261" t="s">
        <v>261</v>
      </c>
      <c r="J261" t="s">
        <v>161</v>
      </c>
      <c r="K261" t="s">
        <v>162</v>
      </c>
      <c r="L261" t="s">
        <v>163</v>
      </c>
      <c r="M261" t="s">
        <v>1213</v>
      </c>
      <c r="N261" t="s">
        <v>54</v>
      </c>
      <c r="O261" t="s">
        <v>356</v>
      </c>
      <c r="P261" t="s">
        <v>139</v>
      </c>
      <c r="Q261" t="s">
        <v>1225</v>
      </c>
      <c r="R261" s="3">
        <v>1.9E-2</v>
      </c>
      <c r="S261" s="3">
        <v>0</v>
      </c>
      <c r="T261" t="s">
        <v>23</v>
      </c>
      <c r="U261" t="s">
        <v>23</v>
      </c>
      <c r="V261" t="s">
        <v>23</v>
      </c>
      <c r="W261" t="s">
        <v>23</v>
      </c>
      <c r="X261" s="3">
        <v>0</v>
      </c>
      <c r="Y261" s="3">
        <v>1.1619999999999999</v>
      </c>
      <c r="Z261" t="s">
        <v>23</v>
      </c>
      <c r="AA261" t="s">
        <v>23</v>
      </c>
      <c r="AB261" t="s">
        <v>977</v>
      </c>
      <c r="AC261" t="s">
        <v>1215</v>
      </c>
      <c r="AD261" t="s">
        <v>61</v>
      </c>
      <c r="AE261" t="s">
        <v>522</v>
      </c>
      <c r="AF261" t="s">
        <v>979</v>
      </c>
      <c r="AG261" t="s">
        <v>980</v>
      </c>
      <c r="AH261" t="s">
        <v>980</v>
      </c>
      <c r="AI261" t="s">
        <v>1159</v>
      </c>
      <c r="AJ261" t="s">
        <v>168</v>
      </c>
      <c r="AK261" t="s">
        <v>169</v>
      </c>
      <c r="AL261" t="s">
        <v>1216</v>
      </c>
      <c r="AM261" t="s">
        <v>1217</v>
      </c>
      <c r="AN261" t="s">
        <v>118</v>
      </c>
      <c r="AO261" t="s">
        <v>71</v>
      </c>
      <c r="AP261" t="s">
        <v>1162</v>
      </c>
      <c r="AQ261" t="s">
        <v>1163</v>
      </c>
      <c r="AR261" t="s">
        <v>1164</v>
      </c>
    </row>
    <row r="262" spans="1:44" x14ac:dyDescent="0.25">
      <c r="A262" t="s">
        <v>101</v>
      </c>
      <c r="B262" t="s">
        <v>1208</v>
      </c>
      <c r="C262" t="s">
        <v>44</v>
      </c>
      <c r="D262" t="s">
        <v>1153</v>
      </c>
      <c r="E262" t="s">
        <v>1209</v>
      </c>
      <c r="F262" t="s">
        <v>1155</v>
      </c>
      <c r="G262" t="s">
        <v>1156</v>
      </c>
      <c r="H262" t="s">
        <v>260</v>
      </c>
      <c r="I262" t="s">
        <v>261</v>
      </c>
      <c r="J262" t="s">
        <v>1226</v>
      </c>
      <c r="K262" t="s">
        <v>1227</v>
      </c>
      <c r="L262" t="s">
        <v>1228</v>
      </c>
      <c r="M262" t="s">
        <v>1213</v>
      </c>
      <c r="N262" t="s">
        <v>54</v>
      </c>
      <c r="O262" t="s">
        <v>75</v>
      </c>
      <c r="P262" t="s">
        <v>594</v>
      </c>
      <c r="Q262" t="s">
        <v>1229</v>
      </c>
      <c r="R262" s="3">
        <v>8.0000000000000002E-3</v>
      </c>
      <c r="S262" s="3">
        <v>0</v>
      </c>
      <c r="T262" t="s">
        <v>23</v>
      </c>
      <c r="U262" t="s">
        <v>23</v>
      </c>
      <c r="V262" t="s">
        <v>23</v>
      </c>
      <c r="W262" t="s">
        <v>23</v>
      </c>
      <c r="X262" s="3">
        <v>0</v>
      </c>
      <c r="Y262" s="3">
        <v>1.1619999999999999</v>
      </c>
      <c r="Z262" t="s">
        <v>23</v>
      </c>
      <c r="AA262" t="s">
        <v>23</v>
      </c>
      <c r="AB262" t="s">
        <v>977</v>
      </c>
      <c r="AC262" t="s">
        <v>1215</v>
      </c>
      <c r="AD262" t="s">
        <v>61</v>
      </c>
      <c r="AE262" t="s">
        <v>522</v>
      </c>
      <c r="AF262" t="s">
        <v>979</v>
      </c>
      <c r="AG262" t="s">
        <v>980</v>
      </c>
      <c r="AH262" t="s">
        <v>980</v>
      </c>
      <c r="AI262" t="s">
        <v>1159</v>
      </c>
      <c r="AJ262" t="s">
        <v>168</v>
      </c>
      <c r="AK262" t="s">
        <v>169</v>
      </c>
      <c r="AL262" t="s">
        <v>1216</v>
      </c>
      <c r="AM262" t="s">
        <v>1217</v>
      </c>
      <c r="AN262" t="s">
        <v>118</v>
      </c>
      <c r="AO262" t="s">
        <v>71</v>
      </c>
      <c r="AP262" t="s">
        <v>1162</v>
      </c>
      <c r="AQ262" t="s">
        <v>1163</v>
      </c>
      <c r="AR262" t="s">
        <v>1164</v>
      </c>
    </row>
    <row r="263" spans="1:44" x14ac:dyDescent="0.25">
      <c r="A263" t="s">
        <v>101</v>
      </c>
      <c r="B263" t="s">
        <v>1230</v>
      </c>
      <c r="C263" t="s">
        <v>44</v>
      </c>
      <c r="D263" t="s">
        <v>1153</v>
      </c>
      <c r="E263" t="s">
        <v>1209</v>
      </c>
      <c r="F263" t="s">
        <v>1155</v>
      </c>
      <c r="G263" t="s">
        <v>1156</v>
      </c>
      <c r="H263" t="s">
        <v>260</v>
      </c>
      <c r="I263" t="s">
        <v>261</v>
      </c>
      <c r="J263" t="s">
        <v>241</v>
      </c>
      <c r="K263" t="s">
        <v>242</v>
      </c>
      <c r="L263" t="s">
        <v>243</v>
      </c>
      <c r="M263" t="s">
        <v>1213</v>
      </c>
      <c r="N263" t="s">
        <v>54</v>
      </c>
      <c r="O263" t="s">
        <v>122</v>
      </c>
      <c r="P263" t="s">
        <v>107</v>
      </c>
      <c r="Q263" t="s">
        <v>1036</v>
      </c>
      <c r="R263" s="3">
        <v>4.3999999999999997E-2</v>
      </c>
      <c r="S263" s="3">
        <v>0.30599999999999999</v>
      </c>
      <c r="T263" t="s">
        <v>23</v>
      </c>
      <c r="U263" t="s">
        <v>23</v>
      </c>
      <c r="V263" t="s">
        <v>23</v>
      </c>
      <c r="W263" t="s">
        <v>23</v>
      </c>
      <c r="X263" s="3">
        <v>0</v>
      </c>
      <c r="Y263" s="3">
        <v>1.1619999999999999</v>
      </c>
      <c r="Z263" t="s">
        <v>23</v>
      </c>
      <c r="AA263" t="s">
        <v>23</v>
      </c>
      <c r="AB263" t="s">
        <v>977</v>
      </c>
      <c r="AC263" t="s">
        <v>1231</v>
      </c>
      <c r="AD263" t="s">
        <v>61</v>
      </c>
      <c r="AE263" t="s">
        <v>522</v>
      </c>
      <c r="AF263" t="s">
        <v>979</v>
      </c>
      <c r="AG263" t="s">
        <v>980</v>
      </c>
      <c r="AH263" t="s">
        <v>980</v>
      </c>
      <c r="AI263" t="s">
        <v>1184</v>
      </c>
      <c r="AJ263" t="s">
        <v>114</v>
      </c>
      <c r="AK263" t="s">
        <v>115</v>
      </c>
      <c r="AL263" t="s">
        <v>1232</v>
      </c>
      <c r="AM263" t="s">
        <v>1233</v>
      </c>
      <c r="AN263" t="s">
        <v>118</v>
      </c>
      <c r="AO263" t="s">
        <v>567</v>
      </c>
      <c r="AP263" t="s">
        <v>1162</v>
      </c>
      <c r="AQ263" t="s">
        <v>1163</v>
      </c>
      <c r="AR263" t="s">
        <v>1164</v>
      </c>
    </row>
    <row r="264" spans="1:44" x14ac:dyDescent="0.25">
      <c r="A264" t="s">
        <v>101</v>
      </c>
      <c r="B264" t="s">
        <v>1230</v>
      </c>
      <c r="C264" t="s">
        <v>44</v>
      </c>
      <c r="D264" t="s">
        <v>1153</v>
      </c>
      <c r="E264" t="s">
        <v>1209</v>
      </c>
      <c r="F264" t="s">
        <v>1155</v>
      </c>
      <c r="G264" t="s">
        <v>1156</v>
      </c>
      <c r="H264" t="s">
        <v>260</v>
      </c>
      <c r="I264" t="s">
        <v>261</v>
      </c>
      <c r="J264" t="s">
        <v>241</v>
      </c>
      <c r="K264" t="s">
        <v>242</v>
      </c>
      <c r="L264" t="s">
        <v>243</v>
      </c>
      <c r="M264" t="s">
        <v>1213</v>
      </c>
      <c r="N264" t="s">
        <v>54</v>
      </c>
      <c r="O264" t="s">
        <v>249</v>
      </c>
      <c r="P264" t="s">
        <v>107</v>
      </c>
      <c r="Q264" t="s">
        <v>250</v>
      </c>
      <c r="R264" s="3">
        <v>0.26200000000000001</v>
      </c>
      <c r="S264" s="3">
        <v>0</v>
      </c>
      <c r="T264" t="s">
        <v>23</v>
      </c>
      <c r="U264" t="s">
        <v>23</v>
      </c>
      <c r="V264" t="s">
        <v>23</v>
      </c>
      <c r="W264" t="s">
        <v>23</v>
      </c>
      <c r="X264" s="3">
        <v>0</v>
      </c>
      <c r="Y264" s="3">
        <v>1.1619999999999999</v>
      </c>
      <c r="Z264" t="s">
        <v>23</v>
      </c>
      <c r="AA264" t="s">
        <v>23</v>
      </c>
      <c r="AB264" t="s">
        <v>977</v>
      </c>
      <c r="AC264" t="s">
        <v>1231</v>
      </c>
      <c r="AD264" t="s">
        <v>61</v>
      </c>
      <c r="AE264" t="s">
        <v>522</v>
      </c>
      <c r="AF264" t="s">
        <v>979</v>
      </c>
      <c r="AG264" t="s">
        <v>980</v>
      </c>
      <c r="AH264" t="s">
        <v>980</v>
      </c>
      <c r="AI264" t="s">
        <v>1184</v>
      </c>
      <c r="AJ264" t="s">
        <v>114</v>
      </c>
      <c r="AK264" t="s">
        <v>115</v>
      </c>
      <c r="AL264" t="s">
        <v>1232</v>
      </c>
      <c r="AM264" t="s">
        <v>1233</v>
      </c>
      <c r="AN264" t="s">
        <v>118</v>
      </c>
      <c r="AO264" t="s">
        <v>71</v>
      </c>
      <c r="AP264" t="s">
        <v>1162</v>
      </c>
      <c r="AQ264" t="s">
        <v>1163</v>
      </c>
      <c r="AR264" t="s">
        <v>1164</v>
      </c>
    </row>
    <row r="265" spans="1:44" x14ac:dyDescent="0.25">
      <c r="A265" t="s">
        <v>254</v>
      </c>
      <c r="B265" t="s">
        <v>1234</v>
      </c>
      <c r="C265" t="s">
        <v>44</v>
      </c>
      <c r="D265" t="s">
        <v>1153</v>
      </c>
      <c r="E265" t="s">
        <v>1235</v>
      </c>
      <c r="F265" t="s">
        <v>1155</v>
      </c>
      <c r="G265" t="s">
        <v>1156</v>
      </c>
      <c r="H265" t="s">
        <v>260</v>
      </c>
      <c r="I265" t="s">
        <v>261</v>
      </c>
      <c r="J265" t="s">
        <v>973</v>
      </c>
      <c r="K265" t="s">
        <v>974</v>
      </c>
      <c r="L265" t="s">
        <v>975</v>
      </c>
      <c r="M265" t="s">
        <v>1236</v>
      </c>
      <c r="N265" t="s">
        <v>54</v>
      </c>
      <c r="O265" t="s">
        <v>75</v>
      </c>
      <c r="P265" t="s">
        <v>106</v>
      </c>
      <c r="Q265" t="s">
        <v>164</v>
      </c>
      <c r="R265" s="3">
        <v>0.02</v>
      </c>
      <c r="S265" t="s">
        <v>23</v>
      </c>
      <c r="T265" s="3">
        <v>0.02</v>
      </c>
      <c r="U265" t="s">
        <v>23</v>
      </c>
      <c r="V265" t="s">
        <v>23</v>
      </c>
      <c r="W265" t="s">
        <v>23</v>
      </c>
      <c r="X265" s="3">
        <v>0</v>
      </c>
      <c r="Y265" s="3">
        <v>1.1619999999999999</v>
      </c>
      <c r="Z265" t="s">
        <v>23</v>
      </c>
      <c r="AA265" t="s">
        <v>23</v>
      </c>
      <c r="AB265" t="s">
        <v>977</v>
      </c>
      <c r="AC265" t="s">
        <v>1237</v>
      </c>
      <c r="AD265" t="s">
        <v>61</v>
      </c>
      <c r="AE265" t="s">
        <v>522</v>
      </c>
      <c r="AF265" t="s">
        <v>979</v>
      </c>
      <c r="AG265" t="s">
        <v>980</v>
      </c>
      <c r="AH265" t="s">
        <v>980</v>
      </c>
      <c r="AI265" t="s">
        <v>1159</v>
      </c>
      <c r="AJ265" t="s">
        <v>273</v>
      </c>
      <c r="AK265" t="s">
        <v>274</v>
      </c>
      <c r="AL265" t="s">
        <v>1238</v>
      </c>
      <c r="AM265" t="s">
        <v>1239</v>
      </c>
      <c r="AN265" t="s">
        <v>118</v>
      </c>
      <c r="AO265" t="s">
        <v>71</v>
      </c>
      <c r="AP265" t="s">
        <v>1162</v>
      </c>
      <c r="AQ265" t="s">
        <v>1163</v>
      </c>
      <c r="AR265" t="s">
        <v>1164</v>
      </c>
    </row>
    <row r="266" spans="1:44" x14ac:dyDescent="0.25">
      <c r="A266" s="4" t="s">
        <v>23</v>
      </c>
      <c r="B266" s="4" t="s">
        <v>23</v>
      </c>
      <c r="C266" s="4" t="s">
        <v>23</v>
      </c>
      <c r="D266" s="4" t="s">
        <v>23</v>
      </c>
      <c r="E266" s="4" t="s">
        <v>23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5">
        <v>1.1619999999999999</v>
      </c>
      <c r="S266" s="5">
        <v>0.73</v>
      </c>
      <c r="T266" s="5">
        <v>0.02</v>
      </c>
      <c r="U266" s="5">
        <v>0.08</v>
      </c>
      <c r="V266" s="4" t="s">
        <v>23</v>
      </c>
      <c r="W266" s="5">
        <v>0.33200000000000002</v>
      </c>
      <c r="X266" s="5">
        <v>1.1619999999999999</v>
      </c>
      <c r="Y266" s="5">
        <v>1.1619999999999999</v>
      </c>
      <c r="Z266" s="4" t="s">
        <v>23</v>
      </c>
      <c r="AA266" s="4" t="s">
        <v>23</v>
      </c>
      <c r="AB266" s="4" t="s">
        <v>23</v>
      </c>
      <c r="AC266" s="4" t="s">
        <v>23</v>
      </c>
      <c r="AD266" s="4" t="s">
        <v>23</v>
      </c>
      <c r="AE266" s="4" t="s">
        <v>23</v>
      </c>
      <c r="AF266" s="4" t="s">
        <v>23</v>
      </c>
      <c r="AG266" s="4" t="s">
        <v>23</v>
      </c>
      <c r="AH266" s="4" t="s">
        <v>23</v>
      </c>
      <c r="AI266" s="4" t="s">
        <v>23</v>
      </c>
      <c r="AJ266" s="4" t="s">
        <v>23</v>
      </c>
      <c r="AK266" s="4" t="s">
        <v>23</v>
      </c>
      <c r="AL266" s="4" t="s">
        <v>23</v>
      </c>
      <c r="AM266" s="4" t="s">
        <v>23</v>
      </c>
      <c r="AN266" s="4" t="s">
        <v>23</v>
      </c>
      <c r="AO266" s="4" t="s">
        <v>23</v>
      </c>
      <c r="AP266" s="4" t="s">
        <v>23</v>
      </c>
      <c r="AQ266" s="4" t="s">
        <v>23</v>
      </c>
      <c r="AR266" s="4" t="s">
        <v>23</v>
      </c>
    </row>
    <row r="267" spans="1:44" x14ac:dyDescent="0.25">
      <c r="A267" t="s">
        <v>101</v>
      </c>
      <c r="B267" t="s">
        <v>1240</v>
      </c>
      <c r="C267" t="s">
        <v>44</v>
      </c>
      <c r="D267" t="s">
        <v>1241</v>
      </c>
      <c r="E267" t="s">
        <v>706</v>
      </c>
      <c r="F267" t="s">
        <v>707</v>
      </c>
      <c r="G267" t="s">
        <v>708</v>
      </c>
      <c r="H267" t="s">
        <v>260</v>
      </c>
      <c r="I267" t="s">
        <v>261</v>
      </c>
      <c r="J267" t="s">
        <v>425</v>
      </c>
      <c r="K267" t="s">
        <v>426</v>
      </c>
      <c r="L267" t="s">
        <v>427</v>
      </c>
      <c r="M267" t="s">
        <v>709</v>
      </c>
      <c r="N267" t="s">
        <v>428</v>
      </c>
      <c r="O267" t="s">
        <v>1242</v>
      </c>
      <c r="P267" t="s">
        <v>93</v>
      </c>
      <c r="Q267" t="s">
        <v>1243</v>
      </c>
      <c r="R267" s="3">
        <v>1.875</v>
      </c>
      <c r="S267" s="3">
        <v>1.875</v>
      </c>
      <c r="T267" t="s">
        <v>23</v>
      </c>
      <c r="U267" t="s">
        <v>23</v>
      </c>
      <c r="V267" t="s">
        <v>23</v>
      </c>
      <c r="W267" t="s">
        <v>23</v>
      </c>
      <c r="X267" s="3">
        <v>1.875</v>
      </c>
      <c r="Y267" s="3">
        <v>1.875</v>
      </c>
      <c r="Z267" t="s">
        <v>23</v>
      </c>
      <c r="AA267" t="s">
        <v>1244</v>
      </c>
      <c r="AB267" t="s">
        <v>283</v>
      </c>
      <c r="AC267" t="s">
        <v>719</v>
      </c>
      <c r="AD267" t="s">
        <v>61</v>
      </c>
      <c r="AE267" t="s">
        <v>62</v>
      </c>
      <c r="AF267" t="s">
        <v>285</v>
      </c>
      <c r="AG267" t="s">
        <v>577</v>
      </c>
      <c r="AH267" t="s">
        <v>272</v>
      </c>
      <c r="AI267" t="s">
        <v>23</v>
      </c>
      <c r="AJ267" t="s">
        <v>114</v>
      </c>
      <c r="AK267" t="s">
        <v>115</v>
      </c>
      <c r="AL267" t="s">
        <v>1245</v>
      </c>
      <c r="AM267" t="s">
        <v>1246</v>
      </c>
      <c r="AN267" t="s">
        <v>118</v>
      </c>
      <c r="AO267" t="s">
        <v>71</v>
      </c>
      <c r="AP267" t="s">
        <v>544</v>
      </c>
      <c r="AQ267" t="s">
        <v>715</v>
      </c>
      <c r="AR267" t="s">
        <v>1247</v>
      </c>
    </row>
    <row r="268" spans="1:44" x14ac:dyDescent="0.25">
      <c r="A268" s="4" t="s">
        <v>23</v>
      </c>
      <c r="B268" s="4" t="s">
        <v>23</v>
      </c>
      <c r="C268" s="4" t="s">
        <v>23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5">
        <v>1.875</v>
      </c>
      <c r="S268" s="5">
        <v>1.875</v>
      </c>
      <c r="T268" s="4" t="s">
        <v>23</v>
      </c>
      <c r="U268" s="4" t="s">
        <v>23</v>
      </c>
      <c r="V268" s="4" t="s">
        <v>23</v>
      </c>
      <c r="W268" s="4" t="s">
        <v>23</v>
      </c>
      <c r="X268" s="5">
        <v>1.875</v>
      </c>
      <c r="Y268" s="5">
        <v>1.875</v>
      </c>
      <c r="Z268" s="4" t="s">
        <v>23</v>
      </c>
      <c r="AA268" s="4" t="s">
        <v>23</v>
      </c>
      <c r="AB268" s="4" t="s">
        <v>23</v>
      </c>
      <c r="AC268" s="4" t="s">
        <v>23</v>
      </c>
      <c r="AD268" s="4" t="s">
        <v>23</v>
      </c>
      <c r="AE268" s="4" t="s">
        <v>23</v>
      </c>
      <c r="AF268" s="4" t="s">
        <v>23</v>
      </c>
      <c r="AG268" s="4" t="s">
        <v>23</v>
      </c>
      <c r="AH268" s="4" t="s">
        <v>23</v>
      </c>
      <c r="AI268" s="4" t="s">
        <v>23</v>
      </c>
      <c r="AJ268" s="4" t="s">
        <v>23</v>
      </c>
      <c r="AK268" s="4" t="s">
        <v>23</v>
      </c>
      <c r="AL268" s="4" t="s">
        <v>23</v>
      </c>
      <c r="AM268" s="4" t="s">
        <v>23</v>
      </c>
      <c r="AN268" s="4" t="s">
        <v>23</v>
      </c>
      <c r="AO268" s="4" t="s">
        <v>23</v>
      </c>
      <c r="AP268" s="4" t="s">
        <v>23</v>
      </c>
      <c r="AQ268" s="4" t="s">
        <v>23</v>
      </c>
      <c r="AR268" s="4" t="s">
        <v>23</v>
      </c>
    </row>
    <row r="269" spans="1:44" x14ac:dyDescent="0.25">
      <c r="A269" t="s">
        <v>101</v>
      </c>
      <c r="B269" t="s">
        <v>1248</v>
      </c>
      <c r="C269" t="s">
        <v>44</v>
      </c>
      <c r="D269" t="s">
        <v>1249</v>
      </c>
      <c r="E269" t="s">
        <v>1250</v>
      </c>
      <c r="F269" t="s">
        <v>1251</v>
      </c>
      <c r="G269" t="s">
        <v>1252</v>
      </c>
      <c r="H269" t="s">
        <v>49</v>
      </c>
      <c r="I269" t="s">
        <v>50</v>
      </c>
      <c r="J269" t="s">
        <v>241</v>
      </c>
      <c r="K269" t="s">
        <v>242</v>
      </c>
      <c r="L269" t="s">
        <v>243</v>
      </c>
      <c r="M269" t="s">
        <v>23</v>
      </c>
      <c r="N269" t="s">
        <v>54</v>
      </c>
      <c r="O269" t="s">
        <v>143</v>
      </c>
      <c r="P269" t="s">
        <v>107</v>
      </c>
      <c r="Q269" t="s">
        <v>144</v>
      </c>
      <c r="R269" s="3">
        <v>0.92800000000000005</v>
      </c>
      <c r="S269" s="3">
        <v>6.1470000000000002</v>
      </c>
      <c r="T269" t="s">
        <v>23</v>
      </c>
      <c r="U269" t="s">
        <v>23</v>
      </c>
      <c r="V269" t="s">
        <v>23</v>
      </c>
      <c r="W269" t="s">
        <v>23</v>
      </c>
      <c r="X269" s="3">
        <v>7.0750000000000002</v>
      </c>
      <c r="Y269" s="3">
        <v>14.32</v>
      </c>
      <c r="Z269" t="s">
        <v>23</v>
      </c>
      <c r="AA269" t="s">
        <v>1253</v>
      </c>
      <c r="AB269" t="s">
        <v>109</v>
      </c>
      <c r="AC269" t="s">
        <v>1254</v>
      </c>
      <c r="AD269" t="s">
        <v>61</v>
      </c>
      <c r="AE269" t="s">
        <v>62</v>
      </c>
      <c r="AF269" t="s">
        <v>111</v>
      </c>
      <c r="AG269" t="s">
        <v>112</v>
      </c>
      <c r="AH269" t="s">
        <v>113</v>
      </c>
      <c r="AI269" t="s">
        <v>23</v>
      </c>
      <c r="AJ269" t="s">
        <v>114</v>
      </c>
      <c r="AK269" t="s">
        <v>115</v>
      </c>
      <c r="AL269" t="s">
        <v>1255</v>
      </c>
      <c r="AM269" t="s">
        <v>1256</v>
      </c>
      <c r="AN269" t="s">
        <v>118</v>
      </c>
      <c r="AO269" t="s">
        <v>71</v>
      </c>
      <c r="AP269" t="s">
        <v>23</v>
      </c>
      <c r="AQ269" t="s">
        <v>23</v>
      </c>
      <c r="AR269" t="s">
        <v>23</v>
      </c>
    </row>
    <row r="270" spans="1:44" x14ac:dyDescent="0.25">
      <c r="A270" t="s">
        <v>101</v>
      </c>
      <c r="B270" t="s">
        <v>1248</v>
      </c>
      <c r="C270" t="s">
        <v>44</v>
      </c>
      <c r="D270" t="s">
        <v>1249</v>
      </c>
      <c r="E270" t="s">
        <v>1250</v>
      </c>
      <c r="F270" t="s">
        <v>1251</v>
      </c>
      <c r="G270" t="s">
        <v>1252</v>
      </c>
      <c r="H270" t="s">
        <v>49</v>
      </c>
      <c r="I270" t="s">
        <v>50</v>
      </c>
      <c r="J270" t="s">
        <v>295</v>
      </c>
      <c r="K270" t="s">
        <v>296</v>
      </c>
      <c r="L270" t="s">
        <v>297</v>
      </c>
      <c r="M270" t="s">
        <v>23</v>
      </c>
      <c r="N270" t="s">
        <v>54</v>
      </c>
      <c r="O270" t="s">
        <v>143</v>
      </c>
      <c r="P270" t="s">
        <v>107</v>
      </c>
      <c r="Q270" t="s">
        <v>144</v>
      </c>
      <c r="R270" s="3">
        <v>0.92800000000000005</v>
      </c>
      <c r="S270" s="3">
        <v>0</v>
      </c>
      <c r="T270" t="s">
        <v>23</v>
      </c>
      <c r="U270" t="s">
        <v>23</v>
      </c>
      <c r="V270" t="s">
        <v>23</v>
      </c>
      <c r="W270" t="s">
        <v>23</v>
      </c>
      <c r="X270" s="3">
        <v>0</v>
      </c>
      <c r="Y270" s="3">
        <v>14.32</v>
      </c>
      <c r="Z270" t="s">
        <v>23</v>
      </c>
      <c r="AA270" t="s">
        <v>1253</v>
      </c>
      <c r="AB270" t="s">
        <v>109</v>
      </c>
      <c r="AC270" t="s">
        <v>1254</v>
      </c>
      <c r="AD270" t="s">
        <v>61</v>
      </c>
      <c r="AE270" t="s">
        <v>62</v>
      </c>
      <c r="AF270" t="s">
        <v>111</v>
      </c>
      <c r="AG270" t="s">
        <v>112</v>
      </c>
      <c r="AH270" t="s">
        <v>113</v>
      </c>
      <c r="AI270" t="s">
        <v>23</v>
      </c>
      <c r="AJ270" t="s">
        <v>114</v>
      </c>
      <c r="AK270" t="s">
        <v>115</v>
      </c>
      <c r="AL270" t="s">
        <v>1255</v>
      </c>
      <c r="AM270" t="s">
        <v>1256</v>
      </c>
      <c r="AN270" t="s">
        <v>118</v>
      </c>
      <c r="AO270" t="s">
        <v>71</v>
      </c>
      <c r="AP270" t="s">
        <v>23</v>
      </c>
      <c r="AQ270" t="s">
        <v>23</v>
      </c>
      <c r="AR270" t="s">
        <v>23</v>
      </c>
    </row>
    <row r="271" spans="1:44" x14ac:dyDescent="0.25">
      <c r="A271" t="s">
        <v>101</v>
      </c>
      <c r="B271" t="s">
        <v>1248</v>
      </c>
      <c r="C271" t="s">
        <v>44</v>
      </c>
      <c r="D271" t="s">
        <v>1249</v>
      </c>
      <c r="E271" t="s">
        <v>1250</v>
      </c>
      <c r="F271" t="s">
        <v>1251</v>
      </c>
      <c r="G271" t="s">
        <v>1252</v>
      </c>
      <c r="H271" t="s">
        <v>49</v>
      </c>
      <c r="I271" t="s">
        <v>50</v>
      </c>
      <c r="J271" t="s">
        <v>140</v>
      </c>
      <c r="K271" t="s">
        <v>141</v>
      </c>
      <c r="L271" t="s">
        <v>142</v>
      </c>
      <c r="M271" t="s">
        <v>23</v>
      </c>
      <c r="N271" t="s">
        <v>54</v>
      </c>
      <c r="O271" t="s">
        <v>421</v>
      </c>
      <c r="P271" t="s">
        <v>107</v>
      </c>
      <c r="Q271" t="s">
        <v>422</v>
      </c>
      <c r="R271" s="3">
        <v>1.8560000000000001</v>
      </c>
      <c r="S271" s="3">
        <v>0</v>
      </c>
      <c r="T271" t="s">
        <v>23</v>
      </c>
      <c r="U271" t="s">
        <v>23</v>
      </c>
      <c r="V271" t="s">
        <v>23</v>
      </c>
      <c r="W271" t="s">
        <v>23</v>
      </c>
      <c r="X271" s="3">
        <v>0</v>
      </c>
      <c r="Y271" s="3">
        <v>14.32</v>
      </c>
      <c r="Z271" t="s">
        <v>23</v>
      </c>
      <c r="AA271" t="s">
        <v>1253</v>
      </c>
      <c r="AB271" t="s">
        <v>109</v>
      </c>
      <c r="AC271" t="s">
        <v>1254</v>
      </c>
      <c r="AD271" t="s">
        <v>61</v>
      </c>
      <c r="AE271" t="s">
        <v>62</v>
      </c>
      <c r="AF271" t="s">
        <v>111</v>
      </c>
      <c r="AG271" t="s">
        <v>112</v>
      </c>
      <c r="AH271" t="s">
        <v>113</v>
      </c>
      <c r="AI271" t="s">
        <v>23</v>
      </c>
      <c r="AJ271" t="s">
        <v>114</v>
      </c>
      <c r="AK271" t="s">
        <v>115</v>
      </c>
      <c r="AL271" t="s">
        <v>1255</v>
      </c>
      <c r="AM271" t="s">
        <v>1256</v>
      </c>
      <c r="AN271" t="s">
        <v>118</v>
      </c>
      <c r="AO271" t="s">
        <v>71</v>
      </c>
      <c r="AP271" t="s">
        <v>23</v>
      </c>
      <c r="AQ271" t="s">
        <v>23</v>
      </c>
      <c r="AR271" t="s">
        <v>23</v>
      </c>
    </row>
    <row r="272" spans="1:44" x14ac:dyDescent="0.25">
      <c r="A272" t="s">
        <v>101</v>
      </c>
      <c r="B272" t="s">
        <v>1248</v>
      </c>
      <c r="C272" t="s">
        <v>44</v>
      </c>
      <c r="D272" t="s">
        <v>1249</v>
      </c>
      <c r="E272" t="s">
        <v>1250</v>
      </c>
      <c r="F272" t="s">
        <v>1251</v>
      </c>
      <c r="G272" t="s">
        <v>1252</v>
      </c>
      <c r="H272" t="s">
        <v>49</v>
      </c>
      <c r="I272" t="s">
        <v>50</v>
      </c>
      <c r="J272" t="s">
        <v>145</v>
      </c>
      <c r="K272" t="s">
        <v>146</v>
      </c>
      <c r="L272" t="s">
        <v>147</v>
      </c>
      <c r="M272" t="s">
        <v>23</v>
      </c>
      <c r="N272" t="s">
        <v>54</v>
      </c>
      <c r="O272" t="s">
        <v>506</v>
      </c>
      <c r="P272" t="s">
        <v>149</v>
      </c>
      <c r="Q272" t="s">
        <v>1257</v>
      </c>
      <c r="R272" s="3">
        <v>1.31</v>
      </c>
      <c r="S272" s="3">
        <v>0</v>
      </c>
      <c r="T272" t="s">
        <v>23</v>
      </c>
      <c r="U272" t="s">
        <v>23</v>
      </c>
      <c r="V272" t="s">
        <v>23</v>
      </c>
      <c r="W272" t="s">
        <v>23</v>
      </c>
      <c r="X272" s="3">
        <v>0</v>
      </c>
      <c r="Y272" s="3">
        <v>14.32</v>
      </c>
      <c r="Z272" t="s">
        <v>23</v>
      </c>
      <c r="AA272" t="s">
        <v>1253</v>
      </c>
      <c r="AB272" t="s">
        <v>109</v>
      </c>
      <c r="AC272" t="s">
        <v>1254</v>
      </c>
      <c r="AD272" t="s">
        <v>61</v>
      </c>
      <c r="AE272" t="s">
        <v>62</v>
      </c>
      <c r="AF272" t="s">
        <v>111</v>
      </c>
      <c r="AG272" t="s">
        <v>112</v>
      </c>
      <c r="AH272" t="s">
        <v>113</v>
      </c>
      <c r="AI272" t="s">
        <v>23</v>
      </c>
      <c r="AJ272" t="s">
        <v>114</v>
      </c>
      <c r="AK272" t="s">
        <v>115</v>
      </c>
      <c r="AL272" t="s">
        <v>1255</v>
      </c>
      <c r="AM272" t="s">
        <v>1256</v>
      </c>
      <c r="AN272" t="s">
        <v>118</v>
      </c>
      <c r="AO272" t="s">
        <v>71</v>
      </c>
      <c r="AP272" t="s">
        <v>23</v>
      </c>
      <c r="AQ272" t="s">
        <v>23</v>
      </c>
      <c r="AR272" t="s">
        <v>23</v>
      </c>
    </row>
    <row r="273" spans="1:44" x14ac:dyDescent="0.25">
      <c r="A273" t="s">
        <v>101</v>
      </c>
      <c r="B273" t="s">
        <v>1248</v>
      </c>
      <c r="C273" t="s">
        <v>44</v>
      </c>
      <c r="D273" t="s">
        <v>1249</v>
      </c>
      <c r="E273" t="s">
        <v>1250</v>
      </c>
      <c r="F273" t="s">
        <v>1251</v>
      </c>
      <c r="G273" t="s">
        <v>1252</v>
      </c>
      <c r="H273" t="s">
        <v>49</v>
      </c>
      <c r="I273" t="s">
        <v>50</v>
      </c>
      <c r="J273" t="s">
        <v>425</v>
      </c>
      <c r="K273" t="s">
        <v>426</v>
      </c>
      <c r="L273" t="s">
        <v>427</v>
      </c>
      <c r="M273" t="s">
        <v>23</v>
      </c>
      <c r="N273" t="s">
        <v>428</v>
      </c>
      <c r="O273" t="s">
        <v>55</v>
      </c>
      <c r="P273" t="s">
        <v>93</v>
      </c>
      <c r="Q273" t="s">
        <v>718</v>
      </c>
      <c r="R273" s="3">
        <v>0.375</v>
      </c>
      <c r="S273" s="3">
        <v>0</v>
      </c>
      <c r="T273" t="s">
        <v>23</v>
      </c>
      <c r="U273" t="s">
        <v>23</v>
      </c>
      <c r="V273" t="s">
        <v>23</v>
      </c>
      <c r="W273" t="s">
        <v>23</v>
      </c>
      <c r="X273" s="3">
        <v>0</v>
      </c>
      <c r="Y273" s="3">
        <v>14.32</v>
      </c>
      <c r="Z273" t="s">
        <v>23</v>
      </c>
      <c r="AA273" t="s">
        <v>1253</v>
      </c>
      <c r="AB273" t="s">
        <v>109</v>
      </c>
      <c r="AC273" t="s">
        <v>1254</v>
      </c>
      <c r="AD273" t="s">
        <v>61</v>
      </c>
      <c r="AE273" t="s">
        <v>62</v>
      </c>
      <c r="AF273" t="s">
        <v>111</v>
      </c>
      <c r="AG273" t="s">
        <v>112</v>
      </c>
      <c r="AH273" t="s">
        <v>113</v>
      </c>
      <c r="AI273" t="s">
        <v>23</v>
      </c>
      <c r="AJ273" t="s">
        <v>114</v>
      </c>
      <c r="AK273" t="s">
        <v>115</v>
      </c>
      <c r="AL273" t="s">
        <v>1255</v>
      </c>
      <c r="AM273" t="s">
        <v>1256</v>
      </c>
      <c r="AN273" t="s">
        <v>118</v>
      </c>
      <c r="AO273" t="s">
        <v>71</v>
      </c>
      <c r="AP273" t="s">
        <v>23</v>
      </c>
      <c r="AQ273" t="s">
        <v>23</v>
      </c>
      <c r="AR273" t="s">
        <v>23</v>
      </c>
    </row>
    <row r="274" spans="1:44" x14ac:dyDescent="0.25">
      <c r="A274" t="s">
        <v>101</v>
      </c>
      <c r="B274" t="s">
        <v>1248</v>
      </c>
      <c r="C274" t="s">
        <v>44</v>
      </c>
      <c r="D274" t="s">
        <v>1249</v>
      </c>
      <c r="E274" t="s">
        <v>1250</v>
      </c>
      <c r="F274" t="s">
        <v>1251</v>
      </c>
      <c r="G274" t="s">
        <v>1252</v>
      </c>
      <c r="H274" t="s">
        <v>49</v>
      </c>
      <c r="I274" t="s">
        <v>50</v>
      </c>
      <c r="J274" t="s">
        <v>431</v>
      </c>
      <c r="K274" t="s">
        <v>432</v>
      </c>
      <c r="L274" t="s">
        <v>433</v>
      </c>
      <c r="M274" t="s">
        <v>23</v>
      </c>
      <c r="N274" t="s">
        <v>428</v>
      </c>
      <c r="O274" t="s">
        <v>398</v>
      </c>
      <c r="P274" t="s">
        <v>93</v>
      </c>
      <c r="Q274" t="s">
        <v>282</v>
      </c>
      <c r="R274" s="3">
        <v>0.75</v>
      </c>
      <c r="S274" s="3">
        <v>0</v>
      </c>
      <c r="T274" t="s">
        <v>23</v>
      </c>
      <c r="U274" t="s">
        <v>23</v>
      </c>
      <c r="V274" t="s">
        <v>23</v>
      </c>
      <c r="W274" t="s">
        <v>23</v>
      </c>
      <c r="X274" s="3">
        <v>0</v>
      </c>
      <c r="Y274" s="3">
        <v>14.32</v>
      </c>
      <c r="Z274" t="s">
        <v>23</v>
      </c>
      <c r="AA274" t="s">
        <v>1253</v>
      </c>
      <c r="AB274" t="s">
        <v>109</v>
      </c>
      <c r="AC274" t="s">
        <v>1254</v>
      </c>
      <c r="AD274" t="s">
        <v>61</v>
      </c>
      <c r="AE274" t="s">
        <v>62</v>
      </c>
      <c r="AF274" t="s">
        <v>111</v>
      </c>
      <c r="AG274" t="s">
        <v>112</v>
      </c>
      <c r="AH274" t="s">
        <v>113</v>
      </c>
      <c r="AI274" t="s">
        <v>23</v>
      </c>
      <c r="AJ274" t="s">
        <v>114</v>
      </c>
      <c r="AK274" t="s">
        <v>115</v>
      </c>
      <c r="AL274" t="s">
        <v>1255</v>
      </c>
      <c r="AM274" t="s">
        <v>1256</v>
      </c>
      <c r="AN274" t="s">
        <v>118</v>
      </c>
      <c r="AO274" t="s">
        <v>71</v>
      </c>
      <c r="AP274" t="s">
        <v>23</v>
      </c>
      <c r="AQ274" t="s">
        <v>23</v>
      </c>
      <c r="AR274" t="s">
        <v>23</v>
      </c>
    </row>
    <row r="275" spans="1:44" x14ac:dyDescent="0.25">
      <c r="A275" t="s">
        <v>101</v>
      </c>
      <c r="B275" t="s">
        <v>1258</v>
      </c>
      <c r="C275" t="s">
        <v>44</v>
      </c>
      <c r="D275" t="s">
        <v>1249</v>
      </c>
      <c r="E275" t="s">
        <v>1250</v>
      </c>
      <c r="F275" t="s">
        <v>1251</v>
      </c>
      <c r="G275" t="s">
        <v>1252</v>
      </c>
      <c r="H275" t="s">
        <v>49</v>
      </c>
      <c r="I275" t="s">
        <v>50</v>
      </c>
      <c r="J275" t="s">
        <v>241</v>
      </c>
      <c r="K275" t="s">
        <v>242</v>
      </c>
      <c r="L275" t="s">
        <v>243</v>
      </c>
      <c r="M275" t="s">
        <v>23</v>
      </c>
      <c r="N275" t="s">
        <v>54</v>
      </c>
      <c r="O275" t="s">
        <v>143</v>
      </c>
      <c r="P275" t="s">
        <v>107</v>
      </c>
      <c r="Q275" t="s">
        <v>144</v>
      </c>
      <c r="R275" s="3">
        <v>0.92800000000000005</v>
      </c>
      <c r="S275" s="3">
        <v>0.92800000000000005</v>
      </c>
      <c r="T275" t="s">
        <v>23</v>
      </c>
      <c r="U275" t="s">
        <v>23</v>
      </c>
      <c r="V275" t="s">
        <v>23</v>
      </c>
      <c r="W275" t="s">
        <v>23</v>
      </c>
      <c r="X275" s="3">
        <v>0</v>
      </c>
      <c r="Y275" s="3">
        <v>14.32</v>
      </c>
      <c r="Z275" t="s">
        <v>23</v>
      </c>
      <c r="AA275" t="s">
        <v>1253</v>
      </c>
      <c r="AB275" t="s">
        <v>109</v>
      </c>
      <c r="AC275" t="s">
        <v>1259</v>
      </c>
      <c r="AD275" t="s">
        <v>61</v>
      </c>
      <c r="AE275" t="s">
        <v>62</v>
      </c>
      <c r="AF275" t="s">
        <v>111</v>
      </c>
      <c r="AG275" t="s">
        <v>112</v>
      </c>
      <c r="AH275" t="s">
        <v>113</v>
      </c>
      <c r="AI275" t="s">
        <v>98</v>
      </c>
      <c r="AJ275" t="s">
        <v>114</v>
      </c>
      <c r="AK275" t="s">
        <v>115</v>
      </c>
      <c r="AL275" t="s">
        <v>1260</v>
      </c>
      <c r="AM275" t="s">
        <v>1261</v>
      </c>
      <c r="AN275" t="s">
        <v>118</v>
      </c>
      <c r="AO275" t="s">
        <v>71</v>
      </c>
      <c r="AP275" t="s">
        <v>23</v>
      </c>
      <c r="AQ275" t="s">
        <v>23</v>
      </c>
      <c r="AR275" t="s">
        <v>23</v>
      </c>
    </row>
    <row r="276" spans="1:44" x14ac:dyDescent="0.25">
      <c r="A276" t="s">
        <v>311</v>
      </c>
      <c r="B276" t="s">
        <v>1262</v>
      </c>
      <c r="C276" t="s">
        <v>44</v>
      </c>
      <c r="D276" t="s">
        <v>1249</v>
      </c>
      <c r="E276" t="s">
        <v>1250</v>
      </c>
      <c r="F276" t="s">
        <v>1251</v>
      </c>
      <c r="G276" t="s">
        <v>1252</v>
      </c>
      <c r="H276" t="s">
        <v>49</v>
      </c>
      <c r="I276" t="s">
        <v>50</v>
      </c>
      <c r="J276" t="s">
        <v>493</v>
      </c>
      <c r="K276" t="s">
        <v>494</v>
      </c>
      <c r="L276" t="s">
        <v>495</v>
      </c>
      <c r="M276" t="s">
        <v>23</v>
      </c>
      <c r="N276" t="s">
        <v>496</v>
      </c>
      <c r="O276" t="s">
        <v>179</v>
      </c>
      <c r="P276" t="s">
        <v>497</v>
      </c>
      <c r="Q276" t="s">
        <v>497</v>
      </c>
      <c r="R276" s="3">
        <v>0</v>
      </c>
      <c r="S276" t="s">
        <v>23</v>
      </c>
      <c r="T276" t="s">
        <v>23</v>
      </c>
      <c r="U276" t="s">
        <v>23</v>
      </c>
      <c r="V276" t="s">
        <v>23</v>
      </c>
      <c r="W276" s="3">
        <v>0</v>
      </c>
      <c r="X276" s="3">
        <v>7.2450000000000001</v>
      </c>
      <c r="Y276" s="3">
        <v>14.32</v>
      </c>
      <c r="Z276" t="s">
        <v>23</v>
      </c>
      <c r="AA276" t="s">
        <v>1263</v>
      </c>
      <c r="AB276" t="s">
        <v>320</v>
      </c>
      <c r="AC276" t="s">
        <v>1264</v>
      </c>
      <c r="AD276" t="s">
        <v>61</v>
      </c>
      <c r="AE276" t="s">
        <v>62</v>
      </c>
      <c r="AF276" t="s">
        <v>321</v>
      </c>
      <c r="AG276" t="s">
        <v>322</v>
      </c>
      <c r="AH276" t="s">
        <v>322</v>
      </c>
      <c r="AI276" t="s">
        <v>23</v>
      </c>
      <c r="AJ276" t="s">
        <v>323</v>
      </c>
      <c r="AK276" t="s">
        <v>324</v>
      </c>
      <c r="AL276" t="s">
        <v>1265</v>
      </c>
      <c r="AM276" t="s">
        <v>1266</v>
      </c>
      <c r="AN276" t="s">
        <v>118</v>
      </c>
      <c r="AO276" t="s">
        <v>501</v>
      </c>
      <c r="AP276" t="s">
        <v>23</v>
      </c>
      <c r="AQ276" t="s">
        <v>23</v>
      </c>
      <c r="AR276" t="s">
        <v>23</v>
      </c>
    </row>
    <row r="277" spans="1:44" x14ac:dyDescent="0.25">
      <c r="A277" t="s">
        <v>311</v>
      </c>
      <c r="B277" t="s">
        <v>1267</v>
      </c>
      <c r="C277" t="s">
        <v>44</v>
      </c>
      <c r="D277" t="s">
        <v>1249</v>
      </c>
      <c r="E277" t="s">
        <v>1250</v>
      </c>
      <c r="F277" t="s">
        <v>1251</v>
      </c>
      <c r="G277" t="s">
        <v>1252</v>
      </c>
      <c r="H277" t="s">
        <v>49</v>
      </c>
      <c r="I277" t="s">
        <v>50</v>
      </c>
      <c r="J277" t="s">
        <v>1268</v>
      </c>
      <c r="K277" t="s">
        <v>1269</v>
      </c>
      <c r="L277" t="s">
        <v>1270</v>
      </c>
      <c r="M277" t="s">
        <v>23</v>
      </c>
      <c r="N277" t="s">
        <v>54</v>
      </c>
      <c r="O277" t="s">
        <v>106</v>
      </c>
      <c r="P277" t="s">
        <v>1271</v>
      </c>
      <c r="Q277" t="s">
        <v>1272</v>
      </c>
      <c r="R277" s="3">
        <v>5.6000000000000001E-2</v>
      </c>
      <c r="S277" t="s">
        <v>23</v>
      </c>
      <c r="T277" t="s">
        <v>23</v>
      </c>
      <c r="U277" t="s">
        <v>23</v>
      </c>
      <c r="V277" t="s">
        <v>23</v>
      </c>
      <c r="W277" s="3">
        <v>6.173</v>
      </c>
      <c r="X277" s="3">
        <v>0</v>
      </c>
      <c r="Y277" s="3">
        <v>14.32</v>
      </c>
      <c r="Z277" t="s">
        <v>23</v>
      </c>
      <c r="AA277" t="s">
        <v>1263</v>
      </c>
      <c r="AB277" t="s">
        <v>320</v>
      </c>
      <c r="AC277" t="s">
        <v>1254</v>
      </c>
      <c r="AD277" t="s">
        <v>61</v>
      </c>
      <c r="AE277" t="s">
        <v>62</v>
      </c>
      <c r="AF277" t="s">
        <v>321</v>
      </c>
      <c r="AG277" t="s">
        <v>322</v>
      </c>
      <c r="AH277" t="s">
        <v>322</v>
      </c>
      <c r="AI277" t="s">
        <v>23</v>
      </c>
      <c r="AJ277" t="s">
        <v>323</v>
      </c>
      <c r="AK277" t="s">
        <v>324</v>
      </c>
      <c r="AL277" t="s">
        <v>1273</v>
      </c>
      <c r="AM277" t="s">
        <v>1274</v>
      </c>
      <c r="AN277" t="s">
        <v>118</v>
      </c>
      <c r="AO277" t="s">
        <v>71</v>
      </c>
      <c r="AP277" t="s">
        <v>23</v>
      </c>
      <c r="AQ277" t="s">
        <v>23</v>
      </c>
      <c r="AR277" t="s">
        <v>23</v>
      </c>
    </row>
    <row r="278" spans="1:44" x14ac:dyDescent="0.25">
      <c r="A278" t="s">
        <v>311</v>
      </c>
      <c r="B278" t="s">
        <v>1267</v>
      </c>
      <c r="C278" t="s">
        <v>44</v>
      </c>
      <c r="D278" t="s">
        <v>1249</v>
      </c>
      <c r="E278" t="s">
        <v>1250</v>
      </c>
      <c r="F278" t="s">
        <v>1251</v>
      </c>
      <c r="G278" t="s">
        <v>1252</v>
      </c>
      <c r="H278" t="s">
        <v>49</v>
      </c>
      <c r="I278" t="s">
        <v>50</v>
      </c>
      <c r="J278" t="s">
        <v>1275</v>
      </c>
      <c r="K278" t="s">
        <v>1276</v>
      </c>
      <c r="L278" t="s">
        <v>1277</v>
      </c>
      <c r="M278" t="s">
        <v>23</v>
      </c>
      <c r="N278" t="s">
        <v>54</v>
      </c>
      <c r="O278" t="s">
        <v>1278</v>
      </c>
      <c r="P278" t="s">
        <v>1279</v>
      </c>
      <c r="Q278" t="s">
        <v>1280</v>
      </c>
      <c r="R278" s="3">
        <v>4.7149999999999999</v>
      </c>
      <c r="S278" t="s">
        <v>23</v>
      </c>
      <c r="T278" t="s">
        <v>23</v>
      </c>
      <c r="U278" t="s">
        <v>23</v>
      </c>
      <c r="V278" t="s">
        <v>23</v>
      </c>
      <c r="W278" s="3">
        <v>0</v>
      </c>
      <c r="X278" s="3">
        <v>0</v>
      </c>
      <c r="Y278" s="3">
        <v>14.32</v>
      </c>
      <c r="Z278" t="s">
        <v>23</v>
      </c>
      <c r="AA278" t="s">
        <v>1263</v>
      </c>
      <c r="AB278" t="s">
        <v>320</v>
      </c>
      <c r="AC278" t="s">
        <v>1254</v>
      </c>
      <c r="AD278" t="s">
        <v>61</v>
      </c>
      <c r="AE278" t="s">
        <v>62</v>
      </c>
      <c r="AF278" t="s">
        <v>321</v>
      </c>
      <c r="AG278" t="s">
        <v>322</v>
      </c>
      <c r="AH278" t="s">
        <v>322</v>
      </c>
      <c r="AI278" t="s">
        <v>23</v>
      </c>
      <c r="AJ278" t="s">
        <v>323</v>
      </c>
      <c r="AK278" t="s">
        <v>324</v>
      </c>
      <c r="AL278" t="s">
        <v>1273</v>
      </c>
      <c r="AM278" t="s">
        <v>1274</v>
      </c>
      <c r="AN278" t="s">
        <v>118</v>
      </c>
      <c r="AO278" t="s">
        <v>71</v>
      </c>
      <c r="AP278" t="s">
        <v>23</v>
      </c>
      <c r="AQ278" t="s">
        <v>23</v>
      </c>
      <c r="AR278" t="s">
        <v>23</v>
      </c>
    </row>
    <row r="279" spans="1:44" x14ac:dyDescent="0.25">
      <c r="A279" t="s">
        <v>311</v>
      </c>
      <c r="B279" t="s">
        <v>1267</v>
      </c>
      <c r="C279" t="s">
        <v>44</v>
      </c>
      <c r="D279" t="s">
        <v>1249</v>
      </c>
      <c r="E279" t="s">
        <v>1250</v>
      </c>
      <c r="F279" t="s">
        <v>1251</v>
      </c>
      <c r="G279" t="s">
        <v>1252</v>
      </c>
      <c r="H279" t="s">
        <v>49</v>
      </c>
      <c r="I279" t="s">
        <v>50</v>
      </c>
      <c r="J279" t="s">
        <v>1281</v>
      </c>
      <c r="K279" t="s">
        <v>1282</v>
      </c>
      <c r="L279" t="s">
        <v>1283</v>
      </c>
      <c r="M279" t="s">
        <v>23</v>
      </c>
      <c r="N279" t="s">
        <v>54</v>
      </c>
      <c r="O279" t="s">
        <v>196</v>
      </c>
      <c r="P279" t="s">
        <v>1284</v>
      </c>
      <c r="Q279" t="s">
        <v>1285</v>
      </c>
      <c r="R279" s="3">
        <v>7.2999999999999995E-2</v>
      </c>
      <c r="S279" t="s">
        <v>23</v>
      </c>
      <c r="T279" t="s">
        <v>23</v>
      </c>
      <c r="U279" t="s">
        <v>23</v>
      </c>
      <c r="V279" t="s">
        <v>23</v>
      </c>
      <c r="W279" s="3">
        <v>0</v>
      </c>
      <c r="X279" s="3">
        <v>0</v>
      </c>
      <c r="Y279" s="3">
        <v>14.32</v>
      </c>
      <c r="Z279" t="s">
        <v>23</v>
      </c>
      <c r="AA279" t="s">
        <v>1263</v>
      </c>
      <c r="AB279" t="s">
        <v>320</v>
      </c>
      <c r="AC279" t="s">
        <v>1254</v>
      </c>
      <c r="AD279" t="s">
        <v>61</v>
      </c>
      <c r="AE279" t="s">
        <v>62</v>
      </c>
      <c r="AF279" t="s">
        <v>321</v>
      </c>
      <c r="AG279" t="s">
        <v>322</v>
      </c>
      <c r="AH279" t="s">
        <v>322</v>
      </c>
      <c r="AI279" t="s">
        <v>23</v>
      </c>
      <c r="AJ279" t="s">
        <v>323</v>
      </c>
      <c r="AK279" t="s">
        <v>324</v>
      </c>
      <c r="AL279" t="s">
        <v>1273</v>
      </c>
      <c r="AM279" t="s">
        <v>1274</v>
      </c>
      <c r="AN279" t="s">
        <v>118</v>
      </c>
      <c r="AO279" t="s">
        <v>71</v>
      </c>
      <c r="AP279" t="s">
        <v>23</v>
      </c>
      <c r="AQ279" t="s">
        <v>23</v>
      </c>
      <c r="AR279" t="s">
        <v>23</v>
      </c>
    </row>
    <row r="280" spans="1:44" x14ac:dyDescent="0.25">
      <c r="A280" t="s">
        <v>311</v>
      </c>
      <c r="B280" t="s">
        <v>1267</v>
      </c>
      <c r="C280" t="s">
        <v>44</v>
      </c>
      <c r="D280" t="s">
        <v>1249</v>
      </c>
      <c r="E280" t="s">
        <v>1250</v>
      </c>
      <c r="F280" t="s">
        <v>1251</v>
      </c>
      <c r="G280" t="s">
        <v>1252</v>
      </c>
      <c r="H280" t="s">
        <v>49</v>
      </c>
      <c r="I280" t="s">
        <v>50</v>
      </c>
      <c r="J280" t="s">
        <v>1286</v>
      </c>
      <c r="K280" t="s">
        <v>1287</v>
      </c>
      <c r="L280" t="s">
        <v>1288</v>
      </c>
      <c r="M280" t="s">
        <v>23</v>
      </c>
      <c r="N280" t="s">
        <v>54</v>
      </c>
      <c r="O280" t="s">
        <v>122</v>
      </c>
      <c r="P280" t="s">
        <v>1289</v>
      </c>
      <c r="Q280" t="s">
        <v>1290</v>
      </c>
      <c r="R280" s="3">
        <v>0.05</v>
      </c>
      <c r="S280" t="s">
        <v>23</v>
      </c>
      <c r="T280" t="s">
        <v>23</v>
      </c>
      <c r="U280" t="s">
        <v>23</v>
      </c>
      <c r="V280" t="s">
        <v>23</v>
      </c>
      <c r="W280" s="3">
        <v>0</v>
      </c>
      <c r="X280" s="3">
        <v>0</v>
      </c>
      <c r="Y280" s="3">
        <v>14.32</v>
      </c>
      <c r="Z280" t="s">
        <v>23</v>
      </c>
      <c r="AA280" t="s">
        <v>1263</v>
      </c>
      <c r="AB280" t="s">
        <v>320</v>
      </c>
      <c r="AC280" t="s">
        <v>1254</v>
      </c>
      <c r="AD280" t="s">
        <v>61</v>
      </c>
      <c r="AE280" t="s">
        <v>62</v>
      </c>
      <c r="AF280" t="s">
        <v>321</v>
      </c>
      <c r="AG280" t="s">
        <v>322</v>
      </c>
      <c r="AH280" t="s">
        <v>322</v>
      </c>
      <c r="AI280" t="s">
        <v>23</v>
      </c>
      <c r="AJ280" t="s">
        <v>323</v>
      </c>
      <c r="AK280" t="s">
        <v>324</v>
      </c>
      <c r="AL280" t="s">
        <v>1273</v>
      </c>
      <c r="AM280" t="s">
        <v>1274</v>
      </c>
      <c r="AN280" t="s">
        <v>118</v>
      </c>
      <c r="AO280" t="s">
        <v>71</v>
      </c>
      <c r="AP280" t="s">
        <v>23</v>
      </c>
      <c r="AQ280" t="s">
        <v>23</v>
      </c>
      <c r="AR280" t="s">
        <v>23</v>
      </c>
    </row>
    <row r="281" spans="1:44" x14ac:dyDescent="0.25">
      <c r="A281" t="s">
        <v>311</v>
      </c>
      <c r="B281" t="s">
        <v>1267</v>
      </c>
      <c r="C281" t="s">
        <v>44</v>
      </c>
      <c r="D281" t="s">
        <v>1249</v>
      </c>
      <c r="E281" t="s">
        <v>1250</v>
      </c>
      <c r="F281" t="s">
        <v>1251</v>
      </c>
      <c r="G281" t="s">
        <v>1252</v>
      </c>
      <c r="H281" t="s">
        <v>49</v>
      </c>
      <c r="I281" t="s">
        <v>50</v>
      </c>
      <c r="J281" t="s">
        <v>1291</v>
      </c>
      <c r="K281" t="s">
        <v>1292</v>
      </c>
      <c r="L281" t="s">
        <v>1293</v>
      </c>
      <c r="M281" t="s">
        <v>23</v>
      </c>
      <c r="N281" t="s">
        <v>54</v>
      </c>
      <c r="O281" t="s">
        <v>361</v>
      </c>
      <c r="P281" t="s">
        <v>1284</v>
      </c>
      <c r="Q281" t="s">
        <v>1294</v>
      </c>
      <c r="R281" s="3">
        <v>1.7999999999999999E-2</v>
      </c>
      <c r="S281" t="s">
        <v>23</v>
      </c>
      <c r="T281" t="s">
        <v>23</v>
      </c>
      <c r="U281" t="s">
        <v>23</v>
      </c>
      <c r="V281" t="s">
        <v>23</v>
      </c>
      <c r="W281" s="3">
        <v>0</v>
      </c>
      <c r="X281" s="3">
        <v>0</v>
      </c>
      <c r="Y281" s="3">
        <v>14.32</v>
      </c>
      <c r="Z281" t="s">
        <v>23</v>
      </c>
      <c r="AA281" t="s">
        <v>1263</v>
      </c>
      <c r="AB281" t="s">
        <v>320</v>
      </c>
      <c r="AC281" t="s">
        <v>1254</v>
      </c>
      <c r="AD281" t="s">
        <v>61</v>
      </c>
      <c r="AE281" t="s">
        <v>62</v>
      </c>
      <c r="AF281" t="s">
        <v>321</v>
      </c>
      <c r="AG281" t="s">
        <v>322</v>
      </c>
      <c r="AH281" t="s">
        <v>322</v>
      </c>
      <c r="AI281" t="s">
        <v>23</v>
      </c>
      <c r="AJ281" t="s">
        <v>323</v>
      </c>
      <c r="AK281" t="s">
        <v>324</v>
      </c>
      <c r="AL281" t="s">
        <v>1273</v>
      </c>
      <c r="AM281" t="s">
        <v>1274</v>
      </c>
      <c r="AN281" t="s">
        <v>118</v>
      </c>
      <c r="AO281" t="s">
        <v>71</v>
      </c>
      <c r="AP281" t="s">
        <v>23</v>
      </c>
      <c r="AQ281" t="s">
        <v>23</v>
      </c>
      <c r="AR281" t="s">
        <v>23</v>
      </c>
    </row>
    <row r="282" spans="1:44" x14ac:dyDescent="0.25">
      <c r="A282" t="s">
        <v>311</v>
      </c>
      <c r="B282" t="s">
        <v>1267</v>
      </c>
      <c r="C282" t="s">
        <v>44</v>
      </c>
      <c r="D282" t="s">
        <v>1249</v>
      </c>
      <c r="E282" t="s">
        <v>1250</v>
      </c>
      <c r="F282" t="s">
        <v>1251</v>
      </c>
      <c r="G282" t="s">
        <v>1252</v>
      </c>
      <c r="H282" t="s">
        <v>49</v>
      </c>
      <c r="I282" t="s">
        <v>50</v>
      </c>
      <c r="J282" t="s">
        <v>484</v>
      </c>
      <c r="K282" t="s">
        <v>485</v>
      </c>
      <c r="L282" t="s">
        <v>486</v>
      </c>
      <c r="M282" t="s">
        <v>23</v>
      </c>
      <c r="N282" t="s">
        <v>54</v>
      </c>
      <c r="O282" t="s">
        <v>361</v>
      </c>
      <c r="P282" t="s">
        <v>487</v>
      </c>
      <c r="Q282" t="s">
        <v>1295</v>
      </c>
      <c r="R282" s="3">
        <v>0.04</v>
      </c>
      <c r="S282" t="s">
        <v>23</v>
      </c>
      <c r="T282" t="s">
        <v>23</v>
      </c>
      <c r="U282" t="s">
        <v>23</v>
      </c>
      <c r="V282" t="s">
        <v>23</v>
      </c>
      <c r="W282" s="3">
        <v>0</v>
      </c>
      <c r="X282" s="3">
        <v>0</v>
      </c>
      <c r="Y282" s="3">
        <v>14.32</v>
      </c>
      <c r="Z282" t="s">
        <v>23</v>
      </c>
      <c r="AA282" t="s">
        <v>1263</v>
      </c>
      <c r="AB282" t="s">
        <v>320</v>
      </c>
      <c r="AC282" t="s">
        <v>1254</v>
      </c>
      <c r="AD282" t="s">
        <v>61</v>
      </c>
      <c r="AE282" t="s">
        <v>62</v>
      </c>
      <c r="AF282" t="s">
        <v>321</v>
      </c>
      <c r="AG282" t="s">
        <v>322</v>
      </c>
      <c r="AH282" t="s">
        <v>322</v>
      </c>
      <c r="AI282" t="s">
        <v>23</v>
      </c>
      <c r="AJ282" t="s">
        <v>323</v>
      </c>
      <c r="AK282" t="s">
        <v>324</v>
      </c>
      <c r="AL282" t="s">
        <v>1273</v>
      </c>
      <c r="AM282" t="s">
        <v>1274</v>
      </c>
      <c r="AN282" t="s">
        <v>118</v>
      </c>
      <c r="AO282" t="s">
        <v>71</v>
      </c>
      <c r="AP282" t="s">
        <v>23</v>
      </c>
      <c r="AQ282" t="s">
        <v>23</v>
      </c>
      <c r="AR282" t="s">
        <v>23</v>
      </c>
    </row>
    <row r="283" spans="1:44" x14ac:dyDescent="0.25">
      <c r="A283" t="s">
        <v>311</v>
      </c>
      <c r="B283" t="s">
        <v>1267</v>
      </c>
      <c r="C283" t="s">
        <v>44</v>
      </c>
      <c r="D283" t="s">
        <v>1249</v>
      </c>
      <c r="E283" t="s">
        <v>1250</v>
      </c>
      <c r="F283" t="s">
        <v>1251</v>
      </c>
      <c r="G283" t="s">
        <v>1252</v>
      </c>
      <c r="H283" t="s">
        <v>49</v>
      </c>
      <c r="I283" t="s">
        <v>50</v>
      </c>
      <c r="J283" t="s">
        <v>1296</v>
      </c>
      <c r="K283" t="s">
        <v>1297</v>
      </c>
      <c r="L283" t="s">
        <v>1298</v>
      </c>
      <c r="M283" t="s">
        <v>23</v>
      </c>
      <c r="N283" t="s">
        <v>54</v>
      </c>
      <c r="O283" t="s">
        <v>75</v>
      </c>
      <c r="P283" t="s">
        <v>1284</v>
      </c>
      <c r="Q283" t="s">
        <v>1299</v>
      </c>
      <c r="R283" s="3">
        <v>1.2E-2</v>
      </c>
      <c r="S283" t="s">
        <v>23</v>
      </c>
      <c r="T283" t="s">
        <v>23</v>
      </c>
      <c r="U283" t="s">
        <v>23</v>
      </c>
      <c r="V283" t="s">
        <v>23</v>
      </c>
      <c r="W283" s="3">
        <v>0</v>
      </c>
      <c r="X283" s="3">
        <v>0</v>
      </c>
      <c r="Y283" s="3">
        <v>14.32</v>
      </c>
      <c r="Z283" t="s">
        <v>23</v>
      </c>
      <c r="AA283" t="s">
        <v>1263</v>
      </c>
      <c r="AB283" t="s">
        <v>320</v>
      </c>
      <c r="AC283" t="s">
        <v>1254</v>
      </c>
      <c r="AD283" t="s">
        <v>61</v>
      </c>
      <c r="AE283" t="s">
        <v>62</v>
      </c>
      <c r="AF283" t="s">
        <v>321</v>
      </c>
      <c r="AG283" t="s">
        <v>322</v>
      </c>
      <c r="AH283" t="s">
        <v>322</v>
      </c>
      <c r="AI283" t="s">
        <v>23</v>
      </c>
      <c r="AJ283" t="s">
        <v>323</v>
      </c>
      <c r="AK283" t="s">
        <v>324</v>
      </c>
      <c r="AL283" t="s">
        <v>1273</v>
      </c>
      <c r="AM283" t="s">
        <v>1274</v>
      </c>
      <c r="AN283" t="s">
        <v>118</v>
      </c>
      <c r="AO283" t="s">
        <v>71</v>
      </c>
      <c r="AP283" t="s">
        <v>23</v>
      </c>
      <c r="AQ283" t="s">
        <v>23</v>
      </c>
      <c r="AR283" t="s">
        <v>23</v>
      </c>
    </row>
    <row r="284" spans="1:44" x14ac:dyDescent="0.25">
      <c r="A284" t="s">
        <v>311</v>
      </c>
      <c r="B284" t="s">
        <v>1267</v>
      </c>
      <c r="C284" t="s">
        <v>44</v>
      </c>
      <c r="D284" t="s">
        <v>1249</v>
      </c>
      <c r="E284" t="s">
        <v>1250</v>
      </c>
      <c r="F284" t="s">
        <v>1251</v>
      </c>
      <c r="G284" t="s">
        <v>1252</v>
      </c>
      <c r="H284" t="s">
        <v>49</v>
      </c>
      <c r="I284" t="s">
        <v>50</v>
      </c>
      <c r="J284" t="s">
        <v>1149</v>
      </c>
      <c r="K284" t="s">
        <v>1150</v>
      </c>
      <c r="L284" t="s">
        <v>1151</v>
      </c>
      <c r="M284" t="s">
        <v>23</v>
      </c>
      <c r="N284" t="s">
        <v>54</v>
      </c>
      <c r="O284" t="s">
        <v>93</v>
      </c>
      <c r="P284" t="s">
        <v>196</v>
      </c>
      <c r="Q284" t="s">
        <v>399</v>
      </c>
      <c r="R284" s="3">
        <v>0.3</v>
      </c>
      <c r="S284" t="s">
        <v>23</v>
      </c>
      <c r="T284" t="s">
        <v>23</v>
      </c>
      <c r="U284" t="s">
        <v>23</v>
      </c>
      <c r="V284" t="s">
        <v>23</v>
      </c>
      <c r="W284" s="3">
        <v>0</v>
      </c>
      <c r="X284" s="3">
        <v>0</v>
      </c>
      <c r="Y284" s="3">
        <v>14.32</v>
      </c>
      <c r="Z284" t="s">
        <v>23</v>
      </c>
      <c r="AA284" t="s">
        <v>1263</v>
      </c>
      <c r="AB284" t="s">
        <v>320</v>
      </c>
      <c r="AC284" t="s">
        <v>1254</v>
      </c>
      <c r="AD284" t="s">
        <v>61</v>
      </c>
      <c r="AE284" t="s">
        <v>62</v>
      </c>
      <c r="AF284" t="s">
        <v>321</v>
      </c>
      <c r="AG284" t="s">
        <v>322</v>
      </c>
      <c r="AH284" t="s">
        <v>322</v>
      </c>
      <c r="AI284" t="s">
        <v>23</v>
      </c>
      <c r="AJ284" t="s">
        <v>323</v>
      </c>
      <c r="AK284" t="s">
        <v>324</v>
      </c>
      <c r="AL284" t="s">
        <v>1273</v>
      </c>
      <c r="AM284" t="s">
        <v>1274</v>
      </c>
      <c r="AN284" t="s">
        <v>118</v>
      </c>
      <c r="AO284" t="s">
        <v>71</v>
      </c>
      <c r="AP284" t="s">
        <v>23</v>
      </c>
      <c r="AQ284" t="s">
        <v>23</v>
      </c>
      <c r="AR284" t="s">
        <v>23</v>
      </c>
    </row>
    <row r="285" spans="1:44" x14ac:dyDescent="0.25">
      <c r="A285" t="s">
        <v>311</v>
      </c>
      <c r="B285" t="s">
        <v>1267</v>
      </c>
      <c r="C285" t="s">
        <v>44</v>
      </c>
      <c r="D285" t="s">
        <v>1249</v>
      </c>
      <c r="E285" t="s">
        <v>1250</v>
      </c>
      <c r="F285" t="s">
        <v>1251</v>
      </c>
      <c r="G285" t="s">
        <v>1252</v>
      </c>
      <c r="H285" t="s">
        <v>49</v>
      </c>
      <c r="I285" t="s">
        <v>50</v>
      </c>
      <c r="J285" t="s">
        <v>1300</v>
      </c>
      <c r="K285" t="s">
        <v>1301</v>
      </c>
      <c r="L285" t="s">
        <v>1302</v>
      </c>
      <c r="M285" t="s">
        <v>23</v>
      </c>
      <c r="N285" t="s">
        <v>54</v>
      </c>
      <c r="O285" t="s">
        <v>164</v>
      </c>
      <c r="P285" t="s">
        <v>77</v>
      </c>
      <c r="Q285" t="s">
        <v>1303</v>
      </c>
      <c r="R285" s="3">
        <v>0.192</v>
      </c>
      <c r="S285" t="s">
        <v>23</v>
      </c>
      <c r="T285" t="s">
        <v>23</v>
      </c>
      <c r="U285" t="s">
        <v>23</v>
      </c>
      <c r="V285" t="s">
        <v>23</v>
      </c>
      <c r="W285" s="3">
        <v>0</v>
      </c>
      <c r="X285" s="3">
        <v>0</v>
      </c>
      <c r="Y285" s="3">
        <v>14.32</v>
      </c>
      <c r="Z285" t="s">
        <v>23</v>
      </c>
      <c r="AA285" t="s">
        <v>1263</v>
      </c>
      <c r="AB285" t="s">
        <v>320</v>
      </c>
      <c r="AC285" t="s">
        <v>1254</v>
      </c>
      <c r="AD285" t="s">
        <v>61</v>
      </c>
      <c r="AE285" t="s">
        <v>62</v>
      </c>
      <c r="AF285" t="s">
        <v>321</v>
      </c>
      <c r="AG285" t="s">
        <v>322</v>
      </c>
      <c r="AH285" t="s">
        <v>322</v>
      </c>
      <c r="AI285" t="s">
        <v>23</v>
      </c>
      <c r="AJ285" t="s">
        <v>323</v>
      </c>
      <c r="AK285" t="s">
        <v>324</v>
      </c>
      <c r="AL285" t="s">
        <v>1273</v>
      </c>
      <c r="AM285" t="s">
        <v>1274</v>
      </c>
      <c r="AN285" t="s">
        <v>118</v>
      </c>
      <c r="AO285" t="s">
        <v>71</v>
      </c>
      <c r="AP285" t="s">
        <v>23</v>
      </c>
      <c r="AQ285" t="s">
        <v>23</v>
      </c>
      <c r="AR285" t="s">
        <v>23</v>
      </c>
    </row>
    <row r="286" spans="1:44" x14ac:dyDescent="0.25">
      <c r="A286" t="s">
        <v>311</v>
      </c>
      <c r="B286" t="s">
        <v>1267</v>
      </c>
      <c r="C286" t="s">
        <v>44</v>
      </c>
      <c r="D286" t="s">
        <v>1249</v>
      </c>
      <c r="E286" t="s">
        <v>1250</v>
      </c>
      <c r="F286" t="s">
        <v>1251</v>
      </c>
      <c r="G286" t="s">
        <v>1252</v>
      </c>
      <c r="H286" t="s">
        <v>49</v>
      </c>
      <c r="I286" t="s">
        <v>50</v>
      </c>
      <c r="J286" t="s">
        <v>334</v>
      </c>
      <c r="K286" t="s">
        <v>335</v>
      </c>
      <c r="L286" t="s">
        <v>336</v>
      </c>
      <c r="M286" t="s">
        <v>23</v>
      </c>
      <c r="N286" t="s">
        <v>54</v>
      </c>
      <c r="O286" t="s">
        <v>138</v>
      </c>
      <c r="P286" t="s">
        <v>338</v>
      </c>
      <c r="Q286" t="s">
        <v>1304</v>
      </c>
      <c r="R286" s="3">
        <v>0.432</v>
      </c>
      <c r="S286" t="s">
        <v>23</v>
      </c>
      <c r="T286" t="s">
        <v>23</v>
      </c>
      <c r="U286" t="s">
        <v>23</v>
      </c>
      <c r="V286" t="s">
        <v>23</v>
      </c>
      <c r="W286" s="3">
        <v>0</v>
      </c>
      <c r="X286" s="3">
        <v>0</v>
      </c>
      <c r="Y286" s="3">
        <v>14.32</v>
      </c>
      <c r="Z286" t="s">
        <v>23</v>
      </c>
      <c r="AA286" t="s">
        <v>1263</v>
      </c>
      <c r="AB286" t="s">
        <v>320</v>
      </c>
      <c r="AC286" t="s">
        <v>1254</v>
      </c>
      <c r="AD286" t="s">
        <v>61</v>
      </c>
      <c r="AE286" t="s">
        <v>62</v>
      </c>
      <c r="AF286" t="s">
        <v>321</v>
      </c>
      <c r="AG286" t="s">
        <v>322</v>
      </c>
      <c r="AH286" t="s">
        <v>322</v>
      </c>
      <c r="AI286" t="s">
        <v>23</v>
      </c>
      <c r="AJ286" t="s">
        <v>323</v>
      </c>
      <c r="AK286" t="s">
        <v>324</v>
      </c>
      <c r="AL286" t="s">
        <v>1273</v>
      </c>
      <c r="AM286" t="s">
        <v>1274</v>
      </c>
      <c r="AN286" t="s">
        <v>118</v>
      </c>
      <c r="AO286" t="s">
        <v>71</v>
      </c>
      <c r="AP286" t="s">
        <v>23</v>
      </c>
      <c r="AQ286" t="s">
        <v>23</v>
      </c>
      <c r="AR286" t="s">
        <v>23</v>
      </c>
    </row>
    <row r="287" spans="1:44" x14ac:dyDescent="0.25">
      <c r="A287" t="s">
        <v>311</v>
      </c>
      <c r="B287" t="s">
        <v>1267</v>
      </c>
      <c r="C287" t="s">
        <v>44</v>
      </c>
      <c r="D287" t="s">
        <v>1249</v>
      </c>
      <c r="E287" t="s">
        <v>1250</v>
      </c>
      <c r="F287" t="s">
        <v>1251</v>
      </c>
      <c r="G287" t="s">
        <v>1252</v>
      </c>
      <c r="H287" t="s">
        <v>49</v>
      </c>
      <c r="I287" t="s">
        <v>50</v>
      </c>
      <c r="J287" t="s">
        <v>1305</v>
      </c>
      <c r="K287" t="s">
        <v>1306</v>
      </c>
      <c r="L287" t="s">
        <v>1307</v>
      </c>
      <c r="M287" t="s">
        <v>23</v>
      </c>
      <c r="N287" t="s">
        <v>54</v>
      </c>
      <c r="O287" t="s">
        <v>361</v>
      </c>
      <c r="P287" t="s">
        <v>55</v>
      </c>
      <c r="Q287" t="s">
        <v>337</v>
      </c>
      <c r="R287" s="3">
        <v>4.4999999999999998E-2</v>
      </c>
      <c r="S287" t="s">
        <v>23</v>
      </c>
      <c r="T287" t="s">
        <v>23</v>
      </c>
      <c r="U287" t="s">
        <v>23</v>
      </c>
      <c r="V287" t="s">
        <v>23</v>
      </c>
      <c r="W287" s="3">
        <v>0</v>
      </c>
      <c r="X287" s="3">
        <v>0</v>
      </c>
      <c r="Y287" s="3">
        <v>14.32</v>
      </c>
      <c r="Z287" t="s">
        <v>23</v>
      </c>
      <c r="AA287" t="s">
        <v>1263</v>
      </c>
      <c r="AB287" t="s">
        <v>320</v>
      </c>
      <c r="AC287" t="s">
        <v>1254</v>
      </c>
      <c r="AD287" t="s">
        <v>61</v>
      </c>
      <c r="AE287" t="s">
        <v>62</v>
      </c>
      <c r="AF287" t="s">
        <v>321</v>
      </c>
      <c r="AG287" t="s">
        <v>322</v>
      </c>
      <c r="AH287" t="s">
        <v>322</v>
      </c>
      <c r="AI287" t="s">
        <v>23</v>
      </c>
      <c r="AJ287" t="s">
        <v>323</v>
      </c>
      <c r="AK287" t="s">
        <v>324</v>
      </c>
      <c r="AL287" t="s">
        <v>1273</v>
      </c>
      <c r="AM287" t="s">
        <v>1274</v>
      </c>
      <c r="AN287" t="s">
        <v>118</v>
      </c>
      <c r="AO287" t="s">
        <v>71</v>
      </c>
      <c r="AP287" t="s">
        <v>23</v>
      </c>
      <c r="AQ287" t="s">
        <v>23</v>
      </c>
      <c r="AR287" t="s">
        <v>23</v>
      </c>
    </row>
    <row r="288" spans="1:44" x14ac:dyDescent="0.25">
      <c r="A288" t="s">
        <v>311</v>
      </c>
      <c r="B288" t="s">
        <v>1267</v>
      </c>
      <c r="C288" t="s">
        <v>44</v>
      </c>
      <c r="D288" t="s">
        <v>1249</v>
      </c>
      <c r="E288" t="s">
        <v>1250</v>
      </c>
      <c r="F288" t="s">
        <v>1251</v>
      </c>
      <c r="G288" t="s">
        <v>1252</v>
      </c>
      <c r="H288" t="s">
        <v>49</v>
      </c>
      <c r="I288" t="s">
        <v>50</v>
      </c>
      <c r="J288" t="s">
        <v>1308</v>
      </c>
      <c r="K288" t="s">
        <v>1309</v>
      </c>
      <c r="L288" t="s">
        <v>1310</v>
      </c>
      <c r="M288" t="s">
        <v>23</v>
      </c>
      <c r="N288" t="s">
        <v>54</v>
      </c>
      <c r="O288" t="s">
        <v>164</v>
      </c>
      <c r="P288" t="s">
        <v>196</v>
      </c>
      <c r="Q288" t="s">
        <v>403</v>
      </c>
      <c r="R288" s="3">
        <v>0.24</v>
      </c>
      <c r="S288" t="s">
        <v>23</v>
      </c>
      <c r="T288" t="s">
        <v>23</v>
      </c>
      <c r="U288" t="s">
        <v>23</v>
      </c>
      <c r="V288" t="s">
        <v>23</v>
      </c>
      <c r="W288" s="3">
        <v>0</v>
      </c>
      <c r="X288" s="3">
        <v>0</v>
      </c>
      <c r="Y288" s="3">
        <v>14.32</v>
      </c>
      <c r="Z288" t="s">
        <v>23</v>
      </c>
      <c r="AA288" t="s">
        <v>1263</v>
      </c>
      <c r="AB288" t="s">
        <v>320</v>
      </c>
      <c r="AC288" t="s">
        <v>1254</v>
      </c>
      <c r="AD288" t="s">
        <v>61</v>
      </c>
      <c r="AE288" t="s">
        <v>62</v>
      </c>
      <c r="AF288" t="s">
        <v>321</v>
      </c>
      <c r="AG288" t="s">
        <v>322</v>
      </c>
      <c r="AH288" t="s">
        <v>322</v>
      </c>
      <c r="AI288" t="s">
        <v>23</v>
      </c>
      <c r="AJ288" t="s">
        <v>323</v>
      </c>
      <c r="AK288" t="s">
        <v>324</v>
      </c>
      <c r="AL288" t="s">
        <v>1273</v>
      </c>
      <c r="AM288" t="s">
        <v>1274</v>
      </c>
      <c r="AN288" t="s">
        <v>118</v>
      </c>
      <c r="AO288" t="s">
        <v>71</v>
      </c>
      <c r="AP288" t="s">
        <v>23</v>
      </c>
      <c r="AQ288" t="s">
        <v>23</v>
      </c>
      <c r="AR288" t="s">
        <v>23</v>
      </c>
    </row>
    <row r="289" spans="1:44" x14ac:dyDescent="0.25">
      <c r="A289" t="s">
        <v>311</v>
      </c>
      <c r="B289" t="s">
        <v>1311</v>
      </c>
      <c r="C289" t="s">
        <v>44</v>
      </c>
      <c r="D289" t="s">
        <v>1249</v>
      </c>
      <c r="E289" t="s">
        <v>1250</v>
      </c>
      <c r="F289" t="s">
        <v>1251</v>
      </c>
      <c r="G289" t="s">
        <v>1252</v>
      </c>
      <c r="H289" t="s">
        <v>49</v>
      </c>
      <c r="I289" t="s">
        <v>50</v>
      </c>
      <c r="J289" t="s">
        <v>1275</v>
      </c>
      <c r="K289" t="s">
        <v>1276</v>
      </c>
      <c r="L289" t="s">
        <v>1277</v>
      </c>
      <c r="M289" t="s">
        <v>23</v>
      </c>
      <c r="N289" t="s">
        <v>54</v>
      </c>
      <c r="O289" t="s">
        <v>393</v>
      </c>
      <c r="P289" t="s">
        <v>1279</v>
      </c>
      <c r="Q289" t="s">
        <v>1312</v>
      </c>
      <c r="R289" s="3">
        <v>1.048</v>
      </c>
      <c r="S289" t="s">
        <v>23</v>
      </c>
      <c r="T289" t="s">
        <v>23</v>
      </c>
      <c r="U289" t="s">
        <v>23</v>
      </c>
      <c r="V289" t="s">
        <v>23</v>
      </c>
      <c r="W289" s="3">
        <v>1.0720000000000001</v>
      </c>
      <c r="X289" s="3">
        <v>0</v>
      </c>
      <c r="Y289" s="3">
        <v>14.32</v>
      </c>
      <c r="Z289" t="s">
        <v>23</v>
      </c>
      <c r="AA289" t="s">
        <v>1263</v>
      </c>
      <c r="AB289" t="s">
        <v>320</v>
      </c>
      <c r="AC289" t="s">
        <v>1259</v>
      </c>
      <c r="AD289" t="s">
        <v>61</v>
      </c>
      <c r="AE289" t="s">
        <v>62</v>
      </c>
      <c r="AF289" t="s">
        <v>321</v>
      </c>
      <c r="AG289" t="s">
        <v>322</v>
      </c>
      <c r="AH289" t="s">
        <v>322</v>
      </c>
      <c r="AI289" t="s">
        <v>98</v>
      </c>
      <c r="AJ289" t="s">
        <v>323</v>
      </c>
      <c r="AK289" t="s">
        <v>324</v>
      </c>
      <c r="AL289" t="s">
        <v>1313</v>
      </c>
      <c r="AM289" t="s">
        <v>1314</v>
      </c>
      <c r="AN289" t="s">
        <v>118</v>
      </c>
      <c r="AO289" t="s">
        <v>71</v>
      </c>
      <c r="AP289" t="s">
        <v>23</v>
      </c>
      <c r="AQ289" t="s">
        <v>23</v>
      </c>
      <c r="AR289" t="s">
        <v>23</v>
      </c>
    </row>
    <row r="290" spans="1:44" x14ac:dyDescent="0.25">
      <c r="A290" t="s">
        <v>311</v>
      </c>
      <c r="B290" t="s">
        <v>1311</v>
      </c>
      <c r="C290" t="s">
        <v>44</v>
      </c>
      <c r="D290" t="s">
        <v>1249</v>
      </c>
      <c r="E290" t="s">
        <v>1250</v>
      </c>
      <c r="F290" t="s">
        <v>1251</v>
      </c>
      <c r="G290" t="s">
        <v>1252</v>
      </c>
      <c r="H290" t="s">
        <v>49</v>
      </c>
      <c r="I290" t="s">
        <v>50</v>
      </c>
      <c r="J290" t="s">
        <v>489</v>
      </c>
      <c r="K290" t="s">
        <v>490</v>
      </c>
      <c r="L290" t="s">
        <v>491</v>
      </c>
      <c r="M290" t="s">
        <v>23</v>
      </c>
      <c r="N290" t="s">
        <v>54</v>
      </c>
      <c r="O290" t="s">
        <v>75</v>
      </c>
      <c r="P290" t="s">
        <v>196</v>
      </c>
      <c r="Q290" t="s">
        <v>249</v>
      </c>
      <c r="R290" s="3">
        <v>2.4E-2</v>
      </c>
      <c r="S290" t="s">
        <v>23</v>
      </c>
      <c r="T290" t="s">
        <v>23</v>
      </c>
      <c r="U290" t="s">
        <v>23</v>
      </c>
      <c r="V290" t="s">
        <v>23</v>
      </c>
      <c r="W290" s="3">
        <v>0</v>
      </c>
      <c r="X290" s="3">
        <v>0</v>
      </c>
      <c r="Y290" s="3">
        <v>14.32</v>
      </c>
      <c r="Z290" t="s">
        <v>23</v>
      </c>
      <c r="AA290" t="s">
        <v>1263</v>
      </c>
      <c r="AB290" t="s">
        <v>320</v>
      </c>
      <c r="AC290" t="s">
        <v>1259</v>
      </c>
      <c r="AD290" t="s">
        <v>61</v>
      </c>
      <c r="AE290" t="s">
        <v>62</v>
      </c>
      <c r="AF290" t="s">
        <v>321</v>
      </c>
      <c r="AG290" t="s">
        <v>322</v>
      </c>
      <c r="AH290" t="s">
        <v>322</v>
      </c>
      <c r="AI290" t="s">
        <v>98</v>
      </c>
      <c r="AJ290" t="s">
        <v>323</v>
      </c>
      <c r="AK290" t="s">
        <v>324</v>
      </c>
      <c r="AL290" t="s">
        <v>1313</v>
      </c>
      <c r="AM290" t="s">
        <v>1314</v>
      </c>
      <c r="AN290" t="s">
        <v>118</v>
      </c>
      <c r="AO290" t="s">
        <v>71</v>
      </c>
      <c r="AP290" t="s">
        <v>23</v>
      </c>
      <c r="AQ290" t="s">
        <v>23</v>
      </c>
      <c r="AR290" t="s">
        <v>23</v>
      </c>
    </row>
    <row r="291" spans="1:44" x14ac:dyDescent="0.25">
      <c r="A291" s="4" t="s">
        <v>23</v>
      </c>
      <c r="B291" s="4" t="s">
        <v>23</v>
      </c>
      <c r="C291" s="4" t="s">
        <v>23</v>
      </c>
      <c r="D291" s="4" t="s">
        <v>23</v>
      </c>
      <c r="E291" s="4" t="s">
        <v>23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23</v>
      </c>
      <c r="P291" s="4" t="s">
        <v>23</v>
      </c>
      <c r="Q291" s="4" t="s">
        <v>23</v>
      </c>
      <c r="R291" s="7">
        <f>SUM(R269:R290)</f>
        <v>14.320000000000002</v>
      </c>
      <c r="S291" s="7">
        <f t="shared" ref="S291:W291" si="1">SUM(S269:S290)</f>
        <v>7.0750000000000002</v>
      </c>
      <c r="T291" s="5"/>
      <c r="U291" s="5"/>
      <c r="V291" s="5"/>
      <c r="W291" s="5">
        <f t="shared" si="1"/>
        <v>7.2450000000000001</v>
      </c>
      <c r="X291" s="5">
        <f>SUM(S291:W291)</f>
        <v>14.32</v>
      </c>
      <c r="Y291" s="5">
        <v>14.32</v>
      </c>
      <c r="Z291" s="4" t="s">
        <v>23</v>
      </c>
      <c r="AA291" s="4" t="s">
        <v>23</v>
      </c>
      <c r="AB291" s="4" t="s">
        <v>23</v>
      </c>
      <c r="AC291" s="4" t="s">
        <v>23</v>
      </c>
      <c r="AD291" s="4" t="s">
        <v>23</v>
      </c>
      <c r="AE291" s="4" t="s">
        <v>23</v>
      </c>
      <c r="AF291" s="4" t="s">
        <v>23</v>
      </c>
      <c r="AG291" s="4" t="s">
        <v>23</v>
      </c>
      <c r="AH291" s="4" t="s">
        <v>23</v>
      </c>
      <c r="AI291" s="4" t="s">
        <v>23</v>
      </c>
      <c r="AJ291" s="4" t="s">
        <v>23</v>
      </c>
      <c r="AK291" s="4" t="s">
        <v>23</v>
      </c>
      <c r="AL291" s="4" t="s">
        <v>23</v>
      </c>
      <c r="AM291" s="4" t="s">
        <v>23</v>
      </c>
      <c r="AN291" s="4" t="s">
        <v>23</v>
      </c>
      <c r="AO291" s="4" t="s">
        <v>23</v>
      </c>
      <c r="AP291" s="4" t="s">
        <v>23</v>
      </c>
      <c r="AQ291" s="4" t="s">
        <v>23</v>
      </c>
      <c r="AR291" s="4" t="s">
        <v>23</v>
      </c>
    </row>
    <row r="292" spans="1:44" x14ac:dyDescent="0.25">
      <c r="A292" t="s">
        <v>101</v>
      </c>
      <c r="B292" t="s">
        <v>1315</v>
      </c>
      <c r="C292" t="s">
        <v>44</v>
      </c>
      <c r="D292" t="s">
        <v>1316</v>
      </c>
      <c r="E292" t="s">
        <v>1317</v>
      </c>
      <c r="F292" t="s">
        <v>1318</v>
      </c>
      <c r="G292" t="s">
        <v>1319</v>
      </c>
      <c r="H292" t="s">
        <v>49</v>
      </c>
      <c r="I292" t="s">
        <v>50</v>
      </c>
      <c r="J292" t="s">
        <v>103</v>
      </c>
      <c r="K292" t="s">
        <v>104</v>
      </c>
      <c r="L292" t="s">
        <v>105</v>
      </c>
      <c r="M292" t="s">
        <v>23</v>
      </c>
      <c r="N292" t="s">
        <v>54</v>
      </c>
      <c r="O292" t="s">
        <v>1320</v>
      </c>
      <c r="P292" t="s">
        <v>107</v>
      </c>
      <c r="Q292" t="s">
        <v>1321</v>
      </c>
      <c r="R292" s="3">
        <v>1.7689999999999999</v>
      </c>
      <c r="S292" s="3">
        <v>14.641</v>
      </c>
      <c r="T292" t="s">
        <v>23</v>
      </c>
      <c r="U292" t="s">
        <v>23</v>
      </c>
      <c r="V292" t="s">
        <v>23</v>
      </c>
      <c r="W292" t="s">
        <v>23</v>
      </c>
      <c r="X292" s="3">
        <v>14.641</v>
      </c>
      <c r="Y292" s="3">
        <v>14.641</v>
      </c>
      <c r="Z292" t="s">
        <v>23</v>
      </c>
      <c r="AA292" t="s">
        <v>1322</v>
      </c>
      <c r="AB292" t="s">
        <v>283</v>
      </c>
      <c r="AC292" t="s">
        <v>1323</v>
      </c>
      <c r="AD292" t="s">
        <v>61</v>
      </c>
      <c r="AE292" t="s">
        <v>62</v>
      </c>
      <c r="AF292" t="s">
        <v>285</v>
      </c>
      <c r="AG292" t="s">
        <v>112</v>
      </c>
      <c r="AH292" t="s">
        <v>272</v>
      </c>
      <c r="AI292" t="s">
        <v>23</v>
      </c>
      <c r="AJ292" t="s">
        <v>114</v>
      </c>
      <c r="AK292" t="s">
        <v>115</v>
      </c>
      <c r="AL292" t="s">
        <v>1324</v>
      </c>
      <c r="AM292" t="s">
        <v>1325</v>
      </c>
      <c r="AN292" t="s">
        <v>118</v>
      </c>
      <c r="AO292" t="s">
        <v>71</v>
      </c>
      <c r="AP292" t="s">
        <v>1326</v>
      </c>
      <c r="AQ292" t="s">
        <v>1327</v>
      </c>
      <c r="AR292" t="s">
        <v>1328</v>
      </c>
    </row>
    <row r="293" spans="1:44" x14ac:dyDescent="0.25">
      <c r="A293" t="s">
        <v>101</v>
      </c>
      <c r="B293" t="s">
        <v>1315</v>
      </c>
      <c r="C293" t="s">
        <v>44</v>
      </c>
      <c r="D293" t="s">
        <v>1316</v>
      </c>
      <c r="E293" t="s">
        <v>1317</v>
      </c>
      <c r="F293" t="s">
        <v>1318</v>
      </c>
      <c r="G293" t="s">
        <v>1319</v>
      </c>
      <c r="H293" t="s">
        <v>49</v>
      </c>
      <c r="I293" t="s">
        <v>50</v>
      </c>
      <c r="J293" t="s">
        <v>241</v>
      </c>
      <c r="K293" t="s">
        <v>242</v>
      </c>
      <c r="L293" t="s">
        <v>243</v>
      </c>
      <c r="M293" t="s">
        <v>23</v>
      </c>
      <c r="N293" t="s">
        <v>54</v>
      </c>
      <c r="O293" t="s">
        <v>143</v>
      </c>
      <c r="P293" t="s">
        <v>107</v>
      </c>
      <c r="Q293" t="s">
        <v>144</v>
      </c>
      <c r="R293" s="3">
        <v>0.92800000000000005</v>
      </c>
      <c r="S293" s="3">
        <v>0</v>
      </c>
      <c r="T293" t="s">
        <v>23</v>
      </c>
      <c r="U293" t="s">
        <v>23</v>
      </c>
      <c r="V293" t="s">
        <v>23</v>
      </c>
      <c r="W293" t="s">
        <v>23</v>
      </c>
      <c r="X293" s="3">
        <v>0</v>
      </c>
      <c r="Y293" s="3">
        <v>14.641</v>
      </c>
      <c r="Z293" t="s">
        <v>23</v>
      </c>
      <c r="AA293" t="s">
        <v>1322</v>
      </c>
      <c r="AB293" t="s">
        <v>283</v>
      </c>
      <c r="AC293" t="s">
        <v>1323</v>
      </c>
      <c r="AD293" t="s">
        <v>61</v>
      </c>
      <c r="AE293" t="s">
        <v>62</v>
      </c>
      <c r="AF293" t="s">
        <v>285</v>
      </c>
      <c r="AG293" t="s">
        <v>112</v>
      </c>
      <c r="AH293" t="s">
        <v>272</v>
      </c>
      <c r="AI293" t="s">
        <v>23</v>
      </c>
      <c r="AJ293" t="s">
        <v>114</v>
      </c>
      <c r="AK293" t="s">
        <v>115</v>
      </c>
      <c r="AL293" t="s">
        <v>1324</v>
      </c>
      <c r="AM293" t="s">
        <v>1325</v>
      </c>
      <c r="AN293" t="s">
        <v>118</v>
      </c>
      <c r="AO293" t="s">
        <v>71</v>
      </c>
      <c r="AP293" t="s">
        <v>1326</v>
      </c>
      <c r="AQ293" t="s">
        <v>1327</v>
      </c>
      <c r="AR293" t="s">
        <v>1328</v>
      </c>
    </row>
    <row r="294" spans="1:44" x14ac:dyDescent="0.25">
      <c r="A294" t="s">
        <v>101</v>
      </c>
      <c r="B294" t="s">
        <v>1315</v>
      </c>
      <c r="C294" t="s">
        <v>44</v>
      </c>
      <c r="D294" t="s">
        <v>1316</v>
      </c>
      <c r="E294" t="s">
        <v>1317</v>
      </c>
      <c r="F294" t="s">
        <v>1318</v>
      </c>
      <c r="G294" t="s">
        <v>1319</v>
      </c>
      <c r="H294" t="s">
        <v>49</v>
      </c>
      <c r="I294" t="s">
        <v>50</v>
      </c>
      <c r="J294" t="s">
        <v>125</v>
      </c>
      <c r="K294" t="s">
        <v>126</v>
      </c>
      <c r="L294" t="s">
        <v>127</v>
      </c>
      <c r="M294" t="s">
        <v>23</v>
      </c>
      <c r="N294" t="s">
        <v>54</v>
      </c>
      <c r="O294" t="s">
        <v>128</v>
      </c>
      <c r="P294" t="s">
        <v>107</v>
      </c>
      <c r="Q294" t="s">
        <v>129</v>
      </c>
      <c r="R294" s="3">
        <v>0.71</v>
      </c>
      <c r="S294" s="3">
        <v>0</v>
      </c>
      <c r="T294" t="s">
        <v>23</v>
      </c>
      <c r="U294" t="s">
        <v>23</v>
      </c>
      <c r="V294" t="s">
        <v>23</v>
      </c>
      <c r="W294" t="s">
        <v>23</v>
      </c>
      <c r="X294" s="3">
        <v>0</v>
      </c>
      <c r="Y294" s="3">
        <v>14.641</v>
      </c>
      <c r="Z294" t="s">
        <v>23</v>
      </c>
      <c r="AA294" t="s">
        <v>1322</v>
      </c>
      <c r="AB294" t="s">
        <v>283</v>
      </c>
      <c r="AC294" t="s">
        <v>1323</v>
      </c>
      <c r="AD294" t="s">
        <v>61</v>
      </c>
      <c r="AE294" t="s">
        <v>62</v>
      </c>
      <c r="AF294" t="s">
        <v>285</v>
      </c>
      <c r="AG294" t="s">
        <v>112</v>
      </c>
      <c r="AH294" t="s">
        <v>272</v>
      </c>
      <c r="AI294" t="s">
        <v>23</v>
      </c>
      <c r="AJ294" t="s">
        <v>114</v>
      </c>
      <c r="AK294" t="s">
        <v>115</v>
      </c>
      <c r="AL294" t="s">
        <v>1324</v>
      </c>
      <c r="AM294" t="s">
        <v>1325</v>
      </c>
      <c r="AN294" t="s">
        <v>118</v>
      </c>
      <c r="AO294" t="s">
        <v>71</v>
      </c>
      <c r="AP294" t="s">
        <v>1326</v>
      </c>
      <c r="AQ294" t="s">
        <v>1327</v>
      </c>
      <c r="AR294" t="s">
        <v>1328</v>
      </c>
    </row>
    <row r="295" spans="1:44" x14ac:dyDescent="0.25">
      <c r="A295" t="s">
        <v>101</v>
      </c>
      <c r="B295" t="s">
        <v>1315</v>
      </c>
      <c r="C295" t="s">
        <v>44</v>
      </c>
      <c r="D295" t="s">
        <v>1316</v>
      </c>
      <c r="E295" t="s">
        <v>1317</v>
      </c>
      <c r="F295" t="s">
        <v>1318</v>
      </c>
      <c r="G295" t="s">
        <v>1319</v>
      </c>
      <c r="H295" t="s">
        <v>49</v>
      </c>
      <c r="I295" t="s">
        <v>50</v>
      </c>
      <c r="J295" t="s">
        <v>454</v>
      </c>
      <c r="K295" t="s">
        <v>455</v>
      </c>
      <c r="L295" t="s">
        <v>456</v>
      </c>
      <c r="M295" t="s">
        <v>23</v>
      </c>
      <c r="N295" t="s">
        <v>54</v>
      </c>
      <c r="O295" t="s">
        <v>148</v>
      </c>
      <c r="P295" t="s">
        <v>149</v>
      </c>
      <c r="Q295" t="s">
        <v>150</v>
      </c>
      <c r="R295" s="3">
        <v>0.65500000000000003</v>
      </c>
      <c r="S295" s="3">
        <v>0</v>
      </c>
      <c r="T295" t="s">
        <v>23</v>
      </c>
      <c r="U295" t="s">
        <v>23</v>
      </c>
      <c r="V295" t="s">
        <v>23</v>
      </c>
      <c r="W295" t="s">
        <v>23</v>
      </c>
      <c r="X295" s="3">
        <v>0</v>
      </c>
      <c r="Y295" s="3">
        <v>14.641</v>
      </c>
      <c r="Z295" t="s">
        <v>23</v>
      </c>
      <c r="AA295" t="s">
        <v>1322</v>
      </c>
      <c r="AB295" t="s">
        <v>283</v>
      </c>
      <c r="AC295" t="s">
        <v>1323</v>
      </c>
      <c r="AD295" t="s">
        <v>61</v>
      </c>
      <c r="AE295" t="s">
        <v>62</v>
      </c>
      <c r="AF295" t="s">
        <v>285</v>
      </c>
      <c r="AG295" t="s">
        <v>112</v>
      </c>
      <c r="AH295" t="s">
        <v>272</v>
      </c>
      <c r="AI295" t="s">
        <v>23</v>
      </c>
      <c r="AJ295" t="s">
        <v>114</v>
      </c>
      <c r="AK295" t="s">
        <v>115</v>
      </c>
      <c r="AL295" t="s">
        <v>1324</v>
      </c>
      <c r="AM295" t="s">
        <v>1325</v>
      </c>
      <c r="AN295" t="s">
        <v>118</v>
      </c>
      <c r="AO295" t="s">
        <v>71</v>
      </c>
      <c r="AP295" t="s">
        <v>1326</v>
      </c>
      <c r="AQ295" t="s">
        <v>1327</v>
      </c>
      <c r="AR295" t="s">
        <v>1328</v>
      </c>
    </row>
    <row r="296" spans="1:44" x14ac:dyDescent="0.25">
      <c r="A296" t="s">
        <v>101</v>
      </c>
      <c r="B296" t="s">
        <v>1315</v>
      </c>
      <c r="C296" t="s">
        <v>44</v>
      </c>
      <c r="D296" t="s">
        <v>1316</v>
      </c>
      <c r="E296" t="s">
        <v>1317</v>
      </c>
      <c r="F296" t="s">
        <v>1318</v>
      </c>
      <c r="G296" t="s">
        <v>1319</v>
      </c>
      <c r="H296" t="s">
        <v>49</v>
      </c>
      <c r="I296" t="s">
        <v>50</v>
      </c>
      <c r="J296" t="s">
        <v>584</v>
      </c>
      <c r="K296" t="s">
        <v>141</v>
      </c>
      <c r="L296" t="s">
        <v>585</v>
      </c>
      <c r="M296" t="s">
        <v>23</v>
      </c>
      <c r="N296" t="s">
        <v>54</v>
      </c>
      <c r="O296" t="s">
        <v>1329</v>
      </c>
      <c r="P296" t="s">
        <v>107</v>
      </c>
      <c r="Q296" t="s">
        <v>1330</v>
      </c>
      <c r="R296" s="3">
        <v>0.74299999999999999</v>
      </c>
      <c r="S296" s="3">
        <v>0</v>
      </c>
      <c r="T296" t="s">
        <v>23</v>
      </c>
      <c r="U296" t="s">
        <v>23</v>
      </c>
      <c r="V296" t="s">
        <v>23</v>
      </c>
      <c r="W296" t="s">
        <v>23</v>
      </c>
      <c r="X296" s="3">
        <v>0</v>
      </c>
      <c r="Y296" s="3">
        <v>14.641</v>
      </c>
      <c r="Z296" t="s">
        <v>23</v>
      </c>
      <c r="AA296" t="s">
        <v>1322</v>
      </c>
      <c r="AB296" t="s">
        <v>283</v>
      </c>
      <c r="AC296" t="s">
        <v>1323</v>
      </c>
      <c r="AD296" t="s">
        <v>61</v>
      </c>
      <c r="AE296" t="s">
        <v>62</v>
      </c>
      <c r="AF296" t="s">
        <v>285</v>
      </c>
      <c r="AG296" t="s">
        <v>112</v>
      </c>
      <c r="AH296" t="s">
        <v>272</v>
      </c>
      <c r="AI296" t="s">
        <v>23</v>
      </c>
      <c r="AJ296" t="s">
        <v>114</v>
      </c>
      <c r="AK296" t="s">
        <v>115</v>
      </c>
      <c r="AL296" t="s">
        <v>1324</v>
      </c>
      <c r="AM296" t="s">
        <v>1325</v>
      </c>
      <c r="AN296" t="s">
        <v>118</v>
      </c>
      <c r="AO296" t="s">
        <v>71</v>
      </c>
      <c r="AP296" t="s">
        <v>1326</v>
      </c>
      <c r="AQ296" t="s">
        <v>1327</v>
      </c>
      <c r="AR296" t="s">
        <v>1328</v>
      </c>
    </row>
    <row r="297" spans="1:44" x14ac:dyDescent="0.25">
      <c r="A297" t="s">
        <v>101</v>
      </c>
      <c r="B297" t="s">
        <v>1315</v>
      </c>
      <c r="C297" t="s">
        <v>44</v>
      </c>
      <c r="D297" t="s">
        <v>1316</v>
      </c>
      <c r="E297" t="s">
        <v>1317</v>
      </c>
      <c r="F297" t="s">
        <v>1318</v>
      </c>
      <c r="G297" t="s">
        <v>1319</v>
      </c>
      <c r="H297" t="s">
        <v>49</v>
      </c>
      <c r="I297" t="s">
        <v>50</v>
      </c>
      <c r="J297" t="s">
        <v>581</v>
      </c>
      <c r="K297" t="s">
        <v>146</v>
      </c>
      <c r="L297" t="s">
        <v>582</v>
      </c>
      <c r="M297" t="s">
        <v>23</v>
      </c>
      <c r="N297" t="s">
        <v>54</v>
      </c>
      <c r="O297" t="s">
        <v>506</v>
      </c>
      <c r="P297" t="s">
        <v>149</v>
      </c>
      <c r="Q297" t="s">
        <v>1257</v>
      </c>
      <c r="R297" s="3">
        <v>1.31</v>
      </c>
      <c r="S297" s="3">
        <v>0</v>
      </c>
      <c r="T297" t="s">
        <v>23</v>
      </c>
      <c r="U297" t="s">
        <v>23</v>
      </c>
      <c r="V297" t="s">
        <v>23</v>
      </c>
      <c r="W297" t="s">
        <v>23</v>
      </c>
      <c r="X297" s="3">
        <v>0</v>
      </c>
      <c r="Y297" s="3">
        <v>14.641</v>
      </c>
      <c r="Z297" t="s">
        <v>23</v>
      </c>
      <c r="AA297" t="s">
        <v>1322</v>
      </c>
      <c r="AB297" t="s">
        <v>283</v>
      </c>
      <c r="AC297" t="s">
        <v>1323</v>
      </c>
      <c r="AD297" t="s">
        <v>61</v>
      </c>
      <c r="AE297" t="s">
        <v>62</v>
      </c>
      <c r="AF297" t="s">
        <v>285</v>
      </c>
      <c r="AG297" t="s">
        <v>112</v>
      </c>
      <c r="AH297" t="s">
        <v>272</v>
      </c>
      <c r="AI297" t="s">
        <v>23</v>
      </c>
      <c r="AJ297" t="s">
        <v>114</v>
      </c>
      <c r="AK297" t="s">
        <v>115</v>
      </c>
      <c r="AL297" t="s">
        <v>1324</v>
      </c>
      <c r="AM297" t="s">
        <v>1325</v>
      </c>
      <c r="AN297" t="s">
        <v>118</v>
      </c>
      <c r="AO297" t="s">
        <v>71</v>
      </c>
      <c r="AP297" t="s">
        <v>1326</v>
      </c>
      <c r="AQ297" t="s">
        <v>1327</v>
      </c>
      <c r="AR297" t="s">
        <v>1328</v>
      </c>
    </row>
    <row r="298" spans="1:44" x14ac:dyDescent="0.25">
      <c r="A298" t="s">
        <v>101</v>
      </c>
      <c r="B298" t="s">
        <v>1315</v>
      </c>
      <c r="C298" t="s">
        <v>44</v>
      </c>
      <c r="D298" t="s">
        <v>1316</v>
      </c>
      <c r="E298" t="s">
        <v>1317</v>
      </c>
      <c r="F298" t="s">
        <v>1318</v>
      </c>
      <c r="G298" t="s">
        <v>1319</v>
      </c>
      <c r="H298" t="s">
        <v>49</v>
      </c>
      <c r="I298" t="s">
        <v>50</v>
      </c>
      <c r="J298" t="s">
        <v>1331</v>
      </c>
      <c r="K298" t="s">
        <v>152</v>
      </c>
      <c r="L298" t="s">
        <v>1332</v>
      </c>
      <c r="M298" t="s">
        <v>23</v>
      </c>
      <c r="N298" t="s">
        <v>54</v>
      </c>
      <c r="O298" t="s">
        <v>154</v>
      </c>
      <c r="P298" t="s">
        <v>149</v>
      </c>
      <c r="Q298" t="s">
        <v>155</v>
      </c>
      <c r="R298" s="3">
        <v>3.2759999999999998</v>
      </c>
      <c r="S298" s="3">
        <v>0</v>
      </c>
      <c r="T298" t="s">
        <v>23</v>
      </c>
      <c r="U298" t="s">
        <v>23</v>
      </c>
      <c r="V298" t="s">
        <v>23</v>
      </c>
      <c r="W298" t="s">
        <v>23</v>
      </c>
      <c r="X298" s="3">
        <v>0</v>
      </c>
      <c r="Y298" s="3">
        <v>14.641</v>
      </c>
      <c r="Z298" t="s">
        <v>23</v>
      </c>
      <c r="AA298" t="s">
        <v>1322</v>
      </c>
      <c r="AB298" t="s">
        <v>283</v>
      </c>
      <c r="AC298" t="s">
        <v>1323</v>
      </c>
      <c r="AD298" t="s">
        <v>61</v>
      </c>
      <c r="AE298" t="s">
        <v>62</v>
      </c>
      <c r="AF298" t="s">
        <v>285</v>
      </c>
      <c r="AG298" t="s">
        <v>112</v>
      </c>
      <c r="AH298" t="s">
        <v>272</v>
      </c>
      <c r="AI298" t="s">
        <v>23</v>
      </c>
      <c r="AJ298" t="s">
        <v>114</v>
      </c>
      <c r="AK298" t="s">
        <v>115</v>
      </c>
      <c r="AL298" t="s">
        <v>1324</v>
      </c>
      <c r="AM298" t="s">
        <v>1325</v>
      </c>
      <c r="AN298" t="s">
        <v>118</v>
      </c>
      <c r="AO298" t="s">
        <v>71</v>
      </c>
      <c r="AP298" t="s">
        <v>1326</v>
      </c>
      <c r="AQ298" t="s">
        <v>1327</v>
      </c>
      <c r="AR298" t="s">
        <v>1328</v>
      </c>
    </row>
    <row r="299" spans="1:44" x14ac:dyDescent="0.25">
      <c r="A299" t="s">
        <v>101</v>
      </c>
      <c r="B299" t="s">
        <v>1315</v>
      </c>
      <c r="C299" t="s">
        <v>44</v>
      </c>
      <c r="D299" t="s">
        <v>1316</v>
      </c>
      <c r="E299" t="s">
        <v>1317</v>
      </c>
      <c r="F299" t="s">
        <v>1318</v>
      </c>
      <c r="G299" t="s">
        <v>1319</v>
      </c>
      <c r="H299" t="s">
        <v>49</v>
      </c>
      <c r="I299" t="s">
        <v>50</v>
      </c>
      <c r="J299" t="s">
        <v>1333</v>
      </c>
      <c r="K299" t="s">
        <v>426</v>
      </c>
      <c r="L299" t="s">
        <v>1334</v>
      </c>
      <c r="M299" t="s">
        <v>23</v>
      </c>
      <c r="N299" t="s">
        <v>428</v>
      </c>
      <c r="O299" t="s">
        <v>518</v>
      </c>
      <c r="P299" t="s">
        <v>93</v>
      </c>
      <c r="Q299" t="s">
        <v>1335</v>
      </c>
      <c r="R299" s="3">
        <v>3</v>
      </c>
      <c r="S299" s="3">
        <v>0</v>
      </c>
      <c r="T299" t="s">
        <v>23</v>
      </c>
      <c r="U299" t="s">
        <v>23</v>
      </c>
      <c r="V299" t="s">
        <v>23</v>
      </c>
      <c r="W299" t="s">
        <v>23</v>
      </c>
      <c r="X299" s="3">
        <v>0</v>
      </c>
      <c r="Y299" s="3">
        <v>14.641</v>
      </c>
      <c r="Z299" t="s">
        <v>23</v>
      </c>
      <c r="AA299" t="s">
        <v>1322</v>
      </c>
      <c r="AB299" t="s">
        <v>283</v>
      </c>
      <c r="AC299" t="s">
        <v>1323</v>
      </c>
      <c r="AD299" t="s">
        <v>61</v>
      </c>
      <c r="AE299" t="s">
        <v>62</v>
      </c>
      <c r="AF299" t="s">
        <v>285</v>
      </c>
      <c r="AG299" t="s">
        <v>112</v>
      </c>
      <c r="AH299" t="s">
        <v>272</v>
      </c>
      <c r="AI299" t="s">
        <v>23</v>
      </c>
      <c r="AJ299" t="s">
        <v>114</v>
      </c>
      <c r="AK299" t="s">
        <v>115</v>
      </c>
      <c r="AL299" t="s">
        <v>1324</v>
      </c>
      <c r="AM299" t="s">
        <v>1325</v>
      </c>
      <c r="AN299" t="s">
        <v>118</v>
      </c>
      <c r="AO299" t="s">
        <v>71</v>
      </c>
      <c r="AP299" t="s">
        <v>1326</v>
      </c>
      <c r="AQ299" t="s">
        <v>1327</v>
      </c>
      <c r="AR299" t="s">
        <v>1328</v>
      </c>
    </row>
    <row r="300" spans="1:44" x14ac:dyDescent="0.25">
      <c r="A300" t="s">
        <v>101</v>
      </c>
      <c r="B300" t="s">
        <v>1315</v>
      </c>
      <c r="C300" t="s">
        <v>44</v>
      </c>
      <c r="D300" t="s">
        <v>1316</v>
      </c>
      <c r="E300" t="s">
        <v>1317</v>
      </c>
      <c r="F300" t="s">
        <v>1318</v>
      </c>
      <c r="G300" t="s">
        <v>1319</v>
      </c>
      <c r="H300" t="s">
        <v>49</v>
      </c>
      <c r="I300" t="s">
        <v>50</v>
      </c>
      <c r="J300" t="s">
        <v>1336</v>
      </c>
      <c r="K300" t="s">
        <v>1337</v>
      </c>
      <c r="L300" t="s">
        <v>1338</v>
      </c>
      <c r="M300" t="s">
        <v>23</v>
      </c>
      <c r="N300" t="s">
        <v>428</v>
      </c>
      <c r="O300" t="s">
        <v>398</v>
      </c>
      <c r="P300" t="s">
        <v>93</v>
      </c>
      <c r="Q300" t="s">
        <v>282</v>
      </c>
      <c r="R300" s="3">
        <v>0.75</v>
      </c>
      <c r="S300" s="3">
        <v>0</v>
      </c>
      <c r="T300" t="s">
        <v>23</v>
      </c>
      <c r="U300" t="s">
        <v>23</v>
      </c>
      <c r="V300" t="s">
        <v>23</v>
      </c>
      <c r="W300" t="s">
        <v>23</v>
      </c>
      <c r="X300" s="3">
        <v>0</v>
      </c>
      <c r="Y300" s="3">
        <v>14.641</v>
      </c>
      <c r="Z300" t="s">
        <v>23</v>
      </c>
      <c r="AA300" t="s">
        <v>1322</v>
      </c>
      <c r="AB300" t="s">
        <v>283</v>
      </c>
      <c r="AC300" t="s">
        <v>1323</v>
      </c>
      <c r="AD300" t="s">
        <v>61</v>
      </c>
      <c r="AE300" t="s">
        <v>62</v>
      </c>
      <c r="AF300" t="s">
        <v>285</v>
      </c>
      <c r="AG300" t="s">
        <v>112</v>
      </c>
      <c r="AH300" t="s">
        <v>272</v>
      </c>
      <c r="AI300" t="s">
        <v>23</v>
      </c>
      <c r="AJ300" t="s">
        <v>114</v>
      </c>
      <c r="AK300" t="s">
        <v>115</v>
      </c>
      <c r="AL300" t="s">
        <v>1324</v>
      </c>
      <c r="AM300" t="s">
        <v>1325</v>
      </c>
      <c r="AN300" t="s">
        <v>118</v>
      </c>
      <c r="AO300" t="s">
        <v>71</v>
      </c>
      <c r="AP300" t="s">
        <v>1326</v>
      </c>
      <c r="AQ300" t="s">
        <v>1327</v>
      </c>
      <c r="AR300" t="s">
        <v>1328</v>
      </c>
    </row>
    <row r="301" spans="1:44" x14ac:dyDescent="0.25">
      <c r="A301" t="s">
        <v>101</v>
      </c>
      <c r="B301" t="s">
        <v>1315</v>
      </c>
      <c r="C301" t="s">
        <v>44</v>
      </c>
      <c r="D301" t="s">
        <v>1316</v>
      </c>
      <c r="E301" t="s">
        <v>1317</v>
      </c>
      <c r="F301" t="s">
        <v>1318</v>
      </c>
      <c r="G301" t="s">
        <v>1319</v>
      </c>
      <c r="H301" t="s">
        <v>49</v>
      </c>
      <c r="I301" t="s">
        <v>50</v>
      </c>
      <c r="J301" t="s">
        <v>1339</v>
      </c>
      <c r="K301" t="s">
        <v>432</v>
      </c>
      <c r="L301" t="s">
        <v>1340</v>
      </c>
      <c r="M301" t="s">
        <v>23</v>
      </c>
      <c r="N301" t="s">
        <v>428</v>
      </c>
      <c r="O301" t="s">
        <v>197</v>
      </c>
      <c r="P301" t="s">
        <v>93</v>
      </c>
      <c r="Q301" t="s">
        <v>1341</v>
      </c>
      <c r="R301" s="3">
        <v>1.5</v>
      </c>
      <c r="S301" s="3">
        <v>0</v>
      </c>
      <c r="T301" t="s">
        <v>23</v>
      </c>
      <c r="U301" t="s">
        <v>23</v>
      </c>
      <c r="V301" t="s">
        <v>23</v>
      </c>
      <c r="W301" t="s">
        <v>23</v>
      </c>
      <c r="X301" s="3">
        <v>0</v>
      </c>
      <c r="Y301" s="3">
        <v>14.641</v>
      </c>
      <c r="Z301" t="s">
        <v>23</v>
      </c>
      <c r="AA301" t="s">
        <v>1322</v>
      </c>
      <c r="AB301" t="s">
        <v>283</v>
      </c>
      <c r="AC301" t="s">
        <v>1323</v>
      </c>
      <c r="AD301" t="s">
        <v>61</v>
      </c>
      <c r="AE301" t="s">
        <v>62</v>
      </c>
      <c r="AF301" t="s">
        <v>285</v>
      </c>
      <c r="AG301" t="s">
        <v>112</v>
      </c>
      <c r="AH301" t="s">
        <v>272</v>
      </c>
      <c r="AI301" t="s">
        <v>23</v>
      </c>
      <c r="AJ301" t="s">
        <v>114</v>
      </c>
      <c r="AK301" t="s">
        <v>115</v>
      </c>
      <c r="AL301" t="s">
        <v>1324</v>
      </c>
      <c r="AM301" t="s">
        <v>1325</v>
      </c>
      <c r="AN301" t="s">
        <v>118</v>
      </c>
      <c r="AO301" t="s">
        <v>71</v>
      </c>
      <c r="AP301" t="s">
        <v>1326</v>
      </c>
      <c r="AQ301" t="s">
        <v>1327</v>
      </c>
      <c r="AR301" t="s">
        <v>1328</v>
      </c>
    </row>
    <row r="302" spans="1:44" x14ac:dyDescent="0.25">
      <c r="A302" s="4" t="s">
        <v>23</v>
      </c>
      <c r="B302" s="4" t="s">
        <v>23</v>
      </c>
      <c r="C302" s="4" t="s">
        <v>23</v>
      </c>
      <c r="D302" s="4" t="s">
        <v>23</v>
      </c>
      <c r="E302" s="4" t="s">
        <v>23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5">
        <v>14.641</v>
      </c>
      <c r="S302" s="5">
        <v>14.641</v>
      </c>
      <c r="T302" s="4" t="s">
        <v>23</v>
      </c>
      <c r="U302" s="4" t="s">
        <v>23</v>
      </c>
      <c r="V302" s="4" t="s">
        <v>23</v>
      </c>
      <c r="W302" s="4" t="s">
        <v>23</v>
      </c>
      <c r="X302" s="5">
        <v>14.641</v>
      </c>
      <c r="Y302" s="5">
        <v>14.641</v>
      </c>
      <c r="Z302" s="4" t="s">
        <v>23</v>
      </c>
      <c r="AA302" s="4" t="s">
        <v>23</v>
      </c>
      <c r="AB302" s="4" t="s">
        <v>23</v>
      </c>
      <c r="AC302" s="4" t="s">
        <v>23</v>
      </c>
      <c r="AD302" s="4" t="s">
        <v>23</v>
      </c>
      <c r="AE302" s="4" t="s">
        <v>23</v>
      </c>
      <c r="AF302" s="4" t="s">
        <v>23</v>
      </c>
      <c r="AG302" s="4" t="s">
        <v>23</v>
      </c>
      <c r="AH302" s="4" t="s">
        <v>23</v>
      </c>
      <c r="AI302" s="4" t="s">
        <v>23</v>
      </c>
      <c r="AJ302" s="4" t="s">
        <v>23</v>
      </c>
      <c r="AK302" s="4" t="s">
        <v>23</v>
      </c>
      <c r="AL302" s="4" t="s">
        <v>23</v>
      </c>
      <c r="AM302" s="4" t="s">
        <v>23</v>
      </c>
      <c r="AN302" s="4" t="s">
        <v>23</v>
      </c>
      <c r="AO302" s="4" t="s">
        <v>23</v>
      </c>
      <c r="AP302" s="4" t="s">
        <v>23</v>
      </c>
      <c r="AQ302" s="4" t="s">
        <v>23</v>
      </c>
      <c r="AR302" s="4" t="s">
        <v>23</v>
      </c>
    </row>
    <row r="303" spans="1:44" x14ac:dyDescent="0.25">
      <c r="A303" t="s">
        <v>101</v>
      </c>
      <c r="B303" t="s">
        <v>1342</v>
      </c>
      <c r="C303" t="s">
        <v>44</v>
      </c>
      <c r="D303" t="s">
        <v>1343</v>
      </c>
      <c r="E303" t="s">
        <v>1344</v>
      </c>
      <c r="F303" t="s">
        <v>1345</v>
      </c>
      <c r="G303" t="s">
        <v>1346</v>
      </c>
      <c r="H303" t="s">
        <v>294</v>
      </c>
      <c r="I303" t="s">
        <v>50</v>
      </c>
      <c r="J303" t="s">
        <v>241</v>
      </c>
      <c r="K303" t="s">
        <v>242</v>
      </c>
      <c r="L303" t="s">
        <v>243</v>
      </c>
      <c r="M303" t="s">
        <v>23</v>
      </c>
      <c r="N303" t="s">
        <v>54</v>
      </c>
      <c r="O303" t="s">
        <v>1347</v>
      </c>
      <c r="P303" t="s">
        <v>107</v>
      </c>
      <c r="Q303" t="s">
        <v>1348</v>
      </c>
      <c r="R303" s="3">
        <v>2.7850000000000001</v>
      </c>
      <c r="S303" s="3">
        <v>13.871</v>
      </c>
      <c r="T303" t="s">
        <v>23</v>
      </c>
      <c r="U303" t="s">
        <v>23</v>
      </c>
      <c r="V303" t="s">
        <v>23</v>
      </c>
      <c r="W303" t="s">
        <v>23</v>
      </c>
      <c r="X303" s="3">
        <v>13.871</v>
      </c>
      <c r="Y303" s="3">
        <v>13.871</v>
      </c>
      <c r="Z303" t="s">
        <v>23</v>
      </c>
      <c r="AA303" t="s">
        <v>1349</v>
      </c>
      <c r="AB303" t="s">
        <v>109</v>
      </c>
      <c r="AC303" t="s">
        <v>1350</v>
      </c>
      <c r="AD303" t="s">
        <v>61</v>
      </c>
      <c r="AE303" t="s">
        <v>62</v>
      </c>
      <c r="AF303" t="s">
        <v>111</v>
      </c>
      <c r="AG303" t="s">
        <v>112</v>
      </c>
      <c r="AH303" t="s">
        <v>113</v>
      </c>
      <c r="AI303" t="s">
        <v>23</v>
      </c>
      <c r="AJ303" t="s">
        <v>114</v>
      </c>
      <c r="AK303" t="s">
        <v>115</v>
      </c>
      <c r="AL303" t="s">
        <v>1351</v>
      </c>
      <c r="AM303" t="s">
        <v>1352</v>
      </c>
      <c r="AN303" t="s">
        <v>118</v>
      </c>
      <c r="AO303" t="s">
        <v>71</v>
      </c>
      <c r="AP303" t="s">
        <v>1353</v>
      </c>
      <c r="AQ303" t="s">
        <v>1354</v>
      </c>
      <c r="AR303" t="s">
        <v>1355</v>
      </c>
    </row>
    <row r="304" spans="1:44" x14ac:dyDescent="0.25">
      <c r="A304" t="s">
        <v>101</v>
      </c>
      <c r="B304" t="s">
        <v>1342</v>
      </c>
      <c r="C304" t="s">
        <v>44</v>
      </c>
      <c r="D304" t="s">
        <v>1343</v>
      </c>
      <c r="E304" t="s">
        <v>1344</v>
      </c>
      <c r="F304" t="s">
        <v>1345</v>
      </c>
      <c r="G304" t="s">
        <v>1346</v>
      </c>
      <c r="H304" t="s">
        <v>294</v>
      </c>
      <c r="I304" t="s">
        <v>50</v>
      </c>
      <c r="J304" t="s">
        <v>140</v>
      </c>
      <c r="K304" t="s">
        <v>141</v>
      </c>
      <c r="L304" t="s">
        <v>142</v>
      </c>
      <c r="M304" t="s">
        <v>23</v>
      </c>
      <c r="N304" t="s">
        <v>54</v>
      </c>
      <c r="O304" t="s">
        <v>1356</v>
      </c>
      <c r="P304" t="s">
        <v>107</v>
      </c>
      <c r="Q304" t="s">
        <v>1357</v>
      </c>
      <c r="R304" s="3">
        <v>3.7130000000000001</v>
      </c>
      <c r="S304" s="3">
        <v>0</v>
      </c>
      <c r="T304" t="s">
        <v>23</v>
      </c>
      <c r="U304" t="s">
        <v>23</v>
      </c>
      <c r="V304" t="s">
        <v>23</v>
      </c>
      <c r="W304" t="s">
        <v>23</v>
      </c>
      <c r="X304" s="3">
        <v>0</v>
      </c>
      <c r="Y304" s="3">
        <v>13.871</v>
      </c>
      <c r="Z304" t="s">
        <v>23</v>
      </c>
      <c r="AA304" t="s">
        <v>1349</v>
      </c>
      <c r="AB304" t="s">
        <v>109</v>
      </c>
      <c r="AC304" t="s">
        <v>1350</v>
      </c>
      <c r="AD304" t="s">
        <v>61</v>
      </c>
      <c r="AE304" t="s">
        <v>62</v>
      </c>
      <c r="AF304" t="s">
        <v>111</v>
      </c>
      <c r="AG304" t="s">
        <v>112</v>
      </c>
      <c r="AH304" t="s">
        <v>113</v>
      </c>
      <c r="AI304" t="s">
        <v>23</v>
      </c>
      <c r="AJ304" t="s">
        <v>114</v>
      </c>
      <c r="AK304" t="s">
        <v>115</v>
      </c>
      <c r="AL304" t="s">
        <v>1351</v>
      </c>
      <c r="AM304" t="s">
        <v>1352</v>
      </c>
      <c r="AN304" t="s">
        <v>118</v>
      </c>
      <c r="AO304" t="s">
        <v>71</v>
      </c>
      <c r="AP304" t="s">
        <v>1353</v>
      </c>
      <c r="AQ304" t="s">
        <v>1354</v>
      </c>
      <c r="AR304" t="s">
        <v>1355</v>
      </c>
    </row>
    <row r="305" spans="1:44" x14ac:dyDescent="0.25">
      <c r="A305" t="s">
        <v>101</v>
      </c>
      <c r="B305" t="s">
        <v>1342</v>
      </c>
      <c r="C305" t="s">
        <v>44</v>
      </c>
      <c r="D305" t="s">
        <v>1343</v>
      </c>
      <c r="E305" t="s">
        <v>1344</v>
      </c>
      <c r="F305" t="s">
        <v>1345</v>
      </c>
      <c r="G305" t="s">
        <v>1346</v>
      </c>
      <c r="H305" t="s">
        <v>294</v>
      </c>
      <c r="I305" t="s">
        <v>50</v>
      </c>
      <c r="J305" t="s">
        <v>306</v>
      </c>
      <c r="K305" t="s">
        <v>307</v>
      </c>
      <c r="L305" t="s">
        <v>308</v>
      </c>
      <c r="M305" t="s">
        <v>23</v>
      </c>
      <c r="N305" t="s">
        <v>54</v>
      </c>
      <c r="O305" t="s">
        <v>143</v>
      </c>
      <c r="P305" t="s">
        <v>309</v>
      </c>
      <c r="Q305" t="s">
        <v>310</v>
      </c>
      <c r="R305" s="3">
        <v>0.81699999999999995</v>
      </c>
      <c r="S305" s="3">
        <v>0</v>
      </c>
      <c r="T305" t="s">
        <v>23</v>
      </c>
      <c r="U305" t="s">
        <v>23</v>
      </c>
      <c r="V305" t="s">
        <v>23</v>
      </c>
      <c r="W305" t="s">
        <v>23</v>
      </c>
      <c r="X305" s="3">
        <v>0</v>
      </c>
      <c r="Y305" s="3">
        <v>13.871</v>
      </c>
      <c r="Z305" t="s">
        <v>23</v>
      </c>
      <c r="AA305" t="s">
        <v>1349</v>
      </c>
      <c r="AB305" t="s">
        <v>109</v>
      </c>
      <c r="AC305" t="s">
        <v>1350</v>
      </c>
      <c r="AD305" t="s">
        <v>61</v>
      </c>
      <c r="AE305" t="s">
        <v>62</v>
      </c>
      <c r="AF305" t="s">
        <v>111</v>
      </c>
      <c r="AG305" t="s">
        <v>112</v>
      </c>
      <c r="AH305" t="s">
        <v>113</v>
      </c>
      <c r="AI305" t="s">
        <v>23</v>
      </c>
      <c r="AJ305" t="s">
        <v>114</v>
      </c>
      <c r="AK305" t="s">
        <v>115</v>
      </c>
      <c r="AL305" t="s">
        <v>1351</v>
      </c>
      <c r="AM305" t="s">
        <v>1352</v>
      </c>
      <c r="AN305" t="s">
        <v>118</v>
      </c>
      <c r="AO305" t="s">
        <v>71</v>
      </c>
      <c r="AP305" t="s">
        <v>1353</v>
      </c>
      <c r="AQ305" t="s">
        <v>1354</v>
      </c>
      <c r="AR305" t="s">
        <v>1355</v>
      </c>
    </row>
    <row r="306" spans="1:44" x14ac:dyDescent="0.25">
      <c r="A306" t="s">
        <v>101</v>
      </c>
      <c r="B306" t="s">
        <v>1342</v>
      </c>
      <c r="C306" t="s">
        <v>44</v>
      </c>
      <c r="D306" t="s">
        <v>1343</v>
      </c>
      <c r="E306" t="s">
        <v>1344</v>
      </c>
      <c r="F306" t="s">
        <v>1345</v>
      </c>
      <c r="G306" t="s">
        <v>1346</v>
      </c>
      <c r="H306" t="s">
        <v>294</v>
      </c>
      <c r="I306" t="s">
        <v>50</v>
      </c>
      <c r="J306" t="s">
        <v>151</v>
      </c>
      <c r="K306" t="s">
        <v>152</v>
      </c>
      <c r="L306" t="s">
        <v>153</v>
      </c>
      <c r="M306" t="s">
        <v>23</v>
      </c>
      <c r="N306" t="s">
        <v>54</v>
      </c>
      <c r="O306" t="s">
        <v>383</v>
      </c>
      <c r="P306" t="s">
        <v>149</v>
      </c>
      <c r="Q306" t="s">
        <v>826</v>
      </c>
      <c r="R306" s="3">
        <v>3.931</v>
      </c>
      <c r="S306" s="3">
        <v>0</v>
      </c>
      <c r="T306" t="s">
        <v>23</v>
      </c>
      <c r="U306" t="s">
        <v>23</v>
      </c>
      <c r="V306" t="s">
        <v>23</v>
      </c>
      <c r="W306" t="s">
        <v>23</v>
      </c>
      <c r="X306" s="3">
        <v>0</v>
      </c>
      <c r="Y306" s="3">
        <v>13.871</v>
      </c>
      <c r="Z306" t="s">
        <v>23</v>
      </c>
      <c r="AA306" t="s">
        <v>1349</v>
      </c>
      <c r="AB306" t="s">
        <v>109</v>
      </c>
      <c r="AC306" t="s">
        <v>1350</v>
      </c>
      <c r="AD306" t="s">
        <v>61</v>
      </c>
      <c r="AE306" t="s">
        <v>62</v>
      </c>
      <c r="AF306" t="s">
        <v>111</v>
      </c>
      <c r="AG306" t="s">
        <v>112</v>
      </c>
      <c r="AH306" t="s">
        <v>113</v>
      </c>
      <c r="AI306" t="s">
        <v>23</v>
      </c>
      <c r="AJ306" t="s">
        <v>114</v>
      </c>
      <c r="AK306" t="s">
        <v>115</v>
      </c>
      <c r="AL306" t="s">
        <v>1351</v>
      </c>
      <c r="AM306" t="s">
        <v>1352</v>
      </c>
      <c r="AN306" t="s">
        <v>118</v>
      </c>
      <c r="AO306" t="s">
        <v>71</v>
      </c>
      <c r="AP306" t="s">
        <v>1353</v>
      </c>
      <c r="AQ306" t="s">
        <v>1354</v>
      </c>
      <c r="AR306" t="s">
        <v>1355</v>
      </c>
    </row>
    <row r="307" spans="1:44" x14ac:dyDescent="0.25">
      <c r="A307" t="s">
        <v>101</v>
      </c>
      <c r="B307" t="s">
        <v>1342</v>
      </c>
      <c r="C307" t="s">
        <v>44</v>
      </c>
      <c r="D307" t="s">
        <v>1343</v>
      </c>
      <c r="E307" t="s">
        <v>1344</v>
      </c>
      <c r="F307" t="s">
        <v>1345</v>
      </c>
      <c r="G307" t="s">
        <v>1346</v>
      </c>
      <c r="H307" t="s">
        <v>294</v>
      </c>
      <c r="I307" t="s">
        <v>50</v>
      </c>
      <c r="J307" t="s">
        <v>431</v>
      </c>
      <c r="K307" t="s">
        <v>432</v>
      </c>
      <c r="L307" t="s">
        <v>433</v>
      </c>
      <c r="M307" t="s">
        <v>23</v>
      </c>
      <c r="N307" t="s">
        <v>428</v>
      </c>
      <c r="O307" t="s">
        <v>429</v>
      </c>
      <c r="P307" t="s">
        <v>93</v>
      </c>
      <c r="Q307" t="s">
        <v>430</v>
      </c>
      <c r="R307" s="3">
        <v>2.625</v>
      </c>
      <c r="S307" s="3">
        <v>0</v>
      </c>
      <c r="T307" t="s">
        <v>23</v>
      </c>
      <c r="U307" t="s">
        <v>23</v>
      </c>
      <c r="V307" t="s">
        <v>23</v>
      </c>
      <c r="W307" t="s">
        <v>23</v>
      </c>
      <c r="X307" s="3">
        <v>0</v>
      </c>
      <c r="Y307" s="3">
        <v>13.871</v>
      </c>
      <c r="Z307" t="s">
        <v>23</v>
      </c>
      <c r="AA307" t="s">
        <v>1349</v>
      </c>
      <c r="AB307" t="s">
        <v>109</v>
      </c>
      <c r="AC307" t="s">
        <v>1350</v>
      </c>
      <c r="AD307" t="s">
        <v>61</v>
      </c>
      <c r="AE307" t="s">
        <v>62</v>
      </c>
      <c r="AF307" t="s">
        <v>111</v>
      </c>
      <c r="AG307" t="s">
        <v>112</v>
      </c>
      <c r="AH307" t="s">
        <v>113</v>
      </c>
      <c r="AI307" t="s">
        <v>23</v>
      </c>
      <c r="AJ307" t="s">
        <v>114</v>
      </c>
      <c r="AK307" t="s">
        <v>115</v>
      </c>
      <c r="AL307" t="s">
        <v>1351</v>
      </c>
      <c r="AM307" t="s">
        <v>1352</v>
      </c>
      <c r="AN307" t="s">
        <v>118</v>
      </c>
      <c r="AO307" t="s">
        <v>71</v>
      </c>
      <c r="AP307" t="s">
        <v>1353</v>
      </c>
      <c r="AQ307" t="s">
        <v>1354</v>
      </c>
      <c r="AR307" t="s">
        <v>1355</v>
      </c>
    </row>
    <row r="308" spans="1:44" x14ac:dyDescent="0.25">
      <c r="A308" s="4" t="s">
        <v>23</v>
      </c>
      <c r="B308" s="4" t="s">
        <v>23</v>
      </c>
      <c r="C308" s="4" t="s">
        <v>23</v>
      </c>
      <c r="D308" s="4" t="s">
        <v>23</v>
      </c>
      <c r="E308" s="4" t="s">
        <v>23</v>
      </c>
      <c r="F308" s="4" t="s">
        <v>23</v>
      </c>
      <c r="G308" s="4" t="s">
        <v>23</v>
      </c>
      <c r="H308" s="4" t="s">
        <v>23</v>
      </c>
      <c r="I308" s="4" t="s">
        <v>23</v>
      </c>
      <c r="J308" s="4" t="s">
        <v>23</v>
      </c>
      <c r="K308" s="4" t="s">
        <v>23</v>
      </c>
      <c r="L308" s="4" t="s">
        <v>23</v>
      </c>
      <c r="M308" s="4" t="s">
        <v>23</v>
      </c>
      <c r="N308" s="4" t="s">
        <v>23</v>
      </c>
      <c r="O308" s="4" t="s">
        <v>23</v>
      </c>
      <c r="P308" s="4" t="s">
        <v>23</v>
      </c>
      <c r="Q308" s="4" t="s">
        <v>23</v>
      </c>
      <c r="R308" s="5">
        <v>13.871</v>
      </c>
      <c r="S308" s="5">
        <v>13.871</v>
      </c>
      <c r="T308" s="4" t="s">
        <v>23</v>
      </c>
      <c r="U308" s="4" t="s">
        <v>23</v>
      </c>
      <c r="V308" s="4" t="s">
        <v>23</v>
      </c>
      <c r="W308" s="4" t="s">
        <v>23</v>
      </c>
      <c r="X308" s="5">
        <v>13.871</v>
      </c>
      <c r="Y308" s="5">
        <v>13.871</v>
      </c>
      <c r="Z308" s="4" t="s">
        <v>23</v>
      </c>
      <c r="AA308" s="4" t="s">
        <v>23</v>
      </c>
      <c r="AB308" s="4" t="s">
        <v>23</v>
      </c>
      <c r="AC308" s="4" t="s">
        <v>23</v>
      </c>
      <c r="AD308" s="4" t="s">
        <v>23</v>
      </c>
      <c r="AE308" s="4" t="s">
        <v>23</v>
      </c>
      <c r="AF308" s="4" t="s">
        <v>23</v>
      </c>
      <c r="AG308" s="4" t="s">
        <v>23</v>
      </c>
      <c r="AH308" s="4" t="s">
        <v>23</v>
      </c>
      <c r="AI308" s="4" t="s">
        <v>23</v>
      </c>
      <c r="AJ308" s="4" t="s">
        <v>23</v>
      </c>
      <c r="AK308" s="4" t="s">
        <v>23</v>
      </c>
      <c r="AL308" s="4" t="s">
        <v>23</v>
      </c>
      <c r="AM308" s="4" t="s">
        <v>23</v>
      </c>
      <c r="AN308" s="4" t="s">
        <v>23</v>
      </c>
      <c r="AO308" s="4" t="s">
        <v>23</v>
      </c>
      <c r="AP308" s="4" t="s">
        <v>23</v>
      </c>
      <c r="AQ308" s="4" t="s">
        <v>23</v>
      </c>
      <c r="AR308" s="4" t="s">
        <v>23</v>
      </c>
    </row>
    <row r="309" spans="1:44" x14ac:dyDescent="0.25">
      <c r="A309" t="s">
        <v>21</v>
      </c>
      <c r="B309" t="s">
        <v>1358</v>
      </c>
      <c r="C309" t="s">
        <v>44</v>
      </c>
      <c r="D309" t="s">
        <v>1359</v>
      </c>
      <c r="E309" t="s">
        <v>1360</v>
      </c>
      <c r="F309" t="s">
        <v>1361</v>
      </c>
      <c r="G309" t="s">
        <v>1362</v>
      </c>
      <c r="H309" t="s">
        <v>49</v>
      </c>
      <c r="I309" t="s">
        <v>50</v>
      </c>
      <c r="J309" t="s">
        <v>440</v>
      </c>
      <c r="K309" t="s">
        <v>441</v>
      </c>
      <c r="L309" t="s">
        <v>442</v>
      </c>
      <c r="M309" t="s">
        <v>23</v>
      </c>
      <c r="N309" t="s">
        <v>54</v>
      </c>
      <c r="O309" t="s">
        <v>106</v>
      </c>
      <c r="P309" t="s">
        <v>444</v>
      </c>
      <c r="Q309" t="s">
        <v>710</v>
      </c>
      <c r="R309" s="3">
        <v>0.23499999999999999</v>
      </c>
      <c r="S309" t="s">
        <v>23</v>
      </c>
      <c r="T309" t="s">
        <v>23</v>
      </c>
      <c r="U309" t="s">
        <v>23</v>
      </c>
      <c r="V309" s="3">
        <v>0.28299999999999997</v>
      </c>
      <c r="W309" t="s">
        <v>23</v>
      </c>
      <c r="X309" s="3">
        <v>13.661</v>
      </c>
      <c r="Y309" s="3">
        <v>16.989999999999998</v>
      </c>
      <c r="Z309" t="s">
        <v>23</v>
      </c>
      <c r="AA309" t="s">
        <v>1363</v>
      </c>
      <c r="AB309" t="s">
        <v>59</v>
      </c>
      <c r="AC309" t="s">
        <v>1364</v>
      </c>
      <c r="AD309" t="s">
        <v>61</v>
      </c>
      <c r="AE309" t="s">
        <v>62</v>
      </c>
      <c r="AF309" t="s">
        <v>63</v>
      </c>
      <c r="AG309" t="s">
        <v>64</v>
      </c>
      <c r="AH309" t="s">
        <v>65</v>
      </c>
      <c r="AI309" t="s">
        <v>23</v>
      </c>
      <c r="AJ309" t="s">
        <v>66</v>
      </c>
      <c r="AK309" t="s">
        <v>67</v>
      </c>
      <c r="AL309" t="s">
        <v>1365</v>
      </c>
      <c r="AM309" t="s">
        <v>1366</v>
      </c>
      <c r="AN309" t="s">
        <v>70</v>
      </c>
      <c r="AO309" t="s">
        <v>71</v>
      </c>
      <c r="AP309" t="s">
        <v>1367</v>
      </c>
      <c r="AQ309" t="s">
        <v>1368</v>
      </c>
      <c r="AR309" t="s">
        <v>1369</v>
      </c>
    </row>
    <row r="310" spans="1:44" x14ac:dyDescent="0.25">
      <c r="A310" t="s">
        <v>21</v>
      </c>
      <c r="B310" t="s">
        <v>1358</v>
      </c>
      <c r="C310" t="s">
        <v>44</v>
      </c>
      <c r="D310" t="s">
        <v>1359</v>
      </c>
      <c r="E310" t="s">
        <v>1360</v>
      </c>
      <c r="F310" t="s">
        <v>1361</v>
      </c>
      <c r="G310" t="s">
        <v>1362</v>
      </c>
      <c r="H310" t="s">
        <v>49</v>
      </c>
      <c r="I310" t="s">
        <v>50</v>
      </c>
      <c r="J310" t="s">
        <v>1370</v>
      </c>
      <c r="K310" t="s">
        <v>1371</v>
      </c>
      <c r="L310" t="s">
        <v>1372</v>
      </c>
      <c r="M310" t="s">
        <v>23</v>
      </c>
      <c r="N310" t="s">
        <v>54</v>
      </c>
      <c r="O310" t="s">
        <v>122</v>
      </c>
      <c r="P310" t="s">
        <v>1373</v>
      </c>
      <c r="Q310" t="s">
        <v>1374</v>
      </c>
      <c r="R310" s="3">
        <v>4.8000000000000001E-2</v>
      </c>
      <c r="S310" t="s">
        <v>23</v>
      </c>
      <c r="T310" t="s">
        <v>23</v>
      </c>
      <c r="U310" t="s">
        <v>23</v>
      </c>
      <c r="V310" s="3">
        <v>0</v>
      </c>
      <c r="W310" t="s">
        <v>23</v>
      </c>
      <c r="X310" s="3">
        <v>0</v>
      </c>
      <c r="Y310" s="3">
        <v>16.989999999999998</v>
      </c>
      <c r="Z310" t="s">
        <v>23</v>
      </c>
      <c r="AA310" t="s">
        <v>1363</v>
      </c>
      <c r="AB310" t="s">
        <v>59</v>
      </c>
      <c r="AC310" t="s">
        <v>1364</v>
      </c>
      <c r="AD310" t="s">
        <v>61</v>
      </c>
      <c r="AE310" t="s">
        <v>62</v>
      </c>
      <c r="AF310" t="s">
        <v>63</v>
      </c>
      <c r="AG310" t="s">
        <v>64</v>
      </c>
      <c r="AH310" t="s">
        <v>65</v>
      </c>
      <c r="AI310" t="s">
        <v>23</v>
      </c>
      <c r="AJ310" t="s">
        <v>66</v>
      </c>
      <c r="AK310" t="s">
        <v>67</v>
      </c>
      <c r="AL310" t="s">
        <v>1365</v>
      </c>
      <c r="AM310" t="s">
        <v>1366</v>
      </c>
      <c r="AN310" t="s">
        <v>70</v>
      </c>
      <c r="AO310" t="s">
        <v>71</v>
      </c>
      <c r="AP310" t="s">
        <v>1367</v>
      </c>
      <c r="AQ310" t="s">
        <v>1368</v>
      </c>
      <c r="AR310" t="s">
        <v>1369</v>
      </c>
    </row>
    <row r="311" spans="1:44" x14ac:dyDescent="0.25">
      <c r="A311" t="s">
        <v>363</v>
      </c>
      <c r="B311" t="s">
        <v>1375</v>
      </c>
      <c r="C311" t="s">
        <v>44</v>
      </c>
      <c r="D311" t="s">
        <v>1359</v>
      </c>
      <c r="E311" t="s">
        <v>1360</v>
      </c>
      <c r="F311" t="s">
        <v>1361</v>
      </c>
      <c r="G311" t="s">
        <v>1362</v>
      </c>
      <c r="H311" t="s">
        <v>49</v>
      </c>
      <c r="I311" t="s">
        <v>50</v>
      </c>
      <c r="J311" t="s">
        <v>1376</v>
      </c>
      <c r="K311" t="s">
        <v>1377</v>
      </c>
      <c r="L311" t="s">
        <v>1378</v>
      </c>
      <c r="M311" t="s">
        <v>23</v>
      </c>
      <c r="N311" t="s">
        <v>1379</v>
      </c>
      <c r="O311" t="s">
        <v>1131</v>
      </c>
      <c r="P311" t="s">
        <v>497</v>
      </c>
      <c r="Q311" t="s">
        <v>497</v>
      </c>
      <c r="R311" s="3">
        <v>0</v>
      </c>
      <c r="S311" t="s">
        <v>23</v>
      </c>
      <c r="T311" t="s">
        <v>23</v>
      </c>
      <c r="U311" s="3">
        <v>0</v>
      </c>
      <c r="V311" t="s">
        <v>23</v>
      </c>
      <c r="W311" t="s">
        <v>23</v>
      </c>
      <c r="X311" s="3">
        <v>0</v>
      </c>
      <c r="Y311" s="3">
        <v>16.989999999999998</v>
      </c>
      <c r="Z311" t="s">
        <v>23</v>
      </c>
      <c r="AA311" t="s">
        <v>1363</v>
      </c>
      <c r="AB311" t="s">
        <v>473</v>
      </c>
      <c r="AC311" t="s">
        <v>1380</v>
      </c>
      <c r="AD311" t="s">
        <v>61</v>
      </c>
      <c r="AE311" t="s">
        <v>62</v>
      </c>
      <c r="AF311" t="s">
        <v>474</v>
      </c>
      <c r="AG311" t="s">
        <v>112</v>
      </c>
      <c r="AH311" t="s">
        <v>113</v>
      </c>
      <c r="AI311" t="s">
        <v>23</v>
      </c>
      <c r="AJ311" t="s">
        <v>373</v>
      </c>
      <c r="AK311" t="s">
        <v>374</v>
      </c>
      <c r="AL311" t="s">
        <v>1381</v>
      </c>
      <c r="AM311" t="s">
        <v>1382</v>
      </c>
      <c r="AN311" t="s">
        <v>118</v>
      </c>
      <c r="AO311" t="s">
        <v>501</v>
      </c>
      <c r="AP311" t="s">
        <v>1367</v>
      </c>
      <c r="AQ311" t="s">
        <v>1368</v>
      </c>
      <c r="AR311" t="s">
        <v>1369</v>
      </c>
    </row>
    <row r="312" spans="1:44" x14ac:dyDescent="0.25">
      <c r="A312" t="s">
        <v>363</v>
      </c>
      <c r="B312" t="s">
        <v>1383</v>
      </c>
      <c r="C312" t="s">
        <v>44</v>
      </c>
      <c r="D312" t="s">
        <v>1359</v>
      </c>
      <c r="E312" t="s">
        <v>1360</v>
      </c>
      <c r="F312" t="s">
        <v>1361</v>
      </c>
      <c r="G312" t="s">
        <v>1362</v>
      </c>
      <c r="H312" t="s">
        <v>49</v>
      </c>
      <c r="I312" t="s">
        <v>50</v>
      </c>
      <c r="J312" t="s">
        <v>1384</v>
      </c>
      <c r="K312" t="s">
        <v>1385</v>
      </c>
      <c r="L312" t="s">
        <v>1386</v>
      </c>
      <c r="M312" t="s">
        <v>23</v>
      </c>
      <c r="N312" t="s">
        <v>1387</v>
      </c>
      <c r="O312" t="s">
        <v>399</v>
      </c>
      <c r="P312" t="s">
        <v>497</v>
      </c>
      <c r="Q312" t="s">
        <v>497</v>
      </c>
      <c r="R312" s="3">
        <v>0</v>
      </c>
      <c r="S312" t="s">
        <v>23</v>
      </c>
      <c r="T312" t="s">
        <v>23</v>
      </c>
      <c r="U312" s="3">
        <v>0</v>
      </c>
      <c r="V312" t="s">
        <v>23</v>
      </c>
      <c r="W312" t="s">
        <v>23</v>
      </c>
      <c r="X312" s="3">
        <v>0</v>
      </c>
      <c r="Y312" s="3">
        <v>16.989999999999998</v>
      </c>
      <c r="Z312" t="s">
        <v>23</v>
      </c>
      <c r="AA312" t="s">
        <v>1363</v>
      </c>
      <c r="AB312" t="s">
        <v>473</v>
      </c>
      <c r="AC312" t="s">
        <v>1388</v>
      </c>
      <c r="AD312" t="s">
        <v>61</v>
      </c>
      <c r="AE312" t="s">
        <v>62</v>
      </c>
      <c r="AF312" t="s">
        <v>474</v>
      </c>
      <c r="AG312" t="s">
        <v>112</v>
      </c>
      <c r="AH312" t="s">
        <v>113</v>
      </c>
      <c r="AI312" t="s">
        <v>23</v>
      </c>
      <c r="AJ312" t="s">
        <v>373</v>
      </c>
      <c r="AK312" t="s">
        <v>374</v>
      </c>
      <c r="AL312" t="s">
        <v>1389</v>
      </c>
      <c r="AM312" t="s">
        <v>1390</v>
      </c>
      <c r="AN312" t="s">
        <v>118</v>
      </c>
      <c r="AO312" t="s">
        <v>501</v>
      </c>
      <c r="AP312" t="s">
        <v>1367</v>
      </c>
      <c r="AQ312" t="s">
        <v>1368</v>
      </c>
      <c r="AR312" t="s">
        <v>1369</v>
      </c>
    </row>
    <row r="313" spans="1:44" x14ac:dyDescent="0.25">
      <c r="A313" t="s">
        <v>101</v>
      </c>
      <c r="B313" t="s">
        <v>1391</v>
      </c>
      <c r="C313" t="s">
        <v>44</v>
      </c>
      <c r="D313" t="s">
        <v>1359</v>
      </c>
      <c r="E313" t="s">
        <v>1360</v>
      </c>
      <c r="F313" t="s">
        <v>1361</v>
      </c>
      <c r="G313" t="s">
        <v>1362</v>
      </c>
      <c r="H313" t="s">
        <v>49</v>
      </c>
      <c r="I313" t="s">
        <v>50</v>
      </c>
      <c r="J313" t="s">
        <v>1099</v>
      </c>
      <c r="K313" t="s">
        <v>1100</v>
      </c>
      <c r="L313" t="s">
        <v>1101</v>
      </c>
      <c r="M313" t="s">
        <v>23</v>
      </c>
      <c r="N313" t="s">
        <v>54</v>
      </c>
      <c r="O313" t="s">
        <v>195</v>
      </c>
      <c r="P313" t="s">
        <v>76</v>
      </c>
      <c r="Q313" t="s">
        <v>249</v>
      </c>
      <c r="R313" s="3">
        <v>2.4E-2</v>
      </c>
      <c r="S313" s="3">
        <v>10.823</v>
      </c>
      <c r="T313" t="s">
        <v>23</v>
      </c>
      <c r="U313" t="s">
        <v>23</v>
      </c>
      <c r="V313" t="s">
        <v>23</v>
      </c>
      <c r="W313" t="s">
        <v>23</v>
      </c>
      <c r="X313" s="3">
        <v>0</v>
      </c>
      <c r="Y313" s="3">
        <v>16.989999999999998</v>
      </c>
      <c r="Z313" t="s">
        <v>23</v>
      </c>
      <c r="AA313" t="s">
        <v>1363</v>
      </c>
      <c r="AB313" t="s">
        <v>166</v>
      </c>
      <c r="AC313" t="s">
        <v>1392</v>
      </c>
      <c r="AD313" t="s">
        <v>61</v>
      </c>
      <c r="AE313" t="s">
        <v>62</v>
      </c>
      <c r="AF313" t="s">
        <v>167</v>
      </c>
      <c r="AG313" t="s">
        <v>112</v>
      </c>
      <c r="AH313" t="s">
        <v>113</v>
      </c>
      <c r="AI313" t="s">
        <v>23</v>
      </c>
      <c r="AJ313" t="s">
        <v>168</v>
      </c>
      <c r="AK313" t="s">
        <v>169</v>
      </c>
      <c r="AL313" t="s">
        <v>1393</v>
      </c>
      <c r="AM313" t="s">
        <v>1394</v>
      </c>
      <c r="AN313" t="s">
        <v>118</v>
      </c>
      <c r="AO313" t="s">
        <v>71</v>
      </c>
      <c r="AP313" t="s">
        <v>1367</v>
      </c>
      <c r="AQ313" t="s">
        <v>1368</v>
      </c>
      <c r="AR313" t="s">
        <v>1369</v>
      </c>
    </row>
    <row r="314" spans="1:44" x14ac:dyDescent="0.25">
      <c r="A314" t="s">
        <v>101</v>
      </c>
      <c r="B314" t="s">
        <v>1391</v>
      </c>
      <c r="C314" t="s">
        <v>44</v>
      </c>
      <c r="D314" t="s">
        <v>1359</v>
      </c>
      <c r="E314" t="s">
        <v>1360</v>
      </c>
      <c r="F314" t="s">
        <v>1361</v>
      </c>
      <c r="G314" t="s">
        <v>1362</v>
      </c>
      <c r="H314" t="s">
        <v>49</v>
      </c>
      <c r="I314" t="s">
        <v>50</v>
      </c>
      <c r="J314" t="s">
        <v>295</v>
      </c>
      <c r="K314" t="s">
        <v>296</v>
      </c>
      <c r="L314" t="s">
        <v>297</v>
      </c>
      <c r="M314" t="s">
        <v>23</v>
      </c>
      <c r="N314" t="s">
        <v>54</v>
      </c>
      <c r="O314" t="s">
        <v>398</v>
      </c>
      <c r="P314" t="s">
        <v>107</v>
      </c>
      <c r="Q314" t="s">
        <v>1395</v>
      </c>
      <c r="R314" s="3">
        <v>0.32800000000000001</v>
      </c>
      <c r="S314" s="3">
        <v>0</v>
      </c>
      <c r="T314" t="s">
        <v>23</v>
      </c>
      <c r="U314" t="s">
        <v>23</v>
      </c>
      <c r="V314" t="s">
        <v>23</v>
      </c>
      <c r="W314" t="s">
        <v>23</v>
      </c>
      <c r="X314" s="3">
        <v>0</v>
      </c>
      <c r="Y314" s="3">
        <v>16.989999999999998</v>
      </c>
      <c r="Z314" t="s">
        <v>23</v>
      </c>
      <c r="AA314" t="s">
        <v>1363</v>
      </c>
      <c r="AB314" t="s">
        <v>109</v>
      </c>
      <c r="AC314" t="s">
        <v>1392</v>
      </c>
      <c r="AD314" t="s">
        <v>61</v>
      </c>
      <c r="AE314" t="s">
        <v>62</v>
      </c>
      <c r="AF314" t="s">
        <v>111</v>
      </c>
      <c r="AG314" t="s">
        <v>112</v>
      </c>
      <c r="AH314" t="s">
        <v>113</v>
      </c>
      <c r="AI314" t="s">
        <v>23</v>
      </c>
      <c r="AJ314" t="s">
        <v>114</v>
      </c>
      <c r="AK314" t="s">
        <v>115</v>
      </c>
      <c r="AL314" t="s">
        <v>1393</v>
      </c>
      <c r="AM314" t="s">
        <v>1394</v>
      </c>
      <c r="AN314" t="s">
        <v>118</v>
      </c>
      <c r="AO314" t="s">
        <v>71</v>
      </c>
      <c r="AP314" t="s">
        <v>1367</v>
      </c>
      <c r="AQ314" t="s">
        <v>1368</v>
      </c>
      <c r="AR314" t="s">
        <v>1369</v>
      </c>
    </row>
    <row r="315" spans="1:44" x14ac:dyDescent="0.25">
      <c r="A315" t="s">
        <v>101</v>
      </c>
      <c r="B315" t="s">
        <v>1391</v>
      </c>
      <c r="C315" t="s">
        <v>44</v>
      </c>
      <c r="D315" t="s">
        <v>1359</v>
      </c>
      <c r="E315" t="s">
        <v>1360</v>
      </c>
      <c r="F315" t="s">
        <v>1361</v>
      </c>
      <c r="G315" t="s">
        <v>1362</v>
      </c>
      <c r="H315" t="s">
        <v>49</v>
      </c>
      <c r="I315" t="s">
        <v>50</v>
      </c>
      <c r="J315" t="s">
        <v>1033</v>
      </c>
      <c r="K315" t="s">
        <v>1034</v>
      </c>
      <c r="L315" t="s">
        <v>1035</v>
      </c>
      <c r="M315" t="s">
        <v>23</v>
      </c>
      <c r="N315" t="s">
        <v>54</v>
      </c>
      <c r="O315" t="s">
        <v>106</v>
      </c>
      <c r="P315" t="s">
        <v>107</v>
      </c>
      <c r="Q315" t="s">
        <v>108</v>
      </c>
      <c r="R315" s="3">
        <v>0.109</v>
      </c>
      <c r="S315" s="3">
        <v>0</v>
      </c>
      <c r="T315" t="s">
        <v>23</v>
      </c>
      <c r="U315" t="s">
        <v>23</v>
      </c>
      <c r="V315" t="s">
        <v>23</v>
      </c>
      <c r="W315" t="s">
        <v>23</v>
      </c>
      <c r="X315" s="3">
        <v>0</v>
      </c>
      <c r="Y315" s="3">
        <v>16.989999999999998</v>
      </c>
      <c r="Z315" t="s">
        <v>23</v>
      </c>
      <c r="AA315" t="s">
        <v>1363</v>
      </c>
      <c r="AB315" t="s">
        <v>109</v>
      </c>
      <c r="AC315" t="s">
        <v>1392</v>
      </c>
      <c r="AD315" t="s">
        <v>61</v>
      </c>
      <c r="AE315" t="s">
        <v>62</v>
      </c>
      <c r="AF315" t="s">
        <v>111</v>
      </c>
      <c r="AG315" t="s">
        <v>112</v>
      </c>
      <c r="AH315" t="s">
        <v>113</v>
      </c>
      <c r="AI315" t="s">
        <v>23</v>
      </c>
      <c r="AJ315" t="s">
        <v>114</v>
      </c>
      <c r="AK315" t="s">
        <v>115</v>
      </c>
      <c r="AL315" t="s">
        <v>1393</v>
      </c>
      <c r="AM315" t="s">
        <v>1394</v>
      </c>
      <c r="AN315" t="s">
        <v>118</v>
      </c>
      <c r="AO315" t="s">
        <v>71</v>
      </c>
      <c r="AP315" t="s">
        <v>1367</v>
      </c>
      <c r="AQ315" t="s">
        <v>1368</v>
      </c>
      <c r="AR315" t="s">
        <v>1369</v>
      </c>
    </row>
    <row r="316" spans="1:44" x14ac:dyDescent="0.25">
      <c r="A316" t="s">
        <v>101</v>
      </c>
      <c r="B316" t="s">
        <v>1391</v>
      </c>
      <c r="C316" t="s">
        <v>44</v>
      </c>
      <c r="D316" t="s">
        <v>1359</v>
      </c>
      <c r="E316" t="s">
        <v>1360</v>
      </c>
      <c r="F316" t="s">
        <v>1361</v>
      </c>
      <c r="G316" t="s">
        <v>1362</v>
      </c>
      <c r="H316" t="s">
        <v>49</v>
      </c>
      <c r="I316" t="s">
        <v>50</v>
      </c>
      <c r="J316" t="s">
        <v>414</v>
      </c>
      <c r="K316" t="s">
        <v>415</v>
      </c>
      <c r="L316" t="s">
        <v>416</v>
      </c>
      <c r="M316" t="s">
        <v>23</v>
      </c>
      <c r="N316" t="s">
        <v>54</v>
      </c>
      <c r="O316" t="s">
        <v>164</v>
      </c>
      <c r="P316" t="s">
        <v>107</v>
      </c>
      <c r="Q316" t="s">
        <v>596</v>
      </c>
      <c r="R316" s="3">
        <v>0.218</v>
      </c>
      <c r="S316" s="3">
        <v>0</v>
      </c>
      <c r="T316" t="s">
        <v>23</v>
      </c>
      <c r="U316" t="s">
        <v>23</v>
      </c>
      <c r="V316" t="s">
        <v>23</v>
      </c>
      <c r="W316" t="s">
        <v>23</v>
      </c>
      <c r="X316" s="3">
        <v>0</v>
      </c>
      <c r="Y316" s="3">
        <v>16.989999999999998</v>
      </c>
      <c r="Z316" t="s">
        <v>23</v>
      </c>
      <c r="AA316" t="s">
        <v>1363</v>
      </c>
      <c r="AB316" t="s">
        <v>109</v>
      </c>
      <c r="AC316" t="s">
        <v>1392</v>
      </c>
      <c r="AD316" t="s">
        <v>61</v>
      </c>
      <c r="AE316" t="s">
        <v>62</v>
      </c>
      <c r="AF316" t="s">
        <v>111</v>
      </c>
      <c r="AG316" t="s">
        <v>112</v>
      </c>
      <c r="AH316" t="s">
        <v>113</v>
      </c>
      <c r="AI316" t="s">
        <v>23</v>
      </c>
      <c r="AJ316" t="s">
        <v>114</v>
      </c>
      <c r="AK316" t="s">
        <v>115</v>
      </c>
      <c r="AL316" t="s">
        <v>1393</v>
      </c>
      <c r="AM316" t="s">
        <v>1394</v>
      </c>
      <c r="AN316" t="s">
        <v>118</v>
      </c>
      <c r="AO316" t="s">
        <v>71</v>
      </c>
      <c r="AP316" t="s">
        <v>1367</v>
      </c>
      <c r="AQ316" t="s">
        <v>1368</v>
      </c>
      <c r="AR316" t="s">
        <v>1369</v>
      </c>
    </row>
    <row r="317" spans="1:44" x14ac:dyDescent="0.25">
      <c r="A317" t="s">
        <v>101</v>
      </c>
      <c r="B317" t="s">
        <v>1391</v>
      </c>
      <c r="C317" t="s">
        <v>44</v>
      </c>
      <c r="D317" t="s">
        <v>1359</v>
      </c>
      <c r="E317" t="s">
        <v>1360</v>
      </c>
      <c r="F317" t="s">
        <v>1361</v>
      </c>
      <c r="G317" t="s">
        <v>1362</v>
      </c>
      <c r="H317" t="s">
        <v>49</v>
      </c>
      <c r="I317" t="s">
        <v>50</v>
      </c>
      <c r="J317" t="s">
        <v>140</v>
      </c>
      <c r="K317" t="s">
        <v>141</v>
      </c>
      <c r="L317" t="s">
        <v>142</v>
      </c>
      <c r="M317" t="s">
        <v>23</v>
      </c>
      <c r="N317" t="s">
        <v>54</v>
      </c>
      <c r="O317" t="s">
        <v>1347</v>
      </c>
      <c r="P317" t="s">
        <v>107</v>
      </c>
      <c r="Q317" t="s">
        <v>1348</v>
      </c>
      <c r="R317" s="3">
        <v>2.7850000000000001</v>
      </c>
      <c r="S317" s="3">
        <v>0</v>
      </c>
      <c r="T317" t="s">
        <v>23</v>
      </c>
      <c r="U317" t="s">
        <v>23</v>
      </c>
      <c r="V317" t="s">
        <v>23</v>
      </c>
      <c r="W317" t="s">
        <v>23</v>
      </c>
      <c r="X317" s="3">
        <v>0</v>
      </c>
      <c r="Y317" s="3">
        <v>16.989999999999998</v>
      </c>
      <c r="Z317" t="s">
        <v>23</v>
      </c>
      <c r="AA317" t="s">
        <v>1363</v>
      </c>
      <c r="AB317" t="s">
        <v>109</v>
      </c>
      <c r="AC317" t="s">
        <v>1392</v>
      </c>
      <c r="AD317" t="s">
        <v>61</v>
      </c>
      <c r="AE317" t="s">
        <v>62</v>
      </c>
      <c r="AF317" t="s">
        <v>111</v>
      </c>
      <c r="AG317" t="s">
        <v>112</v>
      </c>
      <c r="AH317" t="s">
        <v>113</v>
      </c>
      <c r="AI317" t="s">
        <v>23</v>
      </c>
      <c r="AJ317" t="s">
        <v>114</v>
      </c>
      <c r="AK317" t="s">
        <v>115</v>
      </c>
      <c r="AL317" t="s">
        <v>1393</v>
      </c>
      <c r="AM317" t="s">
        <v>1394</v>
      </c>
      <c r="AN317" t="s">
        <v>118</v>
      </c>
      <c r="AO317" t="s">
        <v>71</v>
      </c>
      <c r="AP317" t="s">
        <v>1367</v>
      </c>
      <c r="AQ317" t="s">
        <v>1368</v>
      </c>
      <c r="AR317" t="s">
        <v>1369</v>
      </c>
    </row>
    <row r="318" spans="1:44" x14ac:dyDescent="0.25">
      <c r="A318" t="s">
        <v>101</v>
      </c>
      <c r="B318" t="s">
        <v>1391</v>
      </c>
      <c r="C318" t="s">
        <v>44</v>
      </c>
      <c r="D318" t="s">
        <v>1359</v>
      </c>
      <c r="E318" t="s">
        <v>1360</v>
      </c>
      <c r="F318" t="s">
        <v>1361</v>
      </c>
      <c r="G318" t="s">
        <v>1362</v>
      </c>
      <c r="H318" t="s">
        <v>49</v>
      </c>
      <c r="I318" t="s">
        <v>50</v>
      </c>
      <c r="J318" t="s">
        <v>1396</v>
      </c>
      <c r="K318" t="s">
        <v>1038</v>
      </c>
      <c r="L318" t="s">
        <v>1397</v>
      </c>
      <c r="M318" t="s">
        <v>23</v>
      </c>
      <c r="N318" t="s">
        <v>54</v>
      </c>
      <c r="O318" t="s">
        <v>128</v>
      </c>
      <c r="P318" t="s">
        <v>107</v>
      </c>
      <c r="Q318" t="s">
        <v>129</v>
      </c>
      <c r="R318" s="3">
        <v>0.71</v>
      </c>
      <c r="S318" s="3">
        <v>0</v>
      </c>
      <c r="T318" t="s">
        <v>23</v>
      </c>
      <c r="U318" t="s">
        <v>23</v>
      </c>
      <c r="V318" t="s">
        <v>23</v>
      </c>
      <c r="W318" t="s">
        <v>23</v>
      </c>
      <c r="X318" s="3">
        <v>0</v>
      </c>
      <c r="Y318" s="3">
        <v>16.989999999999998</v>
      </c>
      <c r="Z318" t="s">
        <v>23</v>
      </c>
      <c r="AA318" t="s">
        <v>1363</v>
      </c>
      <c r="AB318" t="s">
        <v>109</v>
      </c>
      <c r="AC318" t="s">
        <v>1392</v>
      </c>
      <c r="AD318" t="s">
        <v>61</v>
      </c>
      <c r="AE318" t="s">
        <v>62</v>
      </c>
      <c r="AF318" t="s">
        <v>111</v>
      </c>
      <c r="AG318" t="s">
        <v>112</v>
      </c>
      <c r="AH318" t="s">
        <v>113</v>
      </c>
      <c r="AI318" t="s">
        <v>23</v>
      </c>
      <c r="AJ318" t="s">
        <v>114</v>
      </c>
      <c r="AK318" t="s">
        <v>115</v>
      </c>
      <c r="AL318" t="s">
        <v>1393</v>
      </c>
      <c r="AM318" t="s">
        <v>1394</v>
      </c>
      <c r="AN318" t="s">
        <v>118</v>
      </c>
      <c r="AO318" t="s">
        <v>71</v>
      </c>
      <c r="AP318" t="s">
        <v>1367</v>
      </c>
      <c r="AQ318" t="s">
        <v>1368</v>
      </c>
      <c r="AR318" t="s">
        <v>1369</v>
      </c>
    </row>
    <row r="319" spans="1:44" x14ac:dyDescent="0.25">
      <c r="A319" t="s">
        <v>101</v>
      </c>
      <c r="B319" t="s">
        <v>1391</v>
      </c>
      <c r="C319" t="s">
        <v>44</v>
      </c>
      <c r="D319" t="s">
        <v>1359</v>
      </c>
      <c r="E319" t="s">
        <v>1360</v>
      </c>
      <c r="F319" t="s">
        <v>1361</v>
      </c>
      <c r="G319" t="s">
        <v>1362</v>
      </c>
      <c r="H319" t="s">
        <v>49</v>
      </c>
      <c r="I319" t="s">
        <v>50</v>
      </c>
      <c r="J319" t="s">
        <v>145</v>
      </c>
      <c r="K319" t="s">
        <v>146</v>
      </c>
      <c r="L319" t="s">
        <v>147</v>
      </c>
      <c r="M319" t="s">
        <v>23</v>
      </c>
      <c r="N319" t="s">
        <v>54</v>
      </c>
      <c r="O319" t="s">
        <v>506</v>
      </c>
      <c r="P319" t="s">
        <v>149</v>
      </c>
      <c r="Q319" t="s">
        <v>1257</v>
      </c>
      <c r="R319" s="3">
        <v>1.31</v>
      </c>
      <c r="S319" s="3">
        <v>0</v>
      </c>
      <c r="T319" t="s">
        <v>23</v>
      </c>
      <c r="U319" t="s">
        <v>23</v>
      </c>
      <c r="V319" t="s">
        <v>23</v>
      </c>
      <c r="W319" t="s">
        <v>23</v>
      </c>
      <c r="X319" s="3">
        <v>0</v>
      </c>
      <c r="Y319" s="3">
        <v>16.989999999999998</v>
      </c>
      <c r="Z319" t="s">
        <v>23</v>
      </c>
      <c r="AA319" t="s">
        <v>1363</v>
      </c>
      <c r="AB319" t="s">
        <v>109</v>
      </c>
      <c r="AC319" t="s">
        <v>1392</v>
      </c>
      <c r="AD319" t="s">
        <v>61</v>
      </c>
      <c r="AE319" t="s">
        <v>62</v>
      </c>
      <c r="AF319" t="s">
        <v>111</v>
      </c>
      <c r="AG319" t="s">
        <v>112</v>
      </c>
      <c r="AH319" t="s">
        <v>113</v>
      </c>
      <c r="AI319" t="s">
        <v>23</v>
      </c>
      <c r="AJ319" t="s">
        <v>114</v>
      </c>
      <c r="AK319" t="s">
        <v>115</v>
      </c>
      <c r="AL319" t="s">
        <v>1393</v>
      </c>
      <c r="AM319" t="s">
        <v>1394</v>
      </c>
      <c r="AN319" t="s">
        <v>118</v>
      </c>
      <c r="AO319" t="s">
        <v>71</v>
      </c>
      <c r="AP319" t="s">
        <v>1367</v>
      </c>
      <c r="AQ319" t="s">
        <v>1368</v>
      </c>
      <c r="AR319" t="s">
        <v>1369</v>
      </c>
    </row>
    <row r="320" spans="1:44" x14ac:dyDescent="0.25">
      <c r="A320" t="s">
        <v>101</v>
      </c>
      <c r="B320" t="s">
        <v>1391</v>
      </c>
      <c r="C320" t="s">
        <v>44</v>
      </c>
      <c r="D320" t="s">
        <v>1359</v>
      </c>
      <c r="E320" t="s">
        <v>1360</v>
      </c>
      <c r="F320" t="s">
        <v>1361</v>
      </c>
      <c r="G320" t="s">
        <v>1362</v>
      </c>
      <c r="H320" t="s">
        <v>49</v>
      </c>
      <c r="I320" t="s">
        <v>50</v>
      </c>
      <c r="J320" t="s">
        <v>151</v>
      </c>
      <c r="K320" t="s">
        <v>152</v>
      </c>
      <c r="L320" t="s">
        <v>153</v>
      </c>
      <c r="M320" t="s">
        <v>23</v>
      </c>
      <c r="N320" t="s">
        <v>54</v>
      </c>
      <c r="O320" t="s">
        <v>506</v>
      </c>
      <c r="P320" t="s">
        <v>149</v>
      </c>
      <c r="Q320" t="s">
        <v>1257</v>
      </c>
      <c r="R320" s="3">
        <v>1.31</v>
      </c>
      <c r="S320" s="3">
        <v>0</v>
      </c>
      <c r="T320" t="s">
        <v>23</v>
      </c>
      <c r="U320" t="s">
        <v>23</v>
      </c>
      <c r="V320" t="s">
        <v>23</v>
      </c>
      <c r="W320" t="s">
        <v>23</v>
      </c>
      <c r="X320" s="3">
        <v>0</v>
      </c>
      <c r="Y320" s="3">
        <v>16.989999999999998</v>
      </c>
      <c r="Z320" t="s">
        <v>23</v>
      </c>
      <c r="AA320" t="s">
        <v>1363</v>
      </c>
      <c r="AB320" t="s">
        <v>109</v>
      </c>
      <c r="AC320" t="s">
        <v>1392</v>
      </c>
      <c r="AD320" t="s">
        <v>61</v>
      </c>
      <c r="AE320" t="s">
        <v>62</v>
      </c>
      <c r="AF320" t="s">
        <v>111</v>
      </c>
      <c r="AG320" t="s">
        <v>112</v>
      </c>
      <c r="AH320" t="s">
        <v>113</v>
      </c>
      <c r="AI320" t="s">
        <v>23</v>
      </c>
      <c r="AJ320" t="s">
        <v>114</v>
      </c>
      <c r="AK320" t="s">
        <v>115</v>
      </c>
      <c r="AL320" t="s">
        <v>1393</v>
      </c>
      <c r="AM320" t="s">
        <v>1394</v>
      </c>
      <c r="AN320" t="s">
        <v>118</v>
      </c>
      <c r="AO320" t="s">
        <v>71</v>
      </c>
      <c r="AP320" t="s">
        <v>1367</v>
      </c>
      <c r="AQ320" t="s">
        <v>1368</v>
      </c>
      <c r="AR320" t="s">
        <v>1369</v>
      </c>
    </row>
    <row r="321" spans="1:44" x14ac:dyDescent="0.25">
      <c r="A321" t="s">
        <v>101</v>
      </c>
      <c r="B321" t="s">
        <v>1391</v>
      </c>
      <c r="C321" t="s">
        <v>44</v>
      </c>
      <c r="D321" t="s">
        <v>1359</v>
      </c>
      <c r="E321" t="s">
        <v>1360</v>
      </c>
      <c r="F321" t="s">
        <v>1361</v>
      </c>
      <c r="G321" t="s">
        <v>1362</v>
      </c>
      <c r="H321" t="s">
        <v>49</v>
      </c>
      <c r="I321" t="s">
        <v>50</v>
      </c>
      <c r="J321" t="s">
        <v>425</v>
      </c>
      <c r="K321" t="s">
        <v>426</v>
      </c>
      <c r="L321" t="s">
        <v>427</v>
      </c>
      <c r="M321" t="s">
        <v>23</v>
      </c>
      <c r="N321" t="s">
        <v>428</v>
      </c>
      <c r="O321" t="s">
        <v>398</v>
      </c>
      <c r="P321" t="s">
        <v>93</v>
      </c>
      <c r="Q321" t="s">
        <v>282</v>
      </c>
      <c r="R321" s="3">
        <v>0.75</v>
      </c>
      <c r="S321" s="3">
        <v>0</v>
      </c>
      <c r="T321" t="s">
        <v>23</v>
      </c>
      <c r="U321" t="s">
        <v>23</v>
      </c>
      <c r="V321" t="s">
        <v>23</v>
      </c>
      <c r="W321" t="s">
        <v>23</v>
      </c>
      <c r="X321" s="3">
        <v>0</v>
      </c>
      <c r="Y321" s="3">
        <v>16.989999999999998</v>
      </c>
      <c r="Z321" t="s">
        <v>23</v>
      </c>
      <c r="AA321" t="s">
        <v>1363</v>
      </c>
      <c r="AB321" t="s">
        <v>109</v>
      </c>
      <c r="AC321" t="s">
        <v>1392</v>
      </c>
      <c r="AD321" t="s">
        <v>61</v>
      </c>
      <c r="AE321" t="s">
        <v>62</v>
      </c>
      <c r="AF321" t="s">
        <v>111</v>
      </c>
      <c r="AG321" t="s">
        <v>112</v>
      </c>
      <c r="AH321" t="s">
        <v>113</v>
      </c>
      <c r="AI321" t="s">
        <v>23</v>
      </c>
      <c r="AJ321" t="s">
        <v>114</v>
      </c>
      <c r="AK321" t="s">
        <v>115</v>
      </c>
      <c r="AL321" t="s">
        <v>1393</v>
      </c>
      <c r="AM321" t="s">
        <v>1394</v>
      </c>
      <c r="AN321" t="s">
        <v>118</v>
      </c>
      <c r="AO321" t="s">
        <v>71</v>
      </c>
      <c r="AP321" t="s">
        <v>1367</v>
      </c>
      <c r="AQ321" t="s">
        <v>1368</v>
      </c>
      <c r="AR321" t="s">
        <v>1369</v>
      </c>
    </row>
    <row r="322" spans="1:44" x14ac:dyDescent="0.25">
      <c r="A322" t="s">
        <v>101</v>
      </c>
      <c r="B322" t="s">
        <v>1391</v>
      </c>
      <c r="C322" t="s">
        <v>44</v>
      </c>
      <c r="D322" t="s">
        <v>1359</v>
      </c>
      <c r="E322" t="s">
        <v>1360</v>
      </c>
      <c r="F322" t="s">
        <v>1361</v>
      </c>
      <c r="G322" t="s">
        <v>1362</v>
      </c>
      <c r="H322" t="s">
        <v>49</v>
      </c>
      <c r="I322" t="s">
        <v>50</v>
      </c>
      <c r="J322" t="s">
        <v>181</v>
      </c>
      <c r="K322" t="s">
        <v>182</v>
      </c>
      <c r="L322" t="s">
        <v>183</v>
      </c>
      <c r="M322" t="s">
        <v>23</v>
      </c>
      <c r="N322" t="s">
        <v>177</v>
      </c>
      <c r="O322" t="s">
        <v>195</v>
      </c>
      <c r="P322" t="s">
        <v>179</v>
      </c>
      <c r="Q322" t="s">
        <v>188</v>
      </c>
      <c r="R322" s="3">
        <v>0.09</v>
      </c>
      <c r="S322" s="3">
        <v>0</v>
      </c>
      <c r="T322" t="s">
        <v>23</v>
      </c>
      <c r="U322" t="s">
        <v>23</v>
      </c>
      <c r="V322" t="s">
        <v>23</v>
      </c>
      <c r="W322" t="s">
        <v>23</v>
      </c>
      <c r="X322" s="3">
        <v>0</v>
      </c>
      <c r="Y322" s="3">
        <v>16.989999999999998</v>
      </c>
      <c r="Z322" t="s">
        <v>23</v>
      </c>
      <c r="AA322" t="s">
        <v>1363</v>
      </c>
      <c r="AB322" t="s">
        <v>109</v>
      </c>
      <c r="AC322" t="s">
        <v>1392</v>
      </c>
      <c r="AD322" t="s">
        <v>61</v>
      </c>
      <c r="AE322" t="s">
        <v>62</v>
      </c>
      <c r="AF322" t="s">
        <v>111</v>
      </c>
      <c r="AG322" t="s">
        <v>112</v>
      </c>
      <c r="AH322" t="s">
        <v>113</v>
      </c>
      <c r="AI322" t="s">
        <v>23</v>
      </c>
      <c r="AJ322" t="s">
        <v>114</v>
      </c>
      <c r="AK322" t="s">
        <v>115</v>
      </c>
      <c r="AL322" t="s">
        <v>1393</v>
      </c>
      <c r="AM322" t="s">
        <v>1394</v>
      </c>
      <c r="AN322" t="s">
        <v>118</v>
      </c>
      <c r="AO322" t="s">
        <v>71</v>
      </c>
      <c r="AP322" t="s">
        <v>1367</v>
      </c>
      <c r="AQ322" t="s">
        <v>1368</v>
      </c>
      <c r="AR322" t="s">
        <v>1369</v>
      </c>
    </row>
    <row r="323" spans="1:44" x14ac:dyDescent="0.25">
      <c r="A323" t="s">
        <v>101</v>
      </c>
      <c r="B323" t="s">
        <v>1391</v>
      </c>
      <c r="C323" t="s">
        <v>44</v>
      </c>
      <c r="D323" t="s">
        <v>1359</v>
      </c>
      <c r="E323" t="s">
        <v>1360</v>
      </c>
      <c r="F323" t="s">
        <v>1361</v>
      </c>
      <c r="G323" t="s">
        <v>1362</v>
      </c>
      <c r="H323" t="s">
        <v>49</v>
      </c>
      <c r="I323" t="s">
        <v>50</v>
      </c>
      <c r="J323" t="s">
        <v>1398</v>
      </c>
      <c r="K323" t="s">
        <v>1399</v>
      </c>
      <c r="L323" t="s">
        <v>1400</v>
      </c>
      <c r="M323" t="s">
        <v>23</v>
      </c>
      <c r="N323" t="s">
        <v>54</v>
      </c>
      <c r="O323" t="s">
        <v>55</v>
      </c>
      <c r="P323" t="s">
        <v>201</v>
      </c>
      <c r="Q323" t="s">
        <v>202</v>
      </c>
      <c r="R323" s="3">
        <v>0.16800000000000001</v>
      </c>
      <c r="S323" s="3">
        <v>0</v>
      </c>
      <c r="T323" t="s">
        <v>23</v>
      </c>
      <c r="U323" t="s">
        <v>23</v>
      </c>
      <c r="V323" t="s">
        <v>23</v>
      </c>
      <c r="W323" t="s">
        <v>23</v>
      </c>
      <c r="X323" s="3">
        <v>0</v>
      </c>
      <c r="Y323" s="3">
        <v>16.989999999999998</v>
      </c>
      <c r="Z323" t="s">
        <v>23</v>
      </c>
      <c r="AA323" t="s">
        <v>1363</v>
      </c>
      <c r="AB323" t="s">
        <v>189</v>
      </c>
      <c r="AC323" t="s">
        <v>1392</v>
      </c>
      <c r="AD323" t="s">
        <v>61</v>
      </c>
      <c r="AE323" t="s">
        <v>62</v>
      </c>
      <c r="AF323" t="s">
        <v>167</v>
      </c>
      <c r="AG323" t="s">
        <v>112</v>
      </c>
      <c r="AH323" t="s">
        <v>113</v>
      </c>
      <c r="AI323" t="s">
        <v>23</v>
      </c>
      <c r="AJ323" t="s">
        <v>190</v>
      </c>
      <c r="AK323" t="s">
        <v>191</v>
      </c>
      <c r="AL323" t="s">
        <v>1393</v>
      </c>
      <c r="AM323" t="s">
        <v>1394</v>
      </c>
      <c r="AN323" t="s">
        <v>118</v>
      </c>
      <c r="AO323" t="s">
        <v>71</v>
      </c>
      <c r="AP323" t="s">
        <v>1367</v>
      </c>
      <c r="AQ323" t="s">
        <v>1368</v>
      </c>
      <c r="AR323" t="s">
        <v>1369</v>
      </c>
    </row>
    <row r="324" spans="1:44" x14ac:dyDescent="0.25">
      <c r="A324" t="s">
        <v>101</v>
      </c>
      <c r="B324" t="s">
        <v>1391</v>
      </c>
      <c r="C324" t="s">
        <v>44</v>
      </c>
      <c r="D324" t="s">
        <v>1359</v>
      </c>
      <c r="E324" t="s">
        <v>1360</v>
      </c>
      <c r="F324" t="s">
        <v>1361</v>
      </c>
      <c r="G324" t="s">
        <v>1362</v>
      </c>
      <c r="H324" t="s">
        <v>49</v>
      </c>
      <c r="I324" t="s">
        <v>50</v>
      </c>
      <c r="J324" t="s">
        <v>184</v>
      </c>
      <c r="K324" t="s">
        <v>185</v>
      </c>
      <c r="L324" t="s">
        <v>186</v>
      </c>
      <c r="M324" t="s">
        <v>23</v>
      </c>
      <c r="N324" t="s">
        <v>54</v>
      </c>
      <c r="O324" t="s">
        <v>55</v>
      </c>
      <c r="P324" t="s">
        <v>187</v>
      </c>
      <c r="Q324" t="s">
        <v>1401</v>
      </c>
      <c r="R324" s="3">
        <v>0.13500000000000001</v>
      </c>
      <c r="S324" s="3">
        <v>0</v>
      </c>
      <c r="T324" t="s">
        <v>23</v>
      </c>
      <c r="U324" t="s">
        <v>23</v>
      </c>
      <c r="V324" t="s">
        <v>23</v>
      </c>
      <c r="W324" t="s">
        <v>23</v>
      </c>
      <c r="X324" s="3">
        <v>0</v>
      </c>
      <c r="Y324" s="3">
        <v>16.989999999999998</v>
      </c>
      <c r="Z324" t="s">
        <v>23</v>
      </c>
      <c r="AA324" t="s">
        <v>1363</v>
      </c>
      <c r="AB324" t="s">
        <v>189</v>
      </c>
      <c r="AC324" t="s">
        <v>1392</v>
      </c>
      <c r="AD324" t="s">
        <v>61</v>
      </c>
      <c r="AE324" t="s">
        <v>62</v>
      </c>
      <c r="AF324" t="s">
        <v>167</v>
      </c>
      <c r="AG324" t="s">
        <v>112</v>
      </c>
      <c r="AH324" t="s">
        <v>113</v>
      </c>
      <c r="AI324" t="s">
        <v>23</v>
      </c>
      <c r="AJ324" t="s">
        <v>190</v>
      </c>
      <c r="AK324" t="s">
        <v>191</v>
      </c>
      <c r="AL324" t="s">
        <v>1393</v>
      </c>
      <c r="AM324" t="s">
        <v>1394</v>
      </c>
      <c r="AN324" t="s">
        <v>118</v>
      </c>
      <c r="AO324" t="s">
        <v>71</v>
      </c>
      <c r="AP324" t="s">
        <v>1367</v>
      </c>
      <c r="AQ324" t="s">
        <v>1368</v>
      </c>
      <c r="AR324" t="s">
        <v>1369</v>
      </c>
    </row>
    <row r="325" spans="1:44" x14ac:dyDescent="0.25">
      <c r="A325" t="s">
        <v>101</v>
      </c>
      <c r="B325" t="s">
        <v>1391</v>
      </c>
      <c r="C325" t="s">
        <v>44</v>
      </c>
      <c r="D325" t="s">
        <v>1359</v>
      </c>
      <c r="E325" t="s">
        <v>1360</v>
      </c>
      <c r="F325" t="s">
        <v>1361</v>
      </c>
      <c r="G325" t="s">
        <v>1362</v>
      </c>
      <c r="H325" t="s">
        <v>49</v>
      </c>
      <c r="I325" t="s">
        <v>50</v>
      </c>
      <c r="J325" t="s">
        <v>198</v>
      </c>
      <c r="K325" t="s">
        <v>199</v>
      </c>
      <c r="L325" t="s">
        <v>200</v>
      </c>
      <c r="M325" t="s">
        <v>23</v>
      </c>
      <c r="N325" t="s">
        <v>54</v>
      </c>
      <c r="O325" t="s">
        <v>106</v>
      </c>
      <c r="P325" t="s">
        <v>201</v>
      </c>
      <c r="Q325" t="s">
        <v>1402</v>
      </c>
      <c r="R325" s="3">
        <v>0.112</v>
      </c>
      <c r="S325" s="3">
        <v>0</v>
      </c>
      <c r="T325" t="s">
        <v>23</v>
      </c>
      <c r="U325" t="s">
        <v>23</v>
      </c>
      <c r="V325" t="s">
        <v>23</v>
      </c>
      <c r="W325" t="s">
        <v>23</v>
      </c>
      <c r="X325" s="3">
        <v>0</v>
      </c>
      <c r="Y325" s="3">
        <v>16.989999999999998</v>
      </c>
      <c r="Z325" t="s">
        <v>23</v>
      </c>
      <c r="AA325" t="s">
        <v>1363</v>
      </c>
      <c r="AB325" t="s">
        <v>189</v>
      </c>
      <c r="AC325" t="s">
        <v>1392</v>
      </c>
      <c r="AD325" t="s">
        <v>61</v>
      </c>
      <c r="AE325" t="s">
        <v>62</v>
      </c>
      <c r="AF325" t="s">
        <v>167</v>
      </c>
      <c r="AG325" t="s">
        <v>112</v>
      </c>
      <c r="AH325" t="s">
        <v>113</v>
      </c>
      <c r="AI325" t="s">
        <v>23</v>
      </c>
      <c r="AJ325" t="s">
        <v>190</v>
      </c>
      <c r="AK325" t="s">
        <v>191</v>
      </c>
      <c r="AL325" t="s">
        <v>1393</v>
      </c>
      <c r="AM325" t="s">
        <v>1394</v>
      </c>
      <c r="AN325" t="s">
        <v>118</v>
      </c>
      <c r="AO325" t="s">
        <v>71</v>
      </c>
      <c r="AP325" t="s">
        <v>1367</v>
      </c>
      <c r="AQ325" t="s">
        <v>1368</v>
      </c>
      <c r="AR325" t="s">
        <v>1369</v>
      </c>
    </row>
    <row r="326" spans="1:44" x14ac:dyDescent="0.25">
      <c r="A326" t="s">
        <v>101</v>
      </c>
      <c r="B326" t="s">
        <v>1391</v>
      </c>
      <c r="C326" t="s">
        <v>44</v>
      </c>
      <c r="D326" t="s">
        <v>1359</v>
      </c>
      <c r="E326" t="s">
        <v>1360</v>
      </c>
      <c r="F326" t="s">
        <v>1361</v>
      </c>
      <c r="G326" t="s">
        <v>1362</v>
      </c>
      <c r="H326" t="s">
        <v>49</v>
      </c>
      <c r="I326" t="s">
        <v>50</v>
      </c>
      <c r="J326" t="s">
        <v>722</v>
      </c>
      <c r="K326" t="s">
        <v>723</v>
      </c>
      <c r="L326" t="s">
        <v>724</v>
      </c>
      <c r="M326" t="s">
        <v>23</v>
      </c>
      <c r="N326" t="s">
        <v>54</v>
      </c>
      <c r="O326" t="s">
        <v>138</v>
      </c>
      <c r="P326" t="s">
        <v>226</v>
      </c>
      <c r="Q326" t="s">
        <v>1403</v>
      </c>
      <c r="R326" s="3">
        <v>0.56000000000000005</v>
      </c>
      <c r="S326" s="3">
        <v>0</v>
      </c>
      <c r="T326" t="s">
        <v>23</v>
      </c>
      <c r="U326" t="s">
        <v>23</v>
      </c>
      <c r="V326" t="s">
        <v>23</v>
      </c>
      <c r="W326" t="s">
        <v>23</v>
      </c>
      <c r="X326" s="3">
        <v>0</v>
      </c>
      <c r="Y326" s="3">
        <v>16.989999999999998</v>
      </c>
      <c r="Z326" t="s">
        <v>23</v>
      </c>
      <c r="AA326" t="s">
        <v>1363</v>
      </c>
      <c r="AB326" t="s">
        <v>189</v>
      </c>
      <c r="AC326" t="s">
        <v>1392</v>
      </c>
      <c r="AD326" t="s">
        <v>61</v>
      </c>
      <c r="AE326" t="s">
        <v>62</v>
      </c>
      <c r="AF326" t="s">
        <v>167</v>
      </c>
      <c r="AG326" t="s">
        <v>112</v>
      </c>
      <c r="AH326" t="s">
        <v>113</v>
      </c>
      <c r="AI326" t="s">
        <v>23</v>
      </c>
      <c r="AJ326" t="s">
        <v>190</v>
      </c>
      <c r="AK326" t="s">
        <v>191</v>
      </c>
      <c r="AL326" t="s">
        <v>1393</v>
      </c>
      <c r="AM326" t="s">
        <v>1394</v>
      </c>
      <c r="AN326" t="s">
        <v>118</v>
      </c>
      <c r="AO326" t="s">
        <v>71</v>
      </c>
      <c r="AP326" t="s">
        <v>1367</v>
      </c>
      <c r="AQ326" t="s">
        <v>1368</v>
      </c>
      <c r="AR326" t="s">
        <v>1369</v>
      </c>
    </row>
    <row r="327" spans="1:44" x14ac:dyDescent="0.25">
      <c r="A327" t="s">
        <v>101</v>
      </c>
      <c r="B327" t="s">
        <v>1391</v>
      </c>
      <c r="C327" t="s">
        <v>44</v>
      </c>
      <c r="D327" t="s">
        <v>1359</v>
      </c>
      <c r="E327" t="s">
        <v>1360</v>
      </c>
      <c r="F327" t="s">
        <v>1361</v>
      </c>
      <c r="G327" t="s">
        <v>1362</v>
      </c>
      <c r="H327" t="s">
        <v>49</v>
      </c>
      <c r="I327" t="s">
        <v>50</v>
      </c>
      <c r="J327" t="s">
        <v>209</v>
      </c>
      <c r="K327" t="s">
        <v>210</v>
      </c>
      <c r="L327" t="s">
        <v>211</v>
      </c>
      <c r="M327" t="s">
        <v>23</v>
      </c>
      <c r="N327" t="s">
        <v>212</v>
      </c>
      <c r="O327" t="s">
        <v>361</v>
      </c>
      <c r="P327" t="s">
        <v>187</v>
      </c>
      <c r="Q327" t="s">
        <v>1404</v>
      </c>
      <c r="R327" s="3">
        <v>2.7E-2</v>
      </c>
      <c r="S327" s="3">
        <v>0</v>
      </c>
      <c r="T327" t="s">
        <v>23</v>
      </c>
      <c r="U327" t="s">
        <v>23</v>
      </c>
      <c r="V327" t="s">
        <v>23</v>
      </c>
      <c r="W327" t="s">
        <v>23</v>
      </c>
      <c r="X327" s="3">
        <v>0</v>
      </c>
      <c r="Y327" s="3">
        <v>16.989999999999998</v>
      </c>
      <c r="Z327" t="s">
        <v>23</v>
      </c>
      <c r="AA327" t="s">
        <v>1363</v>
      </c>
      <c r="AB327" t="s">
        <v>189</v>
      </c>
      <c r="AC327" t="s">
        <v>1392</v>
      </c>
      <c r="AD327" t="s">
        <v>61</v>
      </c>
      <c r="AE327" t="s">
        <v>62</v>
      </c>
      <c r="AF327" t="s">
        <v>167</v>
      </c>
      <c r="AG327" t="s">
        <v>112</v>
      </c>
      <c r="AH327" t="s">
        <v>113</v>
      </c>
      <c r="AI327" t="s">
        <v>23</v>
      </c>
      <c r="AJ327" t="s">
        <v>190</v>
      </c>
      <c r="AK327" t="s">
        <v>191</v>
      </c>
      <c r="AL327" t="s">
        <v>1393</v>
      </c>
      <c r="AM327" t="s">
        <v>1394</v>
      </c>
      <c r="AN327" t="s">
        <v>118</v>
      </c>
      <c r="AO327" t="s">
        <v>71</v>
      </c>
      <c r="AP327" t="s">
        <v>1367</v>
      </c>
      <c r="AQ327" t="s">
        <v>1368</v>
      </c>
      <c r="AR327" t="s">
        <v>1369</v>
      </c>
    </row>
    <row r="328" spans="1:44" x14ac:dyDescent="0.25">
      <c r="A328" t="s">
        <v>101</v>
      </c>
      <c r="B328" t="s">
        <v>1391</v>
      </c>
      <c r="C328" t="s">
        <v>44</v>
      </c>
      <c r="D328" t="s">
        <v>1359</v>
      </c>
      <c r="E328" t="s">
        <v>1360</v>
      </c>
      <c r="F328" t="s">
        <v>1361</v>
      </c>
      <c r="G328" t="s">
        <v>1362</v>
      </c>
      <c r="H328" t="s">
        <v>49</v>
      </c>
      <c r="I328" t="s">
        <v>50</v>
      </c>
      <c r="J328" t="s">
        <v>219</v>
      </c>
      <c r="K328" t="s">
        <v>220</v>
      </c>
      <c r="L328" t="s">
        <v>221</v>
      </c>
      <c r="M328" t="s">
        <v>23</v>
      </c>
      <c r="N328" t="s">
        <v>54</v>
      </c>
      <c r="O328" t="s">
        <v>106</v>
      </c>
      <c r="P328" t="s">
        <v>201</v>
      </c>
      <c r="Q328" t="s">
        <v>1402</v>
      </c>
      <c r="R328" s="3">
        <v>0.112</v>
      </c>
      <c r="S328" s="3">
        <v>0</v>
      </c>
      <c r="T328" t="s">
        <v>23</v>
      </c>
      <c r="U328" t="s">
        <v>23</v>
      </c>
      <c r="V328" t="s">
        <v>23</v>
      </c>
      <c r="W328" t="s">
        <v>23</v>
      </c>
      <c r="X328" s="3">
        <v>0</v>
      </c>
      <c r="Y328" s="3">
        <v>16.989999999999998</v>
      </c>
      <c r="Z328" t="s">
        <v>23</v>
      </c>
      <c r="AA328" t="s">
        <v>1363</v>
      </c>
      <c r="AB328" t="s">
        <v>189</v>
      </c>
      <c r="AC328" t="s">
        <v>1392</v>
      </c>
      <c r="AD328" t="s">
        <v>61</v>
      </c>
      <c r="AE328" t="s">
        <v>62</v>
      </c>
      <c r="AF328" t="s">
        <v>167</v>
      </c>
      <c r="AG328" t="s">
        <v>112</v>
      </c>
      <c r="AH328" t="s">
        <v>113</v>
      </c>
      <c r="AI328" t="s">
        <v>23</v>
      </c>
      <c r="AJ328" t="s">
        <v>190</v>
      </c>
      <c r="AK328" t="s">
        <v>191</v>
      </c>
      <c r="AL328" t="s">
        <v>1393</v>
      </c>
      <c r="AM328" t="s">
        <v>1394</v>
      </c>
      <c r="AN328" t="s">
        <v>118</v>
      </c>
      <c r="AO328" t="s">
        <v>71</v>
      </c>
      <c r="AP328" t="s">
        <v>1367</v>
      </c>
      <c r="AQ328" t="s">
        <v>1368</v>
      </c>
      <c r="AR328" t="s">
        <v>1369</v>
      </c>
    </row>
    <row r="329" spans="1:44" x14ac:dyDescent="0.25">
      <c r="A329" t="s">
        <v>101</v>
      </c>
      <c r="B329" t="s">
        <v>1391</v>
      </c>
      <c r="C329" t="s">
        <v>44</v>
      </c>
      <c r="D329" t="s">
        <v>1359</v>
      </c>
      <c r="E329" t="s">
        <v>1360</v>
      </c>
      <c r="F329" t="s">
        <v>1361</v>
      </c>
      <c r="G329" t="s">
        <v>1362</v>
      </c>
      <c r="H329" t="s">
        <v>49</v>
      </c>
      <c r="I329" t="s">
        <v>50</v>
      </c>
      <c r="J329" t="s">
        <v>222</v>
      </c>
      <c r="K329" t="s">
        <v>223</v>
      </c>
      <c r="L329" t="s">
        <v>224</v>
      </c>
      <c r="M329" t="s">
        <v>23</v>
      </c>
      <c r="N329" t="s">
        <v>54</v>
      </c>
      <c r="O329" t="s">
        <v>197</v>
      </c>
      <c r="P329" t="s">
        <v>226</v>
      </c>
      <c r="Q329" t="s">
        <v>1405</v>
      </c>
      <c r="R329" s="3">
        <v>0.84</v>
      </c>
      <c r="S329" s="3">
        <v>0</v>
      </c>
      <c r="T329" t="s">
        <v>23</v>
      </c>
      <c r="U329" t="s">
        <v>23</v>
      </c>
      <c r="V329" t="s">
        <v>23</v>
      </c>
      <c r="W329" t="s">
        <v>23</v>
      </c>
      <c r="X329" s="3">
        <v>0</v>
      </c>
      <c r="Y329" s="3">
        <v>16.989999999999998</v>
      </c>
      <c r="Z329" t="s">
        <v>23</v>
      </c>
      <c r="AA329" t="s">
        <v>1363</v>
      </c>
      <c r="AB329" t="s">
        <v>189</v>
      </c>
      <c r="AC329" t="s">
        <v>1392</v>
      </c>
      <c r="AD329" t="s">
        <v>61</v>
      </c>
      <c r="AE329" t="s">
        <v>62</v>
      </c>
      <c r="AF329" t="s">
        <v>167</v>
      </c>
      <c r="AG329" t="s">
        <v>112</v>
      </c>
      <c r="AH329" t="s">
        <v>113</v>
      </c>
      <c r="AI329" t="s">
        <v>23</v>
      </c>
      <c r="AJ329" t="s">
        <v>190</v>
      </c>
      <c r="AK329" t="s">
        <v>191</v>
      </c>
      <c r="AL329" t="s">
        <v>1393</v>
      </c>
      <c r="AM329" t="s">
        <v>1394</v>
      </c>
      <c r="AN329" t="s">
        <v>118</v>
      </c>
      <c r="AO329" t="s">
        <v>71</v>
      </c>
      <c r="AP329" t="s">
        <v>1367</v>
      </c>
      <c r="AQ329" t="s">
        <v>1368</v>
      </c>
      <c r="AR329" t="s">
        <v>1369</v>
      </c>
    </row>
    <row r="330" spans="1:44" x14ac:dyDescent="0.25">
      <c r="A330" t="s">
        <v>101</v>
      </c>
      <c r="B330" t="s">
        <v>1391</v>
      </c>
      <c r="C330" t="s">
        <v>44</v>
      </c>
      <c r="D330" t="s">
        <v>1359</v>
      </c>
      <c r="E330" t="s">
        <v>1360</v>
      </c>
      <c r="F330" t="s">
        <v>1361</v>
      </c>
      <c r="G330" t="s">
        <v>1362</v>
      </c>
      <c r="H330" t="s">
        <v>49</v>
      </c>
      <c r="I330" t="s">
        <v>50</v>
      </c>
      <c r="J330" t="s">
        <v>228</v>
      </c>
      <c r="K330" t="s">
        <v>229</v>
      </c>
      <c r="L330" t="s">
        <v>230</v>
      </c>
      <c r="M330" t="s">
        <v>23</v>
      </c>
      <c r="N330" t="s">
        <v>212</v>
      </c>
      <c r="O330" t="s">
        <v>443</v>
      </c>
      <c r="P330" t="s">
        <v>187</v>
      </c>
      <c r="Q330" t="s">
        <v>506</v>
      </c>
      <c r="R330" s="3">
        <v>7.1999999999999995E-2</v>
      </c>
      <c r="S330" s="3">
        <v>0</v>
      </c>
      <c r="T330" t="s">
        <v>23</v>
      </c>
      <c r="U330" t="s">
        <v>23</v>
      </c>
      <c r="V330" t="s">
        <v>23</v>
      </c>
      <c r="W330" t="s">
        <v>23</v>
      </c>
      <c r="X330" s="3">
        <v>0</v>
      </c>
      <c r="Y330" s="3">
        <v>16.989999999999998</v>
      </c>
      <c r="Z330" t="s">
        <v>23</v>
      </c>
      <c r="AA330" t="s">
        <v>1363</v>
      </c>
      <c r="AB330" t="s">
        <v>189</v>
      </c>
      <c r="AC330" t="s">
        <v>1392</v>
      </c>
      <c r="AD330" t="s">
        <v>61</v>
      </c>
      <c r="AE330" t="s">
        <v>62</v>
      </c>
      <c r="AF330" t="s">
        <v>167</v>
      </c>
      <c r="AG330" t="s">
        <v>112</v>
      </c>
      <c r="AH330" t="s">
        <v>113</v>
      </c>
      <c r="AI330" t="s">
        <v>23</v>
      </c>
      <c r="AJ330" t="s">
        <v>190</v>
      </c>
      <c r="AK330" t="s">
        <v>191</v>
      </c>
      <c r="AL330" t="s">
        <v>1393</v>
      </c>
      <c r="AM330" t="s">
        <v>1394</v>
      </c>
      <c r="AN330" t="s">
        <v>118</v>
      </c>
      <c r="AO330" t="s">
        <v>71</v>
      </c>
      <c r="AP330" t="s">
        <v>1367</v>
      </c>
      <c r="AQ330" t="s">
        <v>1368</v>
      </c>
      <c r="AR330" t="s">
        <v>1369</v>
      </c>
    </row>
    <row r="331" spans="1:44" x14ac:dyDescent="0.25">
      <c r="A331" t="s">
        <v>101</v>
      </c>
      <c r="B331" t="s">
        <v>1391</v>
      </c>
      <c r="C331" t="s">
        <v>44</v>
      </c>
      <c r="D331" t="s">
        <v>1359</v>
      </c>
      <c r="E331" t="s">
        <v>1360</v>
      </c>
      <c r="F331" t="s">
        <v>1361</v>
      </c>
      <c r="G331" t="s">
        <v>1362</v>
      </c>
      <c r="H331" t="s">
        <v>49</v>
      </c>
      <c r="I331" t="s">
        <v>50</v>
      </c>
      <c r="J331" t="s">
        <v>1406</v>
      </c>
      <c r="K331" t="s">
        <v>1407</v>
      </c>
      <c r="L331" t="s">
        <v>1408</v>
      </c>
      <c r="M331" t="s">
        <v>23</v>
      </c>
      <c r="N331" t="s">
        <v>54</v>
      </c>
      <c r="O331" t="s">
        <v>55</v>
      </c>
      <c r="P331" t="s">
        <v>226</v>
      </c>
      <c r="Q331" t="s">
        <v>1409</v>
      </c>
      <c r="R331" s="3">
        <v>0.21</v>
      </c>
      <c r="S331" s="3">
        <v>0</v>
      </c>
      <c r="T331" t="s">
        <v>23</v>
      </c>
      <c r="U331" t="s">
        <v>23</v>
      </c>
      <c r="V331" t="s">
        <v>23</v>
      </c>
      <c r="W331" t="s">
        <v>23</v>
      </c>
      <c r="X331" s="3">
        <v>0</v>
      </c>
      <c r="Y331" s="3">
        <v>16.989999999999998</v>
      </c>
      <c r="Z331" t="s">
        <v>23</v>
      </c>
      <c r="AA331" t="s">
        <v>1363</v>
      </c>
      <c r="AB331" t="s">
        <v>189</v>
      </c>
      <c r="AC331" t="s">
        <v>1392</v>
      </c>
      <c r="AD331" t="s">
        <v>61</v>
      </c>
      <c r="AE331" t="s">
        <v>62</v>
      </c>
      <c r="AF331" t="s">
        <v>167</v>
      </c>
      <c r="AG331" t="s">
        <v>112</v>
      </c>
      <c r="AH331" t="s">
        <v>113</v>
      </c>
      <c r="AI331" t="s">
        <v>23</v>
      </c>
      <c r="AJ331" t="s">
        <v>190</v>
      </c>
      <c r="AK331" t="s">
        <v>191</v>
      </c>
      <c r="AL331" t="s">
        <v>1393</v>
      </c>
      <c r="AM331" t="s">
        <v>1394</v>
      </c>
      <c r="AN331" t="s">
        <v>118</v>
      </c>
      <c r="AO331" t="s">
        <v>71</v>
      </c>
      <c r="AP331" t="s">
        <v>1367</v>
      </c>
      <c r="AQ331" t="s">
        <v>1368</v>
      </c>
      <c r="AR331" t="s">
        <v>1369</v>
      </c>
    </row>
    <row r="332" spans="1:44" x14ac:dyDescent="0.25">
      <c r="A332" t="s">
        <v>101</v>
      </c>
      <c r="B332" t="s">
        <v>1391</v>
      </c>
      <c r="C332" t="s">
        <v>44</v>
      </c>
      <c r="D332" t="s">
        <v>1359</v>
      </c>
      <c r="E332" t="s">
        <v>1360</v>
      </c>
      <c r="F332" t="s">
        <v>1361</v>
      </c>
      <c r="G332" t="s">
        <v>1362</v>
      </c>
      <c r="H332" t="s">
        <v>49</v>
      </c>
      <c r="I332" t="s">
        <v>50</v>
      </c>
      <c r="J332" t="s">
        <v>1410</v>
      </c>
      <c r="K332" t="s">
        <v>1411</v>
      </c>
      <c r="L332" t="s">
        <v>1412</v>
      </c>
      <c r="M332" t="s">
        <v>23</v>
      </c>
      <c r="N332" t="s">
        <v>54</v>
      </c>
      <c r="O332" t="s">
        <v>55</v>
      </c>
      <c r="P332" t="s">
        <v>226</v>
      </c>
      <c r="Q332" t="s">
        <v>1409</v>
      </c>
      <c r="R332" s="3">
        <v>0.21</v>
      </c>
      <c r="S332" s="3">
        <v>0</v>
      </c>
      <c r="T332" t="s">
        <v>23</v>
      </c>
      <c r="U332" t="s">
        <v>23</v>
      </c>
      <c r="V332" t="s">
        <v>23</v>
      </c>
      <c r="W332" t="s">
        <v>23</v>
      </c>
      <c r="X332" s="3">
        <v>0</v>
      </c>
      <c r="Y332" s="3">
        <v>16.989999999999998</v>
      </c>
      <c r="Z332" t="s">
        <v>23</v>
      </c>
      <c r="AA332" t="s">
        <v>1363</v>
      </c>
      <c r="AB332" t="s">
        <v>189</v>
      </c>
      <c r="AC332" t="s">
        <v>1392</v>
      </c>
      <c r="AD332" t="s">
        <v>61</v>
      </c>
      <c r="AE332" t="s">
        <v>62</v>
      </c>
      <c r="AF332" t="s">
        <v>167</v>
      </c>
      <c r="AG332" t="s">
        <v>112</v>
      </c>
      <c r="AH332" t="s">
        <v>113</v>
      </c>
      <c r="AI332" t="s">
        <v>23</v>
      </c>
      <c r="AJ332" t="s">
        <v>190</v>
      </c>
      <c r="AK332" t="s">
        <v>191</v>
      </c>
      <c r="AL332" t="s">
        <v>1393</v>
      </c>
      <c r="AM332" t="s">
        <v>1394</v>
      </c>
      <c r="AN332" t="s">
        <v>118</v>
      </c>
      <c r="AO332" t="s">
        <v>71</v>
      </c>
      <c r="AP332" t="s">
        <v>1367</v>
      </c>
      <c r="AQ332" t="s">
        <v>1368</v>
      </c>
      <c r="AR332" t="s">
        <v>1369</v>
      </c>
    </row>
    <row r="333" spans="1:44" x14ac:dyDescent="0.25">
      <c r="A333" t="s">
        <v>101</v>
      </c>
      <c r="B333" t="s">
        <v>1391</v>
      </c>
      <c r="C333" t="s">
        <v>44</v>
      </c>
      <c r="D333" t="s">
        <v>1359</v>
      </c>
      <c r="E333" t="s">
        <v>1360</v>
      </c>
      <c r="F333" t="s">
        <v>1361</v>
      </c>
      <c r="G333" t="s">
        <v>1362</v>
      </c>
      <c r="H333" t="s">
        <v>49</v>
      </c>
      <c r="I333" t="s">
        <v>50</v>
      </c>
      <c r="J333" t="s">
        <v>1413</v>
      </c>
      <c r="K333" t="s">
        <v>1414</v>
      </c>
      <c r="L333" t="s">
        <v>1415</v>
      </c>
      <c r="M333" t="s">
        <v>23</v>
      </c>
      <c r="N333" t="s">
        <v>54</v>
      </c>
      <c r="O333" t="s">
        <v>164</v>
      </c>
      <c r="P333" t="s">
        <v>1416</v>
      </c>
      <c r="Q333" t="s">
        <v>1417</v>
      </c>
      <c r="R333" s="3">
        <v>0.27200000000000002</v>
      </c>
      <c r="S333" s="3">
        <v>0</v>
      </c>
      <c r="T333" t="s">
        <v>23</v>
      </c>
      <c r="U333" t="s">
        <v>23</v>
      </c>
      <c r="V333" t="s">
        <v>23</v>
      </c>
      <c r="W333" t="s">
        <v>23</v>
      </c>
      <c r="X333" s="3">
        <v>0</v>
      </c>
      <c r="Y333" s="3">
        <v>16.989999999999998</v>
      </c>
      <c r="Z333" t="s">
        <v>23</v>
      </c>
      <c r="AA333" t="s">
        <v>1363</v>
      </c>
      <c r="AB333" t="s">
        <v>189</v>
      </c>
      <c r="AC333" t="s">
        <v>1392</v>
      </c>
      <c r="AD333" t="s">
        <v>61</v>
      </c>
      <c r="AE333" t="s">
        <v>62</v>
      </c>
      <c r="AF333" t="s">
        <v>167</v>
      </c>
      <c r="AG333" t="s">
        <v>112</v>
      </c>
      <c r="AH333" t="s">
        <v>113</v>
      </c>
      <c r="AI333" t="s">
        <v>23</v>
      </c>
      <c r="AJ333" t="s">
        <v>190</v>
      </c>
      <c r="AK333" t="s">
        <v>191</v>
      </c>
      <c r="AL333" t="s">
        <v>1393</v>
      </c>
      <c r="AM333" t="s">
        <v>1394</v>
      </c>
      <c r="AN333" t="s">
        <v>118</v>
      </c>
      <c r="AO333" t="s">
        <v>71</v>
      </c>
      <c r="AP333" t="s">
        <v>1367</v>
      </c>
      <c r="AQ333" t="s">
        <v>1368</v>
      </c>
      <c r="AR333" t="s">
        <v>1369</v>
      </c>
    </row>
    <row r="334" spans="1:44" x14ac:dyDescent="0.25">
      <c r="A334" t="s">
        <v>101</v>
      </c>
      <c r="B334" t="s">
        <v>1391</v>
      </c>
      <c r="C334" t="s">
        <v>44</v>
      </c>
      <c r="D334" t="s">
        <v>1359</v>
      </c>
      <c r="E334" t="s">
        <v>1360</v>
      </c>
      <c r="F334" t="s">
        <v>1361</v>
      </c>
      <c r="G334" t="s">
        <v>1362</v>
      </c>
      <c r="H334" t="s">
        <v>49</v>
      </c>
      <c r="I334" t="s">
        <v>50</v>
      </c>
      <c r="J334" t="s">
        <v>1418</v>
      </c>
      <c r="K334" t="s">
        <v>1419</v>
      </c>
      <c r="L334" t="s">
        <v>1420</v>
      </c>
      <c r="M334" t="s">
        <v>23</v>
      </c>
      <c r="N334" t="s">
        <v>54</v>
      </c>
      <c r="O334" t="s">
        <v>398</v>
      </c>
      <c r="P334" t="s">
        <v>1416</v>
      </c>
      <c r="Q334" t="s">
        <v>1421</v>
      </c>
      <c r="R334" s="3">
        <v>0.40799999999999997</v>
      </c>
      <c r="S334" s="3">
        <v>0</v>
      </c>
      <c r="T334" t="s">
        <v>23</v>
      </c>
      <c r="U334" t="s">
        <v>23</v>
      </c>
      <c r="V334" t="s">
        <v>23</v>
      </c>
      <c r="W334" t="s">
        <v>23</v>
      </c>
      <c r="X334" s="3">
        <v>0</v>
      </c>
      <c r="Y334" s="3">
        <v>16.989999999999998</v>
      </c>
      <c r="Z334" t="s">
        <v>23</v>
      </c>
      <c r="AA334" t="s">
        <v>1363</v>
      </c>
      <c r="AB334" t="s">
        <v>189</v>
      </c>
      <c r="AC334" t="s">
        <v>1392</v>
      </c>
      <c r="AD334" t="s">
        <v>61</v>
      </c>
      <c r="AE334" t="s">
        <v>62</v>
      </c>
      <c r="AF334" t="s">
        <v>167</v>
      </c>
      <c r="AG334" t="s">
        <v>112</v>
      </c>
      <c r="AH334" t="s">
        <v>113</v>
      </c>
      <c r="AI334" t="s">
        <v>23</v>
      </c>
      <c r="AJ334" t="s">
        <v>190</v>
      </c>
      <c r="AK334" t="s">
        <v>191</v>
      </c>
      <c r="AL334" t="s">
        <v>1393</v>
      </c>
      <c r="AM334" t="s">
        <v>1394</v>
      </c>
      <c r="AN334" t="s">
        <v>118</v>
      </c>
      <c r="AO334" t="s">
        <v>71</v>
      </c>
      <c r="AP334" t="s">
        <v>1367</v>
      </c>
      <c r="AQ334" t="s">
        <v>1368</v>
      </c>
      <c r="AR334" t="s">
        <v>1369</v>
      </c>
    </row>
    <row r="335" spans="1:44" x14ac:dyDescent="0.25">
      <c r="A335" t="s">
        <v>101</v>
      </c>
      <c r="B335" t="s">
        <v>1391</v>
      </c>
      <c r="C335" t="s">
        <v>44</v>
      </c>
      <c r="D335" t="s">
        <v>1359</v>
      </c>
      <c r="E335" t="s">
        <v>1360</v>
      </c>
      <c r="F335" t="s">
        <v>1361</v>
      </c>
      <c r="G335" t="s">
        <v>1362</v>
      </c>
      <c r="H335" t="s">
        <v>49</v>
      </c>
      <c r="I335" t="s">
        <v>50</v>
      </c>
      <c r="J335" t="s">
        <v>1422</v>
      </c>
      <c r="K335" t="s">
        <v>1423</v>
      </c>
      <c r="L335" t="s">
        <v>1424</v>
      </c>
      <c r="M335" t="s">
        <v>23</v>
      </c>
      <c r="N335" t="s">
        <v>343</v>
      </c>
      <c r="O335" t="s">
        <v>195</v>
      </c>
      <c r="P335" t="s">
        <v>1289</v>
      </c>
      <c r="Q335" t="s">
        <v>332</v>
      </c>
      <c r="R335" s="3">
        <v>6.3E-2</v>
      </c>
      <c r="S335" s="3">
        <v>0</v>
      </c>
      <c r="T335" t="s">
        <v>23</v>
      </c>
      <c r="U335" t="s">
        <v>23</v>
      </c>
      <c r="V335" t="s">
        <v>23</v>
      </c>
      <c r="W335" t="s">
        <v>23</v>
      </c>
      <c r="X335" s="3">
        <v>0</v>
      </c>
      <c r="Y335" s="3">
        <v>16.989999999999998</v>
      </c>
      <c r="Z335" t="s">
        <v>23</v>
      </c>
      <c r="AA335" t="s">
        <v>1363</v>
      </c>
      <c r="AB335" t="s">
        <v>189</v>
      </c>
      <c r="AC335" t="s">
        <v>1392</v>
      </c>
      <c r="AD335" t="s">
        <v>61</v>
      </c>
      <c r="AE335" t="s">
        <v>62</v>
      </c>
      <c r="AF335" t="s">
        <v>167</v>
      </c>
      <c r="AG335" t="s">
        <v>112</v>
      </c>
      <c r="AH335" t="s">
        <v>113</v>
      </c>
      <c r="AI335" t="s">
        <v>23</v>
      </c>
      <c r="AJ335" t="s">
        <v>190</v>
      </c>
      <c r="AK335" t="s">
        <v>191</v>
      </c>
      <c r="AL335" t="s">
        <v>1393</v>
      </c>
      <c r="AM335" t="s">
        <v>1394</v>
      </c>
      <c r="AN335" t="s">
        <v>118</v>
      </c>
      <c r="AO335" t="s">
        <v>71</v>
      </c>
      <c r="AP335" t="s">
        <v>1367</v>
      </c>
      <c r="AQ335" t="s">
        <v>1368</v>
      </c>
      <c r="AR335" t="s">
        <v>1369</v>
      </c>
    </row>
    <row r="336" spans="1:44" x14ac:dyDescent="0.25">
      <c r="A336" t="s">
        <v>363</v>
      </c>
      <c r="B336" t="s">
        <v>1391</v>
      </c>
      <c r="C336" t="s">
        <v>44</v>
      </c>
      <c r="D336" t="s">
        <v>1359</v>
      </c>
      <c r="E336" t="s">
        <v>1360</v>
      </c>
      <c r="F336" t="s">
        <v>1361</v>
      </c>
      <c r="G336" t="s">
        <v>1362</v>
      </c>
      <c r="H336" t="s">
        <v>49</v>
      </c>
      <c r="I336" t="s">
        <v>50</v>
      </c>
      <c r="J336" t="s">
        <v>1425</v>
      </c>
      <c r="K336" t="s">
        <v>1426</v>
      </c>
      <c r="L336" t="s">
        <v>1427</v>
      </c>
      <c r="M336" t="s">
        <v>23</v>
      </c>
      <c r="N336" t="s">
        <v>54</v>
      </c>
      <c r="O336" t="s">
        <v>195</v>
      </c>
      <c r="P336" t="s">
        <v>187</v>
      </c>
      <c r="Q336" t="s">
        <v>337</v>
      </c>
      <c r="R336" s="3">
        <v>4.4999999999999998E-2</v>
      </c>
      <c r="S336" t="s">
        <v>23</v>
      </c>
      <c r="T336" t="s">
        <v>23</v>
      </c>
      <c r="U336" s="3">
        <v>0.317</v>
      </c>
      <c r="V336" t="s">
        <v>23</v>
      </c>
      <c r="W336" t="s">
        <v>23</v>
      </c>
      <c r="X336" s="3">
        <v>0</v>
      </c>
      <c r="Y336" s="3">
        <v>16.989999999999998</v>
      </c>
      <c r="Z336" t="s">
        <v>23</v>
      </c>
      <c r="AA336" t="s">
        <v>1363</v>
      </c>
      <c r="AB336" t="s">
        <v>473</v>
      </c>
      <c r="AC336" t="s">
        <v>1392</v>
      </c>
      <c r="AD336" t="s">
        <v>61</v>
      </c>
      <c r="AE336" t="s">
        <v>62</v>
      </c>
      <c r="AF336" t="s">
        <v>474</v>
      </c>
      <c r="AG336" t="s">
        <v>112</v>
      </c>
      <c r="AH336" t="s">
        <v>113</v>
      </c>
      <c r="AI336" t="s">
        <v>23</v>
      </c>
      <c r="AJ336" t="s">
        <v>373</v>
      </c>
      <c r="AK336" t="s">
        <v>374</v>
      </c>
      <c r="AL336" t="s">
        <v>1393</v>
      </c>
      <c r="AM336" t="s">
        <v>1394</v>
      </c>
      <c r="AN336" t="s">
        <v>118</v>
      </c>
      <c r="AO336" t="s">
        <v>71</v>
      </c>
      <c r="AP336" t="s">
        <v>1367</v>
      </c>
      <c r="AQ336" t="s">
        <v>1368</v>
      </c>
      <c r="AR336" t="s">
        <v>1369</v>
      </c>
    </row>
    <row r="337" spans="1:44" x14ac:dyDescent="0.25">
      <c r="A337" t="s">
        <v>363</v>
      </c>
      <c r="B337" t="s">
        <v>1391</v>
      </c>
      <c r="C337" t="s">
        <v>44</v>
      </c>
      <c r="D337" t="s">
        <v>1359</v>
      </c>
      <c r="E337" t="s">
        <v>1360</v>
      </c>
      <c r="F337" t="s">
        <v>1361</v>
      </c>
      <c r="G337" t="s">
        <v>1362</v>
      </c>
      <c r="H337" t="s">
        <v>49</v>
      </c>
      <c r="I337" t="s">
        <v>50</v>
      </c>
      <c r="J337" t="s">
        <v>619</v>
      </c>
      <c r="K337" t="s">
        <v>620</v>
      </c>
      <c r="L337" t="s">
        <v>621</v>
      </c>
      <c r="M337" t="s">
        <v>23</v>
      </c>
      <c r="N337" t="s">
        <v>54</v>
      </c>
      <c r="O337" t="s">
        <v>55</v>
      </c>
      <c r="P337" t="s">
        <v>622</v>
      </c>
      <c r="Q337" t="s">
        <v>1428</v>
      </c>
      <c r="R337" s="3">
        <v>0.05</v>
      </c>
      <c r="S337" t="s">
        <v>23</v>
      </c>
      <c r="T337" t="s">
        <v>23</v>
      </c>
      <c r="U337" s="3">
        <v>0</v>
      </c>
      <c r="V337" t="s">
        <v>23</v>
      </c>
      <c r="W337" t="s">
        <v>23</v>
      </c>
      <c r="X337" s="3">
        <v>0</v>
      </c>
      <c r="Y337" s="3">
        <v>16.989999999999998</v>
      </c>
      <c r="Z337" t="s">
        <v>23</v>
      </c>
      <c r="AA337" t="s">
        <v>1363</v>
      </c>
      <c r="AB337" t="s">
        <v>473</v>
      </c>
      <c r="AC337" t="s">
        <v>1392</v>
      </c>
      <c r="AD337" t="s">
        <v>61</v>
      </c>
      <c r="AE337" t="s">
        <v>62</v>
      </c>
      <c r="AF337" t="s">
        <v>474</v>
      </c>
      <c r="AG337" t="s">
        <v>112</v>
      </c>
      <c r="AH337" t="s">
        <v>113</v>
      </c>
      <c r="AI337" t="s">
        <v>23</v>
      </c>
      <c r="AJ337" t="s">
        <v>373</v>
      </c>
      <c r="AK337" t="s">
        <v>374</v>
      </c>
      <c r="AL337" t="s">
        <v>1393</v>
      </c>
      <c r="AM337" t="s">
        <v>1394</v>
      </c>
      <c r="AN337" t="s">
        <v>118</v>
      </c>
      <c r="AO337" t="s">
        <v>71</v>
      </c>
      <c r="AP337" t="s">
        <v>1367</v>
      </c>
      <c r="AQ337" t="s">
        <v>1368</v>
      </c>
      <c r="AR337" t="s">
        <v>1369</v>
      </c>
    </row>
    <row r="338" spans="1:44" x14ac:dyDescent="0.25">
      <c r="A338" t="s">
        <v>363</v>
      </c>
      <c r="B338" t="s">
        <v>1391</v>
      </c>
      <c r="C338" t="s">
        <v>44</v>
      </c>
      <c r="D338" t="s">
        <v>1359</v>
      </c>
      <c r="E338" t="s">
        <v>1360</v>
      </c>
      <c r="F338" t="s">
        <v>1361</v>
      </c>
      <c r="G338" t="s">
        <v>1362</v>
      </c>
      <c r="H338" t="s">
        <v>49</v>
      </c>
      <c r="I338" t="s">
        <v>50</v>
      </c>
      <c r="J338" t="s">
        <v>616</v>
      </c>
      <c r="K338" t="s">
        <v>617</v>
      </c>
      <c r="L338" t="s">
        <v>618</v>
      </c>
      <c r="M338" t="s">
        <v>23</v>
      </c>
      <c r="N338" t="s">
        <v>54</v>
      </c>
      <c r="O338" t="s">
        <v>164</v>
      </c>
      <c r="P338" t="s">
        <v>76</v>
      </c>
      <c r="Q338" t="s">
        <v>218</v>
      </c>
      <c r="R338" s="3">
        <v>9.6000000000000002E-2</v>
      </c>
      <c r="S338" t="s">
        <v>23</v>
      </c>
      <c r="T338" t="s">
        <v>23</v>
      </c>
      <c r="U338" s="3">
        <v>0</v>
      </c>
      <c r="V338" t="s">
        <v>23</v>
      </c>
      <c r="W338" t="s">
        <v>23</v>
      </c>
      <c r="X338" s="3">
        <v>0</v>
      </c>
      <c r="Y338" s="3">
        <v>16.989999999999998</v>
      </c>
      <c r="Z338" t="s">
        <v>23</v>
      </c>
      <c r="AA338" t="s">
        <v>1363</v>
      </c>
      <c r="AB338" t="s">
        <v>473</v>
      </c>
      <c r="AC338" t="s">
        <v>1392</v>
      </c>
      <c r="AD338" t="s">
        <v>61</v>
      </c>
      <c r="AE338" t="s">
        <v>62</v>
      </c>
      <c r="AF338" t="s">
        <v>474</v>
      </c>
      <c r="AG338" t="s">
        <v>112</v>
      </c>
      <c r="AH338" t="s">
        <v>113</v>
      </c>
      <c r="AI338" t="s">
        <v>23</v>
      </c>
      <c r="AJ338" t="s">
        <v>373</v>
      </c>
      <c r="AK338" t="s">
        <v>374</v>
      </c>
      <c r="AL338" t="s">
        <v>1393</v>
      </c>
      <c r="AM338" t="s">
        <v>1394</v>
      </c>
      <c r="AN338" t="s">
        <v>118</v>
      </c>
      <c r="AO338" t="s">
        <v>71</v>
      </c>
      <c r="AP338" t="s">
        <v>1367</v>
      </c>
      <c r="AQ338" t="s">
        <v>1368</v>
      </c>
      <c r="AR338" t="s">
        <v>1369</v>
      </c>
    </row>
    <row r="339" spans="1:44" x14ac:dyDescent="0.25">
      <c r="A339" t="s">
        <v>363</v>
      </c>
      <c r="B339" t="s">
        <v>1391</v>
      </c>
      <c r="C339" t="s">
        <v>44</v>
      </c>
      <c r="D339" t="s">
        <v>1359</v>
      </c>
      <c r="E339" t="s">
        <v>1360</v>
      </c>
      <c r="F339" t="s">
        <v>1361</v>
      </c>
      <c r="G339" t="s">
        <v>1362</v>
      </c>
      <c r="H339" t="s">
        <v>49</v>
      </c>
      <c r="I339" t="s">
        <v>50</v>
      </c>
      <c r="J339" t="s">
        <v>993</v>
      </c>
      <c r="K339" t="s">
        <v>994</v>
      </c>
      <c r="L339" t="s">
        <v>995</v>
      </c>
      <c r="M339" t="s">
        <v>23</v>
      </c>
      <c r="N339" t="s">
        <v>54</v>
      </c>
      <c r="O339" t="s">
        <v>106</v>
      </c>
      <c r="P339" t="s">
        <v>361</v>
      </c>
      <c r="Q339" t="s">
        <v>398</v>
      </c>
      <c r="R339" s="3">
        <v>0.03</v>
      </c>
      <c r="S339" t="s">
        <v>23</v>
      </c>
      <c r="T339" t="s">
        <v>23</v>
      </c>
      <c r="U339" s="3">
        <v>0</v>
      </c>
      <c r="V339" t="s">
        <v>23</v>
      </c>
      <c r="W339" t="s">
        <v>23</v>
      </c>
      <c r="X339" s="3">
        <v>0</v>
      </c>
      <c r="Y339" s="3">
        <v>16.989999999999998</v>
      </c>
      <c r="Z339" t="s">
        <v>23</v>
      </c>
      <c r="AA339" t="s">
        <v>1363</v>
      </c>
      <c r="AB339" t="s">
        <v>473</v>
      </c>
      <c r="AC339" t="s">
        <v>1392</v>
      </c>
      <c r="AD339" t="s">
        <v>61</v>
      </c>
      <c r="AE339" t="s">
        <v>62</v>
      </c>
      <c r="AF339" t="s">
        <v>474</v>
      </c>
      <c r="AG339" t="s">
        <v>112</v>
      </c>
      <c r="AH339" t="s">
        <v>113</v>
      </c>
      <c r="AI339" t="s">
        <v>23</v>
      </c>
      <c r="AJ339" t="s">
        <v>373</v>
      </c>
      <c r="AK339" t="s">
        <v>374</v>
      </c>
      <c r="AL339" t="s">
        <v>1393</v>
      </c>
      <c r="AM339" t="s">
        <v>1394</v>
      </c>
      <c r="AN339" t="s">
        <v>118</v>
      </c>
      <c r="AO339" t="s">
        <v>71</v>
      </c>
      <c r="AP339" t="s">
        <v>1367</v>
      </c>
      <c r="AQ339" t="s">
        <v>1368</v>
      </c>
      <c r="AR339" t="s">
        <v>1369</v>
      </c>
    </row>
    <row r="340" spans="1:44" x14ac:dyDescent="0.25">
      <c r="A340" t="s">
        <v>363</v>
      </c>
      <c r="B340" t="s">
        <v>1391</v>
      </c>
      <c r="C340" t="s">
        <v>44</v>
      </c>
      <c r="D340" t="s">
        <v>1359</v>
      </c>
      <c r="E340" t="s">
        <v>1360</v>
      </c>
      <c r="F340" t="s">
        <v>1361</v>
      </c>
      <c r="G340" t="s">
        <v>1362</v>
      </c>
      <c r="H340" t="s">
        <v>49</v>
      </c>
      <c r="I340" t="s">
        <v>50</v>
      </c>
      <c r="J340" t="s">
        <v>1429</v>
      </c>
      <c r="K340" t="s">
        <v>1430</v>
      </c>
      <c r="L340" t="s">
        <v>1431</v>
      </c>
      <c r="M340" t="s">
        <v>23</v>
      </c>
      <c r="N340" t="s">
        <v>54</v>
      </c>
      <c r="O340" t="s">
        <v>164</v>
      </c>
      <c r="P340" t="s">
        <v>76</v>
      </c>
      <c r="Q340" t="s">
        <v>218</v>
      </c>
      <c r="R340" s="3">
        <v>9.6000000000000002E-2</v>
      </c>
      <c r="S340" t="s">
        <v>23</v>
      </c>
      <c r="T340" t="s">
        <v>23</v>
      </c>
      <c r="U340" s="3">
        <v>0</v>
      </c>
      <c r="V340" t="s">
        <v>23</v>
      </c>
      <c r="W340" t="s">
        <v>23</v>
      </c>
      <c r="X340" s="3">
        <v>0</v>
      </c>
      <c r="Y340" s="3">
        <v>16.989999999999998</v>
      </c>
      <c r="Z340" t="s">
        <v>23</v>
      </c>
      <c r="AA340" t="s">
        <v>1363</v>
      </c>
      <c r="AB340" t="s">
        <v>473</v>
      </c>
      <c r="AC340" t="s">
        <v>1392</v>
      </c>
      <c r="AD340" t="s">
        <v>61</v>
      </c>
      <c r="AE340" t="s">
        <v>62</v>
      </c>
      <c r="AF340" t="s">
        <v>474</v>
      </c>
      <c r="AG340" t="s">
        <v>112</v>
      </c>
      <c r="AH340" t="s">
        <v>113</v>
      </c>
      <c r="AI340" t="s">
        <v>23</v>
      </c>
      <c r="AJ340" t="s">
        <v>373</v>
      </c>
      <c r="AK340" t="s">
        <v>374</v>
      </c>
      <c r="AL340" t="s">
        <v>1393</v>
      </c>
      <c r="AM340" t="s">
        <v>1394</v>
      </c>
      <c r="AN340" t="s">
        <v>118</v>
      </c>
      <c r="AO340" t="s">
        <v>71</v>
      </c>
      <c r="AP340" t="s">
        <v>1367</v>
      </c>
      <c r="AQ340" t="s">
        <v>1368</v>
      </c>
      <c r="AR340" t="s">
        <v>1369</v>
      </c>
    </row>
    <row r="341" spans="1:44" x14ac:dyDescent="0.25">
      <c r="A341" t="s">
        <v>101</v>
      </c>
      <c r="B341" t="s">
        <v>1432</v>
      </c>
      <c r="C341" t="s">
        <v>44</v>
      </c>
      <c r="D341" t="s">
        <v>1359</v>
      </c>
      <c r="E341" t="s">
        <v>1360</v>
      </c>
      <c r="F341" t="s">
        <v>1361</v>
      </c>
      <c r="G341" t="s">
        <v>1362</v>
      </c>
      <c r="H341" t="s">
        <v>49</v>
      </c>
      <c r="I341" t="s">
        <v>50</v>
      </c>
      <c r="J341" t="s">
        <v>295</v>
      </c>
      <c r="K341" t="s">
        <v>296</v>
      </c>
      <c r="L341" t="s">
        <v>297</v>
      </c>
      <c r="M341" t="s">
        <v>23</v>
      </c>
      <c r="N341" t="s">
        <v>54</v>
      </c>
      <c r="O341" t="s">
        <v>1433</v>
      </c>
      <c r="P341" t="s">
        <v>107</v>
      </c>
      <c r="Q341" t="s">
        <v>1434</v>
      </c>
      <c r="R341" s="3">
        <v>1.6379999999999999</v>
      </c>
      <c r="S341" s="3">
        <v>1.6379999999999999</v>
      </c>
      <c r="T341" t="s">
        <v>23</v>
      </c>
      <c r="U341" t="s">
        <v>23</v>
      </c>
      <c r="V341" t="s">
        <v>23</v>
      </c>
      <c r="W341" t="s">
        <v>23</v>
      </c>
      <c r="X341" s="3">
        <v>0</v>
      </c>
      <c r="Y341" s="3">
        <v>16.989999999999998</v>
      </c>
      <c r="Z341" t="s">
        <v>23</v>
      </c>
      <c r="AA341" t="s">
        <v>1363</v>
      </c>
      <c r="AB341" t="s">
        <v>109</v>
      </c>
      <c r="AC341" t="s">
        <v>1435</v>
      </c>
      <c r="AD341" t="s">
        <v>61</v>
      </c>
      <c r="AE341" t="s">
        <v>62</v>
      </c>
      <c r="AF341" t="s">
        <v>111</v>
      </c>
      <c r="AG341" t="s">
        <v>112</v>
      </c>
      <c r="AH341" t="s">
        <v>113</v>
      </c>
      <c r="AI341" t="s">
        <v>1436</v>
      </c>
      <c r="AJ341" t="s">
        <v>114</v>
      </c>
      <c r="AK341" t="s">
        <v>115</v>
      </c>
      <c r="AL341" t="s">
        <v>1437</v>
      </c>
      <c r="AM341" t="s">
        <v>1438</v>
      </c>
      <c r="AN341" t="s">
        <v>118</v>
      </c>
      <c r="AO341" t="s">
        <v>71</v>
      </c>
      <c r="AP341" t="s">
        <v>1367</v>
      </c>
      <c r="AQ341" t="s">
        <v>1368</v>
      </c>
      <c r="AR341" t="s">
        <v>1369</v>
      </c>
    </row>
    <row r="342" spans="1:44" x14ac:dyDescent="0.25">
      <c r="A342" t="s">
        <v>101</v>
      </c>
      <c r="B342" t="s">
        <v>1439</v>
      </c>
      <c r="C342" t="s">
        <v>44</v>
      </c>
      <c r="D342" t="s">
        <v>1359</v>
      </c>
      <c r="E342" t="s">
        <v>1360</v>
      </c>
      <c r="F342" t="s">
        <v>1361</v>
      </c>
      <c r="G342" t="s">
        <v>1362</v>
      </c>
      <c r="H342" t="s">
        <v>49</v>
      </c>
      <c r="I342" t="s">
        <v>50</v>
      </c>
      <c r="J342" t="s">
        <v>103</v>
      </c>
      <c r="K342" t="s">
        <v>104</v>
      </c>
      <c r="L342" t="s">
        <v>105</v>
      </c>
      <c r="M342" t="s">
        <v>23</v>
      </c>
      <c r="N342" t="s">
        <v>54</v>
      </c>
      <c r="O342" t="s">
        <v>55</v>
      </c>
      <c r="P342" t="s">
        <v>107</v>
      </c>
      <c r="Q342" t="s">
        <v>1440</v>
      </c>
      <c r="R342" s="3">
        <v>0.16400000000000001</v>
      </c>
      <c r="S342" s="3">
        <v>0.6</v>
      </c>
      <c r="T342" t="s">
        <v>23</v>
      </c>
      <c r="U342" t="s">
        <v>23</v>
      </c>
      <c r="V342" t="s">
        <v>23</v>
      </c>
      <c r="W342" t="s">
        <v>23</v>
      </c>
      <c r="X342" s="3">
        <v>0</v>
      </c>
      <c r="Y342" s="3">
        <v>16.989999999999998</v>
      </c>
      <c r="Z342" t="s">
        <v>23</v>
      </c>
      <c r="AA342" t="s">
        <v>1363</v>
      </c>
      <c r="AB342" t="s">
        <v>109</v>
      </c>
      <c r="AC342" t="s">
        <v>1441</v>
      </c>
      <c r="AD342" t="s">
        <v>61</v>
      </c>
      <c r="AE342" t="s">
        <v>62</v>
      </c>
      <c r="AF342" t="s">
        <v>111</v>
      </c>
      <c r="AG342" t="s">
        <v>112</v>
      </c>
      <c r="AH342" t="s">
        <v>113</v>
      </c>
      <c r="AI342" t="s">
        <v>98</v>
      </c>
      <c r="AJ342" t="s">
        <v>114</v>
      </c>
      <c r="AK342" t="s">
        <v>115</v>
      </c>
      <c r="AL342" t="s">
        <v>1442</v>
      </c>
      <c r="AM342" t="s">
        <v>1443</v>
      </c>
      <c r="AN342" t="s">
        <v>118</v>
      </c>
      <c r="AO342" t="s">
        <v>71</v>
      </c>
      <c r="AP342" t="s">
        <v>1367</v>
      </c>
      <c r="AQ342" t="s">
        <v>1368</v>
      </c>
      <c r="AR342" t="s">
        <v>1369</v>
      </c>
    </row>
    <row r="343" spans="1:44" x14ac:dyDescent="0.25">
      <c r="A343" t="s">
        <v>101</v>
      </c>
      <c r="B343" t="s">
        <v>1439</v>
      </c>
      <c r="C343" t="s">
        <v>44</v>
      </c>
      <c r="D343" t="s">
        <v>1359</v>
      </c>
      <c r="E343" t="s">
        <v>1360</v>
      </c>
      <c r="F343" t="s">
        <v>1361</v>
      </c>
      <c r="G343" t="s">
        <v>1362</v>
      </c>
      <c r="H343" t="s">
        <v>49</v>
      </c>
      <c r="I343" t="s">
        <v>50</v>
      </c>
      <c r="J343" t="s">
        <v>295</v>
      </c>
      <c r="K343" t="s">
        <v>296</v>
      </c>
      <c r="L343" t="s">
        <v>297</v>
      </c>
      <c r="M343" t="s">
        <v>23</v>
      </c>
      <c r="N343" t="s">
        <v>54</v>
      </c>
      <c r="O343" t="s">
        <v>164</v>
      </c>
      <c r="P343" t="s">
        <v>107</v>
      </c>
      <c r="Q343" t="s">
        <v>596</v>
      </c>
      <c r="R343" s="3">
        <v>0.218</v>
      </c>
      <c r="S343" s="3">
        <v>0</v>
      </c>
      <c r="T343" t="s">
        <v>23</v>
      </c>
      <c r="U343" t="s">
        <v>23</v>
      </c>
      <c r="V343" t="s">
        <v>23</v>
      </c>
      <c r="W343" t="s">
        <v>23</v>
      </c>
      <c r="X343" s="3">
        <v>0</v>
      </c>
      <c r="Y343" s="3">
        <v>16.989999999999998</v>
      </c>
      <c r="Z343" t="s">
        <v>23</v>
      </c>
      <c r="AA343" t="s">
        <v>1363</v>
      </c>
      <c r="AB343" t="s">
        <v>109</v>
      </c>
      <c r="AC343" t="s">
        <v>1441</v>
      </c>
      <c r="AD343" t="s">
        <v>61</v>
      </c>
      <c r="AE343" t="s">
        <v>62</v>
      </c>
      <c r="AF343" t="s">
        <v>111</v>
      </c>
      <c r="AG343" t="s">
        <v>112</v>
      </c>
      <c r="AH343" t="s">
        <v>113</v>
      </c>
      <c r="AI343" t="s">
        <v>98</v>
      </c>
      <c r="AJ343" t="s">
        <v>114</v>
      </c>
      <c r="AK343" t="s">
        <v>115</v>
      </c>
      <c r="AL343" t="s">
        <v>1442</v>
      </c>
      <c r="AM343" t="s">
        <v>1443</v>
      </c>
      <c r="AN343" t="s">
        <v>118</v>
      </c>
      <c r="AO343" t="s">
        <v>71</v>
      </c>
      <c r="AP343" t="s">
        <v>1367</v>
      </c>
      <c r="AQ343" t="s">
        <v>1368</v>
      </c>
      <c r="AR343" t="s">
        <v>1369</v>
      </c>
    </row>
    <row r="344" spans="1:44" x14ac:dyDescent="0.25">
      <c r="A344" t="s">
        <v>101</v>
      </c>
      <c r="B344" t="s">
        <v>1439</v>
      </c>
      <c r="C344" t="s">
        <v>44</v>
      </c>
      <c r="D344" t="s">
        <v>1359</v>
      </c>
      <c r="E344" t="s">
        <v>1360</v>
      </c>
      <c r="F344" t="s">
        <v>1361</v>
      </c>
      <c r="G344" t="s">
        <v>1362</v>
      </c>
      <c r="H344" t="s">
        <v>49</v>
      </c>
      <c r="I344" t="s">
        <v>50</v>
      </c>
      <c r="J344" t="s">
        <v>140</v>
      </c>
      <c r="K344" t="s">
        <v>141</v>
      </c>
      <c r="L344" t="s">
        <v>142</v>
      </c>
      <c r="M344" t="s">
        <v>23</v>
      </c>
      <c r="N344" t="s">
        <v>54</v>
      </c>
      <c r="O344" t="s">
        <v>164</v>
      </c>
      <c r="P344" t="s">
        <v>107</v>
      </c>
      <c r="Q344" t="s">
        <v>596</v>
      </c>
      <c r="R344" s="3">
        <v>0.218</v>
      </c>
      <c r="S344" s="3">
        <v>0</v>
      </c>
      <c r="T344" t="s">
        <v>23</v>
      </c>
      <c r="U344" t="s">
        <v>23</v>
      </c>
      <c r="V344" t="s">
        <v>23</v>
      </c>
      <c r="W344" t="s">
        <v>23</v>
      </c>
      <c r="X344" s="3">
        <v>0</v>
      </c>
      <c r="Y344" s="3">
        <v>16.989999999999998</v>
      </c>
      <c r="Z344" t="s">
        <v>23</v>
      </c>
      <c r="AA344" t="s">
        <v>1363</v>
      </c>
      <c r="AB344" t="s">
        <v>109</v>
      </c>
      <c r="AC344" t="s">
        <v>1441</v>
      </c>
      <c r="AD344" t="s">
        <v>61</v>
      </c>
      <c r="AE344" t="s">
        <v>62</v>
      </c>
      <c r="AF344" t="s">
        <v>111</v>
      </c>
      <c r="AG344" t="s">
        <v>112</v>
      </c>
      <c r="AH344" t="s">
        <v>113</v>
      </c>
      <c r="AI344" t="s">
        <v>98</v>
      </c>
      <c r="AJ344" t="s">
        <v>114</v>
      </c>
      <c r="AK344" t="s">
        <v>115</v>
      </c>
      <c r="AL344" t="s">
        <v>1442</v>
      </c>
      <c r="AM344" t="s">
        <v>1443</v>
      </c>
      <c r="AN344" t="s">
        <v>118</v>
      </c>
      <c r="AO344" t="s">
        <v>71</v>
      </c>
      <c r="AP344" t="s">
        <v>1367</v>
      </c>
      <c r="AQ344" t="s">
        <v>1368</v>
      </c>
      <c r="AR344" t="s">
        <v>1369</v>
      </c>
    </row>
    <row r="345" spans="1:44" x14ac:dyDescent="0.25">
      <c r="A345" t="s">
        <v>311</v>
      </c>
      <c r="B345" t="s">
        <v>1444</v>
      </c>
      <c r="C345" t="s">
        <v>44</v>
      </c>
      <c r="D345" t="s">
        <v>1359</v>
      </c>
      <c r="E345" t="s">
        <v>1360</v>
      </c>
      <c r="F345" t="s">
        <v>1361</v>
      </c>
      <c r="G345" t="s">
        <v>1362</v>
      </c>
      <c r="H345" t="s">
        <v>49</v>
      </c>
      <c r="I345" t="s">
        <v>50</v>
      </c>
      <c r="J345" t="s">
        <v>493</v>
      </c>
      <c r="K345" t="s">
        <v>494</v>
      </c>
      <c r="L345" t="s">
        <v>495</v>
      </c>
      <c r="M345" t="s">
        <v>23</v>
      </c>
      <c r="N345" t="s">
        <v>496</v>
      </c>
      <c r="O345" t="s">
        <v>356</v>
      </c>
      <c r="P345" t="s">
        <v>497</v>
      </c>
      <c r="Q345" t="s">
        <v>497</v>
      </c>
      <c r="R345" s="3">
        <v>0</v>
      </c>
      <c r="S345" t="s">
        <v>23</v>
      </c>
      <c r="T345" t="s">
        <v>23</v>
      </c>
      <c r="U345" t="s">
        <v>23</v>
      </c>
      <c r="V345" t="s">
        <v>23</v>
      </c>
      <c r="W345" s="3">
        <v>0</v>
      </c>
      <c r="X345" s="3">
        <v>3.3290000000000002</v>
      </c>
      <c r="Y345" s="3">
        <v>16.989999999999998</v>
      </c>
      <c r="Z345" t="s">
        <v>23</v>
      </c>
      <c r="AA345" t="s">
        <v>1445</v>
      </c>
      <c r="AB345" t="s">
        <v>320</v>
      </c>
      <c r="AC345" t="s">
        <v>1446</v>
      </c>
      <c r="AD345" t="s">
        <v>61</v>
      </c>
      <c r="AE345" t="s">
        <v>62</v>
      </c>
      <c r="AF345" t="s">
        <v>321</v>
      </c>
      <c r="AG345" t="s">
        <v>322</v>
      </c>
      <c r="AH345" t="s">
        <v>322</v>
      </c>
      <c r="AI345" t="s">
        <v>23</v>
      </c>
      <c r="AJ345" t="s">
        <v>323</v>
      </c>
      <c r="AK345" t="s">
        <v>324</v>
      </c>
      <c r="AL345" t="s">
        <v>1447</v>
      </c>
      <c r="AM345" t="s">
        <v>1448</v>
      </c>
      <c r="AN345" t="s">
        <v>118</v>
      </c>
      <c r="AO345" t="s">
        <v>501</v>
      </c>
      <c r="AP345" t="s">
        <v>1367</v>
      </c>
      <c r="AQ345" t="s">
        <v>1368</v>
      </c>
      <c r="AR345" t="s">
        <v>1369</v>
      </c>
    </row>
    <row r="346" spans="1:44" x14ac:dyDescent="0.25">
      <c r="A346" t="s">
        <v>311</v>
      </c>
      <c r="B346" t="s">
        <v>1449</v>
      </c>
      <c r="C346" t="s">
        <v>44</v>
      </c>
      <c r="D346" t="s">
        <v>1359</v>
      </c>
      <c r="E346" t="s">
        <v>1360</v>
      </c>
      <c r="F346" t="s">
        <v>1361</v>
      </c>
      <c r="G346" t="s">
        <v>1362</v>
      </c>
      <c r="H346" t="s">
        <v>49</v>
      </c>
      <c r="I346" t="s">
        <v>50</v>
      </c>
      <c r="J346" t="s">
        <v>1275</v>
      </c>
      <c r="K346" t="s">
        <v>1276</v>
      </c>
      <c r="L346" t="s">
        <v>1277</v>
      </c>
      <c r="M346" t="s">
        <v>23</v>
      </c>
      <c r="N346" t="s">
        <v>54</v>
      </c>
      <c r="O346" t="s">
        <v>154</v>
      </c>
      <c r="P346" t="s">
        <v>1279</v>
      </c>
      <c r="Q346" t="s">
        <v>1450</v>
      </c>
      <c r="R346" s="3">
        <v>2.3570000000000002</v>
      </c>
      <c r="S346" t="s">
        <v>23</v>
      </c>
      <c r="T346" t="s">
        <v>23</v>
      </c>
      <c r="U346" t="s">
        <v>23</v>
      </c>
      <c r="V346" t="s">
        <v>23</v>
      </c>
      <c r="W346" s="3">
        <v>3.0459999999999998</v>
      </c>
      <c r="X346" s="3">
        <v>0</v>
      </c>
      <c r="Y346" s="3">
        <v>16.989999999999998</v>
      </c>
      <c r="Z346" t="s">
        <v>23</v>
      </c>
      <c r="AA346" t="s">
        <v>1445</v>
      </c>
      <c r="AB346" t="s">
        <v>320</v>
      </c>
      <c r="AC346" t="s">
        <v>1392</v>
      </c>
      <c r="AD346" t="s">
        <v>61</v>
      </c>
      <c r="AE346" t="s">
        <v>62</v>
      </c>
      <c r="AF346" t="s">
        <v>321</v>
      </c>
      <c r="AG346" t="s">
        <v>322</v>
      </c>
      <c r="AH346" t="s">
        <v>322</v>
      </c>
      <c r="AI346" t="s">
        <v>23</v>
      </c>
      <c r="AJ346" t="s">
        <v>323</v>
      </c>
      <c r="AK346" t="s">
        <v>324</v>
      </c>
      <c r="AL346" t="s">
        <v>1451</v>
      </c>
      <c r="AM346" t="s">
        <v>1452</v>
      </c>
      <c r="AN346" t="s">
        <v>118</v>
      </c>
      <c r="AO346" t="s">
        <v>71</v>
      </c>
      <c r="AP346" t="s">
        <v>1367</v>
      </c>
      <c r="AQ346" t="s">
        <v>1368</v>
      </c>
      <c r="AR346" t="s">
        <v>1369</v>
      </c>
    </row>
    <row r="347" spans="1:44" x14ac:dyDescent="0.25">
      <c r="A347" t="s">
        <v>311</v>
      </c>
      <c r="B347" t="s">
        <v>1449</v>
      </c>
      <c r="C347" t="s">
        <v>44</v>
      </c>
      <c r="D347" t="s">
        <v>1359</v>
      </c>
      <c r="E347" t="s">
        <v>1360</v>
      </c>
      <c r="F347" t="s">
        <v>1361</v>
      </c>
      <c r="G347" t="s">
        <v>1362</v>
      </c>
      <c r="H347" t="s">
        <v>49</v>
      </c>
      <c r="I347" t="s">
        <v>50</v>
      </c>
      <c r="J347" t="s">
        <v>329</v>
      </c>
      <c r="K347" t="s">
        <v>330</v>
      </c>
      <c r="L347" t="s">
        <v>331</v>
      </c>
      <c r="M347" t="s">
        <v>23</v>
      </c>
      <c r="N347" t="s">
        <v>54</v>
      </c>
      <c r="O347" t="s">
        <v>106</v>
      </c>
      <c r="P347" t="s">
        <v>77</v>
      </c>
      <c r="Q347" t="s">
        <v>218</v>
      </c>
      <c r="R347" s="3">
        <v>9.6000000000000002E-2</v>
      </c>
      <c r="S347" t="s">
        <v>23</v>
      </c>
      <c r="T347" t="s">
        <v>23</v>
      </c>
      <c r="U347" t="s">
        <v>23</v>
      </c>
      <c r="V347" t="s">
        <v>23</v>
      </c>
      <c r="W347" s="3">
        <v>0</v>
      </c>
      <c r="X347" s="3">
        <v>0</v>
      </c>
      <c r="Y347" s="3">
        <v>16.989999999999998</v>
      </c>
      <c r="Z347" t="s">
        <v>23</v>
      </c>
      <c r="AA347" t="s">
        <v>1445</v>
      </c>
      <c r="AB347" t="s">
        <v>320</v>
      </c>
      <c r="AC347" t="s">
        <v>1392</v>
      </c>
      <c r="AD347" t="s">
        <v>61</v>
      </c>
      <c r="AE347" t="s">
        <v>62</v>
      </c>
      <c r="AF347" t="s">
        <v>321</v>
      </c>
      <c r="AG347" t="s">
        <v>322</v>
      </c>
      <c r="AH347" t="s">
        <v>322</v>
      </c>
      <c r="AI347" t="s">
        <v>23</v>
      </c>
      <c r="AJ347" t="s">
        <v>323</v>
      </c>
      <c r="AK347" t="s">
        <v>324</v>
      </c>
      <c r="AL347" t="s">
        <v>1451</v>
      </c>
      <c r="AM347" t="s">
        <v>1452</v>
      </c>
      <c r="AN347" t="s">
        <v>118</v>
      </c>
      <c r="AO347" t="s">
        <v>71</v>
      </c>
      <c r="AP347" t="s">
        <v>1367</v>
      </c>
      <c r="AQ347" t="s">
        <v>1368</v>
      </c>
      <c r="AR347" t="s">
        <v>1369</v>
      </c>
    </row>
    <row r="348" spans="1:44" x14ac:dyDescent="0.25">
      <c r="A348" t="s">
        <v>311</v>
      </c>
      <c r="B348" t="s">
        <v>1449</v>
      </c>
      <c r="C348" t="s">
        <v>44</v>
      </c>
      <c r="D348" t="s">
        <v>1359</v>
      </c>
      <c r="E348" t="s">
        <v>1360</v>
      </c>
      <c r="F348" t="s">
        <v>1361</v>
      </c>
      <c r="G348" t="s">
        <v>1362</v>
      </c>
      <c r="H348" t="s">
        <v>49</v>
      </c>
      <c r="I348" t="s">
        <v>50</v>
      </c>
      <c r="J348" t="s">
        <v>1145</v>
      </c>
      <c r="K348" t="s">
        <v>1146</v>
      </c>
      <c r="L348" t="s">
        <v>1147</v>
      </c>
      <c r="M348" t="s">
        <v>23</v>
      </c>
      <c r="N348" t="s">
        <v>54</v>
      </c>
      <c r="O348" t="s">
        <v>195</v>
      </c>
      <c r="P348" t="s">
        <v>1148</v>
      </c>
      <c r="Q348" t="s">
        <v>1453</v>
      </c>
      <c r="R348" s="3">
        <v>8.4000000000000005E-2</v>
      </c>
      <c r="S348" t="s">
        <v>23</v>
      </c>
      <c r="T348" t="s">
        <v>23</v>
      </c>
      <c r="U348" t="s">
        <v>23</v>
      </c>
      <c r="V348" t="s">
        <v>23</v>
      </c>
      <c r="W348" s="3">
        <v>0</v>
      </c>
      <c r="X348" s="3">
        <v>0</v>
      </c>
      <c r="Y348" s="3">
        <v>16.989999999999998</v>
      </c>
      <c r="Z348" t="s">
        <v>23</v>
      </c>
      <c r="AA348" t="s">
        <v>1445</v>
      </c>
      <c r="AB348" t="s">
        <v>320</v>
      </c>
      <c r="AC348" t="s">
        <v>1392</v>
      </c>
      <c r="AD348" t="s">
        <v>61</v>
      </c>
      <c r="AE348" t="s">
        <v>62</v>
      </c>
      <c r="AF348" t="s">
        <v>321</v>
      </c>
      <c r="AG348" t="s">
        <v>322</v>
      </c>
      <c r="AH348" t="s">
        <v>322</v>
      </c>
      <c r="AI348" t="s">
        <v>23</v>
      </c>
      <c r="AJ348" t="s">
        <v>323</v>
      </c>
      <c r="AK348" t="s">
        <v>324</v>
      </c>
      <c r="AL348" t="s">
        <v>1451</v>
      </c>
      <c r="AM348" t="s">
        <v>1452</v>
      </c>
      <c r="AN348" t="s">
        <v>118</v>
      </c>
      <c r="AO348" t="s">
        <v>71</v>
      </c>
      <c r="AP348" t="s">
        <v>1367</v>
      </c>
      <c r="AQ348" t="s">
        <v>1368</v>
      </c>
      <c r="AR348" t="s">
        <v>1369</v>
      </c>
    </row>
    <row r="349" spans="1:44" x14ac:dyDescent="0.25">
      <c r="A349" t="s">
        <v>311</v>
      </c>
      <c r="B349" t="s">
        <v>1449</v>
      </c>
      <c r="C349" t="s">
        <v>44</v>
      </c>
      <c r="D349" t="s">
        <v>1359</v>
      </c>
      <c r="E349" t="s">
        <v>1360</v>
      </c>
      <c r="F349" t="s">
        <v>1361</v>
      </c>
      <c r="G349" t="s">
        <v>1362</v>
      </c>
      <c r="H349" t="s">
        <v>49</v>
      </c>
      <c r="I349" t="s">
        <v>50</v>
      </c>
      <c r="J349" t="s">
        <v>1291</v>
      </c>
      <c r="K349" t="s">
        <v>1292</v>
      </c>
      <c r="L349" t="s">
        <v>1293</v>
      </c>
      <c r="M349" t="s">
        <v>23</v>
      </c>
      <c r="N349" t="s">
        <v>54</v>
      </c>
      <c r="O349" t="s">
        <v>195</v>
      </c>
      <c r="P349" t="s">
        <v>1284</v>
      </c>
      <c r="Q349" t="s">
        <v>1454</v>
      </c>
      <c r="R349" s="3">
        <v>3.1E-2</v>
      </c>
      <c r="S349" t="s">
        <v>23</v>
      </c>
      <c r="T349" t="s">
        <v>23</v>
      </c>
      <c r="U349" t="s">
        <v>23</v>
      </c>
      <c r="V349" t="s">
        <v>23</v>
      </c>
      <c r="W349" s="3">
        <v>0</v>
      </c>
      <c r="X349" s="3">
        <v>0</v>
      </c>
      <c r="Y349" s="3">
        <v>16.989999999999998</v>
      </c>
      <c r="Z349" t="s">
        <v>23</v>
      </c>
      <c r="AA349" t="s">
        <v>1445</v>
      </c>
      <c r="AB349" t="s">
        <v>320</v>
      </c>
      <c r="AC349" t="s">
        <v>1392</v>
      </c>
      <c r="AD349" t="s">
        <v>61</v>
      </c>
      <c r="AE349" t="s">
        <v>62</v>
      </c>
      <c r="AF349" t="s">
        <v>321</v>
      </c>
      <c r="AG349" t="s">
        <v>322</v>
      </c>
      <c r="AH349" t="s">
        <v>322</v>
      </c>
      <c r="AI349" t="s">
        <v>23</v>
      </c>
      <c r="AJ349" t="s">
        <v>323</v>
      </c>
      <c r="AK349" t="s">
        <v>324</v>
      </c>
      <c r="AL349" t="s">
        <v>1451</v>
      </c>
      <c r="AM349" t="s">
        <v>1452</v>
      </c>
      <c r="AN349" t="s">
        <v>118</v>
      </c>
      <c r="AO349" t="s">
        <v>71</v>
      </c>
      <c r="AP349" t="s">
        <v>1367</v>
      </c>
      <c r="AQ349" t="s">
        <v>1368</v>
      </c>
      <c r="AR349" t="s">
        <v>1369</v>
      </c>
    </row>
    <row r="350" spans="1:44" x14ac:dyDescent="0.25">
      <c r="A350" t="s">
        <v>311</v>
      </c>
      <c r="B350" t="s">
        <v>1449</v>
      </c>
      <c r="C350" t="s">
        <v>44</v>
      </c>
      <c r="D350" t="s">
        <v>1359</v>
      </c>
      <c r="E350" t="s">
        <v>1360</v>
      </c>
      <c r="F350" t="s">
        <v>1361</v>
      </c>
      <c r="G350" t="s">
        <v>1362</v>
      </c>
      <c r="H350" t="s">
        <v>49</v>
      </c>
      <c r="I350" t="s">
        <v>50</v>
      </c>
      <c r="J350" t="s">
        <v>1300</v>
      </c>
      <c r="K350" t="s">
        <v>1301</v>
      </c>
      <c r="L350" t="s">
        <v>1302</v>
      </c>
      <c r="M350" t="s">
        <v>23</v>
      </c>
      <c r="N350" t="s">
        <v>54</v>
      </c>
      <c r="O350" t="s">
        <v>106</v>
      </c>
      <c r="P350" t="s">
        <v>77</v>
      </c>
      <c r="Q350" t="s">
        <v>218</v>
      </c>
      <c r="R350" s="3">
        <v>9.6000000000000002E-2</v>
      </c>
      <c r="S350" t="s">
        <v>23</v>
      </c>
      <c r="T350" t="s">
        <v>23</v>
      </c>
      <c r="U350" t="s">
        <v>23</v>
      </c>
      <c r="V350" t="s">
        <v>23</v>
      </c>
      <c r="W350" s="3">
        <v>0</v>
      </c>
      <c r="X350" s="3">
        <v>0</v>
      </c>
      <c r="Y350" s="3">
        <v>16.989999999999998</v>
      </c>
      <c r="Z350" t="s">
        <v>23</v>
      </c>
      <c r="AA350" t="s">
        <v>1445</v>
      </c>
      <c r="AB350" t="s">
        <v>320</v>
      </c>
      <c r="AC350" t="s">
        <v>1392</v>
      </c>
      <c r="AD350" t="s">
        <v>61</v>
      </c>
      <c r="AE350" t="s">
        <v>62</v>
      </c>
      <c r="AF350" t="s">
        <v>321</v>
      </c>
      <c r="AG350" t="s">
        <v>322</v>
      </c>
      <c r="AH350" t="s">
        <v>322</v>
      </c>
      <c r="AI350" t="s">
        <v>23</v>
      </c>
      <c r="AJ350" t="s">
        <v>323</v>
      </c>
      <c r="AK350" t="s">
        <v>324</v>
      </c>
      <c r="AL350" t="s">
        <v>1451</v>
      </c>
      <c r="AM350" t="s">
        <v>1452</v>
      </c>
      <c r="AN350" t="s">
        <v>118</v>
      </c>
      <c r="AO350" t="s">
        <v>71</v>
      </c>
      <c r="AP350" t="s">
        <v>1367</v>
      </c>
      <c r="AQ350" t="s">
        <v>1368</v>
      </c>
      <c r="AR350" t="s">
        <v>1369</v>
      </c>
    </row>
    <row r="351" spans="1:44" x14ac:dyDescent="0.25">
      <c r="A351" t="s">
        <v>311</v>
      </c>
      <c r="B351" t="s">
        <v>1449</v>
      </c>
      <c r="C351" t="s">
        <v>44</v>
      </c>
      <c r="D351" t="s">
        <v>1359</v>
      </c>
      <c r="E351" t="s">
        <v>1360</v>
      </c>
      <c r="F351" t="s">
        <v>1361</v>
      </c>
      <c r="G351" t="s">
        <v>1362</v>
      </c>
      <c r="H351" t="s">
        <v>49</v>
      </c>
      <c r="I351" t="s">
        <v>50</v>
      </c>
      <c r="J351" t="s">
        <v>334</v>
      </c>
      <c r="K351" t="s">
        <v>335</v>
      </c>
      <c r="L351" t="s">
        <v>336</v>
      </c>
      <c r="M351" t="s">
        <v>23</v>
      </c>
      <c r="N351" t="s">
        <v>54</v>
      </c>
      <c r="O351" t="s">
        <v>55</v>
      </c>
      <c r="P351" t="s">
        <v>338</v>
      </c>
      <c r="Q351" t="s">
        <v>1320</v>
      </c>
      <c r="R351" s="3">
        <v>0.16200000000000001</v>
      </c>
      <c r="S351" t="s">
        <v>23</v>
      </c>
      <c r="T351" t="s">
        <v>23</v>
      </c>
      <c r="U351" t="s">
        <v>23</v>
      </c>
      <c r="V351" t="s">
        <v>23</v>
      </c>
      <c r="W351" s="3">
        <v>0</v>
      </c>
      <c r="X351" s="3">
        <v>0</v>
      </c>
      <c r="Y351" s="3">
        <v>16.989999999999998</v>
      </c>
      <c r="Z351" t="s">
        <v>23</v>
      </c>
      <c r="AA351" t="s">
        <v>1445</v>
      </c>
      <c r="AB351" t="s">
        <v>320</v>
      </c>
      <c r="AC351" t="s">
        <v>1392</v>
      </c>
      <c r="AD351" t="s">
        <v>61</v>
      </c>
      <c r="AE351" t="s">
        <v>62</v>
      </c>
      <c r="AF351" t="s">
        <v>321</v>
      </c>
      <c r="AG351" t="s">
        <v>322</v>
      </c>
      <c r="AH351" t="s">
        <v>322</v>
      </c>
      <c r="AI351" t="s">
        <v>23</v>
      </c>
      <c r="AJ351" t="s">
        <v>323</v>
      </c>
      <c r="AK351" t="s">
        <v>324</v>
      </c>
      <c r="AL351" t="s">
        <v>1451</v>
      </c>
      <c r="AM351" t="s">
        <v>1452</v>
      </c>
      <c r="AN351" t="s">
        <v>118</v>
      </c>
      <c r="AO351" t="s">
        <v>71</v>
      </c>
      <c r="AP351" t="s">
        <v>1367</v>
      </c>
      <c r="AQ351" t="s">
        <v>1368</v>
      </c>
      <c r="AR351" t="s">
        <v>1369</v>
      </c>
    </row>
    <row r="352" spans="1:44" x14ac:dyDescent="0.25">
      <c r="A352" t="s">
        <v>311</v>
      </c>
      <c r="B352" t="s">
        <v>1449</v>
      </c>
      <c r="C352" t="s">
        <v>44</v>
      </c>
      <c r="D352" t="s">
        <v>1359</v>
      </c>
      <c r="E352" t="s">
        <v>1360</v>
      </c>
      <c r="F352" t="s">
        <v>1361</v>
      </c>
      <c r="G352" t="s">
        <v>1362</v>
      </c>
      <c r="H352" t="s">
        <v>49</v>
      </c>
      <c r="I352" t="s">
        <v>50</v>
      </c>
      <c r="J352" t="s">
        <v>340</v>
      </c>
      <c r="K352" t="s">
        <v>341</v>
      </c>
      <c r="L352" t="s">
        <v>342</v>
      </c>
      <c r="M352" t="s">
        <v>23</v>
      </c>
      <c r="N352" t="s">
        <v>343</v>
      </c>
      <c r="O352" t="s">
        <v>195</v>
      </c>
      <c r="P352" t="s">
        <v>164</v>
      </c>
      <c r="Q352" t="s">
        <v>1131</v>
      </c>
      <c r="R352" s="3">
        <v>0.1</v>
      </c>
      <c r="S352" t="s">
        <v>23</v>
      </c>
      <c r="T352" t="s">
        <v>23</v>
      </c>
      <c r="U352" t="s">
        <v>23</v>
      </c>
      <c r="V352" t="s">
        <v>23</v>
      </c>
      <c r="W352" s="3">
        <v>0</v>
      </c>
      <c r="X352" s="3">
        <v>0</v>
      </c>
      <c r="Y352" s="3">
        <v>16.989999999999998</v>
      </c>
      <c r="Z352" t="s">
        <v>23</v>
      </c>
      <c r="AA352" t="s">
        <v>1445</v>
      </c>
      <c r="AB352" t="s">
        <v>320</v>
      </c>
      <c r="AC352" t="s">
        <v>1392</v>
      </c>
      <c r="AD352" t="s">
        <v>61</v>
      </c>
      <c r="AE352" t="s">
        <v>62</v>
      </c>
      <c r="AF352" t="s">
        <v>321</v>
      </c>
      <c r="AG352" t="s">
        <v>322</v>
      </c>
      <c r="AH352" t="s">
        <v>322</v>
      </c>
      <c r="AI352" t="s">
        <v>23</v>
      </c>
      <c r="AJ352" t="s">
        <v>323</v>
      </c>
      <c r="AK352" t="s">
        <v>324</v>
      </c>
      <c r="AL352" t="s">
        <v>1451</v>
      </c>
      <c r="AM352" t="s">
        <v>1452</v>
      </c>
      <c r="AN352" t="s">
        <v>118</v>
      </c>
      <c r="AO352" t="s">
        <v>71</v>
      </c>
      <c r="AP352" t="s">
        <v>1367</v>
      </c>
      <c r="AQ352" t="s">
        <v>1368</v>
      </c>
      <c r="AR352" t="s">
        <v>1369</v>
      </c>
    </row>
    <row r="353" spans="1:44" x14ac:dyDescent="0.25">
      <c r="A353" t="s">
        <v>311</v>
      </c>
      <c r="B353" t="s">
        <v>1449</v>
      </c>
      <c r="C353" t="s">
        <v>44</v>
      </c>
      <c r="D353" t="s">
        <v>1359</v>
      </c>
      <c r="E353" t="s">
        <v>1360</v>
      </c>
      <c r="F353" t="s">
        <v>1361</v>
      </c>
      <c r="G353" t="s">
        <v>1362</v>
      </c>
      <c r="H353" t="s">
        <v>49</v>
      </c>
      <c r="I353" t="s">
        <v>50</v>
      </c>
      <c r="J353" t="s">
        <v>1308</v>
      </c>
      <c r="K353" t="s">
        <v>1309</v>
      </c>
      <c r="L353" t="s">
        <v>1310</v>
      </c>
      <c r="M353" t="s">
        <v>23</v>
      </c>
      <c r="N353" t="s">
        <v>54</v>
      </c>
      <c r="O353" t="s">
        <v>106</v>
      </c>
      <c r="P353" t="s">
        <v>196</v>
      </c>
      <c r="Q353" t="s">
        <v>518</v>
      </c>
      <c r="R353" s="3">
        <v>0.12</v>
      </c>
      <c r="S353" t="s">
        <v>23</v>
      </c>
      <c r="T353" t="s">
        <v>23</v>
      </c>
      <c r="U353" t="s">
        <v>23</v>
      </c>
      <c r="V353" t="s">
        <v>23</v>
      </c>
      <c r="W353" s="3">
        <v>0</v>
      </c>
      <c r="X353" s="3">
        <v>0</v>
      </c>
      <c r="Y353" s="3">
        <v>16.989999999999998</v>
      </c>
      <c r="Z353" t="s">
        <v>23</v>
      </c>
      <c r="AA353" t="s">
        <v>1445</v>
      </c>
      <c r="AB353" t="s">
        <v>320</v>
      </c>
      <c r="AC353" t="s">
        <v>1392</v>
      </c>
      <c r="AD353" t="s">
        <v>61</v>
      </c>
      <c r="AE353" t="s">
        <v>62</v>
      </c>
      <c r="AF353" t="s">
        <v>321</v>
      </c>
      <c r="AG353" t="s">
        <v>322</v>
      </c>
      <c r="AH353" t="s">
        <v>322</v>
      </c>
      <c r="AI353" t="s">
        <v>23</v>
      </c>
      <c r="AJ353" t="s">
        <v>323</v>
      </c>
      <c r="AK353" t="s">
        <v>324</v>
      </c>
      <c r="AL353" t="s">
        <v>1451</v>
      </c>
      <c r="AM353" t="s">
        <v>1452</v>
      </c>
      <c r="AN353" t="s">
        <v>118</v>
      </c>
      <c r="AO353" t="s">
        <v>71</v>
      </c>
      <c r="AP353" t="s">
        <v>1367</v>
      </c>
      <c r="AQ353" t="s">
        <v>1368</v>
      </c>
      <c r="AR353" t="s">
        <v>1369</v>
      </c>
    </row>
    <row r="354" spans="1:44" x14ac:dyDescent="0.25">
      <c r="A354" t="s">
        <v>311</v>
      </c>
      <c r="B354" t="s">
        <v>1455</v>
      </c>
      <c r="C354" t="s">
        <v>44</v>
      </c>
      <c r="D354" t="s">
        <v>1359</v>
      </c>
      <c r="E354" t="s">
        <v>1360</v>
      </c>
      <c r="F354" t="s">
        <v>1361</v>
      </c>
      <c r="G354" t="s">
        <v>1362</v>
      </c>
      <c r="H354" t="s">
        <v>49</v>
      </c>
      <c r="I354" t="s">
        <v>50</v>
      </c>
      <c r="J354" t="s">
        <v>1456</v>
      </c>
      <c r="K354" t="s">
        <v>1457</v>
      </c>
      <c r="L354" t="s">
        <v>1458</v>
      </c>
      <c r="M354" t="s">
        <v>23</v>
      </c>
      <c r="N354" t="s">
        <v>92</v>
      </c>
      <c r="O354" t="s">
        <v>361</v>
      </c>
      <c r="P354" t="s">
        <v>93</v>
      </c>
      <c r="Q354" t="s">
        <v>1242</v>
      </c>
      <c r="R354" s="3">
        <v>7.4999999999999997E-2</v>
      </c>
      <c r="S354" t="s">
        <v>23</v>
      </c>
      <c r="T354" t="s">
        <v>23</v>
      </c>
      <c r="U354" t="s">
        <v>23</v>
      </c>
      <c r="V354" t="s">
        <v>23</v>
      </c>
      <c r="W354" s="3">
        <v>7.4999999999999997E-2</v>
      </c>
      <c r="X354" s="3">
        <v>0</v>
      </c>
      <c r="Y354" s="3">
        <v>16.989999999999998</v>
      </c>
      <c r="Z354" t="s">
        <v>23</v>
      </c>
      <c r="AA354" t="s">
        <v>1445</v>
      </c>
      <c r="AB354" t="s">
        <v>320</v>
      </c>
      <c r="AC354" t="s">
        <v>1392</v>
      </c>
      <c r="AD354" t="s">
        <v>61</v>
      </c>
      <c r="AE354" t="s">
        <v>62</v>
      </c>
      <c r="AF354" t="s">
        <v>321</v>
      </c>
      <c r="AG354" t="s">
        <v>322</v>
      </c>
      <c r="AH354" t="s">
        <v>322</v>
      </c>
      <c r="AI354" t="s">
        <v>23</v>
      </c>
      <c r="AJ354" t="s">
        <v>1459</v>
      </c>
      <c r="AK354" t="s">
        <v>1460</v>
      </c>
      <c r="AL354" t="s">
        <v>1461</v>
      </c>
      <c r="AM354" t="s">
        <v>1462</v>
      </c>
      <c r="AN354" t="s">
        <v>118</v>
      </c>
      <c r="AO354" t="s">
        <v>71</v>
      </c>
      <c r="AP354" t="s">
        <v>1367</v>
      </c>
      <c r="AQ354" t="s">
        <v>1368</v>
      </c>
      <c r="AR354" t="s">
        <v>1369</v>
      </c>
    </row>
    <row r="355" spans="1:44" x14ac:dyDescent="0.25">
      <c r="A355" t="s">
        <v>311</v>
      </c>
      <c r="B355" t="s">
        <v>1463</v>
      </c>
      <c r="C355" t="s">
        <v>44</v>
      </c>
      <c r="D355" t="s">
        <v>1359</v>
      </c>
      <c r="E355" t="s">
        <v>1360</v>
      </c>
      <c r="F355" t="s">
        <v>1361</v>
      </c>
      <c r="G355" t="s">
        <v>1362</v>
      </c>
      <c r="H355" t="s">
        <v>49</v>
      </c>
      <c r="I355" t="s">
        <v>50</v>
      </c>
      <c r="J355" t="s">
        <v>1275</v>
      </c>
      <c r="K355" t="s">
        <v>1276</v>
      </c>
      <c r="L355" t="s">
        <v>1277</v>
      </c>
      <c r="M355" t="s">
        <v>23</v>
      </c>
      <c r="N355" t="s">
        <v>54</v>
      </c>
      <c r="O355" t="s">
        <v>55</v>
      </c>
      <c r="P355" t="s">
        <v>1279</v>
      </c>
      <c r="Q355" t="s">
        <v>1464</v>
      </c>
      <c r="R355" s="3">
        <v>0.19600000000000001</v>
      </c>
      <c r="S355" t="s">
        <v>23</v>
      </c>
      <c r="T355" t="s">
        <v>23</v>
      </c>
      <c r="U355" t="s">
        <v>23</v>
      </c>
      <c r="V355" t="s">
        <v>23</v>
      </c>
      <c r="W355" s="3">
        <v>0.20799999999999999</v>
      </c>
      <c r="X355" s="3">
        <v>0</v>
      </c>
      <c r="Y355" s="3">
        <v>16.989999999999998</v>
      </c>
      <c r="Z355" t="s">
        <v>23</v>
      </c>
      <c r="AA355" t="s">
        <v>1445</v>
      </c>
      <c r="AB355" t="s">
        <v>320</v>
      </c>
      <c r="AC355" t="s">
        <v>1441</v>
      </c>
      <c r="AD355" t="s">
        <v>61</v>
      </c>
      <c r="AE355" t="s">
        <v>62</v>
      </c>
      <c r="AF355" t="s">
        <v>321</v>
      </c>
      <c r="AG355" t="s">
        <v>322</v>
      </c>
      <c r="AH355" t="s">
        <v>322</v>
      </c>
      <c r="AI355" t="s">
        <v>98</v>
      </c>
      <c r="AJ355" t="s">
        <v>323</v>
      </c>
      <c r="AK355" t="s">
        <v>324</v>
      </c>
      <c r="AL355" t="s">
        <v>1465</v>
      </c>
      <c r="AM355" t="s">
        <v>1466</v>
      </c>
      <c r="AN355" t="s">
        <v>118</v>
      </c>
      <c r="AO355" t="s">
        <v>71</v>
      </c>
      <c r="AP355" t="s">
        <v>1367</v>
      </c>
      <c r="AQ355" t="s">
        <v>1368</v>
      </c>
      <c r="AR355" t="s">
        <v>1369</v>
      </c>
    </row>
    <row r="356" spans="1:44" x14ac:dyDescent="0.25">
      <c r="A356" t="s">
        <v>311</v>
      </c>
      <c r="B356" t="s">
        <v>1463</v>
      </c>
      <c r="C356" t="s">
        <v>44</v>
      </c>
      <c r="D356" t="s">
        <v>1359</v>
      </c>
      <c r="E356" t="s">
        <v>1360</v>
      </c>
      <c r="F356" t="s">
        <v>1361</v>
      </c>
      <c r="G356" t="s">
        <v>1362</v>
      </c>
      <c r="H356" t="s">
        <v>49</v>
      </c>
      <c r="I356" t="s">
        <v>50</v>
      </c>
      <c r="J356" t="s">
        <v>1467</v>
      </c>
      <c r="K356" t="s">
        <v>1468</v>
      </c>
      <c r="L356" t="s">
        <v>1469</v>
      </c>
      <c r="M356" t="s">
        <v>23</v>
      </c>
      <c r="N356" t="s">
        <v>54</v>
      </c>
      <c r="O356" t="s">
        <v>96</v>
      </c>
      <c r="P356" t="s">
        <v>196</v>
      </c>
      <c r="Q356" t="s">
        <v>196</v>
      </c>
      <c r="R356" s="3">
        <v>1.2E-2</v>
      </c>
      <c r="S356" t="s">
        <v>23</v>
      </c>
      <c r="T356" t="s">
        <v>23</v>
      </c>
      <c r="U356" t="s">
        <v>23</v>
      </c>
      <c r="V356" t="s">
        <v>23</v>
      </c>
      <c r="W356" s="3">
        <v>0</v>
      </c>
      <c r="X356" s="3">
        <v>0</v>
      </c>
      <c r="Y356" s="3">
        <v>16.989999999999998</v>
      </c>
      <c r="Z356" t="s">
        <v>23</v>
      </c>
      <c r="AA356" t="s">
        <v>1445</v>
      </c>
      <c r="AB356" t="s">
        <v>320</v>
      </c>
      <c r="AC356" t="s">
        <v>1441</v>
      </c>
      <c r="AD356" t="s">
        <v>61</v>
      </c>
      <c r="AE356" t="s">
        <v>62</v>
      </c>
      <c r="AF356" t="s">
        <v>321</v>
      </c>
      <c r="AG356" t="s">
        <v>322</v>
      </c>
      <c r="AH356" t="s">
        <v>322</v>
      </c>
      <c r="AI356" t="s">
        <v>98</v>
      </c>
      <c r="AJ356" t="s">
        <v>323</v>
      </c>
      <c r="AK356" t="s">
        <v>324</v>
      </c>
      <c r="AL356" t="s">
        <v>1465</v>
      </c>
      <c r="AM356" t="s">
        <v>1466</v>
      </c>
      <c r="AN356" t="s">
        <v>118</v>
      </c>
      <c r="AO356" t="s">
        <v>71</v>
      </c>
      <c r="AP356" t="s">
        <v>1367</v>
      </c>
      <c r="AQ356" t="s">
        <v>1368</v>
      </c>
      <c r="AR356" t="s">
        <v>1369</v>
      </c>
    </row>
    <row r="357" spans="1:44" x14ac:dyDescent="0.25">
      <c r="R357" s="7">
        <f>SUM(R309:R356)</f>
        <v>16.990000000000002</v>
      </c>
      <c r="S357" s="7">
        <f t="shared" ref="S357:W357" si="2">SUM(S309:S356)</f>
        <v>13.061</v>
      </c>
      <c r="T357" s="3"/>
      <c r="U357" s="3">
        <f t="shared" si="2"/>
        <v>0.317</v>
      </c>
      <c r="V357" s="3">
        <f t="shared" si="2"/>
        <v>0.28299999999999997</v>
      </c>
      <c r="W357" s="3">
        <f t="shared" si="2"/>
        <v>3.3290000000000002</v>
      </c>
      <c r="X357" s="3">
        <f>SUM(S357:W357)</f>
        <v>16.989999999999998</v>
      </c>
    </row>
  </sheetData>
  <autoFilter ref="A2:AR2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AFFE-9E3A-4B27-A3BD-7A36502E1847}">
  <dimension ref="A2:BP69"/>
  <sheetViews>
    <sheetView workbookViewId="0">
      <pane xSplit="5" ySplit="2" topLeftCell="I3" activePane="bottomRight" state="frozen"/>
      <selection pane="topRight" activeCell="F1" sqref="F1"/>
      <selection pane="bottomLeft" activeCell="A3" sqref="A3"/>
      <selection pane="bottomRight" activeCell="AD20" sqref="AD20:AE20"/>
    </sheetView>
  </sheetViews>
  <sheetFormatPr defaultRowHeight="15" x14ac:dyDescent="0.25"/>
  <cols>
    <col min="1" max="1" width="15" style="9" customWidth="1"/>
    <col min="2" max="2" width="12" style="18" customWidth="1"/>
    <col min="3" max="3" width="12" style="21" customWidth="1"/>
    <col min="4" max="4" width="18" style="9" customWidth="1"/>
    <col min="5" max="9" width="15" style="9" customWidth="1"/>
    <col min="10" max="10" width="35" style="9" hidden="1" customWidth="1"/>
    <col min="11" max="11" width="50" style="9" hidden="1" customWidth="1"/>
    <col min="12" max="12" width="15" style="9" customWidth="1"/>
    <col min="13" max="13" width="12" style="9" customWidth="1"/>
    <col min="14" max="14" width="15" style="9" hidden="1" customWidth="1"/>
    <col min="15" max="16" width="35" style="9" hidden="1" customWidth="1"/>
    <col min="17" max="17" width="20" style="9" hidden="1" customWidth="1"/>
    <col min="18" max="18" width="10" style="9" hidden="1" customWidth="1"/>
    <col min="19" max="19" width="22" style="9" hidden="1" customWidth="1"/>
    <col min="20" max="20" width="18" style="9" hidden="1" customWidth="1"/>
    <col min="21" max="21" width="20" style="9" hidden="1" customWidth="1"/>
    <col min="22" max="22" width="10" style="9" customWidth="1"/>
    <col min="23" max="31" width="14" style="9" customWidth="1"/>
    <col min="32" max="37" width="14" style="9" hidden="1" customWidth="1"/>
    <col min="38" max="38" width="12" style="9" customWidth="1"/>
    <col min="39" max="43" width="10" style="9" customWidth="1"/>
    <col min="44" max="45" width="12" style="9" customWidth="1"/>
    <col min="46" max="46" width="7.42578125" style="9" customWidth="1"/>
    <col min="47" max="47" width="13.28515625" style="9" customWidth="1"/>
    <col min="48" max="48" width="15" style="9" customWidth="1"/>
    <col min="49" max="49" width="35" style="9" customWidth="1"/>
    <col min="50" max="51" width="12" style="9" customWidth="1"/>
    <col min="52" max="52" width="10" style="9" customWidth="1"/>
    <col min="53" max="54" width="12" style="9" customWidth="1"/>
    <col min="55" max="55" width="20" style="9" customWidth="1"/>
    <col min="56" max="56" width="12" style="9" customWidth="1"/>
    <col min="57" max="57" width="25" style="9" customWidth="1"/>
    <col min="58" max="59" width="18" style="9" customWidth="1"/>
    <col min="60" max="61" width="12" style="9" customWidth="1"/>
    <col min="62" max="63" width="20" style="9" customWidth="1"/>
    <col min="64" max="64" width="30" style="9" customWidth="1"/>
    <col min="65" max="16384" width="9.140625" style="9"/>
  </cols>
  <sheetData>
    <row r="2" spans="1:65" ht="31.5" x14ac:dyDescent="0.25">
      <c r="A2" s="15" t="s">
        <v>0</v>
      </c>
      <c r="B2" s="16" t="s">
        <v>1</v>
      </c>
      <c r="C2" s="17" t="s">
        <v>2</v>
      </c>
      <c r="D2" s="26" t="s">
        <v>1539</v>
      </c>
      <c r="E2" s="15" t="s">
        <v>4</v>
      </c>
      <c r="F2" s="22" t="s">
        <v>1535</v>
      </c>
      <c r="G2" s="23" t="s">
        <v>1536</v>
      </c>
      <c r="H2" s="24" t="s">
        <v>1537</v>
      </c>
      <c r="I2" s="25" t="s">
        <v>1538</v>
      </c>
      <c r="J2" s="15" t="s">
        <v>5</v>
      </c>
      <c r="K2" s="15" t="s">
        <v>6</v>
      </c>
      <c r="L2" s="15" t="s">
        <v>7</v>
      </c>
      <c r="M2" s="15" t="s">
        <v>8</v>
      </c>
      <c r="N2" s="15" t="s">
        <v>9</v>
      </c>
      <c r="O2" s="15" t="s">
        <v>10</v>
      </c>
      <c r="P2" s="15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29" t="s">
        <v>1552</v>
      </c>
      <c r="W2" s="30" t="s">
        <v>1553</v>
      </c>
      <c r="X2" s="30" t="s">
        <v>1554</v>
      </c>
      <c r="Y2" s="31" t="s">
        <v>1555</v>
      </c>
      <c r="Z2" s="32" t="s">
        <v>1556</v>
      </c>
      <c r="AA2" s="33" t="s">
        <v>1557</v>
      </c>
      <c r="AB2" s="33" t="s">
        <v>1558</v>
      </c>
      <c r="AC2" s="33" t="s">
        <v>1559</v>
      </c>
      <c r="AD2" s="33" t="s">
        <v>1560</v>
      </c>
      <c r="AE2" s="33" t="s">
        <v>1561</v>
      </c>
      <c r="AF2" s="33"/>
      <c r="AG2" s="33"/>
      <c r="AH2" s="34" t="s">
        <v>1562</v>
      </c>
      <c r="AI2" s="34" t="s">
        <v>1563</v>
      </c>
      <c r="AJ2" s="35" t="s">
        <v>1564</v>
      </c>
      <c r="AK2" s="36" t="s">
        <v>1565</v>
      </c>
      <c r="AL2" s="37" t="s">
        <v>1566</v>
      </c>
      <c r="AM2" s="6" t="s">
        <v>18</v>
      </c>
      <c r="AN2" s="6" t="s">
        <v>19</v>
      </c>
      <c r="AO2" s="6" t="s">
        <v>20</v>
      </c>
      <c r="AP2" s="6" t="s">
        <v>21</v>
      </c>
      <c r="AQ2" s="6" t="s">
        <v>22</v>
      </c>
      <c r="AR2" s="6" t="s">
        <v>1470</v>
      </c>
      <c r="AS2" s="15" t="s">
        <v>23</v>
      </c>
      <c r="AT2" s="15" t="s">
        <v>24</v>
      </c>
      <c r="AU2" s="15" t="s">
        <v>25</v>
      </c>
      <c r="AV2" s="15" t="s">
        <v>26</v>
      </c>
      <c r="AW2" s="15" t="s">
        <v>27</v>
      </c>
      <c r="AX2" s="15" t="s">
        <v>28</v>
      </c>
      <c r="AY2" s="15" t="s">
        <v>29</v>
      </c>
      <c r="AZ2" s="15" t="s">
        <v>30</v>
      </c>
      <c r="BA2" s="15" t="s">
        <v>31</v>
      </c>
      <c r="BB2" s="15" t="s">
        <v>32</v>
      </c>
      <c r="BC2" s="15" t="s">
        <v>33</v>
      </c>
      <c r="BD2" s="15" t="s">
        <v>34</v>
      </c>
      <c r="BE2" s="15" t="s">
        <v>35</v>
      </c>
      <c r="BF2" s="15" t="s">
        <v>36</v>
      </c>
      <c r="BG2" s="15" t="s">
        <v>37</v>
      </c>
      <c r="BH2" s="15" t="s">
        <v>38</v>
      </c>
      <c r="BI2" s="15" t="s">
        <v>39</v>
      </c>
      <c r="BJ2" s="15" t="s">
        <v>40</v>
      </c>
      <c r="BK2" s="15" t="s">
        <v>41</v>
      </c>
      <c r="BL2" s="15" t="s">
        <v>42</v>
      </c>
    </row>
    <row r="3" spans="1:65" ht="15.75" x14ac:dyDescent="0.25">
      <c r="A3" s="9" t="s">
        <v>363</v>
      </c>
      <c r="B3" s="18" t="s">
        <v>364</v>
      </c>
      <c r="C3" s="19">
        <v>46203</v>
      </c>
      <c r="D3" s="9" t="s">
        <v>290</v>
      </c>
      <c r="E3" s="9" t="s">
        <v>291</v>
      </c>
      <c r="F3" s="27" t="s">
        <v>1548</v>
      </c>
      <c r="G3" s="28" t="s">
        <v>304</v>
      </c>
      <c r="H3" s="28" t="s">
        <v>1541</v>
      </c>
      <c r="I3" s="9" t="str">
        <f t="shared" ref="I3:I18" si="0">G3&amp;", ("&amp;L3&amp;"), xe "&amp;D3</f>
        <v>TP. Hồ Chí Minh - Phú Thuận, (Pallet), xe 50E 65434</v>
      </c>
      <c r="J3" s="9" t="s">
        <v>292</v>
      </c>
      <c r="K3" s="9" t="s">
        <v>293</v>
      </c>
      <c r="L3" s="9" t="s">
        <v>294</v>
      </c>
      <c r="M3" s="9" t="s">
        <v>50</v>
      </c>
      <c r="N3" s="9" t="s">
        <v>365</v>
      </c>
      <c r="O3" s="9" t="s">
        <v>366</v>
      </c>
      <c r="P3" s="9" t="s">
        <v>367</v>
      </c>
      <c r="Q3" s="9" t="s">
        <v>298</v>
      </c>
      <c r="R3" s="9" t="s">
        <v>54</v>
      </c>
      <c r="S3" s="9" t="s">
        <v>197</v>
      </c>
      <c r="T3" s="9" t="s">
        <v>106</v>
      </c>
      <c r="U3" s="9" t="s">
        <v>349</v>
      </c>
      <c r="V3" s="8">
        <f t="shared" ref="V3:V10" si="1">ROUND(U3/1000,3)</f>
        <v>0.6</v>
      </c>
      <c r="W3" s="9">
        <f t="shared" ref="W3:W10" si="2">(IF($B3=$B2,0,SUMIF($B:$B,$B3,$V:$V)))</f>
        <v>2.1720000000000002</v>
      </c>
      <c r="X3" s="9">
        <f t="shared" ref="X3:X10" si="3">+IF(AND(D3=D2,C3=C2),0,SUMIFS($V:$V,$C:$C,$C3,$D:$D,$D3))</f>
        <v>2.2320000000000002</v>
      </c>
      <c r="Y3" s="20">
        <f>AL3</f>
        <v>8.3970000000000002</v>
      </c>
      <c r="Z3" s="38">
        <v>309000</v>
      </c>
      <c r="AD3" s="39">
        <f>ROUND(X3*SUM(Z3:AB3),0)</f>
        <v>689688</v>
      </c>
      <c r="AE3" s="39">
        <f>ROUND(X3*Z3,0)</f>
        <v>689688</v>
      </c>
      <c r="AH3" s="9" t="s">
        <v>20</v>
      </c>
      <c r="AI3" s="9" t="s">
        <v>1569</v>
      </c>
      <c r="AL3" s="20">
        <f>SUM(AM3:AR3)</f>
        <v>8.3970000000000002</v>
      </c>
      <c r="AM3" s="9">
        <v>2.673</v>
      </c>
      <c r="AO3" s="20">
        <v>2.2320000000000002</v>
      </c>
      <c r="AQ3" s="9">
        <v>3.492</v>
      </c>
      <c r="AR3" s="20"/>
      <c r="AS3" s="20">
        <v>8.3970000000000002</v>
      </c>
      <c r="AT3" s="9" t="s">
        <v>368</v>
      </c>
      <c r="AU3" s="9" t="s">
        <v>369</v>
      </c>
      <c r="AV3" s="9" t="s">
        <v>320</v>
      </c>
      <c r="AW3" s="9" t="s">
        <v>300</v>
      </c>
      <c r="AX3" s="9" t="s">
        <v>61</v>
      </c>
      <c r="AY3" s="9" t="s">
        <v>62</v>
      </c>
      <c r="AZ3" s="9" t="s">
        <v>370</v>
      </c>
      <c r="BA3" s="9" t="s">
        <v>371</v>
      </c>
      <c r="BB3" s="9" t="s">
        <v>372</v>
      </c>
      <c r="BC3" s="9" t="s">
        <v>23</v>
      </c>
      <c r="BD3" s="9" t="s">
        <v>373</v>
      </c>
      <c r="BE3" s="9" t="s">
        <v>374</v>
      </c>
      <c r="BF3" s="9" t="s">
        <v>375</v>
      </c>
      <c r="BG3" s="9" t="s">
        <v>376</v>
      </c>
      <c r="BH3" s="9" t="s">
        <v>118</v>
      </c>
      <c r="BI3" s="9" t="s">
        <v>71</v>
      </c>
      <c r="BJ3" s="9" t="s">
        <v>303</v>
      </c>
      <c r="BK3" s="9" t="s">
        <v>377</v>
      </c>
      <c r="BL3" s="9" t="s">
        <v>378</v>
      </c>
    </row>
    <row r="4" spans="1:65" ht="15.75" x14ac:dyDescent="0.25">
      <c r="A4" s="9" t="s">
        <v>363</v>
      </c>
      <c r="B4" s="18" t="s">
        <v>364</v>
      </c>
      <c r="C4" s="19">
        <v>46203</v>
      </c>
      <c r="D4" s="9" t="s">
        <v>290</v>
      </c>
      <c r="E4" s="9" t="s">
        <v>291</v>
      </c>
      <c r="F4" s="27" t="s">
        <v>1548</v>
      </c>
      <c r="G4" s="28" t="s">
        <v>304</v>
      </c>
      <c r="H4" s="28" t="s">
        <v>1541</v>
      </c>
      <c r="I4" s="9" t="str">
        <f t="shared" si="0"/>
        <v>TP. Hồ Chí Minh - Phú Thuận, (Pallet), xe 50E 65434</v>
      </c>
      <c r="J4" s="9" t="s">
        <v>292</v>
      </c>
      <c r="K4" s="9" t="s">
        <v>293</v>
      </c>
      <c r="L4" s="9" t="s">
        <v>294</v>
      </c>
      <c r="M4" s="9" t="s">
        <v>50</v>
      </c>
      <c r="N4" s="9" t="s">
        <v>379</v>
      </c>
      <c r="O4" s="9" t="s">
        <v>380</v>
      </c>
      <c r="P4" s="9" t="s">
        <v>381</v>
      </c>
      <c r="Q4" s="9" t="s">
        <v>298</v>
      </c>
      <c r="R4" s="9" t="s">
        <v>54</v>
      </c>
      <c r="S4" s="9" t="s">
        <v>148</v>
      </c>
      <c r="T4" s="9" t="s">
        <v>382</v>
      </c>
      <c r="U4" s="9" t="s">
        <v>383</v>
      </c>
      <c r="V4" s="8">
        <f t="shared" si="1"/>
        <v>0.216</v>
      </c>
      <c r="W4" s="9">
        <f t="shared" si="2"/>
        <v>0</v>
      </c>
      <c r="X4" s="9">
        <f t="shared" si="3"/>
        <v>0</v>
      </c>
      <c r="AH4" s="9" t="s">
        <v>20</v>
      </c>
      <c r="AI4" s="9" t="s">
        <v>1569</v>
      </c>
      <c r="AL4" s="9" t="s">
        <v>23</v>
      </c>
      <c r="AM4" s="9" t="s">
        <v>23</v>
      </c>
      <c r="AN4" s="9" t="s">
        <v>23</v>
      </c>
      <c r="AO4" s="9" t="s">
        <v>23</v>
      </c>
      <c r="AP4" s="9" t="s">
        <v>23</v>
      </c>
      <c r="AQ4" s="9" t="s">
        <v>23</v>
      </c>
      <c r="AS4" s="9" t="s">
        <v>23</v>
      </c>
      <c r="AT4" s="9" t="s">
        <v>368</v>
      </c>
      <c r="AU4" s="9" t="s">
        <v>369</v>
      </c>
      <c r="AV4" s="9" t="s">
        <v>320</v>
      </c>
      <c r="AW4" s="9" t="s">
        <v>300</v>
      </c>
      <c r="AX4" s="9" t="s">
        <v>61</v>
      </c>
      <c r="AY4" s="9" t="s">
        <v>62</v>
      </c>
      <c r="AZ4" s="9" t="s">
        <v>370</v>
      </c>
      <c r="BA4" s="9" t="s">
        <v>371</v>
      </c>
      <c r="BB4" s="9" t="s">
        <v>372</v>
      </c>
      <c r="BC4" s="9" t="s">
        <v>23</v>
      </c>
      <c r="BD4" s="9" t="s">
        <v>373</v>
      </c>
      <c r="BE4" s="9" t="s">
        <v>374</v>
      </c>
      <c r="BF4" s="9" t="s">
        <v>375</v>
      </c>
      <c r="BG4" s="9" t="s">
        <v>376</v>
      </c>
      <c r="BH4" s="9" t="s">
        <v>118</v>
      </c>
      <c r="BI4" s="9" t="s">
        <v>71</v>
      </c>
      <c r="BJ4" s="9" t="s">
        <v>303</v>
      </c>
      <c r="BK4" s="9" t="s">
        <v>377</v>
      </c>
      <c r="BL4" s="9" t="s">
        <v>378</v>
      </c>
    </row>
    <row r="5" spans="1:65" ht="15.75" x14ac:dyDescent="0.25">
      <c r="A5" s="9" t="s">
        <v>363</v>
      </c>
      <c r="B5" s="18" t="s">
        <v>364</v>
      </c>
      <c r="C5" s="19">
        <v>46203</v>
      </c>
      <c r="D5" s="9" t="s">
        <v>290</v>
      </c>
      <c r="E5" s="9" t="s">
        <v>291</v>
      </c>
      <c r="F5" s="27" t="s">
        <v>1548</v>
      </c>
      <c r="G5" s="28" t="s">
        <v>304</v>
      </c>
      <c r="H5" s="28" t="s">
        <v>1541</v>
      </c>
      <c r="I5" s="9" t="str">
        <f t="shared" si="0"/>
        <v>TP. Hồ Chí Minh - Phú Thuận, (Pallet), xe 50E 65434</v>
      </c>
      <c r="J5" s="9" t="s">
        <v>292</v>
      </c>
      <c r="K5" s="9" t="s">
        <v>293</v>
      </c>
      <c r="L5" s="9" t="s">
        <v>294</v>
      </c>
      <c r="M5" s="9" t="s">
        <v>50</v>
      </c>
      <c r="N5" s="9" t="s">
        <v>384</v>
      </c>
      <c r="O5" s="9" t="s">
        <v>385</v>
      </c>
      <c r="P5" s="9" t="s">
        <v>386</v>
      </c>
      <c r="Q5" s="9" t="s">
        <v>298</v>
      </c>
      <c r="R5" s="9" t="s">
        <v>54</v>
      </c>
      <c r="S5" s="9" t="s">
        <v>148</v>
      </c>
      <c r="T5" s="9" t="s">
        <v>382</v>
      </c>
      <c r="U5" s="9" t="s">
        <v>383</v>
      </c>
      <c r="V5" s="8">
        <f t="shared" si="1"/>
        <v>0.216</v>
      </c>
      <c r="W5" s="9">
        <f t="shared" si="2"/>
        <v>0</v>
      </c>
      <c r="X5" s="9">
        <f t="shared" si="3"/>
        <v>0</v>
      </c>
      <c r="AH5" s="9" t="s">
        <v>20</v>
      </c>
      <c r="AI5" s="9" t="s">
        <v>1569</v>
      </c>
      <c r="AL5" s="9" t="s">
        <v>23</v>
      </c>
      <c r="AM5" s="9" t="s">
        <v>23</v>
      </c>
      <c r="AN5" s="9" t="s">
        <v>23</v>
      </c>
      <c r="AO5" s="9" t="s">
        <v>23</v>
      </c>
      <c r="AP5" s="9" t="s">
        <v>23</v>
      </c>
      <c r="AQ5" s="9" t="s">
        <v>23</v>
      </c>
      <c r="AS5" s="9" t="s">
        <v>23</v>
      </c>
      <c r="AT5" s="9" t="s">
        <v>368</v>
      </c>
      <c r="AU5" s="9" t="s">
        <v>369</v>
      </c>
      <c r="AV5" s="9" t="s">
        <v>320</v>
      </c>
      <c r="AW5" s="9" t="s">
        <v>300</v>
      </c>
      <c r="AX5" s="9" t="s">
        <v>61</v>
      </c>
      <c r="AY5" s="9" t="s">
        <v>62</v>
      </c>
      <c r="AZ5" s="9" t="s">
        <v>370</v>
      </c>
      <c r="BA5" s="9" t="s">
        <v>371</v>
      </c>
      <c r="BB5" s="9" t="s">
        <v>372</v>
      </c>
      <c r="BC5" s="9" t="s">
        <v>23</v>
      </c>
      <c r="BD5" s="9" t="s">
        <v>373</v>
      </c>
      <c r="BE5" s="9" t="s">
        <v>374</v>
      </c>
      <c r="BF5" s="9" t="s">
        <v>375</v>
      </c>
      <c r="BG5" s="9" t="s">
        <v>376</v>
      </c>
      <c r="BH5" s="9" t="s">
        <v>118</v>
      </c>
      <c r="BI5" s="9" t="s">
        <v>71</v>
      </c>
      <c r="BJ5" s="9" t="s">
        <v>303</v>
      </c>
      <c r="BK5" s="9" t="s">
        <v>377</v>
      </c>
      <c r="BL5" s="9" t="s">
        <v>378</v>
      </c>
    </row>
    <row r="6" spans="1:65" ht="15.75" x14ac:dyDescent="0.25">
      <c r="A6" s="9" t="s">
        <v>363</v>
      </c>
      <c r="B6" s="18" t="s">
        <v>364</v>
      </c>
      <c r="C6" s="19">
        <v>46203</v>
      </c>
      <c r="D6" s="9" t="s">
        <v>290</v>
      </c>
      <c r="E6" s="9" t="s">
        <v>291</v>
      </c>
      <c r="F6" s="27" t="s">
        <v>1548</v>
      </c>
      <c r="G6" s="28" t="s">
        <v>304</v>
      </c>
      <c r="H6" s="28" t="s">
        <v>1541</v>
      </c>
      <c r="I6" s="9" t="str">
        <f t="shared" si="0"/>
        <v>TP. Hồ Chí Minh - Phú Thuận, (Pallet), xe 50E 65434</v>
      </c>
      <c r="J6" s="9" t="s">
        <v>292</v>
      </c>
      <c r="K6" s="9" t="s">
        <v>293</v>
      </c>
      <c r="L6" s="9" t="s">
        <v>294</v>
      </c>
      <c r="M6" s="9" t="s">
        <v>50</v>
      </c>
      <c r="N6" s="9" t="s">
        <v>387</v>
      </c>
      <c r="O6" s="9" t="s">
        <v>388</v>
      </c>
      <c r="P6" s="9" t="s">
        <v>389</v>
      </c>
      <c r="Q6" s="9" t="s">
        <v>298</v>
      </c>
      <c r="R6" s="9" t="s">
        <v>54</v>
      </c>
      <c r="S6" s="9" t="s">
        <v>148</v>
      </c>
      <c r="T6" s="9" t="s">
        <v>382</v>
      </c>
      <c r="U6" s="9" t="s">
        <v>383</v>
      </c>
      <c r="V6" s="8">
        <f t="shared" si="1"/>
        <v>0.216</v>
      </c>
      <c r="W6" s="9">
        <f t="shared" si="2"/>
        <v>0</v>
      </c>
      <c r="X6" s="9">
        <f t="shared" si="3"/>
        <v>0</v>
      </c>
      <c r="AH6" s="9" t="s">
        <v>20</v>
      </c>
      <c r="AI6" s="9" t="s">
        <v>1569</v>
      </c>
      <c r="AL6" s="9" t="s">
        <v>23</v>
      </c>
      <c r="AM6" s="9" t="s">
        <v>23</v>
      </c>
      <c r="AN6" s="9" t="s">
        <v>23</v>
      </c>
      <c r="AO6" s="9" t="s">
        <v>23</v>
      </c>
      <c r="AP6" s="9" t="s">
        <v>23</v>
      </c>
      <c r="AQ6" s="9" t="s">
        <v>23</v>
      </c>
      <c r="AS6" s="9" t="s">
        <v>23</v>
      </c>
      <c r="AT6" s="9" t="s">
        <v>368</v>
      </c>
      <c r="AU6" s="9" t="s">
        <v>369</v>
      </c>
      <c r="AV6" s="9" t="s">
        <v>320</v>
      </c>
      <c r="AW6" s="9" t="s">
        <v>300</v>
      </c>
      <c r="AX6" s="9" t="s">
        <v>61</v>
      </c>
      <c r="AY6" s="9" t="s">
        <v>62</v>
      </c>
      <c r="AZ6" s="9" t="s">
        <v>370</v>
      </c>
      <c r="BA6" s="9" t="s">
        <v>371</v>
      </c>
      <c r="BB6" s="9" t="s">
        <v>372</v>
      </c>
      <c r="BC6" s="9" t="s">
        <v>23</v>
      </c>
      <c r="BD6" s="9" t="s">
        <v>373</v>
      </c>
      <c r="BE6" s="9" t="s">
        <v>374</v>
      </c>
      <c r="BF6" s="9" t="s">
        <v>375</v>
      </c>
      <c r="BG6" s="9" t="s">
        <v>376</v>
      </c>
      <c r="BH6" s="9" t="s">
        <v>118</v>
      </c>
      <c r="BI6" s="9" t="s">
        <v>71</v>
      </c>
      <c r="BJ6" s="9" t="s">
        <v>303</v>
      </c>
      <c r="BK6" s="9" t="s">
        <v>377</v>
      </c>
      <c r="BL6" s="9" t="s">
        <v>378</v>
      </c>
    </row>
    <row r="7" spans="1:65" ht="15.75" x14ac:dyDescent="0.25">
      <c r="A7" s="9" t="s">
        <v>363</v>
      </c>
      <c r="B7" s="18" t="s">
        <v>364</v>
      </c>
      <c r="C7" s="19">
        <v>46203</v>
      </c>
      <c r="D7" s="9" t="s">
        <v>290</v>
      </c>
      <c r="E7" s="9" t="s">
        <v>291</v>
      </c>
      <c r="F7" s="27" t="s">
        <v>1548</v>
      </c>
      <c r="G7" s="28" t="s">
        <v>304</v>
      </c>
      <c r="H7" s="28" t="s">
        <v>1541</v>
      </c>
      <c r="I7" s="9" t="str">
        <f t="shared" si="0"/>
        <v>TP. Hồ Chí Minh - Phú Thuận, (Pallet), xe 50E 65434</v>
      </c>
      <c r="J7" s="9" t="s">
        <v>292</v>
      </c>
      <c r="K7" s="9" t="s">
        <v>293</v>
      </c>
      <c r="L7" s="9" t="s">
        <v>294</v>
      </c>
      <c r="M7" s="9" t="s">
        <v>50</v>
      </c>
      <c r="N7" s="9" t="s">
        <v>390</v>
      </c>
      <c r="O7" s="9" t="s">
        <v>391</v>
      </c>
      <c r="P7" s="9" t="s">
        <v>392</v>
      </c>
      <c r="Q7" s="9" t="s">
        <v>298</v>
      </c>
      <c r="R7" s="9" t="s">
        <v>54</v>
      </c>
      <c r="S7" s="9" t="s">
        <v>393</v>
      </c>
      <c r="T7" s="9" t="s">
        <v>76</v>
      </c>
      <c r="U7" s="9" t="s">
        <v>394</v>
      </c>
      <c r="V7" s="8">
        <f t="shared" si="1"/>
        <v>0.38400000000000001</v>
      </c>
      <c r="W7" s="9">
        <f t="shared" si="2"/>
        <v>0</v>
      </c>
      <c r="X7" s="9">
        <f t="shared" si="3"/>
        <v>0</v>
      </c>
      <c r="AH7" s="9" t="s">
        <v>20</v>
      </c>
      <c r="AI7" s="9" t="s">
        <v>1569</v>
      </c>
      <c r="AL7" s="9" t="s">
        <v>23</v>
      </c>
      <c r="AM7" s="9" t="s">
        <v>23</v>
      </c>
      <c r="AN7" s="9" t="s">
        <v>23</v>
      </c>
      <c r="AO7" s="9" t="s">
        <v>23</v>
      </c>
      <c r="AP7" s="9" t="s">
        <v>23</v>
      </c>
      <c r="AQ7" s="9" t="s">
        <v>23</v>
      </c>
      <c r="AS7" s="9" t="s">
        <v>23</v>
      </c>
      <c r="AT7" s="9" t="s">
        <v>368</v>
      </c>
      <c r="AU7" s="9" t="s">
        <v>369</v>
      </c>
      <c r="AV7" s="9" t="s">
        <v>320</v>
      </c>
      <c r="AW7" s="9" t="s">
        <v>300</v>
      </c>
      <c r="AX7" s="9" t="s">
        <v>61</v>
      </c>
      <c r="AY7" s="9" t="s">
        <v>62</v>
      </c>
      <c r="AZ7" s="9" t="s">
        <v>370</v>
      </c>
      <c r="BA7" s="9" t="s">
        <v>371</v>
      </c>
      <c r="BB7" s="9" t="s">
        <v>372</v>
      </c>
      <c r="BC7" s="9" t="s">
        <v>23</v>
      </c>
      <c r="BD7" s="9" t="s">
        <v>373</v>
      </c>
      <c r="BE7" s="9" t="s">
        <v>374</v>
      </c>
      <c r="BF7" s="9" t="s">
        <v>375</v>
      </c>
      <c r="BG7" s="9" t="s">
        <v>376</v>
      </c>
      <c r="BH7" s="9" t="s">
        <v>118</v>
      </c>
      <c r="BI7" s="9" t="s">
        <v>71</v>
      </c>
      <c r="BJ7" s="9" t="s">
        <v>303</v>
      </c>
      <c r="BK7" s="9" t="s">
        <v>377</v>
      </c>
      <c r="BL7" s="9" t="s">
        <v>378</v>
      </c>
    </row>
    <row r="8" spans="1:65" ht="15.75" x14ac:dyDescent="0.25">
      <c r="A8" s="9" t="s">
        <v>363</v>
      </c>
      <c r="B8" s="18" t="s">
        <v>364</v>
      </c>
      <c r="C8" s="19">
        <v>46203</v>
      </c>
      <c r="D8" s="9" t="s">
        <v>290</v>
      </c>
      <c r="E8" s="9" t="s">
        <v>291</v>
      </c>
      <c r="F8" s="27" t="s">
        <v>1548</v>
      </c>
      <c r="G8" s="28" t="s">
        <v>304</v>
      </c>
      <c r="H8" s="28" t="s">
        <v>1541</v>
      </c>
      <c r="I8" s="9" t="str">
        <f t="shared" si="0"/>
        <v>TP. Hồ Chí Minh - Phú Thuận, (Pallet), xe 50E 65434</v>
      </c>
      <c r="J8" s="9" t="s">
        <v>292</v>
      </c>
      <c r="K8" s="9" t="s">
        <v>293</v>
      </c>
      <c r="L8" s="9" t="s">
        <v>294</v>
      </c>
      <c r="M8" s="9" t="s">
        <v>50</v>
      </c>
      <c r="N8" s="9" t="s">
        <v>395</v>
      </c>
      <c r="O8" s="9" t="s">
        <v>396</v>
      </c>
      <c r="P8" s="9" t="s">
        <v>397</v>
      </c>
      <c r="Q8" s="9" t="s">
        <v>298</v>
      </c>
      <c r="R8" s="9" t="s">
        <v>92</v>
      </c>
      <c r="S8" s="9" t="s">
        <v>398</v>
      </c>
      <c r="T8" s="9" t="s">
        <v>106</v>
      </c>
      <c r="U8" s="9" t="s">
        <v>399</v>
      </c>
      <c r="V8" s="8">
        <f t="shared" si="1"/>
        <v>0.3</v>
      </c>
      <c r="W8" s="9">
        <f t="shared" si="2"/>
        <v>0</v>
      </c>
      <c r="X8" s="9">
        <f t="shared" si="3"/>
        <v>0</v>
      </c>
      <c r="AH8" s="9" t="s">
        <v>20</v>
      </c>
      <c r="AI8" s="9" t="s">
        <v>1569</v>
      </c>
      <c r="AL8" s="9" t="s">
        <v>23</v>
      </c>
      <c r="AM8" s="9" t="s">
        <v>23</v>
      </c>
      <c r="AN8" s="9" t="s">
        <v>23</v>
      </c>
      <c r="AO8" s="9" t="s">
        <v>23</v>
      </c>
      <c r="AP8" s="9" t="s">
        <v>23</v>
      </c>
      <c r="AQ8" s="9" t="s">
        <v>23</v>
      </c>
      <c r="AS8" s="9" t="s">
        <v>23</v>
      </c>
      <c r="AT8" s="9" t="s">
        <v>368</v>
      </c>
      <c r="AU8" s="9" t="s">
        <v>369</v>
      </c>
      <c r="AV8" s="9" t="s">
        <v>320</v>
      </c>
      <c r="AW8" s="9" t="s">
        <v>300</v>
      </c>
      <c r="AX8" s="9" t="s">
        <v>61</v>
      </c>
      <c r="AY8" s="9" t="s">
        <v>62</v>
      </c>
      <c r="AZ8" s="9" t="s">
        <v>370</v>
      </c>
      <c r="BA8" s="9" t="s">
        <v>371</v>
      </c>
      <c r="BB8" s="9" t="s">
        <v>372</v>
      </c>
      <c r="BC8" s="9" t="s">
        <v>23</v>
      </c>
      <c r="BD8" s="9" t="s">
        <v>373</v>
      </c>
      <c r="BE8" s="9" t="s">
        <v>374</v>
      </c>
      <c r="BF8" s="9" t="s">
        <v>375</v>
      </c>
      <c r="BG8" s="9" t="s">
        <v>376</v>
      </c>
      <c r="BH8" s="9" t="s">
        <v>118</v>
      </c>
      <c r="BI8" s="9" t="s">
        <v>71</v>
      </c>
      <c r="BJ8" s="9" t="s">
        <v>303</v>
      </c>
      <c r="BK8" s="9" t="s">
        <v>377</v>
      </c>
      <c r="BL8" s="9" t="s">
        <v>378</v>
      </c>
    </row>
    <row r="9" spans="1:65" ht="15.75" x14ac:dyDescent="0.25">
      <c r="A9" s="9" t="s">
        <v>363</v>
      </c>
      <c r="B9" s="18" t="s">
        <v>364</v>
      </c>
      <c r="C9" s="19">
        <v>46203</v>
      </c>
      <c r="D9" s="9" t="s">
        <v>290</v>
      </c>
      <c r="E9" s="9" t="s">
        <v>291</v>
      </c>
      <c r="F9" s="27" t="s">
        <v>1548</v>
      </c>
      <c r="G9" s="28" t="s">
        <v>304</v>
      </c>
      <c r="H9" s="28" t="s">
        <v>1541</v>
      </c>
      <c r="I9" s="9" t="str">
        <f t="shared" si="0"/>
        <v>TP. Hồ Chí Minh - Phú Thuận, (Pallet), xe 50E 65434</v>
      </c>
      <c r="J9" s="9" t="s">
        <v>292</v>
      </c>
      <c r="K9" s="9" t="s">
        <v>293</v>
      </c>
      <c r="L9" s="9" t="s">
        <v>294</v>
      </c>
      <c r="M9" s="9" t="s">
        <v>50</v>
      </c>
      <c r="N9" s="9" t="s">
        <v>400</v>
      </c>
      <c r="O9" s="9" t="s">
        <v>401</v>
      </c>
      <c r="P9" s="9" t="s">
        <v>402</v>
      </c>
      <c r="Q9" s="9" t="s">
        <v>298</v>
      </c>
      <c r="R9" s="9" t="s">
        <v>54</v>
      </c>
      <c r="S9" s="9" t="s">
        <v>94</v>
      </c>
      <c r="T9" s="9" t="s">
        <v>76</v>
      </c>
      <c r="U9" s="9" t="s">
        <v>403</v>
      </c>
      <c r="V9" s="8">
        <f t="shared" si="1"/>
        <v>0.24</v>
      </c>
      <c r="W9" s="9">
        <f t="shared" si="2"/>
        <v>0</v>
      </c>
      <c r="X9" s="9">
        <f t="shared" si="3"/>
        <v>0</v>
      </c>
      <c r="AH9" s="9" t="s">
        <v>20</v>
      </c>
      <c r="AI9" s="9" t="s">
        <v>1569</v>
      </c>
      <c r="AL9" s="9" t="s">
        <v>23</v>
      </c>
      <c r="AM9" s="9" t="s">
        <v>23</v>
      </c>
      <c r="AN9" s="9" t="s">
        <v>23</v>
      </c>
      <c r="AO9" s="9" t="s">
        <v>23</v>
      </c>
      <c r="AP9" s="9" t="s">
        <v>23</v>
      </c>
      <c r="AQ9" s="9" t="s">
        <v>23</v>
      </c>
      <c r="AS9" s="9" t="s">
        <v>23</v>
      </c>
      <c r="AT9" s="9" t="s">
        <v>368</v>
      </c>
      <c r="AU9" s="9" t="s">
        <v>369</v>
      </c>
      <c r="AV9" s="9" t="s">
        <v>320</v>
      </c>
      <c r="AW9" s="9" t="s">
        <v>300</v>
      </c>
      <c r="AX9" s="9" t="s">
        <v>61</v>
      </c>
      <c r="AY9" s="9" t="s">
        <v>62</v>
      </c>
      <c r="AZ9" s="9" t="s">
        <v>370</v>
      </c>
      <c r="BA9" s="9" t="s">
        <v>371</v>
      </c>
      <c r="BB9" s="9" t="s">
        <v>372</v>
      </c>
      <c r="BC9" s="9" t="s">
        <v>23</v>
      </c>
      <c r="BD9" s="9" t="s">
        <v>404</v>
      </c>
      <c r="BE9" s="9" t="s">
        <v>405</v>
      </c>
      <c r="BF9" s="9" t="s">
        <v>375</v>
      </c>
      <c r="BG9" s="9" t="s">
        <v>376</v>
      </c>
      <c r="BH9" s="9" t="s">
        <v>118</v>
      </c>
      <c r="BI9" s="9" t="s">
        <v>71</v>
      </c>
      <c r="BJ9" s="9" t="s">
        <v>303</v>
      </c>
      <c r="BK9" s="9" t="s">
        <v>377</v>
      </c>
      <c r="BL9" s="9" t="s">
        <v>378</v>
      </c>
    </row>
    <row r="10" spans="1:65" ht="15.75" x14ac:dyDescent="0.25">
      <c r="A10" s="9" t="s">
        <v>363</v>
      </c>
      <c r="B10" s="18" t="s">
        <v>406</v>
      </c>
      <c r="C10" s="19">
        <v>46203</v>
      </c>
      <c r="D10" s="9" t="s">
        <v>290</v>
      </c>
      <c r="E10" s="9" t="s">
        <v>291</v>
      </c>
      <c r="F10" s="27" t="s">
        <v>1548</v>
      </c>
      <c r="G10" s="28" t="s">
        <v>304</v>
      </c>
      <c r="H10" s="28" t="s">
        <v>1541</v>
      </c>
      <c r="I10" s="9" t="str">
        <f t="shared" si="0"/>
        <v>TP. Hồ Chí Minh - Phú Thuận, (Pallet), xe 50E 65434</v>
      </c>
      <c r="J10" s="9" t="s">
        <v>292</v>
      </c>
      <c r="K10" s="9" t="s">
        <v>293</v>
      </c>
      <c r="L10" s="9" t="s">
        <v>294</v>
      </c>
      <c r="M10" s="9" t="s">
        <v>50</v>
      </c>
      <c r="N10" s="9" t="s">
        <v>365</v>
      </c>
      <c r="O10" s="9" t="s">
        <v>366</v>
      </c>
      <c r="P10" s="9" t="s">
        <v>367</v>
      </c>
      <c r="Q10" s="9" t="s">
        <v>298</v>
      </c>
      <c r="R10" s="9" t="s">
        <v>54</v>
      </c>
      <c r="S10" s="9" t="s">
        <v>382</v>
      </c>
      <c r="T10" s="9" t="s">
        <v>106</v>
      </c>
      <c r="U10" s="9" t="s">
        <v>197</v>
      </c>
      <c r="V10" s="8">
        <f t="shared" si="1"/>
        <v>0.06</v>
      </c>
      <c r="W10" s="9">
        <f t="shared" si="2"/>
        <v>0.06</v>
      </c>
      <c r="X10" s="9">
        <f t="shared" si="3"/>
        <v>0</v>
      </c>
      <c r="AH10" s="9" t="s">
        <v>20</v>
      </c>
      <c r="AI10" s="9" t="s">
        <v>1569</v>
      </c>
      <c r="AL10" s="9" t="s">
        <v>23</v>
      </c>
      <c r="AM10" s="9" t="s">
        <v>23</v>
      </c>
      <c r="AN10" s="9" t="s">
        <v>23</v>
      </c>
      <c r="AO10" s="9" t="s">
        <v>23</v>
      </c>
      <c r="AP10" s="9" t="s">
        <v>23</v>
      </c>
      <c r="AQ10" s="9" t="s">
        <v>23</v>
      </c>
      <c r="AS10" s="9" t="s">
        <v>23</v>
      </c>
      <c r="AT10" s="9" t="s">
        <v>368</v>
      </c>
      <c r="AU10" s="9" t="s">
        <v>369</v>
      </c>
      <c r="AV10" s="9" t="s">
        <v>320</v>
      </c>
      <c r="AW10" s="9" t="s">
        <v>358</v>
      </c>
      <c r="AX10" s="9" t="s">
        <v>61</v>
      </c>
      <c r="AY10" s="9" t="s">
        <v>62</v>
      </c>
      <c r="AZ10" s="9" t="s">
        <v>370</v>
      </c>
      <c r="BA10" s="9" t="s">
        <v>371</v>
      </c>
      <c r="BB10" s="9" t="s">
        <v>372</v>
      </c>
      <c r="BC10" s="9" t="s">
        <v>98</v>
      </c>
      <c r="BD10" s="9" t="s">
        <v>373</v>
      </c>
      <c r="BE10" s="9" t="s">
        <v>374</v>
      </c>
      <c r="BF10" s="9" t="s">
        <v>407</v>
      </c>
      <c r="BG10" s="9" t="s">
        <v>408</v>
      </c>
      <c r="BH10" s="9" t="s">
        <v>118</v>
      </c>
      <c r="BI10" s="9" t="s">
        <v>71</v>
      </c>
      <c r="BJ10" s="9" t="s">
        <v>303</v>
      </c>
      <c r="BK10" s="9" t="s">
        <v>377</v>
      </c>
      <c r="BL10" s="9" t="s">
        <v>378</v>
      </c>
    </row>
    <row r="11" spans="1:65" ht="16.5" customHeight="1" x14ac:dyDescent="0.25">
      <c r="A11" s="53"/>
      <c r="B11" s="53"/>
      <c r="C11" s="54" t="s">
        <v>1572</v>
      </c>
      <c r="D11" s="55" t="str">
        <f>D10</f>
        <v>50E 65434</v>
      </c>
      <c r="E11" s="53"/>
      <c r="F11" s="55" t="str">
        <f>I10</f>
        <v>TP. Hồ Chí Minh - Phú Thuận, (Pallet), xe 50E 65434</v>
      </c>
      <c r="G11" s="53"/>
      <c r="H11" s="53"/>
      <c r="I11" s="56"/>
      <c r="J11" s="55"/>
      <c r="K11" s="53"/>
      <c r="L11" s="57"/>
      <c r="M11" s="53"/>
      <c r="N11" s="53"/>
      <c r="O11" s="53"/>
      <c r="P11" s="53"/>
      <c r="Q11" s="53"/>
      <c r="R11" s="53"/>
      <c r="S11" s="58"/>
      <c r="T11" s="59"/>
      <c r="U11" s="59"/>
      <c r="V11" s="60">
        <f>SUM(V3:V10)</f>
        <v>2.2320000000000002</v>
      </c>
      <c r="W11" s="60">
        <f t="shared" ref="W11:X11" si="4">SUM(W3:W10)</f>
        <v>2.2320000000000002</v>
      </c>
      <c r="X11" s="60">
        <f t="shared" si="4"/>
        <v>2.2320000000000002</v>
      </c>
      <c r="Y11" s="59"/>
      <c r="Z11" s="61"/>
      <c r="AA11" s="61"/>
      <c r="AB11" s="61"/>
      <c r="AC11" s="61"/>
      <c r="AD11" s="61">
        <f>SUM(AD3:AD10)</f>
        <v>689688</v>
      </c>
      <c r="AE11" s="61">
        <f>SUM(AE3:AE10)</f>
        <v>689688</v>
      </c>
      <c r="AF11" s="61"/>
      <c r="AG11" s="61"/>
      <c r="AH11" s="62"/>
      <c r="AI11" s="62"/>
      <c r="AJ11" s="62"/>
      <c r="AK11" s="62"/>
      <c r="AL11" s="63"/>
      <c r="AM11" s="62"/>
      <c r="AN11" s="62"/>
      <c r="AO11" s="62"/>
      <c r="AP11" s="62"/>
      <c r="AQ11" s="62"/>
      <c r="AR11" s="62"/>
      <c r="AS11" s="62"/>
      <c r="AT11" s="64"/>
      <c r="AU11" s="64"/>
      <c r="AV11" s="64"/>
      <c r="AW11" s="65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</row>
    <row r="12" spans="1:65" ht="15.75" x14ac:dyDescent="0.25">
      <c r="A12" s="9" t="s">
        <v>363</v>
      </c>
      <c r="B12" s="18" t="s">
        <v>1375</v>
      </c>
      <c r="C12" s="19">
        <v>46203</v>
      </c>
      <c r="D12" s="9" t="s">
        <v>1359</v>
      </c>
      <c r="E12" s="9" t="s">
        <v>1360</v>
      </c>
      <c r="F12" s="27" t="s">
        <v>1544</v>
      </c>
      <c r="G12" s="28" t="s">
        <v>1368</v>
      </c>
      <c r="H12" s="28" t="s">
        <v>1368</v>
      </c>
      <c r="I12" s="9" t="str">
        <f t="shared" si="0"/>
        <v>An Giang - Hà Tiên, (&gt;8-16 tấn), xe 95G 00283</v>
      </c>
      <c r="J12" s="9" t="s">
        <v>1361</v>
      </c>
      <c r="K12" s="9" t="s">
        <v>1362</v>
      </c>
      <c r="L12" s="9" t="s">
        <v>49</v>
      </c>
      <c r="M12" s="9" t="s">
        <v>50</v>
      </c>
      <c r="N12" s="9" t="s">
        <v>1376</v>
      </c>
      <c r="O12" s="9" t="s">
        <v>1377</v>
      </c>
      <c r="P12" s="9" t="s">
        <v>1378</v>
      </c>
      <c r="Q12" s="9" t="s">
        <v>23</v>
      </c>
      <c r="R12" s="9" t="s">
        <v>1379</v>
      </c>
      <c r="S12" s="9" t="s">
        <v>1131</v>
      </c>
      <c r="T12" s="9" t="s">
        <v>497</v>
      </c>
      <c r="U12" s="9" t="s">
        <v>497</v>
      </c>
      <c r="V12" s="8">
        <f t="shared" ref="V12:V18" si="5">ROUND(U12/1000,3)</f>
        <v>0</v>
      </c>
      <c r="W12" s="9">
        <f>(IF($B12=$B10,0,SUMIF($B:$B,$B12,$V:$V)))</f>
        <v>0</v>
      </c>
      <c r="X12" s="9">
        <f>+IF(AND(D12=D10,C12=C10),0,SUMIFS($V:$V,$C:$C,$C12,$D:$D,$D12))</f>
        <v>0.317</v>
      </c>
      <c r="Y12" s="20">
        <f>AL12</f>
        <v>16.989999999999998</v>
      </c>
      <c r="Z12" s="38">
        <v>821000</v>
      </c>
      <c r="AD12" s="39">
        <f>ROUND(X12*SUM(Z12:AB12),0)</f>
        <v>260257</v>
      </c>
      <c r="AE12" s="39">
        <f>ROUND(X12*Z12,0)</f>
        <v>260257</v>
      </c>
      <c r="AH12" s="9" t="s">
        <v>20</v>
      </c>
      <c r="AI12" s="9" t="s">
        <v>1569</v>
      </c>
      <c r="AL12" s="20">
        <f>SUM(AM12:AR12)</f>
        <v>16.989999999999998</v>
      </c>
      <c r="AM12" s="20">
        <v>13.061</v>
      </c>
      <c r="AO12" s="20">
        <v>0.317</v>
      </c>
      <c r="AP12" s="20">
        <v>0.28299999999999997</v>
      </c>
      <c r="AQ12" s="9">
        <v>3.3290000000000002</v>
      </c>
      <c r="AR12" s="20"/>
      <c r="AS12" s="20">
        <v>16.989999999999998</v>
      </c>
      <c r="AT12" s="9" t="s">
        <v>23</v>
      </c>
      <c r="AU12" s="9" t="s">
        <v>1363</v>
      </c>
      <c r="AV12" s="9" t="s">
        <v>473</v>
      </c>
      <c r="AW12" s="9" t="s">
        <v>1380</v>
      </c>
      <c r="AX12" s="9" t="s">
        <v>61</v>
      </c>
      <c r="AY12" s="9" t="s">
        <v>62</v>
      </c>
      <c r="AZ12" s="9" t="s">
        <v>474</v>
      </c>
      <c r="BA12" s="9" t="s">
        <v>112</v>
      </c>
      <c r="BB12" s="9" t="s">
        <v>113</v>
      </c>
      <c r="BC12" s="9" t="s">
        <v>23</v>
      </c>
      <c r="BD12" s="9" t="s">
        <v>373</v>
      </c>
      <c r="BE12" s="9" t="s">
        <v>374</v>
      </c>
      <c r="BF12" s="9" t="s">
        <v>1381</v>
      </c>
      <c r="BG12" s="9" t="s">
        <v>1382</v>
      </c>
      <c r="BH12" s="9" t="s">
        <v>118</v>
      </c>
      <c r="BI12" s="9" t="s">
        <v>501</v>
      </c>
      <c r="BJ12" s="9" t="s">
        <v>1367</v>
      </c>
      <c r="BK12" s="9" t="s">
        <v>1368</v>
      </c>
      <c r="BL12" s="9" t="s">
        <v>1369</v>
      </c>
    </row>
    <row r="13" spans="1:65" ht="15.75" x14ac:dyDescent="0.25">
      <c r="A13" s="9" t="s">
        <v>363</v>
      </c>
      <c r="B13" s="18" t="s">
        <v>1383</v>
      </c>
      <c r="C13" s="19">
        <v>46203</v>
      </c>
      <c r="D13" s="9" t="s">
        <v>1359</v>
      </c>
      <c r="E13" s="9" t="s">
        <v>1360</v>
      </c>
      <c r="F13" s="27" t="s">
        <v>1544</v>
      </c>
      <c r="G13" s="28" t="s">
        <v>1368</v>
      </c>
      <c r="H13" s="28" t="s">
        <v>1368</v>
      </c>
      <c r="I13" s="9" t="str">
        <f t="shared" si="0"/>
        <v>An Giang - Hà Tiên, (&gt;8-16 tấn), xe 95G 00283</v>
      </c>
      <c r="J13" s="9" t="s">
        <v>1361</v>
      </c>
      <c r="K13" s="9" t="s">
        <v>1362</v>
      </c>
      <c r="L13" s="9" t="s">
        <v>49</v>
      </c>
      <c r="M13" s="9" t="s">
        <v>50</v>
      </c>
      <c r="N13" s="9" t="s">
        <v>1384</v>
      </c>
      <c r="O13" s="9" t="s">
        <v>1385</v>
      </c>
      <c r="P13" s="9" t="s">
        <v>1386</v>
      </c>
      <c r="Q13" s="9" t="s">
        <v>23</v>
      </c>
      <c r="R13" s="9" t="s">
        <v>1387</v>
      </c>
      <c r="S13" s="9" t="s">
        <v>399</v>
      </c>
      <c r="T13" s="9" t="s">
        <v>497</v>
      </c>
      <c r="U13" s="9" t="s">
        <v>497</v>
      </c>
      <c r="V13" s="8">
        <f t="shared" si="5"/>
        <v>0</v>
      </c>
      <c r="W13" s="9">
        <f t="shared" ref="W13:W18" si="6">(IF($B13=$B12,0,SUMIF($B:$B,$B13,$V:$V)))</f>
        <v>0</v>
      </c>
      <c r="X13" s="9">
        <f t="shared" ref="X13:X18" si="7">+IF(AND(D13=D12,C13=C12),0,SUMIFS($V:$V,$C:$C,$C13,$D:$D,$D13))</f>
        <v>0</v>
      </c>
      <c r="AH13" s="9" t="s">
        <v>20</v>
      </c>
      <c r="AI13" s="9" t="s">
        <v>1569</v>
      </c>
      <c r="AL13" s="9" t="s">
        <v>23</v>
      </c>
      <c r="AM13" s="9" t="s">
        <v>23</v>
      </c>
      <c r="AN13" s="9" t="s">
        <v>23</v>
      </c>
      <c r="AO13" s="9" t="s">
        <v>23</v>
      </c>
      <c r="AP13" s="9" t="s">
        <v>23</v>
      </c>
      <c r="AQ13" s="9" t="s">
        <v>23</v>
      </c>
      <c r="AS13" s="9" t="s">
        <v>23</v>
      </c>
      <c r="AT13" s="9" t="s">
        <v>23</v>
      </c>
      <c r="AU13" s="9" t="s">
        <v>1363</v>
      </c>
      <c r="AV13" s="9" t="s">
        <v>473</v>
      </c>
      <c r="AW13" s="9" t="s">
        <v>1388</v>
      </c>
      <c r="AX13" s="9" t="s">
        <v>61</v>
      </c>
      <c r="AY13" s="9" t="s">
        <v>62</v>
      </c>
      <c r="AZ13" s="9" t="s">
        <v>474</v>
      </c>
      <c r="BA13" s="9" t="s">
        <v>112</v>
      </c>
      <c r="BB13" s="9" t="s">
        <v>113</v>
      </c>
      <c r="BC13" s="9" t="s">
        <v>23</v>
      </c>
      <c r="BD13" s="9" t="s">
        <v>373</v>
      </c>
      <c r="BE13" s="9" t="s">
        <v>374</v>
      </c>
      <c r="BF13" s="9" t="s">
        <v>1389</v>
      </c>
      <c r="BG13" s="9" t="s">
        <v>1390</v>
      </c>
      <c r="BH13" s="9" t="s">
        <v>118</v>
      </c>
      <c r="BI13" s="9" t="s">
        <v>501</v>
      </c>
      <c r="BJ13" s="9" t="s">
        <v>1367</v>
      </c>
      <c r="BK13" s="9" t="s">
        <v>1368</v>
      </c>
      <c r="BL13" s="9" t="s">
        <v>1369</v>
      </c>
    </row>
    <row r="14" spans="1:65" ht="15.75" x14ac:dyDescent="0.25">
      <c r="A14" s="9" t="s">
        <v>363</v>
      </c>
      <c r="B14" s="18" t="s">
        <v>1391</v>
      </c>
      <c r="C14" s="19">
        <v>46203</v>
      </c>
      <c r="D14" s="9" t="s">
        <v>1359</v>
      </c>
      <c r="E14" s="9" t="s">
        <v>1360</v>
      </c>
      <c r="F14" s="27" t="s">
        <v>1544</v>
      </c>
      <c r="G14" s="28" t="s">
        <v>1368</v>
      </c>
      <c r="H14" s="28" t="s">
        <v>1368</v>
      </c>
      <c r="I14" s="9" t="str">
        <f t="shared" si="0"/>
        <v>An Giang - Hà Tiên, (&gt;8-16 tấn), xe 95G 00283</v>
      </c>
      <c r="J14" s="9" t="s">
        <v>1361</v>
      </c>
      <c r="K14" s="9" t="s">
        <v>1362</v>
      </c>
      <c r="L14" s="9" t="s">
        <v>49</v>
      </c>
      <c r="M14" s="9" t="s">
        <v>50</v>
      </c>
      <c r="N14" s="9" t="s">
        <v>1425</v>
      </c>
      <c r="O14" s="9" t="s">
        <v>1426</v>
      </c>
      <c r="P14" s="9" t="s">
        <v>1427</v>
      </c>
      <c r="Q14" s="9" t="s">
        <v>23</v>
      </c>
      <c r="R14" s="9" t="s">
        <v>54</v>
      </c>
      <c r="S14" s="9" t="s">
        <v>195</v>
      </c>
      <c r="T14" s="9" t="s">
        <v>187</v>
      </c>
      <c r="U14" s="9" t="s">
        <v>337</v>
      </c>
      <c r="V14" s="8">
        <f t="shared" si="5"/>
        <v>4.4999999999999998E-2</v>
      </c>
      <c r="W14" s="9">
        <f t="shared" si="6"/>
        <v>0.317</v>
      </c>
      <c r="X14" s="9">
        <f t="shared" si="7"/>
        <v>0</v>
      </c>
      <c r="AH14" s="9" t="s">
        <v>20</v>
      </c>
      <c r="AI14" s="9" t="s">
        <v>1569</v>
      </c>
      <c r="AL14" s="9" t="s">
        <v>23</v>
      </c>
      <c r="AM14" s="9" t="s">
        <v>23</v>
      </c>
      <c r="AN14" s="9" t="s">
        <v>23</v>
      </c>
      <c r="AO14" s="9" t="s">
        <v>23</v>
      </c>
      <c r="AP14" s="9" t="s">
        <v>23</v>
      </c>
      <c r="AQ14" s="9" t="s">
        <v>23</v>
      </c>
      <c r="AS14" s="9" t="s">
        <v>23</v>
      </c>
      <c r="AT14" s="9" t="s">
        <v>23</v>
      </c>
      <c r="AU14" s="9" t="s">
        <v>1363</v>
      </c>
      <c r="AV14" s="9" t="s">
        <v>473</v>
      </c>
      <c r="AW14" s="9" t="s">
        <v>1392</v>
      </c>
      <c r="AX14" s="9" t="s">
        <v>61</v>
      </c>
      <c r="AY14" s="9" t="s">
        <v>62</v>
      </c>
      <c r="AZ14" s="9" t="s">
        <v>474</v>
      </c>
      <c r="BA14" s="9" t="s">
        <v>112</v>
      </c>
      <c r="BB14" s="9" t="s">
        <v>113</v>
      </c>
      <c r="BC14" s="9" t="s">
        <v>23</v>
      </c>
      <c r="BD14" s="9" t="s">
        <v>373</v>
      </c>
      <c r="BE14" s="9" t="s">
        <v>374</v>
      </c>
      <c r="BF14" s="9" t="s">
        <v>1393</v>
      </c>
      <c r="BG14" s="9" t="s">
        <v>1394</v>
      </c>
      <c r="BH14" s="9" t="s">
        <v>118</v>
      </c>
      <c r="BI14" s="9" t="s">
        <v>71</v>
      </c>
      <c r="BJ14" s="9" t="s">
        <v>1367</v>
      </c>
      <c r="BK14" s="9" t="s">
        <v>1368</v>
      </c>
      <c r="BL14" s="9" t="s">
        <v>1369</v>
      </c>
    </row>
    <row r="15" spans="1:65" ht="15.75" x14ac:dyDescent="0.25">
      <c r="A15" s="9" t="s">
        <v>363</v>
      </c>
      <c r="B15" s="18" t="s">
        <v>1391</v>
      </c>
      <c r="C15" s="19">
        <v>46203</v>
      </c>
      <c r="D15" s="9" t="s">
        <v>1359</v>
      </c>
      <c r="E15" s="9" t="s">
        <v>1360</v>
      </c>
      <c r="F15" s="27" t="s">
        <v>1544</v>
      </c>
      <c r="G15" s="28" t="s">
        <v>1368</v>
      </c>
      <c r="H15" s="28" t="s">
        <v>1368</v>
      </c>
      <c r="I15" s="9" t="str">
        <f t="shared" si="0"/>
        <v>An Giang - Hà Tiên, (&gt;8-16 tấn), xe 95G 00283</v>
      </c>
      <c r="J15" s="9" t="s">
        <v>1361</v>
      </c>
      <c r="K15" s="9" t="s">
        <v>1362</v>
      </c>
      <c r="L15" s="9" t="s">
        <v>49</v>
      </c>
      <c r="M15" s="9" t="s">
        <v>50</v>
      </c>
      <c r="N15" s="9" t="s">
        <v>619</v>
      </c>
      <c r="O15" s="9" t="s">
        <v>620</v>
      </c>
      <c r="P15" s="9" t="s">
        <v>621</v>
      </c>
      <c r="Q15" s="9" t="s">
        <v>23</v>
      </c>
      <c r="R15" s="9" t="s">
        <v>54</v>
      </c>
      <c r="S15" s="9" t="s">
        <v>55</v>
      </c>
      <c r="T15" s="9" t="s">
        <v>622</v>
      </c>
      <c r="U15" s="9">
        <v>49.5</v>
      </c>
      <c r="V15" s="8">
        <f t="shared" si="5"/>
        <v>0.05</v>
      </c>
      <c r="W15" s="9">
        <f t="shared" si="6"/>
        <v>0</v>
      </c>
      <c r="X15" s="9">
        <f t="shared" si="7"/>
        <v>0</v>
      </c>
      <c r="AH15" s="9" t="s">
        <v>20</v>
      </c>
      <c r="AI15" s="9" t="s">
        <v>1569</v>
      </c>
      <c r="AL15" s="9" t="s">
        <v>23</v>
      </c>
      <c r="AM15" s="9" t="s">
        <v>23</v>
      </c>
      <c r="AN15" s="9" t="s">
        <v>23</v>
      </c>
      <c r="AO15" s="9" t="s">
        <v>23</v>
      </c>
      <c r="AP15" s="9" t="s">
        <v>23</v>
      </c>
      <c r="AQ15" s="9" t="s">
        <v>23</v>
      </c>
      <c r="AS15" s="9" t="s">
        <v>23</v>
      </c>
      <c r="AT15" s="9" t="s">
        <v>23</v>
      </c>
      <c r="AU15" s="9" t="s">
        <v>1363</v>
      </c>
      <c r="AV15" s="9" t="s">
        <v>473</v>
      </c>
      <c r="AW15" s="9" t="s">
        <v>1392</v>
      </c>
      <c r="AX15" s="9" t="s">
        <v>61</v>
      </c>
      <c r="AY15" s="9" t="s">
        <v>62</v>
      </c>
      <c r="AZ15" s="9" t="s">
        <v>474</v>
      </c>
      <c r="BA15" s="9" t="s">
        <v>112</v>
      </c>
      <c r="BB15" s="9" t="s">
        <v>113</v>
      </c>
      <c r="BC15" s="9" t="s">
        <v>23</v>
      </c>
      <c r="BD15" s="9" t="s">
        <v>373</v>
      </c>
      <c r="BE15" s="9" t="s">
        <v>374</v>
      </c>
      <c r="BF15" s="9" t="s">
        <v>1393</v>
      </c>
      <c r="BG15" s="9" t="s">
        <v>1394</v>
      </c>
      <c r="BH15" s="9" t="s">
        <v>118</v>
      </c>
      <c r="BI15" s="9" t="s">
        <v>71</v>
      </c>
      <c r="BJ15" s="9" t="s">
        <v>1367</v>
      </c>
      <c r="BK15" s="9" t="s">
        <v>1368</v>
      </c>
      <c r="BL15" s="9" t="s">
        <v>1369</v>
      </c>
    </row>
    <row r="16" spans="1:65" ht="15.75" x14ac:dyDescent="0.25">
      <c r="A16" s="9" t="s">
        <v>363</v>
      </c>
      <c r="B16" s="18" t="s">
        <v>1391</v>
      </c>
      <c r="C16" s="19">
        <v>46203</v>
      </c>
      <c r="D16" s="9" t="s">
        <v>1359</v>
      </c>
      <c r="E16" s="9" t="s">
        <v>1360</v>
      </c>
      <c r="F16" s="27" t="s">
        <v>1544</v>
      </c>
      <c r="G16" s="28" t="s">
        <v>1368</v>
      </c>
      <c r="H16" s="28" t="s">
        <v>1368</v>
      </c>
      <c r="I16" s="9" t="str">
        <f t="shared" si="0"/>
        <v>An Giang - Hà Tiên, (&gt;8-16 tấn), xe 95G 00283</v>
      </c>
      <c r="J16" s="9" t="s">
        <v>1361</v>
      </c>
      <c r="K16" s="9" t="s">
        <v>1362</v>
      </c>
      <c r="L16" s="9" t="s">
        <v>49</v>
      </c>
      <c r="M16" s="9" t="s">
        <v>50</v>
      </c>
      <c r="N16" s="9" t="s">
        <v>616</v>
      </c>
      <c r="O16" s="9" t="s">
        <v>617</v>
      </c>
      <c r="P16" s="9" t="s">
        <v>618</v>
      </c>
      <c r="Q16" s="9" t="s">
        <v>23</v>
      </c>
      <c r="R16" s="9" t="s">
        <v>54</v>
      </c>
      <c r="S16" s="9" t="s">
        <v>164</v>
      </c>
      <c r="T16" s="9" t="s">
        <v>76</v>
      </c>
      <c r="U16" s="9" t="s">
        <v>218</v>
      </c>
      <c r="V16" s="8">
        <f t="shared" si="5"/>
        <v>9.6000000000000002E-2</v>
      </c>
      <c r="W16" s="9">
        <f t="shared" si="6"/>
        <v>0</v>
      </c>
      <c r="X16" s="9">
        <f t="shared" si="7"/>
        <v>0</v>
      </c>
      <c r="AH16" s="9" t="s">
        <v>20</v>
      </c>
      <c r="AI16" s="9" t="s">
        <v>1569</v>
      </c>
      <c r="AL16" s="9" t="s">
        <v>23</v>
      </c>
      <c r="AM16" s="9" t="s">
        <v>23</v>
      </c>
      <c r="AN16" s="9" t="s">
        <v>23</v>
      </c>
      <c r="AO16" s="9" t="s">
        <v>23</v>
      </c>
      <c r="AP16" s="9" t="s">
        <v>23</v>
      </c>
      <c r="AQ16" s="9" t="s">
        <v>23</v>
      </c>
      <c r="AS16" s="9" t="s">
        <v>23</v>
      </c>
      <c r="AT16" s="9" t="s">
        <v>23</v>
      </c>
      <c r="AU16" s="9" t="s">
        <v>1363</v>
      </c>
      <c r="AV16" s="9" t="s">
        <v>473</v>
      </c>
      <c r="AW16" s="9" t="s">
        <v>1392</v>
      </c>
      <c r="AX16" s="9" t="s">
        <v>61</v>
      </c>
      <c r="AY16" s="9" t="s">
        <v>62</v>
      </c>
      <c r="AZ16" s="9" t="s">
        <v>474</v>
      </c>
      <c r="BA16" s="9" t="s">
        <v>112</v>
      </c>
      <c r="BB16" s="9" t="s">
        <v>113</v>
      </c>
      <c r="BC16" s="9" t="s">
        <v>23</v>
      </c>
      <c r="BD16" s="9" t="s">
        <v>373</v>
      </c>
      <c r="BE16" s="9" t="s">
        <v>374</v>
      </c>
      <c r="BF16" s="9" t="s">
        <v>1393</v>
      </c>
      <c r="BG16" s="9" t="s">
        <v>1394</v>
      </c>
      <c r="BH16" s="9" t="s">
        <v>118</v>
      </c>
      <c r="BI16" s="9" t="s">
        <v>71</v>
      </c>
      <c r="BJ16" s="9" t="s">
        <v>1367</v>
      </c>
      <c r="BK16" s="9" t="s">
        <v>1368</v>
      </c>
      <c r="BL16" s="9" t="s">
        <v>1369</v>
      </c>
    </row>
    <row r="17" spans="1:68" ht="15.75" x14ac:dyDescent="0.25">
      <c r="A17" s="9" t="s">
        <v>363</v>
      </c>
      <c r="B17" s="18" t="s">
        <v>1391</v>
      </c>
      <c r="C17" s="19">
        <v>46203</v>
      </c>
      <c r="D17" s="9" t="s">
        <v>1359</v>
      </c>
      <c r="E17" s="9" t="s">
        <v>1360</v>
      </c>
      <c r="F17" s="27" t="s">
        <v>1544</v>
      </c>
      <c r="G17" s="28" t="s">
        <v>1368</v>
      </c>
      <c r="H17" s="28" t="s">
        <v>1368</v>
      </c>
      <c r="I17" s="9" t="str">
        <f t="shared" si="0"/>
        <v>An Giang - Hà Tiên, (&gt;8-16 tấn), xe 95G 00283</v>
      </c>
      <c r="J17" s="9" t="s">
        <v>1361</v>
      </c>
      <c r="K17" s="9" t="s">
        <v>1362</v>
      </c>
      <c r="L17" s="9" t="s">
        <v>49</v>
      </c>
      <c r="M17" s="9" t="s">
        <v>50</v>
      </c>
      <c r="N17" s="9" t="s">
        <v>993</v>
      </c>
      <c r="O17" s="9" t="s">
        <v>994</v>
      </c>
      <c r="P17" s="9" t="s">
        <v>995</v>
      </c>
      <c r="Q17" s="9" t="s">
        <v>23</v>
      </c>
      <c r="R17" s="9" t="s">
        <v>54</v>
      </c>
      <c r="S17" s="9" t="s">
        <v>106</v>
      </c>
      <c r="T17" s="9" t="s">
        <v>361</v>
      </c>
      <c r="U17" s="9" t="s">
        <v>398</v>
      </c>
      <c r="V17" s="8">
        <f t="shared" si="5"/>
        <v>0.03</v>
      </c>
      <c r="W17" s="9">
        <f t="shared" si="6"/>
        <v>0</v>
      </c>
      <c r="X17" s="9">
        <f t="shared" si="7"/>
        <v>0</v>
      </c>
      <c r="AH17" s="9" t="s">
        <v>20</v>
      </c>
      <c r="AI17" s="9" t="s">
        <v>1569</v>
      </c>
      <c r="AL17" s="9" t="s">
        <v>23</v>
      </c>
      <c r="AM17" s="9" t="s">
        <v>23</v>
      </c>
      <c r="AN17" s="9" t="s">
        <v>23</v>
      </c>
      <c r="AO17" s="9" t="s">
        <v>23</v>
      </c>
      <c r="AP17" s="9" t="s">
        <v>23</v>
      </c>
      <c r="AQ17" s="9" t="s">
        <v>23</v>
      </c>
      <c r="AS17" s="9" t="s">
        <v>23</v>
      </c>
      <c r="AT17" s="9" t="s">
        <v>23</v>
      </c>
      <c r="AU17" s="9" t="s">
        <v>1363</v>
      </c>
      <c r="AV17" s="9" t="s">
        <v>473</v>
      </c>
      <c r="AW17" s="9" t="s">
        <v>1392</v>
      </c>
      <c r="AX17" s="9" t="s">
        <v>61</v>
      </c>
      <c r="AY17" s="9" t="s">
        <v>62</v>
      </c>
      <c r="AZ17" s="9" t="s">
        <v>474</v>
      </c>
      <c r="BA17" s="9" t="s">
        <v>112</v>
      </c>
      <c r="BB17" s="9" t="s">
        <v>113</v>
      </c>
      <c r="BC17" s="9" t="s">
        <v>23</v>
      </c>
      <c r="BD17" s="9" t="s">
        <v>373</v>
      </c>
      <c r="BE17" s="9" t="s">
        <v>374</v>
      </c>
      <c r="BF17" s="9" t="s">
        <v>1393</v>
      </c>
      <c r="BG17" s="9" t="s">
        <v>1394</v>
      </c>
      <c r="BH17" s="9" t="s">
        <v>118</v>
      </c>
      <c r="BI17" s="9" t="s">
        <v>71</v>
      </c>
      <c r="BJ17" s="9" t="s">
        <v>1367</v>
      </c>
      <c r="BK17" s="9" t="s">
        <v>1368</v>
      </c>
      <c r="BL17" s="9" t="s">
        <v>1369</v>
      </c>
    </row>
    <row r="18" spans="1:68" ht="15.75" x14ac:dyDescent="0.25">
      <c r="A18" s="9" t="s">
        <v>363</v>
      </c>
      <c r="B18" s="18" t="s">
        <v>1391</v>
      </c>
      <c r="C18" s="19">
        <v>46203</v>
      </c>
      <c r="D18" s="9" t="s">
        <v>1359</v>
      </c>
      <c r="E18" s="9" t="s">
        <v>1360</v>
      </c>
      <c r="F18" s="27" t="s">
        <v>1544</v>
      </c>
      <c r="G18" s="28" t="s">
        <v>1368</v>
      </c>
      <c r="H18" s="28" t="s">
        <v>1368</v>
      </c>
      <c r="I18" s="9" t="str">
        <f t="shared" si="0"/>
        <v>An Giang - Hà Tiên, (&gt;8-16 tấn), xe 95G 00283</v>
      </c>
      <c r="J18" s="9" t="s">
        <v>1361</v>
      </c>
      <c r="K18" s="9" t="s">
        <v>1362</v>
      </c>
      <c r="L18" s="9" t="s">
        <v>49</v>
      </c>
      <c r="M18" s="9" t="s">
        <v>50</v>
      </c>
      <c r="N18" s="9" t="s">
        <v>1429</v>
      </c>
      <c r="O18" s="9" t="s">
        <v>1430</v>
      </c>
      <c r="P18" s="9" t="s">
        <v>1431</v>
      </c>
      <c r="Q18" s="9" t="s">
        <v>23</v>
      </c>
      <c r="R18" s="9" t="s">
        <v>54</v>
      </c>
      <c r="S18" s="9" t="s">
        <v>164</v>
      </c>
      <c r="T18" s="9" t="s">
        <v>76</v>
      </c>
      <c r="U18" s="9" t="s">
        <v>218</v>
      </c>
      <c r="V18" s="8">
        <f t="shared" si="5"/>
        <v>9.6000000000000002E-2</v>
      </c>
      <c r="W18" s="9">
        <f t="shared" si="6"/>
        <v>0</v>
      </c>
      <c r="X18" s="9">
        <f t="shared" si="7"/>
        <v>0</v>
      </c>
      <c r="AH18" s="9" t="s">
        <v>20</v>
      </c>
      <c r="AI18" s="9" t="s">
        <v>1569</v>
      </c>
      <c r="AL18" s="9" t="s">
        <v>23</v>
      </c>
      <c r="AM18" s="9" t="s">
        <v>23</v>
      </c>
      <c r="AN18" s="9" t="s">
        <v>23</v>
      </c>
      <c r="AO18" s="9" t="s">
        <v>23</v>
      </c>
      <c r="AP18" s="9" t="s">
        <v>23</v>
      </c>
      <c r="AQ18" s="9" t="s">
        <v>23</v>
      </c>
      <c r="AS18" s="9" t="s">
        <v>23</v>
      </c>
      <c r="AT18" s="9" t="s">
        <v>23</v>
      </c>
      <c r="AU18" s="9" t="s">
        <v>1363</v>
      </c>
      <c r="AV18" s="9" t="s">
        <v>473</v>
      </c>
      <c r="AW18" s="9" t="s">
        <v>1392</v>
      </c>
      <c r="AX18" s="9" t="s">
        <v>61</v>
      </c>
      <c r="AY18" s="9" t="s">
        <v>62</v>
      </c>
      <c r="AZ18" s="9" t="s">
        <v>474</v>
      </c>
      <c r="BA18" s="9" t="s">
        <v>112</v>
      </c>
      <c r="BB18" s="9" t="s">
        <v>113</v>
      </c>
      <c r="BC18" s="9" t="s">
        <v>23</v>
      </c>
      <c r="BD18" s="9" t="s">
        <v>373</v>
      </c>
      <c r="BE18" s="9" t="s">
        <v>374</v>
      </c>
      <c r="BF18" s="9" t="s">
        <v>1393</v>
      </c>
      <c r="BG18" s="9" t="s">
        <v>1394</v>
      </c>
      <c r="BH18" s="9" t="s">
        <v>118</v>
      </c>
      <c r="BI18" s="9" t="s">
        <v>71</v>
      </c>
      <c r="BJ18" s="9" t="s">
        <v>1367</v>
      </c>
      <c r="BK18" s="9" t="s">
        <v>1368</v>
      </c>
      <c r="BL18" s="9" t="s">
        <v>1369</v>
      </c>
    </row>
    <row r="19" spans="1:68" ht="16.5" customHeight="1" x14ac:dyDescent="0.25">
      <c r="A19" s="53"/>
      <c r="B19" s="53"/>
      <c r="C19" s="54" t="s">
        <v>1572</v>
      </c>
      <c r="D19" s="55" t="str">
        <f>D18</f>
        <v>95G 00283</v>
      </c>
      <c r="E19" s="53"/>
      <c r="F19" s="55" t="str">
        <f>I18</f>
        <v>An Giang - Hà Tiên, (&gt;8-16 tấn), xe 95G 00283</v>
      </c>
      <c r="G19" s="53"/>
      <c r="H19" s="53"/>
      <c r="I19" s="56"/>
      <c r="J19" s="55"/>
      <c r="K19" s="53"/>
      <c r="L19" s="57"/>
      <c r="M19" s="53"/>
      <c r="N19" s="53"/>
      <c r="O19" s="53"/>
      <c r="P19" s="53"/>
      <c r="Q19" s="53"/>
      <c r="R19" s="53"/>
      <c r="S19" s="58"/>
      <c r="T19" s="59"/>
      <c r="U19" s="59"/>
      <c r="V19" s="60">
        <f>SUM(V12:V18)</f>
        <v>0.317</v>
      </c>
      <c r="W19" s="60">
        <f t="shared" ref="W19:X19" si="8">SUM(W12:W18)</f>
        <v>0.317</v>
      </c>
      <c r="X19" s="60">
        <f t="shared" si="8"/>
        <v>0.317</v>
      </c>
      <c r="Y19" s="59"/>
      <c r="Z19" s="61"/>
      <c r="AA19" s="61"/>
      <c r="AB19" s="61"/>
      <c r="AC19" s="61"/>
      <c r="AD19" s="61">
        <f>SUM(AD12:AD18)</f>
        <v>260257</v>
      </c>
      <c r="AE19" s="61">
        <f>SUM(AE12:AE18)</f>
        <v>260257</v>
      </c>
      <c r="AF19" s="61"/>
      <c r="AG19" s="61"/>
      <c r="AH19" s="62"/>
      <c r="AI19" s="62"/>
      <c r="AJ19" s="62"/>
      <c r="AK19" s="62"/>
      <c r="AL19" s="63"/>
      <c r="AM19" s="62"/>
      <c r="AN19" s="62"/>
      <c r="AO19" s="62"/>
      <c r="AP19" s="62"/>
      <c r="AQ19" s="62"/>
      <c r="AR19" s="62"/>
      <c r="AS19" s="62"/>
      <c r="AT19" s="64"/>
      <c r="AU19" s="64"/>
      <c r="AV19" s="64"/>
      <c r="AW19" s="65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</row>
    <row r="20" spans="1:68" ht="16.5" customHeight="1" x14ac:dyDescent="0.25">
      <c r="A20" s="40"/>
      <c r="B20" s="40"/>
      <c r="C20" s="41"/>
      <c r="D20" s="42"/>
      <c r="E20" s="40"/>
      <c r="F20" s="42" t="s">
        <v>1573</v>
      </c>
      <c r="G20" s="40"/>
      <c r="H20" s="40"/>
      <c r="I20" s="40"/>
      <c r="J20" s="42"/>
      <c r="K20" s="40"/>
      <c r="L20" s="42"/>
      <c r="M20" s="40"/>
      <c r="N20" s="40"/>
      <c r="O20" s="40"/>
      <c r="P20" s="40"/>
      <c r="Q20" s="40"/>
      <c r="R20" s="40"/>
      <c r="S20" s="43"/>
      <c r="T20" s="44"/>
      <c r="U20" s="44"/>
      <c r="V20" s="45"/>
      <c r="W20" s="45">
        <f>SUM(W3:W19)/2</f>
        <v>2.5490000000000004</v>
      </c>
      <c r="X20" s="45">
        <f>SUM(X3:X19)/2</f>
        <v>2.5490000000000004</v>
      </c>
      <c r="Y20" s="66"/>
      <c r="Z20" s="46"/>
      <c r="AA20" s="46"/>
      <c r="AB20" s="46"/>
      <c r="AC20" s="46"/>
      <c r="AD20" s="46">
        <f>SUM(AD3:AD19)/2</f>
        <v>949945</v>
      </c>
      <c r="AE20" s="46">
        <f>SUM(AE3:AE19)/2</f>
        <v>949945</v>
      </c>
      <c r="AF20" s="47"/>
      <c r="AG20" s="47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9"/>
      <c r="AS20" s="49"/>
      <c r="AT20" s="50"/>
      <c r="AU20" s="48"/>
      <c r="AV20" s="49"/>
      <c r="AW20" s="42"/>
      <c r="AX20" s="67"/>
      <c r="AY20" s="51"/>
      <c r="AZ20" s="52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</row>
    <row r="27" spans="1:68" ht="31.5" x14ac:dyDescent="0.25">
      <c r="A27" s="15" t="s">
        <v>0</v>
      </c>
      <c r="B27" s="16" t="s">
        <v>1</v>
      </c>
      <c r="C27" s="17" t="s">
        <v>2</v>
      </c>
      <c r="D27" s="26" t="s">
        <v>1539</v>
      </c>
      <c r="E27" s="15" t="s">
        <v>4</v>
      </c>
      <c r="F27" s="22" t="s">
        <v>1535</v>
      </c>
      <c r="G27" s="23" t="s">
        <v>1536</v>
      </c>
      <c r="H27" s="24" t="s">
        <v>1537</v>
      </c>
      <c r="I27" s="25" t="s">
        <v>1538</v>
      </c>
      <c r="J27" s="15" t="s">
        <v>5</v>
      </c>
      <c r="K27" s="15" t="s">
        <v>6</v>
      </c>
      <c r="L27" s="15" t="s">
        <v>7</v>
      </c>
      <c r="M27" s="15" t="s">
        <v>8</v>
      </c>
      <c r="N27" s="15" t="s">
        <v>9</v>
      </c>
      <c r="O27" s="15" t="s">
        <v>10</v>
      </c>
      <c r="P27" s="15" t="s">
        <v>11</v>
      </c>
      <c r="Q27" s="15" t="s">
        <v>12</v>
      </c>
      <c r="R27" s="15" t="s">
        <v>13</v>
      </c>
      <c r="S27" s="15" t="s">
        <v>14</v>
      </c>
      <c r="T27" s="15" t="s">
        <v>15</v>
      </c>
      <c r="U27" s="15" t="s">
        <v>16</v>
      </c>
      <c r="V27" s="29" t="s">
        <v>1552</v>
      </c>
      <c r="W27" s="30" t="s">
        <v>1553</v>
      </c>
      <c r="X27" s="30" t="s">
        <v>1554</v>
      </c>
      <c r="Y27" s="31" t="s">
        <v>1555</v>
      </c>
      <c r="Z27" s="32" t="s">
        <v>1556</v>
      </c>
      <c r="AA27" s="33" t="s">
        <v>1557</v>
      </c>
      <c r="AB27" s="33" t="s">
        <v>1558</v>
      </c>
      <c r="AC27" s="33" t="s">
        <v>1559</v>
      </c>
      <c r="AD27" s="33" t="s">
        <v>1560</v>
      </c>
      <c r="AE27" s="33" t="s">
        <v>1561</v>
      </c>
      <c r="AF27" s="33"/>
      <c r="AG27" s="33"/>
      <c r="AH27" s="34" t="s">
        <v>1562</v>
      </c>
      <c r="AI27" s="34" t="s">
        <v>1563</v>
      </c>
      <c r="AJ27" s="35" t="s">
        <v>1564</v>
      </c>
      <c r="AK27" s="36" t="s">
        <v>1565</v>
      </c>
      <c r="AL27" s="37" t="s">
        <v>1566</v>
      </c>
      <c r="AM27" s="6" t="s">
        <v>18</v>
      </c>
      <c r="AN27" s="6" t="s">
        <v>19</v>
      </c>
      <c r="AO27" s="6" t="s">
        <v>20</v>
      </c>
      <c r="AP27" s="6" t="s">
        <v>21</v>
      </c>
      <c r="AQ27" s="6" t="s">
        <v>22</v>
      </c>
      <c r="AR27" s="6" t="s">
        <v>1470</v>
      </c>
      <c r="AS27" s="15" t="s">
        <v>23</v>
      </c>
      <c r="AT27" s="15" t="s">
        <v>24</v>
      </c>
      <c r="AU27" s="15" t="s">
        <v>25</v>
      </c>
      <c r="AV27" s="15" t="s">
        <v>26</v>
      </c>
      <c r="AW27" s="15" t="s">
        <v>27</v>
      </c>
      <c r="AX27" s="15" t="s">
        <v>28</v>
      </c>
      <c r="AY27" s="15" t="s">
        <v>29</v>
      </c>
      <c r="AZ27" s="15" t="s">
        <v>30</v>
      </c>
      <c r="BA27" s="15" t="s">
        <v>31</v>
      </c>
      <c r="BB27" s="15" t="s">
        <v>32</v>
      </c>
      <c r="BC27" s="15" t="s">
        <v>33</v>
      </c>
      <c r="BD27" s="15" t="s">
        <v>34</v>
      </c>
      <c r="BE27" s="15" t="s">
        <v>35</v>
      </c>
      <c r="BF27" s="15" t="s">
        <v>36</v>
      </c>
      <c r="BG27" s="15" t="s">
        <v>37</v>
      </c>
      <c r="BH27" s="15" t="s">
        <v>38</v>
      </c>
      <c r="BI27" s="15" t="s">
        <v>39</v>
      </c>
      <c r="BJ27" s="15" t="s">
        <v>40</v>
      </c>
      <c r="BK27" s="15" t="s">
        <v>41</v>
      </c>
      <c r="BL27" s="15" t="s">
        <v>42</v>
      </c>
    </row>
    <row r="28" spans="1:68" ht="15.75" x14ac:dyDescent="0.25">
      <c r="A28" s="9" t="s">
        <v>363</v>
      </c>
      <c r="B28" s="18" t="s">
        <v>453</v>
      </c>
      <c r="C28" s="19">
        <v>46203</v>
      </c>
      <c r="D28" s="9" t="s">
        <v>436</v>
      </c>
      <c r="E28" s="9" t="s">
        <v>437</v>
      </c>
      <c r="F28" s="27" t="s">
        <v>1549</v>
      </c>
      <c r="G28" s="28" t="s">
        <v>1550</v>
      </c>
      <c r="H28" s="28" t="s">
        <v>1541</v>
      </c>
      <c r="I28" s="9" t="str">
        <f t="shared" ref="I28:I68" si="9">G28&amp;", ("&amp;L28&amp;"), xe "&amp;D28</f>
        <v>TP. Hồ Chí Minh - Hóc Môn, (≤2.5 tấn), xe 50H 44024</v>
      </c>
      <c r="J28" s="9" t="s">
        <v>438</v>
      </c>
      <c r="K28" s="9" t="s">
        <v>439</v>
      </c>
      <c r="L28" s="9" t="s">
        <v>260</v>
      </c>
      <c r="M28" s="9" t="s">
        <v>261</v>
      </c>
      <c r="N28" s="9" t="s">
        <v>470</v>
      </c>
      <c r="O28" s="9" t="s">
        <v>471</v>
      </c>
      <c r="P28" s="9" t="s">
        <v>472</v>
      </c>
      <c r="Q28" s="9" t="s">
        <v>23</v>
      </c>
      <c r="R28" s="9" t="s">
        <v>54</v>
      </c>
      <c r="S28" s="9" t="s">
        <v>122</v>
      </c>
      <c r="T28" s="9" t="s">
        <v>106</v>
      </c>
      <c r="U28" s="9" t="s">
        <v>138</v>
      </c>
      <c r="V28" s="8">
        <f t="shared" ref="V28:V68" si="10">ROUND(U28/1000,3)</f>
        <v>0.04</v>
      </c>
      <c r="W28" s="9">
        <f t="shared" ref="W28:W68" si="11">(IF($B28=$B27,0,SUMIF($B:$B,$B28,$V:$V)))</f>
        <v>0.17899999999999999</v>
      </c>
      <c r="X28" s="9">
        <f t="shared" ref="X28:X68" si="12">+IF(AND(D28=D27,C28=C27),0,SUMIFS($V:$V,$C:$C,$C28,$D:$D,$D28))</f>
        <v>0.17899999999999999</v>
      </c>
      <c r="Y28" s="20">
        <f>AL28</f>
        <v>1.9179999999999999</v>
      </c>
      <c r="Z28" s="38">
        <v>1369000</v>
      </c>
      <c r="AA28" s="38">
        <v>200000</v>
      </c>
      <c r="AD28" s="39">
        <f>ROUND(SUM(Z28:AB28)/Y28*X28,0)</f>
        <v>146429</v>
      </c>
      <c r="AE28" s="39">
        <f>ROUND(SUM(Z28:AB28)/Y28*X28,0)</f>
        <v>146429</v>
      </c>
      <c r="AH28" s="9" t="s">
        <v>20</v>
      </c>
      <c r="AI28" s="9" t="s">
        <v>1567</v>
      </c>
      <c r="AL28" s="20">
        <f>SUM(AM28:AR28)</f>
        <v>1.9179999999999999</v>
      </c>
      <c r="AM28" s="20">
        <v>1.5129999999999999</v>
      </c>
      <c r="AN28" s="9" t="s">
        <v>23</v>
      </c>
      <c r="AO28" s="20">
        <v>0.17899999999999999</v>
      </c>
      <c r="AP28" s="20">
        <v>0.188</v>
      </c>
      <c r="AQ28" s="20">
        <v>3.7999999999999999E-2</v>
      </c>
      <c r="AR28" s="20"/>
      <c r="AS28" s="20">
        <v>1.9179999999999999</v>
      </c>
      <c r="AT28" s="9" t="s">
        <v>23</v>
      </c>
      <c r="AU28" s="9" t="s">
        <v>446</v>
      </c>
      <c r="AV28" s="9" t="s">
        <v>473</v>
      </c>
      <c r="AW28" s="9" t="s">
        <v>458</v>
      </c>
      <c r="AX28" s="9" t="s">
        <v>61</v>
      </c>
      <c r="AY28" s="9" t="s">
        <v>62</v>
      </c>
      <c r="AZ28" s="9" t="s">
        <v>474</v>
      </c>
      <c r="BA28" s="9" t="s">
        <v>459</v>
      </c>
      <c r="BB28" s="9" t="s">
        <v>272</v>
      </c>
      <c r="BC28" s="9" t="s">
        <v>23</v>
      </c>
      <c r="BD28" s="9" t="s">
        <v>373</v>
      </c>
      <c r="BE28" s="9" t="s">
        <v>374</v>
      </c>
      <c r="BF28" s="9" t="s">
        <v>460</v>
      </c>
      <c r="BG28" s="9" t="s">
        <v>461</v>
      </c>
      <c r="BH28" s="9" t="s">
        <v>118</v>
      </c>
      <c r="BI28" s="9" t="s">
        <v>71</v>
      </c>
      <c r="BJ28" s="9" t="s">
        <v>450</v>
      </c>
      <c r="BK28" s="9" t="s">
        <v>451</v>
      </c>
      <c r="BL28" s="9" t="s">
        <v>452</v>
      </c>
    </row>
    <row r="29" spans="1:68" ht="15.75" x14ac:dyDescent="0.25">
      <c r="A29" s="9" t="s">
        <v>363</v>
      </c>
      <c r="B29" s="18" t="s">
        <v>453</v>
      </c>
      <c r="C29" s="19">
        <v>46203</v>
      </c>
      <c r="D29" s="9" t="s">
        <v>436</v>
      </c>
      <c r="E29" s="9" t="s">
        <v>437</v>
      </c>
      <c r="F29" s="27" t="s">
        <v>1549</v>
      </c>
      <c r="G29" s="28" t="s">
        <v>1550</v>
      </c>
      <c r="H29" s="28" t="s">
        <v>1541</v>
      </c>
      <c r="I29" s="9" t="str">
        <f t="shared" si="9"/>
        <v>TP. Hồ Chí Minh - Hóc Môn, (≤2.5 tấn), xe 50H 44024</v>
      </c>
      <c r="J29" s="9" t="s">
        <v>438</v>
      </c>
      <c r="K29" s="9" t="s">
        <v>439</v>
      </c>
      <c r="L29" s="9" t="s">
        <v>260</v>
      </c>
      <c r="M29" s="9" t="s">
        <v>261</v>
      </c>
      <c r="N29" s="9" t="s">
        <v>475</v>
      </c>
      <c r="O29" s="9" t="s">
        <v>476</v>
      </c>
      <c r="P29" s="9" t="s">
        <v>477</v>
      </c>
      <c r="Q29" s="9" t="s">
        <v>23</v>
      </c>
      <c r="R29" s="9" t="s">
        <v>54</v>
      </c>
      <c r="S29" s="9" t="s">
        <v>75</v>
      </c>
      <c r="T29" s="9" t="s">
        <v>106</v>
      </c>
      <c r="U29" s="9" t="s">
        <v>164</v>
      </c>
      <c r="V29" s="8">
        <f t="shared" si="10"/>
        <v>0.02</v>
      </c>
      <c r="W29" s="9">
        <f t="shared" si="11"/>
        <v>0</v>
      </c>
      <c r="X29" s="9">
        <f t="shared" si="12"/>
        <v>0</v>
      </c>
      <c r="AH29" s="9" t="s">
        <v>20</v>
      </c>
      <c r="AI29" s="9" t="s">
        <v>1567</v>
      </c>
      <c r="AL29" s="9" t="s">
        <v>23</v>
      </c>
      <c r="AM29" s="9" t="s">
        <v>23</v>
      </c>
      <c r="AN29" s="9" t="s">
        <v>23</v>
      </c>
      <c r="AO29" s="9" t="s">
        <v>23</v>
      </c>
      <c r="AP29" s="9" t="s">
        <v>23</v>
      </c>
      <c r="AQ29" s="9" t="s">
        <v>23</v>
      </c>
      <c r="AS29" s="9" t="s">
        <v>23</v>
      </c>
      <c r="AT29" s="9" t="s">
        <v>23</v>
      </c>
      <c r="AU29" s="9" t="s">
        <v>446</v>
      </c>
      <c r="AV29" s="9" t="s">
        <v>473</v>
      </c>
      <c r="AW29" s="9" t="s">
        <v>458</v>
      </c>
      <c r="AX29" s="9" t="s">
        <v>61</v>
      </c>
      <c r="AY29" s="9" t="s">
        <v>62</v>
      </c>
      <c r="AZ29" s="9" t="s">
        <v>474</v>
      </c>
      <c r="BA29" s="9" t="s">
        <v>459</v>
      </c>
      <c r="BB29" s="9" t="s">
        <v>272</v>
      </c>
      <c r="BC29" s="9" t="s">
        <v>23</v>
      </c>
      <c r="BD29" s="9" t="s">
        <v>373</v>
      </c>
      <c r="BE29" s="9" t="s">
        <v>374</v>
      </c>
      <c r="BF29" s="9" t="s">
        <v>460</v>
      </c>
      <c r="BG29" s="9" t="s">
        <v>461</v>
      </c>
      <c r="BH29" s="9" t="s">
        <v>118</v>
      </c>
      <c r="BI29" s="9" t="s">
        <v>71</v>
      </c>
      <c r="BJ29" s="9" t="s">
        <v>450</v>
      </c>
      <c r="BK29" s="9" t="s">
        <v>451</v>
      </c>
      <c r="BL29" s="9" t="s">
        <v>452</v>
      </c>
    </row>
    <row r="30" spans="1:68" ht="15.75" x14ac:dyDescent="0.25">
      <c r="A30" s="9" t="s">
        <v>363</v>
      </c>
      <c r="B30" s="18" t="s">
        <v>453</v>
      </c>
      <c r="C30" s="19">
        <v>46203</v>
      </c>
      <c r="D30" s="9" t="s">
        <v>436</v>
      </c>
      <c r="E30" s="9" t="s">
        <v>437</v>
      </c>
      <c r="F30" s="27" t="s">
        <v>1549</v>
      </c>
      <c r="G30" s="28" t="s">
        <v>1550</v>
      </c>
      <c r="H30" s="28" t="s">
        <v>1541</v>
      </c>
      <c r="I30" s="9" t="str">
        <f t="shared" si="9"/>
        <v>TP. Hồ Chí Minh - Hóc Môn, (≤2.5 tấn), xe 50H 44024</v>
      </c>
      <c r="J30" s="9" t="s">
        <v>438</v>
      </c>
      <c r="K30" s="9" t="s">
        <v>439</v>
      </c>
      <c r="L30" s="9" t="s">
        <v>260</v>
      </c>
      <c r="M30" s="9" t="s">
        <v>261</v>
      </c>
      <c r="N30" s="9" t="s">
        <v>478</v>
      </c>
      <c r="O30" s="9" t="s">
        <v>479</v>
      </c>
      <c r="P30" s="9" t="s">
        <v>480</v>
      </c>
      <c r="Q30" s="9" t="s">
        <v>23</v>
      </c>
      <c r="R30" s="9" t="s">
        <v>92</v>
      </c>
      <c r="S30" s="9" t="s">
        <v>195</v>
      </c>
      <c r="T30" s="9" t="s">
        <v>106</v>
      </c>
      <c r="U30" s="9" t="s">
        <v>94</v>
      </c>
      <c r="V30" s="8">
        <f t="shared" si="10"/>
        <v>0.05</v>
      </c>
      <c r="W30" s="9">
        <f t="shared" si="11"/>
        <v>0</v>
      </c>
      <c r="X30" s="9">
        <f t="shared" si="12"/>
        <v>0</v>
      </c>
      <c r="AH30" s="9" t="s">
        <v>20</v>
      </c>
      <c r="AI30" s="9" t="s">
        <v>1567</v>
      </c>
      <c r="AL30" s="9" t="s">
        <v>23</v>
      </c>
      <c r="AM30" s="9" t="s">
        <v>23</v>
      </c>
      <c r="AN30" s="9" t="s">
        <v>23</v>
      </c>
      <c r="AO30" s="9" t="s">
        <v>23</v>
      </c>
      <c r="AP30" s="9" t="s">
        <v>23</v>
      </c>
      <c r="AQ30" s="9" t="s">
        <v>23</v>
      </c>
      <c r="AS30" s="9" t="s">
        <v>23</v>
      </c>
      <c r="AT30" s="9" t="s">
        <v>23</v>
      </c>
      <c r="AU30" s="9" t="s">
        <v>446</v>
      </c>
      <c r="AV30" s="9" t="s">
        <v>473</v>
      </c>
      <c r="AW30" s="9" t="s">
        <v>458</v>
      </c>
      <c r="AX30" s="9" t="s">
        <v>61</v>
      </c>
      <c r="AY30" s="9" t="s">
        <v>62</v>
      </c>
      <c r="AZ30" s="9" t="s">
        <v>474</v>
      </c>
      <c r="BA30" s="9" t="s">
        <v>459</v>
      </c>
      <c r="BB30" s="9" t="s">
        <v>272</v>
      </c>
      <c r="BC30" s="9" t="s">
        <v>23</v>
      </c>
      <c r="BD30" s="9" t="s">
        <v>373</v>
      </c>
      <c r="BE30" s="9" t="s">
        <v>374</v>
      </c>
      <c r="BF30" s="9" t="s">
        <v>460</v>
      </c>
      <c r="BG30" s="9" t="s">
        <v>461</v>
      </c>
      <c r="BH30" s="9" t="s">
        <v>118</v>
      </c>
      <c r="BI30" s="9" t="s">
        <v>71</v>
      </c>
      <c r="BJ30" s="9" t="s">
        <v>450</v>
      </c>
      <c r="BK30" s="9" t="s">
        <v>451</v>
      </c>
      <c r="BL30" s="9" t="s">
        <v>452</v>
      </c>
    </row>
    <row r="31" spans="1:68" ht="15.75" x14ac:dyDescent="0.25">
      <c r="A31" s="9" t="s">
        <v>363</v>
      </c>
      <c r="B31" s="18" t="s">
        <v>453</v>
      </c>
      <c r="C31" s="19">
        <v>46203</v>
      </c>
      <c r="D31" s="9" t="s">
        <v>436</v>
      </c>
      <c r="E31" s="9" t="s">
        <v>437</v>
      </c>
      <c r="F31" s="27" t="s">
        <v>1549</v>
      </c>
      <c r="G31" s="28" t="s">
        <v>1550</v>
      </c>
      <c r="H31" s="28" t="s">
        <v>1541</v>
      </c>
      <c r="I31" s="9" t="str">
        <f t="shared" si="9"/>
        <v>TP. Hồ Chí Minh - Hóc Môn, (≤2.5 tấn), xe 50H 44024</v>
      </c>
      <c r="J31" s="9" t="s">
        <v>438</v>
      </c>
      <c r="K31" s="9" t="s">
        <v>439</v>
      </c>
      <c r="L31" s="9" t="s">
        <v>260</v>
      </c>
      <c r="M31" s="9" t="s">
        <v>261</v>
      </c>
      <c r="N31" s="9" t="s">
        <v>387</v>
      </c>
      <c r="O31" s="9" t="s">
        <v>388</v>
      </c>
      <c r="P31" s="9" t="s">
        <v>389</v>
      </c>
      <c r="Q31" s="9" t="s">
        <v>23</v>
      </c>
      <c r="R31" s="9" t="s">
        <v>54</v>
      </c>
      <c r="S31" s="9" t="s">
        <v>122</v>
      </c>
      <c r="T31" s="9" t="s">
        <v>382</v>
      </c>
      <c r="U31" s="9" t="s">
        <v>249</v>
      </c>
      <c r="V31" s="8">
        <f t="shared" si="10"/>
        <v>2.4E-2</v>
      </c>
      <c r="W31" s="9">
        <f t="shared" si="11"/>
        <v>0</v>
      </c>
      <c r="X31" s="9">
        <f t="shared" si="12"/>
        <v>0</v>
      </c>
      <c r="AH31" s="9" t="s">
        <v>20</v>
      </c>
      <c r="AI31" s="9" t="s">
        <v>1567</v>
      </c>
      <c r="AL31" s="9" t="s">
        <v>23</v>
      </c>
      <c r="AM31" s="9" t="s">
        <v>23</v>
      </c>
      <c r="AN31" s="9" t="s">
        <v>23</v>
      </c>
      <c r="AO31" s="9" t="s">
        <v>23</v>
      </c>
      <c r="AP31" s="9" t="s">
        <v>23</v>
      </c>
      <c r="AQ31" s="9" t="s">
        <v>23</v>
      </c>
      <c r="AS31" s="9" t="s">
        <v>23</v>
      </c>
      <c r="AT31" s="9" t="s">
        <v>23</v>
      </c>
      <c r="AU31" s="9" t="s">
        <v>446</v>
      </c>
      <c r="AV31" s="9" t="s">
        <v>473</v>
      </c>
      <c r="AW31" s="9" t="s">
        <v>458</v>
      </c>
      <c r="AX31" s="9" t="s">
        <v>61</v>
      </c>
      <c r="AY31" s="9" t="s">
        <v>62</v>
      </c>
      <c r="AZ31" s="9" t="s">
        <v>474</v>
      </c>
      <c r="BA31" s="9" t="s">
        <v>459</v>
      </c>
      <c r="BB31" s="9" t="s">
        <v>272</v>
      </c>
      <c r="BC31" s="9" t="s">
        <v>23</v>
      </c>
      <c r="BD31" s="9" t="s">
        <v>373</v>
      </c>
      <c r="BE31" s="9" t="s">
        <v>374</v>
      </c>
      <c r="BF31" s="9" t="s">
        <v>460</v>
      </c>
      <c r="BG31" s="9" t="s">
        <v>461</v>
      </c>
      <c r="BH31" s="9" t="s">
        <v>118</v>
      </c>
      <c r="BI31" s="9" t="s">
        <v>71</v>
      </c>
      <c r="BJ31" s="9" t="s">
        <v>450</v>
      </c>
      <c r="BK31" s="9" t="s">
        <v>451</v>
      </c>
      <c r="BL31" s="9" t="s">
        <v>452</v>
      </c>
    </row>
    <row r="32" spans="1:68" ht="15.75" x14ac:dyDescent="0.25">
      <c r="A32" s="9" t="s">
        <v>363</v>
      </c>
      <c r="B32" s="18" t="s">
        <v>453</v>
      </c>
      <c r="C32" s="19">
        <v>46203</v>
      </c>
      <c r="D32" s="9" t="s">
        <v>436</v>
      </c>
      <c r="E32" s="9" t="s">
        <v>437</v>
      </c>
      <c r="F32" s="27" t="s">
        <v>1549</v>
      </c>
      <c r="G32" s="28" t="s">
        <v>1550</v>
      </c>
      <c r="H32" s="28" t="s">
        <v>1541</v>
      </c>
      <c r="I32" s="9" t="str">
        <f t="shared" si="9"/>
        <v>TP. Hồ Chí Minh - Hóc Môn, (≤2.5 tấn), xe 50H 44024</v>
      </c>
      <c r="J32" s="9" t="s">
        <v>438</v>
      </c>
      <c r="K32" s="9" t="s">
        <v>439</v>
      </c>
      <c r="L32" s="9" t="s">
        <v>260</v>
      </c>
      <c r="M32" s="9" t="s">
        <v>261</v>
      </c>
      <c r="N32" s="9" t="s">
        <v>481</v>
      </c>
      <c r="O32" s="9" t="s">
        <v>482</v>
      </c>
      <c r="P32" s="9" t="s">
        <v>483</v>
      </c>
      <c r="Q32" s="9" t="s">
        <v>23</v>
      </c>
      <c r="R32" s="9" t="s">
        <v>54</v>
      </c>
      <c r="S32" s="9" t="s">
        <v>195</v>
      </c>
      <c r="T32" s="9" t="s">
        <v>187</v>
      </c>
      <c r="U32" s="9" t="s">
        <v>337</v>
      </c>
      <c r="V32" s="8">
        <f t="shared" si="10"/>
        <v>4.4999999999999998E-2</v>
      </c>
      <c r="W32" s="9">
        <f t="shared" si="11"/>
        <v>0</v>
      </c>
      <c r="X32" s="9">
        <f t="shared" si="12"/>
        <v>0</v>
      </c>
      <c r="AH32" s="9" t="s">
        <v>20</v>
      </c>
      <c r="AI32" s="9" t="s">
        <v>1567</v>
      </c>
      <c r="AL32" s="9" t="s">
        <v>23</v>
      </c>
      <c r="AM32" s="9" t="s">
        <v>23</v>
      </c>
      <c r="AN32" s="9" t="s">
        <v>23</v>
      </c>
      <c r="AO32" s="9" t="s">
        <v>23</v>
      </c>
      <c r="AP32" s="9" t="s">
        <v>23</v>
      </c>
      <c r="AQ32" s="9" t="s">
        <v>23</v>
      </c>
      <c r="AS32" s="9" t="s">
        <v>23</v>
      </c>
      <c r="AT32" s="9" t="s">
        <v>23</v>
      </c>
      <c r="AU32" s="9" t="s">
        <v>446</v>
      </c>
      <c r="AV32" s="9" t="s">
        <v>473</v>
      </c>
      <c r="AW32" s="9" t="s">
        <v>458</v>
      </c>
      <c r="AX32" s="9" t="s">
        <v>61</v>
      </c>
      <c r="AY32" s="9" t="s">
        <v>62</v>
      </c>
      <c r="AZ32" s="9" t="s">
        <v>474</v>
      </c>
      <c r="BA32" s="9" t="s">
        <v>459</v>
      </c>
      <c r="BB32" s="9" t="s">
        <v>272</v>
      </c>
      <c r="BC32" s="9" t="s">
        <v>23</v>
      </c>
      <c r="BD32" s="9" t="s">
        <v>404</v>
      </c>
      <c r="BE32" s="9" t="s">
        <v>405</v>
      </c>
      <c r="BF32" s="9" t="s">
        <v>460</v>
      </c>
      <c r="BG32" s="9" t="s">
        <v>461</v>
      </c>
      <c r="BH32" s="9" t="s">
        <v>118</v>
      </c>
      <c r="BI32" s="9" t="s">
        <v>71</v>
      </c>
      <c r="BJ32" s="9" t="s">
        <v>450</v>
      </c>
      <c r="BK32" s="9" t="s">
        <v>451</v>
      </c>
      <c r="BL32" s="9" t="s">
        <v>452</v>
      </c>
    </row>
    <row r="33" spans="1:64" ht="15.75" x14ac:dyDescent="0.25">
      <c r="A33" s="9" t="s">
        <v>363</v>
      </c>
      <c r="B33" s="18" t="s">
        <v>605</v>
      </c>
      <c r="C33" s="19">
        <v>46203</v>
      </c>
      <c r="D33" s="9" t="s">
        <v>513</v>
      </c>
      <c r="E33" s="9" t="s">
        <v>606</v>
      </c>
      <c r="F33" s="27" t="s">
        <v>1543</v>
      </c>
      <c r="G33" s="28" t="s">
        <v>545</v>
      </c>
      <c r="H33" s="28" t="s">
        <v>1541</v>
      </c>
      <c r="I33" s="9" t="str">
        <f t="shared" si="9"/>
        <v>TP. Hồ Chí Minh - Tân Mỹ, (≤2.5 tấn), xe 50H 44328</v>
      </c>
      <c r="J33" s="9" t="s">
        <v>531</v>
      </c>
      <c r="K33" s="9" t="s">
        <v>532</v>
      </c>
      <c r="L33" s="9" t="s">
        <v>260</v>
      </c>
      <c r="M33" s="9" t="s">
        <v>261</v>
      </c>
      <c r="N33" s="9" t="s">
        <v>607</v>
      </c>
      <c r="O33" s="9" t="s">
        <v>608</v>
      </c>
      <c r="P33" s="9" t="s">
        <v>609</v>
      </c>
      <c r="Q33" s="9" t="s">
        <v>610</v>
      </c>
      <c r="R33" s="9" t="s">
        <v>54</v>
      </c>
      <c r="S33" s="9" t="s">
        <v>195</v>
      </c>
      <c r="T33" s="9" t="s">
        <v>611</v>
      </c>
      <c r="U33" s="9" t="s">
        <v>179</v>
      </c>
      <c r="V33" s="8">
        <f t="shared" si="10"/>
        <v>1.7999999999999999E-2</v>
      </c>
      <c r="W33" s="9">
        <f t="shared" si="11"/>
        <v>0.19099999999999998</v>
      </c>
      <c r="X33" s="9">
        <f t="shared" si="12"/>
        <v>0.19599999999999998</v>
      </c>
      <c r="Y33" s="20">
        <f>AL33</f>
        <v>1.7730000000000001</v>
      </c>
      <c r="Z33" s="38">
        <v>1369000</v>
      </c>
      <c r="AA33" s="38">
        <v>200000</v>
      </c>
      <c r="AD33" s="39">
        <f>ROUND(SUM(Z33:AB33)/Y33*X33,0)</f>
        <v>173448</v>
      </c>
      <c r="AE33" s="39">
        <f>ROUND(SUM(Z33:AB33)/Y33*X33,0)</f>
        <v>173448</v>
      </c>
      <c r="AH33" s="9" t="s">
        <v>20</v>
      </c>
      <c r="AI33" s="9" t="s">
        <v>1567</v>
      </c>
      <c r="AL33" s="20">
        <f>SUM(AM33:AR33)</f>
        <v>1.7730000000000001</v>
      </c>
      <c r="AM33" s="20">
        <v>0.93300000000000005</v>
      </c>
      <c r="AN33" s="9" t="s">
        <v>23</v>
      </c>
      <c r="AO33" s="20">
        <v>0.19600000000000001</v>
      </c>
      <c r="AP33" s="20">
        <v>0.38100000000000001</v>
      </c>
      <c r="AQ33" s="20">
        <v>0.26300000000000001</v>
      </c>
      <c r="AR33" s="20"/>
      <c r="AS33" s="20">
        <v>1.7729999999999999</v>
      </c>
      <c r="AT33" s="9" t="s">
        <v>23</v>
      </c>
      <c r="AU33" s="9" t="s">
        <v>539</v>
      </c>
      <c r="AV33" s="9" t="s">
        <v>473</v>
      </c>
      <c r="AW33" s="9" t="s">
        <v>612</v>
      </c>
      <c r="AX33" s="9" t="s">
        <v>61</v>
      </c>
      <c r="AY33" s="9" t="s">
        <v>522</v>
      </c>
      <c r="AZ33" s="9" t="s">
        <v>474</v>
      </c>
      <c r="BA33" s="9" t="s">
        <v>577</v>
      </c>
      <c r="BB33" s="9" t="s">
        <v>272</v>
      </c>
      <c r="BC33" s="9" t="s">
        <v>613</v>
      </c>
      <c r="BD33" s="9" t="s">
        <v>373</v>
      </c>
      <c r="BE33" s="9" t="s">
        <v>374</v>
      </c>
      <c r="BF33" s="9" t="s">
        <v>614</v>
      </c>
      <c r="BG33" s="9" t="s">
        <v>615</v>
      </c>
      <c r="BH33" s="9" t="s">
        <v>118</v>
      </c>
      <c r="BI33" s="9" t="s">
        <v>71</v>
      </c>
      <c r="BJ33" s="9" t="s">
        <v>544</v>
      </c>
      <c r="BK33" s="9" t="s">
        <v>545</v>
      </c>
      <c r="BL33" s="9" t="s">
        <v>546</v>
      </c>
    </row>
    <row r="34" spans="1:64" ht="15.75" x14ac:dyDescent="0.25">
      <c r="A34" s="9" t="s">
        <v>363</v>
      </c>
      <c r="B34" s="18" t="s">
        <v>605</v>
      </c>
      <c r="C34" s="19">
        <v>46203</v>
      </c>
      <c r="D34" s="9" t="s">
        <v>513</v>
      </c>
      <c r="E34" s="9" t="s">
        <v>606</v>
      </c>
      <c r="F34" s="27" t="s">
        <v>1543</v>
      </c>
      <c r="G34" s="28" t="s">
        <v>545</v>
      </c>
      <c r="H34" s="28" t="s">
        <v>1541</v>
      </c>
      <c r="I34" s="9" t="str">
        <f t="shared" si="9"/>
        <v>TP. Hồ Chí Minh - Tân Mỹ, (≤2.5 tấn), xe 50H 44328</v>
      </c>
      <c r="J34" s="9" t="s">
        <v>531</v>
      </c>
      <c r="K34" s="9" t="s">
        <v>532</v>
      </c>
      <c r="L34" s="9" t="s">
        <v>260</v>
      </c>
      <c r="M34" s="9" t="s">
        <v>261</v>
      </c>
      <c r="N34" s="9" t="s">
        <v>616</v>
      </c>
      <c r="O34" s="9" t="s">
        <v>617</v>
      </c>
      <c r="P34" s="9" t="s">
        <v>618</v>
      </c>
      <c r="Q34" s="9" t="s">
        <v>610</v>
      </c>
      <c r="R34" s="9" t="s">
        <v>54</v>
      </c>
      <c r="S34" s="9" t="s">
        <v>195</v>
      </c>
      <c r="T34" s="9" t="s">
        <v>76</v>
      </c>
      <c r="U34" s="9" t="s">
        <v>249</v>
      </c>
      <c r="V34" s="8">
        <f t="shared" si="10"/>
        <v>2.4E-2</v>
      </c>
      <c r="W34" s="9">
        <f t="shared" si="11"/>
        <v>0</v>
      </c>
      <c r="X34" s="9">
        <f t="shared" si="12"/>
        <v>0</v>
      </c>
      <c r="AH34" s="9" t="s">
        <v>20</v>
      </c>
      <c r="AI34" s="9" t="s">
        <v>1567</v>
      </c>
      <c r="AL34" s="9" t="s">
        <v>23</v>
      </c>
      <c r="AM34" s="9" t="s">
        <v>23</v>
      </c>
      <c r="AN34" s="9" t="s">
        <v>23</v>
      </c>
      <c r="AO34" s="9" t="s">
        <v>23</v>
      </c>
      <c r="AP34" s="9" t="s">
        <v>23</v>
      </c>
      <c r="AQ34" s="9" t="s">
        <v>23</v>
      </c>
      <c r="AS34" s="9" t="s">
        <v>23</v>
      </c>
      <c r="AT34" s="9" t="s">
        <v>23</v>
      </c>
      <c r="AU34" s="9" t="s">
        <v>539</v>
      </c>
      <c r="AV34" s="9" t="s">
        <v>473</v>
      </c>
      <c r="AW34" s="9" t="s">
        <v>612</v>
      </c>
      <c r="AX34" s="9" t="s">
        <v>61</v>
      </c>
      <c r="AY34" s="9" t="s">
        <v>522</v>
      </c>
      <c r="AZ34" s="9" t="s">
        <v>474</v>
      </c>
      <c r="BA34" s="9" t="s">
        <v>577</v>
      </c>
      <c r="BB34" s="9" t="s">
        <v>272</v>
      </c>
      <c r="BC34" s="9" t="s">
        <v>613</v>
      </c>
      <c r="BD34" s="9" t="s">
        <v>373</v>
      </c>
      <c r="BE34" s="9" t="s">
        <v>374</v>
      </c>
      <c r="BF34" s="9" t="s">
        <v>614</v>
      </c>
      <c r="BG34" s="9" t="s">
        <v>615</v>
      </c>
      <c r="BH34" s="9" t="s">
        <v>118</v>
      </c>
      <c r="BI34" s="9" t="s">
        <v>71</v>
      </c>
      <c r="BJ34" s="9" t="s">
        <v>544</v>
      </c>
      <c r="BK34" s="9" t="s">
        <v>545</v>
      </c>
      <c r="BL34" s="9" t="s">
        <v>546</v>
      </c>
    </row>
    <row r="35" spans="1:64" ht="15.75" x14ac:dyDescent="0.25">
      <c r="A35" s="9" t="s">
        <v>363</v>
      </c>
      <c r="B35" s="18" t="s">
        <v>605</v>
      </c>
      <c r="C35" s="19">
        <v>46203</v>
      </c>
      <c r="D35" s="9" t="s">
        <v>513</v>
      </c>
      <c r="E35" s="9" t="s">
        <v>606</v>
      </c>
      <c r="F35" s="27" t="s">
        <v>1543</v>
      </c>
      <c r="G35" s="28" t="s">
        <v>545</v>
      </c>
      <c r="H35" s="28" t="s">
        <v>1541</v>
      </c>
      <c r="I35" s="9" t="str">
        <f t="shared" si="9"/>
        <v>TP. Hồ Chí Minh - Tân Mỹ, (≤2.5 tấn), xe 50H 44328</v>
      </c>
      <c r="J35" s="9" t="s">
        <v>531</v>
      </c>
      <c r="K35" s="9" t="s">
        <v>532</v>
      </c>
      <c r="L35" s="9" t="s">
        <v>260</v>
      </c>
      <c r="M35" s="9" t="s">
        <v>261</v>
      </c>
      <c r="N35" s="9" t="s">
        <v>619</v>
      </c>
      <c r="O35" s="9" t="s">
        <v>620</v>
      </c>
      <c r="P35" s="9" t="s">
        <v>621</v>
      </c>
      <c r="Q35" s="9" t="s">
        <v>610</v>
      </c>
      <c r="R35" s="9" t="s">
        <v>54</v>
      </c>
      <c r="S35" s="9" t="s">
        <v>195</v>
      </c>
      <c r="T35" s="9" t="s">
        <v>622</v>
      </c>
      <c r="U35" s="9">
        <v>16.5</v>
      </c>
      <c r="V35" s="8">
        <f t="shared" si="10"/>
        <v>1.7000000000000001E-2</v>
      </c>
      <c r="W35" s="9">
        <f t="shared" si="11"/>
        <v>0</v>
      </c>
      <c r="X35" s="9">
        <f t="shared" si="12"/>
        <v>0</v>
      </c>
      <c r="AH35" s="9" t="s">
        <v>20</v>
      </c>
      <c r="AI35" s="9" t="s">
        <v>1567</v>
      </c>
      <c r="AL35" s="9" t="s">
        <v>23</v>
      </c>
      <c r="AM35" s="9" t="s">
        <v>23</v>
      </c>
      <c r="AN35" s="9" t="s">
        <v>23</v>
      </c>
      <c r="AO35" s="9" t="s">
        <v>23</v>
      </c>
      <c r="AP35" s="9" t="s">
        <v>23</v>
      </c>
      <c r="AQ35" s="9" t="s">
        <v>23</v>
      </c>
      <c r="AS35" s="9" t="s">
        <v>23</v>
      </c>
      <c r="AT35" s="9" t="s">
        <v>23</v>
      </c>
      <c r="AU35" s="9" t="s">
        <v>539</v>
      </c>
      <c r="AV35" s="9" t="s">
        <v>473</v>
      </c>
      <c r="AW35" s="9" t="s">
        <v>612</v>
      </c>
      <c r="AX35" s="9" t="s">
        <v>61</v>
      </c>
      <c r="AY35" s="9" t="s">
        <v>522</v>
      </c>
      <c r="AZ35" s="9" t="s">
        <v>474</v>
      </c>
      <c r="BA35" s="9" t="s">
        <v>577</v>
      </c>
      <c r="BB35" s="9" t="s">
        <v>272</v>
      </c>
      <c r="BC35" s="9" t="s">
        <v>613</v>
      </c>
      <c r="BD35" s="9" t="s">
        <v>373</v>
      </c>
      <c r="BE35" s="9" t="s">
        <v>374</v>
      </c>
      <c r="BF35" s="9" t="s">
        <v>614</v>
      </c>
      <c r="BG35" s="9" t="s">
        <v>615</v>
      </c>
      <c r="BH35" s="9" t="s">
        <v>118</v>
      </c>
      <c r="BI35" s="9" t="s">
        <v>71</v>
      </c>
      <c r="BJ35" s="9" t="s">
        <v>544</v>
      </c>
      <c r="BK35" s="9" t="s">
        <v>545</v>
      </c>
      <c r="BL35" s="9" t="s">
        <v>546</v>
      </c>
    </row>
    <row r="36" spans="1:64" ht="15.75" x14ac:dyDescent="0.25">
      <c r="A36" s="9" t="s">
        <v>363</v>
      </c>
      <c r="B36" s="18" t="s">
        <v>605</v>
      </c>
      <c r="C36" s="19">
        <v>46203</v>
      </c>
      <c r="D36" s="9" t="s">
        <v>513</v>
      </c>
      <c r="E36" s="9" t="s">
        <v>606</v>
      </c>
      <c r="F36" s="27" t="s">
        <v>1543</v>
      </c>
      <c r="G36" s="28" t="s">
        <v>545</v>
      </c>
      <c r="H36" s="28" t="s">
        <v>1541</v>
      </c>
      <c r="I36" s="9" t="str">
        <f t="shared" si="9"/>
        <v>TP. Hồ Chí Minh - Tân Mỹ, (≤2.5 tấn), xe 50H 44328</v>
      </c>
      <c r="J36" s="9" t="s">
        <v>531</v>
      </c>
      <c r="K36" s="9" t="s">
        <v>532</v>
      </c>
      <c r="L36" s="9" t="s">
        <v>260</v>
      </c>
      <c r="M36" s="9" t="s">
        <v>261</v>
      </c>
      <c r="N36" s="9" t="s">
        <v>624</v>
      </c>
      <c r="O36" s="9" t="s">
        <v>625</v>
      </c>
      <c r="P36" s="9" t="s">
        <v>626</v>
      </c>
      <c r="Q36" s="9" t="s">
        <v>610</v>
      </c>
      <c r="R36" s="9" t="s">
        <v>54</v>
      </c>
      <c r="S36" s="9" t="s">
        <v>195</v>
      </c>
      <c r="T36" s="9" t="s">
        <v>76</v>
      </c>
      <c r="U36" s="9" t="s">
        <v>249</v>
      </c>
      <c r="V36" s="8">
        <f t="shared" si="10"/>
        <v>2.4E-2</v>
      </c>
      <c r="W36" s="9">
        <f t="shared" si="11"/>
        <v>0</v>
      </c>
      <c r="X36" s="9">
        <f t="shared" si="12"/>
        <v>0</v>
      </c>
      <c r="AH36" s="9" t="s">
        <v>20</v>
      </c>
      <c r="AI36" s="9" t="s">
        <v>1567</v>
      </c>
      <c r="AL36" s="9" t="s">
        <v>23</v>
      </c>
      <c r="AM36" s="9" t="s">
        <v>23</v>
      </c>
      <c r="AN36" s="9" t="s">
        <v>23</v>
      </c>
      <c r="AO36" s="9" t="s">
        <v>23</v>
      </c>
      <c r="AP36" s="9" t="s">
        <v>23</v>
      </c>
      <c r="AQ36" s="9" t="s">
        <v>23</v>
      </c>
      <c r="AS36" s="9" t="s">
        <v>23</v>
      </c>
      <c r="AT36" s="9" t="s">
        <v>23</v>
      </c>
      <c r="AU36" s="9" t="s">
        <v>539</v>
      </c>
      <c r="AV36" s="9" t="s">
        <v>473</v>
      </c>
      <c r="AW36" s="9" t="s">
        <v>612</v>
      </c>
      <c r="AX36" s="9" t="s">
        <v>61</v>
      </c>
      <c r="AY36" s="9" t="s">
        <v>522</v>
      </c>
      <c r="AZ36" s="9" t="s">
        <v>474</v>
      </c>
      <c r="BA36" s="9" t="s">
        <v>577</v>
      </c>
      <c r="BB36" s="9" t="s">
        <v>272</v>
      </c>
      <c r="BC36" s="9" t="s">
        <v>613</v>
      </c>
      <c r="BD36" s="9" t="s">
        <v>373</v>
      </c>
      <c r="BE36" s="9" t="s">
        <v>374</v>
      </c>
      <c r="BF36" s="9" t="s">
        <v>614</v>
      </c>
      <c r="BG36" s="9" t="s">
        <v>615</v>
      </c>
      <c r="BH36" s="9" t="s">
        <v>118</v>
      </c>
      <c r="BI36" s="9" t="s">
        <v>71</v>
      </c>
      <c r="BJ36" s="9" t="s">
        <v>544</v>
      </c>
      <c r="BK36" s="9" t="s">
        <v>545</v>
      </c>
      <c r="BL36" s="9" t="s">
        <v>546</v>
      </c>
    </row>
    <row r="37" spans="1:64" ht="15.75" x14ac:dyDescent="0.25">
      <c r="A37" s="9" t="s">
        <v>363</v>
      </c>
      <c r="B37" s="18" t="s">
        <v>605</v>
      </c>
      <c r="C37" s="19">
        <v>46203</v>
      </c>
      <c r="D37" s="9" t="s">
        <v>513</v>
      </c>
      <c r="E37" s="9" t="s">
        <v>606</v>
      </c>
      <c r="F37" s="27" t="s">
        <v>1543</v>
      </c>
      <c r="G37" s="28" t="s">
        <v>545</v>
      </c>
      <c r="H37" s="28" t="s">
        <v>1541</v>
      </c>
      <c r="I37" s="9" t="str">
        <f t="shared" si="9"/>
        <v>TP. Hồ Chí Minh - Tân Mỹ, (≤2.5 tấn), xe 50H 44328</v>
      </c>
      <c r="J37" s="9" t="s">
        <v>531</v>
      </c>
      <c r="K37" s="9" t="s">
        <v>532</v>
      </c>
      <c r="L37" s="9" t="s">
        <v>260</v>
      </c>
      <c r="M37" s="9" t="s">
        <v>261</v>
      </c>
      <c r="N37" s="9" t="s">
        <v>627</v>
      </c>
      <c r="O37" s="9" t="s">
        <v>628</v>
      </c>
      <c r="P37" s="9" t="s">
        <v>629</v>
      </c>
      <c r="Q37" s="9" t="s">
        <v>610</v>
      </c>
      <c r="R37" s="9" t="s">
        <v>54</v>
      </c>
      <c r="S37" s="9" t="s">
        <v>195</v>
      </c>
      <c r="T37" s="9" t="s">
        <v>611</v>
      </c>
      <c r="U37" s="9" t="s">
        <v>179</v>
      </c>
      <c r="V37" s="8">
        <f t="shared" si="10"/>
        <v>1.7999999999999999E-2</v>
      </c>
      <c r="W37" s="9">
        <f t="shared" si="11"/>
        <v>0</v>
      </c>
      <c r="X37" s="9">
        <f t="shared" si="12"/>
        <v>0</v>
      </c>
      <c r="AH37" s="9" t="s">
        <v>20</v>
      </c>
      <c r="AI37" s="9" t="s">
        <v>1567</v>
      </c>
      <c r="AL37" s="9" t="s">
        <v>23</v>
      </c>
      <c r="AM37" s="9" t="s">
        <v>23</v>
      </c>
      <c r="AN37" s="9" t="s">
        <v>23</v>
      </c>
      <c r="AO37" s="9" t="s">
        <v>23</v>
      </c>
      <c r="AP37" s="9" t="s">
        <v>23</v>
      </c>
      <c r="AQ37" s="9" t="s">
        <v>23</v>
      </c>
      <c r="AS37" s="9" t="s">
        <v>23</v>
      </c>
      <c r="AT37" s="9" t="s">
        <v>23</v>
      </c>
      <c r="AU37" s="9" t="s">
        <v>539</v>
      </c>
      <c r="AV37" s="9" t="s">
        <v>473</v>
      </c>
      <c r="AW37" s="9" t="s">
        <v>612</v>
      </c>
      <c r="AX37" s="9" t="s">
        <v>61</v>
      </c>
      <c r="AY37" s="9" t="s">
        <v>522</v>
      </c>
      <c r="AZ37" s="9" t="s">
        <v>474</v>
      </c>
      <c r="BA37" s="9" t="s">
        <v>577</v>
      </c>
      <c r="BB37" s="9" t="s">
        <v>272</v>
      </c>
      <c r="BC37" s="9" t="s">
        <v>613</v>
      </c>
      <c r="BD37" s="9" t="s">
        <v>373</v>
      </c>
      <c r="BE37" s="9" t="s">
        <v>374</v>
      </c>
      <c r="BF37" s="9" t="s">
        <v>614</v>
      </c>
      <c r="BG37" s="9" t="s">
        <v>615</v>
      </c>
      <c r="BH37" s="9" t="s">
        <v>118</v>
      </c>
      <c r="BI37" s="9" t="s">
        <v>71</v>
      </c>
      <c r="BJ37" s="9" t="s">
        <v>544</v>
      </c>
      <c r="BK37" s="9" t="s">
        <v>545</v>
      </c>
      <c r="BL37" s="9" t="s">
        <v>546</v>
      </c>
    </row>
    <row r="38" spans="1:64" ht="15.75" x14ac:dyDescent="0.25">
      <c r="A38" s="9" t="s">
        <v>363</v>
      </c>
      <c r="B38" s="18" t="s">
        <v>605</v>
      </c>
      <c r="C38" s="19">
        <v>46203</v>
      </c>
      <c r="D38" s="9" t="s">
        <v>513</v>
      </c>
      <c r="E38" s="9" t="s">
        <v>606</v>
      </c>
      <c r="F38" s="27" t="s">
        <v>1543</v>
      </c>
      <c r="G38" s="28" t="s">
        <v>545</v>
      </c>
      <c r="H38" s="28" t="s">
        <v>1541</v>
      </c>
      <c r="I38" s="9" t="str">
        <f t="shared" si="9"/>
        <v>TP. Hồ Chí Minh - Tân Mỹ, (≤2.5 tấn), xe 50H 44328</v>
      </c>
      <c r="J38" s="9" t="s">
        <v>531</v>
      </c>
      <c r="K38" s="9" t="s">
        <v>532</v>
      </c>
      <c r="L38" s="9" t="s">
        <v>260</v>
      </c>
      <c r="M38" s="9" t="s">
        <v>261</v>
      </c>
      <c r="N38" s="9" t="s">
        <v>379</v>
      </c>
      <c r="O38" s="9" t="s">
        <v>380</v>
      </c>
      <c r="P38" s="9" t="s">
        <v>381</v>
      </c>
      <c r="Q38" s="9" t="s">
        <v>610</v>
      </c>
      <c r="R38" s="9" t="s">
        <v>54</v>
      </c>
      <c r="S38" s="9" t="s">
        <v>106</v>
      </c>
      <c r="T38" s="9" t="s">
        <v>382</v>
      </c>
      <c r="U38" s="9" t="s">
        <v>197</v>
      </c>
      <c r="V38" s="8">
        <f t="shared" si="10"/>
        <v>0.06</v>
      </c>
      <c r="W38" s="9">
        <f t="shared" si="11"/>
        <v>0</v>
      </c>
      <c r="X38" s="9">
        <f t="shared" si="12"/>
        <v>0</v>
      </c>
      <c r="AH38" s="9" t="s">
        <v>20</v>
      </c>
      <c r="AI38" s="9" t="s">
        <v>1567</v>
      </c>
      <c r="AL38" s="9" t="s">
        <v>23</v>
      </c>
      <c r="AM38" s="9" t="s">
        <v>23</v>
      </c>
      <c r="AN38" s="9" t="s">
        <v>23</v>
      </c>
      <c r="AO38" s="9" t="s">
        <v>23</v>
      </c>
      <c r="AP38" s="9" t="s">
        <v>23</v>
      </c>
      <c r="AQ38" s="9" t="s">
        <v>23</v>
      </c>
      <c r="AS38" s="9" t="s">
        <v>23</v>
      </c>
      <c r="AT38" s="9" t="s">
        <v>23</v>
      </c>
      <c r="AU38" s="9" t="s">
        <v>539</v>
      </c>
      <c r="AV38" s="9" t="s">
        <v>473</v>
      </c>
      <c r="AW38" s="9" t="s">
        <v>612</v>
      </c>
      <c r="AX38" s="9" t="s">
        <v>61</v>
      </c>
      <c r="AY38" s="9" t="s">
        <v>522</v>
      </c>
      <c r="AZ38" s="9" t="s">
        <v>474</v>
      </c>
      <c r="BA38" s="9" t="s">
        <v>577</v>
      </c>
      <c r="BB38" s="9" t="s">
        <v>272</v>
      </c>
      <c r="BC38" s="9" t="s">
        <v>613</v>
      </c>
      <c r="BD38" s="9" t="s">
        <v>373</v>
      </c>
      <c r="BE38" s="9" t="s">
        <v>374</v>
      </c>
      <c r="BF38" s="9" t="s">
        <v>614</v>
      </c>
      <c r="BG38" s="9" t="s">
        <v>615</v>
      </c>
      <c r="BH38" s="9" t="s">
        <v>118</v>
      </c>
      <c r="BI38" s="9" t="s">
        <v>71</v>
      </c>
      <c r="BJ38" s="9" t="s">
        <v>544</v>
      </c>
      <c r="BK38" s="9" t="s">
        <v>545</v>
      </c>
      <c r="BL38" s="9" t="s">
        <v>546</v>
      </c>
    </row>
    <row r="39" spans="1:64" ht="15.75" x14ac:dyDescent="0.25">
      <c r="A39" s="9" t="s">
        <v>363</v>
      </c>
      <c r="B39" s="18" t="s">
        <v>605</v>
      </c>
      <c r="C39" s="19">
        <v>46203</v>
      </c>
      <c r="D39" s="9" t="s">
        <v>513</v>
      </c>
      <c r="E39" s="9" t="s">
        <v>606</v>
      </c>
      <c r="F39" s="27" t="s">
        <v>1543</v>
      </c>
      <c r="G39" s="28" t="s">
        <v>545</v>
      </c>
      <c r="H39" s="28" t="s">
        <v>1541</v>
      </c>
      <c r="I39" s="9" t="str">
        <f t="shared" si="9"/>
        <v>TP. Hồ Chí Minh - Tân Mỹ, (≤2.5 tấn), xe 50H 44328</v>
      </c>
      <c r="J39" s="9" t="s">
        <v>531</v>
      </c>
      <c r="K39" s="9" t="s">
        <v>532</v>
      </c>
      <c r="L39" s="9" t="s">
        <v>260</v>
      </c>
      <c r="M39" s="9" t="s">
        <v>261</v>
      </c>
      <c r="N39" s="9" t="s">
        <v>387</v>
      </c>
      <c r="O39" s="9" t="s">
        <v>388</v>
      </c>
      <c r="P39" s="9" t="s">
        <v>389</v>
      </c>
      <c r="Q39" s="9" t="s">
        <v>610</v>
      </c>
      <c r="R39" s="9" t="s">
        <v>54</v>
      </c>
      <c r="S39" s="9" t="s">
        <v>195</v>
      </c>
      <c r="T39" s="9" t="s">
        <v>382</v>
      </c>
      <c r="U39" s="9" t="s">
        <v>398</v>
      </c>
      <c r="V39" s="8">
        <f t="shared" si="10"/>
        <v>0.03</v>
      </c>
      <c r="W39" s="9">
        <f t="shared" si="11"/>
        <v>0</v>
      </c>
      <c r="X39" s="9">
        <f t="shared" si="12"/>
        <v>0</v>
      </c>
      <c r="AH39" s="9" t="s">
        <v>20</v>
      </c>
      <c r="AI39" s="9" t="s">
        <v>1567</v>
      </c>
      <c r="AL39" s="9" t="s">
        <v>23</v>
      </c>
      <c r="AM39" s="9" t="s">
        <v>23</v>
      </c>
      <c r="AN39" s="9" t="s">
        <v>23</v>
      </c>
      <c r="AO39" s="9" t="s">
        <v>23</v>
      </c>
      <c r="AP39" s="9" t="s">
        <v>23</v>
      </c>
      <c r="AQ39" s="9" t="s">
        <v>23</v>
      </c>
      <c r="AS39" s="9" t="s">
        <v>23</v>
      </c>
      <c r="AT39" s="9" t="s">
        <v>23</v>
      </c>
      <c r="AU39" s="9" t="s">
        <v>539</v>
      </c>
      <c r="AV39" s="9" t="s">
        <v>473</v>
      </c>
      <c r="AW39" s="9" t="s">
        <v>612</v>
      </c>
      <c r="AX39" s="9" t="s">
        <v>61</v>
      </c>
      <c r="AY39" s="9" t="s">
        <v>522</v>
      </c>
      <c r="AZ39" s="9" t="s">
        <v>474</v>
      </c>
      <c r="BA39" s="9" t="s">
        <v>577</v>
      </c>
      <c r="BB39" s="9" t="s">
        <v>272</v>
      </c>
      <c r="BC39" s="9" t="s">
        <v>613</v>
      </c>
      <c r="BD39" s="9" t="s">
        <v>373</v>
      </c>
      <c r="BE39" s="9" t="s">
        <v>374</v>
      </c>
      <c r="BF39" s="9" t="s">
        <v>614</v>
      </c>
      <c r="BG39" s="9" t="s">
        <v>615</v>
      </c>
      <c r="BH39" s="9" t="s">
        <v>118</v>
      </c>
      <c r="BI39" s="9" t="s">
        <v>71</v>
      </c>
      <c r="BJ39" s="9" t="s">
        <v>544</v>
      </c>
      <c r="BK39" s="9" t="s">
        <v>545</v>
      </c>
      <c r="BL39" s="9" t="s">
        <v>546</v>
      </c>
    </row>
    <row r="40" spans="1:64" ht="15.75" x14ac:dyDescent="0.25">
      <c r="A40" s="9" t="s">
        <v>363</v>
      </c>
      <c r="B40" s="18" t="s">
        <v>667</v>
      </c>
      <c r="C40" s="19">
        <v>46203</v>
      </c>
      <c r="D40" s="9" t="s">
        <v>513</v>
      </c>
      <c r="E40" s="9" t="s">
        <v>606</v>
      </c>
      <c r="F40" s="27" t="s">
        <v>1543</v>
      </c>
      <c r="G40" s="28" t="s">
        <v>545</v>
      </c>
      <c r="H40" s="28" t="s">
        <v>1541</v>
      </c>
      <c r="I40" s="9" t="str">
        <f t="shared" si="9"/>
        <v>TP. Hồ Chí Minh - Tân Mỹ, (≤2.5 tấn), xe 50H 44328</v>
      </c>
      <c r="J40" s="9" t="s">
        <v>531</v>
      </c>
      <c r="K40" s="9" t="s">
        <v>532</v>
      </c>
      <c r="L40" s="9" t="s">
        <v>260</v>
      </c>
      <c r="M40" s="9" t="s">
        <v>261</v>
      </c>
      <c r="N40" s="9" t="s">
        <v>390</v>
      </c>
      <c r="O40" s="9" t="s">
        <v>391</v>
      </c>
      <c r="P40" s="9" t="s">
        <v>392</v>
      </c>
      <c r="Q40" s="9" t="s">
        <v>610</v>
      </c>
      <c r="R40" s="9" t="s">
        <v>54</v>
      </c>
      <c r="S40" s="9" t="s">
        <v>96</v>
      </c>
      <c r="T40" s="9" t="s">
        <v>76</v>
      </c>
      <c r="U40" s="9">
        <v>4.8</v>
      </c>
      <c r="V40" s="8">
        <f t="shared" si="10"/>
        <v>5.0000000000000001E-3</v>
      </c>
      <c r="W40" s="9">
        <f t="shared" si="11"/>
        <v>5.0000000000000001E-3</v>
      </c>
      <c r="X40" s="9">
        <f t="shared" si="12"/>
        <v>0</v>
      </c>
      <c r="AH40" s="9" t="s">
        <v>20</v>
      </c>
      <c r="AI40" s="9" t="s">
        <v>1567</v>
      </c>
      <c r="AL40" s="9" t="s">
        <v>23</v>
      </c>
      <c r="AM40" s="9" t="s">
        <v>23</v>
      </c>
      <c r="AN40" s="9" t="s">
        <v>23</v>
      </c>
      <c r="AO40" s="9" t="s">
        <v>23</v>
      </c>
      <c r="AP40" s="9" t="s">
        <v>23</v>
      </c>
      <c r="AQ40" s="9" t="s">
        <v>23</v>
      </c>
      <c r="AS40" s="9" t="s">
        <v>23</v>
      </c>
      <c r="AT40" s="9" t="s">
        <v>23</v>
      </c>
      <c r="AU40" s="9" t="s">
        <v>539</v>
      </c>
      <c r="AV40" s="9" t="s">
        <v>473</v>
      </c>
      <c r="AW40" s="9" t="s">
        <v>668</v>
      </c>
      <c r="AX40" s="9" t="s">
        <v>61</v>
      </c>
      <c r="AY40" s="9" t="s">
        <v>522</v>
      </c>
      <c r="AZ40" s="9" t="s">
        <v>474</v>
      </c>
      <c r="BA40" s="9" t="s">
        <v>577</v>
      </c>
      <c r="BB40" s="9" t="s">
        <v>272</v>
      </c>
      <c r="BC40" s="9" t="s">
        <v>664</v>
      </c>
      <c r="BD40" s="9" t="s">
        <v>373</v>
      </c>
      <c r="BE40" s="9" t="s">
        <v>374</v>
      </c>
      <c r="BF40" s="9" t="s">
        <v>669</v>
      </c>
      <c r="BG40" s="9" t="s">
        <v>670</v>
      </c>
      <c r="BH40" s="9" t="s">
        <v>118</v>
      </c>
      <c r="BI40" s="9" t="s">
        <v>71</v>
      </c>
      <c r="BJ40" s="9" t="s">
        <v>544</v>
      </c>
      <c r="BK40" s="9" t="s">
        <v>545</v>
      </c>
      <c r="BL40" s="9" t="s">
        <v>546</v>
      </c>
    </row>
    <row r="41" spans="1:64" ht="15.75" x14ac:dyDescent="0.25">
      <c r="A41" s="9" t="s">
        <v>363</v>
      </c>
      <c r="B41" s="18" t="s">
        <v>786</v>
      </c>
      <c r="C41" s="19">
        <v>46203</v>
      </c>
      <c r="D41" s="9" t="s">
        <v>787</v>
      </c>
      <c r="E41" s="9" t="s">
        <v>788</v>
      </c>
      <c r="F41" s="27" t="s">
        <v>1551</v>
      </c>
      <c r="G41" s="28" t="s">
        <v>798</v>
      </c>
      <c r="H41" s="28" t="s">
        <v>1541</v>
      </c>
      <c r="I41" s="9" t="str">
        <f t="shared" si="9"/>
        <v>TP. Hồ Chí Minh - Bình Tân, (≤2.5 tấn), xe 50H 64316</v>
      </c>
      <c r="J41" s="9" t="s">
        <v>789</v>
      </c>
      <c r="K41" s="9" t="s">
        <v>790</v>
      </c>
      <c r="L41" s="9" t="s">
        <v>260</v>
      </c>
      <c r="M41" s="9" t="s">
        <v>261</v>
      </c>
      <c r="N41" s="9" t="s">
        <v>475</v>
      </c>
      <c r="O41" s="9" t="s">
        <v>476</v>
      </c>
      <c r="P41" s="9" t="s">
        <v>477</v>
      </c>
      <c r="Q41" s="9" t="s">
        <v>791</v>
      </c>
      <c r="R41" s="9" t="s">
        <v>54</v>
      </c>
      <c r="S41" s="9" t="s">
        <v>164</v>
      </c>
      <c r="T41" s="9" t="s">
        <v>106</v>
      </c>
      <c r="U41" s="9" t="s">
        <v>764</v>
      </c>
      <c r="V41" s="8">
        <f t="shared" si="10"/>
        <v>0.2</v>
      </c>
      <c r="W41" s="9">
        <f t="shared" si="11"/>
        <v>0.2</v>
      </c>
      <c r="X41" s="9">
        <f t="shared" si="12"/>
        <v>0.2</v>
      </c>
      <c r="Y41" s="20">
        <f t="shared" ref="Y41:Y42" si="13">AL41</f>
        <v>2.0449999999999999</v>
      </c>
      <c r="Z41" s="38">
        <v>1369000</v>
      </c>
      <c r="AA41" s="38">
        <v>200000</v>
      </c>
      <c r="AD41" s="39">
        <f>ROUND(SUM(Z41:AB41)/Y41*X41,0)</f>
        <v>153447</v>
      </c>
      <c r="AE41" s="39">
        <f>ROUND(SUM(Z41:AB41)/Y41*X41,0)</f>
        <v>153447</v>
      </c>
      <c r="AH41" s="9" t="s">
        <v>20</v>
      </c>
      <c r="AI41" s="9" t="s">
        <v>1567</v>
      </c>
      <c r="AL41" s="20">
        <f t="shared" ref="AL41:AL42" si="14">SUM(AM41:AR41)</f>
        <v>2.0449999999999999</v>
      </c>
      <c r="AM41" s="20">
        <v>1.845</v>
      </c>
      <c r="AN41" s="9" t="s">
        <v>23</v>
      </c>
      <c r="AO41" s="20">
        <v>0.2</v>
      </c>
      <c r="AP41" s="9" t="s">
        <v>23</v>
      </c>
      <c r="AQ41" s="9" t="s">
        <v>23</v>
      </c>
      <c r="AR41" s="20"/>
      <c r="AS41" s="20">
        <v>2.0449999999999999</v>
      </c>
      <c r="AT41" s="9" t="s">
        <v>23</v>
      </c>
      <c r="AU41" s="9" t="s">
        <v>792</v>
      </c>
      <c r="AV41" s="9" t="s">
        <v>473</v>
      </c>
      <c r="AW41" s="9" t="s">
        <v>793</v>
      </c>
      <c r="AX41" s="9" t="s">
        <v>269</v>
      </c>
      <c r="AY41" s="9" t="s">
        <v>270</v>
      </c>
      <c r="AZ41" s="9" t="s">
        <v>474</v>
      </c>
      <c r="BA41" s="9" t="s">
        <v>794</v>
      </c>
      <c r="BB41" s="9" t="s">
        <v>272</v>
      </c>
      <c r="BC41" s="9" t="s">
        <v>795</v>
      </c>
      <c r="BD41" s="9" t="s">
        <v>373</v>
      </c>
      <c r="BE41" s="9" t="s">
        <v>374</v>
      </c>
      <c r="BF41" s="9" t="s">
        <v>796</v>
      </c>
      <c r="BG41" s="9" t="s">
        <v>797</v>
      </c>
      <c r="BH41" s="9" t="s">
        <v>118</v>
      </c>
      <c r="BI41" s="9" t="s">
        <v>71</v>
      </c>
      <c r="BJ41" s="9" t="s">
        <v>544</v>
      </c>
      <c r="BK41" s="9" t="s">
        <v>798</v>
      </c>
      <c r="BL41" s="9" t="s">
        <v>799</v>
      </c>
    </row>
    <row r="42" spans="1:64" ht="15.75" x14ac:dyDescent="0.25">
      <c r="A42" s="9" t="s">
        <v>363</v>
      </c>
      <c r="B42" s="18" t="s">
        <v>986</v>
      </c>
      <c r="C42" s="19">
        <v>46203</v>
      </c>
      <c r="D42" s="9" t="s">
        <v>969</v>
      </c>
      <c r="E42" s="9" t="s">
        <v>970</v>
      </c>
      <c r="F42" s="27" t="s">
        <v>1540</v>
      </c>
      <c r="G42" s="28" t="s">
        <v>984</v>
      </c>
      <c r="H42" s="28" t="s">
        <v>1541</v>
      </c>
      <c r="I42" s="9" t="str">
        <f t="shared" si="9"/>
        <v>TP. Hồ Chí Minh - Trung Mỹ Tây, (≤2.5 tấn), xe 50H 87442</v>
      </c>
      <c r="J42" s="9" t="s">
        <v>971</v>
      </c>
      <c r="K42" s="9" t="s">
        <v>987</v>
      </c>
      <c r="L42" s="9" t="s">
        <v>260</v>
      </c>
      <c r="M42" s="9" t="s">
        <v>261</v>
      </c>
      <c r="N42" s="9" t="s">
        <v>390</v>
      </c>
      <c r="O42" s="9" t="s">
        <v>391</v>
      </c>
      <c r="P42" s="9" t="s">
        <v>392</v>
      </c>
      <c r="Q42" s="9" t="s">
        <v>988</v>
      </c>
      <c r="R42" s="9" t="s">
        <v>54</v>
      </c>
      <c r="S42" s="9" t="s">
        <v>195</v>
      </c>
      <c r="T42" s="9" t="s">
        <v>76</v>
      </c>
      <c r="U42" s="9" t="s">
        <v>249</v>
      </c>
      <c r="V42" s="8">
        <f t="shared" si="10"/>
        <v>2.4E-2</v>
      </c>
      <c r="W42" s="9">
        <f t="shared" si="11"/>
        <v>5.6999999999999995E-2</v>
      </c>
      <c r="X42" s="9">
        <f t="shared" si="12"/>
        <v>0.20700000000000005</v>
      </c>
      <c r="Y42" s="20">
        <f t="shared" si="13"/>
        <v>1.222</v>
      </c>
      <c r="Z42" s="38">
        <v>1369000</v>
      </c>
      <c r="AA42" s="38">
        <v>200000</v>
      </c>
      <c r="AD42" s="39">
        <f>ROUND(SUM(Z42:AB42)/Y42*X42,0)</f>
        <v>265780</v>
      </c>
      <c r="AE42" s="39">
        <f>ROUND(SUM(Z42:AB42)/Y42*X42,0)</f>
        <v>265780</v>
      </c>
      <c r="AH42" s="9" t="s">
        <v>1570</v>
      </c>
      <c r="AI42" s="9" t="s">
        <v>1567</v>
      </c>
      <c r="AL42" s="20">
        <f t="shared" si="14"/>
        <v>1.222</v>
      </c>
      <c r="AM42" s="20">
        <v>0.93400000000000005</v>
      </c>
      <c r="AN42" s="20">
        <v>0.06</v>
      </c>
      <c r="AO42" s="20">
        <v>0.20699999999999999</v>
      </c>
      <c r="AP42" s="9" t="s">
        <v>23</v>
      </c>
      <c r="AQ42" s="20">
        <v>2.1000000000000001E-2</v>
      </c>
      <c r="AR42" s="20"/>
      <c r="AS42" s="20">
        <v>1.222</v>
      </c>
      <c r="AT42" s="9" t="s">
        <v>23</v>
      </c>
      <c r="AU42" s="9" t="s">
        <v>23</v>
      </c>
      <c r="AV42" s="9" t="s">
        <v>977</v>
      </c>
      <c r="AW42" s="9" t="s">
        <v>989</v>
      </c>
      <c r="AX42" s="9" t="s">
        <v>61</v>
      </c>
      <c r="AY42" s="9" t="s">
        <v>522</v>
      </c>
      <c r="AZ42" s="9" t="s">
        <v>979</v>
      </c>
      <c r="BA42" s="9" t="s">
        <v>980</v>
      </c>
      <c r="BB42" s="9" t="s">
        <v>980</v>
      </c>
      <c r="BC42" s="9" t="s">
        <v>990</v>
      </c>
      <c r="BD42" s="9" t="s">
        <v>373</v>
      </c>
      <c r="BE42" s="9" t="s">
        <v>374</v>
      </c>
      <c r="BF42" s="9" t="s">
        <v>991</v>
      </c>
      <c r="BG42" s="9" t="s">
        <v>992</v>
      </c>
      <c r="BH42" s="9" t="s">
        <v>118</v>
      </c>
      <c r="BI42" s="9" t="s">
        <v>71</v>
      </c>
      <c r="BJ42" s="9" t="s">
        <v>544</v>
      </c>
      <c r="BK42" s="9" t="s">
        <v>984</v>
      </c>
      <c r="BL42" s="9" t="s">
        <v>985</v>
      </c>
    </row>
    <row r="43" spans="1:64" ht="15.75" x14ac:dyDescent="0.25">
      <c r="A43" s="9" t="s">
        <v>363</v>
      </c>
      <c r="B43" s="18" t="s">
        <v>986</v>
      </c>
      <c r="C43" s="19">
        <v>46203</v>
      </c>
      <c r="D43" s="9" t="s">
        <v>969</v>
      </c>
      <c r="E43" s="9" t="s">
        <v>970</v>
      </c>
      <c r="F43" s="27" t="s">
        <v>1540</v>
      </c>
      <c r="G43" s="28" t="s">
        <v>984</v>
      </c>
      <c r="H43" s="28" t="s">
        <v>1541</v>
      </c>
      <c r="I43" s="9" t="str">
        <f t="shared" si="9"/>
        <v>TP. Hồ Chí Minh - Trung Mỹ Tây, (≤2.5 tấn), xe 50H 87442</v>
      </c>
      <c r="J43" s="9" t="s">
        <v>971</v>
      </c>
      <c r="K43" s="9" t="s">
        <v>987</v>
      </c>
      <c r="L43" s="9" t="s">
        <v>260</v>
      </c>
      <c r="M43" s="9" t="s">
        <v>261</v>
      </c>
      <c r="N43" s="9" t="s">
        <v>993</v>
      </c>
      <c r="O43" s="9" t="s">
        <v>994</v>
      </c>
      <c r="P43" s="9" t="s">
        <v>995</v>
      </c>
      <c r="Q43" s="9" t="s">
        <v>988</v>
      </c>
      <c r="R43" s="9" t="s">
        <v>54</v>
      </c>
      <c r="S43" s="9" t="s">
        <v>195</v>
      </c>
      <c r="T43" s="9" t="s">
        <v>361</v>
      </c>
      <c r="U43" s="9" t="s">
        <v>55</v>
      </c>
      <c r="V43" s="8">
        <f t="shared" si="10"/>
        <v>1.4999999999999999E-2</v>
      </c>
      <c r="W43" s="9">
        <f t="shared" si="11"/>
        <v>0</v>
      </c>
      <c r="X43" s="9">
        <f t="shared" si="12"/>
        <v>0</v>
      </c>
      <c r="AH43" s="9" t="s">
        <v>1570</v>
      </c>
      <c r="AI43" s="9" t="s">
        <v>1567</v>
      </c>
      <c r="AL43" s="9" t="s">
        <v>23</v>
      </c>
      <c r="AM43" s="9" t="s">
        <v>23</v>
      </c>
      <c r="AN43" s="9" t="s">
        <v>23</v>
      </c>
      <c r="AO43" s="9" t="s">
        <v>23</v>
      </c>
      <c r="AP43" s="9" t="s">
        <v>23</v>
      </c>
      <c r="AQ43" s="9" t="s">
        <v>23</v>
      </c>
      <c r="AS43" s="9" t="s">
        <v>23</v>
      </c>
      <c r="AT43" s="9" t="s">
        <v>23</v>
      </c>
      <c r="AU43" s="9" t="s">
        <v>23</v>
      </c>
      <c r="AV43" s="9" t="s">
        <v>977</v>
      </c>
      <c r="AW43" s="9" t="s">
        <v>989</v>
      </c>
      <c r="AX43" s="9" t="s">
        <v>61</v>
      </c>
      <c r="AY43" s="9" t="s">
        <v>522</v>
      </c>
      <c r="AZ43" s="9" t="s">
        <v>979</v>
      </c>
      <c r="BA43" s="9" t="s">
        <v>980</v>
      </c>
      <c r="BB43" s="9" t="s">
        <v>980</v>
      </c>
      <c r="BC43" s="9" t="s">
        <v>990</v>
      </c>
      <c r="BD43" s="9" t="s">
        <v>373</v>
      </c>
      <c r="BE43" s="9" t="s">
        <v>374</v>
      </c>
      <c r="BF43" s="9" t="s">
        <v>991</v>
      </c>
      <c r="BG43" s="9" t="s">
        <v>992</v>
      </c>
      <c r="BH43" s="9" t="s">
        <v>118</v>
      </c>
      <c r="BI43" s="9" t="s">
        <v>71</v>
      </c>
      <c r="BJ43" s="9" t="s">
        <v>544</v>
      </c>
      <c r="BK43" s="9" t="s">
        <v>984</v>
      </c>
      <c r="BL43" s="9" t="s">
        <v>985</v>
      </c>
    </row>
    <row r="44" spans="1:64" ht="15.75" x14ac:dyDescent="0.25">
      <c r="A44" s="9" t="s">
        <v>363</v>
      </c>
      <c r="B44" s="18" t="s">
        <v>986</v>
      </c>
      <c r="C44" s="19">
        <v>46203</v>
      </c>
      <c r="D44" s="9" t="s">
        <v>969</v>
      </c>
      <c r="E44" s="9" t="s">
        <v>970</v>
      </c>
      <c r="F44" s="27" t="s">
        <v>1540</v>
      </c>
      <c r="G44" s="28" t="s">
        <v>984</v>
      </c>
      <c r="H44" s="28" t="s">
        <v>1541</v>
      </c>
      <c r="I44" s="9" t="str">
        <f t="shared" si="9"/>
        <v>TP. Hồ Chí Minh - Trung Mỹ Tây, (≤2.5 tấn), xe 50H 87442</v>
      </c>
      <c r="J44" s="9" t="s">
        <v>971</v>
      </c>
      <c r="K44" s="9" t="s">
        <v>987</v>
      </c>
      <c r="L44" s="9" t="s">
        <v>260</v>
      </c>
      <c r="M44" s="9" t="s">
        <v>261</v>
      </c>
      <c r="N44" s="9" t="s">
        <v>387</v>
      </c>
      <c r="O44" s="9" t="s">
        <v>388</v>
      </c>
      <c r="P44" s="9" t="s">
        <v>389</v>
      </c>
      <c r="Q44" s="9" t="s">
        <v>988</v>
      </c>
      <c r="R44" s="9" t="s">
        <v>54</v>
      </c>
      <c r="S44" s="9" t="s">
        <v>361</v>
      </c>
      <c r="T44" s="9" t="s">
        <v>382</v>
      </c>
      <c r="U44" s="9" t="s">
        <v>179</v>
      </c>
      <c r="V44" s="8">
        <f t="shared" si="10"/>
        <v>1.7999999999999999E-2</v>
      </c>
      <c r="W44" s="9">
        <f t="shared" si="11"/>
        <v>0</v>
      </c>
      <c r="X44" s="9">
        <f t="shared" si="12"/>
        <v>0</v>
      </c>
      <c r="AH44" s="9" t="s">
        <v>1570</v>
      </c>
      <c r="AI44" s="9" t="s">
        <v>1567</v>
      </c>
      <c r="AL44" s="9" t="s">
        <v>23</v>
      </c>
      <c r="AM44" s="9" t="s">
        <v>23</v>
      </c>
      <c r="AN44" s="9" t="s">
        <v>23</v>
      </c>
      <c r="AO44" s="9" t="s">
        <v>23</v>
      </c>
      <c r="AP44" s="9" t="s">
        <v>23</v>
      </c>
      <c r="AQ44" s="9" t="s">
        <v>23</v>
      </c>
      <c r="AS44" s="9" t="s">
        <v>23</v>
      </c>
      <c r="AT44" s="9" t="s">
        <v>23</v>
      </c>
      <c r="AU44" s="9" t="s">
        <v>23</v>
      </c>
      <c r="AV44" s="9" t="s">
        <v>977</v>
      </c>
      <c r="AW44" s="9" t="s">
        <v>989</v>
      </c>
      <c r="AX44" s="9" t="s">
        <v>61</v>
      </c>
      <c r="AY44" s="9" t="s">
        <v>522</v>
      </c>
      <c r="AZ44" s="9" t="s">
        <v>979</v>
      </c>
      <c r="BA44" s="9" t="s">
        <v>980</v>
      </c>
      <c r="BB44" s="9" t="s">
        <v>980</v>
      </c>
      <c r="BC44" s="9" t="s">
        <v>990</v>
      </c>
      <c r="BD44" s="9" t="s">
        <v>373</v>
      </c>
      <c r="BE44" s="9" t="s">
        <v>374</v>
      </c>
      <c r="BF44" s="9" t="s">
        <v>991</v>
      </c>
      <c r="BG44" s="9" t="s">
        <v>992</v>
      </c>
      <c r="BH44" s="9" t="s">
        <v>118</v>
      </c>
      <c r="BI44" s="9" t="s">
        <v>71</v>
      </c>
      <c r="BJ44" s="9" t="s">
        <v>544</v>
      </c>
      <c r="BK44" s="9" t="s">
        <v>984</v>
      </c>
      <c r="BL44" s="9" t="s">
        <v>985</v>
      </c>
    </row>
    <row r="45" spans="1:64" ht="15.75" x14ac:dyDescent="0.25">
      <c r="A45" s="9" t="s">
        <v>363</v>
      </c>
      <c r="B45" s="18" t="s">
        <v>1019</v>
      </c>
      <c r="C45" s="19">
        <v>46203</v>
      </c>
      <c r="D45" s="9" t="s">
        <v>969</v>
      </c>
      <c r="E45" s="9" t="s">
        <v>970</v>
      </c>
      <c r="F45" s="27" t="s">
        <v>1540</v>
      </c>
      <c r="G45" s="28" t="s">
        <v>984</v>
      </c>
      <c r="H45" s="28" t="s">
        <v>1541</v>
      </c>
      <c r="I45" s="9" t="str">
        <f t="shared" si="9"/>
        <v>TP. Hồ Chí Minh - Trung Mỹ Tây, (≤2.5 tấn), xe 50H 87442</v>
      </c>
      <c r="J45" s="9" t="s">
        <v>971</v>
      </c>
      <c r="K45" s="9" t="s">
        <v>972</v>
      </c>
      <c r="L45" s="9" t="s">
        <v>260</v>
      </c>
      <c r="M45" s="9" t="s">
        <v>261</v>
      </c>
      <c r="N45" s="9" t="s">
        <v>607</v>
      </c>
      <c r="O45" s="9" t="s">
        <v>608</v>
      </c>
      <c r="P45" s="9" t="s">
        <v>609</v>
      </c>
      <c r="Q45" s="9" t="s">
        <v>976</v>
      </c>
      <c r="R45" s="9" t="s">
        <v>54</v>
      </c>
      <c r="S45" s="9" t="s">
        <v>96</v>
      </c>
      <c r="T45" s="9" t="s">
        <v>611</v>
      </c>
      <c r="U45" s="9">
        <v>3.6</v>
      </c>
      <c r="V45" s="8">
        <f t="shared" si="10"/>
        <v>4.0000000000000001E-3</v>
      </c>
      <c r="W45" s="9">
        <f t="shared" si="11"/>
        <v>2.1000000000000001E-2</v>
      </c>
      <c r="X45" s="9">
        <f t="shared" si="12"/>
        <v>0</v>
      </c>
      <c r="AH45" s="9" t="s">
        <v>1570</v>
      </c>
      <c r="AI45" s="9" t="s">
        <v>1567</v>
      </c>
      <c r="AL45" s="9" t="s">
        <v>23</v>
      </c>
      <c r="AM45" s="9" t="s">
        <v>23</v>
      </c>
      <c r="AN45" s="9" t="s">
        <v>23</v>
      </c>
      <c r="AO45" s="9" t="s">
        <v>23</v>
      </c>
      <c r="AP45" s="9" t="s">
        <v>23</v>
      </c>
      <c r="AQ45" s="9" t="s">
        <v>23</v>
      </c>
      <c r="AS45" s="9" t="s">
        <v>23</v>
      </c>
      <c r="AT45" s="9" t="s">
        <v>23</v>
      </c>
      <c r="AU45" s="9" t="s">
        <v>23</v>
      </c>
      <c r="AV45" s="9" t="s">
        <v>977</v>
      </c>
      <c r="AW45" s="9" t="s">
        <v>1020</v>
      </c>
      <c r="AX45" s="9" t="s">
        <v>61</v>
      </c>
      <c r="AY45" s="9" t="s">
        <v>522</v>
      </c>
      <c r="AZ45" s="9" t="s">
        <v>979</v>
      </c>
      <c r="BA45" s="9" t="s">
        <v>980</v>
      </c>
      <c r="BB45" s="9" t="s">
        <v>980</v>
      </c>
      <c r="BC45" s="9" t="s">
        <v>981</v>
      </c>
      <c r="BD45" s="9" t="s">
        <v>373</v>
      </c>
      <c r="BE45" s="9" t="s">
        <v>374</v>
      </c>
      <c r="BF45" s="9" t="s">
        <v>1021</v>
      </c>
      <c r="BG45" s="9" t="s">
        <v>1022</v>
      </c>
      <c r="BH45" s="9" t="s">
        <v>118</v>
      </c>
      <c r="BI45" s="9" t="s">
        <v>71</v>
      </c>
      <c r="BJ45" s="9" t="s">
        <v>544</v>
      </c>
      <c r="BK45" s="9" t="s">
        <v>984</v>
      </c>
      <c r="BL45" s="9" t="s">
        <v>985</v>
      </c>
    </row>
    <row r="46" spans="1:64" ht="15.75" x14ac:dyDescent="0.25">
      <c r="A46" s="9" t="s">
        <v>363</v>
      </c>
      <c r="B46" s="18" t="s">
        <v>1019</v>
      </c>
      <c r="C46" s="19">
        <v>46203</v>
      </c>
      <c r="D46" s="9" t="s">
        <v>969</v>
      </c>
      <c r="E46" s="9" t="s">
        <v>970</v>
      </c>
      <c r="F46" s="27" t="s">
        <v>1540</v>
      </c>
      <c r="G46" s="28" t="s">
        <v>984</v>
      </c>
      <c r="H46" s="28" t="s">
        <v>1541</v>
      </c>
      <c r="I46" s="9" t="str">
        <f t="shared" si="9"/>
        <v>TP. Hồ Chí Minh - Trung Mỹ Tây, (≤2.5 tấn), xe 50H 87442</v>
      </c>
      <c r="J46" s="9" t="s">
        <v>971</v>
      </c>
      <c r="K46" s="9" t="s">
        <v>972</v>
      </c>
      <c r="L46" s="9" t="s">
        <v>260</v>
      </c>
      <c r="M46" s="9" t="s">
        <v>261</v>
      </c>
      <c r="N46" s="9" t="s">
        <v>390</v>
      </c>
      <c r="O46" s="9" t="s">
        <v>391</v>
      </c>
      <c r="P46" s="9" t="s">
        <v>392</v>
      </c>
      <c r="Q46" s="9" t="s">
        <v>976</v>
      </c>
      <c r="R46" s="9" t="s">
        <v>54</v>
      </c>
      <c r="S46" s="9" t="s">
        <v>96</v>
      </c>
      <c r="T46" s="9" t="s">
        <v>76</v>
      </c>
      <c r="U46" s="9">
        <v>4.8</v>
      </c>
      <c r="V46" s="8">
        <f t="shared" si="10"/>
        <v>5.0000000000000001E-3</v>
      </c>
      <c r="W46" s="9">
        <f t="shared" si="11"/>
        <v>0</v>
      </c>
      <c r="X46" s="9">
        <f t="shared" si="12"/>
        <v>0</v>
      </c>
      <c r="AH46" s="9" t="s">
        <v>1570</v>
      </c>
      <c r="AI46" s="9" t="s">
        <v>1567</v>
      </c>
      <c r="AL46" s="9" t="s">
        <v>23</v>
      </c>
      <c r="AM46" s="9" t="s">
        <v>23</v>
      </c>
      <c r="AN46" s="9" t="s">
        <v>23</v>
      </c>
      <c r="AO46" s="9" t="s">
        <v>23</v>
      </c>
      <c r="AP46" s="9" t="s">
        <v>23</v>
      </c>
      <c r="AQ46" s="9" t="s">
        <v>23</v>
      </c>
      <c r="AS46" s="9" t="s">
        <v>23</v>
      </c>
      <c r="AT46" s="9" t="s">
        <v>23</v>
      </c>
      <c r="AU46" s="9" t="s">
        <v>23</v>
      </c>
      <c r="AV46" s="9" t="s">
        <v>977</v>
      </c>
      <c r="AW46" s="9" t="s">
        <v>1020</v>
      </c>
      <c r="AX46" s="9" t="s">
        <v>61</v>
      </c>
      <c r="AY46" s="9" t="s">
        <v>522</v>
      </c>
      <c r="AZ46" s="9" t="s">
        <v>979</v>
      </c>
      <c r="BA46" s="9" t="s">
        <v>980</v>
      </c>
      <c r="BB46" s="9" t="s">
        <v>980</v>
      </c>
      <c r="BC46" s="9" t="s">
        <v>981</v>
      </c>
      <c r="BD46" s="9" t="s">
        <v>373</v>
      </c>
      <c r="BE46" s="9" t="s">
        <v>374</v>
      </c>
      <c r="BF46" s="9" t="s">
        <v>1021</v>
      </c>
      <c r="BG46" s="9" t="s">
        <v>1022</v>
      </c>
      <c r="BH46" s="9" t="s">
        <v>118</v>
      </c>
      <c r="BI46" s="9" t="s">
        <v>71</v>
      </c>
      <c r="BJ46" s="9" t="s">
        <v>544</v>
      </c>
      <c r="BK46" s="9" t="s">
        <v>984</v>
      </c>
      <c r="BL46" s="9" t="s">
        <v>985</v>
      </c>
    </row>
    <row r="47" spans="1:64" ht="15.75" x14ac:dyDescent="0.25">
      <c r="A47" s="9" t="s">
        <v>363</v>
      </c>
      <c r="B47" s="18" t="s">
        <v>1019</v>
      </c>
      <c r="C47" s="19">
        <v>46203</v>
      </c>
      <c r="D47" s="9" t="s">
        <v>969</v>
      </c>
      <c r="E47" s="9" t="s">
        <v>970</v>
      </c>
      <c r="F47" s="27" t="s">
        <v>1540</v>
      </c>
      <c r="G47" s="28" t="s">
        <v>984</v>
      </c>
      <c r="H47" s="28" t="s">
        <v>1541</v>
      </c>
      <c r="I47" s="9" t="str">
        <f t="shared" si="9"/>
        <v>TP. Hồ Chí Minh - Trung Mỹ Tây, (≤2.5 tấn), xe 50H 87442</v>
      </c>
      <c r="J47" s="9" t="s">
        <v>971</v>
      </c>
      <c r="K47" s="9" t="s">
        <v>972</v>
      </c>
      <c r="L47" s="9" t="s">
        <v>260</v>
      </c>
      <c r="M47" s="9" t="s">
        <v>261</v>
      </c>
      <c r="N47" s="9" t="s">
        <v>627</v>
      </c>
      <c r="O47" s="9" t="s">
        <v>628</v>
      </c>
      <c r="P47" s="9" t="s">
        <v>629</v>
      </c>
      <c r="Q47" s="9" t="s">
        <v>976</v>
      </c>
      <c r="R47" s="9" t="s">
        <v>54</v>
      </c>
      <c r="S47" s="9" t="s">
        <v>96</v>
      </c>
      <c r="T47" s="9" t="s">
        <v>611</v>
      </c>
      <c r="U47" s="9">
        <v>3.6</v>
      </c>
      <c r="V47" s="8">
        <f t="shared" si="10"/>
        <v>4.0000000000000001E-3</v>
      </c>
      <c r="W47" s="9">
        <f t="shared" si="11"/>
        <v>0</v>
      </c>
      <c r="X47" s="9">
        <f t="shared" si="12"/>
        <v>0</v>
      </c>
      <c r="AH47" s="9" t="s">
        <v>1570</v>
      </c>
      <c r="AI47" s="9" t="s">
        <v>1567</v>
      </c>
      <c r="AL47" s="9" t="s">
        <v>23</v>
      </c>
      <c r="AM47" s="9" t="s">
        <v>23</v>
      </c>
      <c r="AN47" s="9" t="s">
        <v>23</v>
      </c>
      <c r="AO47" s="9" t="s">
        <v>23</v>
      </c>
      <c r="AP47" s="9" t="s">
        <v>23</v>
      </c>
      <c r="AQ47" s="9" t="s">
        <v>23</v>
      </c>
      <c r="AS47" s="9" t="s">
        <v>23</v>
      </c>
      <c r="AT47" s="9" t="s">
        <v>23</v>
      </c>
      <c r="AU47" s="9" t="s">
        <v>23</v>
      </c>
      <c r="AV47" s="9" t="s">
        <v>977</v>
      </c>
      <c r="AW47" s="9" t="s">
        <v>1020</v>
      </c>
      <c r="AX47" s="9" t="s">
        <v>61</v>
      </c>
      <c r="AY47" s="9" t="s">
        <v>522</v>
      </c>
      <c r="AZ47" s="9" t="s">
        <v>979</v>
      </c>
      <c r="BA47" s="9" t="s">
        <v>980</v>
      </c>
      <c r="BB47" s="9" t="s">
        <v>980</v>
      </c>
      <c r="BC47" s="9" t="s">
        <v>981</v>
      </c>
      <c r="BD47" s="9" t="s">
        <v>373</v>
      </c>
      <c r="BE47" s="9" t="s">
        <v>374</v>
      </c>
      <c r="BF47" s="9" t="s">
        <v>1021</v>
      </c>
      <c r="BG47" s="9" t="s">
        <v>1022</v>
      </c>
      <c r="BH47" s="9" t="s">
        <v>118</v>
      </c>
      <c r="BI47" s="9" t="s">
        <v>71</v>
      </c>
      <c r="BJ47" s="9" t="s">
        <v>544</v>
      </c>
      <c r="BK47" s="9" t="s">
        <v>984</v>
      </c>
      <c r="BL47" s="9" t="s">
        <v>985</v>
      </c>
    </row>
    <row r="48" spans="1:64" ht="15.75" x14ac:dyDescent="0.25">
      <c r="A48" s="9" t="s">
        <v>363</v>
      </c>
      <c r="B48" s="18" t="s">
        <v>1019</v>
      </c>
      <c r="C48" s="19">
        <v>46203</v>
      </c>
      <c r="D48" s="9" t="s">
        <v>969</v>
      </c>
      <c r="E48" s="9" t="s">
        <v>970</v>
      </c>
      <c r="F48" s="27" t="s">
        <v>1540</v>
      </c>
      <c r="G48" s="28" t="s">
        <v>984</v>
      </c>
      <c r="H48" s="28" t="s">
        <v>1541</v>
      </c>
      <c r="I48" s="9" t="str">
        <f t="shared" si="9"/>
        <v>TP. Hồ Chí Minh - Trung Mỹ Tây, (≤2.5 tấn), xe 50H 87442</v>
      </c>
      <c r="J48" s="9" t="s">
        <v>971</v>
      </c>
      <c r="K48" s="9" t="s">
        <v>972</v>
      </c>
      <c r="L48" s="9" t="s">
        <v>260</v>
      </c>
      <c r="M48" s="9" t="s">
        <v>261</v>
      </c>
      <c r="N48" s="9" t="s">
        <v>619</v>
      </c>
      <c r="O48" s="9" t="s">
        <v>620</v>
      </c>
      <c r="P48" s="9" t="s">
        <v>621</v>
      </c>
      <c r="Q48" s="9" t="s">
        <v>976</v>
      </c>
      <c r="R48" s="9" t="s">
        <v>54</v>
      </c>
      <c r="S48" s="9" t="s">
        <v>96</v>
      </c>
      <c r="T48" s="9" t="s">
        <v>622</v>
      </c>
      <c r="U48" s="9">
        <v>3.3</v>
      </c>
      <c r="V48" s="8">
        <f t="shared" si="10"/>
        <v>3.0000000000000001E-3</v>
      </c>
      <c r="W48" s="9">
        <f t="shared" si="11"/>
        <v>0</v>
      </c>
      <c r="X48" s="9">
        <f t="shared" si="12"/>
        <v>0</v>
      </c>
      <c r="AH48" s="9" t="s">
        <v>1570</v>
      </c>
      <c r="AI48" s="9" t="s">
        <v>1567</v>
      </c>
      <c r="AL48" s="9" t="s">
        <v>23</v>
      </c>
      <c r="AM48" s="9" t="s">
        <v>23</v>
      </c>
      <c r="AN48" s="9" t="s">
        <v>23</v>
      </c>
      <c r="AO48" s="9" t="s">
        <v>23</v>
      </c>
      <c r="AP48" s="9" t="s">
        <v>23</v>
      </c>
      <c r="AQ48" s="9" t="s">
        <v>23</v>
      </c>
      <c r="AS48" s="9" t="s">
        <v>23</v>
      </c>
      <c r="AT48" s="9" t="s">
        <v>23</v>
      </c>
      <c r="AU48" s="9" t="s">
        <v>23</v>
      </c>
      <c r="AV48" s="9" t="s">
        <v>977</v>
      </c>
      <c r="AW48" s="9" t="s">
        <v>1020</v>
      </c>
      <c r="AX48" s="9" t="s">
        <v>61</v>
      </c>
      <c r="AY48" s="9" t="s">
        <v>522</v>
      </c>
      <c r="AZ48" s="9" t="s">
        <v>979</v>
      </c>
      <c r="BA48" s="9" t="s">
        <v>980</v>
      </c>
      <c r="BB48" s="9" t="s">
        <v>980</v>
      </c>
      <c r="BC48" s="9" t="s">
        <v>981</v>
      </c>
      <c r="BD48" s="9" t="s">
        <v>373</v>
      </c>
      <c r="BE48" s="9" t="s">
        <v>374</v>
      </c>
      <c r="BF48" s="9" t="s">
        <v>1021</v>
      </c>
      <c r="BG48" s="9" t="s">
        <v>1022</v>
      </c>
      <c r="BH48" s="9" t="s">
        <v>118</v>
      </c>
      <c r="BI48" s="9" t="s">
        <v>71</v>
      </c>
      <c r="BJ48" s="9" t="s">
        <v>544</v>
      </c>
      <c r="BK48" s="9" t="s">
        <v>984</v>
      </c>
      <c r="BL48" s="9" t="s">
        <v>985</v>
      </c>
    </row>
    <row r="49" spans="1:64" ht="15.75" x14ac:dyDescent="0.25">
      <c r="A49" s="9" t="s">
        <v>363</v>
      </c>
      <c r="B49" s="18" t="s">
        <v>1019</v>
      </c>
      <c r="C49" s="19">
        <v>46203</v>
      </c>
      <c r="D49" s="9" t="s">
        <v>969</v>
      </c>
      <c r="E49" s="9" t="s">
        <v>970</v>
      </c>
      <c r="F49" s="27" t="s">
        <v>1540</v>
      </c>
      <c r="G49" s="28" t="s">
        <v>984</v>
      </c>
      <c r="H49" s="28" t="s">
        <v>1541</v>
      </c>
      <c r="I49" s="9" t="str">
        <f t="shared" si="9"/>
        <v>TP. Hồ Chí Minh - Trung Mỹ Tây, (≤2.5 tấn), xe 50H 87442</v>
      </c>
      <c r="J49" s="9" t="s">
        <v>971</v>
      </c>
      <c r="K49" s="9" t="s">
        <v>972</v>
      </c>
      <c r="L49" s="9" t="s">
        <v>260</v>
      </c>
      <c r="M49" s="9" t="s">
        <v>261</v>
      </c>
      <c r="N49" s="9" t="s">
        <v>1023</v>
      </c>
      <c r="O49" s="9" t="s">
        <v>1024</v>
      </c>
      <c r="P49" s="9" t="s">
        <v>1025</v>
      </c>
      <c r="Q49" s="9" t="s">
        <v>976</v>
      </c>
      <c r="R49" s="9" t="s">
        <v>54</v>
      </c>
      <c r="S49" s="9" t="s">
        <v>96</v>
      </c>
      <c r="T49" s="9" t="s">
        <v>76</v>
      </c>
      <c r="U49" s="9">
        <v>4.8</v>
      </c>
      <c r="V49" s="8">
        <f t="shared" si="10"/>
        <v>5.0000000000000001E-3</v>
      </c>
      <c r="W49" s="9">
        <f t="shared" si="11"/>
        <v>0</v>
      </c>
      <c r="X49" s="9">
        <f t="shared" si="12"/>
        <v>0</v>
      </c>
      <c r="AH49" s="9" t="s">
        <v>1570</v>
      </c>
      <c r="AI49" s="9" t="s">
        <v>1567</v>
      </c>
      <c r="AL49" s="9" t="s">
        <v>23</v>
      </c>
      <c r="AM49" s="9" t="s">
        <v>23</v>
      </c>
      <c r="AN49" s="9" t="s">
        <v>23</v>
      </c>
      <c r="AO49" s="9" t="s">
        <v>23</v>
      </c>
      <c r="AP49" s="9" t="s">
        <v>23</v>
      </c>
      <c r="AQ49" s="9" t="s">
        <v>23</v>
      </c>
      <c r="AS49" s="9" t="s">
        <v>23</v>
      </c>
      <c r="AT49" s="9" t="s">
        <v>23</v>
      </c>
      <c r="AU49" s="9" t="s">
        <v>23</v>
      </c>
      <c r="AV49" s="9" t="s">
        <v>977</v>
      </c>
      <c r="AW49" s="9" t="s">
        <v>1020</v>
      </c>
      <c r="AX49" s="9" t="s">
        <v>61</v>
      </c>
      <c r="AY49" s="9" t="s">
        <v>522</v>
      </c>
      <c r="AZ49" s="9" t="s">
        <v>979</v>
      </c>
      <c r="BA49" s="9" t="s">
        <v>980</v>
      </c>
      <c r="BB49" s="9" t="s">
        <v>980</v>
      </c>
      <c r="BC49" s="9" t="s">
        <v>981</v>
      </c>
      <c r="BD49" s="9" t="s">
        <v>373</v>
      </c>
      <c r="BE49" s="9" t="s">
        <v>374</v>
      </c>
      <c r="BF49" s="9" t="s">
        <v>1021</v>
      </c>
      <c r="BG49" s="9" t="s">
        <v>1022</v>
      </c>
      <c r="BH49" s="9" t="s">
        <v>118</v>
      </c>
      <c r="BI49" s="9" t="s">
        <v>71</v>
      </c>
      <c r="BJ49" s="9" t="s">
        <v>544</v>
      </c>
      <c r="BK49" s="9" t="s">
        <v>984</v>
      </c>
      <c r="BL49" s="9" t="s">
        <v>985</v>
      </c>
    </row>
    <row r="50" spans="1:64" ht="15.75" x14ac:dyDescent="0.25">
      <c r="A50" s="9" t="s">
        <v>363</v>
      </c>
      <c r="B50" s="18" t="s">
        <v>1062</v>
      </c>
      <c r="C50" s="19">
        <v>46203</v>
      </c>
      <c r="D50" s="9" t="s">
        <v>969</v>
      </c>
      <c r="E50" s="9" t="s">
        <v>970</v>
      </c>
      <c r="F50" s="27" t="s">
        <v>1540</v>
      </c>
      <c r="G50" s="28" t="s">
        <v>984</v>
      </c>
      <c r="H50" s="28" t="s">
        <v>1541</v>
      </c>
      <c r="I50" s="9" t="str">
        <f t="shared" si="9"/>
        <v>TP. Hồ Chí Minh - Trung Mỹ Tây, (≤2.5 tấn), xe 50H 87442</v>
      </c>
      <c r="J50" s="9" t="s">
        <v>971</v>
      </c>
      <c r="K50" s="9" t="s">
        <v>972</v>
      </c>
      <c r="L50" s="9" t="s">
        <v>260</v>
      </c>
      <c r="M50" s="9" t="s">
        <v>261</v>
      </c>
      <c r="N50" s="9" t="s">
        <v>390</v>
      </c>
      <c r="O50" s="9" t="s">
        <v>391</v>
      </c>
      <c r="P50" s="9" t="s">
        <v>392</v>
      </c>
      <c r="Q50" s="9" t="s">
        <v>1063</v>
      </c>
      <c r="R50" s="9" t="s">
        <v>54</v>
      </c>
      <c r="S50" s="9" t="s">
        <v>195</v>
      </c>
      <c r="T50" s="9" t="s">
        <v>76</v>
      </c>
      <c r="U50" s="9" t="s">
        <v>249</v>
      </c>
      <c r="V50" s="8">
        <f t="shared" si="10"/>
        <v>2.4E-2</v>
      </c>
      <c r="W50" s="9">
        <f t="shared" si="11"/>
        <v>4.4999999999999998E-2</v>
      </c>
      <c r="X50" s="9">
        <f t="shared" si="12"/>
        <v>0</v>
      </c>
      <c r="AH50" s="9" t="s">
        <v>1570</v>
      </c>
      <c r="AI50" s="9" t="s">
        <v>1567</v>
      </c>
      <c r="AL50" s="9" t="s">
        <v>23</v>
      </c>
      <c r="AM50" s="9" t="s">
        <v>23</v>
      </c>
      <c r="AN50" s="9" t="s">
        <v>23</v>
      </c>
      <c r="AO50" s="9" t="s">
        <v>23</v>
      </c>
      <c r="AP50" s="9" t="s">
        <v>23</v>
      </c>
      <c r="AQ50" s="9" t="s">
        <v>23</v>
      </c>
      <c r="AS50" s="9" t="s">
        <v>23</v>
      </c>
      <c r="AT50" s="9" t="s">
        <v>23</v>
      </c>
      <c r="AU50" s="9" t="s">
        <v>23</v>
      </c>
      <c r="AV50" s="9" t="s">
        <v>977</v>
      </c>
      <c r="AW50" s="9" t="s">
        <v>1064</v>
      </c>
      <c r="AX50" s="9" t="s">
        <v>61</v>
      </c>
      <c r="AY50" s="9" t="s">
        <v>522</v>
      </c>
      <c r="AZ50" s="9" t="s">
        <v>979</v>
      </c>
      <c r="BA50" s="9" t="s">
        <v>980</v>
      </c>
      <c r="BB50" s="9" t="s">
        <v>980</v>
      </c>
      <c r="BC50" s="9" t="s">
        <v>1065</v>
      </c>
      <c r="BD50" s="9" t="s">
        <v>373</v>
      </c>
      <c r="BE50" s="9" t="s">
        <v>374</v>
      </c>
      <c r="BF50" s="9" t="s">
        <v>1066</v>
      </c>
      <c r="BG50" s="9" t="s">
        <v>1067</v>
      </c>
      <c r="BH50" s="9" t="s">
        <v>118</v>
      </c>
      <c r="BI50" s="9" t="s">
        <v>71</v>
      </c>
      <c r="BJ50" s="9" t="s">
        <v>544</v>
      </c>
      <c r="BK50" s="9" t="s">
        <v>984</v>
      </c>
      <c r="BL50" s="9" t="s">
        <v>985</v>
      </c>
    </row>
    <row r="51" spans="1:64" ht="15.75" x14ac:dyDescent="0.25">
      <c r="A51" s="9" t="s">
        <v>363</v>
      </c>
      <c r="B51" s="18" t="s">
        <v>1062</v>
      </c>
      <c r="C51" s="19">
        <v>46203</v>
      </c>
      <c r="D51" s="9" t="s">
        <v>969</v>
      </c>
      <c r="E51" s="9" t="s">
        <v>970</v>
      </c>
      <c r="F51" s="27" t="s">
        <v>1540</v>
      </c>
      <c r="G51" s="28" t="s">
        <v>984</v>
      </c>
      <c r="H51" s="28" t="s">
        <v>1541</v>
      </c>
      <c r="I51" s="9" t="str">
        <f t="shared" si="9"/>
        <v>TP. Hồ Chí Minh - Trung Mỹ Tây, (≤2.5 tấn), xe 50H 87442</v>
      </c>
      <c r="J51" s="9" t="s">
        <v>971</v>
      </c>
      <c r="K51" s="9" t="s">
        <v>972</v>
      </c>
      <c r="L51" s="9" t="s">
        <v>260</v>
      </c>
      <c r="M51" s="9" t="s">
        <v>261</v>
      </c>
      <c r="N51" s="9" t="s">
        <v>993</v>
      </c>
      <c r="O51" s="9" t="s">
        <v>994</v>
      </c>
      <c r="P51" s="9" t="s">
        <v>995</v>
      </c>
      <c r="Q51" s="9" t="s">
        <v>1063</v>
      </c>
      <c r="R51" s="9" t="s">
        <v>54</v>
      </c>
      <c r="S51" s="9" t="s">
        <v>195</v>
      </c>
      <c r="T51" s="9" t="s">
        <v>361</v>
      </c>
      <c r="U51" s="9" t="s">
        <v>55</v>
      </c>
      <c r="V51" s="8">
        <f t="shared" si="10"/>
        <v>1.4999999999999999E-2</v>
      </c>
      <c r="W51" s="9">
        <f t="shared" si="11"/>
        <v>0</v>
      </c>
      <c r="X51" s="9">
        <f t="shared" si="12"/>
        <v>0</v>
      </c>
      <c r="AH51" s="9" t="s">
        <v>1570</v>
      </c>
      <c r="AI51" s="9" t="s">
        <v>1567</v>
      </c>
      <c r="AL51" s="9" t="s">
        <v>23</v>
      </c>
      <c r="AM51" s="9" t="s">
        <v>23</v>
      </c>
      <c r="AN51" s="9" t="s">
        <v>23</v>
      </c>
      <c r="AO51" s="9" t="s">
        <v>23</v>
      </c>
      <c r="AP51" s="9" t="s">
        <v>23</v>
      </c>
      <c r="AQ51" s="9" t="s">
        <v>23</v>
      </c>
      <c r="AS51" s="9" t="s">
        <v>23</v>
      </c>
      <c r="AT51" s="9" t="s">
        <v>23</v>
      </c>
      <c r="AU51" s="9" t="s">
        <v>23</v>
      </c>
      <c r="AV51" s="9" t="s">
        <v>977</v>
      </c>
      <c r="AW51" s="9" t="s">
        <v>1064</v>
      </c>
      <c r="AX51" s="9" t="s">
        <v>61</v>
      </c>
      <c r="AY51" s="9" t="s">
        <v>522</v>
      </c>
      <c r="AZ51" s="9" t="s">
        <v>979</v>
      </c>
      <c r="BA51" s="9" t="s">
        <v>980</v>
      </c>
      <c r="BB51" s="9" t="s">
        <v>980</v>
      </c>
      <c r="BC51" s="9" t="s">
        <v>1065</v>
      </c>
      <c r="BD51" s="9" t="s">
        <v>373</v>
      </c>
      <c r="BE51" s="9" t="s">
        <v>374</v>
      </c>
      <c r="BF51" s="9" t="s">
        <v>1066</v>
      </c>
      <c r="BG51" s="9" t="s">
        <v>1067</v>
      </c>
      <c r="BH51" s="9" t="s">
        <v>118</v>
      </c>
      <c r="BI51" s="9" t="s">
        <v>71</v>
      </c>
      <c r="BJ51" s="9" t="s">
        <v>544</v>
      </c>
      <c r="BK51" s="9" t="s">
        <v>984</v>
      </c>
      <c r="BL51" s="9" t="s">
        <v>985</v>
      </c>
    </row>
    <row r="52" spans="1:64" ht="15.75" x14ac:dyDescent="0.25">
      <c r="A52" s="9" t="s">
        <v>363</v>
      </c>
      <c r="B52" s="18" t="s">
        <v>1062</v>
      </c>
      <c r="C52" s="19">
        <v>46203</v>
      </c>
      <c r="D52" s="9" t="s">
        <v>969</v>
      </c>
      <c r="E52" s="9" t="s">
        <v>970</v>
      </c>
      <c r="F52" s="27" t="s">
        <v>1540</v>
      </c>
      <c r="G52" s="28" t="s">
        <v>984</v>
      </c>
      <c r="H52" s="28" t="s">
        <v>1541</v>
      </c>
      <c r="I52" s="9" t="str">
        <f t="shared" si="9"/>
        <v>TP. Hồ Chí Minh - Trung Mỹ Tây, (≤2.5 tấn), xe 50H 87442</v>
      </c>
      <c r="J52" s="9" t="s">
        <v>971</v>
      </c>
      <c r="K52" s="9" t="s">
        <v>972</v>
      </c>
      <c r="L52" s="9" t="s">
        <v>260</v>
      </c>
      <c r="M52" s="9" t="s">
        <v>261</v>
      </c>
      <c r="N52" s="9" t="s">
        <v>387</v>
      </c>
      <c r="O52" s="9" t="s">
        <v>388</v>
      </c>
      <c r="P52" s="9" t="s">
        <v>389</v>
      </c>
      <c r="Q52" s="9" t="s">
        <v>1063</v>
      </c>
      <c r="R52" s="9" t="s">
        <v>54</v>
      </c>
      <c r="S52" s="9" t="s">
        <v>96</v>
      </c>
      <c r="T52" s="9" t="s">
        <v>382</v>
      </c>
      <c r="U52" s="9" t="s">
        <v>382</v>
      </c>
      <c r="V52" s="8">
        <f t="shared" si="10"/>
        <v>6.0000000000000001E-3</v>
      </c>
      <c r="W52" s="9">
        <f t="shared" si="11"/>
        <v>0</v>
      </c>
      <c r="X52" s="9">
        <f t="shared" si="12"/>
        <v>0</v>
      </c>
      <c r="AH52" s="9" t="s">
        <v>1570</v>
      </c>
      <c r="AI52" s="9" t="s">
        <v>1567</v>
      </c>
      <c r="AL52" s="9" t="s">
        <v>23</v>
      </c>
      <c r="AM52" s="9" t="s">
        <v>23</v>
      </c>
      <c r="AN52" s="9" t="s">
        <v>23</v>
      </c>
      <c r="AO52" s="9" t="s">
        <v>23</v>
      </c>
      <c r="AP52" s="9" t="s">
        <v>23</v>
      </c>
      <c r="AQ52" s="9" t="s">
        <v>23</v>
      </c>
      <c r="AS52" s="9" t="s">
        <v>23</v>
      </c>
      <c r="AT52" s="9" t="s">
        <v>23</v>
      </c>
      <c r="AU52" s="9" t="s">
        <v>23</v>
      </c>
      <c r="AV52" s="9" t="s">
        <v>977</v>
      </c>
      <c r="AW52" s="9" t="s">
        <v>1064</v>
      </c>
      <c r="AX52" s="9" t="s">
        <v>61</v>
      </c>
      <c r="AY52" s="9" t="s">
        <v>522</v>
      </c>
      <c r="AZ52" s="9" t="s">
        <v>979</v>
      </c>
      <c r="BA52" s="9" t="s">
        <v>980</v>
      </c>
      <c r="BB52" s="9" t="s">
        <v>980</v>
      </c>
      <c r="BC52" s="9" t="s">
        <v>1065</v>
      </c>
      <c r="BD52" s="9" t="s">
        <v>373</v>
      </c>
      <c r="BE52" s="9" t="s">
        <v>374</v>
      </c>
      <c r="BF52" s="9" t="s">
        <v>1066</v>
      </c>
      <c r="BG52" s="9" t="s">
        <v>1067</v>
      </c>
      <c r="BH52" s="9" t="s">
        <v>118</v>
      </c>
      <c r="BI52" s="9" t="s">
        <v>71</v>
      </c>
      <c r="BJ52" s="9" t="s">
        <v>544</v>
      </c>
      <c r="BK52" s="9" t="s">
        <v>984</v>
      </c>
      <c r="BL52" s="9" t="s">
        <v>985</v>
      </c>
    </row>
    <row r="53" spans="1:64" ht="15.75" x14ac:dyDescent="0.25">
      <c r="A53" s="9" t="s">
        <v>363</v>
      </c>
      <c r="B53" s="18" t="s">
        <v>1081</v>
      </c>
      <c r="C53" s="19">
        <v>46203</v>
      </c>
      <c r="D53" s="9" t="s">
        <v>969</v>
      </c>
      <c r="E53" s="9" t="s">
        <v>970</v>
      </c>
      <c r="F53" s="27" t="s">
        <v>1540</v>
      </c>
      <c r="G53" s="28" t="s">
        <v>984</v>
      </c>
      <c r="H53" s="28" t="s">
        <v>1541</v>
      </c>
      <c r="I53" s="9" t="str">
        <f t="shared" si="9"/>
        <v>TP. Hồ Chí Minh - Trung Mỹ Tây, (≤2.5 tấn), xe 50H 87442</v>
      </c>
      <c r="J53" s="9" t="s">
        <v>971</v>
      </c>
      <c r="K53" s="9" t="s">
        <v>987</v>
      </c>
      <c r="L53" s="9" t="s">
        <v>260</v>
      </c>
      <c r="M53" s="9" t="s">
        <v>261</v>
      </c>
      <c r="N53" s="9" t="s">
        <v>390</v>
      </c>
      <c r="O53" s="9" t="s">
        <v>391</v>
      </c>
      <c r="P53" s="9" t="s">
        <v>392</v>
      </c>
      <c r="Q53" s="9" t="s">
        <v>1041</v>
      </c>
      <c r="R53" s="9" t="s">
        <v>54</v>
      </c>
      <c r="S53" s="9" t="s">
        <v>96</v>
      </c>
      <c r="T53" s="9" t="s">
        <v>76</v>
      </c>
      <c r="U53" s="9">
        <v>4.8</v>
      </c>
      <c r="V53" s="8">
        <f t="shared" si="10"/>
        <v>5.0000000000000001E-3</v>
      </c>
      <c r="W53" s="9">
        <f t="shared" si="11"/>
        <v>1.7000000000000001E-2</v>
      </c>
      <c r="X53" s="9">
        <f t="shared" si="12"/>
        <v>0</v>
      </c>
      <c r="AH53" s="9" t="s">
        <v>1570</v>
      </c>
      <c r="AI53" s="9" t="s">
        <v>1567</v>
      </c>
      <c r="AL53" s="9" t="s">
        <v>23</v>
      </c>
      <c r="AM53" s="9" t="s">
        <v>23</v>
      </c>
      <c r="AN53" s="9" t="s">
        <v>23</v>
      </c>
      <c r="AO53" s="9" t="s">
        <v>23</v>
      </c>
      <c r="AP53" s="9" t="s">
        <v>23</v>
      </c>
      <c r="AQ53" s="9" t="s">
        <v>23</v>
      </c>
      <c r="AS53" s="9" t="s">
        <v>23</v>
      </c>
      <c r="AT53" s="9" t="s">
        <v>23</v>
      </c>
      <c r="AU53" s="9" t="s">
        <v>23</v>
      </c>
      <c r="AV53" s="9" t="s">
        <v>977</v>
      </c>
      <c r="AW53" s="9" t="s">
        <v>1082</v>
      </c>
      <c r="AX53" s="9" t="s">
        <v>61</v>
      </c>
      <c r="AY53" s="9" t="s">
        <v>522</v>
      </c>
      <c r="AZ53" s="9" t="s">
        <v>979</v>
      </c>
      <c r="BA53" s="9" t="s">
        <v>980</v>
      </c>
      <c r="BB53" s="9" t="s">
        <v>980</v>
      </c>
      <c r="BC53" s="9" t="s">
        <v>1083</v>
      </c>
      <c r="BD53" s="9" t="s">
        <v>373</v>
      </c>
      <c r="BE53" s="9" t="s">
        <v>374</v>
      </c>
      <c r="BF53" s="9" t="s">
        <v>1084</v>
      </c>
      <c r="BG53" s="9" t="s">
        <v>1085</v>
      </c>
      <c r="BH53" s="9" t="s">
        <v>118</v>
      </c>
      <c r="BI53" s="9" t="s">
        <v>71</v>
      </c>
      <c r="BJ53" s="9" t="s">
        <v>544</v>
      </c>
      <c r="BK53" s="9" t="s">
        <v>984</v>
      </c>
      <c r="BL53" s="9" t="s">
        <v>985</v>
      </c>
    </row>
    <row r="54" spans="1:64" ht="15.75" x14ac:dyDescent="0.25">
      <c r="A54" s="9" t="s">
        <v>363</v>
      </c>
      <c r="B54" s="18" t="s">
        <v>1081</v>
      </c>
      <c r="C54" s="19">
        <v>46203</v>
      </c>
      <c r="D54" s="9" t="s">
        <v>969</v>
      </c>
      <c r="E54" s="9" t="s">
        <v>970</v>
      </c>
      <c r="F54" s="27" t="s">
        <v>1540</v>
      </c>
      <c r="G54" s="28" t="s">
        <v>984</v>
      </c>
      <c r="H54" s="28" t="s">
        <v>1541</v>
      </c>
      <c r="I54" s="9" t="str">
        <f t="shared" si="9"/>
        <v>TP. Hồ Chí Minh - Trung Mỹ Tây, (≤2.5 tấn), xe 50H 87442</v>
      </c>
      <c r="J54" s="9" t="s">
        <v>971</v>
      </c>
      <c r="K54" s="9" t="s">
        <v>987</v>
      </c>
      <c r="L54" s="9" t="s">
        <v>260</v>
      </c>
      <c r="M54" s="9" t="s">
        <v>261</v>
      </c>
      <c r="N54" s="9" t="s">
        <v>387</v>
      </c>
      <c r="O54" s="9" t="s">
        <v>388</v>
      </c>
      <c r="P54" s="9" t="s">
        <v>389</v>
      </c>
      <c r="Q54" s="9" t="s">
        <v>1041</v>
      </c>
      <c r="R54" s="9" t="s">
        <v>54</v>
      </c>
      <c r="S54" s="9" t="s">
        <v>75</v>
      </c>
      <c r="T54" s="9" t="s">
        <v>382</v>
      </c>
      <c r="U54" s="9" t="s">
        <v>196</v>
      </c>
      <c r="V54" s="8">
        <f t="shared" si="10"/>
        <v>1.2E-2</v>
      </c>
      <c r="W54" s="9">
        <f t="shared" si="11"/>
        <v>0</v>
      </c>
      <c r="X54" s="9">
        <f t="shared" si="12"/>
        <v>0</v>
      </c>
      <c r="AH54" s="9" t="s">
        <v>1570</v>
      </c>
      <c r="AI54" s="9" t="s">
        <v>1567</v>
      </c>
      <c r="AL54" s="9" t="s">
        <v>23</v>
      </c>
      <c r="AM54" s="9" t="s">
        <v>23</v>
      </c>
      <c r="AN54" s="9" t="s">
        <v>23</v>
      </c>
      <c r="AO54" s="9" t="s">
        <v>23</v>
      </c>
      <c r="AP54" s="9" t="s">
        <v>23</v>
      </c>
      <c r="AQ54" s="9" t="s">
        <v>23</v>
      </c>
      <c r="AS54" s="9" t="s">
        <v>23</v>
      </c>
      <c r="AT54" s="9" t="s">
        <v>23</v>
      </c>
      <c r="AU54" s="9" t="s">
        <v>23</v>
      </c>
      <c r="AV54" s="9" t="s">
        <v>977</v>
      </c>
      <c r="AW54" s="9" t="s">
        <v>1082</v>
      </c>
      <c r="AX54" s="9" t="s">
        <v>61</v>
      </c>
      <c r="AY54" s="9" t="s">
        <v>522</v>
      </c>
      <c r="AZ54" s="9" t="s">
        <v>979</v>
      </c>
      <c r="BA54" s="9" t="s">
        <v>980</v>
      </c>
      <c r="BB54" s="9" t="s">
        <v>980</v>
      </c>
      <c r="BC54" s="9" t="s">
        <v>1083</v>
      </c>
      <c r="BD54" s="9" t="s">
        <v>373</v>
      </c>
      <c r="BE54" s="9" t="s">
        <v>374</v>
      </c>
      <c r="BF54" s="9" t="s">
        <v>1084</v>
      </c>
      <c r="BG54" s="9" t="s">
        <v>1085</v>
      </c>
      <c r="BH54" s="9" t="s">
        <v>118</v>
      </c>
      <c r="BI54" s="9" t="s">
        <v>71</v>
      </c>
      <c r="BJ54" s="9" t="s">
        <v>544</v>
      </c>
      <c r="BK54" s="9" t="s">
        <v>984</v>
      </c>
      <c r="BL54" s="9" t="s">
        <v>985</v>
      </c>
    </row>
    <row r="55" spans="1:64" ht="15.75" x14ac:dyDescent="0.25">
      <c r="A55" s="9" t="s">
        <v>363</v>
      </c>
      <c r="B55" s="18" t="s">
        <v>1091</v>
      </c>
      <c r="C55" s="19">
        <v>46203</v>
      </c>
      <c r="D55" s="9" t="s">
        <v>969</v>
      </c>
      <c r="E55" s="9" t="s">
        <v>970</v>
      </c>
      <c r="F55" s="27" t="s">
        <v>1540</v>
      </c>
      <c r="G55" s="28" t="s">
        <v>984</v>
      </c>
      <c r="H55" s="28" t="s">
        <v>1541</v>
      </c>
      <c r="I55" s="9" t="str">
        <f t="shared" si="9"/>
        <v>TP. Hồ Chí Minh - Trung Mỹ Tây, (≤2.5 tấn), xe 50H 87442</v>
      </c>
      <c r="J55" s="9" t="s">
        <v>971</v>
      </c>
      <c r="K55" s="9" t="s">
        <v>987</v>
      </c>
      <c r="L55" s="9" t="s">
        <v>260</v>
      </c>
      <c r="M55" s="9" t="s">
        <v>261</v>
      </c>
      <c r="N55" s="9" t="s">
        <v>607</v>
      </c>
      <c r="O55" s="9" t="s">
        <v>608</v>
      </c>
      <c r="P55" s="9" t="s">
        <v>609</v>
      </c>
      <c r="Q55" s="9" t="s">
        <v>1041</v>
      </c>
      <c r="R55" s="9" t="s">
        <v>54</v>
      </c>
      <c r="S55" s="9" t="s">
        <v>361</v>
      </c>
      <c r="T55" s="9" t="s">
        <v>611</v>
      </c>
      <c r="U55" s="9">
        <v>10.8</v>
      </c>
      <c r="V55" s="8">
        <f t="shared" si="10"/>
        <v>1.0999999999999999E-2</v>
      </c>
      <c r="W55" s="9">
        <f t="shared" si="11"/>
        <v>6.699999999999999E-2</v>
      </c>
      <c r="X55" s="9">
        <f t="shared" si="12"/>
        <v>0</v>
      </c>
      <c r="AH55" s="9" t="s">
        <v>1570</v>
      </c>
      <c r="AI55" s="9" t="s">
        <v>1567</v>
      </c>
      <c r="AL55" s="9" t="s">
        <v>23</v>
      </c>
      <c r="AM55" s="9" t="s">
        <v>23</v>
      </c>
      <c r="AN55" s="9" t="s">
        <v>23</v>
      </c>
      <c r="AO55" s="9" t="s">
        <v>23</v>
      </c>
      <c r="AP55" s="9" t="s">
        <v>23</v>
      </c>
      <c r="AQ55" s="9" t="s">
        <v>23</v>
      </c>
      <c r="AS55" s="9" t="s">
        <v>23</v>
      </c>
      <c r="AT55" s="9" t="s">
        <v>23</v>
      </c>
      <c r="AU55" s="9" t="s">
        <v>23</v>
      </c>
      <c r="AV55" s="9" t="s">
        <v>977</v>
      </c>
      <c r="AW55" s="9" t="s">
        <v>1092</v>
      </c>
      <c r="AX55" s="9" t="s">
        <v>61</v>
      </c>
      <c r="AY55" s="9" t="s">
        <v>522</v>
      </c>
      <c r="AZ55" s="9" t="s">
        <v>979</v>
      </c>
      <c r="BA55" s="9" t="s">
        <v>980</v>
      </c>
      <c r="BB55" s="9" t="s">
        <v>980</v>
      </c>
      <c r="BC55" s="9" t="s">
        <v>1043</v>
      </c>
      <c r="BD55" s="9" t="s">
        <v>373</v>
      </c>
      <c r="BE55" s="9" t="s">
        <v>374</v>
      </c>
      <c r="BF55" s="9" t="s">
        <v>1093</v>
      </c>
      <c r="BG55" s="9" t="s">
        <v>1094</v>
      </c>
      <c r="BH55" s="9" t="s">
        <v>118</v>
      </c>
      <c r="BI55" s="9" t="s">
        <v>71</v>
      </c>
      <c r="BJ55" s="9" t="s">
        <v>544</v>
      </c>
      <c r="BK55" s="9" t="s">
        <v>984</v>
      </c>
      <c r="BL55" s="9" t="s">
        <v>985</v>
      </c>
    </row>
    <row r="56" spans="1:64" ht="15.75" x14ac:dyDescent="0.25">
      <c r="A56" s="9" t="s">
        <v>363</v>
      </c>
      <c r="B56" s="18" t="s">
        <v>1091</v>
      </c>
      <c r="C56" s="19">
        <v>46203</v>
      </c>
      <c r="D56" s="9" t="s">
        <v>969</v>
      </c>
      <c r="E56" s="9" t="s">
        <v>970</v>
      </c>
      <c r="F56" s="27" t="s">
        <v>1540</v>
      </c>
      <c r="G56" s="28" t="s">
        <v>984</v>
      </c>
      <c r="H56" s="28" t="s">
        <v>1541</v>
      </c>
      <c r="I56" s="9" t="str">
        <f t="shared" si="9"/>
        <v>TP. Hồ Chí Minh - Trung Mỹ Tây, (≤2.5 tấn), xe 50H 87442</v>
      </c>
      <c r="J56" s="9" t="s">
        <v>971</v>
      </c>
      <c r="K56" s="9" t="s">
        <v>987</v>
      </c>
      <c r="L56" s="9" t="s">
        <v>260</v>
      </c>
      <c r="M56" s="9" t="s">
        <v>261</v>
      </c>
      <c r="N56" s="9" t="s">
        <v>379</v>
      </c>
      <c r="O56" s="9" t="s">
        <v>380</v>
      </c>
      <c r="P56" s="9" t="s">
        <v>381</v>
      </c>
      <c r="Q56" s="9" t="s">
        <v>1041</v>
      </c>
      <c r="R56" s="9" t="s">
        <v>54</v>
      </c>
      <c r="S56" s="9" t="s">
        <v>361</v>
      </c>
      <c r="T56" s="9" t="s">
        <v>382</v>
      </c>
      <c r="U56" s="9" t="s">
        <v>179</v>
      </c>
      <c r="V56" s="8">
        <f t="shared" si="10"/>
        <v>1.7999999999999999E-2</v>
      </c>
      <c r="W56" s="9">
        <f t="shared" si="11"/>
        <v>0</v>
      </c>
      <c r="X56" s="9">
        <f t="shared" si="12"/>
        <v>0</v>
      </c>
      <c r="AH56" s="9" t="s">
        <v>1570</v>
      </c>
      <c r="AI56" s="9" t="s">
        <v>1567</v>
      </c>
      <c r="AL56" s="9" t="s">
        <v>23</v>
      </c>
      <c r="AM56" s="9" t="s">
        <v>23</v>
      </c>
      <c r="AN56" s="9" t="s">
        <v>23</v>
      </c>
      <c r="AO56" s="9" t="s">
        <v>23</v>
      </c>
      <c r="AP56" s="9" t="s">
        <v>23</v>
      </c>
      <c r="AQ56" s="9" t="s">
        <v>23</v>
      </c>
      <c r="AS56" s="9" t="s">
        <v>23</v>
      </c>
      <c r="AT56" s="9" t="s">
        <v>23</v>
      </c>
      <c r="AU56" s="9" t="s">
        <v>23</v>
      </c>
      <c r="AV56" s="9" t="s">
        <v>977</v>
      </c>
      <c r="AW56" s="9" t="s">
        <v>1092</v>
      </c>
      <c r="AX56" s="9" t="s">
        <v>61</v>
      </c>
      <c r="AY56" s="9" t="s">
        <v>522</v>
      </c>
      <c r="AZ56" s="9" t="s">
        <v>979</v>
      </c>
      <c r="BA56" s="9" t="s">
        <v>980</v>
      </c>
      <c r="BB56" s="9" t="s">
        <v>980</v>
      </c>
      <c r="BC56" s="9" t="s">
        <v>1043</v>
      </c>
      <c r="BD56" s="9" t="s">
        <v>373</v>
      </c>
      <c r="BE56" s="9" t="s">
        <v>374</v>
      </c>
      <c r="BF56" s="9" t="s">
        <v>1093</v>
      </c>
      <c r="BG56" s="9" t="s">
        <v>1094</v>
      </c>
      <c r="BH56" s="9" t="s">
        <v>118</v>
      </c>
      <c r="BI56" s="9" t="s">
        <v>71</v>
      </c>
      <c r="BJ56" s="9" t="s">
        <v>544</v>
      </c>
      <c r="BK56" s="9" t="s">
        <v>984</v>
      </c>
      <c r="BL56" s="9" t="s">
        <v>985</v>
      </c>
    </row>
    <row r="57" spans="1:64" ht="15.75" x14ac:dyDescent="0.25">
      <c r="A57" s="9" t="s">
        <v>363</v>
      </c>
      <c r="B57" s="18" t="s">
        <v>1091</v>
      </c>
      <c r="C57" s="19">
        <v>46203</v>
      </c>
      <c r="D57" s="9" t="s">
        <v>969</v>
      </c>
      <c r="E57" s="9" t="s">
        <v>970</v>
      </c>
      <c r="F57" s="27" t="s">
        <v>1540</v>
      </c>
      <c r="G57" s="28" t="s">
        <v>984</v>
      </c>
      <c r="H57" s="28" t="s">
        <v>1541</v>
      </c>
      <c r="I57" s="9" t="str">
        <f t="shared" si="9"/>
        <v>TP. Hồ Chí Minh - Trung Mỹ Tây, (≤2.5 tấn), xe 50H 87442</v>
      </c>
      <c r="J57" s="9" t="s">
        <v>971</v>
      </c>
      <c r="K57" s="9" t="s">
        <v>987</v>
      </c>
      <c r="L57" s="9" t="s">
        <v>260</v>
      </c>
      <c r="M57" s="9" t="s">
        <v>261</v>
      </c>
      <c r="N57" s="9" t="s">
        <v>1095</v>
      </c>
      <c r="O57" s="9" t="s">
        <v>1096</v>
      </c>
      <c r="P57" s="9" t="s">
        <v>1097</v>
      </c>
      <c r="Q57" s="9" t="s">
        <v>1041</v>
      </c>
      <c r="R57" s="9" t="s">
        <v>54</v>
      </c>
      <c r="S57" s="9" t="s">
        <v>75</v>
      </c>
      <c r="T57" s="9" t="s">
        <v>76</v>
      </c>
      <c r="U57" s="9">
        <v>9.6</v>
      </c>
      <c r="V57" s="8">
        <f t="shared" si="10"/>
        <v>0.01</v>
      </c>
      <c r="W57" s="9">
        <f t="shared" si="11"/>
        <v>0</v>
      </c>
      <c r="X57" s="9">
        <f t="shared" si="12"/>
        <v>0</v>
      </c>
      <c r="AH57" s="9" t="s">
        <v>1570</v>
      </c>
      <c r="AI57" s="9" t="s">
        <v>1567</v>
      </c>
      <c r="AL57" s="9" t="s">
        <v>23</v>
      </c>
      <c r="AM57" s="9" t="s">
        <v>23</v>
      </c>
      <c r="AN57" s="9" t="s">
        <v>23</v>
      </c>
      <c r="AO57" s="9" t="s">
        <v>23</v>
      </c>
      <c r="AP57" s="9" t="s">
        <v>23</v>
      </c>
      <c r="AQ57" s="9" t="s">
        <v>23</v>
      </c>
      <c r="AS57" s="9" t="s">
        <v>23</v>
      </c>
      <c r="AT57" s="9" t="s">
        <v>23</v>
      </c>
      <c r="AU57" s="9" t="s">
        <v>23</v>
      </c>
      <c r="AV57" s="9" t="s">
        <v>977</v>
      </c>
      <c r="AW57" s="9" t="s">
        <v>1092</v>
      </c>
      <c r="AX57" s="9" t="s">
        <v>61</v>
      </c>
      <c r="AY57" s="9" t="s">
        <v>522</v>
      </c>
      <c r="AZ57" s="9" t="s">
        <v>979</v>
      </c>
      <c r="BA57" s="9" t="s">
        <v>980</v>
      </c>
      <c r="BB57" s="9" t="s">
        <v>980</v>
      </c>
      <c r="BC57" s="9" t="s">
        <v>1043</v>
      </c>
      <c r="BD57" s="9" t="s">
        <v>373</v>
      </c>
      <c r="BE57" s="9" t="s">
        <v>374</v>
      </c>
      <c r="BF57" s="9" t="s">
        <v>1093</v>
      </c>
      <c r="BG57" s="9" t="s">
        <v>1094</v>
      </c>
      <c r="BH57" s="9" t="s">
        <v>118</v>
      </c>
      <c r="BI57" s="9" t="s">
        <v>71</v>
      </c>
      <c r="BJ57" s="9" t="s">
        <v>544</v>
      </c>
      <c r="BK57" s="9" t="s">
        <v>984</v>
      </c>
      <c r="BL57" s="9" t="s">
        <v>985</v>
      </c>
    </row>
    <row r="58" spans="1:64" ht="15.75" x14ac:dyDescent="0.25">
      <c r="A58" s="9" t="s">
        <v>363</v>
      </c>
      <c r="B58" s="18" t="s">
        <v>1091</v>
      </c>
      <c r="C58" s="19">
        <v>46203</v>
      </c>
      <c r="D58" s="9" t="s">
        <v>969</v>
      </c>
      <c r="E58" s="9" t="s">
        <v>970</v>
      </c>
      <c r="F58" s="27" t="s">
        <v>1540</v>
      </c>
      <c r="G58" s="28" t="s">
        <v>984</v>
      </c>
      <c r="H58" s="28" t="s">
        <v>1541</v>
      </c>
      <c r="I58" s="9" t="str">
        <f t="shared" si="9"/>
        <v>TP. Hồ Chí Minh - Trung Mỹ Tây, (≤2.5 tấn), xe 50H 87442</v>
      </c>
      <c r="J58" s="9" t="s">
        <v>971</v>
      </c>
      <c r="K58" s="9" t="s">
        <v>987</v>
      </c>
      <c r="L58" s="9" t="s">
        <v>260</v>
      </c>
      <c r="M58" s="9" t="s">
        <v>261</v>
      </c>
      <c r="N58" s="9" t="s">
        <v>993</v>
      </c>
      <c r="O58" s="9" t="s">
        <v>994</v>
      </c>
      <c r="P58" s="9" t="s">
        <v>995</v>
      </c>
      <c r="Q58" s="9" t="s">
        <v>1041</v>
      </c>
      <c r="R58" s="9" t="s">
        <v>54</v>
      </c>
      <c r="S58" s="9" t="s">
        <v>75</v>
      </c>
      <c r="T58" s="9" t="s">
        <v>361</v>
      </c>
      <c r="U58" s="9" t="s">
        <v>382</v>
      </c>
      <c r="V58" s="8">
        <f t="shared" si="10"/>
        <v>6.0000000000000001E-3</v>
      </c>
      <c r="W58" s="9">
        <f t="shared" si="11"/>
        <v>0</v>
      </c>
      <c r="X58" s="9">
        <f t="shared" si="12"/>
        <v>0</v>
      </c>
      <c r="AH58" s="9" t="s">
        <v>1570</v>
      </c>
      <c r="AI58" s="9" t="s">
        <v>1567</v>
      </c>
      <c r="AL58" s="9" t="s">
        <v>23</v>
      </c>
      <c r="AM58" s="9" t="s">
        <v>23</v>
      </c>
      <c r="AN58" s="9" t="s">
        <v>23</v>
      </c>
      <c r="AO58" s="9" t="s">
        <v>23</v>
      </c>
      <c r="AP58" s="9" t="s">
        <v>23</v>
      </c>
      <c r="AQ58" s="9" t="s">
        <v>23</v>
      </c>
      <c r="AS58" s="9" t="s">
        <v>23</v>
      </c>
      <c r="AT58" s="9" t="s">
        <v>23</v>
      </c>
      <c r="AU58" s="9" t="s">
        <v>23</v>
      </c>
      <c r="AV58" s="9" t="s">
        <v>977</v>
      </c>
      <c r="AW58" s="9" t="s">
        <v>1092</v>
      </c>
      <c r="AX58" s="9" t="s">
        <v>61</v>
      </c>
      <c r="AY58" s="9" t="s">
        <v>522</v>
      </c>
      <c r="AZ58" s="9" t="s">
        <v>979</v>
      </c>
      <c r="BA58" s="9" t="s">
        <v>980</v>
      </c>
      <c r="BB58" s="9" t="s">
        <v>980</v>
      </c>
      <c r="BC58" s="9" t="s">
        <v>1043</v>
      </c>
      <c r="BD58" s="9" t="s">
        <v>373</v>
      </c>
      <c r="BE58" s="9" t="s">
        <v>374</v>
      </c>
      <c r="BF58" s="9" t="s">
        <v>1093</v>
      </c>
      <c r="BG58" s="9" t="s">
        <v>1094</v>
      </c>
      <c r="BH58" s="9" t="s">
        <v>118</v>
      </c>
      <c r="BI58" s="9" t="s">
        <v>71</v>
      </c>
      <c r="BJ58" s="9" t="s">
        <v>544</v>
      </c>
      <c r="BK58" s="9" t="s">
        <v>984</v>
      </c>
      <c r="BL58" s="9" t="s">
        <v>985</v>
      </c>
    </row>
    <row r="59" spans="1:64" ht="15.75" x14ac:dyDescent="0.25">
      <c r="A59" s="9" t="s">
        <v>363</v>
      </c>
      <c r="B59" s="18" t="s">
        <v>1091</v>
      </c>
      <c r="C59" s="19">
        <v>46203</v>
      </c>
      <c r="D59" s="9" t="s">
        <v>969</v>
      </c>
      <c r="E59" s="9" t="s">
        <v>970</v>
      </c>
      <c r="F59" s="27" t="s">
        <v>1540</v>
      </c>
      <c r="G59" s="28" t="s">
        <v>984</v>
      </c>
      <c r="H59" s="28" t="s">
        <v>1541</v>
      </c>
      <c r="I59" s="9" t="str">
        <f t="shared" si="9"/>
        <v>TP. Hồ Chí Minh - Trung Mỹ Tây, (≤2.5 tấn), xe 50H 87442</v>
      </c>
      <c r="J59" s="9" t="s">
        <v>971</v>
      </c>
      <c r="K59" s="9" t="s">
        <v>987</v>
      </c>
      <c r="L59" s="9" t="s">
        <v>260</v>
      </c>
      <c r="M59" s="9" t="s">
        <v>261</v>
      </c>
      <c r="N59" s="9" t="s">
        <v>387</v>
      </c>
      <c r="O59" s="9" t="s">
        <v>388</v>
      </c>
      <c r="P59" s="9" t="s">
        <v>389</v>
      </c>
      <c r="Q59" s="9" t="s">
        <v>1041</v>
      </c>
      <c r="R59" s="9" t="s">
        <v>54</v>
      </c>
      <c r="S59" s="9" t="s">
        <v>75</v>
      </c>
      <c r="T59" s="9" t="s">
        <v>382</v>
      </c>
      <c r="U59" s="9" t="s">
        <v>196</v>
      </c>
      <c r="V59" s="8">
        <f t="shared" si="10"/>
        <v>1.2E-2</v>
      </c>
      <c r="W59" s="9">
        <f t="shared" si="11"/>
        <v>0</v>
      </c>
      <c r="X59" s="9">
        <f t="shared" si="12"/>
        <v>0</v>
      </c>
      <c r="AH59" s="9" t="s">
        <v>1570</v>
      </c>
      <c r="AI59" s="9" t="s">
        <v>1567</v>
      </c>
      <c r="AL59" s="9" t="s">
        <v>23</v>
      </c>
      <c r="AM59" s="9" t="s">
        <v>23</v>
      </c>
      <c r="AN59" s="9" t="s">
        <v>23</v>
      </c>
      <c r="AO59" s="9" t="s">
        <v>23</v>
      </c>
      <c r="AP59" s="9" t="s">
        <v>23</v>
      </c>
      <c r="AQ59" s="9" t="s">
        <v>23</v>
      </c>
      <c r="AS59" s="9" t="s">
        <v>23</v>
      </c>
      <c r="AT59" s="9" t="s">
        <v>23</v>
      </c>
      <c r="AU59" s="9" t="s">
        <v>23</v>
      </c>
      <c r="AV59" s="9" t="s">
        <v>977</v>
      </c>
      <c r="AW59" s="9" t="s">
        <v>1092</v>
      </c>
      <c r="AX59" s="9" t="s">
        <v>61</v>
      </c>
      <c r="AY59" s="9" t="s">
        <v>522</v>
      </c>
      <c r="AZ59" s="9" t="s">
        <v>979</v>
      </c>
      <c r="BA59" s="9" t="s">
        <v>980</v>
      </c>
      <c r="BB59" s="9" t="s">
        <v>980</v>
      </c>
      <c r="BC59" s="9" t="s">
        <v>1043</v>
      </c>
      <c r="BD59" s="9" t="s">
        <v>373</v>
      </c>
      <c r="BE59" s="9" t="s">
        <v>374</v>
      </c>
      <c r="BF59" s="9" t="s">
        <v>1093</v>
      </c>
      <c r="BG59" s="9" t="s">
        <v>1094</v>
      </c>
      <c r="BH59" s="9" t="s">
        <v>118</v>
      </c>
      <c r="BI59" s="9" t="s">
        <v>71</v>
      </c>
      <c r="BJ59" s="9" t="s">
        <v>544</v>
      </c>
      <c r="BK59" s="9" t="s">
        <v>984</v>
      </c>
      <c r="BL59" s="9" t="s">
        <v>985</v>
      </c>
    </row>
    <row r="60" spans="1:64" ht="15.75" x14ac:dyDescent="0.25">
      <c r="A60" s="9" t="s">
        <v>363</v>
      </c>
      <c r="B60" s="18" t="s">
        <v>1091</v>
      </c>
      <c r="C60" s="19">
        <v>46203</v>
      </c>
      <c r="D60" s="9" t="s">
        <v>969</v>
      </c>
      <c r="E60" s="9" t="s">
        <v>970</v>
      </c>
      <c r="F60" s="27" t="s">
        <v>1540</v>
      </c>
      <c r="G60" s="28" t="s">
        <v>984</v>
      </c>
      <c r="H60" s="28" t="s">
        <v>1541</v>
      </c>
      <c r="I60" s="9" t="str">
        <f t="shared" si="9"/>
        <v>TP. Hồ Chí Minh - Trung Mỹ Tây, (≤2.5 tấn), xe 50H 87442</v>
      </c>
      <c r="J60" s="9" t="s">
        <v>971</v>
      </c>
      <c r="K60" s="9" t="s">
        <v>987</v>
      </c>
      <c r="L60" s="9" t="s">
        <v>260</v>
      </c>
      <c r="M60" s="9" t="s">
        <v>261</v>
      </c>
      <c r="N60" s="9" t="s">
        <v>1023</v>
      </c>
      <c r="O60" s="9" t="s">
        <v>1024</v>
      </c>
      <c r="P60" s="9" t="s">
        <v>1025</v>
      </c>
      <c r="Q60" s="9" t="s">
        <v>1041</v>
      </c>
      <c r="R60" s="9" t="s">
        <v>54</v>
      </c>
      <c r="S60" s="9" t="s">
        <v>75</v>
      </c>
      <c r="T60" s="9" t="s">
        <v>76</v>
      </c>
      <c r="U60" s="9">
        <v>9.6</v>
      </c>
      <c r="V60" s="8">
        <f t="shared" si="10"/>
        <v>0.01</v>
      </c>
      <c r="W60" s="9">
        <f t="shared" si="11"/>
        <v>0</v>
      </c>
      <c r="X60" s="9">
        <f t="shared" si="12"/>
        <v>0</v>
      </c>
      <c r="AH60" s="9" t="s">
        <v>1570</v>
      </c>
      <c r="AI60" s="9" t="s">
        <v>1567</v>
      </c>
      <c r="AL60" s="9" t="s">
        <v>23</v>
      </c>
      <c r="AM60" s="9" t="s">
        <v>23</v>
      </c>
      <c r="AN60" s="9" t="s">
        <v>23</v>
      </c>
      <c r="AO60" s="9" t="s">
        <v>23</v>
      </c>
      <c r="AP60" s="9" t="s">
        <v>23</v>
      </c>
      <c r="AQ60" s="9" t="s">
        <v>23</v>
      </c>
      <c r="AS60" s="9" t="s">
        <v>23</v>
      </c>
      <c r="AT60" s="9" t="s">
        <v>23</v>
      </c>
      <c r="AU60" s="9" t="s">
        <v>23</v>
      </c>
      <c r="AV60" s="9" t="s">
        <v>977</v>
      </c>
      <c r="AW60" s="9" t="s">
        <v>1092</v>
      </c>
      <c r="AX60" s="9" t="s">
        <v>61</v>
      </c>
      <c r="AY60" s="9" t="s">
        <v>522</v>
      </c>
      <c r="AZ60" s="9" t="s">
        <v>979</v>
      </c>
      <c r="BA60" s="9" t="s">
        <v>980</v>
      </c>
      <c r="BB60" s="9" t="s">
        <v>980</v>
      </c>
      <c r="BC60" s="9" t="s">
        <v>1043</v>
      </c>
      <c r="BD60" s="9" t="s">
        <v>373</v>
      </c>
      <c r="BE60" s="9" t="s">
        <v>374</v>
      </c>
      <c r="BF60" s="9" t="s">
        <v>1093</v>
      </c>
      <c r="BG60" s="9" t="s">
        <v>1094</v>
      </c>
      <c r="BH60" s="9" t="s">
        <v>118</v>
      </c>
      <c r="BI60" s="9" t="s">
        <v>71</v>
      </c>
      <c r="BJ60" s="9" t="s">
        <v>544</v>
      </c>
      <c r="BK60" s="9" t="s">
        <v>984</v>
      </c>
      <c r="BL60" s="9" t="s">
        <v>985</v>
      </c>
    </row>
    <row r="61" spans="1:64" ht="15.75" x14ac:dyDescent="0.25">
      <c r="A61" s="9" t="s">
        <v>363</v>
      </c>
      <c r="B61" s="18" t="s">
        <v>1133</v>
      </c>
      <c r="C61" s="19">
        <v>46203</v>
      </c>
      <c r="D61" s="9" t="s">
        <v>1134</v>
      </c>
      <c r="E61" s="9" t="s">
        <v>706</v>
      </c>
      <c r="F61" s="27" t="s">
        <v>1542</v>
      </c>
      <c r="G61" s="28" t="s">
        <v>715</v>
      </c>
      <c r="H61" s="28" t="s">
        <v>1541</v>
      </c>
      <c r="I61" s="9" t="str">
        <f t="shared" si="9"/>
        <v>TP. Hồ Chí Minh - Thới An, (≤2.5 tấn), xe 50H 92136</v>
      </c>
      <c r="J61" s="9" t="s">
        <v>707</v>
      </c>
      <c r="K61" s="9" t="s">
        <v>708</v>
      </c>
      <c r="L61" s="9" t="s">
        <v>260</v>
      </c>
      <c r="M61" s="9" t="s">
        <v>261</v>
      </c>
      <c r="N61" s="9" t="s">
        <v>365</v>
      </c>
      <c r="O61" s="9" t="s">
        <v>366</v>
      </c>
      <c r="P61" s="9" t="s">
        <v>367</v>
      </c>
      <c r="Q61" s="9" t="s">
        <v>709</v>
      </c>
      <c r="R61" s="9" t="s">
        <v>54</v>
      </c>
      <c r="S61" s="9" t="s">
        <v>164</v>
      </c>
      <c r="T61" s="9" t="s">
        <v>106</v>
      </c>
      <c r="U61" s="9" t="s">
        <v>764</v>
      </c>
      <c r="V61" s="8">
        <f t="shared" si="10"/>
        <v>0.2</v>
      </c>
      <c r="W61" s="9">
        <f t="shared" si="11"/>
        <v>0.64800000000000002</v>
      </c>
      <c r="X61" s="9">
        <f t="shared" si="12"/>
        <v>0.64800000000000002</v>
      </c>
      <c r="Y61" s="20">
        <f>AL61</f>
        <v>1.847</v>
      </c>
      <c r="Z61" s="38">
        <v>1369000</v>
      </c>
      <c r="AA61" s="38">
        <v>200000</v>
      </c>
      <c r="AD61" s="39">
        <f>ROUND(SUM(Z61:AB61)/Y61*X61,0)</f>
        <v>550467</v>
      </c>
      <c r="AE61" s="39">
        <f>ROUND(SUM(Z61:AB61)/Y61*X61,0)</f>
        <v>550467</v>
      </c>
      <c r="AH61" s="9" t="s">
        <v>20</v>
      </c>
      <c r="AI61" s="9" t="s">
        <v>1567</v>
      </c>
      <c r="AL61" s="20">
        <f>SUM(AM61:AR61)</f>
        <v>1.847</v>
      </c>
      <c r="AM61" s="20">
        <v>0.17599999999999999</v>
      </c>
      <c r="AN61" s="9" t="s">
        <v>23</v>
      </c>
      <c r="AO61" s="20">
        <v>0.64800000000000002</v>
      </c>
      <c r="AP61" s="9" t="s">
        <v>23</v>
      </c>
      <c r="AQ61" s="20">
        <v>1.0229999999999999</v>
      </c>
      <c r="AR61" s="20"/>
      <c r="AS61" s="20">
        <v>1.847</v>
      </c>
      <c r="AT61" s="9" t="s">
        <v>23</v>
      </c>
      <c r="AU61" s="9" t="s">
        <v>1135</v>
      </c>
      <c r="AV61" s="9" t="s">
        <v>473</v>
      </c>
      <c r="AW61" s="9" t="s">
        <v>719</v>
      </c>
      <c r="AX61" s="9" t="s">
        <v>61</v>
      </c>
      <c r="AY61" s="9" t="s">
        <v>62</v>
      </c>
      <c r="AZ61" s="9" t="s">
        <v>474</v>
      </c>
      <c r="BA61" s="9" t="s">
        <v>577</v>
      </c>
      <c r="BB61" s="9" t="s">
        <v>272</v>
      </c>
      <c r="BC61" s="9" t="s">
        <v>23</v>
      </c>
      <c r="BD61" s="9" t="s">
        <v>373</v>
      </c>
      <c r="BE61" s="9" t="s">
        <v>374</v>
      </c>
      <c r="BF61" s="9" t="s">
        <v>1136</v>
      </c>
      <c r="BG61" s="9" t="s">
        <v>1137</v>
      </c>
      <c r="BH61" s="9" t="s">
        <v>118</v>
      </c>
      <c r="BI61" s="9" t="s">
        <v>71</v>
      </c>
      <c r="BJ61" s="9" t="s">
        <v>544</v>
      </c>
      <c r="BK61" s="9" t="s">
        <v>715</v>
      </c>
      <c r="BL61" s="9" t="s">
        <v>1138</v>
      </c>
    </row>
    <row r="62" spans="1:64" ht="15.75" x14ac:dyDescent="0.25">
      <c r="A62" s="9" t="s">
        <v>363</v>
      </c>
      <c r="B62" s="18" t="s">
        <v>1133</v>
      </c>
      <c r="C62" s="19">
        <v>46203</v>
      </c>
      <c r="D62" s="9" t="s">
        <v>1134</v>
      </c>
      <c r="E62" s="9" t="s">
        <v>706</v>
      </c>
      <c r="F62" s="27" t="s">
        <v>1542</v>
      </c>
      <c r="G62" s="28" t="s">
        <v>715</v>
      </c>
      <c r="H62" s="28" t="s">
        <v>1541</v>
      </c>
      <c r="I62" s="9" t="str">
        <f t="shared" si="9"/>
        <v>TP. Hồ Chí Minh - Thới An, (≤2.5 tấn), xe 50H 92136</v>
      </c>
      <c r="J62" s="9" t="s">
        <v>707</v>
      </c>
      <c r="K62" s="9" t="s">
        <v>708</v>
      </c>
      <c r="L62" s="9" t="s">
        <v>260</v>
      </c>
      <c r="M62" s="9" t="s">
        <v>261</v>
      </c>
      <c r="N62" s="9" t="s">
        <v>470</v>
      </c>
      <c r="O62" s="9" t="s">
        <v>471</v>
      </c>
      <c r="P62" s="9" t="s">
        <v>472</v>
      </c>
      <c r="Q62" s="9" t="s">
        <v>709</v>
      </c>
      <c r="R62" s="9" t="s">
        <v>54</v>
      </c>
      <c r="S62" s="9" t="s">
        <v>164</v>
      </c>
      <c r="T62" s="9" t="s">
        <v>106</v>
      </c>
      <c r="U62" s="9" t="s">
        <v>764</v>
      </c>
      <c r="V62" s="8">
        <f t="shared" si="10"/>
        <v>0.2</v>
      </c>
      <c r="W62" s="9">
        <f t="shared" si="11"/>
        <v>0</v>
      </c>
      <c r="X62" s="9">
        <f t="shared" si="12"/>
        <v>0</v>
      </c>
      <c r="AH62" s="9" t="s">
        <v>20</v>
      </c>
      <c r="AI62" s="9" t="s">
        <v>1567</v>
      </c>
      <c r="AL62" s="9" t="s">
        <v>23</v>
      </c>
      <c r="AM62" s="9" t="s">
        <v>23</v>
      </c>
      <c r="AN62" s="9" t="s">
        <v>23</v>
      </c>
      <c r="AO62" s="9" t="s">
        <v>23</v>
      </c>
      <c r="AP62" s="9" t="s">
        <v>23</v>
      </c>
      <c r="AQ62" s="9" t="s">
        <v>23</v>
      </c>
      <c r="AS62" s="9" t="s">
        <v>23</v>
      </c>
      <c r="AT62" s="9" t="s">
        <v>23</v>
      </c>
      <c r="AU62" s="9" t="s">
        <v>1135</v>
      </c>
      <c r="AV62" s="9" t="s">
        <v>473</v>
      </c>
      <c r="AW62" s="9" t="s">
        <v>719</v>
      </c>
      <c r="AX62" s="9" t="s">
        <v>61</v>
      </c>
      <c r="AY62" s="9" t="s">
        <v>62</v>
      </c>
      <c r="AZ62" s="9" t="s">
        <v>474</v>
      </c>
      <c r="BA62" s="9" t="s">
        <v>577</v>
      </c>
      <c r="BB62" s="9" t="s">
        <v>272</v>
      </c>
      <c r="BC62" s="9" t="s">
        <v>23</v>
      </c>
      <c r="BD62" s="9" t="s">
        <v>373</v>
      </c>
      <c r="BE62" s="9" t="s">
        <v>374</v>
      </c>
      <c r="BF62" s="9" t="s">
        <v>1136</v>
      </c>
      <c r="BG62" s="9" t="s">
        <v>1137</v>
      </c>
      <c r="BH62" s="9" t="s">
        <v>118</v>
      </c>
      <c r="BI62" s="9" t="s">
        <v>71</v>
      </c>
      <c r="BJ62" s="9" t="s">
        <v>544</v>
      </c>
      <c r="BK62" s="9" t="s">
        <v>715</v>
      </c>
      <c r="BL62" s="9" t="s">
        <v>1138</v>
      </c>
    </row>
    <row r="63" spans="1:64" ht="15.75" x14ac:dyDescent="0.25">
      <c r="A63" s="9" t="s">
        <v>363</v>
      </c>
      <c r="B63" s="18" t="s">
        <v>1133</v>
      </c>
      <c r="C63" s="19">
        <v>46203</v>
      </c>
      <c r="D63" s="9" t="s">
        <v>1134</v>
      </c>
      <c r="E63" s="9" t="s">
        <v>706</v>
      </c>
      <c r="F63" s="27" t="s">
        <v>1542</v>
      </c>
      <c r="G63" s="28" t="s">
        <v>715</v>
      </c>
      <c r="H63" s="28" t="s">
        <v>1541</v>
      </c>
      <c r="I63" s="9" t="str">
        <f t="shared" si="9"/>
        <v>TP. Hồ Chí Minh - Thới An, (≤2.5 tấn), xe 50H 92136</v>
      </c>
      <c r="J63" s="9" t="s">
        <v>707</v>
      </c>
      <c r="K63" s="9" t="s">
        <v>708</v>
      </c>
      <c r="L63" s="9" t="s">
        <v>260</v>
      </c>
      <c r="M63" s="9" t="s">
        <v>261</v>
      </c>
      <c r="N63" s="9" t="s">
        <v>616</v>
      </c>
      <c r="O63" s="9" t="s">
        <v>617</v>
      </c>
      <c r="P63" s="9" t="s">
        <v>618</v>
      </c>
      <c r="Q63" s="9" t="s">
        <v>709</v>
      </c>
      <c r="R63" s="9" t="s">
        <v>54</v>
      </c>
      <c r="S63" s="9" t="s">
        <v>106</v>
      </c>
      <c r="T63" s="9" t="s">
        <v>76</v>
      </c>
      <c r="U63" s="9" t="s">
        <v>353</v>
      </c>
      <c r="V63" s="8">
        <f t="shared" si="10"/>
        <v>4.8000000000000001E-2</v>
      </c>
      <c r="W63" s="9">
        <f t="shared" si="11"/>
        <v>0</v>
      </c>
      <c r="X63" s="9">
        <f t="shared" si="12"/>
        <v>0</v>
      </c>
      <c r="AH63" s="9" t="s">
        <v>20</v>
      </c>
      <c r="AI63" s="9" t="s">
        <v>1567</v>
      </c>
      <c r="AL63" s="9" t="s">
        <v>23</v>
      </c>
      <c r="AM63" s="9" t="s">
        <v>23</v>
      </c>
      <c r="AN63" s="9" t="s">
        <v>23</v>
      </c>
      <c r="AO63" s="9" t="s">
        <v>23</v>
      </c>
      <c r="AP63" s="9" t="s">
        <v>23</v>
      </c>
      <c r="AQ63" s="9" t="s">
        <v>23</v>
      </c>
      <c r="AS63" s="9" t="s">
        <v>23</v>
      </c>
      <c r="AT63" s="9" t="s">
        <v>23</v>
      </c>
      <c r="AU63" s="9" t="s">
        <v>1135</v>
      </c>
      <c r="AV63" s="9" t="s">
        <v>473</v>
      </c>
      <c r="AW63" s="9" t="s">
        <v>719</v>
      </c>
      <c r="AX63" s="9" t="s">
        <v>61</v>
      </c>
      <c r="AY63" s="9" t="s">
        <v>62</v>
      </c>
      <c r="AZ63" s="9" t="s">
        <v>474</v>
      </c>
      <c r="BA63" s="9" t="s">
        <v>577</v>
      </c>
      <c r="BB63" s="9" t="s">
        <v>272</v>
      </c>
      <c r="BC63" s="9" t="s">
        <v>23</v>
      </c>
      <c r="BD63" s="9" t="s">
        <v>373</v>
      </c>
      <c r="BE63" s="9" t="s">
        <v>374</v>
      </c>
      <c r="BF63" s="9" t="s">
        <v>1136</v>
      </c>
      <c r="BG63" s="9" t="s">
        <v>1137</v>
      </c>
      <c r="BH63" s="9" t="s">
        <v>118</v>
      </c>
      <c r="BI63" s="9" t="s">
        <v>71</v>
      </c>
      <c r="BJ63" s="9" t="s">
        <v>544</v>
      </c>
      <c r="BK63" s="9" t="s">
        <v>715</v>
      </c>
      <c r="BL63" s="9" t="s">
        <v>1138</v>
      </c>
    </row>
    <row r="64" spans="1:64" ht="15.75" x14ac:dyDescent="0.25">
      <c r="A64" s="9" t="s">
        <v>363</v>
      </c>
      <c r="B64" s="18" t="s">
        <v>1133</v>
      </c>
      <c r="C64" s="19">
        <v>46203</v>
      </c>
      <c r="D64" s="9" t="s">
        <v>1134</v>
      </c>
      <c r="E64" s="9" t="s">
        <v>706</v>
      </c>
      <c r="F64" s="27" t="s">
        <v>1542</v>
      </c>
      <c r="G64" s="28" t="s">
        <v>715</v>
      </c>
      <c r="H64" s="28" t="s">
        <v>1541</v>
      </c>
      <c r="I64" s="9" t="str">
        <f t="shared" si="9"/>
        <v>TP. Hồ Chí Minh - Thới An, (≤2.5 tấn), xe 50H 92136</v>
      </c>
      <c r="J64" s="9" t="s">
        <v>707</v>
      </c>
      <c r="K64" s="9" t="s">
        <v>708</v>
      </c>
      <c r="L64" s="9" t="s">
        <v>260</v>
      </c>
      <c r="M64" s="9" t="s">
        <v>261</v>
      </c>
      <c r="N64" s="9" t="s">
        <v>475</v>
      </c>
      <c r="O64" s="9" t="s">
        <v>476</v>
      </c>
      <c r="P64" s="9" t="s">
        <v>477</v>
      </c>
      <c r="Q64" s="9" t="s">
        <v>709</v>
      </c>
      <c r="R64" s="9" t="s">
        <v>54</v>
      </c>
      <c r="S64" s="9" t="s">
        <v>164</v>
      </c>
      <c r="T64" s="9" t="s">
        <v>106</v>
      </c>
      <c r="U64" s="9" t="s">
        <v>764</v>
      </c>
      <c r="V64" s="8">
        <f t="shared" si="10"/>
        <v>0.2</v>
      </c>
      <c r="W64" s="9">
        <f t="shared" si="11"/>
        <v>0</v>
      </c>
      <c r="X64" s="9">
        <f t="shared" si="12"/>
        <v>0</v>
      </c>
      <c r="AH64" s="9" t="s">
        <v>20</v>
      </c>
      <c r="AI64" s="9" t="s">
        <v>1567</v>
      </c>
      <c r="AL64" s="9" t="s">
        <v>23</v>
      </c>
      <c r="AM64" s="9" t="s">
        <v>23</v>
      </c>
      <c r="AN64" s="9" t="s">
        <v>23</v>
      </c>
      <c r="AO64" s="9" t="s">
        <v>23</v>
      </c>
      <c r="AP64" s="9" t="s">
        <v>23</v>
      </c>
      <c r="AQ64" s="9" t="s">
        <v>23</v>
      </c>
      <c r="AS64" s="9" t="s">
        <v>23</v>
      </c>
      <c r="AT64" s="9" t="s">
        <v>23</v>
      </c>
      <c r="AU64" s="9" t="s">
        <v>1135</v>
      </c>
      <c r="AV64" s="9" t="s">
        <v>473</v>
      </c>
      <c r="AW64" s="9" t="s">
        <v>719</v>
      </c>
      <c r="AX64" s="9" t="s">
        <v>61</v>
      </c>
      <c r="AY64" s="9" t="s">
        <v>62</v>
      </c>
      <c r="AZ64" s="9" t="s">
        <v>474</v>
      </c>
      <c r="BA64" s="9" t="s">
        <v>577</v>
      </c>
      <c r="BB64" s="9" t="s">
        <v>272</v>
      </c>
      <c r="BC64" s="9" t="s">
        <v>23</v>
      </c>
      <c r="BD64" s="9" t="s">
        <v>373</v>
      </c>
      <c r="BE64" s="9" t="s">
        <v>374</v>
      </c>
      <c r="BF64" s="9" t="s">
        <v>1136</v>
      </c>
      <c r="BG64" s="9" t="s">
        <v>1137</v>
      </c>
      <c r="BH64" s="9" t="s">
        <v>118</v>
      </c>
      <c r="BI64" s="9" t="s">
        <v>71</v>
      </c>
      <c r="BJ64" s="9" t="s">
        <v>544</v>
      </c>
      <c r="BK64" s="9" t="s">
        <v>715</v>
      </c>
      <c r="BL64" s="9" t="s">
        <v>1138</v>
      </c>
    </row>
    <row r="65" spans="1:65" ht="15.75" x14ac:dyDescent="0.25">
      <c r="A65" s="9" t="s">
        <v>363</v>
      </c>
      <c r="B65" s="18" t="s">
        <v>1188</v>
      </c>
      <c r="C65" s="19">
        <v>46203</v>
      </c>
      <c r="D65" s="9" t="s">
        <v>1153</v>
      </c>
      <c r="E65" s="9" t="s">
        <v>1189</v>
      </c>
      <c r="F65" s="27" t="s">
        <v>1547</v>
      </c>
      <c r="G65" s="28" t="s">
        <v>1163</v>
      </c>
      <c r="H65" s="28" t="s">
        <v>1541</v>
      </c>
      <c r="I65" s="9" t="str">
        <f t="shared" si="9"/>
        <v>TP. Hồ Chí Minh - An Khánh, (≤2.5 tấn), xe 51D 38021</v>
      </c>
      <c r="J65" s="9" t="s">
        <v>1155</v>
      </c>
      <c r="K65" s="9" t="s">
        <v>1156</v>
      </c>
      <c r="L65" s="9" t="s">
        <v>260</v>
      </c>
      <c r="M65" s="9" t="s">
        <v>261</v>
      </c>
      <c r="N65" s="9" t="s">
        <v>627</v>
      </c>
      <c r="O65" s="9" t="s">
        <v>628</v>
      </c>
      <c r="P65" s="9" t="s">
        <v>629</v>
      </c>
      <c r="Q65" s="9" t="s">
        <v>1190</v>
      </c>
      <c r="R65" s="9" t="s">
        <v>54</v>
      </c>
      <c r="S65" s="9" t="s">
        <v>195</v>
      </c>
      <c r="T65" s="9" t="s">
        <v>611</v>
      </c>
      <c r="U65" s="9" t="s">
        <v>179</v>
      </c>
      <c r="V65" s="8">
        <f t="shared" si="10"/>
        <v>1.7999999999999999E-2</v>
      </c>
      <c r="W65" s="9">
        <f t="shared" si="11"/>
        <v>1.7999999999999999E-2</v>
      </c>
      <c r="X65" s="9">
        <f t="shared" si="12"/>
        <v>0.08</v>
      </c>
      <c r="Y65" s="20">
        <f>AL65</f>
        <v>1.1619999999999999</v>
      </c>
      <c r="Z65" s="38">
        <v>1369000</v>
      </c>
      <c r="AA65" s="38">
        <v>200000</v>
      </c>
      <c r="AD65" s="39">
        <f>ROUND(SUM(Z65:AB65)/Y65*X65,0)</f>
        <v>108021</v>
      </c>
      <c r="AE65" s="39">
        <f>ROUND(SUM(Z65:AB65)/Y65*X65,0)</f>
        <v>108021</v>
      </c>
      <c r="AH65" s="9" t="s">
        <v>1570</v>
      </c>
      <c r="AI65" s="9" t="s">
        <v>1567</v>
      </c>
      <c r="AL65" s="20">
        <f>SUM(AM65:AR65)</f>
        <v>1.1619999999999999</v>
      </c>
      <c r="AM65" s="20">
        <v>0.73</v>
      </c>
      <c r="AN65" s="20">
        <v>0.02</v>
      </c>
      <c r="AO65" s="20">
        <v>0.08</v>
      </c>
      <c r="AP65" s="9" t="s">
        <v>23</v>
      </c>
      <c r="AQ65" s="20">
        <v>0.33200000000000002</v>
      </c>
      <c r="AR65" s="20"/>
      <c r="AS65" s="20">
        <v>1.1619999999999999</v>
      </c>
      <c r="AT65" s="9" t="s">
        <v>23</v>
      </c>
      <c r="AU65" s="9" t="s">
        <v>23</v>
      </c>
      <c r="AV65" s="9" t="s">
        <v>977</v>
      </c>
      <c r="AW65" s="9" t="s">
        <v>1191</v>
      </c>
      <c r="AX65" s="9" t="s">
        <v>61</v>
      </c>
      <c r="AY65" s="9" t="s">
        <v>522</v>
      </c>
      <c r="AZ65" s="9" t="s">
        <v>979</v>
      </c>
      <c r="BA65" s="9" t="s">
        <v>980</v>
      </c>
      <c r="BB65" s="9" t="s">
        <v>980</v>
      </c>
      <c r="BC65" s="9" t="s">
        <v>1159</v>
      </c>
      <c r="BD65" s="9" t="s">
        <v>373</v>
      </c>
      <c r="BE65" s="9" t="s">
        <v>374</v>
      </c>
      <c r="BF65" s="9" t="s">
        <v>1192</v>
      </c>
      <c r="BG65" s="9" t="s">
        <v>1193</v>
      </c>
      <c r="BH65" s="9" t="s">
        <v>118</v>
      </c>
      <c r="BI65" s="9" t="s">
        <v>71</v>
      </c>
      <c r="BJ65" s="9" t="s">
        <v>1162</v>
      </c>
      <c r="BK65" s="9" t="s">
        <v>1163</v>
      </c>
      <c r="BL65" s="9" t="s">
        <v>1164</v>
      </c>
    </row>
    <row r="66" spans="1:65" ht="15.75" x14ac:dyDescent="0.25">
      <c r="A66" s="9" t="s">
        <v>363</v>
      </c>
      <c r="B66" s="18" t="s">
        <v>1194</v>
      </c>
      <c r="C66" s="19">
        <v>46203</v>
      </c>
      <c r="D66" s="9" t="s">
        <v>1153</v>
      </c>
      <c r="E66" s="9" t="s">
        <v>1189</v>
      </c>
      <c r="F66" s="27" t="s">
        <v>1547</v>
      </c>
      <c r="G66" s="28" t="s">
        <v>1163</v>
      </c>
      <c r="H66" s="28" t="s">
        <v>1541</v>
      </c>
      <c r="I66" s="9" t="str">
        <f t="shared" si="9"/>
        <v>TP. Hồ Chí Minh - An Khánh, (≤2.5 tấn), xe 51D 38021</v>
      </c>
      <c r="J66" s="9" t="s">
        <v>1155</v>
      </c>
      <c r="K66" s="9" t="s">
        <v>1156</v>
      </c>
      <c r="L66" s="9" t="s">
        <v>260</v>
      </c>
      <c r="M66" s="9" t="s">
        <v>261</v>
      </c>
      <c r="N66" s="9" t="s">
        <v>1195</v>
      </c>
      <c r="O66" s="9" t="s">
        <v>1196</v>
      </c>
      <c r="P66" s="9" t="s">
        <v>1197</v>
      </c>
      <c r="Q66" s="9" t="s">
        <v>1190</v>
      </c>
      <c r="R66" s="9" t="s">
        <v>54</v>
      </c>
      <c r="S66" s="9" t="s">
        <v>195</v>
      </c>
      <c r="T66" s="9" t="s">
        <v>76</v>
      </c>
      <c r="U66" s="9" t="s">
        <v>249</v>
      </c>
      <c r="V66" s="8">
        <f t="shared" si="10"/>
        <v>2.4E-2</v>
      </c>
      <c r="W66" s="9">
        <f t="shared" si="11"/>
        <v>6.2E-2</v>
      </c>
      <c r="X66" s="9">
        <f t="shared" si="12"/>
        <v>0</v>
      </c>
      <c r="AH66" s="9" t="s">
        <v>1570</v>
      </c>
      <c r="AI66" s="9" t="s">
        <v>1567</v>
      </c>
      <c r="AL66" s="9" t="s">
        <v>23</v>
      </c>
      <c r="AM66" s="9" t="s">
        <v>23</v>
      </c>
      <c r="AN66" s="9" t="s">
        <v>23</v>
      </c>
      <c r="AO66" s="9" t="s">
        <v>23</v>
      </c>
      <c r="AP66" s="9" t="s">
        <v>23</v>
      </c>
      <c r="AQ66" s="9" t="s">
        <v>23</v>
      </c>
      <c r="AS66" s="9" t="s">
        <v>23</v>
      </c>
      <c r="AT66" s="9" t="s">
        <v>23</v>
      </c>
      <c r="AU66" s="9" t="s">
        <v>23</v>
      </c>
      <c r="AV66" s="9" t="s">
        <v>977</v>
      </c>
      <c r="AW66" s="9" t="s">
        <v>1198</v>
      </c>
      <c r="AX66" s="9" t="s">
        <v>61</v>
      </c>
      <c r="AY66" s="9" t="s">
        <v>522</v>
      </c>
      <c r="AZ66" s="9" t="s">
        <v>979</v>
      </c>
      <c r="BA66" s="9" t="s">
        <v>980</v>
      </c>
      <c r="BB66" s="9" t="s">
        <v>980</v>
      </c>
      <c r="BC66" s="9" t="s">
        <v>1184</v>
      </c>
      <c r="BD66" s="9" t="s">
        <v>373</v>
      </c>
      <c r="BE66" s="9" t="s">
        <v>374</v>
      </c>
      <c r="BF66" s="9" t="s">
        <v>1199</v>
      </c>
      <c r="BG66" s="9" t="s">
        <v>1200</v>
      </c>
      <c r="BH66" s="9" t="s">
        <v>118</v>
      </c>
      <c r="BI66" s="9" t="s">
        <v>71</v>
      </c>
      <c r="BJ66" s="9" t="s">
        <v>1162</v>
      </c>
      <c r="BK66" s="9" t="s">
        <v>1163</v>
      </c>
      <c r="BL66" s="9" t="s">
        <v>1164</v>
      </c>
    </row>
    <row r="67" spans="1:65" ht="15.75" x14ac:dyDescent="0.25">
      <c r="A67" s="9" t="s">
        <v>363</v>
      </c>
      <c r="B67" s="18" t="s">
        <v>1194</v>
      </c>
      <c r="C67" s="19">
        <v>46203</v>
      </c>
      <c r="D67" s="9" t="s">
        <v>1153</v>
      </c>
      <c r="E67" s="9" t="s">
        <v>1189</v>
      </c>
      <c r="F67" s="27" t="s">
        <v>1547</v>
      </c>
      <c r="G67" s="28" t="s">
        <v>1163</v>
      </c>
      <c r="H67" s="28" t="s">
        <v>1541</v>
      </c>
      <c r="I67" s="9" t="str">
        <f t="shared" si="9"/>
        <v>TP. Hồ Chí Minh - An Khánh, (≤2.5 tấn), xe 51D 38021</v>
      </c>
      <c r="J67" s="9" t="s">
        <v>1155</v>
      </c>
      <c r="K67" s="9" t="s">
        <v>1156</v>
      </c>
      <c r="L67" s="9" t="s">
        <v>260</v>
      </c>
      <c r="M67" s="9" t="s">
        <v>261</v>
      </c>
      <c r="N67" s="9" t="s">
        <v>1201</v>
      </c>
      <c r="O67" s="9" t="s">
        <v>1202</v>
      </c>
      <c r="P67" s="9" t="s">
        <v>1203</v>
      </c>
      <c r="Q67" s="9" t="s">
        <v>1190</v>
      </c>
      <c r="R67" s="9" t="s">
        <v>54</v>
      </c>
      <c r="S67" s="9" t="s">
        <v>195</v>
      </c>
      <c r="T67" s="9" t="s">
        <v>76</v>
      </c>
      <c r="U67" s="9" t="s">
        <v>249</v>
      </c>
      <c r="V67" s="8">
        <f t="shared" si="10"/>
        <v>2.4E-2</v>
      </c>
      <c r="W67" s="9">
        <f t="shared" si="11"/>
        <v>0</v>
      </c>
      <c r="X67" s="9">
        <f t="shared" si="12"/>
        <v>0</v>
      </c>
      <c r="AH67" s="9" t="s">
        <v>1570</v>
      </c>
      <c r="AI67" s="9" t="s">
        <v>1567</v>
      </c>
      <c r="AL67" s="9" t="s">
        <v>23</v>
      </c>
      <c r="AM67" s="9" t="s">
        <v>23</v>
      </c>
      <c r="AN67" s="9" t="s">
        <v>23</v>
      </c>
      <c r="AO67" s="9" t="s">
        <v>23</v>
      </c>
      <c r="AP67" s="9" t="s">
        <v>23</v>
      </c>
      <c r="AQ67" s="9" t="s">
        <v>23</v>
      </c>
      <c r="AS67" s="9" t="s">
        <v>23</v>
      </c>
      <c r="AT67" s="9" t="s">
        <v>23</v>
      </c>
      <c r="AU67" s="9" t="s">
        <v>23</v>
      </c>
      <c r="AV67" s="9" t="s">
        <v>977</v>
      </c>
      <c r="AW67" s="9" t="s">
        <v>1198</v>
      </c>
      <c r="AX67" s="9" t="s">
        <v>61</v>
      </c>
      <c r="AY67" s="9" t="s">
        <v>522</v>
      </c>
      <c r="AZ67" s="9" t="s">
        <v>979</v>
      </c>
      <c r="BA67" s="9" t="s">
        <v>980</v>
      </c>
      <c r="BB67" s="9" t="s">
        <v>980</v>
      </c>
      <c r="BC67" s="9" t="s">
        <v>1184</v>
      </c>
      <c r="BD67" s="9" t="s">
        <v>373</v>
      </c>
      <c r="BE67" s="9" t="s">
        <v>374</v>
      </c>
      <c r="BF67" s="9" t="s">
        <v>1199</v>
      </c>
      <c r="BG67" s="9" t="s">
        <v>1200</v>
      </c>
      <c r="BH67" s="9" t="s">
        <v>118</v>
      </c>
      <c r="BI67" s="9" t="s">
        <v>71</v>
      </c>
      <c r="BJ67" s="9" t="s">
        <v>1162</v>
      </c>
      <c r="BK67" s="9" t="s">
        <v>1163</v>
      </c>
      <c r="BL67" s="9" t="s">
        <v>1164</v>
      </c>
    </row>
    <row r="68" spans="1:65" ht="15.75" x14ac:dyDescent="0.25">
      <c r="A68" s="9" t="s">
        <v>363</v>
      </c>
      <c r="B68" s="18" t="s">
        <v>1194</v>
      </c>
      <c r="C68" s="19">
        <v>46203</v>
      </c>
      <c r="D68" s="9" t="s">
        <v>1153</v>
      </c>
      <c r="E68" s="9" t="s">
        <v>1189</v>
      </c>
      <c r="F68" s="27" t="s">
        <v>1547</v>
      </c>
      <c r="G68" s="28" t="s">
        <v>1163</v>
      </c>
      <c r="H68" s="28" t="s">
        <v>1541</v>
      </c>
      <c r="I68" s="9" t="str">
        <f t="shared" si="9"/>
        <v>TP. Hồ Chí Minh - An Khánh, (≤2.5 tấn), xe 51D 38021</v>
      </c>
      <c r="J68" s="9" t="s">
        <v>1155</v>
      </c>
      <c r="K68" s="9" t="s">
        <v>1156</v>
      </c>
      <c r="L68" s="9" t="s">
        <v>260</v>
      </c>
      <c r="M68" s="9" t="s">
        <v>261</v>
      </c>
      <c r="N68" s="9" t="s">
        <v>1204</v>
      </c>
      <c r="O68" s="9" t="s">
        <v>1205</v>
      </c>
      <c r="P68" s="9" t="s">
        <v>1206</v>
      </c>
      <c r="Q68" s="9" t="s">
        <v>1190</v>
      </c>
      <c r="R68" s="9" t="s">
        <v>54</v>
      </c>
      <c r="S68" s="9" t="s">
        <v>361</v>
      </c>
      <c r="T68" s="9" t="s">
        <v>76</v>
      </c>
      <c r="U68" s="9">
        <v>14.399999999999901</v>
      </c>
      <c r="V68" s="8">
        <f t="shared" si="10"/>
        <v>1.4E-2</v>
      </c>
      <c r="W68" s="9">
        <f t="shared" si="11"/>
        <v>0</v>
      </c>
      <c r="X68" s="9">
        <f t="shared" si="12"/>
        <v>0</v>
      </c>
      <c r="AH68" s="9" t="s">
        <v>1570</v>
      </c>
      <c r="AI68" s="9" t="s">
        <v>1567</v>
      </c>
      <c r="AL68" s="9" t="s">
        <v>23</v>
      </c>
      <c r="AM68" s="9" t="s">
        <v>23</v>
      </c>
      <c r="AN68" s="9" t="s">
        <v>23</v>
      </c>
      <c r="AO68" s="9" t="s">
        <v>23</v>
      </c>
      <c r="AP68" s="9" t="s">
        <v>23</v>
      </c>
      <c r="AQ68" s="9" t="s">
        <v>23</v>
      </c>
      <c r="AS68" s="9" t="s">
        <v>23</v>
      </c>
      <c r="AT68" s="9" t="s">
        <v>23</v>
      </c>
      <c r="AU68" s="9" t="s">
        <v>23</v>
      </c>
      <c r="AV68" s="9" t="s">
        <v>977</v>
      </c>
      <c r="AW68" s="9" t="s">
        <v>1198</v>
      </c>
      <c r="AX68" s="9" t="s">
        <v>61</v>
      </c>
      <c r="AY68" s="9" t="s">
        <v>522</v>
      </c>
      <c r="AZ68" s="9" t="s">
        <v>979</v>
      </c>
      <c r="BA68" s="9" t="s">
        <v>980</v>
      </c>
      <c r="BB68" s="9" t="s">
        <v>980</v>
      </c>
      <c r="BC68" s="9" t="s">
        <v>1184</v>
      </c>
      <c r="BD68" s="9" t="s">
        <v>373</v>
      </c>
      <c r="BE68" s="9" t="s">
        <v>374</v>
      </c>
      <c r="BF68" s="9" t="s">
        <v>1199</v>
      </c>
      <c r="BG68" s="9" t="s">
        <v>1200</v>
      </c>
      <c r="BH68" s="9" t="s">
        <v>118</v>
      </c>
      <c r="BI68" s="9" t="s">
        <v>71</v>
      </c>
      <c r="BJ68" s="9" t="s">
        <v>1162</v>
      </c>
      <c r="BK68" s="9" t="s">
        <v>1163</v>
      </c>
      <c r="BL68" s="9" t="s">
        <v>1164</v>
      </c>
    </row>
    <row r="69" spans="1:65" ht="16.5" customHeight="1" x14ac:dyDescent="0.25">
      <c r="A69" s="40"/>
      <c r="B69" s="40"/>
      <c r="C69" s="41"/>
      <c r="D69" s="42"/>
      <c r="E69" s="42" t="s">
        <v>1571</v>
      </c>
      <c r="F69" s="40"/>
      <c r="G69" s="40"/>
      <c r="H69" s="40"/>
      <c r="I69" s="42"/>
      <c r="J69" s="40"/>
      <c r="K69" s="42"/>
      <c r="L69" s="40"/>
      <c r="M69" s="40"/>
      <c r="N69" s="40"/>
      <c r="O69" s="40"/>
      <c r="P69" s="40"/>
      <c r="Q69" s="40"/>
      <c r="R69" s="43"/>
      <c r="S69" s="44"/>
      <c r="T69" s="44"/>
      <c r="U69" s="45">
        <v>11.884999999999982</v>
      </c>
      <c r="V69" s="45">
        <f>SUM(V28:V68)</f>
        <v>1.5100000000000002</v>
      </c>
      <c r="W69" s="45">
        <f t="shared" ref="W69:X69" si="15">SUM(W28:W68)</f>
        <v>1.51</v>
      </c>
      <c r="X69" s="45">
        <f t="shared" si="15"/>
        <v>1.5100000000000002</v>
      </c>
      <c r="Y69" s="46"/>
      <c r="Z69" s="46"/>
      <c r="AA69" s="46"/>
      <c r="AB69" s="46"/>
      <c r="AC69" s="46">
        <f>SUM(AC58:AC68)</f>
        <v>0</v>
      </c>
      <c r="AD69" s="46">
        <f>SUM(AD28:AD68)</f>
        <v>1397592</v>
      </c>
      <c r="AE69" s="46">
        <f>SUM(AE28:AE68)</f>
        <v>1397592</v>
      </c>
      <c r="AF69" s="47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9"/>
      <c r="AR69" s="49"/>
      <c r="AS69" s="50"/>
      <c r="AT69" s="48"/>
      <c r="AU69" s="49"/>
      <c r="AV69" s="51"/>
      <c r="AW69" s="52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</row>
  </sheetData>
  <autoFilter ref="A27:BL68" xr:uid="{00000000-0001-0000-0300-000000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4AEF-D455-4E5B-8549-E3EA247A0935}">
  <dimension ref="A2:AP21"/>
  <sheetViews>
    <sheetView workbookViewId="0">
      <pane xSplit="4" ySplit="2" topLeftCell="E3" activePane="bottomRight" state="frozen"/>
      <selection pane="topRight" activeCell="F1" sqref="F1"/>
      <selection pane="bottomLeft" activeCell="A3" sqref="A3"/>
      <selection pane="bottomRight" activeCell="S20" sqref="S20"/>
    </sheetView>
  </sheetViews>
  <sheetFormatPr defaultRowHeight="15" x14ac:dyDescent="0.25"/>
  <cols>
    <col min="1" max="1" width="15" style="9" customWidth="1"/>
    <col min="2" max="2" width="12" style="18" customWidth="1"/>
    <col min="3" max="3" width="12" style="21" customWidth="1"/>
    <col min="4" max="4" width="18" style="9" customWidth="1"/>
    <col min="5" max="8" width="15" style="9" customWidth="1"/>
    <col min="9" max="9" width="35" style="9" hidden="1" customWidth="1"/>
    <col min="10" max="10" width="50" style="9" hidden="1" customWidth="1"/>
    <col min="11" max="11" width="15" style="9" customWidth="1"/>
    <col min="12" max="12" width="12" style="9" customWidth="1"/>
    <col min="13" max="21" width="14" style="9" customWidth="1"/>
    <col min="22" max="27" width="14" style="9" hidden="1" customWidth="1"/>
    <col min="28" max="28" width="12" style="9" customWidth="1"/>
    <col min="29" max="33" width="10" style="9" customWidth="1"/>
    <col min="34" max="35" width="12" style="9" customWidth="1"/>
    <col min="36" max="36" width="7.42578125" style="9" customWidth="1"/>
    <col min="37" max="37" width="13.28515625" style="9" customWidth="1"/>
    <col min="38" max="38" width="15" style="9" customWidth="1"/>
    <col min="39" max="16384" width="9.140625" style="9"/>
  </cols>
  <sheetData>
    <row r="2" spans="1:42" ht="31.5" x14ac:dyDescent="0.25">
      <c r="A2" s="15" t="s">
        <v>0</v>
      </c>
      <c r="B2" s="16" t="s">
        <v>1</v>
      </c>
      <c r="C2" s="17" t="s">
        <v>2</v>
      </c>
      <c r="D2" s="26" t="s">
        <v>1539</v>
      </c>
      <c r="E2" s="22" t="s">
        <v>1535</v>
      </c>
      <c r="F2" s="23" t="s">
        <v>1536</v>
      </c>
      <c r="G2" s="24" t="s">
        <v>1537</v>
      </c>
      <c r="H2" s="25" t="s">
        <v>1538</v>
      </c>
      <c r="I2" s="15" t="s">
        <v>5</v>
      </c>
      <c r="J2" s="15" t="s">
        <v>6</v>
      </c>
      <c r="K2" s="15" t="s">
        <v>7</v>
      </c>
      <c r="L2" s="15" t="s">
        <v>8</v>
      </c>
      <c r="M2" s="30" t="s">
        <v>1553</v>
      </c>
      <c r="N2" s="30" t="s">
        <v>1554</v>
      </c>
      <c r="O2" s="31" t="s">
        <v>1555</v>
      </c>
      <c r="P2" s="32" t="s">
        <v>1556</v>
      </c>
      <c r="Q2" s="33" t="s">
        <v>1557</v>
      </c>
      <c r="R2" s="33" t="s">
        <v>1558</v>
      </c>
      <c r="S2" s="33" t="s">
        <v>1559</v>
      </c>
      <c r="T2" s="33" t="s">
        <v>1560</v>
      </c>
      <c r="U2" s="33" t="s">
        <v>1561</v>
      </c>
      <c r="V2" s="33"/>
      <c r="W2" s="33"/>
      <c r="X2" s="34" t="s">
        <v>1562</v>
      </c>
      <c r="Y2" s="34" t="s">
        <v>1563</v>
      </c>
      <c r="Z2" s="35" t="s">
        <v>1564</v>
      </c>
      <c r="AA2" s="36" t="s">
        <v>1565</v>
      </c>
      <c r="AB2" s="37" t="s">
        <v>1566</v>
      </c>
      <c r="AC2" s="6" t="s">
        <v>18</v>
      </c>
      <c r="AD2" s="6" t="s">
        <v>19</v>
      </c>
      <c r="AE2" s="6" t="s">
        <v>20</v>
      </c>
      <c r="AF2" s="6" t="s">
        <v>21</v>
      </c>
      <c r="AG2" s="6" t="s">
        <v>22</v>
      </c>
      <c r="AH2" s="6" t="s">
        <v>1470</v>
      </c>
      <c r="AI2" s="15" t="s">
        <v>23</v>
      </c>
      <c r="AJ2" s="15" t="s">
        <v>24</v>
      </c>
      <c r="AK2" s="15" t="s">
        <v>25</v>
      </c>
      <c r="AL2" s="15" t="s">
        <v>26</v>
      </c>
    </row>
    <row r="3" spans="1:42" ht="15.75" x14ac:dyDescent="0.25">
      <c r="A3" s="9" t="s">
        <v>363</v>
      </c>
      <c r="B3" s="18" t="s">
        <v>1375</v>
      </c>
      <c r="C3" s="19">
        <v>46203</v>
      </c>
      <c r="D3" s="9" t="s">
        <v>1359</v>
      </c>
      <c r="E3" s="27" t="s">
        <v>1544</v>
      </c>
      <c r="F3" s="28" t="s">
        <v>1368</v>
      </c>
      <c r="G3" s="77" t="s">
        <v>1368</v>
      </c>
      <c r="H3" s="9" t="str">
        <f>F3&amp;", ("&amp;K3&amp;"), xe "&amp;D3</f>
        <v>An Giang - Hà Tiên, (&gt;8-16 tấn), xe 95G 00283</v>
      </c>
      <c r="I3" s="9" t="s">
        <v>1361</v>
      </c>
      <c r="J3" s="9" t="s">
        <v>1362</v>
      </c>
      <c r="K3" s="9" t="s">
        <v>49</v>
      </c>
      <c r="L3" s="9" t="s">
        <v>50</v>
      </c>
      <c r="M3" s="9">
        <v>0</v>
      </c>
      <c r="N3" s="76">
        <v>0.317</v>
      </c>
      <c r="O3" s="76">
        <f>AB3</f>
        <v>16.989999999999998</v>
      </c>
      <c r="P3" s="73">
        <v>821000</v>
      </c>
      <c r="Q3" s="73"/>
      <c r="R3" s="73"/>
      <c r="S3" s="73"/>
      <c r="T3" s="73">
        <f>ROUND(N3*SUM(P3:R3),0)</f>
        <v>260257</v>
      </c>
      <c r="U3" s="73">
        <f>ROUND(N3*P3,0)</f>
        <v>260257</v>
      </c>
      <c r="X3" s="9" t="s">
        <v>20</v>
      </c>
      <c r="Y3" s="9" t="s">
        <v>1569</v>
      </c>
      <c r="AB3" s="20">
        <f>SUM(AC3:AH3)</f>
        <v>16.989999999999998</v>
      </c>
      <c r="AC3" s="20">
        <v>13.061</v>
      </c>
      <c r="AE3" s="20">
        <v>0.317</v>
      </c>
      <c r="AF3" s="20">
        <v>0.28299999999999997</v>
      </c>
      <c r="AG3" s="9">
        <v>3.3290000000000002</v>
      </c>
      <c r="AH3" s="20"/>
      <c r="AI3" s="20">
        <v>16.989999999999998</v>
      </c>
      <c r="AJ3" s="9" t="s">
        <v>23</v>
      </c>
      <c r="AK3" s="9" t="s">
        <v>1363</v>
      </c>
      <c r="AL3" s="9" t="s">
        <v>473</v>
      </c>
    </row>
    <row r="4" spans="1:42" ht="15.75" x14ac:dyDescent="0.25">
      <c r="A4" s="9" t="s">
        <v>363</v>
      </c>
      <c r="B4" s="18" t="s">
        <v>1383</v>
      </c>
      <c r="C4" s="19">
        <v>46203</v>
      </c>
      <c r="D4" s="9" t="s">
        <v>1359</v>
      </c>
      <c r="E4" s="27" t="s">
        <v>1544</v>
      </c>
      <c r="F4" s="28" t="s">
        <v>1368</v>
      </c>
      <c r="G4" s="75" t="s">
        <v>1368</v>
      </c>
      <c r="H4" s="9" t="str">
        <f>F4&amp;", ("&amp;K4&amp;"), xe "&amp;D4</f>
        <v>An Giang - Hà Tiên, (&gt;8-16 tấn), xe 95G 00283</v>
      </c>
      <c r="I4" s="9" t="s">
        <v>1361</v>
      </c>
      <c r="J4" s="9" t="s">
        <v>1362</v>
      </c>
      <c r="K4" s="9" t="s">
        <v>49</v>
      </c>
      <c r="L4" s="9" t="s">
        <v>50</v>
      </c>
      <c r="M4" s="9">
        <v>0</v>
      </c>
      <c r="N4" s="76"/>
      <c r="O4" s="76"/>
      <c r="P4" s="73"/>
      <c r="Q4" s="73"/>
      <c r="R4" s="73"/>
      <c r="S4" s="73"/>
      <c r="T4" s="73"/>
      <c r="U4" s="73"/>
      <c r="X4" s="9" t="s">
        <v>20</v>
      </c>
      <c r="Y4" s="9" t="s">
        <v>1569</v>
      </c>
      <c r="AB4" s="9" t="s">
        <v>23</v>
      </c>
      <c r="AC4" s="9" t="s">
        <v>23</v>
      </c>
      <c r="AD4" s="9" t="s">
        <v>23</v>
      </c>
      <c r="AE4" s="9" t="s">
        <v>23</v>
      </c>
      <c r="AF4" s="9" t="s">
        <v>23</v>
      </c>
      <c r="AG4" s="9" t="s">
        <v>23</v>
      </c>
      <c r="AI4" s="9" t="s">
        <v>23</v>
      </c>
      <c r="AJ4" s="9" t="s">
        <v>23</v>
      </c>
      <c r="AK4" s="9" t="s">
        <v>1363</v>
      </c>
      <c r="AL4" s="9" t="s">
        <v>473</v>
      </c>
    </row>
    <row r="5" spans="1:42" ht="15.75" x14ac:dyDescent="0.25">
      <c r="A5" s="9" t="s">
        <v>363</v>
      </c>
      <c r="B5" s="18" t="s">
        <v>1391</v>
      </c>
      <c r="C5" s="19">
        <v>46203</v>
      </c>
      <c r="D5" s="9" t="s">
        <v>1359</v>
      </c>
      <c r="E5" s="27" t="s">
        <v>1544</v>
      </c>
      <c r="F5" s="28" t="s">
        <v>1368</v>
      </c>
      <c r="G5" s="78" t="s">
        <v>1368</v>
      </c>
      <c r="H5" s="9" t="str">
        <f>F5&amp;", ("&amp;K5&amp;"), xe "&amp;D5</f>
        <v>An Giang - Hà Tiên, (&gt;8-16 tấn), xe 95G 00283</v>
      </c>
      <c r="I5" s="9" t="s">
        <v>1361</v>
      </c>
      <c r="J5" s="9" t="s">
        <v>1362</v>
      </c>
      <c r="K5" s="9" t="s">
        <v>49</v>
      </c>
      <c r="L5" s="9" t="s">
        <v>50</v>
      </c>
      <c r="M5" s="9">
        <v>0.317</v>
      </c>
      <c r="N5" s="79"/>
      <c r="O5" s="79"/>
      <c r="P5" s="74"/>
      <c r="Q5" s="74"/>
      <c r="R5" s="74"/>
      <c r="S5" s="74"/>
      <c r="T5" s="74"/>
      <c r="U5" s="74"/>
      <c r="X5" s="9" t="s">
        <v>20</v>
      </c>
      <c r="Y5" s="9" t="s">
        <v>1569</v>
      </c>
      <c r="AB5" s="9" t="s">
        <v>23</v>
      </c>
      <c r="AC5" s="9" t="s">
        <v>23</v>
      </c>
      <c r="AD5" s="9" t="s">
        <v>23</v>
      </c>
      <c r="AE5" s="9" t="s">
        <v>23</v>
      </c>
      <c r="AF5" s="9" t="s">
        <v>23</v>
      </c>
      <c r="AG5" s="9" t="s">
        <v>23</v>
      </c>
      <c r="AI5" s="9" t="s">
        <v>23</v>
      </c>
      <c r="AJ5" s="9" t="s">
        <v>23</v>
      </c>
      <c r="AK5" s="9" t="s">
        <v>1363</v>
      </c>
      <c r="AL5" s="9" t="s">
        <v>473</v>
      </c>
    </row>
    <row r="6" spans="1:42" ht="16.5" customHeight="1" x14ac:dyDescent="0.25">
      <c r="A6" s="53"/>
      <c r="B6" s="53"/>
      <c r="C6" s="54" t="s">
        <v>1572</v>
      </c>
      <c r="D6" s="55" t="s">
        <v>1359</v>
      </c>
      <c r="E6" s="55" t="str">
        <f>H5</f>
        <v>An Giang - Hà Tiên, (&gt;8-16 tấn), xe 95G 00283</v>
      </c>
      <c r="F6" s="53"/>
      <c r="G6" s="53"/>
      <c r="H6" s="56"/>
      <c r="I6" s="55"/>
      <c r="J6" s="53"/>
      <c r="K6" s="57"/>
      <c r="L6" s="53"/>
      <c r="M6" s="60">
        <f>SUM(M3:M5)</f>
        <v>0.317</v>
      </c>
      <c r="N6" s="60">
        <f>SUM(N3:N5)</f>
        <v>0.317</v>
      </c>
      <c r="O6" s="59"/>
      <c r="P6" s="61"/>
      <c r="Q6" s="61"/>
      <c r="R6" s="61"/>
      <c r="S6" s="61"/>
      <c r="T6" s="61">
        <f>SUM(T3:T5)</f>
        <v>260257</v>
      </c>
      <c r="U6" s="61">
        <f>SUM(U3:U5)</f>
        <v>260257</v>
      </c>
      <c r="V6" s="61"/>
      <c r="W6" s="61"/>
      <c r="X6" s="62"/>
      <c r="Y6" s="62"/>
      <c r="Z6" s="62"/>
      <c r="AA6" s="62"/>
      <c r="AB6" s="63"/>
      <c r="AC6" s="62"/>
      <c r="AD6" s="62"/>
      <c r="AE6" s="62"/>
      <c r="AF6" s="62"/>
      <c r="AG6" s="62"/>
      <c r="AH6" s="62"/>
      <c r="AI6" s="62"/>
      <c r="AJ6" s="64"/>
      <c r="AK6" s="64"/>
      <c r="AL6" s="64"/>
      <c r="AM6" s="64"/>
    </row>
    <row r="7" spans="1:42" ht="16.5" customHeight="1" x14ac:dyDescent="0.25">
      <c r="A7" s="40"/>
      <c r="B7" s="40"/>
      <c r="C7" s="41"/>
      <c r="D7" s="42"/>
      <c r="E7" s="42" t="s">
        <v>1573</v>
      </c>
      <c r="F7" s="40"/>
      <c r="G7" s="40"/>
      <c r="H7" s="40"/>
      <c r="I7" s="42"/>
      <c r="J7" s="40"/>
      <c r="K7" s="42"/>
      <c r="L7" s="40"/>
      <c r="M7" s="45">
        <f>SUM(M3:M6)/2</f>
        <v>0.317</v>
      </c>
      <c r="N7" s="45">
        <f>SUM(N3:N6)/2</f>
        <v>0.317</v>
      </c>
      <c r="O7" s="66"/>
      <c r="P7" s="46"/>
      <c r="Q7" s="46"/>
      <c r="R7" s="46"/>
      <c r="S7" s="46"/>
      <c r="T7" s="46">
        <f>SUM(T3:T6)/2</f>
        <v>260257</v>
      </c>
      <c r="U7" s="46">
        <f>SUM(U3:U6)/2</f>
        <v>260257</v>
      </c>
      <c r="V7" s="47"/>
      <c r="W7" s="47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9"/>
      <c r="AI7" s="49"/>
      <c r="AJ7" s="50"/>
      <c r="AK7" s="48"/>
      <c r="AL7" s="49"/>
      <c r="AM7" s="49"/>
      <c r="AN7" s="49"/>
      <c r="AO7" s="49"/>
      <c r="AP7" s="49"/>
    </row>
    <row r="14" spans="1:42" ht="31.5" x14ac:dyDescent="0.25">
      <c r="A14" s="15" t="s">
        <v>0</v>
      </c>
      <c r="B14" s="16" t="s">
        <v>1</v>
      </c>
      <c r="C14" s="17" t="s">
        <v>2</v>
      </c>
      <c r="D14" s="26" t="s">
        <v>1539</v>
      </c>
      <c r="E14" s="22" t="s">
        <v>1535</v>
      </c>
      <c r="F14" s="23" t="s">
        <v>1536</v>
      </c>
      <c r="G14" s="24" t="s">
        <v>1537</v>
      </c>
      <c r="H14" s="25" t="s">
        <v>1538</v>
      </c>
      <c r="I14" s="15" t="s">
        <v>5</v>
      </c>
      <c r="J14" s="15" t="s">
        <v>6</v>
      </c>
      <c r="K14" s="15" t="s">
        <v>7</v>
      </c>
      <c r="L14" s="15" t="s">
        <v>8</v>
      </c>
      <c r="M14" s="30" t="s">
        <v>1553</v>
      </c>
      <c r="N14" s="30" t="s">
        <v>1554</v>
      </c>
      <c r="O14" s="31" t="s">
        <v>1555</v>
      </c>
      <c r="P14" s="32" t="s">
        <v>1556</v>
      </c>
      <c r="Q14" s="33" t="s">
        <v>1557</v>
      </c>
      <c r="R14" s="33" t="s">
        <v>1558</v>
      </c>
      <c r="S14" s="33" t="s">
        <v>1559</v>
      </c>
      <c r="T14" s="33" t="s">
        <v>1560</v>
      </c>
      <c r="U14" s="33" t="s">
        <v>1561</v>
      </c>
      <c r="V14" s="33"/>
      <c r="W14" s="33"/>
      <c r="X14" s="34" t="s">
        <v>1562</v>
      </c>
      <c r="Y14" s="34" t="s">
        <v>1563</v>
      </c>
      <c r="Z14" s="35" t="s">
        <v>1564</v>
      </c>
      <c r="AA14" s="36" t="s">
        <v>1565</v>
      </c>
      <c r="AB14" s="37" t="s">
        <v>1566</v>
      </c>
      <c r="AC14" s="6" t="s">
        <v>18</v>
      </c>
      <c r="AD14" s="6" t="s">
        <v>19</v>
      </c>
      <c r="AE14" s="6" t="s">
        <v>20</v>
      </c>
      <c r="AF14" s="6" t="s">
        <v>21</v>
      </c>
      <c r="AG14" s="6" t="s">
        <v>22</v>
      </c>
      <c r="AH14" s="6" t="s">
        <v>1470</v>
      </c>
      <c r="AI14" s="15" t="s">
        <v>23</v>
      </c>
      <c r="AJ14" s="15" t="s">
        <v>24</v>
      </c>
      <c r="AK14" s="15" t="s">
        <v>25</v>
      </c>
      <c r="AL14" s="15" t="s">
        <v>26</v>
      </c>
    </row>
    <row r="15" spans="1:42" ht="15.75" x14ac:dyDescent="0.25">
      <c r="A15" s="9" t="s">
        <v>363</v>
      </c>
      <c r="B15" s="18" t="s">
        <v>453</v>
      </c>
      <c r="C15" s="19">
        <v>46203</v>
      </c>
      <c r="D15" s="9" t="s">
        <v>436</v>
      </c>
      <c r="E15" s="27" t="s">
        <v>1549</v>
      </c>
      <c r="F15" s="28" t="s">
        <v>1550</v>
      </c>
      <c r="G15" s="28" t="s">
        <v>1541</v>
      </c>
      <c r="H15" s="9" t="str">
        <f>F15&amp;", ("&amp;K15&amp;"), xe "&amp;D15</f>
        <v>TP. Hồ Chí Minh - Hóc Môn, (≤2.5 tấn), xe 50H 44024</v>
      </c>
      <c r="I15" s="9" t="s">
        <v>438</v>
      </c>
      <c r="J15" s="9" t="s">
        <v>439</v>
      </c>
      <c r="K15" s="9" t="s">
        <v>260</v>
      </c>
      <c r="L15" s="9" t="s">
        <v>261</v>
      </c>
      <c r="M15" s="9">
        <v>0.17899999999999999</v>
      </c>
      <c r="N15" s="9">
        <v>0.17899999999999999</v>
      </c>
      <c r="O15" s="20">
        <f>AB15</f>
        <v>1.9179999999999999</v>
      </c>
      <c r="P15" s="38">
        <v>1369000</v>
      </c>
      <c r="Q15" s="38">
        <v>200000</v>
      </c>
      <c r="T15" s="39">
        <f>ROUND(SUM(P15:R15)/O15*N15,0)</f>
        <v>146429</v>
      </c>
      <c r="U15" s="39">
        <f>ROUND(SUM(P15:R15)/O15*N15,0)</f>
        <v>146429</v>
      </c>
      <c r="X15" s="9" t="s">
        <v>20</v>
      </c>
      <c r="Y15" s="9" t="s">
        <v>1567</v>
      </c>
      <c r="AB15" s="20">
        <f>SUM(AC15:AH15)</f>
        <v>1.9179999999999999</v>
      </c>
      <c r="AC15" s="20">
        <v>1.5129999999999999</v>
      </c>
      <c r="AD15" s="9" t="s">
        <v>23</v>
      </c>
      <c r="AE15" s="20">
        <v>0.17899999999999999</v>
      </c>
      <c r="AF15" s="20">
        <v>0.188</v>
      </c>
      <c r="AG15" s="20">
        <v>3.7999999999999999E-2</v>
      </c>
      <c r="AH15" s="20"/>
      <c r="AI15" s="20">
        <v>1.9179999999999999</v>
      </c>
      <c r="AJ15" s="9" t="s">
        <v>23</v>
      </c>
      <c r="AK15" s="9" t="s">
        <v>446</v>
      </c>
      <c r="AL15" s="9" t="s">
        <v>473</v>
      </c>
    </row>
    <row r="16" spans="1:42" ht="15.75" x14ac:dyDescent="0.25">
      <c r="A16" s="9" t="s">
        <v>363</v>
      </c>
      <c r="B16" s="18" t="s">
        <v>605</v>
      </c>
      <c r="C16" s="19">
        <v>46203</v>
      </c>
      <c r="D16" s="9" t="s">
        <v>513</v>
      </c>
      <c r="E16" s="27" t="s">
        <v>1543</v>
      </c>
      <c r="F16" s="28" t="s">
        <v>545</v>
      </c>
      <c r="G16" s="75" t="s">
        <v>1541</v>
      </c>
      <c r="H16" s="9" t="str">
        <f>F16&amp;", ("&amp;K16&amp;"), xe "&amp;D16</f>
        <v>TP. Hồ Chí Minh - Tân Mỹ, (≤2.5 tấn), xe 50H 44328</v>
      </c>
      <c r="I16" s="9" t="s">
        <v>531</v>
      </c>
      <c r="J16" s="9" t="s">
        <v>532</v>
      </c>
      <c r="K16" s="9" t="s">
        <v>260</v>
      </c>
      <c r="L16" s="9" t="s">
        <v>261</v>
      </c>
      <c r="M16" s="9">
        <v>0.19099999999999998</v>
      </c>
      <c r="N16" s="76">
        <v>0.19599999999999998</v>
      </c>
      <c r="O16" s="76">
        <f>AB16</f>
        <v>1.7730000000000001</v>
      </c>
      <c r="P16" s="73">
        <v>1369000</v>
      </c>
      <c r="Q16" s="73">
        <v>200000</v>
      </c>
      <c r="R16" s="73"/>
      <c r="S16" s="73"/>
      <c r="T16" s="71">
        <f>ROUND(SUM(P16:R16)/O16*N16,0)</f>
        <v>173448</v>
      </c>
      <c r="U16" s="71">
        <f>ROUND(SUM(P16:R16)/O16*N16,0)</f>
        <v>173448</v>
      </c>
      <c r="X16" s="9" t="s">
        <v>20</v>
      </c>
      <c r="Y16" s="9" t="s">
        <v>1567</v>
      </c>
      <c r="AB16" s="20">
        <f>SUM(AC16:AH16)</f>
        <v>1.7730000000000001</v>
      </c>
      <c r="AC16" s="20">
        <v>0.93300000000000005</v>
      </c>
      <c r="AD16" s="9" t="s">
        <v>23</v>
      </c>
      <c r="AE16" s="20">
        <v>0.19600000000000001</v>
      </c>
      <c r="AF16" s="20">
        <v>0.38100000000000001</v>
      </c>
      <c r="AG16" s="20">
        <v>0.26300000000000001</v>
      </c>
      <c r="AH16" s="20"/>
      <c r="AI16" s="20">
        <v>1.7729999999999999</v>
      </c>
      <c r="AJ16" s="9" t="s">
        <v>23</v>
      </c>
      <c r="AK16" s="9" t="s">
        <v>539</v>
      </c>
      <c r="AL16" s="9" t="s">
        <v>473</v>
      </c>
    </row>
    <row r="17" spans="1:39" ht="15.75" x14ac:dyDescent="0.25">
      <c r="A17" s="9" t="s">
        <v>363</v>
      </c>
      <c r="B17" s="18" t="s">
        <v>667</v>
      </c>
      <c r="C17" s="19">
        <v>46203</v>
      </c>
      <c r="D17" s="9" t="s">
        <v>513</v>
      </c>
      <c r="E17" s="27" t="s">
        <v>1543</v>
      </c>
      <c r="F17" s="28" t="s">
        <v>545</v>
      </c>
      <c r="G17" s="75" t="s">
        <v>1541</v>
      </c>
      <c r="H17" s="9" t="str">
        <f>F17&amp;", ("&amp;K17&amp;"), xe "&amp;D17</f>
        <v>TP. Hồ Chí Minh - Tân Mỹ, (≤2.5 tấn), xe 50H 44328</v>
      </c>
      <c r="I17" s="9" t="s">
        <v>531</v>
      </c>
      <c r="J17" s="9" t="s">
        <v>532</v>
      </c>
      <c r="K17" s="9" t="s">
        <v>260</v>
      </c>
      <c r="L17" s="9" t="s">
        <v>261</v>
      </c>
      <c r="M17" s="9">
        <v>5.0000000000000001E-3</v>
      </c>
      <c r="N17" s="76"/>
      <c r="O17" s="76"/>
      <c r="P17" s="73"/>
      <c r="Q17" s="73"/>
      <c r="R17" s="73"/>
      <c r="S17" s="73"/>
      <c r="T17" s="72"/>
      <c r="U17" s="72"/>
      <c r="X17" s="9" t="s">
        <v>20</v>
      </c>
      <c r="Y17" s="9" t="s">
        <v>1567</v>
      </c>
      <c r="AB17" s="9" t="s">
        <v>23</v>
      </c>
      <c r="AC17" s="9" t="s">
        <v>23</v>
      </c>
      <c r="AD17" s="9" t="s">
        <v>23</v>
      </c>
      <c r="AE17" s="9" t="s">
        <v>23</v>
      </c>
      <c r="AF17" s="9" t="s">
        <v>23</v>
      </c>
      <c r="AG17" s="9" t="s">
        <v>23</v>
      </c>
      <c r="AI17" s="9" t="s">
        <v>23</v>
      </c>
      <c r="AJ17" s="9" t="s">
        <v>23</v>
      </c>
      <c r="AK17" s="9" t="s">
        <v>539</v>
      </c>
      <c r="AL17" s="9" t="s">
        <v>473</v>
      </c>
    </row>
    <row r="18" spans="1:39" ht="15.75" x14ac:dyDescent="0.25">
      <c r="A18" s="9" t="s">
        <v>363</v>
      </c>
      <c r="B18" s="18" t="s">
        <v>786</v>
      </c>
      <c r="C18" s="19">
        <v>46203</v>
      </c>
      <c r="D18" s="9" t="s">
        <v>787</v>
      </c>
      <c r="E18" s="27" t="s">
        <v>1551</v>
      </c>
      <c r="F18" s="28" t="s">
        <v>798</v>
      </c>
      <c r="G18" s="28" t="s">
        <v>1541</v>
      </c>
      <c r="H18" s="9" t="str">
        <f>F18&amp;", ("&amp;K18&amp;"), xe "&amp;D18</f>
        <v>TP. Hồ Chí Minh - Bình Tân, (≤2.5 tấn), xe 50H 64316</v>
      </c>
      <c r="I18" s="9" t="s">
        <v>789</v>
      </c>
      <c r="J18" s="9" t="s">
        <v>790</v>
      </c>
      <c r="K18" s="9" t="s">
        <v>260</v>
      </c>
      <c r="L18" s="9" t="s">
        <v>261</v>
      </c>
      <c r="M18" s="9">
        <v>0.2</v>
      </c>
      <c r="N18" s="9">
        <v>0.2</v>
      </c>
      <c r="O18" s="20">
        <f t="shared" ref="O18" si="0">AB18</f>
        <v>2.0449999999999999</v>
      </c>
      <c r="P18" s="38">
        <v>1369000</v>
      </c>
      <c r="Q18" s="38">
        <v>200000</v>
      </c>
      <c r="T18" s="39">
        <f>ROUND(SUM(P18:R18)/O18*N18,0)</f>
        <v>153447</v>
      </c>
      <c r="U18" s="39">
        <f>ROUND(SUM(P18:R18)/O18*N18,0)</f>
        <v>153447</v>
      </c>
      <c r="X18" s="9" t="s">
        <v>20</v>
      </c>
      <c r="Y18" s="9" t="s">
        <v>1567</v>
      </c>
      <c r="AB18" s="20">
        <f t="shared" ref="AB18" si="1">SUM(AC18:AH18)</f>
        <v>2.0449999999999999</v>
      </c>
      <c r="AC18" s="20">
        <v>1.845</v>
      </c>
      <c r="AD18" s="9" t="s">
        <v>23</v>
      </c>
      <c r="AE18" s="20">
        <v>0.2</v>
      </c>
      <c r="AF18" s="9" t="s">
        <v>23</v>
      </c>
      <c r="AG18" s="9" t="s">
        <v>23</v>
      </c>
      <c r="AH18" s="20"/>
      <c r="AI18" s="20">
        <v>2.0449999999999999</v>
      </c>
      <c r="AJ18" s="9" t="s">
        <v>23</v>
      </c>
      <c r="AK18" s="9" t="s">
        <v>792</v>
      </c>
      <c r="AL18" s="9" t="s">
        <v>473</v>
      </c>
    </row>
    <row r="19" spans="1:39" ht="20.25" customHeight="1" x14ac:dyDescent="0.25">
      <c r="A19" s="9" t="s">
        <v>363</v>
      </c>
      <c r="B19" s="18" t="s">
        <v>1133</v>
      </c>
      <c r="C19" s="19">
        <v>46203</v>
      </c>
      <c r="D19" s="9" t="s">
        <v>1134</v>
      </c>
      <c r="E19" s="27" t="s">
        <v>1542</v>
      </c>
      <c r="F19" s="28" t="s">
        <v>715</v>
      </c>
      <c r="G19" s="28" t="s">
        <v>1541</v>
      </c>
      <c r="H19" s="9" t="str">
        <f>F19&amp;", ("&amp;K19&amp;"), xe "&amp;D19</f>
        <v>TP. Hồ Chí Minh - Thới An, (≤2.5 tấn), xe 50H 92136</v>
      </c>
      <c r="I19" s="9" t="s">
        <v>707</v>
      </c>
      <c r="J19" s="9" t="s">
        <v>708</v>
      </c>
      <c r="K19" s="9" t="s">
        <v>260</v>
      </c>
      <c r="L19" s="9" t="s">
        <v>261</v>
      </c>
      <c r="M19" s="9">
        <v>0.64800000000000002</v>
      </c>
      <c r="N19" s="9">
        <v>0.64800000000000002</v>
      </c>
      <c r="O19" s="20">
        <f>AB19</f>
        <v>1.847</v>
      </c>
      <c r="P19" s="38">
        <v>1369000</v>
      </c>
      <c r="Q19" s="38">
        <v>200000</v>
      </c>
      <c r="T19" s="39">
        <f>ROUND(SUM(P19:R19)/O19*N19,0)</f>
        <v>550467</v>
      </c>
      <c r="U19" s="39">
        <f>ROUND(SUM(P19:R19)/O19*N19,0)</f>
        <v>550467</v>
      </c>
      <c r="X19" s="9" t="s">
        <v>20</v>
      </c>
      <c r="Y19" s="9" t="s">
        <v>1567</v>
      </c>
      <c r="AB19" s="20">
        <f>SUM(AC19:AH19)</f>
        <v>1.847</v>
      </c>
      <c r="AC19" s="20">
        <v>0.17599999999999999</v>
      </c>
      <c r="AD19" s="9" t="s">
        <v>23</v>
      </c>
      <c r="AE19" s="20">
        <v>0.64800000000000002</v>
      </c>
      <c r="AF19" s="9" t="s">
        <v>23</v>
      </c>
      <c r="AG19" s="20">
        <v>1.0229999999999999</v>
      </c>
      <c r="AH19" s="20"/>
      <c r="AI19" s="20">
        <v>1.847</v>
      </c>
      <c r="AJ19" s="9" t="s">
        <v>23</v>
      </c>
      <c r="AK19" s="9" t="s">
        <v>1135</v>
      </c>
      <c r="AL19" s="9" t="s">
        <v>473</v>
      </c>
    </row>
    <row r="20" spans="1:39" ht="20.25" customHeight="1" x14ac:dyDescent="0.25">
      <c r="A20" s="40"/>
      <c r="B20" s="40"/>
      <c r="C20" s="41"/>
      <c r="D20" s="42"/>
      <c r="E20" s="40"/>
      <c r="F20" s="40"/>
      <c r="G20" s="40"/>
      <c r="H20" s="42"/>
      <c r="I20" s="40"/>
      <c r="J20" s="42"/>
      <c r="K20" s="40"/>
      <c r="L20" s="40"/>
      <c r="M20" s="45">
        <f>SUM(M15:M19)</f>
        <v>1.2229999999999999</v>
      </c>
      <c r="N20" s="45">
        <f>SUM(N15:N19)</f>
        <v>1.2229999999999999</v>
      </c>
      <c r="O20" s="46"/>
      <c r="P20" s="46"/>
      <c r="Q20" s="46"/>
      <c r="R20" s="46"/>
      <c r="S20" s="46"/>
      <c r="T20" s="46">
        <f>SUM(T15:T19)</f>
        <v>1023791</v>
      </c>
      <c r="U20" s="46">
        <f>SUM(U15:U19)</f>
        <v>1023791</v>
      </c>
      <c r="V20" s="47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9"/>
      <c r="AH20" s="49"/>
      <c r="AI20" s="50"/>
      <c r="AJ20" s="48"/>
      <c r="AK20" s="49"/>
      <c r="AL20" s="51"/>
      <c r="AM20" s="49"/>
    </row>
    <row r="21" spans="1:39" ht="20.25" customHeight="1" x14ac:dyDescent="0.25"/>
  </sheetData>
  <autoFilter ref="A2:AP7" xr:uid="{00000000-0001-0000-0300-000000000000}"/>
  <mergeCells count="18">
    <mergeCell ref="R16:R17"/>
    <mergeCell ref="S16:S17"/>
    <mergeCell ref="G3:G5"/>
    <mergeCell ref="N3:N5"/>
    <mergeCell ref="O3:O5"/>
    <mergeCell ref="P3:P5"/>
    <mergeCell ref="Q3:Q5"/>
    <mergeCell ref="R3:R5"/>
    <mergeCell ref="G16:G17"/>
    <mergeCell ref="N16:N17"/>
    <mergeCell ref="O16:O17"/>
    <mergeCell ref="P16:P17"/>
    <mergeCell ref="Q16:Q17"/>
    <mergeCell ref="T16:T17"/>
    <mergeCell ref="U16:U17"/>
    <mergeCell ref="S3:S5"/>
    <mergeCell ref="T3:T5"/>
    <mergeCell ref="U3:U5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M10"/>
  <sheetViews>
    <sheetView workbookViewId="0">
      <pane xSplit="4" ySplit="2" topLeftCell="E3" activePane="bottomRight" state="frozen"/>
      <selection pane="topRight" activeCell="F1" sqref="F1"/>
      <selection pane="bottomLeft" activeCell="A3" sqref="A3"/>
      <selection pane="bottomRight" activeCell="S10" sqref="S10"/>
    </sheetView>
  </sheetViews>
  <sheetFormatPr defaultRowHeight="15" x14ac:dyDescent="0.25"/>
  <cols>
    <col min="1" max="1" width="15" style="9" customWidth="1"/>
    <col min="2" max="2" width="12" style="18" customWidth="1"/>
    <col min="3" max="3" width="12" style="21" customWidth="1"/>
    <col min="4" max="4" width="18" style="9" customWidth="1"/>
    <col min="5" max="8" width="15" style="9" customWidth="1"/>
    <col min="9" max="9" width="35" style="9" hidden="1" customWidth="1"/>
    <col min="10" max="10" width="50" style="9" hidden="1" customWidth="1"/>
    <col min="11" max="11" width="15" style="9" customWidth="1"/>
    <col min="12" max="12" width="12" style="9" customWidth="1"/>
    <col min="13" max="21" width="14" style="9" customWidth="1"/>
    <col min="22" max="27" width="14" style="9" hidden="1" customWidth="1"/>
    <col min="28" max="28" width="12" style="9" customWidth="1"/>
    <col min="29" max="33" width="10" style="9" customWidth="1"/>
    <col min="34" max="35" width="12" style="9" customWidth="1"/>
    <col min="36" max="36" width="7.42578125" style="9" customWidth="1"/>
    <col min="37" max="37" width="13.28515625" style="9" customWidth="1"/>
    <col min="38" max="38" width="15" style="9" customWidth="1"/>
    <col min="39" max="16384" width="9.140625" style="9"/>
  </cols>
  <sheetData>
    <row r="2" spans="1:39" ht="31.5" x14ac:dyDescent="0.25">
      <c r="A2" s="15" t="s">
        <v>0</v>
      </c>
      <c r="B2" s="16" t="s">
        <v>1</v>
      </c>
      <c r="C2" s="17" t="s">
        <v>2</v>
      </c>
      <c r="D2" s="26" t="s">
        <v>1539</v>
      </c>
      <c r="E2" s="22" t="s">
        <v>1535</v>
      </c>
      <c r="F2" s="23" t="s">
        <v>1536</v>
      </c>
      <c r="G2" s="24" t="s">
        <v>1537</v>
      </c>
      <c r="H2" s="25" t="s">
        <v>1538</v>
      </c>
      <c r="I2" s="15" t="s">
        <v>5</v>
      </c>
      <c r="J2" s="15" t="s">
        <v>6</v>
      </c>
      <c r="K2" s="15" t="s">
        <v>7</v>
      </c>
      <c r="L2" s="15" t="s">
        <v>8</v>
      </c>
      <c r="M2" s="30" t="s">
        <v>1553</v>
      </c>
      <c r="N2" s="30" t="s">
        <v>1554</v>
      </c>
      <c r="O2" s="31" t="s">
        <v>1555</v>
      </c>
      <c r="P2" s="32" t="s">
        <v>1556</v>
      </c>
      <c r="Q2" s="33" t="s">
        <v>1557</v>
      </c>
      <c r="R2" s="33" t="s">
        <v>1558</v>
      </c>
      <c r="S2" s="33" t="s">
        <v>1559</v>
      </c>
      <c r="T2" s="33" t="s">
        <v>1560</v>
      </c>
      <c r="U2" s="33" t="s">
        <v>1561</v>
      </c>
      <c r="V2" s="33"/>
      <c r="W2" s="33"/>
      <c r="X2" s="34" t="s">
        <v>1562</v>
      </c>
      <c r="Y2" s="34" t="s">
        <v>1563</v>
      </c>
      <c r="Z2" s="35" t="s">
        <v>1564</v>
      </c>
      <c r="AA2" s="36" t="s">
        <v>1565</v>
      </c>
      <c r="AB2" s="37" t="s">
        <v>1566</v>
      </c>
      <c r="AC2" s="6" t="s">
        <v>18</v>
      </c>
      <c r="AD2" s="6" t="s">
        <v>19</v>
      </c>
      <c r="AE2" s="6" t="s">
        <v>20</v>
      </c>
      <c r="AF2" s="6" t="s">
        <v>21</v>
      </c>
      <c r="AG2" s="6" t="s">
        <v>22</v>
      </c>
      <c r="AH2" s="6" t="s">
        <v>1470</v>
      </c>
      <c r="AI2" s="15" t="s">
        <v>23</v>
      </c>
      <c r="AJ2" s="15" t="s">
        <v>24</v>
      </c>
      <c r="AK2" s="15" t="s">
        <v>25</v>
      </c>
      <c r="AL2" s="15" t="s">
        <v>26</v>
      </c>
    </row>
    <row r="3" spans="1:39" ht="15.75" x14ac:dyDescent="0.25">
      <c r="A3" s="9" t="s">
        <v>363</v>
      </c>
      <c r="B3" s="18" t="s">
        <v>986</v>
      </c>
      <c r="C3" s="19">
        <v>46203</v>
      </c>
      <c r="D3" s="9" t="s">
        <v>969</v>
      </c>
      <c r="E3" s="27" t="s">
        <v>1540</v>
      </c>
      <c r="F3" s="28" t="s">
        <v>984</v>
      </c>
      <c r="G3" s="75" t="s">
        <v>1541</v>
      </c>
      <c r="H3" s="9" t="str">
        <f t="shared" ref="H3:H9" si="0">F3&amp;", ("&amp;K3&amp;"), xe "&amp;D3</f>
        <v>TP. Hồ Chí Minh - Trung Mỹ Tây, (≤2.5 tấn), xe 50H 87442</v>
      </c>
      <c r="I3" s="9" t="s">
        <v>971</v>
      </c>
      <c r="J3" s="9" t="s">
        <v>987</v>
      </c>
      <c r="K3" s="9" t="s">
        <v>260</v>
      </c>
      <c r="L3" s="9" t="s">
        <v>261</v>
      </c>
      <c r="M3" s="9">
        <v>5.6999999999999995E-2</v>
      </c>
      <c r="N3" s="76">
        <v>0.20700000000000005</v>
      </c>
      <c r="O3" s="76">
        <f t="shared" ref="O3" si="1">AB3</f>
        <v>1.222</v>
      </c>
      <c r="P3" s="73">
        <v>1369000</v>
      </c>
      <c r="Q3" s="73">
        <v>200000</v>
      </c>
      <c r="R3" s="73"/>
      <c r="S3" s="73"/>
      <c r="T3" s="73">
        <f>ROUND(SUM(P3:R3)/O3*N3,0)</f>
        <v>265780</v>
      </c>
      <c r="U3" s="73">
        <f>ROUND(SUM(P3:R3)/O3*N3,0)</f>
        <v>265780</v>
      </c>
      <c r="X3" s="9" t="s">
        <v>1570</v>
      </c>
      <c r="Y3" s="9" t="s">
        <v>1567</v>
      </c>
      <c r="AB3" s="20">
        <f t="shared" ref="AB3" si="2">SUM(AC3:AH3)</f>
        <v>1.222</v>
      </c>
      <c r="AC3" s="20">
        <v>0.93400000000000005</v>
      </c>
      <c r="AD3" s="20">
        <v>0.06</v>
      </c>
      <c r="AE3" s="20">
        <v>0.20699999999999999</v>
      </c>
      <c r="AF3" s="9" t="s">
        <v>23</v>
      </c>
      <c r="AG3" s="20">
        <v>2.1000000000000001E-2</v>
      </c>
      <c r="AH3" s="20"/>
      <c r="AI3" s="20">
        <v>1.222</v>
      </c>
      <c r="AJ3" s="9" t="s">
        <v>23</v>
      </c>
      <c r="AK3" s="9" t="s">
        <v>23</v>
      </c>
      <c r="AL3" s="9" t="s">
        <v>977</v>
      </c>
    </row>
    <row r="4" spans="1:39" ht="15.75" x14ac:dyDescent="0.25">
      <c r="A4" s="9" t="s">
        <v>363</v>
      </c>
      <c r="B4" s="18" t="s">
        <v>1019</v>
      </c>
      <c r="C4" s="19">
        <v>46203</v>
      </c>
      <c r="D4" s="9" t="s">
        <v>969</v>
      </c>
      <c r="E4" s="27" t="s">
        <v>1540</v>
      </c>
      <c r="F4" s="28" t="s">
        <v>984</v>
      </c>
      <c r="G4" s="75"/>
      <c r="H4" s="9" t="str">
        <f t="shared" si="0"/>
        <v>TP. Hồ Chí Minh - Trung Mỹ Tây, (≤2.5 tấn), xe 50H 87442</v>
      </c>
      <c r="I4" s="9" t="s">
        <v>971</v>
      </c>
      <c r="J4" s="9" t="s">
        <v>972</v>
      </c>
      <c r="K4" s="9" t="s">
        <v>260</v>
      </c>
      <c r="L4" s="9" t="s">
        <v>261</v>
      </c>
      <c r="M4" s="9">
        <v>2.1000000000000001E-2</v>
      </c>
      <c r="N4" s="76"/>
      <c r="O4" s="76"/>
      <c r="P4" s="73"/>
      <c r="Q4" s="73"/>
      <c r="R4" s="73"/>
      <c r="S4" s="73"/>
      <c r="T4" s="73"/>
      <c r="U4" s="73"/>
      <c r="X4" s="9" t="s">
        <v>1570</v>
      </c>
      <c r="Y4" s="9" t="s">
        <v>1567</v>
      </c>
      <c r="AB4" s="9" t="s">
        <v>23</v>
      </c>
      <c r="AC4" s="9" t="s">
        <v>23</v>
      </c>
      <c r="AD4" s="9" t="s">
        <v>23</v>
      </c>
      <c r="AE4" s="9" t="s">
        <v>23</v>
      </c>
      <c r="AF4" s="9" t="s">
        <v>23</v>
      </c>
      <c r="AG4" s="9" t="s">
        <v>23</v>
      </c>
      <c r="AI4" s="9" t="s">
        <v>23</v>
      </c>
      <c r="AJ4" s="9" t="s">
        <v>23</v>
      </c>
      <c r="AK4" s="9" t="s">
        <v>23</v>
      </c>
      <c r="AL4" s="9" t="s">
        <v>977</v>
      </c>
    </row>
    <row r="5" spans="1:39" ht="15.75" x14ac:dyDescent="0.25">
      <c r="A5" s="9" t="s">
        <v>363</v>
      </c>
      <c r="B5" s="18" t="s">
        <v>1062</v>
      </c>
      <c r="C5" s="19">
        <v>46203</v>
      </c>
      <c r="D5" s="9" t="s">
        <v>969</v>
      </c>
      <c r="E5" s="27" t="s">
        <v>1540</v>
      </c>
      <c r="F5" s="28" t="s">
        <v>984</v>
      </c>
      <c r="G5" s="75"/>
      <c r="H5" s="9" t="str">
        <f t="shared" si="0"/>
        <v>TP. Hồ Chí Minh - Trung Mỹ Tây, (≤2.5 tấn), xe 50H 87442</v>
      </c>
      <c r="I5" s="9" t="s">
        <v>971</v>
      </c>
      <c r="J5" s="9" t="s">
        <v>972</v>
      </c>
      <c r="K5" s="9" t="s">
        <v>260</v>
      </c>
      <c r="L5" s="9" t="s">
        <v>261</v>
      </c>
      <c r="M5" s="9">
        <v>4.4999999999999998E-2</v>
      </c>
      <c r="N5" s="76"/>
      <c r="O5" s="76"/>
      <c r="P5" s="73"/>
      <c r="Q5" s="73"/>
      <c r="R5" s="73"/>
      <c r="S5" s="73"/>
      <c r="T5" s="73"/>
      <c r="U5" s="73"/>
      <c r="X5" s="9" t="s">
        <v>1570</v>
      </c>
      <c r="Y5" s="9" t="s">
        <v>1567</v>
      </c>
      <c r="AB5" s="9" t="s">
        <v>23</v>
      </c>
      <c r="AC5" s="9" t="s">
        <v>23</v>
      </c>
      <c r="AD5" s="9" t="s">
        <v>23</v>
      </c>
      <c r="AE5" s="9" t="s">
        <v>23</v>
      </c>
      <c r="AF5" s="9" t="s">
        <v>23</v>
      </c>
      <c r="AG5" s="9" t="s">
        <v>23</v>
      </c>
      <c r="AI5" s="9" t="s">
        <v>23</v>
      </c>
      <c r="AJ5" s="9" t="s">
        <v>23</v>
      </c>
      <c r="AK5" s="9" t="s">
        <v>23</v>
      </c>
      <c r="AL5" s="9" t="s">
        <v>977</v>
      </c>
    </row>
    <row r="6" spans="1:39" ht="15.75" x14ac:dyDescent="0.25">
      <c r="A6" s="9" t="s">
        <v>363</v>
      </c>
      <c r="B6" s="18" t="s">
        <v>1081</v>
      </c>
      <c r="C6" s="19">
        <v>46203</v>
      </c>
      <c r="D6" s="9" t="s">
        <v>969</v>
      </c>
      <c r="E6" s="27" t="s">
        <v>1540</v>
      </c>
      <c r="F6" s="28" t="s">
        <v>984</v>
      </c>
      <c r="G6" s="75"/>
      <c r="H6" s="9" t="str">
        <f t="shared" si="0"/>
        <v>TP. Hồ Chí Minh - Trung Mỹ Tây, (≤2.5 tấn), xe 50H 87442</v>
      </c>
      <c r="I6" s="9" t="s">
        <v>971</v>
      </c>
      <c r="J6" s="9" t="s">
        <v>987</v>
      </c>
      <c r="K6" s="9" t="s">
        <v>260</v>
      </c>
      <c r="L6" s="9" t="s">
        <v>261</v>
      </c>
      <c r="M6" s="9">
        <v>1.7000000000000001E-2</v>
      </c>
      <c r="N6" s="76"/>
      <c r="O6" s="76"/>
      <c r="P6" s="73"/>
      <c r="Q6" s="73"/>
      <c r="R6" s="73"/>
      <c r="S6" s="73"/>
      <c r="T6" s="73"/>
      <c r="U6" s="73"/>
      <c r="X6" s="9" t="s">
        <v>1570</v>
      </c>
      <c r="Y6" s="9" t="s">
        <v>1567</v>
      </c>
      <c r="AB6" s="9" t="s">
        <v>23</v>
      </c>
      <c r="AC6" s="9" t="s">
        <v>23</v>
      </c>
      <c r="AD6" s="9" t="s">
        <v>23</v>
      </c>
      <c r="AE6" s="9" t="s">
        <v>23</v>
      </c>
      <c r="AF6" s="9" t="s">
        <v>23</v>
      </c>
      <c r="AG6" s="9" t="s">
        <v>23</v>
      </c>
      <c r="AI6" s="9" t="s">
        <v>23</v>
      </c>
      <c r="AJ6" s="9" t="s">
        <v>23</v>
      </c>
      <c r="AK6" s="9" t="s">
        <v>23</v>
      </c>
      <c r="AL6" s="9" t="s">
        <v>977</v>
      </c>
    </row>
    <row r="7" spans="1:39" ht="15.75" x14ac:dyDescent="0.25">
      <c r="A7" s="9" t="s">
        <v>363</v>
      </c>
      <c r="B7" s="18" t="s">
        <v>1091</v>
      </c>
      <c r="C7" s="19">
        <v>46203</v>
      </c>
      <c r="D7" s="9" t="s">
        <v>969</v>
      </c>
      <c r="E7" s="27" t="s">
        <v>1540</v>
      </c>
      <c r="F7" s="28" t="s">
        <v>984</v>
      </c>
      <c r="G7" s="75"/>
      <c r="H7" s="9" t="str">
        <f t="shared" si="0"/>
        <v>TP. Hồ Chí Minh - Trung Mỹ Tây, (≤2.5 tấn), xe 50H 87442</v>
      </c>
      <c r="I7" s="9" t="s">
        <v>971</v>
      </c>
      <c r="J7" s="9" t="s">
        <v>987</v>
      </c>
      <c r="K7" s="9" t="s">
        <v>260</v>
      </c>
      <c r="L7" s="9" t="s">
        <v>261</v>
      </c>
      <c r="M7" s="9">
        <v>6.699999999999999E-2</v>
      </c>
      <c r="N7" s="76"/>
      <c r="O7" s="76"/>
      <c r="P7" s="73"/>
      <c r="Q7" s="73"/>
      <c r="R7" s="73"/>
      <c r="S7" s="73"/>
      <c r="T7" s="73"/>
      <c r="U7" s="73"/>
      <c r="X7" s="9" t="s">
        <v>1570</v>
      </c>
      <c r="Y7" s="9" t="s">
        <v>1567</v>
      </c>
      <c r="AB7" s="9" t="s">
        <v>23</v>
      </c>
      <c r="AC7" s="9" t="s">
        <v>23</v>
      </c>
      <c r="AD7" s="9" t="s">
        <v>23</v>
      </c>
      <c r="AE7" s="9" t="s">
        <v>23</v>
      </c>
      <c r="AF7" s="9" t="s">
        <v>23</v>
      </c>
      <c r="AG7" s="9" t="s">
        <v>23</v>
      </c>
      <c r="AI7" s="9" t="s">
        <v>23</v>
      </c>
      <c r="AJ7" s="9" t="s">
        <v>23</v>
      </c>
      <c r="AK7" s="9" t="s">
        <v>23</v>
      </c>
      <c r="AL7" s="9" t="s">
        <v>977</v>
      </c>
    </row>
    <row r="8" spans="1:39" ht="15.75" x14ac:dyDescent="0.25">
      <c r="A8" s="9" t="s">
        <v>363</v>
      </c>
      <c r="B8" s="18" t="s">
        <v>1188</v>
      </c>
      <c r="C8" s="19">
        <v>46203</v>
      </c>
      <c r="D8" s="9" t="s">
        <v>1153</v>
      </c>
      <c r="E8" s="27" t="s">
        <v>1547</v>
      </c>
      <c r="F8" s="28" t="s">
        <v>1163</v>
      </c>
      <c r="G8" s="75" t="s">
        <v>1541</v>
      </c>
      <c r="H8" s="9" t="str">
        <f t="shared" si="0"/>
        <v>TP. Hồ Chí Minh - An Khánh, (≤2.5 tấn), xe 51D 38021</v>
      </c>
      <c r="I8" s="9" t="s">
        <v>1155</v>
      </c>
      <c r="J8" s="9" t="s">
        <v>1156</v>
      </c>
      <c r="K8" s="9" t="s">
        <v>260</v>
      </c>
      <c r="L8" s="9" t="s">
        <v>261</v>
      </c>
      <c r="M8" s="9">
        <v>1.7999999999999999E-2</v>
      </c>
      <c r="N8" s="76">
        <v>0.08</v>
      </c>
      <c r="O8" s="76">
        <f>AB8</f>
        <v>1.1619999999999999</v>
      </c>
      <c r="P8" s="73">
        <v>1369000</v>
      </c>
      <c r="Q8" s="73">
        <v>200000</v>
      </c>
      <c r="R8" s="73"/>
      <c r="S8" s="73"/>
      <c r="T8" s="71">
        <f>ROUND(SUM(P8:R8)/O8*N8,0)</f>
        <v>108021</v>
      </c>
      <c r="U8" s="71">
        <f>ROUND(SUM(P8:R8)/O8*N8,0)</f>
        <v>108021</v>
      </c>
      <c r="X8" s="9" t="s">
        <v>1570</v>
      </c>
      <c r="Y8" s="9" t="s">
        <v>1567</v>
      </c>
      <c r="AB8" s="20">
        <f>SUM(AC8:AH8)</f>
        <v>1.1619999999999999</v>
      </c>
      <c r="AC8" s="20">
        <v>0.73</v>
      </c>
      <c r="AD8" s="20">
        <v>0.02</v>
      </c>
      <c r="AE8" s="20">
        <v>0.08</v>
      </c>
      <c r="AF8" s="9" t="s">
        <v>23</v>
      </c>
      <c r="AG8" s="20">
        <v>0.33200000000000002</v>
      </c>
      <c r="AH8" s="20"/>
      <c r="AI8" s="20">
        <v>1.1619999999999999</v>
      </c>
      <c r="AJ8" s="9" t="s">
        <v>23</v>
      </c>
      <c r="AK8" s="9" t="s">
        <v>23</v>
      </c>
      <c r="AL8" s="9" t="s">
        <v>977</v>
      </c>
    </row>
    <row r="9" spans="1:39" ht="15.75" x14ac:dyDescent="0.25">
      <c r="A9" s="9" t="s">
        <v>363</v>
      </c>
      <c r="B9" s="18" t="s">
        <v>1194</v>
      </c>
      <c r="C9" s="19">
        <v>46203</v>
      </c>
      <c r="D9" s="9" t="s">
        <v>1153</v>
      </c>
      <c r="E9" s="27" t="s">
        <v>1547</v>
      </c>
      <c r="F9" s="28" t="s">
        <v>1163</v>
      </c>
      <c r="G9" s="75" t="s">
        <v>1541</v>
      </c>
      <c r="H9" s="9" t="str">
        <f t="shared" si="0"/>
        <v>TP. Hồ Chí Minh - An Khánh, (≤2.5 tấn), xe 51D 38021</v>
      </c>
      <c r="I9" s="9" t="s">
        <v>1155</v>
      </c>
      <c r="J9" s="9" t="s">
        <v>1156</v>
      </c>
      <c r="K9" s="9" t="s">
        <v>260</v>
      </c>
      <c r="L9" s="9" t="s">
        <v>261</v>
      </c>
      <c r="M9" s="9">
        <v>6.2E-2</v>
      </c>
      <c r="N9" s="76"/>
      <c r="O9" s="76"/>
      <c r="P9" s="73"/>
      <c r="Q9" s="73"/>
      <c r="R9" s="73"/>
      <c r="S9" s="73"/>
      <c r="T9" s="72"/>
      <c r="U9" s="72"/>
      <c r="X9" s="9" t="s">
        <v>1570</v>
      </c>
      <c r="Y9" s="9" t="s">
        <v>1567</v>
      </c>
      <c r="AB9" s="9" t="s">
        <v>23</v>
      </c>
      <c r="AC9" s="9" t="s">
        <v>23</v>
      </c>
      <c r="AD9" s="9" t="s">
        <v>23</v>
      </c>
      <c r="AE9" s="9" t="s">
        <v>23</v>
      </c>
      <c r="AF9" s="9" t="s">
        <v>23</v>
      </c>
      <c r="AG9" s="9" t="s">
        <v>23</v>
      </c>
      <c r="AI9" s="9" t="s">
        <v>23</v>
      </c>
      <c r="AJ9" s="9" t="s">
        <v>23</v>
      </c>
      <c r="AK9" s="9" t="s">
        <v>23</v>
      </c>
      <c r="AL9" s="9" t="s">
        <v>977</v>
      </c>
    </row>
    <row r="10" spans="1:39" ht="16.5" customHeight="1" x14ac:dyDescent="0.25">
      <c r="A10" s="40"/>
      <c r="B10" s="40"/>
      <c r="C10" s="41"/>
      <c r="D10" s="42"/>
      <c r="E10" s="40"/>
      <c r="F10" s="40"/>
      <c r="G10" s="40"/>
      <c r="H10" s="42"/>
      <c r="I10" s="40"/>
      <c r="J10" s="42"/>
      <c r="K10" s="40"/>
      <c r="L10" s="40"/>
      <c r="M10" s="45">
        <f>SUM(M3:M9)</f>
        <v>0.28700000000000003</v>
      </c>
      <c r="N10" s="45">
        <f>SUM(N3:N9)</f>
        <v>0.28700000000000003</v>
      </c>
      <c r="O10" s="46"/>
      <c r="P10" s="46"/>
      <c r="Q10" s="46"/>
      <c r="R10" s="46"/>
      <c r="S10" s="46"/>
      <c r="T10" s="46">
        <f>SUM(T3:T9)</f>
        <v>373801</v>
      </c>
      <c r="U10" s="46">
        <f>SUM(U3:U9)</f>
        <v>373801</v>
      </c>
      <c r="V10" s="47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9"/>
      <c r="AH10" s="49"/>
      <c r="AI10" s="50"/>
      <c r="AJ10" s="48"/>
      <c r="AK10" s="49"/>
      <c r="AL10" s="51"/>
      <c r="AM10" s="49"/>
    </row>
  </sheetData>
  <mergeCells count="18">
    <mergeCell ref="T3:T7"/>
    <mergeCell ref="U3:U7"/>
    <mergeCell ref="T8:T9"/>
    <mergeCell ref="U8:U9"/>
    <mergeCell ref="G8:G9"/>
    <mergeCell ref="G3:G7"/>
    <mergeCell ref="N8:N9"/>
    <mergeCell ref="O8:O9"/>
    <mergeCell ref="P8:P9"/>
    <mergeCell ref="Q8:Q9"/>
    <mergeCell ref="R8:R9"/>
    <mergeCell ref="S8:S9"/>
    <mergeCell ref="N3:N7"/>
    <mergeCell ref="O3:O7"/>
    <mergeCell ref="P3:P7"/>
    <mergeCell ref="Q3:Q7"/>
    <mergeCell ref="R3:R7"/>
    <mergeCell ref="S3:S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1E8D-DE20-4ED5-B77F-7DA744880E56}">
  <dimension ref="A2:AP6"/>
  <sheetViews>
    <sheetView workbookViewId="0">
      <pane xSplit="4" ySplit="2" topLeftCell="E3" activePane="bottomRight" state="frozen"/>
      <selection pane="topRight" activeCell="F1" sqref="F1"/>
      <selection pane="bottomLeft" activeCell="A3" sqref="A3"/>
      <selection pane="bottomRight" activeCell="G3" sqref="G3:G4"/>
    </sheetView>
  </sheetViews>
  <sheetFormatPr defaultRowHeight="15" x14ac:dyDescent="0.25"/>
  <cols>
    <col min="1" max="1" width="15" style="9" customWidth="1"/>
    <col min="2" max="2" width="12" style="18" customWidth="1"/>
    <col min="3" max="3" width="12" style="21" customWidth="1"/>
    <col min="4" max="4" width="18" style="9" customWidth="1"/>
    <col min="5" max="8" width="15" style="9" customWidth="1"/>
    <col min="9" max="9" width="35" style="9" hidden="1" customWidth="1"/>
    <col min="10" max="10" width="50" style="9" hidden="1" customWidth="1"/>
    <col min="11" max="11" width="15" style="9" customWidth="1"/>
    <col min="12" max="12" width="12" style="9" customWidth="1"/>
    <col min="13" max="21" width="14" style="9" customWidth="1"/>
    <col min="22" max="27" width="14" style="9" hidden="1" customWidth="1"/>
    <col min="28" max="28" width="12" style="9" customWidth="1"/>
    <col min="29" max="33" width="10" style="9" customWidth="1"/>
    <col min="34" max="35" width="12" style="9" customWidth="1"/>
    <col min="36" max="36" width="7.42578125" style="9" customWidth="1"/>
    <col min="37" max="37" width="13.28515625" style="9" customWidth="1"/>
    <col min="38" max="38" width="15" style="9" customWidth="1"/>
    <col min="39" max="16384" width="9.140625" style="9"/>
  </cols>
  <sheetData>
    <row r="2" spans="1:42" ht="31.5" x14ac:dyDescent="0.25">
      <c r="A2" s="15" t="s">
        <v>0</v>
      </c>
      <c r="B2" s="16" t="s">
        <v>1</v>
      </c>
      <c r="C2" s="17" t="s">
        <v>2</v>
      </c>
      <c r="D2" s="26" t="s">
        <v>1539</v>
      </c>
      <c r="E2" s="22" t="s">
        <v>1535</v>
      </c>
      <c r="F2" s="23" t="s">
        <v>1536</v>
      </c>
      <c r="G2" s="24" t="s">
        <v>1537</v>
      </c>
      <c r="H2" s="25" t="s">
        <v>1538</v>
      </c>
      <c r="I2" s="15" t="s">
        <v>5</v>
      </c>
      <c r="J2" s="15" t="s">
        <v>6</v>
      </c>
      <c r="K2" s="15" t="s">
        <v>7</v>
      </c>
      <c r="L2" s="15" t="s">
        <v>8</v>
      </c>
      <c r="M2" s="30" t="s">
        <v>1553</v>
      </c>
      <c r="N2" s="30" t="s">
        <v>1554</v>
      </c>
      <c r="O2" s="31" t="s">
        <v>1555</v>
      </c>
      <c r="P2" s="32" t="s">
        <v>1556</v>
      </c>
      <c r="Q2" s="33" t="s">
        <v>1557</v>
      </c>
      <c r="R2" s="33" t="s">
        <v>1558</v>
      </c>
      <c r="S2" s="33" t="s">
        <v>1559</v>
      </c>
      <c r="T2" s="33" t="s">
        <v>1560</v>
      </c>
      <c r="U2" s="33" t="s">
        <v>1561</v>
      </c>
      <c r="V2" s="33"/>
      <c r="W2" s="33"/>
      <c r="X2" s="34" t="s">
        <v>1562</v>
      </c>
      <c r="Y2" s="34" t="s">
        <v>1563</v>
      </c>
      <c r="Z2" s="35" t="s">
        <v>1564</v>
      </c>
      <c r="AA2" s="36" t="s">
        <v>1565</v>
      </c>
      <c r="AB2" s="37" t="s">
        <v>1566</v>
      </c>
      <c r="AC2" s="6" t="s">
        <v>18</v>
      </c>
      <c r="AD2" s="6" t="s">
        <v>19</v>
      </c>
      <c r="AE2" s="6" t="s">
        <v>20</v>
      </c>
      <c r="AF2" s="6" t="s">
        <v>21</v>
      </c>
      <c r="AG2" s="6" t="s">
        <v>22</v>
      </c>
      <c r="AH2" s="6" t="s">
        <v>1470</v>
      </c>
      <c r="AI2" s="15" t="s">
        <v>23</v>
      </c>
      <c r="AJ2" s="15" t="s">
        <v>24</v>
      </c>
      <c r="AK2" s="15" t="s">
        <v>25</v>
      </c>
      <c r="AL2" s="15" t="s">
        <v>26</v>
      </c>
    </row>
    <row r="3" spans="1:42" ht="15" customHeight="1" x14ac:dyDescent="0.25">
      <c r="A3" s="9" t="s">
        <v>363</v>
      </c>
      <c r="B3" s="18" t="s">
        <v>364</v>
      </c>
      <c r="C3" s="19">
        <v>46203</v>
      </c>
      <c r="D3" s="9" t="s">
        <v>290</v>
      </c>
      <c r="E3" s="27" t="s">
        <v>1548</v>
      </c>
      <c r="F3" s="68" t="s">
        <v>327</v>
      </c>
      <c r="G3" s="28" t="s">
        <v>1541</v>
      </c>
      <c r="H3" s="9" t="str">
        <f>F3&amp;", ("&amp;K3&amp;"), xe "&amp;D3</f>
        <v>Thành phố Hồ Chí Minh, Phú Thuận, (Pallet), xe 50E 65434</v>
      </c>
      <c r="I3" s="9" t="s">
        <v>292</v>
      </c>
      <c r="J3" s="9" t="s">
        <v>293</v>
      </c>
      <c r="K3" s="9" t="s">
        <v>294</v>
      </c>
      <c r="L3" s="9" t="s">
        <v>50</v>
      </c>
      <c r="M3" s="9">
        <v>2.1720000000000002</v>
      </c>
      <c r="N3" s="9">
        <v>2.2320000000000002</v>
      </c>
      <c r="O3" s="20">
        <f>AB3</f>
        <v>8.3970000000000002</v>
      </c>
      <c r="P3" s="38">
        <v>309000</v>
      </c>
      <c r="T3" s="39">
        <f>ROUND(N3*SUM(P3:R3),0)</f>
        <v>689688</v>
      </c>
      <c r="U3" s="39">
        <f>ROUND(N3*P3,0)</f>
        <v>689688</v>
      </c>
      <c r="X3" s="9" t="s">
        <v>20</v>
      </c>
      <c r="Y3" s="9" t="s">
        <v>1569</v>
      </c>
      <c r="AB3" s="20">
        <f>SUM(AC3:AH3)</f>
        <v>8.3970000000000002</v>
      </c>
      <c r="AC3" s="9">
        <v>2.673</v>
      </c>
      <c r="AE3" s="20">
        <v>2.2320000000000002</v>
      </c>
      <c r="AG3" s="9">
        <v>3.492</v>
      </c>
      <c r="AH3" s="20"/>
      <c r="AI3" s="20">
        <v>8.3970000000000002</v>
      </c>
      <c r="AJ3" s="9" t="s">
        <v>368</v>
      </c>
      <c r="AK3" s="9" t="s">
        <v>369</v>
      </c>
      <c r="AL3" s="9" t="s">
        <v>320</v>
      </c>
    </row>
    <row r="4" spans="1:42" ht="15" customHeight="1" x14ac:dyDescent="0.25">
      <c r="A4" s="9" t="s">
        <v>363</v>
      </c>
      <c r="B4" s="18" t="s">
        <v>406</v>
      </c>
      <c r="C4" s="19">
        <v>46203</v>
      </c>
      <c r="D4" s="9" t="s">
        <v>290</v>
      </c>
      <c r="E4" s="27" t="s">
        <v>1548</v>
      </c>
      <c r="F4" s="68" t="s">
        <v>327</v>
      </c>
      <c r="G4" s="28" t="s">
        <v>1541</v>
      </c>
      <c r="H4" s="9" t="str">
        <f>F4&amp;", ("&amp;K4&amp;"), xe "&amp;D4</f>
        <v>Thành phố Hồ Chí Minh, Phú Thuận, (Pallet), xe 50E 65434</v>
      </c>
      <c r="I4" s="9" t="s">
        <v>292</v>
      </c>
      <c r="J4" s="9" t="s">
        <v>293</v>
      </c>
      <c r="K4" s="9" t="s">
        <v>294</v>
      </c>
      <c r="L4" s="9" t="s">
        <v>50</v>
      </c>
      <c r="M4" s="9">
        <v>0.06</v>
      </c>
      <c r="N4" s="9">
        <v>0</v>
      </c>
      <c r="X4" s="9" t="s">
        <v>20</v>
      </c>
      <c r="Y4" s="9" t="s">
        <v>1569</v>
      </c>
      <c r="AB4" s="9" t="s">
        <v>23</v>
      </c>
      <c r="AC4" s="9" t="s">
        <v>23</v>
      </c>
      <c r="AD4" s="9" t="s">
        <v>23</v>
      </c>
      <c r="AE4" s="9" t="s">
        <v>23</v>
      </c>
      <c r="AF4" s="9" t="s">
        <v>23</v>
      </c>
      <c r="AG4" s="9" t="s">
        <v>23</v>
      </c>
      <c r="AI4" s="9" t="s">
        <v>23</v>
      </c>
      <c r="AJ4" s="9" t="s">
        <v>368</v>
      </c>
      <c r="AK4" s="9" t="s">
        <v>369</v>
      </c>
      <c r="AL4" s="9" t="s">
        <v>320</v>
      </c>
    </row>
    <row r="5" spans="1:42" ht="16.5" customHeight="1" x14ac:dyDescent="0.25">
      <c r="A5" s="53"/>
      <c r="B5" s="53"/>
      <c r="C5" s="54" t="s">
        <v>1572</v>
      </c>
      <c r="D5" s="55" t="s">
        <v>290</v>
      </c>
      <c r="E5" s="55" t="str">
        <f>H4</f>
        <v>Thành phố Hồ Chí Minh, Phú Thuận, (Pallet), xe 50E 65434</v>
      </c>
      <c r="F5" s="53"/>
      <c r="G5" s="53"/>
      <c r="H5" s="56"/>
      <c r="I5" s="55"/>
      <c r="J5" s="53"/>
      <c r="K5" s="57"/>
      <c r="L5" s="53"/>
      <c r="M5" s="60">
        <f>SUM(M3:M4)</f>
        <v>2.2320000000000002</v>
      </c>
      <c r="N5" s="60">
        <f>SUM(N3:N4)</f>
        <v>2.2320000000000002</v>
      </c>
      <c r="O5" s="59"/>
      <c r="P5" s="61"/>
      <c r="Q5" s="61"/>
      <c r="R5" s="61"/>
      <c r="S5" s="61"/>
      <c r="T5" s="61">
        <f>SUM(T3:T4)</f>
        <v>689688</v>
      </c>
      <c r="U5" s="61">
        <f>SUM(U3:U4)</f>
        <v>689688</v>
      </c>
      <c r="V5" s="61"/>
      <c r="W5" s="61"/>
      <c r="X5" s="62"/>
      <c r="Y5" s="62"/>
      <c r="Z5" s="62"/>
      <c r="AA5" s="62"/>
      <c r="AB5" s="63"/>
      <c r="AC5" s="62"/>
      <c r="AD5" s="62"/>
      <c r="AE5" s="62"/>
      <c r="AF5" s="62"/>
      <c r="AG5" s="62"/>
      <c r="AH5" s="62"/>
      <c r="AI5" s="62"/>
      <c r="AJ5" s="64"/>
      <c r="AK5" s="64"/>
      <c r="AL5" s="64"/>
      <c r="AM5" s="64"/>
    </row>
    <row r="6" spans="1:42" ht="16.5" customHeight="1" x14ac:dyDescent="0.25">
      <c r="A6" s="40"/>
      <c r="B6" s="40"/>
      <c r="C6" s="41"/>
      <c r="D6" s="42"/>
      <c r="E6" s="42" t="s">
        <v>1573</v>
      </c>
      <c r="F6" s="40"/>
      <c r="G6" s="40"/>
      <c r="H6" s="40"/>
      <c r="I6" s="42"/>
      <c r="J6" s="40"/>
      <c r="K6" s="42"/>
      <c r="L6" s="40"/>
      <c r="M6" s="45">
        <f>SUM(M3:M5)/2</f>
        <v>2.2320000000000002</v>
      </c>
      <c r="N6" s="45">
        <f>SUM(N3:N5)/2</f>
        <v>2.2320000000000002</v>
      </c>
      <c r="O6" s="66"/>
      <c r="P6" s="46"/>
      <c r="Q6" s="46"/>
      <c r="R6" s="46"/>
      <c r="S6" s="46"/>
      <c r="T6" s="46">
        <f>SUM(T3:T5)/2</f>
        <v>689688</v>
      </c>
      <c r="U6" s="46">
        <f>SUM(U3:U5)/2</f>
        <v>689688</v>
      </c>
      <c r="V6" s="47"/>
      <c r="W6" s="47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9"/>
      <c r="AI6" s="49"/>
      <c r="AJ6" s="50"/>
      <c r="AK6" s="48"/>
      <c r="AL6" s="49"/>
      <c r="AM6" s="49"/>
      <c r="AN6" s="49"/>
      <c r="AO6" s="49"/>
      <c r="AP6" s="49"/>
    </row>
  </sheetData>
  <autoFilter ref="A2:AP6" xr:uid="{00000000-0001-0000-0300-000000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M9"/>
  <sheetViews>
    <sheetView workbookViewId="0">
      <pane xSplit="4" ySplit="2" topLeftCell="K3" activePane="bottomRight" state="frozen"/>
      <selection pane="topRight" activeCell="F1" sqref="F1"/>
      <selection pane="bottomLeft" activeCell="A3" sqref="A3"/>
      <selection pane="bottomRight" activeCell="S9" sqref="S9"/>
    </sheetView>
  </sheetViews>
  <sheetFormatPr defaultRowHeight="15" x14ac:dyDescent="0.25"/>
  <cols>
    <col min="1" max="1" width="15" style="9" customWidth="1"/>
    <col min="2" max="2" width="12" style="18" customWidth="1"/>
    <col min="3" max="3" width="12" style="21" customWidth="1"/>
    <col min="4" max="4" width="18" style="9" customWidth="1"/>
    <col min="5" max="8" width="15" style="9" customWidth="1"/>
    <col min="9" max="9" width="35" style="9" hidden="1" customWidth="1"/>
    <col min="10" max="10" width="22.28515625" style="9" hidden="1" customWidth="1"/>
    <col min="11" max="11" width="15" style="9" customWidth="1"/>
    <col min="12" max="12" width="12" style="9" customWidth="1"/>
    <col min="13" max="21" width="14" style="9" customWidth="1"/>
    <col min="22" max="27" width="14" style="9" hidden="1" customWidth="1"/>
    <col min="28" max="28" width="12" style="9" customWidth="1"/>
    <col min="29" max="33" width="10" style="9" customWidth="1"/>
    <col min="34" max="34" width="12" style="9" customWidth="1"/>
    <col min="35" max="35" width="9.140625" style="9" customWidth="1"/>
    <col min="36" max="36" width="11" style="9" customWidth="1"/>
    <col min="37" max="37" width="15" style="9" customWidth="1"/>
    <col min="38" max="16384" width="9.140625" style="9"/>
  </cols>
  <sheetData>
    <row r="2" spans="1:39" ht="31.5" x14ac:dyDescent="0.25">
      <c r="A2" s="15" t="s">
        <v>0</v>
      </c>
      <c r="B2" s="16" t="s">
        <v>1</v>
      </c>
      <c r="C2" s="17" t="s">
        <v>2</v>
      </c>
      <c r="D2" s="26" t="s">
        <v>1539</v>
      </c>
      <c r="E2" s="22" t="s">
        <v>1535</v>
      </c>
      <c r="F2" s="23" t="s">
        <v>1536</v>
      </c>
      <c r="G2" s="24" t="s">
        <v>1537</v>
      </c>
      <c r="H2" s="25" t="s">
        <v>1538</v>
      </c>
      <c r="I2" s="15" t="s">
        <v>5</v>
      </c>
      <c r="J2" s="15" t="s">
        <v>6</v>
      </c>
      <c r="K2" s="15" t="s">
        <v>7</v>
      </c>
      <c r="L2" s="15" t="s">
        <v>8</v>
      </c>
      <c r="M2" s="30" t="s">
        <v>1553</v>
      </c>
      <c r="N2" s="30" t="s">
        <v>1554</v>
      </c>
      <c r="O2" s="31" t="s">
        <v>1555</v>
      </c>
      <c r="P2" s="32" t="s">
        <v>1556</v>
      </c>
      <c r="Q2" s="33" t="s">
        <v>1557</v>
      </c>
      <c r="R2" s="33" t="s">
        <v>1558</v>
      </c>
      <c r="S2" s="33" t="s">
        <v>1559</v>
      </c>
      <c r="T2" s="33" t="s">
        <v>1560</v>
      </c>
      <c r="U2" s="33" t="s">
        <v>1561</v>
      </c>
      <c r="V2" s="33"/>
      <c r="W2" s="33"/>
      <c r="X2" s="34" t="s">
        <v>1562</v>
      </c>
      <c r="Y2" s="34" t="s">
        <v>1563</v>
      </c>
      <c r="Z2" s="35" t="s">
        <v>1564</v>
      </c>
      <c r="AA2" s="36" t="s">
        <v>1565</v>
      </c>
      <c r="AB2" s="37" t="s">
        <v>1566</v>
      </c>
      <c r="AC2" s="6" t="s">
        <v>18</v>
      </c>
      <c r="AD2" s="6" t="s">
        <v>19</v>
      </c>
      <c r="AE2" s="6" t="s">
        <v>20</v>
      </c>
      <c r="AF2" s="6" t="s">
        <v>21</v>
      </c>
      <c r="AG2" s="6" t="s">
        <v>22</v>
      </c>
      <c r="AH2" s="6" t="s">
        <v>1470</v>
      </c>
      <c r="AI2" s="15" t="s">
        <v>24</v>
      </c>
      <c r="AJ2" s="15" t="s">
        <v>25</v>
      </c>
      <c r="AK2" s="15" t="s">
        <v>26</v>
      </c>
    </row>
    <row r="3" spans="1:39" ht="15.75" x14ac:dyDescent="0.25">
      <c r="A3" s="9" t="s">
        <v>311</v>
      </c>
      <c r="B3" s="18" t="s">
        <v>453</v>
      </c>
      <c r="C3" s="19">
        <v>46203</v>
      </c>
      <c r="D3" s="9" t="s">
        <v>436</v>
      </c>
      <c r="E3" s="27" t="s">
        <v>1549</v>
      </c>
      <c r="F3" s="28" t="s">
        <v>1550</v>
      </c>
      <c r="G3" s="28" t="s">
        <v>1541</v>
      </c>
      <c r="H3" s="9" t="str">
        <f t="shared" ref="H3:H8" si="0">F3&amp;", ("&amp;K3&amp;"), xe "&amp;D3</f>
        <v>TP. Hồ Chí Minh - Hóc Môn, (≤2.5 tấn), xe 50H 44024</v>
      </c>
      <c r="I3" s="9" t="s">
        <v>438</v>
      </c>
      <c r="J3" s="9" t="s">
        <v>439</v>
      </c>
      <c r="K3" s="9" t="s">
        <v>260</v>
      </c>
      <c r="L3" s="9" t="s">
        <v>261</v>
      </c>
      <c r="M3" s="9">
        <v>3.7999999999999999E-2</v>
      </c>
      <c r="N3" s="9">
        <v>3.7999999999999999E-2</v>
      </c>
      <c r="O3" s="20">
        <f>AB3</f>
        <v>1.9179999999999999</v>
      </c>
      <c r="P3" s="38">
        <v>1369000</v>
      </c>
      <c r="Q3" s="38">
        <v>200000</v>
      </c>
      <c r="T3" s="39">
        <f>ROUND(SUM(P3:R3)/O3*N3,0)</f>
        <v>31086</v>
      </c>
      <c r="U3" s="39">
        <f>ROUND(SUM(P3:R3)/O3*N3,0)</f>
        <v>31086</v>
      </c>
      <c r="X3" s="9" t="s">
        <v>22</v>
      </c>
      <c r="Y3" s="9" t="s">
        <v>1567</v>
      </c>
      <c r="AB3" s="20">
        <f>SUM(AC3:AH3)</f>
        <v>1.9179999999999999</v>
      </c>
      <c r="AC3" s="20">
        <v>1.5129999999999999</v>
      </c>
      <c r="AD3" s="9" t="s">
        <v>23</v>
      </c>
      <c r="AE3" s="20">
        <v>0.17899999999999999</v>
      </c>
      <c r="AF3" s="20">
        <v>0.188</v>
      </c>
      <c r="AG3" s="20">
        <v>3.7999999999999999E-2</v>
      </c>
      <c r="AH3" s="20"/>
      <c r="AI3" s="9" t="s">
        <v>23</v>
      </c>
      <c r="AJ3" s="9" t="s">
        <v>446</v>
      </c>
      <c r="AK3" s="9" t="s">
        <v>473</v>
      </c>
    </row>
    <row r="4" spans="1:39" ht="15.75" x14ac:dyDescent="0.25">
      <c r="A4" s="9" t="s">
        <v>311</v>
      </c>
      <c r="B4" s="18" t="s">
        <v>492</v>
      </c>
      <c r="C4" s="19">
        <v>46203</v>
      </c>
      <c r="D4" s="9" t="s">
        <v>436</v>
      </c>
      <c r="E4" s="27" t="s">
        <v>1549</v>
      </c>
      <c r="F4" s="28" t="s">
        <v>1550</v>
      </c>
      <c r="G4" s="28" t="s">
        <v>1541</v>
      </c>
      <c r="H4" s="9" t="str">
        <f t="shared" si="0"/>
        <v>TP. Hồ Chí Minh - Hóc Môn, (≤2.5 tấn), xe 50H 44024</v>
      </c>
      <c r="I4" s="9" t="s">
        <v>438</v>
      </c>
      <c r="J4" s="9" t="s">
        <v>439</v>
      </c>
      <c r="K4" s="9" t="s">
        <v>260</v>
      </c>
      <c r="L4" s="9" t="s">
        <v>261</v>
      </c>
      <c r="M4" s="9">
        <v>0</v>
      </c>
      <c r="N4" s="9">
        <v>0</v>
      </c>
      <c r="X4" s="9" t="s">
        <v>22</v>
      </c>
      <c r="Y4" s="9" t="s">
        <v>1567</v>
      </c>
      <c r="AB4" s="9" t="s">
        <v>23</v>
      </c>
      <c r="AC4" s="9" t="s">
        <v>23</v>
      </c>
      <c r="AD4" s="9" t="s">
        <v>23</v>
      </c>
      <c r="AE4" s="9" t="s">
        <v>23</v>
      </c>
      <c r="AF4" s="9" t="s">
        <v>23</v>
      </c>
      <c r="AG4" s="9" t="s">
        <v>23</v>
      </c>
      <c r="AI4" s="9" t="s">
        <v>23</v>
      </c>
      <c r="AJ4" s="9" t="s">
        <v>446</v>
      </c>
      <c r="AK4" s="9" t="s">
        <v>473</v>
      </c>
    </row>
    <row r="5" spans="1:39" ht="15.75" x14ac:dyDescent="0.25">
      <c r="A5" s="9" t="s">
        <v>311</v>
      </c>
      <c r="B5" s="18" t="s">
        <v>630</v>
      </c>
      <c r="C5" s="19">
        <v>46203</v>
      </c>
      <c r="D5" s="9" t="s">
        <v>513</v>
      </c>
      <c r="E5" s="27" t="s">
        <v>1543</v>
      </c>
      <c r="F5" s="28" t="s">
        <v>545</v>
      </c>
      <c r="G5" s="28" t="s">
        <v>1541</v>
      </c>
      <c r="H5" s="9" t="str">
        <f t="shared" si="0"/>
        <v>TP. Hồ Chí Minh - Tân Mỹ, (≤2.5 tấn), xe 50H 44328</v>
      </c>
      <c r="I5" s="9" t="s">
        <v>531</v>
      </c>
      <c r="J5" s="9" t="s">
        <v>532</v>
      </c>
      <c r="K5" s="9" t="s">
        <v>260</v>
      </c>
      <c r="L5" s="9" t="s">
        <v>261</v>
      </c>
      <c r="M5" s="9">
        <v>0.19500000000000001</v>
      </c>
      <c r="N5" s="9">
        <v>0.26300000000000001</v>
      </c>
      <c r="O5" s="20">
        <f>AB5</f>
        <v>1.7730000000000001</v>
      </c>
      <c r="P5" s="38">
        <v>1369000</v>
      </c>
      <c r="Q5" s="38">
        <v>200000</v>
      </c>
      <c r="T5" s="39">
        <f>ROUND(SUM(P5:R5)/O5*N5,0)</f>
        <v>232739</v>
      </c>
      <c r="U5" s="39">
        <f>ROUND(SUM(P5:R5)/O5*N5,0)</f>
        <v>232739</v>
      </c>
      <c r="X5" s="9" t="s">
        <v>22</v>
      </c>
      <c r="Y5" s="9" t="s">
        <v>1567</v>
      </c>
      <c r="AB5" s="20">
        <f>SUM(AC5:AH5)</f>
        <v>1.7730000000000001</v>
      </c>
      <c r="AC5" s="20">
        <v>0.93300000000000005</v>
      </c>
      <c r="AD5" s="9" t="s">
        <v>23</v>
      </c>
      <c r="AE5" s="20">
        <v>0.19600000000000001</v>
      </c>
      <c r="AF5" s="20">
        <v>0.38100000000000001</v>
      </c>
      <c r="AG5" s="20">
        <v>0.26300000000000001</v>
      </c>
      <c r="AH5" s="20"/>
      <c r="AI5" s="9" t="s">
        <v>23</v>
      </c>
      <c r="AJ5" s="9" t="s">
        <v>539</v>
      </c>
      <c r="AK5" s="9" t="s">
        <v>473</v>
      </c>
    </row>
    <row r="6" spans="1:39" ht="15.75" x14ac:dyDescent="0.25">
      <c r="A6" s="9" t="s">
        <v>311</v>
      </c>
      <c r="B6" s="18" t="s">
        <v>654</v>
      </c>
      <c r="C6" s="19">
        <v>46203</v>
      </c>
      <c r="D6" s="9" t="s">
        <v>513</v>
      </c>
      <c r="E6" s="27" t="s">
        <v>1543</v>
      </c>
      <c r="F6" s="28" t="s">
        <v>545</v>
      </c>
      <c r="G6" s="28" t="s">
        <v>1541</v>
      </c>
      <c r="H6" s="9" t="str">
        <f t="shared" si="0"/>
        <v>TP. Hồ Chí Minh - Tân Mỹ, (≤2.5 tấn), xe 50H 44328</v>
      </c>
      <c r="I6" s="9" t="s">
        <v>531</v>
      </c>
      <c r="J6" s="9" t="s">
        <v>532</v>
      </c>
      <c r="K6" s="9" t="s">
        <v>260</v>
      </c>
      <c r="L6" s="9" t="s">
        <v>261</v>
      </c>
      <c r="M6" s="9">
        <v>5.7999999999999996E-2</v>
      </c>
      <c r="N6" s="9">
        <v>0</v>
      </c>
      <c r="X6" s="9" t="s">
        <v>22</v>
      </c>
      <c r="Y6" s="9" t="s">
        <v>1567</v>
      </c>
      <c r="AB6" s="9" t="s">
        <v>23</v>
      </c>
      <c r="AC6" s="9" t="s">
        <v>23</v>
      </c>
      <c r="AD6" s="9" t="s">
        <v>23</v>
      </c>
      <c r="AE6" s="9" t="s">
        <v>23</v>
      </c>
      <c r="AF6" s="9" t="s">
        <v>23</v>
      </c>
      <c r="AG6" s="9" t="s">
        <v>23</v>
      </c>
      <c r="AI6" s="9" t="s">
        <v>23</v>
      </c>
      <c r="AJ6" s="9" t="s">
        <v>539</v>
      </c>
      <c r="AK6" s="9" t="s">
        <v>473</v>
      </c>
    </row>
    <row r="7" spans="1:39" ht="15.75" x14ac:dyDescent="0.25">
      <c r="A7" s="9" t="s">
        <v>311</v>
      </c>
      <c r="B7" s="18" t="s">
        <v>659</v>
      </c>
      <c r="C7" s="19">
        <v>46203</v>
      </c>
      <c r="D7" s="9" t="s">
        <v>513</v>
      </c>
      <c r="E7" s="27" t="s">
        <v>1543</v>
      </c>
      <c r="F7" s="28" t="s">
        <v>545</v>
      </c>
      <c r="G7" s="28" t="s">
        <v>1541</v>
      </c>
      <c r="H7" s="9" t="str">
        <f t="shared" si="0"/>
        <v>TP. Hồ Chí Minh - Tân Mỹ, (≤2.5 tấn), xe 50H 44328</v>
      </c>
      <c r="I7" s="9" t="s">
        <v>531</v>
      </c>
      <c r="J7" s="9" t="s">
        <v>532</v>
      </c>
      <c r="K7" s="9" t="s">
        <v>260</v>
      </c>
      <c r="L7" s="9" t="s">
        <v>261</v>
      </c>
      <c r="M7" s="9">
        <v>0.01</v>
      </c>
      <c r="N7" s="9">
        <v>0</v>
      </c>
      <c r="X7" s="9" t="s">
        <v>22</v>
      </c>
      <c r="Y7" s="9" t="s">
        <v>1567</v>
      </c>
      <c r="AB7" s="9" t="s">
        <v>23</v>
      </c>
      <c r="AC7" s="9" t="s">
        <v>23</v>
      </c>
      <c r="AD7" s="9" t="s">
        <v>23</v>
      </c>
      <c r="AE7" s="9" t="s">
        <v>23</v>
      </c>
      <c r="AF7" s="9" t="s">
        <v>23</v>
      </c>
      <c r="AG7" s="9" t="s">
        <v>23</v>
      </c>
      <c r="AI7" s="9" t="s">
        <v>23</v>
      </c>
      <c r="AJ7" s="9" t="s">
        <v>539</v>
      </c>
      <c r="AK7" s="9" t="s">
        <v>473</v>
      </c>
    </row>
    <row r="8" spans="1:39" ht="15.75" x14ac:dyDescent="0.25">
      <c r="A8" s="9" t="s">
        <v>311</v>
      </c>
      <c r="B8" s="18" t="s">
        <v>1133</v>
      </c>
      <c r="C8" s="19">
        <v>46203</v>
      </c>
      <c r="D8" s="9" t="s">
        <v>1134</v>
      </c>
      <c r="E8" s="27" t="s">
        <v>1542</v>
      </c>
      <c r="F8" s="28" t="s">
        <v>715</v>
      </c>
      <c r="G8" s="28" t="s">
        <v>1541</v>
      </c>
      <c r="H8" s="9" t="str">
        <f t="shared" si="0"/>
        <v>TP. Hồ Chí Minh - Thới An, (≤2.5 tấn), xe 50H 92136</v>
      </c>
      <c r="I8" s="9" t="s">
        <v>707</v>
      </c>
      <c r="J8" s="9" t="s">
        <v>708</v>
      </c>
      <c r="K8" s="9" t="s">
        <v>260</v>
      </c>
      <c r="L8" s="9" t="s">
        <v>261</v>
      </c>
      <c r="M8" s="9">
        <v>1.0230000000000001</v>
      </c>
      <c r="N8" s="9">
        <v>1.0230000000000001</v>
      </c>
      <c r="O8" s="20">
        <f>AB8</f>
        <v>1.847</v>
      </c>
      <c r="P8" s="38">
        <v>1369000</v>
      </c>
      <c r="Q8" s="38">
        <v>200000</v>
      </c>
      <c r="T8" s="39">
        <f>ROUND(SUM(P8:R8)/O8*N8,0)</f>
        <v>869024</v>
      </c>
      <c r="U8" s="39">
        <f>ROUND(SUM(P8:R8)/O8*N8,0)</f>
        <v>869024</v>
      </c>
      <c r="X8" s="9" t="s">
        <v>22</v>
      </c>
      <c r="Y8" s="9" t="s">
        <v>1567</v>
      </c>
      <c r="AB8" s="20">
        <f>SUM(AC8:AH8)</f>
        <v>1.847</v>
      </c>
      <c r="AC8" s="20">
        <v>0.17599999999999999</v>
      </c>
      <c r="AD8" s="9" t="s">
        <v>23</v>
      </c>
      <c r="AE8" s="20">
        <v>0.64800000000000002</v>
      </c>
      <c r="AF8" s="9" t="s">
        <v>23</v>
      </c>
      <c r="AG8" s="20">
        <v>1.0229999999999999</v>
      </c>
      <c r="AH8" s="20"/>
      <c r="AI8" s="9" t="s">
        <v>23</v>
      </c>
      <c r="AJ8" s="9" t="s">
        <v>1135</v>
      </c>
      <c r="AK8" s="9" t="s">
        <v>473</v>
      </c>
    </row>
    <row r="9" spans="1:39" ht="16.5" customHeight="1" x14ac:dyDescent="0.25">
      <c r="A9" s="40"/>
      <c r="B9" s="40"/>
      <c r="C9" s="41"/>
      <c r="D9" s="42"/>
      <c r="E9" s="40"/>
      <c r="F9" s="40"/>
      <c r="G9" s="40"/>
      <c r="H9" s="42"/>
      <c r="I9" s="40"/>
      <c r="J9" s="42"/>
      <c r="K9" s="40"/>
      <c r="L9" s="40"/>
      <c r="M9" s="45">
        <f>SUM(M3:M8)</f>
        <v>1.3240000000000003</v>
      </c>
      <c r="N9" s="45">
        <f>SUM(N3:N8)</f>
        <v>1.3240000000000001</v>
      </c>
      <c r="O9" s="46"/>
      <c r="P9" s="46"/>
      <c r="Q9" s="46"/>
      <c r="R9" s="46"/>
      <c r="S9" s="46"/>
      <c r="T9" s="46">
        <f>SUM(T3:T8)</f>
        <v>1132849</v>
      </c>
      <c r="U9" s="46">
        <f>SUM(U3:U8)</f>
        <v>1132849</v>
      </c>
      <c r="V9" s="47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9"/>
      <c r="AH9" s="49"/>
      <c r="AI9" s="50"/>
      <c r="AJ9" s="48"/>
      <c r="AK9" s="49"/>
      <c r="AL9" s="49"/>
      <c r="AM9" s="49"/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93C2-EBF0-4490-97A9-0DF16F8F3BDE}">
  <dimension ref="A2:AM7"/>
  <sheetViews>
    <sheetView workbookViewId="0">
      <pane xSplit="4" ySplit="2" topLeftCell="E3" activePane="bottomRight" state="frozen"/>
      <selection pane="topRight" activeCell="F1" sqref="F1"/>
      <selection pane="bottomLeft" activeCell="A3" sqref="A3"/>
      <selection pane="bottomRight" activeCell="S7" sqref="S7"/>
    </sheetView>
  </sheetViews>
  <sheetFormatPr defaultRowHeight="15" x14ac:dyDescent="0.25"/>
  <cols>
    <col min="1" max="1" width="15" style="9" customWidth="1"/>
    <col min="2" max="2" width="12" style="18" customWidth="1"/>
    <col min="3" max="3" width="12" style="21" customWidth="1"/>
    <col min="4" max="4" width="18" style="9" customWidth="1"/>
    <col min="5" max="8" width="15" style="9" customWidth="1"/>
    <col min="9" max="9" width="35" style="9" hidden="1" customWidth="1"/>
    <col min="10" max="10" width="22.28515625" style="9" hidden="1" customWidth="1"/>
    <col min="11" max="11" width="15" style="9" customWidth="1"/>
    <col min="12" max="12" width="12" style="9" customWidth="1"/>
    <col min="13" max="21" width="14" style="9" customWidth="1"/>
    <col min="22" max="27" width="14" style="9" hidden="1" customWidth="1"/>
    <col min="28" max="28" width="12" style="9" customWidth="1"/>
    <col min="29" max="33" width="10" style="9" customWidth="1"/>
    <col min="34" max="34" width="12" style="9" customWidth="1"/>
    <col min="35" max="35" width="9.140625" style="9" customWidth="1"/>
    <col min="36" max="36" width="11" style="9" customWidth="1"/>
    <col min="37" max="37" width="15" style="9" customWidth="1"/>
    <col min="38" max="16384" width="9.140625" style="9"/>
  </cols>
  <sheetData>
    <row r="2" spans="1:39" ht="31.5" x14ac:dyDescent="0.25">
      <c r="A2" s="15" t="s">
        <v>0</v>
      </c>
      <c r="B2" s="16" t="s">
        <v>1</v>
      </c>
      <c r="C2" s="17" t="s">
        <v>2</v>
      </c>
      <c r="D2" s="26" t="s">
        <v>1539</v>
      </c>
      <c r="E2" s="22" t="s">
        <v>1535</v>
      </c>
      <c r="F2" s="23" t="s">
        <v>1536</v>
      </c>
      <c r="G2" s="24" t="s">
        <v>1537</v>
      </c>
      <c r="H2" s="25" t="s">
        <v>1538</v>
      </c>
      <c r="I2" s="15" t="s">
        <v>5</v>
      </c>
      <c r="J2" s="15" t="s">
        <v>6</v>
      </c>
      <c r="K2" s="15" t="s">
        <v>7</v>
      </c>
      <c r="L2" s="15" t="s">
        <v>8</v>
      </c>
      <c r="M2" s="30" t="s">
        <v>1553</v>
      </c>
      <c r="N2" s="30" t="s">
        <v>1554</v>
      </c>
      <c r="O2" s="31" t="s">
        <v>1555</v>
      </c>
      <c r="P2" s="32" t="s">
        <v>1556</v>
      </c>
      <c r="Q2" s="33" t="s">
        <v>1557</v>
      </c>
      <c r="R2" s="33" t="s">
        <v>1558</v>
      </c>
      <c r="S2" s="33" t="s">
        <v>1559</v>
      </c>
      <c r="T2" s="33" t="s">
        <v>1560</v>
      </c>
      <c r="U2" s="33" t="s">
        <v>1561</v>
      </c>
      <c r="V2" s="33"/>
      <c r="W2" s="33"/>
      <c r="X2" s="34" t="s">
        <v>1562</v>
      </c>
      <c r="Y2" s="34" t="s">
        <v>1563</v>
      </c>
      <c r="Z2" s="35" t="s">
        <v>1564</v>
      </c>
      <c r="AA2" s="36" t="s">
        <v>1565</v>
      </c>
      <c r="AB2" s="37" t="s">
        <v>1566</v>
      </c>
      <c r="AC2" s="6" t="s">
        <v>18</v>
      </c>
      <c r="AD2" s="6" t="s">
        <v>19</v>
      </c>
      <c r="AE2" s="6" t="s">
        <v>20</v>
      </c>
      <c r="AF2" s="6" t="s">
        <v>21</v>
      </c>
      <c r="AG2" s="6" t="s">
        <v>22</v>
      </c>
      <c r="AH2" s="6" t="s">
        <v>1470</v>
      </c>
      <c r="AI2" s="15" t="s">
        <v>24</v>
      </c>
      <c r="AJ2" s="15" t="s">
        <v>25</v>
      </c>
      <c r="AK2" s="15" t="s">
        <v>26</v>
      </c>
    </row>
    <row r="3" spans="1:39" ht="15.75" x14ac:dyDescent="0.25">
      <c r="A3" s="9" t="s">
        <v>311</v>
      </c>
      <c r="B3" s="18" t="s">
        <v>1007</v>
      </c>
      <c r="C3" s="19">
        <v>46203</v>
      </c>
      <c r="D3" s="9" t="s">
        <v>969</v>
      </c>
      <c r="E3" s="27" t="s">
        <v>1540</v>
      </c>
      <c r="F3" s="28" t="s">
        <v>984</v>
      </c>
      <c r="G3" s="28" t="s">
        <v>1541</v>
      </c>
      <c r="H3" s="9" t="str">
        <f>F3&amp;", ("&amp;K3&amp;"), xe "&amp;D3</f>
        <v>TP. Hồ Chí Minh - Trung Mỹ Tây, (≤2.5 tấn), xe 50H 87442</v>
      </c>
      <c r="I3" s="9" t="s">
        <v>971</v>
      </c>
      <c r="J3" s="9" t="s">
        <v>972</v>
      </c>
      <c r="K3" s="9" t="s">
        <v>260</v>
      </c>
      <c r="L3" s="9" t="s">
        <v>261</v>
      </c>
      <c r="M3" s="9">
        <v>1.2999999999999999E-2</v>
      </c>
      <c r="N3" s="9">
        <v>2.0999999999999998E-2</v>
      </c>
      <c r="O3" s="20">
        <f>AB3</f>
        <v>1.222</v>
      </c>
      <c r="P3" s="38">
        <v>1369000</v>
      </c>
      <c r="Q3" s="38">
        <v>200000</v>
      </c>
      <c r="T3" s="39">
        <f>ROUND(SUM(P3:R3)/O3*N3,0)</f>
        <v>26963</v>
      </c>
      <c r="U3" s="39">
        <f>ROUND(SUM(P3:R3)/O3*N3,0)</f>
        <v>26963</v>
      </c>
      <c r="X3" s="9" t="s">
        <v>1568</v>
      </c>
      <c r="Y3" s="9" t="s">
        <v>1567</v>
      </c>
      <c r="AB3" s="20">
        <f>SUM(AC3:AH3)</f>
        <v>1.222</v>
      </c>
      <c r="AC3" s="20">
        <v>0.93400000000000005</v>
      </c>
      <c r="AD3" s="20">
        <v>0.06</v>
      </c>
      <c r="AE3" s="20">
        <v>0.20699999999999999</v>
      </c>
      <c r="AF3" s="9" t="s">
        <v>23</v>
      </c>
      <c r="AG3" s="20">
        <v>2.1000000000000001E-2</v>
      </c>
      <c r="AH3" s="20"/>
      <c r="AI3" s="9" t="s">
        <v>23</v>
      </c>
      <c r="AJ3" s="9" t="s">
        <v>23</v>
      </c>
      <c r="AK3" s="9" t="s">
        <v>1014</v>
      </c>
    </row>
    <row r="4" spans="1:39" ht="15.75" x14ac:dyDescent="0.25">
      <c r="A4" s="9" t="s">
        <v>311</v>
      </c>
      <c r="B4" s="18" t="s">
        <v>1110</v>
      </c>
      <c r="C4" s="19">
        <v>46203</v>
      </c>
      <c r="D4" s="9" t="s">
        <v>969</v>
      </c>
      <c r="E4" s="27" t="s">
        <v>1540</v>
      </c>
      <c r="F4" s="28" t="s">
        <v>984</v>
      </c>
      <c r="G4" s="28" t="s">
        <v>1541</v>
      </c>
      <c r="H4" s="9" t="str">
        <f>F4&amp;", ("&amp;K4&amp;"), xe "&amp;D4</f>
        <v>TP. Hồ Chí Minh - Trung Mỹ Tây, (≤2.5 tấn), xe 50H 87442</v>
      </c>
      <c r="I4" s="9" t="s">
        <v>971</v>
      </c>
      <c r="J4" s="9" t="s">
        <v>987</v>
      </c>
      <c r="K4" s="9" t="s">
        <v>260</v>
      </c>
      <c r="L4" s="9" t="s">
        <v>261</v>
      </c>
      <c r="M4" s="9">
        <v>8.0000000000000002E-3</v>
      </c>
      <c r="N4" s="9">
        <v>0</v>
      </c>
      <c r="X4" s="9" t="s">
        <v>1568</v>
      </c>
      <c r="Y4" s="9" t="s">
        <v>1567</v>
      </c>
      <c r="AB4" s="9" t="s">
        <v>23</v>
      </c>
      <c r="AC4" s="9" t="s">
        <v>23</v>
      </c>
      <c r="AD4" s="9" t="s">
        <v>23</v>
      </c>
      <c r="AE4" s="9" t="s">
        <v>23</v>
      </c>
      <c r="AF4" s="9" t="s">
        <v>23</v>
      </c>
      <c r="AG4" s="9" t="s">
        <v>23</v>
      </c>
      <c r="AI4" s="9" t="s">
        <v>23</v>
      </c>
      <c r="AJ4" s="9" t="s">
        <v>23</v>
      </c>
      <c r="AK4" s="9" t="s">
        <v>1014</v>
      </c>
    </row>
    <row r="5" spans="1:39" ht="15.75" x14ac:dyDescent="0.25">
      <c r="A5" s="9" t="s">
        <v>311</v>
      </c>
      <c r="B5" s="18" t="s">
        <v>1152</v>
      </c>
      <c r="C5" s="19">
        <v>46203</v>
      </c>
      <c r="D5" s="9" t="s">
        <v>1153</v>
      </c>
      <c r="E5" s="27" t="s">
        <v>1547</v>
      </c>
      <c r="F5" s="28" t="s">
        <v>1163</v>
      </c>
      <c r="G5" s="28" t="s">
        <v>1541</v>
      </c>
      <c r="H5" s="9" t="str">
        <f>F5&amp;", ("&amp;K5&amp;"), xe "&amp;D5</f>
        <v>TP. Hồ Chí Minh - An Khánh, (≤2.5 tấn), xe 51D 38021</v>
      </c>
      <c r="I5" s="9" t="s">
        <v>1155</v>
      </c>
      <c r="J5" s="9" t="s">
        <v>1156</v>
      </c>
      <c r="K5" s="9" t="s">
        <v>260</v>
      </c>
      <c r="L5" s="9" t="s">
        <v>261</v>
      </c>
      <c r="M5" s="9">
        <v>0.17900000000000002</v>
      </c>
      <c r="N5" s="9">
        <v>0.33200000000000002</v>
      </c>
      <c r="O5" s="20">
        <f>AB5</f>
        <v>1.1619999999999999</v>
      </c>
      <c r="P5" s="38">
        <v>1369000</v>
      </c>
      <c r="Q5" s="38">
        <v>200000</v>
      </c>
      <c r="T5" s="39">
        <f>ROUND(SUM(P5:R5)/O5*N5,0)</f>
        <v>448286</v>
      </c>
      <c r="U5" s="39">
        <f>ROUND(SUM(P5:R5)/O5*N5,0)</f>
        <v>448286</v>
      </c>
      <c r="X5" s="9" t="s">
        <v>1568</v>
      </c>
      <c r="Y5" s="9" t="s">
        <v>1567</v>
      </c>
      <c r="AB5" s="20">
        <f>SUM(AC5:AH5)</f>
        <v>1.1619999999999999</v>
      </c>
      <c r="AC5" s="20">
        <v>0.73</v>
      </c>
      <c r="AD5" s="20">
        <v>0.02</v>
      </c>
      <c r="AE5" s="20">
        <v>0.08</v>
      </c>
      <c r="AF5" s="9" t="s">
        <v>23</v>
      </c>
      <c r="AG5" s="20">
        <v>0.33200000000000002</v>
      </c>
      <c r="AH5" s="20"/>
      <c r="AI5" s="9" t="s">
        <v>23</v>
      </c>
      <c r="AJ5" s="9" t="s">
        <v>23</v>
      </c>
      <c r="AK5" s="9" t="s">
        <v>1014</v>
      </c>
    </row>
    <row r="6" spans="1:39" ht="15.75" x14ac:dyDescent="0.25">
      <c r="A6" s="9" t="s">
        <v>311</v>
      </c>
      <c r="B6" s="18" t="s">
        <v>1177</v>
      </c>
      <c r="C6" s="19">
        <v>46203</v>
      </c>
      <c r="D6" s="9" t="s">
        <v>1153</v>
      </c>
      <c r="E6" s="27" t="s">
        <v>1547</v>
      </c>
      <c r="F6" s="28" t="s">
        <v>1163</v>
      </c>
      <c r="G6" s="28" t="s">
        <v>1541</v>
      </c>
      <c r="H6" s="9" t="str">
        <f>F6&amp;", ("&amp;K6&amp;"), xe "&amp;D6</f>
        <v>TP. Hồ Chí Minh - An Khánh, (≤2.5 tấn), xe 51D 38021</v>
      </c>
      <c r="I6" s="9" t="s">
        <v>1155</v>
      </c>
      <c r="J6" s="9" t="s">
        <v>1156</v>
      </c>
      <c r="K6" s="9" t="s">
        <v>260</v>
      </c>
      <c r="L6" s="9" t="s">
        <v>261</v>
      </c>
      <c r="M6" s="9">
        <v>0.153</v>
      </c>
      <c r="N6" s="9">
        <v>0</v>
      </c>
      <c r="X6" s="9" t="s">
        <v>1568</v>
      </c>
      <c r="Y6" s="9" t="s">
        <v>1567</v>
      </c>
      <c r="AB6" s="9" t="s">
        <v>23</v>
      </c>
      <c r="AC6" s="9" t="s">
        <v>23</v>
      </c>
      <c r="AD6" s="9" t="s">
        <v>23</v>
      </c>
      <c r="AE6" s="9" t="s">
        <v>23</v>
      </c>
      <c r="AF6" s="9" t="s">
        <v>23</v>
      </c>
      <c r="AG6" s="9" t="s">
        <v>23</v>
      </c>
      <c r="AI6" s="9" t="s">
        <v>23</v>
      </c>
      <c r="AJ6" s="9" t="s">
        <v>23</v>
      </c>
      <c r="AK6" s="9" t="s">
        <v>1014</v>
      </c>
    </row>
    <row r="7" spans="1:39" ht="16.5" customHeight="1" x14ac:dyDescent="0.25">
      <c r="A7" s="40"/>
      <c r="B7" s="40"/>
      <c r="C7" s="41"/>
      <c r="D7" s="42"/>
      <c r="E7" s="40"/>
      <c r="F7" s="40"/>
      <c r="G7" s="40"/>
      <c r="H7" s="42"/>
      <c r="I7" s="40"/>
      <c r="J7" s="42"/>
      <c r="K7" s="40"/>
      <c r="L7" s="40"/>
      <c r="M7" s="45">
        <f>SUM(M3:M6)</f>
        <v>0.35299999999999998</v>
      </c>
      <c r="N7" s="45">
        <f>SUM(N3:N6)</f>
        <v>0.35300000000000004</v>
      </c>
      <c r="O7" s="46"/>
      <c r="P7" s="46"/>
      <c r="Q7" s="46"/>
      <c r="R7" s="46"/>
      <c r="S7" s="46"/>
      <c r="T7" s="46">
        <f>SUM(T3:T6)</f>
        <v>475249</v>
      </c>
      <c r="U7" s="46">
        <f>SUM(U3:U6)</f>
        <v>475249</v>
      </c>
      <c r="V7" s="47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9"/>
      <c r="AH7" s="49"/>
      <c r="AI7" s="50"/>
      <c r="AJ7" s="48"/>
      <c r="AK7" s="49"/>
      <c r="AL7" s="49"/>
      <c r="AM7" s="49"/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11A1-4FA9-4F89-98B4-790832D29DD7}">
  <dimension ref="A2:AP15"/>
  <sheetViews>
    <sheetView workbookViewId="0">
      <pane xSplit="4" ySplit="2" topLeftCell="E3" activePane="bottomRight" state="frozen"/>
      <selection pane="topRight" activeCell="F1" sqref="F1"/>
      <selection pane="bottomLeft" activeCell="A3" sqref="A3"/>
      <selection pane="bottomRight" activeCell="F10" sqref="F10:F13"/>
    </sheetView>
  </sheetViews>
  <sheetFormatPr defaultRowHeight="15" x14ac:dyDescent="0.25"/>
  <cols>
    <col min="1" max="1" width="15" style="9" customWidth="1"/>
    <col min="2" max="2" width="12" style="18" customWidth="1"/>
    <col min="3" max="3" width="12" style="21" customWidth="1"/>
    <col min="4" max="4" width="18" style="9" customWidth="1"/>
    <col min="5" max="8" width="15" style="9" customWidth="1"/>
    <col min="9" max="9" width="35" style="9" hidden="1" customWidth="1"/>
    <col min="10" max="10" width="22.28515625" style="9" hidden="1" customWidth="1"/>
    <col min="11" max="11" width="15" style="9" customWidth="1"/>
    <col min="12" max="12" width="12" style="9" customWidth="1"/>
    <col min="13" max="21" width="14" style="9" customWidth="1"/>
    <col min="22" max="27" width="14" style="9" hidden="1" customWidth="1"/>
    <col min="28" max="28" width="12" style="9" customWidth="1"/>
    <col min="29" max="33" width="10" style="9" customWidth="1"/>
    <col min="34" max="34" width="12" style="9" customWidth="1"/>
    <col min="35" max="35" width="9.140625" style="9" customWidth="1"/>
    <col min="36" max="36" width="11" style="9" customWidth="1"/>
    <col min="37" max="37" width="15" style="9" customWidth="1"/>
    <col min="38" max="16384" width="9.140625" style="9"/>
  </cols>
  <sheetData>
    <row r="2" spans="1:42" ht="31.5" x14ac:dyDescent="0.25">
      <c r="A2" s="15" t="s">
        <v>0</v>
      </c>
      <c r="B2" s="16" t="s">
        <v>1</v>
      </c>
      <c r="C2" s="17" t="s">
        <v>2</v>
      </c>
      <c r="D2" s="26" t="s">
        <v>1539</v>
      </c>
      <c r="E2" s="22" t="s">
        <v>1535</v>
      </c>
      <c r="F2" s="23" t="s">
        <v>1536</v>
      </c>
      <c r="G2" s="24" t="s">
        <v>1537</v>
      </c>
      <c r="H2" s="25" t="s">
        <v>1538</v>
      </c>
      <c r="I2" s="15" t="s">
        <v>5</v>
      </c>
      <c r="J2" s="15" t="s">
        <v>6</v>
      </c>
      <c r="K2" s="15" t="s">
        <v>7</v>
      </c>
      <c r="L2" s="15" t="s">
        <v>8</v>
      </c>
      <c r="M2" s="30" t="s">
        <v>1553</v>
      </c>
      <c r="N2" s="30" t="s">
        <v>1554</v>
      </c>
      <c r="O2" s="31" t="s">
        <v>1555</v>
      </c>
      <c r="P2" s="32" t="s">
        <v>1556</v>
      </c>
      <c r="Q2" s="33" t="s">
        <v>1557</v>
      </c>
      <c r="R2" s="33" t="s">
        <v>1558</v>
      </c>
      <c r="S2" s="33" t="s">
        <v>1559</v>
      </c>
      <c r="T2" s="33" t="s">
        <v>1560</v>
      </c>
      <c r="U2" s="33" t="s">
        <v>1561</v>
      </c>
      <c r="V2" s="33"/>
      <c r="W2" s="33"/>
      <c r="X2" s="34" t="s">
        <v>1562</v>
      </c>
      <c r="Y2" s="34" t="s">
        <v>1563</v>
      </c>
      <c r="Z2" s="35" t="s">
        <v>1564</v>
      </c>
      <c r="AA2" s="36" t="s">
        <v>1565</v>
      </c>
      <c r="AB2" s="37" t="s">
        <v>1566</v>
      </c>
      <c r="AC2" s="6" t="s">
        <v>18</v>
      </c>
      <c r="AD2" s="6" t="s">
        <v>19</v>
      </c>
      <c r="AE2" s="6" t="s">
        <v>20</v>
      </c>
      <c r="AF2" s="6" t="s">
        <v>21</v>
      </c>
      <c r="AG2" s="6" t="s">
        <v>22</v>
      </c>
      <c r="AH2" s="6" t="s">
        <v>1470</v>
      </c>
      <c r="AI2" s="15" t="s">
        <v>24</v>
      </c>
      <c r="AJ2" s="15" t="s">
        <v>25</v>
      </c>
      <c r="AK2" s="15" t="s">
        <v>26</v>
      </c>
    </row>
    <row r="3" spans="1:42" ht="15.75" x14ac:dyDescent="0.25">
      <c r="A3" s="9" t="s">
        <v>311</v>
      </c>
      <c r="B3" s="18" t="s">
        <v>312</v>
      </c>
      <c r="C3" s="19">
        <v>46203</v>
      </c>
      <c r="D3" s="9" t="s">
        <v>290</v>
      </c>
      <c r="E3" s="27" t="s">
        <v>1548</v>
      </c>
      <c r="F3" s="68" t="s">
        <v>327</v>
      </c>
      <c r="G3" s="28" t="s">
        <v>1541</v>
      </c>
      <c r="H3" s="9" t="str">
        <f>F3&amp;", ("&amp;K3&amp;"), xe "&amp;D3</f>
        <v>Thành phố Hồ Chí Minh, Phú Thuận, (Pallet), xe 50E 65434</v>
      </c>
      <c r="I3" s="9" t="s">
        <v>292</v>
      </c>
      <c r="J3" s="9" t="s">
        <v>293</v>
      </c>
      <c r="K3" s="9" t="s">
        <v>294</v>
      </c>
      <c r="L3" s="9" t="s">
        <v>50</v>
      </c>
      <c r="M3" s="9">
        <v>3.3929999999999998</v>
      </c>
      <c r="N3" s="9">
        <v>3.492</v>
      </c>
      <c r="O3" s="20">
        <f>AB3</f>
        <v>8.3970000000000002</v>
      </c>
      <c r="P3" s="38">
        <v>309000</v>
      </c>
      <c r="T3" s="39">
        <f>ROUND(N3*SUM(P3:R3),0)</f>
        <v>1079028</v>
      </c>
      <c r="U3" s="39">
        <f>ROUND(N3*P3,0)</f>
        <v>1079028</v>
      </c>
      <c r="X3" s="9" t="s">
        <v>22</v>
      </c>
      <c r="Y3" s="9" t="s">
        <v>1569</v>
      </c>
      <c r="AB3" s="20">
        <f>SUM(AC3:AH3)</f>
        <v>8.3970000000000002</v>
      </c>
      <c r="AC3" s="9">
        <v>2.673</v>
      </c>
      <c r="AE3" s="20">
        <v>2.2320000000000002</v>
      </c>
      <c r="AG3" s="9">
        <v>3.492</v>
      </c>
      <c r="AH3" s="20"/>
      <c r="AI3" s="9" t="s">
        <v>23</v>
      </c>
      <c r="AJ3" s="9" t="s">
        <v>319</v>
      </c>
      <c r="AK3" s="9" t="s">
        <v>320</v>
      </c>
    </row>
    <row r="4" spans="1:42" ht="15.75" x14ac:dyDescent="0.25">
      <c r="A4" s="9" t="s">
        <v>311</v>
      </c>
      <c r="B4" s="18" t="s">
        <v>355</v>
      </c>
      <c r="C4" s="19">
        <v>46203</v>
      </c>
      <c r="D4" s="9" t="s">
        <v>290</v>
      </c>
      <c r="E4" s="27" t="s">
        <v>1548</v>
      </c>
      <c r="F4" s="68" t="s">
        <v>327</v>
      </c>
      <c r="G4" s="28" t="s">
        <v>1541</v>
      </c>
      <c r="H4" s="9" t="str">
        <f>F4&amp;", ("&amp;K4&amp;"), xe "&amp;D4</f>
        <v>Thành phố Hồ Chí Minh, Phú Thuận, (Pallet), xe 50E 65434</v>
      </c>
      <c r="I4" s="9" t="s">
        <v>292</v>
      </c>
      <c r="J4" s="9" t="s">
        <v>293</v>
      </c>
      <c r="K4" s="9" t="s">
        <v>294</v>
      </c>
      <c r="L4" s="9" t="s">
        <v>50</v>
      </c>
      <c r="M4" s="9">
        <v>9.9000000000000005E-2</v>
      </c>
      <c r="N4" s="9">
        <v>0</v>
      </c>
      <c r="X4" s="9" t="s">
        <v>22</v>
      </c>
      <c r="Y4" s="9" t="s">
        <v>1569</v>
      </c>
      <c r="AB4" s="9" t="s">
        <v>23</v>
      </c>
      <c r="AC4" s="9" t="s">
        <v>23</v>
      </c>
      <c r="AD4" s="9" t="s">
        <v>23</v>
      </c>
      <c r="AE4" s="9" t="s">
        <v>23</v>
      </c>
      <c r="AF4" s="9" t="s">
        <v>23</v>
      </c>
      <c r="AG4" s="9" t="s">
        <v>23</v>
      </c>
      <c r="AI4" s="9" t="s">
        <v>23</v>
      </c>
      <c r="AJ4" s="9" t="s">
        <v>319</v>
      </c>
      <c r="AK4" s="9" t="s">
        <v>320</v>
      </c>
    </row>
    <row r="5" spans="1:42" ht="16.5" customHeight="1" x14ac:dyDescent="0.25">
      <c r="A5" s="53"/>
      <c r="B5" s="53"/>
      <c r="C5" s="54" t="s">
        <v>1572</v>
      </c>
      <c r="D5" s="55" t="s">
        <v>290</v>
      </c>
      <c r="E5" s="55" t="str">
        <f>H4</f>
        <v>Thành phố Hồ Chí Minh, Phú Thuận, (Pallet), xe 50E 65434</v>
      </c>
      <c r="F5" s="53"/>
      <c r="G5" s="53"/>
      <c r="H5" s="56"/>
      <c r="I5" s="55"/>
      <c r="J5" s="53"/>
      <c r="K5" s="57"/>
      <c r="L5" s="53"/>
      <c r="M5" s="60">
        <f>SUM(M3:M4)</f>
        <v>3.492</v>
      </c>
      <c r="N5" s="60">
        <f>SUM(N3:N4)</f>
        <v>3.492</v>
      </c>
      <c r="O5" s="59"/>
      <c r="P5" s="61"/>
      <c r="Q5" s="61"/>
      <c r="R5" s="61"/>
      <c r="S5" s="61"/>
      <c r="T5" s="61">
        <f>SUM(T3:T4)</f>
        <v>1079028</v>
      </c>
      <c r="U5" s="61">
        <f>SUM(U3:U4)</f>
        <v>1079028</v>
      </c>
      <c r="V5" s="61"/>
      <c r="W5" s="61"/>
      <c r="X5" s="62"/>
      <c r="Y5" s="62"/>
      <c r="Z5" s="62"/>
      <c r="AA5" s="62"/>
      <c r="AB5" s="63"/>
      <c r="AC5" s="62"/>
      <c r="AD5" s="62"/>
      <c r="AE5" s="62"/>
      <c r="AF5" s="62"/>
      <c r="AG5" s="62"/>
      <c r="AH5" s="62"/>
      <c r="AI5" s="62"/>
      <c r="AJ5" s="64"/>
      <c r="AK5" s="64"/>
      <c r="AL5" s="64"/>
      <c r="AM5" s="64"/>
    </row>
    <row r="6" spans="1:42" ht="15.75" x14ac:dyDescent="0.25">
      <c r="A6" s="9" t="s">
        <v>311</v>
      </c>
      <c r="B6" s="18" t="s">
        <v>1262</v>
      </c>
      <c r="C6" s="19">
        <v>46203</v>
      </c>
      <c r="D6" s="9" t="s">
        <v>1249</v>
      </c>
      <c r="E6" s="27" t="s">
        <v>1545</v>
      </c>
      <c r="F6" s="28" t="s">
        <v>1574</v>
      </c>
      <c r="G6" s="28" t="s">
        <v>1546</v>
      </c>
      <c r="H6" s="9" t="str">
        <f>F6&amp;", ("&amp;K6&amp;"), xe "&amp;D6</f>
        <v>An Giang, Châu Đốc, (&gt;8-16 tấn), xe 67C 02626</v>
      </c>
      <c r="I6" s="9" t="s">
        <v>1251</v>
      </c>
      <c r="J6" s="9" t="s">
        <v>1252</v>
      </c>
      <c r="K6" s="9" t="s">
        <v>49</v>
      </c>
      <c r="L6" s="9" t="s">
        <v>50</v>
      </c>
      <c r="M6" s="9">
        <v>0</v>
      </c>
      <c r="N6" s="9">
        <v>7.2450000000000001</v>
      </c>
      <c r="O6" s="20">
        <f>AB6</f>
        <v>14.32</v>
      </c>
      <c r="P6" s="38">
        <v>554000</v>
      </c>
      <c r="T6" s="39">
        <f>ROUND(N6*SUM(P6:R6),0)</f>
        <v>4013730</v>
      </c>
      <c r="U6" s="39">
        <f>ROUND(N6*P6,0)</f>
        <v>4013730</v>
      </c>
      <c r="X6" s="9" t="s">
        <v>22</v>
      </c>
      <c r="Y6" s="9" t="s">
        <v>1569</v>
      </c>
      <c r="AB6" s="20">
        <f>SUM(AC6:AH6)</f>
        <v>14.32</v>
      </c>
      <c r="AC6" s="9">
        <v>7.0750000000000002</v>
      </c>
      <c r="AG6" s="20">
        <v>7.2450000000000001</v>
      </c>
      <c r="AH6" s="20"/>
      <c r="AI6" s="9" t="s">
        <v>23</v>
      </c>
      <c r="AJ6" s="9" t="s">
        <v>1263</v>
      </c>
      <c r="AK6" s="9" t="s">
        <v>320</v>
      </c>
    </row>
    <row r="7" spans="1:42" ht="15.75" x14ac:dyDescent="0.25">
      <c r="A7" s="9" t="s">
        <v>311</v>
      </c>
      <c r="B7" s="18" t="s">
        <v>1267</v>
      </c>
      <c r="C7" s="19">
        <v>46203</v>
      </c>
      <c r="D7" s="9" t="s">
        <v>1249</v>
      </c>
      <c r="E7" s="27" t="s">
        <v>1545</v>
      </c>
      <c r="F7" s="28" t="s">
        <v>1574</v>
      </c>
      <c r="G7" s="28" t="s">
        <v>1546</v>
      </c>
      <c r="H7" s="9" t="str">
        <f>F7&amp;", ("&amp;K7&amp;"), xe "&amp;D7</f>
        <v>An Giang, Châu Đốc, (&gt;8-16 tấn), xe 67C 02626</v>
      </c>
      <c r="I7" s="9" t="s">
        <v>1251</v>
      </c>
      <c r="J7" s="9" t="s">
        <v>1252</v>
      </c>
      <c r="K7" s="9" t="s">
        <v>49</v>
      </c>
      <c r="L7" s="9" t="s">
        <v>50</v>
      </c>
      <c r="M7" s="9">
        <v>6.173</v>
      </c>
      <c r="N7" s="9">
        <v>0</v>
      </c>
      <c r="X7" s="9" t="s">
        <v>22</v>
      </c>
      <c r="Y7" s="9" t="s">
        <v>1569</v>
      </c>
      <c r="AB7" s="9" t="s">
        <v>23</v>
      </c>
      <c r="AC7" s="9" t="s">
        <v>23</v>
      </c>
      <c r="AD7" s="9" t="s">
        <v>23</v>
      </c>
      <c r="AE7" s="9" t="s">
        <v>23</v>
      </c>
      <c r="AF7" s="9" t="s">
        <v>23</v>
      </c>
      <c r="AG7" s="9" t="s">
        <v>23</v>
      </c>
      <c r="AI7" s="9" t="s">
        <v>23</v>
      </c>
      <c r="AJ7" s="9" t="s">
        <v>1263</v>
      </c>
      <c r="AK7" s="9" t="s">
        <v>320</v>
      </c>
    </row>
    <row r="8" spans="1:42" ht="15.75" x14ac:dyDescent="0.25">
      <c r="A8" s="9" t="s">
        <v>311</v>
      </c>
      <c r="B8" s="18" t="s">
        <v>1311</v>
      </c>
      <c r="C8" s="19">
        <v>46203</v>
      </c>
      <c r="D8" s="9" t="s">
        <v>1249</v>
      </c>
      <c r="E8" s="27" t="s">
        <v>1545</v>
      </c>
      <c r="F8" s="28" t="s">
        <v>1574</v>
      </c>
      <c r="G8" s="28" t="s">
        <v>1546</v>
      </c>
      <c r="H8" s="9" t="str">
        <f>F8&amp;", ("&amp;K8&amp;"), xe "&amp;D8</f>
        <v>An Giang, Châu Đốc, (&gt;8-16 tấn), xe 67C 02626</v>
      </c>
      <c r="I8" s="9" t="s">
        <v>1251</v>
      </c>
      <c r="J8" s="9" t="s">
        <v>1252</v>
      </c>
      <c r="K8" s="9" t="s">
        <v>49</v>
      </c>
      <c r="L8" s="9" t="s">
        <v>50</v>
      </c>
      <c r="M8" s="9">
        <v>1.0720000000000001</v>
      </c>
      <c r="N8" s="9">
        <v>0</v>
      </c>
      <c r="X8" s="9" t="s">
        <v>22</v>
      </c>
      <c r="Y8" s="9" t="s">
        <v>1569</v>
      </c>
      <c r="AB8" s="9" t="s">
        <v>23</v>
      </c>
      <c r="AC8" s="9" t="s">
        <v>23</v>
      </c>
      <c r="AD8" s="9" t="s">
        <v>23</v>
      </c>
      <c r="AE8" s="9" t="s">
        <v>23</v>
      </c>
      <c r="AF8" s="9" t="s">
        <v>23</v>
      </c>
      <c r="AG8" s="9" t="s">
        <v>23</v>
      </c>
      <c r="AI8" s="9" t="s">
        <v>23</v>
      </c>
      <c r="AJ8" s="9" t="s">
        <v>1263</v>
      </c>
      <c r="AK8" s="9" t="s">
        <v>320</v>
      </c>
    </row>
    <row r="9" spans="1:42" ht="16.5" customHeight="1" x14ac:dyDescent="0.25">
      <c r="A9" s="53"/>
      <c r="B9" s="53"/>
      <c r="C9" s="54" t="s">
        <v>1572</v>
      </c>
      <c r="D9" s="55" t="s">
        <v>1249</v>
      </c>
      <c r="E9" s="55" t="str">
        <f>H8</f>
        <v>An Giang, Châu Đốc, (&gt;8-16 tấn), xe 67C 02626</v>
      </c>
      <c r="F9" s="53"/>
      <c r="G9" s="53"/>
      <c r="H9" s="56"/>
      <c r="I9" s="55"/>
      <c r="J9" s="53"/>
      <c r="K9" s="57"/>
      <c r="L9" s="53"/>
      <c r="M9" s="60">
        <f>SUM(M6:M8)</f>
        <v>7.2450000000000001</v>
      </c>
      <c r="N9" s="60">
        <f>SUM(N6:N8)</f>
        <v>7.2450000000000001</v>
      </c>
      <c r="O9" s="59"/>
      <c r="P9" s="61"/>
      <c r="Q9" s="61"/>
      <c r="R9" s="61"/>
      <c r="S9" s="61"/>
      <c r="T9" s="61">
        <f>SUM(T6:T8)</f>
        <v>4013730</v>
      </c>
      <c r="U9" s="61">
        <f>SUM(U6:U8)</f>
        <v>4013730</v>
      </c>
      <c r="V9" s="61"/>
      <c r="W9" s="61"/>
      <c r="X9" s="62"/>
      <c r="Y9" s="62"/>
      <c r="Z9" s="62"/>
      <c r="AA9" s="62"/>
      <c r="AB9" s="63"/>
      <c r="AC9" s="62"/>
      <c r="AD9" s="62"/>
      <c r="AE9" s="62"/>
      <c r="AF9" s="62"/>
      <c r="AG9" s="62"/>
      <c r="AH9" s="62"/>
      <c r="AI9" s="62"/>
      <c r="AJ9" s="64"/>
      <c r="AK9" s="64"/>
      <c r="AL9" s="64"/>
      <c r="AM9" s="64"/>
    </row>
    <row r="10" spans="1:42" ht="15.75" x14ac:dyDescent="0.25">
      <c r="A10" s="9" t="s">
        <v>311</v>
      </c>
      <c r="B10" s="18" t="s">
        <v>1444</v>
      </c>
      <c r="C10" s="19">
        <v>46203</v>
      </c>
      <c r="D10" s="9" t="s">
        <v>1359</v>
      </c>
      <c r="E10" s="27" t="s">
        <v>1544</v>
      </c>
      <c r="F10" s="28" t="s">
        <v>1575</v>
      </c>
      <c r="G10" s="28" t="s">
        <v>1368</v>
      </c>
      <c r="H10" s="9" t="str">
        <f>F10&amp;", ("&amp;K10&amp;"), xe "&amp;D10</f>
        <v>An Giang, Hà Tiên, (&gt;8-16 tấn), xe 95G 00283</v>
      </c>
      <c r="I10" s="9" t="s">
        <v>1361</v>
      </c>
      <c r="J10" s="9" t="s">
        <v>1362</v>
      </c>
      <c r="K10" s="9" t="s">
        <v>49</v>
      </c>
      <c r="L10" s="9" t="s">
        <v>50</v>
      </c>
      <c r="M10" s="9">
        <v>0</v>
      </c>
      <c r="N10" s="9">
        <v>3.3290000000000011</v>
      </c>
      <c r="O10" s="20">
        <f>AB10</f>
        <v>16.989999999999998</v>
      </c>
      <c r="P10" s="38">
        <v>631000</v>
      </c>
      <c r="T10" s="39">
        <f>ROUND(N10*SUM(P10:R10),0)</f>
        <v>2100599</v>
      </c>
      <c r="U10" s="39">
        <f>ROUND(N10*P10,0)</f>
        <v>2100599</v>
      </c>
      <c r="X10" s="9" t="s">
        <v>22</v>
      </c>
      <c r="Y10" s="9" t="s">
        <v>1569</v>
      </c>
      <c r="AB10" s="20">
        <f>SUM(AC10:AH10)</f>
        <v>16.989999999999998</v>
      </c>
      <c r="AC10" s="20">
        <v>13.061</v>
      </c>
      <c r="AE10" s="20">
        <v>0.317</v>
      </c>
      <c r="AF10" s="20">
        <v>0.28299999999999997</v>
      </c>
      <c r="AG10" s="9">
        <v>3.3290000000000002</v>
      </c>
      <c r="AH10" s="20"/>
      <c r="AI10" s="9" t="s">
        <v>23</v>
      </c>
      <c r="AJ10" s="9" t="s">
        <v>1445</v>
      </c>
      <c r="AK10" s="9" t="s">
        <v>320</v>
      </c>
    </row>
    <row r="11" spans="1:42" ht="15.75" x14ac:dyDescent="0.25">
      <c r="A11" s="9" t="s">
        <v>311</v>
      </c>
      <c r="B11" s="18" t="s">
        <v>1449</v>
      </c>
      <c r="C11" s="19">
        <v>46203</v>
      </c>
      <c r="D11" s="9" t="s">
        <v>1359</v>
      </c>
      <c r="E11" s="27" t="s">
        <v>1544</v>
      </c>
      <c r="F11" s="28" t="s">
        <v>1575</v>
      </c>
      <c r="G11" s="28" t="s">
        <v>1368</v>
      </c>
      <c r="H11" s="9" t="str">
        <f>F11&amp;", ("&amp;K11&amp;"), xe "&amp;D11</f>
        <v>An Giang, Hà Tiên, (&gt;8-16 tấn), xe 95G 00283</v>
      </c>
      <c r="I11" s="9" t="s">
        <v>1361</v>
      </c>
      <c r="J11" s="9" t="s">
        <v>1362</v>
      </c>
      <c r="K11" s="9" t="s">
        <v>49</v>
      </c>
      <c r="L11" s="9" t="s">
        <v>50</v>
      </c>
      <c r="M11" s="9">
        <v>3.0460000000000007</v>
      </c>
      <c r="N11" s="9">
        <v>0</v>
      </c>
      <c r="X11" s="9" t="s">
        <v>22</v>
      </c>
      <c r="Y11" s="9" t="s">
        <v>1569</v>
      </c>
      <c r="AB11" s="9" t="s">
        <v>23</v>
      </c>
      <c r="AC11" s="9" t="s">
        <v>23</v>
      </c>
      <c r="AD11" s="9" t="s">
        <v>23</v>
      </c>
      <c r="AE11" s="9" t="s">
        <v>23</v>
      </c>
      <c r="AF11" s="9" t="s">
        <v>23</v>
      </c>
      <c r="AG11" s="9" t="s">
        <v>23</v>
      </c>
      <c r="AI11" s="9" t="s">
        <v>23</v>
      </c>
      <c r="AJ11" s="9" t="s">
        <v>1445</v>
      </c>
      <c r="AK11" s="9" t="s">
        <v>320</v>
      </c>
    </row>
    <row r="12" spans="1:42" ht="15.75" x14ac:dyDescent="0.25">
      <c r="A12" s="9" t="s">
        <v>311</v>
      </c>
      <c r="B12" s="18" t="s">
        <v>1455</v>
      </c>
      <c r="C12" s="19">
        <v>46203</v>
      </c>
      <c r="D12" s="9" t="s">
        <v>1359</v>
      </c>
      <c r="E12" s="27" t="s">
        <v>1544</v>
      </c>
      <c r="F12" s="28" t="s">
        <v>1575</v>
      </c>
      <c r="G12" s="28" t="s">
        <v>1368</v>
      </c>
      <c r="H12" s="9" t="str">
        <f>F12&amp;", ("&amp;K12&amp;"), xe "&amp;D12</f>
        <v>An Giang, Hà Tiên, (&gt;8-16 tấn), xe 95G 00283</v>
      </c>
      <c r="I12" s="9" t="s">
        <v>1361</v>
      </c>
      <c r="J12" s="9" t="s">
        <v>1362</v>
      </c>
      <c r="K12" s="9" t="s">
        <v>49</v>
      </c>
      <c r="L12" s="9" t="s">
        <v>50</v>
      </c>
      <c r="M12" s="9">
        <v>7.4999999999999997E-2</v>
      </c>
      <c r="N12" s="9">
        <v>0</v>
      </c>
      <c r="X12" s="9" t="s">
        <v>22</v>
      </c>
      <c r="Y12" s="9" t="s">
        <v>1569</v>
      </c>
      <c r="AB12" s="9" t="s">
        <v>23</v>
      </c>
      <c r="AC12" s="9" t="s">
        <v>23</v>
      </c>
      <c r="AD12" s="9" t="s">
        <v>23</v>
      </c>
      <c r="AE12" s="9" t="s">
        <v>23</v>
      </c>
      <c r="AF12" s="9" t="s">
        <v>23</v>
      </c>
      <c r="AG12" s="9" t="s">
        <v>23</v>
      </c>
      <c r="AI12" s="9" t="s">
        <v>23</v>
      </c>
      <c r="AJ12" s="9" t="s">
        <v>1445</v>
      </c>
      <c r="AK12" s="9" t="s">
        <v>320</v>
      </c>
    </row>
    <row r="13" spans="1:42" ht="15.75" x14ac:dyDescent="0.25">
      <c r="A13" s="9" t="s">
        <v>311</v>
      </c>
      <c r="B13" s="18" t="s">
        <v>1463</v>
      </c>
      <c r="C13" s="19">
        <v>46203</v>
      </c>
      <c r="D13" s="9" t="s">
        <v>1359</v>
      </c>
      <c r="E13" s="27" t="s">
        <v>1544</v>
      </c>
      <c r="F13" s="28" t="s">
        <v>1575</v>
      </c>
      <c r="G13" s="28" t="s">
        <v>1368</v>
      </c>
      <c r="H13" s="9" t="str">
        <f>F13&amp;", ("&amp;K13&amp;"), xe "&amp;D13</f>
        <v>An Giang, Hà Tiên, (&gt;8-16 tấn), xe 95G 00283</v>
      </c>
      <c r="I13" s="9" t="s">
        <v>1361</v>
      </c>
      <c r="J13" s="9" t="s">
        <v>1362</v>
      </c>
      <c r="K13" s="9" t="s">
        <v>49</v>
      </c>
      <c r="L13" s="9" t="s">
        <v>50</v>
      </c>
      <c r="M13" s="9">
        <v>0.20800000000000002</v>
      </c>
      <c r="N13" s="9">
        <v>0</v>
      </c>
      <c r="X13" s="9" t="s">
        <v>22</v>
      </c>
      <c r="Y13" s="9" t="s">
        <v>1569</v>
      </c>
      <c r="AB13" s="9" t="s">
        <v>23</v>
      </c>
      <c r="AC13" s="9" t="s">
        <v>23</v>
      </c>
      <c r="AD13" s="9" t="s">
        <v>23</v>
      </c>
      <c r="AE13" s="9" t="s">
        <v>23</v>
      </c>
      <c r="AF13" s="9" t="s">
        <v>23</v>
      </c>
      <c r="AG13" s="9" t="s">
        <v>23</v>
      </c>
      <c r="AI13" s="9" t="s">
        <v>23</v>
      </c>
      <c r="AJ13" s="9" t="s">
        <v>1445</v>
      </c>
      <c r="AK13" s="9" t="s">
        <v>320</v>
      </c>
    </row>
    <row r="14" spans="1:42" ht="16.5" customHeight="1" x14ac:dyDescent="0.25">
      <c r="A14" s="53"/>
      <c r="B14" s="53"/>
      <c r="C14" s="54" t="s">
        <v>1572</v>
      </c>
      <c r="D14" s="55" t="s">
        <v>1359</v>
      </c>
      <c r="E14" s="55" t="str">
        <f>H13</f>
        <v>An Giang, Hà Tiên, (&gt;8-16 tấn), xe 95G 00283</v>
      </c>
      <c r="F14" s="53"/>
      <c r="G14" s="53"/>
      <c r="H14" s="56"/>
      <c r="I14" s="55"/>
      <c r="J14" s="53"/>
      <c r="K14" s="57"/>
      <c r="L14" s="53"/>
      <c r="M14" s="60">
        <f>SUM(M10:M13)</f>
        <v>3.3290000000000011</v>
      </c>
      <c r="N14" s="60">
        <f>SUM(N10:N13)</f>
        <v>3.3290000000000011</v>
      </c>
      <c r="O14" s="59"/>
      <c r="P14" s="61"/>
      <c r="Q14" s="61"/>
      <c r="R14" s="61"/>
      <c r="S14" s="61"/>
      <c r="T14" s="61">
        <f>SUM(T10:T13)</f>
        <v>2100599</v>
      </c>
      <c r="U14" s="61">
        <f>SUM(U10:U13)</f>
        <v>2100599</v>
      </c>
      <c r="V14" s="61"/>
      <c r="W14" s="61"/>
      <c r="X14" s="62"/>
      <c r="Y14" s="62"/>
      <c r="Z14" s="62"/>
      <c r="AA14" s="62"/>
      <c r="AB14" s="63"/>
      <c r="AC14" s="62"/>
      <c r="AD14" s="62"/>
      <c r="AE14" s="62"/>
      <c r="AF14" s="62"/>
      <c r="AG14" s="62"/>
      <c r="AH14" s="62"/>
      <c r="AI14" s="62"/>
      <c r="AJ14" s="64"/>
      <c r="AK14" s="64"/>
      <c r="AL14" s="64"/>
      <c r="AM14" s="64"/>
    </row>
    <row r="15" spans="1:42" ht="16.5" customHeight="1" x14ac:dyDescent="0.25">
      <c r="A15" s="40"/>
      <c r="B15" s="40"/>
      <c r="C15" s="41"/>
      <c r="D15" s="42"/>
      <c r="E15" s="42" t="s">
        <v>1573</v>
      </c>
      <c r="F15" s="40"/>
      <c r="G15" s="40"/>
      <c r="H15" s="40"/>
      <c r="I15" s="42"/>
      <c r="J15" s="40"/>
      <c r="K15" s="42"/>
      <c r="L15" s="40"/>
      <c r="M15" s="45">
        <f>SUM(M3:M14)/2</f>
        <v>14.065999999999999</v>
      </c>
      <c r="N15" s="45">
        <f>SUM(N3:N14)/2</f>
        <v>14.066000000000001</v>
      </c>
      <c r="O15" s="66"/>
      <c r="P15" s="46"/>
      <c r="Q15" s="46"/>
      <c r="R15" s="46"/>
      <c r="S15" s="46"/>
      <c r="T15" s="46">
        <f>SUM(T3:T14)/2</f>
        <v>7193357</v>
      </c>
      <c r="U15" s="46">
        <f>SUM(U3:U14)/2</f>
        <v>7193357</v>
      </c>
      <c r="V15" s="47"/>
      <c r="W15" s="47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9"/>
      <c r="AI15" s="49"/>
      <c r="AJ15" s="50"/>
      <c r="AK15" s="48"/>
      <c r="AL15" s="49"/>
      <c r="AM15" s="49"/>
      <c r="AN15" s="49"/>
      <c r="AO15" s="49"/>
      <c r="AP15" s="49"/>
    </row>
  </sheetData>
  <autoFilter ref="A2:AP15" xr:uid="{00000000-0001-0000-0500-000000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69E8-0981-40E1-AA8D-91F3E14490A9}">
  <dimension ref="A2:BP76"/>
  <sheetViews>
    <sheetView workbookViewId="0">
      <pane xSplit="5" ySplit="2" topLeftCell="L20" activePane="bottomRight" state="frozen"/>
      <selection pane="topRight" activeCell="F1" sqref="F1"/>
      <selection pane="bottomLeft" activeCell="A3" sqref="A3"/>
      <selection pane="bottomRight" activeCell="E47" sqref="E47"/>
    </sheetView>
  </sheetViews>
  <sheetFormatPr defaultRowHeight="15" x14ac:dyDescent="0.25"/>
  <cols>
    <col min="1" max="1" width="15" style="9" customWidth="1"/>
    <col min="2" max="2" width="12" style="18" customWidth="1"/>
    <col min="3" max="3" width="12" style="21" customWidth="1"/>
    <col min="4" max="4" width="18" style="9" customWidth="1"/>
    <col min="5" max="9" width="15" style="9" customWidth="1"/>
    <col min="10" max="10" width="35" style="9" hidden="1" customWidth="1"/>
    <col min="11" max="11" width="22.28515625" style="9" hidden="1" customWidth="1"/>
    <col min="12" max="12" width="15" style="9" customWidth="1"/>
    <col min="13" max="13" width="12" style="9" customWidth="1"/>
    <col min="14" max="14" width="15" style="9" hidden="1" customWidth="1"/>
    <col min="15" max="16" width="35" style="9" hidden="1" customWidth="1"/>
    <col min="17" max="17" width="20" style="9" hidden="1" customWidth="1"/>
    <col min="18" max="18" width="10" style="9" hidden="1" customWidth="1"/>
    <col min="19" max="19" width="22" style="9" hidden="1" customWidth="1"/>
    <col min="20" max="20" width="18" style="9" hidden="1" customWidth="1"/>
    <col min="21" max="21" width="20" style="9" hidden="1" customWidth="1"/>
    <col min="22" max="22" width="10" style="9" customWidth="1"/>
    <col min="23" max="31" width="14" style="9" customWidth="1"/>
    <col min="32" max="37" width="14" style="9" hidden="1" customWidth="1"/>
    <col min="38" max="38" width="12" style="9" customWidth="1"/>
    <col min="39" max="43" width="10" style="9" customWidth="1"/>
    <col min="44" max="44" width="12" style="9" customWidth="1"/>
    <col min="45" max="45" width="9.140625" style="9" customWidth="1"/>
    <col min="46" max="46" width="11" style="9" customWidth="1"/>
    <col min="47" max="47" width="15" style="9" customWidth="1"/>
    <col min="48" max="48" width="35" style="9" customWidth="1"/>
    <col min="49" max="50" width="12" style="9" customWidth="1"/>
    <col min="51" max="51" width="10" style="9" customWidth="1"/>
    <col min="52" max="53" width="12" style="9" customWidth="1"/>
    <col min="54" max="54" width="20" style="9" customWidth="1"/>
    <col min="55" max="55" width="12" style="9" customWidth="1"/>
    <col min="56" max="56" width="25" style="9" customWidth="1"/>
    <col min="57" max="58" width="18" style="9" customWidth="1"/>
    <col min="59" max="60" width="12" style="9" customWidth="1"/>
    <col min="61" max="62" width="20" style="9" customWidth="1"/>
    <col min="63" max="63" width="30" style="9" customWidth="1"/>
    <col min="64" max="16384" width="9.140625" style="9"/>
  </cols>
  <sheetData>
    <row r="2" spans="1:65" ht="31.5" x14ac:dyDescent="0.25">
      <c r="A2" s="15" t="s">
        <v>0</v>
      </c>
      <c r="B2" s="16" t="s">
        <v>1</v>
      </c>
      <c r="C2" s="17" t="s">
        <v>2</v>
      </c>
      <c r="D2" s="26" t="s">
        <v>1539</v>
      </c>
      <c r="E2" s="15" t="s">
        <v>4</v>
      </c>
      <c r="F2" s="22" t="s">
        <v>1535</v>
      </c>
      <c r="G2" s="23" t="s">
        <v>1536</v>
      </c>
      <c r="H2" s="24" t="s">
        <v>1537</v>
      </c>
      <c r="I2" s="25" t="s">
        <v>1538</v>
      </c>
      <c r="J2" s="15" t="s">
        <v>5</v>
      </c>
      <c r="K2" s="15" t="s">
        <v>6</v>
      </c>
      <c r="L2" s="15" t="s">
        <v>7</v>
      </c>
      <c r="M2" s="15" t="s">
        <v>8</v>
      </c>
      <c r="N2" s="15" t="s">
        <v>9</v>
      </c>
      <c r="O2" s="15" t="s">
        <v>10</v>
      </c>
      <c r="P2" s="15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29" t="s">
        <v>1552</v>
      </c>
      <c r="W2" s="30" t="s">
        <v>1553</v>
      </c>
      <c r="X2" s="30" t="s">
        <v>1554</v>
      </c>
      <c r="Y2" s="31" t="s">
        <v>1555</v>
      </c>
      <c r="Z2" s="32" t="s">
        <v>1556</v>
      </c>
      <c r="AA2" s="33" t="s">
        <v>1557</v>
      </c>
      <c r="AB2" s="33" t="s">
        <v>1558</v>
      </c>
      <c r="AC2" s="33" t="s">
        <v>1559</v>
      </c>
      <c r="AD2" s="33" t="s">
        <v>1560</v>
      </c>
      <c r="AE2" s="33" t="s">
        <v>1561</v>
      </c>
      <c r="AF2" s="33"/>
      <c r="AG2" s="33"/>
      <c r="AH2" s="34" t="s">
        <v>1562</v>
      </c>
      <c r="AI2" s="34" t="s">
        <v>1563</v>
      </c>
      <c r="AJ2" s="35" t="s">
        <v>1564</v>
      </c>
      <c r="AK2" s="36" t="s">
        <v>1565</v>
      </c>
      <c r="AL2" s="37" t="s">
        <v>1566</v>
      </c>
      <c r="AM2" s="6" t="s">
        <v>18</v>
      </c>
      <c r="AN2" s="6" t="s">
        <v>19</v>
      </c>
      <c r="AO2" s="6" t="s">
        <v>20</v>
      </c>
      <c r="AP2" s="6" t="s">
        <v>21</v>
      </c>
      <c r="AQ2" s="6" t="s">
        <v>22</v>
      </c>
      <c r="AR2" s="6" t="s">
        <v>1470</v>
      </c>
      <c r="AS2" s="15" t="s">
        <v>24</v>
      </c>
      <c r="AT2" s="15" t="s">
        <v>25</v>
      </c>
      <c r="AU2" s="15" t="s">
        <v>26</v>
      </c>
      <c r="AV2" s="15" t="s">
        <v>27</v>
      </c>
      <c r="AW2" s="15" t="s">
        <v>28</v>
      </c>
      <c r="AX2" s="15" t="s">
        <v>29</v>
      </c>
      <c r="AY2" s="15" t="s">
        <v>30</v>
      </c>
      <c r="AZ2" s="15" t="s">
        <v>31</v>
      </c>
      <c r="BA2" s="15" t="s">
        <v>32</v>
      </c>
      <c r="BB2" s="15" t="s">
        <v>33</v>
      </c>
      <c r="BC2" s="15" t="s">
        <v>34</v>
      </c>
      <c r="BD2" s="15" t="s">
        <v>35</v>
      </c>
      <c r="BE2" s="15" t="s">
        <v>36</v>
      </c>
      <c r="BF2" s="15" t="s">
        <v>37</v>
      </c>
      <c r="BG2" s="15" t="s">
        <v>38</v>
      </c>
      <c r="BH2" s="15" t="s">
        <v>39</v>
      </c>
      <c r="BI2" s="15" t="s">
        <v>40</v>
      </c>
      <c r="BJ2" s="15" t="s">
        <v>41</v>
      </c>
      <c r="BK2" s="15" t="s">
        <v>42</v>
      </c>
    </row>
    <row r="3" spans="1:65" ht="15.75" x14ac:dyDescent="0.25">
      <c r="A3" s="9" t="s">
        <v>311</v>
      </c>
      <c r="B3" s="18" t="s">
        <v>312</v>
      </c>
      <c r="C3" s="19">
        <v>46203</v>
      </c>
      <c r="D3" s="9" t="s">
        <v>290</v>
      </c>
      <c r="E3" s="9" t="s">
        <v>291</v>
      </c>
      <c r="F3" s="27" t="s">
        <v>1548</v>
      </c>
      <c r="G3" s="28" t="s">
        <v>304</v>
      </c>
      <c r="H3" s="28" t="s">
        <v>1541</v>
      </c>
      <c r="I3" s="9" t="str">
        <f t="shared" ref="I3:I39" si="0">G3&amp;", ("&amp;L3&amp;"), xe "&amp;D3</f>
        <v>TP. Hồ Chí Minh - Phú Thuận, (Pallet), xe 50E 65434</v>
      </c>
      <c r="J3" s="9" t="s">
        <v>292</v>
      </c>
      <c r="K3" s="9" t="s">
        <v>293</v>
      </c>
      <c r="L3" s="9" t="s">
        <v>294</v>
      </c>
      <c r="M3" s="9" t="s">
        <v>50</v>
      </c>
      <c r="N3" s="9" t="s">
        <v>313</v>
      </c>
      <c r="O3" s="9" t="s">
        <v>314</v>
      </c>
      <c r="P3" s="9" t="s">
        <v>315</v>
      </c>
      <c r="Q3" s="9" t="s">
        <v>298</v>
      </c>
      <c r="R3" s="9" t="s">
        <v>54</v>
      </c>
      <c r="S3" s="9" t="s">
        <v>316</v>
      </c>
      <c r="T3" s="9" t="s">
        <v>317</v>
      </c>
      <c r="U3" s="9">
        <v>562.21199999999999</v>
      </c>
      <c r="V3" s="8">
        <f t="shared" ref="V3:V10" si="1">ROUND(U3/1000,3)</f>
        <v>0.56200000000000006</v>
      </c>
      <c r="W3" s="9">
        <f t="shared" ref="W3:W10" si="2">(IF($B3=$B2,0,SUMIF($B:$B,$B3,$V:$V)))</f>
        <v>3.3929999999999998</v>
      </c>
      <c r="X3" s="9">
        <f t="shared" ref="X3:X10" si="3">+IF(AND(D3=D2,C3=C2),0,SUMIFS($V:$V,$C:$C,$C3,$D:$D,$D3))</f>
        <v>3.492</v>
      </c>
      <c r="Y3" s="20">
        <f>AL3</f>
        <v>8.3970000000000002</v>
      </c>
      <c r="Z3" s="38">
        <v>309000</v>
      </c>
      <c r="AD3" s="39">
        <f>ROUND(X3*SUM(Z3:AB3),0)</f>
        <v>1079028</v>
      </c>
      <c r="AE3" s="39">
        <f>ROUND(X3*Z3,0)</f>
        <v>1079028</v>
      </c>
      <c r="AH3" s="9" t="s">
        <v>22</v>
      </c>
      <c r="AI3" s="9" t="s">
        <v>1569</v>
      </c>
      <c r="AL3" s="20">
        <f>SUM(AM3:AR3)</f>
        <v>8.3970000000000002</v>
      </c>
      <c r="AM3" s="9">
        <v>2.673</v>
      </c>
      <c r="AO3" s="20">
        <v>2.2320000000000002</v>
      </c>
      <c r="AQ3" s="9">
        <v>3.492</v>
      </c>
      <c r="AR3" s="20"/>
      <c r="AS3" s="9" t="s">
        <v>23</v>
      </c>
      <c r="AT3" s="9" t="s">
        <v>319</v>
      </c>
      <c r="AU3" s="9" t="s">
        <v>320</v>
      </c>
      <c r="AV3" s="9" t="s">
        <v>300</v>
      </c>
      <c r="AW3" s="9" t="s">
        <v>61</v>
      </c>
      <c r="AX3" s="9" t="s">
        <v>62</v>
      </c>
      <c r="AY3" s="9" t="s">
        <v>321</v>
      </c>
      <c r="AZ3" s="9" t="s">
        <v>322</v>
      </c>
      <c r="BA3" s="9" t="s">
        <v>322</v>
      </c>
      <c r="BB3" s="9" t="s">
        <v>23</v>
      </c>
      <c r="BC3" s="9" t="s">
        <v>323</v>
      </c>
      <c r="BD3" s="9" t="s">
        <v>324</v>
      </c>
      <c r="BE3" s="9" t="s">
        <v>325</v>
      </c>
      <c r="BF3" s="9" t="s">
        <v>326</v>
      </c>
      <c r="BG3" s="9" t="s">
        <v>118</v>
      </c>
      <c r="BH3" s="9" t="s">
        <v>71</v>
      </c>
      <c r="BI3" s="9" t="s">
        <v>303</v>
      </c>
      <c r="BJ3" s="9" t="s">
        <v>327</v>
      </c>
      <c r="BK3" s="9" t="s">
        <v>328</v>
      </c>
    </row>
    <row r="4" spans="1:65" ht="15.75" x14ac:dyDescent="0.25">
      <c r="A4" s="9" t="s">
        <v>311</v>
      </c>
      <c r="B4" s="18" t="s">
        <v>312</v>
      </c>
      <c r="C4" s="19">
        <v>46203</v>
      </c>
      <c r="D4" s="9" t="s">
        <v>290</v>
      </c>
      <c r="E4" s="9" t="s">
        <v>291</v>
      </c>
      <c r="F4" s="27" t="s">
        <v>1548</v>
      </c>
      <c r="G4" s="28" t="s">
        <v>304</v>
      </c>
      <c r="H4" s="28" t="s">
        <v>1541</v>
      </c>
      <c r="I4" s="9" t="str">
        <f t="shared" si="0"/>
        <v>TP. Hồ Chí Minh - Phú Thuận, (Pallet), xe 50E 65434</v>
      </c>
      <c r="J4" s="9" t="s">
        <v>292</v>
      </c>
      <c r="K4" s="9" t="s">
        <v>293</v>
      </c>
      <c r="L4" s="9" t="s">
        <v>294</v>
      </c>
      <c r="M4" s="9" t="s">
        <v>50</v>
      </c>
      <c r="N4" s="9" t="s">
        <v>329</v>
      </c>
      <c r="O4" s="9" t="s">
        <v>330</v>
      </c>
      <c r="P4" s="9" t="s">
        <v>331</v>
      </c>
      <c r="Q4" s="9" t="s">
        <v>298</v>
      </c>
      <c r="R4" s="9" t="s">
        <v>54</v>
      </c>
      <c r="S4" s="9" t="s">
        <v>332</v>
      </c>
      <c r="T4" s="9" t="s">
        <v>77</v>
      </c>
      <c r="U4" s="9">
        <v>604.79999999999995</v>
      </c>
      <c r="V4" s="8">
        <f t="shared" si="1"/>
        <v>0.60499999999999998</v>
      </c>
      <c r="W4" s="9">
        <f t="shared" si="2"/>
        <v>0</v>
      </c>
      <c r="X4" s="9">
        <f t="shared" si="3"/>
        <v>0</v>
      </c>
      <c r="AH4" s="9" t="s">
        <v>22</v>
      </c>
      <c r="AI4" s="9" t="s">
        <v>1569</v>
      </c>
      <c r="AL4" s="9" t="s">
        <v>23</v>
      </c>
      <c r="AM4" s="9" t="s">
        <v>23</v>
      </c>
      <c r="AN4" s="9" t="s">
        <v>23</v>
      </c>
      <c r="AO4" s="9" t="s">
        <v>23</v>
      </c>
      <c r="AP4" s="9" t="s">
        <v>23</v>
      </c>
      <c r="AQ4" s="9" t="s">
        <v>23</v>
      </c>
      <c r="AS4" s="9" t="s">
        <v>23</v>
      </c>
      <c r="AT4" s="9" t="s">
        <v>319</v>
      </c>
      <c r="AU4" s="9" t="s">
        <v>320</v>
      </c>
      <c r="AV4" s="9" t="s">
        <v>300</v>
      </c>
      <c r="AW4" s="9" t="s">
        <v>61</v>
      </c>
      <c r="AX4" s="9" t="s">
        <v>62</v>
      </c>
      <c r="AY4" s="9" t="s">
        <v>321</v>
      </c>
      <c r="AZ4" s="9" t="s">
        <v>322</v>
      </c>
      <c r="BA4" s="9" t="s">
        <v>322</v>
      </c>
      <c r="BB4" s="9" t="s">
        <v>23</v>
      </c>
      <c r="BC4" s="9" t="s">
        <v>323</v>
      </c>
      <c r="BD4" s="9" t="s">
        <v>324</v>
      </c>
      <c r="BE4" s="9" t="s">
        <v>325</v>
      </c>
      <c r="BF4" s="9" t="s">
        <v>326</v>
      </c>
      <c r="BG4" s="9" t="s">
        <v>118</v>
      </c>
      <c r="BH4" s="9" t="s">
        <v>71</v>
      </c>
      <c r="BI4" s="9" t="s">
        <v>303</v>
      </c>
      <c r="BJ4" s="9" t="s">
        <v>327</v>
      </c>
      <c r="BK4" s="9" t="s">
        <v>328</v>
      </c>
    </row>
    <row r="5" spans="1:65" ht="15.75" x14ac:dyDescent="0.25">
      <c r="A5" s="9" t="s">
        <v>311</v>
      </c>
      <c r="B5" s="18" t="s">
        <v>312</v>
      </c>
      <c r="C5" s="19">
        <v>46203</v>
      </c>
      <c r="D5" s="9" t="s">
        <v>290</v>
      </c>
      <c r="E5" s="9" t="s">
        <v>291</v>
      </c>
      <c r="F5" s="27" t="s">
        <v>1548</v>
      </c>
      <c r="G5" s="28" t="s">
        <v>304</v>
      </c>
      <c r="H5" s="28" t="s">
        <v>1541</v>
      </c>
      <c r="I5" s="9" t="str">
        <f t="shared" si="0"/>
        <v>TP. Hồ Chí Minh - Phú Thuận, (Pallet), xe 50E 65434</v>
      </c>
      <c r="J5" s="9" t="s">
        <v>292</v>
      </c>
      <c r="K5" s="9" t="s">
        <v>293</v>
      </c>
      <c r="L5" s="9" t="s">
        <v>294</v>
      </c>
      <c r="M5" s="9" t="s">
        <v>50</v>
      </c>
      <c r="N5" s="9" t="s">
        <v>334</v>
      </c>
      <c r="O5" s="9" t="s">
        <v>335</v>
      </c>
      <c r="P5" s="9" t="s">
        <v>336</v>
      </c>
      <c r="Q5" s="9" t="s">
        <v>298</v>
      </c>
      <c r="R5" s="9" t="s">
        <v>54</v>
      </c>
      <c r="S5" s="9" t="s">
        <v>337</v>
      </c>
      <c r="T5" s="9" t="s">
        <v>338</v>
      </c>
      <c r="U5" s="9">
        <v>486</v>
      </c>
      <c r="V5" s="8">
        <f t="shared" si="1"/>
        <v>0.48599999999999999</v>
      </c>
      <c r="W5" s="9">
        <f t="shared" si="2"/>
        <v>0</v>
      </c>
      <c r="X5" s="9">
        <f t="shared" si="3"/>
        <v>0</v>
      </c>
      <c r="AH5" s="9" t="s">
        <v>22</v>
      </c>
      <c r="AI5" s="9" t="s">
        <v>1569</v>
      </c>
      <c r="AL5" s="9" t="s">
        <v>23</v>
      </c>
      <c r="AM5" s="9" t="s">
        <v>23</v>
      </c>
      <c r="AN5" s="9" t="s">
        <v>23</v>
      </c>
      <c r="AO5" s="9" t="s">
        <v>23</v>
      </c>
      <c r="AP5" s="9" t="s">
        <v>23</v>
      </c>
      <c r="AQ5" s="9" t="s">
        <v>23</v>
      </c>
      <c r="AS5" s="9" t="s">
        <v>23</v>
      </c>
      <c r="AT5" s="9" t="s">
        <v>319</v>
      </c>
      <c r="AU5" s="9" t="s">
        <v>320</v>
      </c>
      <c r="AV5" s="9" t="s">
        <v>300</v>
      </c>
      <c r="AW5" s="9" t="s">
        <v>61</v>
      </c>
      <c r="AX5" s="9" t="s">
        <v>62</v>
      </c>
      <c r="AY5" s="9" t="s">
        <v>321</v>
      </c>
      <c r="AZ5" s="9" t="s">
        <v>322</v>
      </c>
      <c r="BA5" s="9" t="s">
        <v>322</v>
      </c>
      <c r="BB5" s="9" t="s">
        <v>23</v>
      </c>
      <c r="BC5" s="9" t="s">
        <v>323</v>
      </c>
      <c r="BD5" s="9" t="s">
        <v>324</v>
      </c>
      <c r="BE5" s="9" t="s">
        <v>325</v>
      </c>
      <c r="BF5" s="9" t="s">
        <v>326</v>
      </c>
      <c r="BG5" s="9" t="s">
        <v>118</v>
      </c>
      <c r="BH5" s="9" t="s">
        <v>71</v>
      </c>
      <c r="BI5" s="9" t="s">
        <v>303</v>
      </c>
      <c r="BJ5" s="9" t="s">
        <v>327</v>
      </c>
      <c r="BK5" s="9" t="s">
        <v>328</v>
      </c>
    </row>
    <row r="6" spans="1:65" ht="15.75" x14ac:dyDescent="0.25">
      <c r="A6" s="9" t="s">
        <v>311</v>
      </c>
      <c r="B6" s="18" t="s">
        <v>312</v>
      </c>
      <c r="C6" s="19">
        <v>46203</v>
      </c>
      <c r="D6" s="9" t="s">
        <v>290</v>
      </c>
      <c r="E6" s="9" t="s">
        <v>291</v>
      </c>
      <c r="F6" s="27" t="s">
        <v>1548</v>
      </c>
      <c r="G6" s="28" t="s">
        <v>304</v>
      </c>
      <c r="H6" s="28" t="s">
        <v>1541</v>
      </c>
      <c r="I6" s="9" t="str">
        <f t="shared" si="0"/>
        <v>TP. Hồ Chí Minh - Phú Thuận, (Pallet), xe 50E 65434</v>
      </c>
      <c r="J6" s="9" t="s">
        <v>292</v>
      </c>
      <c r="K6" s="9" t="s">
        <v>293</v>
      </c>
      <c r="L6" s="9" t="s">
        <v>294</v>
      </c>
      <c r="M6" s="9" t="s">
        <v>50</v>
      </c>
      <c r="N6" s="9" t="s">
        <v>340</v>
      </c>
      <c r="O6" s="9" t="s">
        <v>341</v>
      </c>
      <c r="P6" s="9" t="s">
        <v>342</v>
      </c>
      <c r="Q6" s="9" t="s">
        <v>298</v>
      </c>
      <c r="R6" s="9" t="s">
        <v>343</v>
      </c>
      <c r="S6" s="9" t="s">
        <v>344</v>
      </c>
      <c r="T6" s="9" t="s">
        <v>164</v>
      </c>
      <c r="U6" s="9" t="s">
        <v>345</v>
      </c>
      <c r="V6" s="8">
        <f t="shared" si="1"/>
        <v>0.42</v>
      </c>
      <c r="W6" s="9">
        <f t="shared" si="2"/>
        <v>0</v>
      </c>
      <c r="X6" s="9">
        <f t="shared" si="3"/>
        <v>0</v>
      </c>
      <c r="AH6" s="9" t="s">
        <v>22</v>
      </c>
      <c r="AI6" s="9" t="s">
        <v>1569</v>
      </c>
      <c r="AL6" s="9" t="s">
        <v>23</v>
      </c>
      <c r="AM6" s="9" t="s">
        <v>23</v>
      </c>
      <c r="AN6" s="9" t="s">
        <v>23</v>
      </c>
      <c r="AO6" s="9" t="s">
        <v>23</v>
      </c>
      <c r="AP6" s="9" t="s">
        <v>23</v>
      </c>
      <c r="AQ6" s="9" t="s">
        <v>23</v>
      </c>
      <c r="AS6" s="9" t="s">
        <v>23</v>
      </c>
      <c r="AT6" s="9" t="s">
        <v>319</v>
      </c>
      <c r="AU6" s="9" t="s">
        <v>320</v>
      </c>
      <c r="AV6" s="9" t="s">
        <v>300</v>
      </c>
      <c r="AW6" s="9" t="s">
        <v>61</v>
      </c>
      <c r="AX6" s="9" t="s">
        <v>62</v>
      </c>
      <c r="AY6" s="9" t="s">
        <v>321</v>
      </c>
      <c r="AZ6" s="9" t="s">
        <v>322</v>
      </c>
      <c r="BA6" s="9" t="s">
        <v>322</v>
      </c>
      <c r="BB6" s="9" t="s">
        <v>23</v>
      </c>
      <c r="BC6" s="9" t="s">
        <v>323</v>
      </c>
      <c r="BD6" s="9" t="s">
        <v>324</v>
      </c>
      <c r="BE6" s="9" t="s">
        <v>325</v>
      </c>
      <c r="BF6" s="9" t="s">
        <v>326</v>
      </c>
      <c r="BG6" s="9" t="s">
        <v>118</v>
      </c>
      <c r="BH6" s="9" t="s">
        <v>71</v>
      </c>
      <c r="BI6" s="9" t="s">
        <v>303</v>
      </c>
      <c r="BJ6" s="9" t="s">
        <v>327</v>
      </c>
      <c r="BK6" s="9" t="s">
        <v>328</v>
      </c>
    </row>
    <row r="7" spans="1:65" ht="15.75" x14ac:dyDescent="0.25">
      <c r="A7" s="9" t="s">
        <v>311</v>
      </c>
      <c r="B7" s="18" t="s">
        <v>312</v>
      </c>
      <c r="C7" s="19">
        <v>46203</v>
      </c>
      <c r="D7" s="9" t="s">
        <v>290</v>
      </c>
      <c r="E7" s="9" t="s">
        <v>291</v>
      </c>
      <c r="F7" s="27" t="s">
        <v>1548</v>
      </c>
      <c r="G7" s="28" t="s">
        <v>304</v>
      </c>
      <c r="H7" s="28" t="s">
        <v>1541</v>
      </c>
      <c r="I7" s="9" t="str">
        <f t="shared" si="0"/>
        <v>TP. Hồ Chí Minh - Phú Thuận, (Pallet), xe 50E 65434</v>
      </c>
      <c r="J7" s="9" t="s">
        <v>292</v>
      </c>
      <c r="K7" s="9" t="s">
        <v>293</v>
      </c>
      <c r="L7" s="9" t="s">
        <v>294</v>
      </c>
      <c r="M7" s="9" t="s">
        <v>50</v>
      </c>
      <c r="N7" s="9" t="s">
        <v>346</v>
      </c>
      <c r="O7" s="9" t="s">
        <v>347</v>
      </c>
      <c r="P7" s="9" t="s">
        <v>348</v>
      </c>
      <c r="Q7" s="9" t="s">
        <v>298</v>
      </c>
      <c r="R7" s="9" t="s">
        <v>54</v>
      </c>
      <c r="S7" s="9" t="s">
        <v>94</v>
      </c>
      <c r="T7" s="9" t="s">
        <v>196</v>
      </c>
      <c r="U7" s="9" t="s">
        <v>349</v>
      </c>
      <c r="V7" s="8">
        <f t="shared" si="1"/>
        <v>0.6</v>
      </c>
      <c r="W7" s="9">
        <f t="shared" si="2"/>
        <v>0</v>
      </c>
      <c r="X7" s="9">
        <f t="shared" si="3"/>
        <v>0</v>
      </c>
      <c r="AH7" s="9" t="s">
        <v>22</v>
      </c>
      <c r="AI7" s="9" t="s">
        <v>1569</v>
      </c>
      <c r="AL7" s="9" t="s">
        <v>23</v>
      </c>
      <c r="AM7" s="9" t="s">
        <v>23</v>
      </c>
      <c r="AN7" s="9" t="s">
        <v>23</v>
      </c>
      <c r="AO7" s="9" t="s">
        <v>23</v>
      </c>
      <c r="AP7" s="9" t="s">
        <v>23</v>
      </c>
      <c r="AQ7" s="9" t="s">
        <v>23</v>
      </c>
      <c r="AS7" s="9" t="s">
        <v>23</v>
      </c>
      <c r="AT7" s="9" t="s">
        <v>319</v>
      </c>
      <c r="AU7" s="9" t="s">
        <v>320</v>
      </c>
      <c r="AV7" s="9" t="s">
        <v>300</v>
      </c>
      <c r="AW7" s="9" t="s">
        <v>61</v>
      </c>
      <c r="AX7" s="9" t="s">
        <v>62</v>
      </c>
      <c r="AY7" s="9" t="s">
        <v>321</v>
      </c>
      <c r="AZ7" s="9" t="s">
        <v>322</v>
      </c>
      <c r="BA7" s="9" t="s">
        <v>322</v>
      </c>
      <c r="BB7" s="9" t="s">
        <v>23</v>
      </c>
      <c r="BC7" s="9" t="s">
        <v>323</v>
      </c>
      <c r="BD7" s="9" t="s">
        <v>324</v>
      </c>
      <c r="BE7" s="9" t="s">
        <v>325</v>
      </c>
      <c r="BF7" s="9" t="s">
        <v>326</v>
      </c>
      <c r="BG7" s="9" t="s">
        <v>118</v>
      </c>
      <c r="BH7" s="9" t="s">
        <v>71</v>
      </c>
      <c r="BI7" s="9" t="s">
        <v>303</v>
      </c>
      <c r="BJ7" s="9" t="s">
        <v>327</v>
      </c>
      <c r="BK7" s="9" t="s">
        <v>328</v>
      </c>
    </row>
    <row r="8" spans="1:65" ht="15.75" x14ac:dyDescent="0.25">
      <c r="A8" s="9" t="s">
        <v>311</v>
      </c>
      <c r="B8" s="18" t="s">
        <v>312</v>
      </c>
      <c r="C8" s="19">
        <v>46203</v>
      </c>
      <c r="D8" s="9" t="s">
        <v>290</v>
      </c>
      <c r="E8" s="9" t="s">
        <v>291</v>
      </c>
      <c r="F8" s="27" t="s">
        <v>1548</v>
      </c>
      <c r="G8" s="28" t="s">
        <v>304</v>
      </c>
      <c r="H8" s="28" t="s">
        <v>1541</v>
      </c>
      <c r="I8" s="9" t="str">
        <f t="shared" si="0"/>
        <v>TP. Hồ Chí Minh - Phú Thuận, (Pallet), xe 50E 65434</v>
      </c>
      <c r="J8" s="9" t="s">
        <v>292</v>
      </c>
      <c r="K8" s="9" t="s">
        <v>293</v>
      </c>
      <c r="L8" s="9" t="s">
        <v>294</v>
      </c>
      <c r="M8" s="9" t="s">
        <v>50</v>
      </c>
      <c r="N8" s="9" t="s">
        <v>350</v>
      </c>
      <c r="O8" s="9" t="s">
        <v>351</v>
      </c>
      <c r="P8" s="9" t="s">
        <v>352</v>
      </c>
      <c r="Q8" s="9" t="s">
        <v>298</v>
      </c>
      <c r="R8" s="9" t="s">
        <v>54</v>
      </c>
      <c r="S8" s="9" t="s">
        <v>353</v>
      </c>
      <c r="T8" s="9" t="s">
        <v>55</v>
      </c>
      <c r="U8" s="9" t="s">
        <v>354</v>
      </c>
      <c r="V8" s="8">
        <f t="shared" si="1"/>
        <v>0.72</v>
      </c>
      <c r="W8" s="9">
        <f t="shared" si="2"/>
        <v>0</v>
      </c>
      <c r="X8" s="9">
        <f t="shared" si="3"/>
        <v>0</v>
      </c>
      <c r="AH8" s="9" t="s">
        <v>22</v>
      </c>
      <c r="AI8" s="9" t="s">
        <v>1569</v>
      </c>
      <c r="AL8" s="9" t="s">
        <v>23</v>
      </c>
      <c r="AM8" s="9" t="s">
        <v>23</v>
      </c>
      <c r="AN8" s="9" t="s">
        <v>23</v>
      </c>
      <c r="AO8" s="9" t="s">
        <v>23</v>
      </c>
      <c r="AP8" s="9" t="s">
        <v>23</v>
      </c>
      <c r="AQ8" s="9" t="s">
        <v>23</v>
      </c>
      <c r="AS8" s="9" t="s">
        <v>23</v>
      </c>
      <c r="AT8" s="9" t="s">
        <v>319</v>
      </c>
      <c r="AU8" s="9" t="s">
        <v>320</v>
      </c>
      <c r="AV8" s="9" t="s">
        <v>300</v>
      </c>
      <c r="AW8" s="9" t="s">
        <v>61</v>
      </c>
      <c r="AX8" s="9" t="s">
        <v>62</v>
      </c>
      <c r="AY8" s="9" t="s">
        <v>321</v>
      </c>
      <c r="AZ8" s="9" t="s">
        <v>322</v>
      </c>
      <c r="BA8" s="9" t="s">
        <v>322</v>
      </c>
      <c r="BB8" s="9" t="s">
        <v>23</v>
      </c>
      <c r="BC8" s="9" t="s">
        <v>323</v>
      </c>
      <c r="BD8" s="9" t="s">
        <v>324</v>
      </c>
      <c r="BE8" s="9" t="s">
        <v>325</v>
      </c>
      <c r="BF8" s="9" t="s">
        <v>326</v>
      </c>
      <c r="BG8" s="9" t="s">
        <v>118</v>
      </c>
      <c r="BH8" s="9" t="s">
        <v>71</v>
      </c>
      <c r="BI8" s="9" t="s">
        <v>303</v>
      </c>
      <c r="BJ8" s="9" t="s">
        <v>327</v>
      </c>
      <c r="BK8" s="9" t="s">
        <v>328</v>
      </c>
    </row>
    <row r="9" spans="1:65" ht="15.75" x14ac:dyDescent="0.25">
      <c r="A9" s="9" t="s">
        <v>311</v>
      </c>
      <c r="B9" s="18" t="s">
        <v>355</v>
      </c>
      <c r="C9" s="19">
        <v>46203</v>
      </c>
      <c r="D9" s="9" t="s">
        <v>290</v>
      </c>
      <c r="E9" s="9" t="s">
        <v>291</v>
      </c>
      <c r="F9" s="27" t="s">
        <v>1548</v>
      </c>
      <c r="G9" s="28" t="s">
        <v>304</v>
      </c>
      <c r="H9" s="28" t="s">
        <v>1541</v>
      </c>
      <c r="I9" s="9" t="str">
        <f t="shared" si="0"/>
        <v>TP. Hồ Chí Minh - Phú Thuận, (Pallet), xe 50E 65434</v>
      </c>
      <c r="J9" s="9" t="s">
        <v>292</v>
      </c>
      <c r="K9" s="9" t="s">
        <v>293</v>
      </c>
      <c r="L9" s="9" t="s">
        <v>294</v>
      </c>
      <c r="M9" s="9" t="s">
        <v>50</v>
      </c>
      <c r="N9" s="9" t="s">
        <v>329</v>
      </c>
      <c r="O9" s="9" t="s">
        <v>330</v>
      </c>
      <c r="P9" s="9" t="s">
        <v>331</v>
      </c>
      <c r="Q9" s="9" t="s">
        <v>298</v>
      </c>
      <c r="R9" s="9" t="s">
        <v>54</v>
      </c>
      <c r="S9" s="9" t="s">
        <v>356</v>
      </c>
      <c r="T9" s="9" t="s">
        <v>77</v>
      </c>
      <c r="U9" s="9">
        <v>67.2</v>
      </c>
      <c r="V9" s="8">
        <f t="shared" si="1"/>
        <v>6.7000000000000004E-2</v>
      </c>
      <c r="W9" s="9">
        <f t="shared" si="2"/>
        <v>9.9000000000000005E-2</v>
      </c>
      <c r="X9" s="9">
        <f t="shared" si="3"/>
        <v>0</v>
      </c>
      <c r="AH9" s="9" t="s">
        <v>22</v>
      </c>
      <c r="AI9" s="9" t="s">
        <v>1569</v>
      </c>
      <c r="AL9" s="9" t="s">
        <v>23</v>
      </c>
      <c r="AM9" s="9" t="s">
        <v>23</v>
      </c>
      <c r="AN9" s="9" t="s">
        <v>23</v>
      </c>
      <c r="AO9" s="9" t="s">
        <v>23</v>
      </c>
      <c r="AP9" s="9" t="s">
        <v>23</v>
      </c>
      <c r="AQ9" s="9" t="s">
        <v>23</v>
      </c>
      <c r="AS9" s="9" t="s">
        <v>23</v>
      </c>
      <c r="AT9" s="9" t="s">
        <v>319</v>
      </c>
      <c r="AU9" s="9" t="s">
        <v>320</v>
      </c>
      <c r="AV9" s="9" t="s">
        <v>358</v>
      </c>
      <c r="AW9" s="9" t="s">
        <v>61</v>
      </c>
      <c r="AX9" s="9" t="s">
        <v>62</v>
      </c>
      <c r="AY9" s="9" t="s">
        <v>321</v>
      </c>
      <c r="AZ9" s="9" t="s">
        <v>322</v>
      </c>
      <c r="BA9" s="9" t="s">
        <v>322</v>
      </c>
      <c r="BB9" s="9" t="s">
        <v>98</v>
      </c>
      <c r="BC9" s="9" t="s">
        <v>323</v>
      </c>
      <c r="BD9" s="9" t="s">
        <v>324</v>
      </c>
      <c r="BE9" s="9" t="s">
        <v>359</v>
      </c>
      <c r="BF9" s="9" t="s">
        <v>360</v>
      </c>
      <c r="BG9" s="9" t="s">
        <v>118</v>
      </c>
      <c r="BH9" s="9" t="s">
        <v>71</v>
      </c>
      <c r="BI9" s="9" t="s">
        <v>303</v>
      </c>
      <c r="BJ9" s="9" t="s">
        <v>327</v>
      </c>
      <c r="BK9" s="9" t="s">
        <v>328</v>
      </c>
    </row>
    <row r="10" spans="1:65" ht="15.75" x14ac:dyDescent="0.25">
      <c r="A10" s="9" t="s">
        <v>311</v>
      </c>
      <c r="B10" s="18" t="s">
        <v>355</v>
      </c>
      <c r="C10" s="19">
        <v>46203</v>
      </c>
      <c r="D10" s="9" t="s">
        <v>290</v>
      </c>
      <c r="E10" s="9" t="s">
        <v>291</v>
      </c>
      <c r="F10" s="27" t="s">
        <v>1548</v>
      </c>
      <c r="G10" s="28" t="s">
        <v>304</v>
      </c>
      <c r="H10" s="28" t="s">
        <v>1541</v>
      </c>
      <c r="I10" s="9" t="str">
        <f t="shared" si="0"/>
        <v>TP. Hồ Chí Minh - Phú Thuận, (Pallet), xe 50E 65434</v>
      </c>
      <c r="J10" s="9" t="s">
        <v>292</v>
      </c>
      <c r="K10" s="9" t="s">
        <v>293</v>
      </c>
      <c r="L10" s="9" t="s">
        <v>294</v>
      </c>
      <c r="M10" s="9" t="s">
        <v>50</v>
      </c>
      <c r="N10" s="9" t="s">
        <v>334</v>
      </c>
      <c r="O10" s="9" t="s">
        <v>335</v>
      </c>
      <c r="P10" s="9" t="s">
        <v>336</v>
      </c>
      <c r="Q10" s="9" t="s">
        <v>298</v>
      </c>
      <c r="R10" s="9" t="s">
        <v>54</v>
      </c>
      <c r="S10" s="9" t="s">
        <v>361</v>
      </c>
      <c r="T10" s="9" t="s">
        <v>338</v>
      </c>
      <c r="U10" s="9">
        <v>32.4</v>
      </c>
      <c r="V10" s="8">
        <f t="shared" si="1"/>
        <v>3.2000000000000001E-2</v>
      </c>
      <c r="W10" s="9">
        <f t="shared" si="2"/>
        <v>0</v>
      </c>
      <c r="X10" s="9">
        <f t="shared" si="3"/>
        <v>0</v>
      </c>
      <c r="AH10" s="9" t="s">
        <v>22</v>
      </c>
      <c r="AI10" s="9" t="s">
        <v>1569</v>
      </c>
      <c r="AL10" s="9" t="s">
        <v>23</v>
      </c>
      <c r="AM10" s="9" t="s">
        <v>23</v>
      </c>
      <c r="AN10" s="9" t="s">
        <v>23</v>
      </c>
      <c r="AO10" s="9" t="s">
        <v>23</v>
      </c>
      <c r="AP10" s="9" t="s">
        <v>23</v>
      </c>
      <c r="AQ10" s="9" t="s">
        <v>23</v>
      </c>
      <c r="AS10" s="9" t="s">
        <v>23</v>
      </c>
      <c r="AT10" s="9" t="s">
        <v>319</v>
      </c>
      <c r="AU10" s="9" t="s">
        <v>320</v>
      </c>
      <c r="AV10" s="9" t="s">
        <v>358</v>
      </c>
      <c r="AW10" s="9" t="s">
        <v>61</v>
      </c>
      <c r="AX10" s="9" t="s">
        <v>62</v>
      </c>
      <c r="AY10" s="9" t="s">
        <v>321</v>
      </c>
      <c r="AZ10" s="9" t="s">
        <v>322</v>
      </c>
      <c r="BA10" s="9" t="s">
        <v>322</v>
      </c>
      <c r="BB10" s="9" t="s">
        <v>98</v>
      </c>
      <c r="BC10" s="9" t="s">
        <v>323</v>
      </c>
      <c r="BD10" s="9" t="s">
        <v>324</v>
      </c>
      <c r="BE10" s="9" t="s">
        <v>359</v>
      </c>
      <c r="BF10" s="9" t="s">
        <v>360</v>
      </c>
      <c r="BG10" s="9" t="s">
        <v>118</v>
      </c>
      <c r="BH10" s="9" t="s">
        <v>71</v>
      </c>
      <c r="BI10" s="9" t="s">
        <v>303</v>
      </c>
      <c r="BJ10" s="9" t="s">
        <v>327</v>
      </c>
      <c r="BK10" s="9" t="s">
        <v>328</v>
      </c>
    </row>
    <row r="11" spans="1:65" ht="16.5" customHeight="1" x14ac:dyDescent="0.25">
      <c r="A11" s="53"/>
      <c r="B11" s="53"/>
      <c r="C11" s="54" t="s">
        <v>1572</v>
      </c>
      <c r="D11" s="55" t="str">
        <f>D10</f>
        <v>50E 65434</v>
      </c>
      <c r="E11" s="53"/>
      <c r="F11" s="55" t="str">
        <f>I10</f>
        <v>TP. Hồ Chí Minh - Phú Thuận, (Pallet), xe 50E 65434</v>
      </c>
      <c r="G11" s="53"/>
      <c r="H11" s="53"/>
      <c r="I11" s="56"/>
      <c r="J11" s="55"/>
      <c r="K11" s="53"/>
      <c r="L11" s="57"/>
      <c r="M11" s="53"/>
      <c r="N11" s="53"/>
      <c r="O11" s="53"/>
      <c r="P11" s="53"/>
      <c r="Q11" s="53"/>
      <c r="R11" s="53"/>
      <c r="S11" s="58"/>
      <c r="T11" s="59"/>
      <c r="U11" s="59"/>
      <c r="V11" s="60">
        <f>SUM(V3:V10)</f>
        <v>3.492</v>
      </c>
      <c r="W11" s="60">
        <f t="shared" ref="W11:X11" si="4">SUM(W3:W10)</f>
        <v>3.492</v>
      </c>
      <c r="X11" s="60">
        <f t="shared" si="4"/>
        <v>3.492</v>
      </c>
      <c r="Y11" s="59"/>
      <c r="Z11" s="61"/>
      <c r="AA11" s="61"/>
      <c r="AB11" s="61"/>
      <c r="AC11" s="61"/>
      <c r="AD11" s="61">
        <f>SUM(AD3:AD10)</f>
        <v>1079028</v>
      </c>
      <c r="AE11" s="61">
        <f>SUM(AE3:AE10)</f>
        <v>1079028</v>
      </c>
      <c r="AF11" s="61"/>
      <c r="AG11" s="61"/>
      <c r="AH11" s="62"/>
      <c r="AI11" s="62"/>
      <c r="AJ11" s="62"/>
      <c r="AK11" s="62"/>
      <c r="AL11" s="63"/>
      <c r="AM11" s="62"/>
      <c r="AN11" s="62"/>
      <c r="AO11" s="62"/>
      <c r="AP11" s="62"/>
      <c r="AQ11" s="62"/>
      <c r="AR11" s="62"/>
      <c r="AS11" s="62"/>
      <c r="AT11" s="64"/>
      <c r="AU11" s="64"/>
      <c r="AV11" s="64"/>
      <c r="AW11" s="65" t="str">
        <f>AW10</f>
        <v>RETAILS</v>
      </c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</row>
    <row r="12" spans="1:65" ht="15.75" x14ac:dyDescent="0.25">
      <c r="A12" s="9" t="s">
        <v>311</v>
      </c>
      <c r="B12" s="18" t="s">
        <v>1262</v>
      </c>
      <c r="C12" s="19">
        <v>46203</v>
      </c>
      <c r="D12" s="9" t="s">
        <v>1249</v>
      </c>
      <c r="E12" s="9" t="s">
        <v>1250</v>
      </c>
      <c r="F12" s="27" t="s">
        <v>1545</v>
      </c>
      <c r="G12" s="28" t="s">
        <v>1546</v>
      </c>
      <c r="H12" s="28" t="s">
        <v>1546</v>
      </c>
      <c r="I12" s="9" t="str">
        <f t="shared" si="0"/>
        <v>An Giang - Châu Đốc, (&gt;8-16 tấn), xe 67C 02626</v>
      </c>
      <c r="J12" s="9" t="s">
        <v>1251</v>
      </c>
      <c r="K12" s="9" t="s">
        <v>1252</v>
      </c>
      <c r="L12" s="9" t="s">
        <v>49</v>
      </c>
      <c r="M12" s="9" t="s">
        <v>50</v>
      </c>
      <c r="N12" s="9" t="s">
        <v>493</v>
      </c>
      <c r="O12" s="9" t="s">
        <v>494</v>
      </c>
      <c r="P12" s="9" t="s">
        <v>495</v>
      </c>
      <c r="Q12" s="9" t="s">
        <v>23</v>
      </c>
      <c r="R12" s="9" t="s">
        <v>496</v>
      </c>
      <c r="S12" s="9" t="s">
        <v>179</v>
      </c>
      <c r="T12" s="9" t="s">
        <v>497</v>
      </c>
      <c r="U12" s="9" t="s">
        <v>497</v>
      </c>
      <c r="V12" s="8">
        <f t="shared" ref="V12:V26" si="5">ROUND(U12/1000,3)</f>
        <v>0</v>
      </c>
      <c r="W12" s="9">
        <f>(IF($B12=$B10,0,SUMIF($B:$B,$B12,$V:$V)))</f>
        <v>0</v>
      </c>
      <c r="X12" s="9">
        <f>+IF(AND(D12=D10,C12=C10),0,SUMIFS($V:$V,$C:$C,$C12,$D:$D,$D12))</f>
        <v>7.2450000000000001</v>
      </c>
      <c r="Y12" s="20">
        <f>AL12</f>
        <v>14.32</v>
      </c>
      <c r="Z12" s="38">
        <v>554000</v>
      </c>
      <c r="AD12" s="39">
        <f>ROUND(X12*SUM(Z12:AB12),0)</f>
        <v>4013730</v>
      </c>
      <c r="AE12" s="39">
        <f>ROUND(X12*Z12,0)</f>
        <v>4013730</v>
      </c>
      <c r="AH12" s="9" t="s">
        <v>22</v>
      </c>
      <c r="AI12" s="9" t="s">
        <v>1569</v>
      </c>
      <c r="AL12" s="20">
        <f>SUM(AM12:AR12)</f>
        <v>14.32</v>
      </c>
      <c r="AM12" s="9">
        <v>7.0750000000000002</v>
      </c>
      <c r="AQ12" s="20">
        <v>7.2450000000000001</v>
      </c>
      <c r="AR12" s="20"/>
      <c r="AS12" s="9" t="s">
        <v>23</v>
      </c>
      <c r="AT12" s="9" t="s">
        <v>1263</v>
      </c>
      <c r="AU12" s="9" t="s">
        <v>320</v>
      </c>
      <c r="AV12" s="9" t="s">
        <v>1264</v>
      </c>
      <c r="AW12" s="9" t="s">
        <v>61</v>
      </c>
      <c r="AX12" s="9" t="s">
        <v>62</v>
      </c>
      <c r="AY12" s="9" t="s">
        <v>321</v>
      </c>
      <c r="AZ12" s="9" t="s">
        <v>322</v>
      </c>
      <c r="BA12" s="9" t="s">
        <v>322</v>
      </c>
      <c r="BB12" s="9" t="s">
        <v>23</v>
      </c>
      <c r="BC12" s="9" t="s">
        <v>323</v>
      </c>
      <c r="BD12" s="9" t="s">
        <v>324</v>
      </c>
      <c r="BE12" s="9" t="s">
        <v>1265</v>
      </c>
      <c r="BF12" s="9" t="s">
        <v>1266</v>
      </c>
      <c r="BG12" s="9" t="s">
        <v>118</v>
      </c>
      <c r="BH12" s="9" t="s">
        <v>501</v>
      </c>
      <c r="BI12" s="9" t="s">
        <v>23</v>
      </c>
      <c r="BJ12" s="9" t="s">
        <v>23</v>
      </c>
      <c r="BK12" s="9" t="s">
        <v>23</v>
      </c>
    </row>
    <row r="13" spans="1:65" ht="15.75" x14ac:dyDescent="0.25">
      <c r="A13" s="9" t="s">
        <v>311</v>
      </c>
      <c r="B13" s="18" t="s">
        <v>1267</v>
      </c>
      <c r="C13" s="19">
        <v>46203</v>
      </c>
      <c r="D13" s="9" t="s">
        <v>1249</v>
      </c>
      <c r="E13" s="9" t="s">
        <v>1250</v>
      </c>
      <c r="F13" s="27" t="s">
        <v>1545</v>
      </c>
      <c r="G13" s="28" t="s">
        <v>1546</v>
      </c>
      <c r="H13" s="28" t="s">
        <v>1546</v>
      </c>
      <c r="I13" s="9" t="str">
        <f t="shared" si="0"/>
        <v>An Giang - Châu Đốc, (&gt;8-16 tấn), xe 67C 02626</v>
      </c>
      <c r="J13" s="9" t="s">
        <v>1251</v>
      </c>
      <c r="K13" s="9" t="s">
        <v>1252</v>
      </c>
      <c r="L13" s="9" t="s">
        <v>49</v>
      </c>
      <c r="M13" s="9" t="s">
        <v>50</v>
      </c>
      <c r="N13" s="9" t="s">
        <v>1268</v>
      </c>
      <c r="O13" s="9" t="s">
        <v>1269</v>
      </c>
      <c r="P13" s="9" t="s">
        <v>1270</v>
      </c>
      <c r="Q13" s="9" t="s">
        <v>23</v>
      </c>
      <c r="R13" s="9" t="s">
        <v>54</v>
      </c>
      <c r="S13" s="9" t="s">
        <v>106</v>
      </c>
      <c r="T13" s="9" t="s">
        <v>1271</v>
      </c>
      <c r="U13" s="9">
        <v>56.22</v>
      </c>
      <c r="V13" s="8">
        <f t="shared" si="5"/>
        <v>5.6000000000000001E-2</v>
      </c>
      <c r="W13" s="9">
        <f t="shared" ref="W13:W26" si="6">(IF($B13=$B12,0,SUMIF($B:$B,$B13,$V:$V)))</f>
        <v>6.173</v>
      </c>
      <c r="X13" s="9">
        <f t="shared" ref="X13:X26" si="7">+IF(AND(D13=D12,C13=C12),0,SUMIFS($V:$V,$C:$C,$C13,$D:$D,$D13))</f>
        <v>0</v>
      </c>
      <c r="AH13" s="9" t="s">
        <v>22</v>
      </c>
      <c r="AI13" s="9" t="s">
        <v>1569</v>
      </c>
      <c r="AL13" s="9" t="s">
        <v>23</v>
      </c>
      <c r="AM13" s="9" t="s">
        <v>23</v>
      </c>
      <c r="AN13" s="9" t="s">
        <v>23</v>
      </c>
      <c r="AO13" s="9" t="s">
        <v>23</v>
      </c>
      <c r="AP13" s="9" t="s">
        <v>23</v>
      </c>
      <c r="AQ13" s="9" t="s">
        <v>23</v>
      </c>
      <c r="AS13" s="9" t="s">
        <v>23</v>
      </c>
      <c r="AT13" s="9" t="s">
        <v>1263</v>
      </c>
      <c r="AU13" s="9" t="s">
        <v>320</v>
      </c>
      <c r="AV13" s="9" t="s">
        <v>1254</v>
      </c>
      <c r="AW13" s="9" t="s">
        <v>61</v>
      </c>
      <c r="AX13" s="9" t="s">
        <v>62</v>
      </c>
      <c r="AY13" s="9" t="s">
        <v>321</v>
      </c>
      <c r="AZ13" s="9" t="s">
        <v>322</v>
      </c>
      <c r="BA13" s="9" t="s">
        <v>322</v>
      </c>
      <c r="BB13" s="9" t="s">
        <v>23</v>
      </c>
      <c r="BC13" s="9" t="s">
        <v>323</v>
      </c>
      <c r="BD13" s="9" t="s">
        <v>324</v>
      </c>
      <c r="BE13" s="9" t="s">
        <v>1273</v>
      </c>
      <c r="BF13" s="9" t="s">
        <v>1274</v>
      </c>
      <c r="BG13" s="9" t="s">
        <v>118</v>
      </c>
      <c r="BH13" s="9" t="s">
        <v>71</v>
      </c>
      <c r="BI13" s="9" t="s">
        <v>23</v>
      </c>
      <c r="BJ13" s="9" t="s">
        <v>23</v>
      </c>
      <c r="BK13" s="9" t="s">
        <v>23</v>
      </c>
    </row>
    <row r="14" spans="1:65" ht="15.75" x14ac:dyDescent="0.25">
      <c r="A14" s="9" t="s">
        <v>311</v>
      </c>
      <c r="B14" s="18" t="s">
        <v>1267</v>
      </c>
      <c r="C14" s="19">
        <v>46203</v>
      </c>
      <c r="D14" s="9" t="s">
        <v>1249</v>
      </c>
      <c r="E14" s="9" t="s">
        <v>1250</v>
      </c>
      <c r="F14" s="27" t="s">
        <v>1545</v>
      </c>
      <c r="G14" s="28" t="s">
        <v>1546</v>
      </c>
      <c r="H14" s="28" t="s">
        <v>1546</v>
      </c>
      <c r="I14" s="9" t="str">
        <f t="shared" si="0"/>
        <v>An Giang - Châu Đốc, (&gt;8-16 tấn), xe 67C 02626</v>
      </c>
      <c r="J14" s="9" t="s">
        <v>1251</v>
      </c>
      <c r="K14" s="9" t="s">
        <v>1252</v>
      </c>
      <c r="L14" s="9" t="s">
        <v>49</v>
      </c>
      <c r="M14" s="9" t="s">
        <v>50</v>
      </c>
      <c r="N14" s="9" t="s">
        <v>1275</v>
      </c>
      <c r="O14" s="9" t="s">
        <v>1276</v>
      </c>
      <c r="P14" s="9" t="s">
        <v>1277</v>
      </c>
      <c r="Q14" s="9" t="s">
        <v>23</v>
      </c>
      <c r="R14" s="9" t="s">
        <v>54</v>
      </c>
      <c r="S14" s="9" t="s">
        <v>1278</v>
      </c>
      <c r="T14" s="9" t="s">
        <v>1279</v>
      </c>
      <c r="U14" s="9">
        <v>4714.5600000000004</v>
      </c>
      <c r="V14" s="8">
        <f t="shared" si="5"/>
        <v>4.7149999999999999</v>
      </c>
      <c r="W14" s="9">
        <f t="shared" si="6"/>
        <v>0</v>
      </c>
      <c r="X14" s="9">
        <f t="shared" si="7"/>
        <v>0</v>
      </c>
      <c r="AH14" s="9" t="s">
        <v>22</v>
      </c>
      <c r="AI14" s="9" t="s">
        <v>1569</v>
      </c>
      <c r="AL14" s="9" t="s">
        <v>23</v>
      </c>
      <c r="AM14" s="9" t="s">
        <v>23</v>
      </c>
      <c r="AN14" s="9" t="s">
        <v>23</v>
      </c>
      <c r="AO14" s="9" t="s">
        <v>23</v>
      </c>
      <c r="AP14" s="9" t="s">
        <v>23</v>
      </c>
      <c r="AQ14" s="9" t="s">
        <v>23</v>
      </c>
      <c r="AS14" s="9" t="s">
        <v>23</v>
      </c>
      <c r="AT14" s="9" t="s">
        <v>1263</v>
      </c>
      <c r="AU14" s="9" t="s">
        <v>320</v>
      </c>
      <c r="AV14" s="9" t="s">
        <v>1254</v>
      </c>
      <c r="AW14" s="9" t="s">
        <v>61</v>
      </c>
      <c r="AX14" s="9" t="s">
        <v>62</v>
      </c>
      <c r="AY14" s="9" t="s">
        <v>321</v>
      </c>
      <c r="AZ14" s="9" t="s">
        <v>322</v>
      </c>
      <c r="BA14" s="9" t="s">
        <v>322</v>
      </c>
      <c r="BB14" s="9" t="s">
        <v>23</v>
      </c>
      <c r="BC14" s="9" t="s">
        <v>323</v>
      </c>
      <c r="BD14" s="9" t="s">
        <v>324</v>
      </c>
      <c r="BE14" s="9" t="s">
        <v>1273</v>
      </c>
      <c r="BF14" s="9" t="s">
        <v>1274</v>
      </c>
      <c r="BG14" s="9" t="s">
        <v>118</v>
      </c>
      <c r="BH14" s="9" t="s">
        <v>71</v>
      </c>
      <c r="BI14" s="9" t="s">
        <v>23</v>
      </c>
      <c r="BJ14" s="9" t="s">
        <v>23</v>
      </c>
      <c r="BK14" s="9" t="s">
        <v>23</v>
      </c>
    </row>
    <row r="15" spans="1:65" ht="15.75" x14ac:dyDescent="0.25">
      <c r="A15" s="9" t="s">
        <v>311</v>
      </c>
      <c r="B15" s="18" t="s">
        <v>1267</v>
      </c>
      <c r="C15" s="19">
        <v>46203</v>
      </c>
      <c r="D15" s="9" t="s">
        <v>1249</v>
      </c>
      <c r="E15" s="9" t="s">
        <v>1250</v>
      </c>
      <c r="F15" s="27" t="s">
        <v>1545</v>
      </c>
      <c r="G15" s="28" t="s">
        <v>1546</v>
      </c>
      <c r="H15" s="28" t="s">
        <v>1546</v>
      </c>
      <c r="I15" s="9" t="str">
        <f t="shared" si="0"/>
        <v>An Giang - Châu Đốc, (&gt;8-16 tấn), xe 67C 02626</v>
      </c>
      <c r="J15" s="9" t="s">
        <v>1251</v>
      </c>
      <c r="K15" s="9" t="s">
        <v>1252</v>
      </c>
      <c r="L15" s="9" t="s">
        <v>49</v>
      </c>
      <c r="M15" s="9" t="s">
        <v>50</v>
      </c>
      <c r="N15" s="9" t="s">
        <v>1281</v>
      </c>
      <c r="O15" s="9" t="s">
        <v>1282</v>
      </c>
      <c r="P15" s="9" t="s">
        <v>1283</v>
      </c>
      <c r="Q15" s="9" t="s">
        <v>23</v>
      </c>
      <c r="R15" s="9" t="s">
        <v>54</v>
      </c>
      <c r="S15" s="9" t="s">
        <v>196</v>
      </c>
      <c r="T15" s="9" t="s">
        <v>1284</v>
      </c>
      <c r="U15" s="9">
        <v>73.44</v>
      </c>
      <c r="V15" s="8">
        <f t="shared" si="5"/>
        <v>7.2999999999999995E-2</v>
      </c>
      <c r="W15" s="9">
        <f t="shared" si="6"/>
        <v>0</v>
      </c>
      <c r="X15" s="9">
        <f t="shared" si="7"/>
        <v>0</v>
      </c>
      <c r="AH15" s="9" t="s">
        <v>22</v>
      </c>
      <c r="AI15" s="9" t="s">
        <v>1569</v>
      </c>
      <c r="AL15" s="9" t="s">
        <v>23</v>
      </c>
      <c r="AM15" s="9" t="s">
        <v>23</v>
      </c>
      <c r="AN15" s="9" t="s">
        <v>23</v>
      </c>
      <c r="AO15" s="9" t="s">
        <v>23</v>
      </c>
      <c r="AP15" s="9" t="s">
        <v>23</v>
      </c>
      <c r="AQ15" s="9" t="s">
        <v>23</v>
      </c>
      <c r="AS15" s="9" t="s">
        <v>23</v>
      </c>
      <c r="AT15" s="9" t="s">
        <v>1263</v>
      </c>
      <c r="AU15" s="9" t="s">
        <v>320</v>
      </c>
      <c r="AV15" s="9" t="s">
        <v>1254</v>
      </c>
      <c r="AW15" s="9" t="s">
        <v>61</v>
      </c>
      <c r="AX15" s="9" t="s">
        <v>62</v>
      </c>
      <c r="AY15" s="9" t="s">
        <v>321</v>
      </c>
      <c r="AZ15" s="9" t="s">
        <v>322</v>
      </c>
      <c r="BA15" s="9" t="s">
        <v>322</v>
      </c>
      <c r="BB15" s="9" t="s">
        <v>23</v>
      </c>
      <c r="BC15" s="9" t="s">
        <v>323</v>
      </c>
      <c r="BD15" s="9" t="s">
        <v>324</v>
      </c>
      <c r="BE15" s="9" t="s">
        <v>1273</v>
      </c>
      <c r="BF15" s="9" t="s">
        <v>1274</v>
      </c>
      <c r="BG15" s="9" t="s">
        <v>118</v>
      </c>
      <c r="BH15" s="9" t="s">
        <v>71</v>
      </c>
      <c r="BI15" s="9" t="s">
        <v>23</v>
      </c>
      <c r="BJ15" s="9" t="s">
        <v>23</v>
      </c>
      <c r="BK15" s="9" t="s">
        <v>23</v>
      </c>
    </row>
    <row r="16" spans="1:65" ht="15.75" x14ac:dyDescent="0.25">
      <c r="A16" s="9" t="s">
        <v>311</v>
      </c>
      <c r="B16" s="18" t="s">
        <v>1267</v>
      </c>
      <c r="C16" s="19">
        <v>46203</v>
      </c>
      <c r="D16" s="9" t="s">
        <v>1249</v>
      </c>
      <c r="E16" s="9" t="s">
        <v>1250</v>
      </c>
      <c r="F16" s="27" t="s">
        <v>1545</v>
      </c>
      <c r="G16" s="28" t="s">
        <v>1546</v>
      </c>
      <c r="H16" s="28" t="s">
        <v>1546</v>
      </c>
      <c r="I16" s="9" t="str">
        <f t="shared" si="0"/>
        <v>An Giang - Châu Đốc, (&gt;8-16 tấn), xe 67C 02626</v>
      </c>
      <c r="J16" s="9" t="s">
        <v>1251</v>
      </c>
      <c r="K16" s="9" t="s">
        <v>1252</v>
      </c>
      <c r="L16" s="9" t="s">
        <v>49</v>
      </c>
      <c r="M16" s="9" t="s">
        <v>50</v>
      </c>
      <c r="N16" s="9" t="s">
        <v>1286</v>
      </c>
      <c r="O16" s="9" t="s">
        <v>1287</v>
      </c>
      <c r="P16" s="9" t="s">
        <v>1288</v>
      </c>
      <c r="Q16" s="9" t="s">
        <v>23</v>
      </c>
      <c r="R16" s="9" t="s">
        <v>54</v>
      </c>
      <c r="S16" s="9" t="s">
        <v>122</v>
      </c>
      <c r="T16" s="9" t="s">
        <v>1289</v>
      </c>
      <c r="U16" s="9">
        <v>50.4</v>
      </c>
      <c r="V16" s="8">
        <f t="shared" si="5"/>
        <v>0.05</v>
      </c>
      <c r="W16" s="9">
        <f t="shared" si="6"/>
        <v>0</v>
      </c>
      <c r="X16" s="9">
        <f t="shared" si="7"/>
        <v>0</v>
      </c>
      <c r="AH16" s="9" t="s">
        <v>22</v>
      </c>
      <c r="AI16" s="9" t="s">
        <v>1569</v>
      </c>
      <c r="AL16" s="9" t="s">
        <v>23</v>
      </c>
      <c r="AM16" s="9" t="s">
        <v>23</v>
      </c>
      <c r="AN16" s="9" t="s">
        <v>23</v>
      </c>
      <c r="AO16" s="9" t="s">
        <v>23</v>
      </c>
      <c r="AP16" s="9" t="s">
        <v>23</v>
      </c>
      <c r="AQ16" s="9" t="s">
        <v>23</v>
      </c>
      <c r="AS16" s="9" t="s">
        <v>23</v>
      </c>
      <c r="AT16" s="9" t="s">
        <v>1263</v>
      </c>
      <c r="AU16" s="9" t="s">
        <v>320</v>
      </c>
      <c r="AV16" s="9" t="s">
        <v>1254</v>
      </c>
      <c r="AW16" s="9" t="s">
        <v>61</v>
      </c>
      <c r="AX16" s="9" t="s">
        <v>62</v>
      </c>
      <c r="AY16" s="9" t="s">
        <v>321</v>
      </c>
      <c r="AZ16" s="9" t="s">
        <v>322</v>
      </c>
      <c r="BA16" s="9" t="s">
        <v>322</v>
      </c>
      <c r="BB16" s="9" t="s">
        <v>23</v>
      </c>
      <c r="BC16" s="9" t="s">
        <v>323</v>
      </c>
      <c r="BD16" s="9" t="s">
        <v>324</v>
      </c>
      <c r="BE16" s="9" t="s">
        <v>1273</v>
      </c>
      <c r="BF16" s="9" t="s">
        <v>1274</v>
      </c>
      <c r="BG16" s="9" t="s">
        <v>118</v>
      </c>
      <c r="BH16" s="9" t="s">
        <v>71</v>
      </c>
      <c r="BI16" s="9" t="s">
        <v>23</v>
      </c>
      <c r="BJ16" s="9" t="s">
        <v>23</v>
      </c>
      <c r="BK16" s="9" t="s">
        <v>23</v>
      </c>
    </row>
    <row r="17" spans="1:65" ht="15.75" x14ac:dyDescent="0.25">
      <c r="A17" s="9" t="s">
        <v>311</v>
      </c>
      <c r="B17" s="18" t="s">
        <v>1267</v>
      </c>
      <c r="C17" s="19">
        <v>46203</v>
      </c>
      <c r="D17" s="9" t="s">
        <v>1249</v>
      </c>
      <c r="E17" s="9" t="s">
        <v>1250</v>
      </c>
      <c r="F17" s="27" t="s">
        <v>1545</v>
      </c>
      <c r="G17" s="28" t="s">
        <v>1546</v>
      </c>
      <c r="H17" s="28" t="s">
        <v>1546</v>
      </c>
      <c r="I17" s="9" t="str">
        <f t="shared" si="0"/>
        <v>An Giang - Châu Đốc, (&gt;8-16 tấn), xe 67C 02626</v>
      </c>
      <c r="J17" s="9" t="s">
        <v>1251</v>
      </c>
      <c r="K17" s="9" t="s">
        <v>1252</v>
      </c>
      <c r="L17" s="9" t="s">
        <v>49</v>
      </c>
      <c r="M17" s="9" t="s">
        <v>50</v>
      </c>
      <c r="N17" s="9" t="s">
        <v>1291</v>
      </c>
      <c r="O17" s="9" t="s">
        <v>1292</v>
      </c>
      <c r="P17" s="9" t="s">
        <v>1293</v>
      </c>
      <c r="Q17" s="9" t="s">
        <v>23</v>
      </c>
      <c r="R17" s="9" t="s">
        <v>54</v>
      </c>
      <c r="S17" s="9" t="s">
        <v>361</v>
      </c>
      <c r="T17" s="9" t="s">
        <v>1284</v>
      </c>
      <c r="U17" s="9">
        <v>18.36</v>
      </c>
      <c r="V17" s="8">
        <f t="shared" si="5"/>
        <v>1.7999999999999999E-2</v>
      </c>
      <c r="W17" s="9">
        <f t="shared" si="6"/>
        <v>0</v>
      </c>
      <c r="X17" s="9">
        <f t="shared" si="7"/>
        <v>0</v>
      </c>
      <c r="AH17" s="9" t="s">
        <v>22</v>
      </c>
      <c r="AI17" s="9" t="s">
        <v>1569</v>
      </c>
      <c r="AL17" s="9" t="s">
        <v>23</v>
      </c>
      <c r="AM17" s="9" t="s">
        <v>23</v>
      </c>
      <c r="AN17" s="9" t="s">
        <v>23</v>
      </c>
      <c r="AO17" s="9" t="s">
        <v>23</v>
      </c>
      <c r="AP17" s="9" t="s">
        <v>23</v>
      </c>
      <c r="AQ17" s="9" t="s">
        <v>23</v>
      </c>
      <c r="AS17" s="9" t="s">
        <v>23</v>
      </c>
      <c r="AT17" s="9" t="s">
        <v>1263</v>
      </c>
      <c r="AU17" s="9" t="s">
        <v>320</v>
      </c>
      <c r="AV17" s="9" t="s">
        <v>1254</v>
      </c>
      <c r="AW17" s="9" t="s">
        <v>61</v>
      </c>
      <c r="AX17" s="9" t="s">
        <v>62</v>
      </c>
      <c r="AY17" s="9" t="s">
        <v>321</v>
      </c>
      <c r="AZ17" s="9" t="s">
        <v>322</v>
      </c>
      <c r="BA17" s="9" t="s">
        <v>322</v>
      </c>
      <c r="BB17" s="9" t="s">
        <v>23</v>
      </c>
      <c r="BC17" s="9" t="s">
        <v>323</v>
      </c>
      <c r="BD17" s="9" t="s">
        <v>324</v>
      </c>
      <c r="BE17" s="9" t="s">
        <v>1273</v>
      </c>
      <c r="BF17" s="9" t="s">
        <v>1274</v>
      </c>
      <c r="BG17" s="9" t="s">
        <v>118</v>
      </c>
      <c r="BH17" s="9" t="s">
        <v>71</v>
      </c>
      <c r="BI17" s="9" t="s">
        <v>23</v>
      </c>
      <c r="BJ17" s="9" t="s">
        <v>23</v>
      </c>
      <c r="BK17" s="9" t="s">
        <v>23</v>
      </c>
    </row>
    <row r="18" spans="1:65" ht="15.75" x14ac:dyDescent="0.25">
      <c r="A18" s="9" t="s">
        <v>311</v>
      </c>
      <c r="B18" s="18" t="s">
        <v>1267</v>
      </c>
      <c r="C18" s="19">
        <v>46203</v>
      </c>
      <c r="D18" s="9" t="s">
        <v>1249</v>
      </c>
      <c r="E18" s="9" t="s">
        <v>1250</v>
      </c>
      <c r="F18" s="27" t="s">
        <v>1545</v>
      </c>
      <c r="G18" s="28" t="s">
        <v>1546</v>
      </c>
      <c r="H18" s="28" t="s">
        <v>1546</v>
      </c>
      <c r="I18" s="9" t="str">
        <f t="shared" si="0"/>
        <v>An Giang - Châu Đốc, (&gt;8-16 tấn), xe 67C 02626</v>
      </c>
      <c r="J18" s="9" t="s">
        <v>1251</v>
      </c>
      <c r="K18" s="9" t="s">
        <v>1252</v>
      </c>
      <c r="L18" s="9" t="s">
        <v>49</v>
      </c>
      <c r="M18" s="9" t="s">
        <v>50</v>
      </c>
      <c r="N18" s="9" t="s">
        <v>484</v>
      </c>
      <c r="O18" s="9" t="s">
        <v>485</v>
      </c>
      <c r="P18" s="9" t="s">
        <v>486</v>
      </c>
      <c r="Q18" s="9" t="s">
        <v>23</v>
      </c>
      <c r="R18" s="9" t="s">
        <v>54</v>
      </c>
      <c r="S18" s="9" t="s">
        <v>361</v>
      </c>
      <c r="T18" s="9" t="s">
        <v>487</v>
      </c>
      <c r="U18" s="9">
        <v>39.599999999999902</v>
      </c>
      <c r="V18" s="8">
        <f t="shared" si="5"/>
        <v>0.04</v>
      </c>
      <c r="W18" s="9">
        <f t="shared" si="6"/>
        <v>0</v>
      </c>
      <c r="X18" s="9">
        <f t="shared" si="7"/>
        <v>0</v>
      </c>
      <c r="AH18" s="9" t="s">
        <v>22</v>
      </c>
      <c r="AI18" s="9" t="s">
        <v>1569</v>
      </c>
      <c r="AL18" s="9" t="s">
        <v>23</v>
      </c>
      <c r="AM18" s="9" t="s">
        <v>23</v>
      </c>
      <c r="AN18" s="9" t="s">
        <v>23</v>
      </c>
      <c r="AO18" s="9" t="s">
        <v>23</v>
      </c>
      <c r="AP18" s="9" t="s">
        <v>23</v>
      </c>
      <c r="AQ18" s="9" t="s">
        <v>23</v>
      </c>
      <c r="AS18" s="9" t="s">
        <v>23</v>
      </c>
      <c r="AT18" s="9" t="s">
        <v>1263</v>
      </c>
      <c r="AU18" s="9" t="s">
        <v>320</v>
      </c>
      <c r="AV18" s="9" t="s">
        <v>1254</v>
      </c>
      <c r="AW18" s="9" t="s">
        <v>61</v>
      </c>
      <c r="AX18" s="9" t="s">
        <v>62</v>
      </c>
      <c r="AY18" s="9" t="s">
        <v>321</v>
      </c>
      <c r="AZ18" s="9" t="s">
        <v>322</v>
      </c>
      <c r="BA18" s="9" t="s">
        <v>322</v>
      </c>
      <c r="BB18" s="9" t="s">
        <v>23</v>
      </c>
      <c r="BC18" s="9" t="s">
        <v>323</v>
      </c>
      <c r="BD18" s="9" t="s">
        <v>324</v>
      </c>
      <c r="BE18" s="9" t="s">
        <v>1273</v>
      </c>
      <c r="BF18" s="9" t="s">
        <v>1274</v>
      </c>
      <c r="BG18" s="9" t="s">
        <v>118</v>
      </c>
      <c r="BH18" s="9" t="s">
        <v>71</v>
      </c>
      <c r="BI18" s="9" t="s">
        <v>23</v>
      </c>
      <c r="BJ18" s="9" t="s">
        <v>23</v>
      </c>
      <c r="BK18" s="9" t="s">
        <v>23</v>
      </c>
    </row>
    <row r="19" spans="1:65" ht="15.75" x14ac:dyDescent="0.25">
      <c r="A19" s="9" t="s">
        <v>311</v>
      </c>
      <c r="B19" s="18" t="s">
        <v>1267</v>
      </c>
      <c r="C19" s="19">
        <v>46203</v>
      </c>
      <c r="D19" s="9" t="s">
        <v>1249</v>
      </c>
      <c r="E19" s="9" t="s">
        <v>1250</v>
      </c>
      <c r="F19" s="27" t="s">
        <v>1545</v>
      </c>
      <c r="G19" s="28" t="s">
        <v>1546</v>
      </c>
      <c r="H19" s="28" t="s">
        <v>1546</v>
      </c>
      <c r="I19" s="9" t="str">
        <f t="shared" si="0"/>
        <v>An Giang - Châu Đốc, (&gt;8-16 tấn), xe 67C 02626</v>
      </c>
      <c r="J19" s="9" t="s">
        <v>1251</v>
      </c>
      <c r="K19" s="9" t="s">
        <v>1252</v>
      </c>
      <c r="L19" s="9" t="s">
        <v>49</v>
      </c>
      <c r="M19" s="9" t="s">
        <v>50</v>
      </c>
      <c r="N19" s="9" t="s">
        <v>1296</v>
      </c>
      <c r="O19" s="9" t="s">
        <v>1297</v>
      </c>
      <c r="P19" s="9" t="s">
        <v>1298</v>
      </c>
      <c r="Q19" s="9" t="s">
        <v>23</v>
      </c>
      <c r="R19" s="9" t="s">
        <v>54</v>
      </c>
      <c r="S19" s="9" t="s">
        <v>75</v>
      </c>
      <c r="T19" s="9" t="s">
        <v>1284</v>
      </c>
      <c r="U19" s="9">
        <v>12.24</v>
      </c>
      <c r="V19" s="8">
        <f t="shared" si="5"/>
        <v>1.2E-2</v>
      </c>
      <c r="W19" s="9">
        <f t="shared" si="6"/>
        <v>0</v>
      </c>
      <c r="X19" s="9">
        <f t="shared" si="7"/>
        <v>0</v>
      </c>
      <c r="AH19" s="9" t="s">
        <v>22</v>
      </c>
      <c r="AI19" s="9" t="s">
        <v>1569</v>
      </c>
      <c r="AL19" s="9" t="s">
        <v>23</v>
      </c>
      <c r="AM19" s="9" t="s">
        <v>23</v>
      </c>
      <c r="AN19" s="9" t="s">
        <v>23</v>
      </c>
      <c r="AO19" s="9" t="s">
        <v>23</v>
      </c>
      <c r="AP19" s="9" t="s">
        <v>23</v>
      </c>
      <c r="AQ19" s="9" t="s">
        <v>23</v>
      </c>
      <c r="AS19" s="9" t="s">
        <v>23</v>
      </c>
      <c r="AT19" s="9" t="s">
        <v>1263</v>
      </c>
      <c r="AU19" s="9" t="s">
        <v>320</v>
      </c>
      <c r="AV19" s="9" t="s">
        <v>1254</v>
      </c>
      <c r="AW19" s="9" t="s">
        <v>61</v>
      </c>
      <c r="AX19" s="9" t="s">
        <v>62</v>
      </c>
      <c r="AY19" s="9" t="s">
        <v>321</v>
      </c>
      <c r="AZ19" s="9" t="s">
        <v>322</v>
      </c>
      <c r="BA19" s="9" t="s">
        <v>322</v>
      </c>
      <c r="BB19" s="9" t="s">
        <v>23</v>
      </c>
      <c r="BC19" s="9" t="s">
        <v>323</v>
      </c>
      <c r="BD19" s="9" t="s">
        <v>324</v>
      </c>
      <c r="BE19" s="9" t="s">
        <v>1273</v>
      </c>
      <c r="BF19" s="9" t="s">
        <v>1274</v>
      </c>
      <c r="BG19" s="9" t="s">
        <v>118</v>
      </c>
      <c r="BH19" s="9" t="s">
        <v>71</v>
      </c>
      <c r="BI19" s="9" t="s">
        <v>23</v>
      </c>
      <c r="BJ19" s="9" t="s">
        <v>23</v>
      </c>
      <c r="BK19" s="9" t="s">
        <v>23</v>
      </c>
    </row>
    <row r="20" spans="1:65" ht="15.75" x14ac:dyDescent="0.25">
      <c r="A20" s="9" t="s">
        <v>311</v>
      </c>
      <c r="B20" s="18" t="s">
        <v>1267</v>
      </c>
      <c r="C20" s="19">
        <v>46203</v>
      </c>
      <c r="D20" s="9" t="s">
        <v>1249</v>
      </c>
      <c r="E20" s="9" t="s">
        <v>1250</v>
      </c>
      <c r="F20" s="27" t="s">
        <v>1545</v>
      </c>
      <c r="G20" s="28" t="s">
        <v>1546</v>
      </c>
      <c r="H20" s="28" t="s">
        <v>1546</v>
      </c>
      <c r="I20" s="9" t="str">
        <f t="shared" si="0"/>
        <v>An Giang - Châu Đốc, (&gt;8-16 tấn), xe 67C 02626</v>
      </c>
      <c r="J20" s="9" t="s">
        <v>1251</v>
      </c>
      <c r="K20" s="9" t="s">
        <v>1252</v>
      </c>
      <c r="L20" s="9" t="s">
        <v>49</v>
      </c>
      <c r="M20" s="9" t="s">
        <v>50</v>
      </c>
      <c r="N20" s="9" t="s">
        <v>1149</v>
      </c>
      <c r="O20" s="9" t="s">
        <v>1150</v>
      </c>
      <c r="P20" s="9" t="s">
        <v>1151</v>
      </c>
      <c r="Q20" s="9" t="s">
        <v>23</v>
      </c>
      <c r="R20" s="9" t="s">
        <v>54</v>
      </c>
      <c r="S20" s="9" t="s">
        <v>93</v>
      </c>
      <c r="T20" s="9" t="s">
        <v>196</v>
      </c>
      <c r="U20" s="9" t="s">
        <v>399</v>
      </c>
      <c r="V20" s="8">
        <f t="shared" si="5"/>
        <v>0.3</v>
      </c>
      <c r="W20" s="9">
        <f t="shared" si="6"/>
        <v>0</v>
      </c>
      <c r="X20" s="9">
        <f t="shared" si="7"/>
        <v>0</v>
      </c>
      <c r="AH20" s="9" t="s">
        <v>22</v>
      </c>
      <c r="AI20" s="9" t="s">
        <v>1569</v>
      </c>
      <c r="AL20" s="9" t="s">
        <v>23</v>
      </c>
      <c r="AM20" s="9" t="s">
        <v>23</v>
      </c>
      <c r="AN20" s="9" t="s">
        <v>23</v>
      </c>
      <c r="AO20" s="9" t="s">
        <v>23</v>
      </c>
      <c r="AP20" s="9" t="s">
        <v>23</v>
      </c>
      <c r="AQ20" s="9" t="s">
        <v>23</v>
      </c>
      <c r="AS20" s="9" t="s">
        <v>23</v>
      </c>
      <c r="AT20" s="9" t="s">
        <v>1263</v>
      </c>
      <c r="AU20" s="9" t="s">
        <v>320</v>
      </c>
      <c r="AV20" s="9" t="s">
        <v>1254</v>
      </c>
      <c r="AW20" s="9" t="s">
        <v>61</v>
      </c>
      <c r="AX20" s="9" t="s">
        <v>62</v>
      </c>
      <c r="AY20" s="9" t="s">
        <v>321</v>
      </c>
      <c r="AZ20" s="9" t="s">
        <v>322</v>
      </c>
      <c r="BA20" s="9" t="s">
        <v>322</v>
      </c>
      <c r="BB20" s="9" t="s">
        <v>23</v>
      </c>
      <c r="BC20" s="9" t="s">
        <v>323</v>
      </c>
      <c r="BD20" s="9" t="s">
        <v>324</v>
      </c>
      <c r="BE20" s="9" t="s">
        <v>1273</v>
      </c>
      <c r="BF20" s="9" t="s">
        <v>1274</v>
      </c>
      <c r="BG20" s="9" t="s">
        <v>118</v>
      </c>
      <c r="BH20" s="9" t="s">
        <v>71</v>
      </c>
      <c r="BI20" s="9" t="s">
        <v>23</v>
      </c>
      <c r="BJ20" s="9" t="s">
        <v>23</v>
      </c>
      <c r="BK20" s="9" t="s">
        <v>23</v>
      </c>
    </row>
    <row r="21" spans="1:65" ht="15.75" x14ac:dyDescent="0.25">
      <c r="A21" s="9" t="s">
        <v>311</v>
      </c>
      <c r="B21" s="18" t="s">
        <v>1267</v>
      </c>
      <c r="C21" s="19">
        <v>46203</v>
      </c>
      <c r="D21" s="9" t="s">
        <v>1249</v>
      </c>
      <c r="E21" s="9" t="s">
        <v>1250</v>
      </c>
      <c r="F21" s="27" t="s">
        <v>1545</v>
      </c>
      <c r="G21" s="28" t="s">
        <v>1546</v>
      </c>
      <c r="H21" s="28" t="s">
        <v>1546</v>
      </c>
      <c r="I21" s="9" t="str">
        <f t="shared" si="0"/>
        <v>An Giang - Châu Đốc, (&gt;8-16 tấn), xe 67C 02626</v>
      </c>
      <c r="J21" s="9" t="s">
        <v>1251</v>
      </c>
      <c r="K21" s="9" t="s">
        <v>1252</v>
      </c>
      <c r="L21" s="9" t="s">
        <v>49</v>
      </c>
      <c r="M21" s="9" t="s">
        <v>50</v>
      </c>
      <c r="N21" s="9" t="s">
        <v>1300</v>
      </c>
      <c r="O21" s="9" t="s">
        <v>1301</v>
      </c>
      <c r="P21" s="9" t="s">
        <v>1302</v>
      </c>
      <c r="Q21" s="9" t="s">
        <v>23</v>
      </c>
      <c r="R21" s="9" t="s">
        <v>54</v>
      </c>
      <c r="S21" s="9" t="s">
        <v>164</v>
      </c>
      <c r="T21" s="9" t="s">
        <v>77</v>
      </c>
      <c r="U21" s="9" t="s">
        <v>1303</v>
      </c>
      <c r="V21" s="8">
        <f t="shared" si="5"/>
        <v>0.192</v>
      </c>
      <c r="W21" s="9">
        <f t="shared" si="6"/>
        <v>0</v>
      </c>
      <c r="X21" s="9">
        <f t="shared" si="7"/>
        <v>0</v>
      </c>
      <c r="AH21" s="9" t="s">
        <v>22</v>
      </c>
      <c r="AI21" s="9" t="s">
        <v>1569</v>
      </c>
      <c r="AL21" s="9" t="s">
        <v>23</v>
      </c>
      <c r="AM21" s="9" t="s">
        <v>23</v>
      </c>
      <c r="AN21" s="9" t="s">
        <v>23</v>
      </c>
      <c r="AO21" s="9" t="s">
        <v>23</v>
      </c>
      <c r="AP21" s="9" t="s">
        <v>23</v>
      </c>
      <c r="AQ21" s="9" t="s">
        <v>23</v>
      </c>
      <c r="AS21" s="9" t="s">
        <v>23</v>
      </c>
      <c r="AT21" s="9" t="s">
        <v>1263</v>
      </c>
      <c r="AU21" s="9" t="s">
        <v>320</v>
      </c>
      <c r="AV21" s="9" t="s">
        <v>1254</v>
      </c>
      <c r="AW21" s="9" t="s">
        <v>61</v>
      </c>
      <c r="AX21" s="9" t="s">
        <v>62</v>
      </c>
      <c r="AY21" s="9" t="s">
        <v>321</v>
      </c>
      <c r="AZ21" s="9" t="s">
        <v>322</v>
      </c>
      <c r="BA21" s="9" t="s">
        <v>322</v>
      </c>
      <c r="BB21" s="9" t="s">
        <v>23</v>
      </c>
      <c r="BC21" s="9" t="s">
        <v>323</v>
      </c>
      <c r="BD21" s="9" t="s">
        <v>324</v>
      </c>
      <c r="BE21" s="9" t="s">
        <v>1273</v>
      </c>
      <c r="BF21" s="9" t="s">
        <v>1274</v>
      </c>
      <c r="BG21" s="9" t="s">
        <v>118</v>
      </c>
      <c r="BH21" s="9" t="s">
        <v>71</v>
      </c>
      <c r="BI21" s="9" t="s">
        <v>23</v>
      </c>
      <c r="BJ21" s="9" t="s">
        <v>23</v>
      </c>
      <c r="BK21" s="9" t="s">
        <v>23</v>
      </c>
    </row>
    <row r="22" spans="1:65" ht="15.75" x14ac:dyDescent="0.25">
      <c r="A22" s="9" t="s">
        <v>311</v>
      </c>
      <c r="B22" s="18" t="s">
        <v>1267</v>
      </c>
      <c r="C22" s="19">
        <v>46203</v>
      </c>
      <c r="D22" s="9" t="s">
        <v>1249</v>
      </c>
      <c r="E22" s="9" t="s">
        <v>1250</v>
      </c>
      <c r="F22" s="27" t="s">
        <v>1545</v>
      </c>
      <c r="G22" s="28" t="s">
        <v>1546</v>
      </c>
      <c r="H22" s="28" t="s">
        <v>1546</v>
      </c>
      <c r="I22" s="9" t="str">
        <f t="shared" si="0"/>
        <v>An Giang - Châu Đốc, (&gt;8-16 tấn), xe 67C 02626</v>
      </c>
      <c r="J22" s="9" t="s">
        <v>1251</v>
      </c>
      <c r="K22" s="9" t="s">
        <v>1252</v>
      </c>
      <c r="L22" s="9" t="s">
        <v>49</v>
      </c>
      <c r="M22" s="9" t="s">
        <v>50</v>
      </c>
      <c r="N22" s="9" t="s">
        <v>334</v>
      </c>
      <c r="O22" s="9" t="s">
        <v>335</v>
      </c>
      <c r="P22" s="9" t="s">
        <v>336</v>
      </c>
      <c r="Q22" s="9" t="s">
        <v>23</v>
      </c>
      <c r="R22" s="9" t="s">
        <v>54</v>
      </c>
      <c r="S22" s="9" t="s">
        <v>138</v>
      </c>
      <c r="T22" s="9" t="s">
        <v>338</v>
      </c>
      <c r="U22" s="9" t="s">
        <v>1304</v>
      </c>
      <c r="V22" s="8">
        <f t="shared" si="5"/>
        <v>0.432</v>
      </c>
      <c r="W22" s="9">
        <f t="shared" si="6"/>
        <v>0</v>
      </c>
      <c r="X22" s="9">
        <f t="shared" si="7"/>
        <v>0</v>
      </c>
      <c r="AH22" s="9" t="s">
        <v>22</v>
      </c>
      <c r="AI22" s="9" t="s">
        <v>1569</v>
      </c>
      <c r="AL22" s="9" t="s">
        <v>23</v>
      </c>
      <c r="AM22" s="9" t="s">
        <v>23</v>
      </c>
      <c r="AN22" s="9" t="s">
        <v>23</v>
      </c>
      <c r="AO22" s="9" t="s">
        <v>23</v>
      </c>
      <c r="AP22" s="9" t="s">
        <v>23</v>
      </c>
      <c r="AQ22" s="9" t="s">
        <v>23</v>
      </c>
      <c r="AS22" s="9" t="s">
        <v>23</v>
      </c>
      <c r="AT22" s="9" t="s">
        <v>1263</v>
      </c>
      <c r="AU22" s="9" t="s">
        <v>320</v>
      </c>
      <c r="AV22" s="9" t="s">
        <v>1254</v>
      </c>
      <c r="AW22" s="9" t="s">
        <v>61</v>
      </c>
      <c r="AX22" s="9" t="s">
        <v>62</v>
      </c>
      <c r="AY22" s="9" t="s">
        <v>321</v>
      </c>
      <c r="AZ22" s="9" t="s">
        <v>322</v>
      </c>
      <c r="BA22" s="9" t="s">
        <v>322</v>
      </c>
      <c r="BB22" s="9" t="s">
        <v>23</v>
      </c>
      <c r="BC22" s="9" t="s">
        <v>323</v>
      </c>
      <c r="BD22" s="9" t="s">
        <v>324</v>
      </c>
      <c r="BE22" s="9" t="s">
        <v>1273</v>
      </c>
      <c r="BF22" s="9" t="s">
        <v>1274</v>
      </c>
      <c r="BG22" s="9" t="s">
        <v>118</v>
      </c>
      <c r="BH22" s="9" t="s">
        <v>71</v>
      </c>
      <c r="BI22" s="9" t="s">
        <v>23</v>
      </c>
      <c r="BJ22" s="9" t="s">
        <v>23</v>
      </c>
      <c r="BK22" s="9" t="s">
        <v>23</v>
      </c>
    </row>
    <row r="23" spans="1:65" ht="15.75" x14ac:dyDescent="0.25">
      <c r="A23" s="9" t="s">
        <v>311</v>
      </c>
      <c r="B23" s="18" t="s">
        <v>1267</v>
      </c>
      <c r="C23" s="19">
        <v>46203</v>
      </c>
      <c r="D23" s="9" t="s">
        <v>1249</v>
      </c>
      <c r="E23" s="9" t="s">
        <v>1250</v>
      </c>
      <c r="F23" s="27" t="s">
        <v>1545</v>
      </c>
      <c r="G23" s="28" t="s">
        <v>1546</v>
      </c>
      <c r="H23" s="28" t="s">
        <v>1546</v>
      </c>
      <c r="I23" s="9" t="str">
        <f t="shared" si="0"/>
        <v>An Giang - Châu Đốc, (&gt;8-16 tấn), xe 67C 02626</v>
      </c>
      <c r="J23" s="9" t="s">
        <v>1251</v>
      </c>
      <c r="K23" s="9" t="s">
        <v>1252</v>
      </c>
      <c r="L23" s="9" t="s">
        <v>49</v>
      </c>
      <c r="M23" s="9" t="s">
        <v>50</v>
      </c>
      <c r="N23" s="9" t="s">
        <v>1305</v>
      </c>
      <c r="O23" s="9" t="s">
        <v>1306</v>
      </c>
      <c r="P23" s="9" t="s">
        <v>1307</v>
      </c>
      <c r="Q23" s="9" t="s">
        <v>23</v>
      </c>
      <c r="R23" s="9" t="s">
        <v>54</v>
      </c>
      <c r="S23" s="9" t="s">
        <v>361</v>
      </c>
      <c r="T23" s="9" t="s">
        <v>55</v>
      </c>
      <c r="U23" s="9" t="s">
        <v>337</v>
      </c>
      <c r="V23" s="8">
        <f t="shared" si="5"/>
        <v>4.4999999999999998E-2</v>
      </c>
      <c r="W23" s="9">
        <f t="shared" si="6"/>
        <v>0</v>
      </c>
      <c r="X23" s="9">
        <f t="shared" si="7"/>
        <v>0</v>
      </c>
      <c r="AH23" s="9" t="s">
        <v>22</v>
      </c>
      <c r="AI23" s="9" t="s">
        <v>1569</v>
      </c>
      <c r="AL23" s="9" t="s">
        <v>23</v>
      </c>
      <c r="AM23" s="9" t="s">
        <v>23</v>
      </c>
      <c r="AN23" s="9" t="s">
        <v>23</v>
      </c>
      <c r="AO23" s="9" t="s">
        <v>23</v>
      </c>
      <c r="AP23" s="9" t="s">
        <v>23</v>
      </c>
      <c r="AQ23" s="9" t="s">
        <v>23</v>
      </c>
      <c r="AS23" s="9" t="s">
        <v>23</v>
      </c>
      <c r="AT23" s="9" t="s">
        <v>1263</v>
      </c>
      <c r="AU23" s="9" t="s">
        <v>320</v>
      </c>
      <c r="AV23" s="9" t="s">
        <v>1254</v>
      </c>
      <c r="AW23" s="9" t="s">
        <v>61</v>
      </c>
      <c r="AX23" s="9" t="s">
        <v>62</v>
      </c>
      <c r="AY23" s="9" t="s">
        <v>321</v>
      </c>
      <c r="AZ23" s="9" t="s">
        <v>322</v>
      </c>
      <c r="BA23" s="9" t="s">
        <v>322</v>
      </c>
      <c r="BB23" s="9" t="s">
        <v>23</v>
      </c>
      <c r="BC23" s="9" t="s">
        <v>323</v>
      </c>
      <c r="BD23" s="9" t="s">
        <v>324</v>
      </c>
      <c r="BE23" s="9" t="s">
        <v>1273</v>
      </c>
      <c r="BF23" s="9" t="s">
        <v>1274</v>
      </c>
      <c r="BG23" s="9" t="s">
        <v>118</v>
      </c>
      <c r="BH23" s="9" t="s">
        <v>71</v>
      </c>
      <c r="BI23" s="9" t="s">
        <v>23</v>
      </c>
      <c r="BJ23" s="9" t="s">
        <v>23</v>
      </c>
      <c r="BK23" s="9" t="s">
        <v>23</v>
      </c>
    </row>
    <row r="24" spans="1:65" ht="15.75" x14ac:dyDescent="0.25">
      <c r="A24" s="9" t="s">
        <v>311</v>
      </c>
      <c r="B24" s="18" t="s">
        <v>1267</v>
      </c>
      <c r="C24" s="19">
        <v>46203</v>
      </c>
      <c r="D24" s="9" t="s">
        <v>1249</v>
      </c>
      <c r="E24" s="9" t="s">
        <v>1250</v>
      </c>
      <c r="F24" s="27" t="s">
        <v>1545</v>
      </c>
      <c r="G24" s="28" t="s">
        <v>1546</v>
      </c>
      <c r="H24" s="28" t="s">
        <v>1546</v>
      </c>
      <c r="I24" s="9" t="str">
        <f t="shared" si="0"/>
        <v>An Giang - Châu Đốc, (&gt;8-16 tấn), xe 67C 02626</v>
      </c>
      <c r="J24" s="9" t="s">
        <v>1251</v>
      </c>
      <c r="K24" s="9" t="s">
        <v>1252</v>
      </c>
      <c r="L24" s="9" t="s">
        <v>49</v>
      </c>
      <c r="M24" s="9" t="s">
        <v>50</v>
      </c>
      <c r="N24" s="9" t="s">
        <v>1308</v>
      </c>
      <c r="O24" s="9" t="s">
        <v>1309</v>
      </c>
      <c r="P24" s="9" t="s">
        <v>1310</v>
      </c>
      <c r="Q24" s="9" t="s">
        <v>23</v>
      </c>
      <c r="R24" s="9" t="s">
        <v>54</v>
      </c>
      <c r="S24" s="9" t="s">
        <v>164</v>
      </c>
      <c r="T24" s="9" t="s">
        <v>196</v>
      </c>
      <c r="U24" s="9" t="s">
        <v>403</v>
      </c>
      <c r="V24" s="8">
        <f t="shared" si="5"/>
        <v>0.24</v>
      </c>
      <c r="W24" s="9">
        <f t="shared" si="6"/>
        <v>0</v>
      </c>
      <c r="X24" s="9">
        <f t="shared" si="7"/>
        <v>0</v>
      </c>
      <c r="AH24" s="9" t="s">
        <v>22</v>
      </c>
      <c r="AI24" s="9" t="s">
        <v>1569</v>
      </c>
      <c r="AL24" s="9" t="s">
        <v>23</v>
      </c>
      <c r="AM24" s="9" t="s">
        <v>23</v>
      </c>
      <c r="AN24" s="9" t="s">
        <v>23</v>
      </c>
      <c r="AO24" s="9" t="s">
        <v>23</v>
      </c>
      <c r="AP24" s="9" t="s">
        <v>23</v>
      </c>
      <c r="AQ24" s="9" t="s">
        <v>23</v>
      </c>
      <c r="AS24" s="9" t="s">
        <v>23</v>
      </c>
      <c r="AT24" s="9" t="s">
        <v>1263</v>
      </c>
      <c r="AU24" s="9" t="s">
        <v>320</v>
      </c>
      <c r="AV24" s="9" t="s">
        <v>1254</v>
      </c>
      <c r="AW24" s="9" t="s">
        <v>61</v>
      </c>
      <c r="AX24" s="9" t="s">
        <v>62</v>
      </c>
      <c r="AY24" s="9" t="s">
        <v>321</v>
      </c>
      <c r="AZ24" s="9" t="s">
        <v>322</v>
      </c>
      <c r="BA24" s="9" t="s">
        <v>322</v>
      </c>
      <c r="BB24" s="9" t="s">
        <v>23</v>
      </c>
      <c r="BC24" s="9" t="s">
        <v>323</v>
      </c>
      <c r="BD24" s="9" t="s">
        <v>324</v>
      </c>
      <c r="BE24" s="9" t="s">
        <v>1273</v>
      </c>
      <c r="BF24" s="9" t="s">
        <v>1274</v>
      </c>
      <c r="BG24" s="9" t="s">
        <v>118</v>
      </c>
      <c r="BH24" s="9" t="s">
        <v>71</v>
      </c>
      <c r="BI24" s="9" t="s">
        <v>23</v>
      </c>
      <c r="BJ24" s="9" t="s">
        <v>23</v>
      </c>
      <c r="BK24" s="9" t="s">
        <v>23</v>
      </c>
    </row>
    <row r="25" spans="1:65" ht="15.75" x14ac:dyDescent="0.25">
      <c r="A25" s="9" t="s">
        <v>311</v>
      </c>
      <c r="B25" s="18" t="s">
        <v>1311</v>
      </c>
      <c r="C25" s="19">
        <v>46203</v>
      </c>
      <c r="D25" s="9" t="s">
        <v>1249</v>
      </c>
      <c r="E25" s="9" t="s">
        <v>1250</v>
      </c>
      <c r="F25" s="27" t="s">
        <v>1545</v>
      </c>
      <c r="G25" s="28" t="s">
        <v>1546</v>
      </c>
      <c r="H25" s="28" t="s">
        <v>1546</v>
      </c>
      <c r="I25" s="9" t="str">
        <f t="shared" si="0"/>
        <v>An Giang - Châu Đốc, (&gt;8-16 tấn), xe 67C 02626</v>
      </c>
      <c r="J25" s="9" t="s">
        <v>1251</v>
      </c>
      <c r="K25" s="9" t="s">
        <v>1252</v>
      </c>
      <c r="L25" s="9" t="s">
        <v>49</v>
      </c>
      <c r="M25" s="9" t="s">
        <v>50</v>
      </c>
      <c r="N25" s="9" t="s">
        <v>1275</v>
      </c>
      <c r="O25" s="9" t="s">
        <v>1276</v>
      </c>
      <c r="P25" s="9" t="s">
        <v>1277</v>
      </c>
      <c r="Q25" s="9" t="s">
        <v>23</v>
      </c>
      <c r="R25" s="9" t="s">
        <v>54</v>
      </c>
      <c r="S25" s="9" t="s">
        <v>393</v>
      </c>
      <c r="T25" s="9" t="s">
        <v>1279</v>
      </c>
      <c r="U25" s="9">
        <v>1047.68</v>
      </c>
      <c r="V25" s="8">
        <f t="shared" si="5"/>
        <v>1.048</v>
      </c>
      <c r="W25" s="9">
        <f t="shared" si="6"/>
        <v>1.0720000000000001</v>
      </c>
      <c r="X25" s="9">
        <f t="shared" si="7"/>
        <v>0</v>
      </c>
      <c r="AH25" s="9" t="s">
        <v>22</v>
      </c>
      <c r="AI25" s="9" t="s">
        <v>1569</v>
      </c>
      <c r="AL25" s="9" t="s">
        <v>23</v>
      </c>
      <c r="AM25" s="9" t="s">
        <v>23</v>
      </c>
      <c r="AN25" s="9" t="s">
        <v>23</v>
      </c>
      <c r="AO25" s="9" t="s">
        <v>23</v>
      </c>
      <c r="AP25" s="9" t="s">
        <v>23</v>
      </c>
      <c r="AQ25" s="9" t="s">
        <v>23</v>
      </c>
      <c r="AS25" s="9" t="s">
        <v>23</v>
      </c>
      <c r="AT25" s="9" t="s">
        <v>1263</v>
      </c>
      <c r="AU25" s="9" t="s">
        <v>320</v>
      </c>
      <c r="AV25" s="9" t="s">
        <v>1259</v>
      </c>
      <c r="AW25" s="9" t="s">
        <v>61</v>
      </c>
      <c r="AX25" s="9" t="s">
        <v>62</v>
      </c>
      <c r="AY25" s="9" t="s">
        <v>321</v>
      </c>
      <c r="AZ25" s="9" t="s">
        <v>322</v>
      </c>
      <c r="BA25" s="9" t="s">
        <v>322</v>
      </c>
      <c r="BB25" s="9" t="s">
        <v>98</v>
      </c>
      <c r="BC25" s="9" t="s">
        <v>323</v>
      </c>
      <c r="BD25" s="9" t="s">
        <v>324</v>
      </c>
      <c r="BE25" s="9" t="s">
        <v>1313</v>
      </c>
      <c r="BF25" s="9" t="s">
        <v>1314</v>
      </c>
      <c r="BG25" s="9" t="s">
        <v>118</v>
      </c>
      <c r="BH25" s="9" t="s">
        <v>71</v>
      </c>
      <c r="BI25" s="9" t="s">
        <v>23</v>
      </c>
      <c r="BJ25" s="9" t="s">
        <v>23</v>
      </c>
      <c r="BK25" s="9" t="s">
        <v>23</v>
      </c>
    </row>
    <row r="26" spans="1:65" ht="15.75" x14ac:dyDescent="0.25">
      <c r="A26" s="9" t="s">
        <v>311</v>
      </c>
      <c r="B26" s="18" t="s">
        <v>1311</v>
      </c>
      <c r="C26" s="19">
        <v>46203</v>
      </c>
      <c r="D26" s="9" t="s">
        <v>1249</v>
      </c>
      <c r="E26" s="9" t="s">
        <v>1250</v>
      </c>
      <c r="F26" s="27" t="s">
        <v>1545</v>
      </c>
      <c r="G26" s="28" t="s">
        <v>1546</v>
      </c>
      <c r="H26" s="28" t="s">
        <v>1546</v>
      </c>
      <c r="I26" s="9" t="str">
        <f t="shared" si="0"/>
        <v>An Giang - Châu Đốc, (&gt;8-16 tấn), xe 67C 02626</v>
      </c>
      <c r="J26" s="9" t="s">
        <v>1251</v>
      </c>
      <c r="K26" s="9" t="s">
        <v>1252</v>
      </c>
      <c r="L26" s="9" t="s">
        <v>49</v>
      </c>
      <c r="M26" s="9" t="s">
        <v>50</v>
      </c>
      <c r="N26" s="9" t="s">
        <v>489</v>
      </c>
      <c r="O26" s="9" t="s">
        <v>490</v>
      </c>
      <c r="P26" s="9" t="s">
        <v>491</v>
      </c>
      <c r="Q26" s="9" t="s">
        <v>23</v>
      </c>
      <c r="R26" s="9" t="s">
        <v>54</v>
      </c>
      <c r="S26" s="9" t="s">
        <v>75</v>
      </c>
      <c r="T26" s="9" t="s">
        <v>196</v>
      </c>
      <c r="U26" s="9" t="s">
        <v>249</v>
      </c>
      <c r="V26" s="8">
        <f t="shared" si="5"/>
        <v>2.4E-2</v>
      </c>
      <c r="W26" s="9">
        <f t="shared" si="6"/>
        <v>0</v>
      </c>
      <c r="X26" s="9">
        <f t="shared" si="7"/>
        <v>0</v>
      </c>
      <c r="AH26" s="9" t="s">
        <v>22</v>
      </c>
      <c r="AI26" s="9" t="s">
        <v>1569</v>
      </c>
      <c r="AL26" s="9" t="s">
        <v>23</v>
      </c>
      <c r="AM26" s="9" t="s">
        <v>23</v>
      </c>
      <c r="AN26" s="9" t="s">
        <v>23</v>
      </c>
      <c r="AO26" s="9" t="s">
        <v>23</v>
      </c>
      <c r="AP26" s="9" t="s">
        <v>23</v>
      </c>
      <c r="AQ26" s="9" t="s">
        <v>23</v>
      </c>
      <c r="AS26" s="9" t="s">
        <v>23</v>
      </c>
      <c r="AT26" s="9" t="s">
        <v>1263</v>
      </c>
      <c r="AU26" s="9" t="s">
        <v>320</v>
      </c>
      <c r="AV26" s="9" t="s">
        <v>1259</v>
      </c>
      <c r="AW26" s="9" t="s">
        <v>61</v>
      </c>
      <c r="AX26" s="9" t="s">
        <v>62</v>
      </c>
      <c r="AY26" s="9" t="s">
        <v>321</v>
      </c>
      <c r="AZ26" s="9" t="s">
        <v>322</v>
      </c>
      <c r="BA26" s="9" t="s">
        <v>322</v>
      </c>
      <c r="BB26" s="9" t="s">
        <v>98</v>
      </c>
      <c r="BC26" s="9" t="s">
        <v>323</v>
      </c>
      <c r="BD26" s="9" t="s">
        <v>324</v>
      </c>
      <c r="BE26" s="9" t="s">
        <v>1313</v>
      </c>
      <c r="BF26" s="9" t="s">
        <v>1314</v>
      </c>
      <c r="BG26" s="9" t="s">
        <v>118</v>
      </c>
      <c r="BH26" s="9" t="s">
        <v>71</v>
      </c>
      <c r="BI26" s="9" t="s">
        <v>23</v>
      </c>
      <c r="BJ26" s="9" t="s">
        <v>23</v>
      </c>
      <c r="BK26" s="9" t="s">
        <v>23</v>
      </c>
    </row>
    <row r="27" spans="1:65" ht="16.5" customHeight="1" x14ac:dyDescent="0.25">
      <c r="A27" s="53"/>
      <c r="B27" s="53"/>
      <c r="C27" s="54" t="s">
        <v>1572</v>
      </c>
      <c r="D27" s="55" t="str">
        <f>D26</f>
        <v>67C 02626</v>
      </c>
      <c r="E27" s="53"/>
      <c r="F27" s="55" t="str">
        <f>I26</f>
        <v>An Giang - Châu Đốc, (&gt;8-16 tấn), xe 67C 02626</v>
      </c>
      <c r="G27" s="53"/>
      <c r="H27" s="53"/>
      <c r="I27" s="56"/>
      <c r="J27" s="55"/>
      <c r="K27" s="53"/>
      <c r="L27" s="57"/>
      <c r="M27" s="53"/>
      <c r="N27" s="53"/>
      <c r="O27" s="53"/>
      <c r="P27" s="53"/>
      <c r="Q27" s="53"/>
      <c r="R27" s="53"/>
      <c r="S27" s="58"/>
      <c r="T27" s="59"/>
      <c r="U27" s="59"/>
      <c r="V27" s="60">
        <f>SUM(V12:V26)</f>
        <v>7.2450000000000001</v>
      </c>
      <c r="W27" s="60">
        <f t="shared" ref="W27:X27" si="8">SUM(W12:W26)</f>
        <v>7.2450000000000001</v>
      </c>
      <c r="X27" s="60">
        <f t="shared" si="8"/>
        <v>7.2450000000000001</v>
      </c>
      <c r="Y27" s="59"/>
      <c r="Z27" s="61"/>
      <c r="AA27" s="61"/>
      <c r="AB27" s="61"/>
      <c r="AC27" s="61"/>
      <c r="AD27" s="61">
        <f>SUM(AD12:AD26)</f>
        <v>4013730</v>
      </c>
      <c r="AE27" s="61">
        <f>SUM(AE12:AE26)</f>
        <v>4013730</v>
      </c>
      <c r="AF27" s="61"/>
      <c r="AG27" s="61"/>
      <c r="AH27" s="62"/>
      <c r="AI27" s="62"/>
      <c r="AJ27" s="62"/>
      <c r="AK27" s="62"/>
      <c r="AL27" s="63"/>
      <c r="AM27" s="62"/>
      <c r="AN27" s="62"/>
      <c r="AO27" s="62"/>
      <c r="AP27" s="62"/>
      <c r="AQ27" s="62"/>
      <c r="AR27" s="62"/>
      <c r="AS27" s="62"/>
      <c r="AT27" s="64"/>
      <c r="AU27" s="64"/>
      <c r="AV27" s="64"/>
      <c r="AW27" s="65" t="str">
        <f>AW26</f>
        <v>RETAILS</v>
      </c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</row>
    <row r="28" spans="1:65" ht="15.75" x14ac:dyDescent="0.25">
      <c r="A28" s="9" t="s">
        <v>311</v>
      </c>
      <c r="B28" s="18" t="s">
        <v>1444</v>
      </c>
      <c r="C28" s="19">
        <v>46203</v>
      </c>
      <c r="D28" s="9" t="s">
        <v>1359</v>
      </c>
      <c r="E28" s="9" t="s">
        <v>1360</v>
      </c>
      <c r="F28" s="27" t="s">
        <v>1544</v>
      </c>
      <c r="G28" s="28" t="s">
        <v>1368</v>
      </c>
      <c r="H28" s="28" t="s">
        <v>1368</v>
      </c>
      <c r="I28" s="9" t="str">
        <f t="shared" si="0"/>
        <v>An Giang - Hà Tiên, (&gt;8-16 tấn), xe 95G 00283</v>
      </c>
      <c r="J28" s="9" t="s">
        <v>1361</v>
      </c>
      <c r="K28" s="9" t="s">
        <v>1362</v>
      </c>
      <c r="L28" s="9" t="s">
        <v>49</v>
      </c>
      <c r="M28" s="9" t="s">
        <v>50</v>
      </c>
      <c r="N28" s="9" t="s">
        <v>493</v>
      </c>
      <c r="O28" s="9" t="s">
        <v>494</v>
      </c>
      <c r="P28" s="9" t="s">
        <v>495</v>
      </c>
      <c r="Q28" s="9" t="s">
        <v>23</v>
      </c>
      <c r="R28" s="9" t="s">
        <v>496</v>
      </c>
      <c r="S28" s="9" t="s">
        <v>356</v>
      </c>
      <c r="T28" s="9" t="s">
        <v>497</v>
      </c>
      <c r="U28" s="9" t="s">
        <v>497</v>
      </c>
      <c r="V28" s="8">
        <f t="shared" ref="V28:V39" si="9">ROUND(U28/1000,3)</f>
        <v>0</v>
      </c>
      <c r="W28" s="9">
        <f>(IF($B28=$B26,0,SUMIF($B:$B,$B28,$V:$V)))</f>
        <v>0</v>
      </c>
      <c r="X28" s="9">
        <f>+IF(AND(D28=D26,C28=C26),0,SUMIFS($V:$V,$C:$C,$C28,$D:$D,$D28))</f>
        <v>3.3290000000000011</v>
      </c>
      <c r="Y28" s="20">
        <f>AL28</f>
        <v>16.989999999999998</v>
      </c>
      <c r="Z28" s="38">
        <v>631000</v>
      </c>
      <c r="AD28" s="39">
        <f>ROUND(X28*SUM(Z28:AB28),0)</f>
        <v>2100599</v>
      </c>
      <c r="AE28" s="39">
        <f>ROUND(X28*Z28,0)</f>
        <v>2100599</v>
      </c>
      <c r="AH28" s="9" t="s">
        <v>22</v>
      </c>
      <c r="AI28" s="9" t="s">
        <v>1569</v>
      </c>
      <c r="AL28" s="20">
        <f>SUM(AM28:AR28)</f>
        <v>16.989999999999998</v>
      </c>
      <c r="AM28" s="20">
        <v>13.061</v>
      </c>
      <c r="AO28" s="20">
        <v>0.317</v>
      </c>
      <c r="AP28" s="20">
        <v>0.28299999999999997</v>
      </c>
      <c r="AQ28" s="9">
        <v>3.3290000000000002</v>
      </c>
      <c r="AR28" s="20"/>
      <c r="AS28" s="9" t="s">
        <v>23</v>
      </c>
      <c r="AT28" s="9" t="s">
        <v>1445</v>
      </c>
      <c r="AU28" s="9" t="s">
        <v>320</v>
      </c>
      <c r="AV28" s="9" t="s">
        <v>1446</v>
      </c>
      <c r="AW28" s="9" t="s">
        <v>61</v>
      </c>
      <c r="AX28" s="9" t="s">
        <v>62</v>
      </c>
      <c r="AY28" s="9" t="s">
        <v>321</v>
      </c>
      <c r="AZ28" s="9" t="s">
        <v>322</v>
      </c>
      <c r="BA28" s="9" t="s">
        <v>322</v>
      </c>
      <c r="BB28" s="9" t="s">
        <v>23</v>
      </c>
      <c r="BC28" s="9" t="s">
        <v>323</v>
      </c>
      <c r="BD28" s="9" t="s">
        <v>324</v>
      </c>
      <c r="BE28" s="9" t="s">
        <v>1447</v>
      </c>
      <c r="BF28" s="9" t="s">
        <v>1448</v>
      </c>
      <c r="BG28" s="9" t="s">
        <v>118</v>
      </c>
      <c r="BH28" s="9" t="s">
        <v>501</v>
      </c>
      <c r="BI28" s="9" t="s">
        <v>1367</v>
      </c>
      <c r="BJ28" s="9" t="s">
        <v>1368</v>
      </c>
      <c r="BK28" s="9" t="s">
        <v>1369</v>
      </c>
    </row>
    <row r="29" spans="1:65" ht="15.75" x14ac:dyDescent="0.25">
      <c r="A29" s="9" t="s">
        <v>311</v>
      </c>
      <c r="B29" s="18" t="s">
        <v>1449</v>
      </c>
      <c r="C29" s="19">
        <v>46203</v>
      </c>
      <c r="D29" s="9" t="s">
        <v>1359</v>
      </c>
      <c r="E29" s="9" t="s">
        <v>1360</v>
      </c>
      <c r="F29" s="27" t="s">
        <v>1544</v>
      </c>
      <c r="G29" s="28" t="s">
        <v>1368</v>
      </c>
      <c r="H29" s="28" t="s">
        <v>1368</v>
      </c>
      <c r="I29" s="9" t="str">
        <f t="shared" si="0"/>
        <v>An Giang - Hà Tiên, (&gt;8-16 tấn), xe 95G 00283</v>
      </c>
      <c r="J29" s="9" t="s">
        <v>1361</v>
      </c>
      <c r="K29" s="9" t="s">
        <v>1362</v>
      </c>
      <c r="L29" s="9" t="s">
        <v>49</v>
      </c>
      <c r="M29" s="9" t="s">
        <v>50</v>
      </c>
      <c r="N29" s="9" t="s">
        <v>1275</v>
      </c>
      <c r="O29" s="9" t="s">
        <v>1276</v>
      </c>
      <c r="P29" s="9" t="s">
        <v>1277</v>
      </c>
      <c r="Q29" s="9" t="s">
        <v>23</v>
      </c>
      <c r="R29" s="9" t="s">
        <v>54</v>
      </c>
      <c r="S29" s="9" t="s">
        <v>154</v>
      </c>
      <c r="T29" s="9" t="s">
        <v>1279</v>
      </c>
      <c r="U29" s="9">
        <v>2357.2800000000002</v>
      </c>
      <c r="V29" s="8">
        <f t="shared" si="9"/>
        <v>2.3570000000000002</v>
      </c>
      <c r="W29" s="9">
        <f t="shared" ref="W29:W39" si="10">(IF($B29=$B28,0,SUMIF($B:$B,$B29,$V:$V)))</f>
        <v>3.0460000000000007</v>
      </c>
      <c r="X29" s="9">
        <f t="shared" ref="X29:X39" si="11">+IF(AND(D29=D28,C29=C28),0,SUMIFS($V:$V,$C:$C,$C29,$D:$D,$D29))</f>
        <v>0</v>
      </c>
      <c r="AH29" s="9" t="s">
        <v>22</v>
      </c>
      <c r="AI29" s="9" t="s">
        <v>1569</v>
      </c>
      <c r="AL29" s="9" t="s">
        <v>23</v>
      </c>
      <c r="AM29" s="9" t="s">
        <v>23</v>
      </c>
      <c r="AN29" s="9" t="s">
        <v>23</v>
      </c>
      <c r="AO29" s="9" t="s">
        <v>23</v>
      </c>
      <c r="AP29" s="9" t="s">
        <v>23</v>
      </c>
      <c r="AQ29" s="9" t="s">
        <v>23</v>
      </c>
      <c r="AS29" s="9" t="s">
        <v>23</v>
      </c>
      <c r="AT29" s="9" t="s">
        <v>1445</v>
      </c>
      <c r="AU29" s="9" t="s">
        <v>320</v>
      </c>
      <c r="AV29" s="9" t="s">
        <v>1392</v>
      </c>
      <c r="AW29" s="9" t="s">
        <v>61</v>
      </c>
      <c r="AX29" s="9" t="s">
        <v>62</v>
      </c>
      <c r="AY29" s="9" t="s">
        <v>321</v>
      </c>
      <c r="AZ29" s="9" t="s">
        <v>322</v>
      </c>
      <c r="BA29" s="9" t="s">
        <v>322</v>
      </c>
      <c r="BB29" s="9" t="s">
        <v>23</v>
      </c>
      <c r="BC29" s="9" t="s">
        <v>323</v>
      </c>
      <c r="BD29" s="9" t="s">
        <v>324</v>
      </c>
      <c r="BE29" s="9" t="s">
        <v>1451</v>
      </c>
      <c r="BF29" s="9" t="s">
        <v>1452</v>
      </c>
      <c r="BG29" s="9" t="s">
        <v>118</v>
      </c>
      <c r="BH29" s="9" t="s">
        <v>71</v>
      </c>
      <c r="BI29" s="9" t="s">
        <v>1367</v>
      </c>
      <c r="BJ29" s="9" t="s">
        <v>1368</v>
      </c>
      <c r="BK29" s="9" t="s">
        <v>1369</v>
      </c>
    </row>
    <row r="30" spans="1:65" ht="15.75" x14ac:dyDescent="0.25">
      <c r="A30" s="9" t="s">
        <v>311</v>
      </c>
      <c r="B30" s="18" t="s">
        <v>1449</v>
      </c>
      <c r="C30" s="19">
        <v>46203</v>
      </c>
      <c r="D30" s="9" t="s">
        <v>1359</v>
      </c>
      <c r="E30" s="9" t="s">
        <v>1360</v>
      </c>
      <c r="F30" s="27" t="s">
        <v>1544</v>
      </c>
      <c r="G30" s="28" t="s">
        <v>1368</v>
      </c>
      <c r="H30" s="28" t="s">
        <v>1368</v>
      </c>
      <c r="I30" s="9" t="str">
        <f t="shared" si="0"/>
        <v>An Giang - Hà Tiên, (&gt;8-16 tấn), xe 95G 00283</v>
      </c>
      <c r="J30" s="9" t="s">
        <v>1361</v>
      </c>
      <c r="K30" s="9" t="s">
        <v>1362</v>
      </c>
      <c r="L30" s="9" t="s">
        <v>49</v>
      </c>
      <c r="M30" s="9" t="s">
        <v>50</v>
      </c>
      <c r="N30" s="9" t="s">
        <v>329</v>
      </c>
      <c r="O30" s="9" t="s">
        <v>330</v>
      </c>
      <c r="P30" s="9" t="s">
        <v>331</v>
      </c>
      <c r="Q30" s="9" t="s">
        <v>23</v>
      </c>
      <c r="R30" s="9" t="s">
        <v>54</v>
      </c>
      <c r="S30" s="9" t="s">
        <v>106</v>
      </c>
      <c r="T30" s="9" t="s">
        <v>77</v>
      </c>
      <c r="U30" s="9" t="s">
        <v>218</v>
      </c>
      <c r="V30" s="8">
        <f t="shared" si="9"/>
        <v>9.6000000000000002E-2</v>
      </c>
      <c r="W30" s="9">
        <f t="shared" si="10"/>
        <v>0</v>
      </c>
      <c r="X30" s="9">
        <f t="shared" si="11"/>
        <v>0</v>
      </c>
      <c r="AH30" s="9" t="s">
        <v>22</v>
      </c>
      <c r="AI30" s="9" t="s">
        <v>1569</v>
      </c>
      <c r="AL30" s="9" t="s">
        <v>23</v>
      </c>
      <c r="AM30" s="9" t="s">
        <v>23</v>
      </c>
      <c r="AN30" s="9" t="s">
        <v>23</v>
      </c>
      <c r="AO30" s="9" t="s">
        <v>23</v>
      </c>
      <c r="AP30" s="9" t="s">
        <v>23</v>
      </c>
      <c r="AQ30" s="9" t="s">
        <v>23</v>
      </c>
      <c r="AS30" s="9" t="s">
        <v>23</v>
      </c>
      <c r="AT30" s="9" t="s">
        <v>1445</v>
      </c>
      <c r="AU30" s="9" t="s">
        <v>320</v>
      </c>
      <c r="AV30" s="9" t="s">
        <v>1392</v>
      </c>
      <c r="AW30" s="9" t="s">
        <v>61</v>
      </c>
      <c r="AX30" s="9" t="s">
        <v>62</v>
      </c>
      <c r="AY30" s="9" t="s">
        <v>321</v>
      </c>
      <c r="AZ30" s="9" t="s">
        <v>322</v>
      </c>
      <c r="BA30" s="9" t="s">
        <v>322</v>
      </c>
      <c r="BB30" s="9" t="s">
        <v>23</v>
      </c>
      <c r="BC30" s="9" t="s">
        <v>323</v>
      </c>
      <c r="BD30" s="9" t="s">
        <v>324</v>
      </c>
      <c r="BE30" s="9" t="s">
        <v>1451</v>
      </c>
      <c r="BF30" s="9" t="s">
        <v>1452</v>
      </c>
      <c r="BG30" s="9" t="s">
        <v>118</v>
      </c>
      <c r="BH30" s="9" t="s">
        <v>71</v>
      </c>
      <c r="BI30" s="9" t="s">
        <v>1367</v>
      </c>
      <c r="BJ30" s="9" t="s">
        <v>1368</v>
      </c>
      <c r="BK30" s="9" t="s">
        <v>1369</v>
      </c>
    </row>
    <row r="31" spans="1:65" ht="15.75" x14ac:dyDescent="0.25">
      <c r="A31" s="9" t="s">
        <v>311</v>
      </c>
      <c r="B31" s="18" t="s">
        <v>1449</v>
      </c>
      <c r="C31" s="19">
        <v>46203</v>
      </c>
      <c r="D31" s="9" t="s">
        <v>1359</v>
      </c>
      <c r="E31" s="9" t="s">
        <v>1360</v>
      </c>
      <c r="F31" s="27" t="s">
        <v>1544</v>
      </c>
      <c r="G31" s="28" t="s">
        <v>1368</v>
      </c>
      <c r="H31" s="28" t="s">
        <v>1368</v>
      </c>
      <c r="I31" s="9" t="str">
        <f t="shared" si="0"/>
        <v>An Giang - Hà Tiên, (&gt;8-16 tấn), xe 95G 00283</v>
      </c>
      <c r="J31" s="9" t="s">
        <v>1361</v>
      </c>
      <c r="K31" s="9" t="s">
        <v>1362</v>
      </c>
      <c r="L31" s="9" t="s">
        <v>49</v>
      </c>
      <c r="M31" s="9" t="s">
        <v>50</v>
      </c>
      <c r="N31" s="9" t="s">
        <v>1145</v>
      </c>
      <c r="O31" s="9" t="s">
        <v>1146</v>
      </c>
      <c r="P31" s="9" t="s">
        <v>1147</v>
      </c>
      <c r="Q31" s="9" t="s">
        <v>23</v>
      </c>
      <c r="R31" s="9" t="s">
        <v>54</v>
      </c>
      <c r="S31" s="9" t="s">
        <v>195</v>
      </c>
      <c r="T31" s="9" t="s">
        <v>1148</v>
      </c>
      <c r="U31" s="9" t="s">
        <v>1453</v>
      </c>
      <c r="V31" s="8">
        <f t="shared" si="9"/>
        <v>8.4000000000000005E-2</v>
      </c>
      <c r="W31" s="9">
        <f t="shared" si="10"/>
        <v>0</v>
      </c>
      <c r="X31" s="9">
        <f t="shared" si="11"/>
        <v>0</v>
      </c>
      <c r="AH31" s="9" t="s">
        <v>22</v>
      </c>
      <c r="AI31" s="9" t="s">
        <v>1569</v>
      </c>
      <c r="AL31" s="9" t="s">
        <v>23</v>
      </c>
      <c r="AM31" s="9" t="s">
        <v>23</v>
      </c>
      <c r="AN31" s="9" t="s">
        <v>23</v>
      </c>
      <c r="AO31" s="9" t="s">
        <v>23</v>
      </c>
      <c r="AP31" s="9" t="s">
        <v>23</v>
      </c>
      <c r="AQ31" s="9" t="s">
        <v>23</v>
      </c>
      <c r="AS31" s="9" t="s">
        <v>23</v>
      </c>
      <c r="AT31" s="9" t="s">
        <v>1445</v>
      </c>
      <c r="AU31" s="9" t="s">
        <v>320</v>
      </c>
      <c r="AV31" s="9" t="s">
        <v>1392</v>
      </c>
      <c r="AW31" s="9" t="s">
        <v>61</v>
      </c>
      <c r="AX31" s="9" t="s">
        <v>62</v>
      </c>
      <c r="AY31" s="9" t="s">
        <v>321</v>
      </c>
      <c r="AZ31" s="9" t="s">
        <v>322</v>
      </c>
      <c r="BA31" s="9" t="s">
        <v>322</v>
      </c>
      <c r="BB31" s="9" t="s">
        <v>23</v>
      </c>
      <c r="BC31" s="9" t="s">
        <v>323</v>
      </c>
      <c r="BD31" s="9" t="s">
        <v>324</v>
      </c>
      <c r="BE31" s="9" t="s">
        <v>1451</v>
      </c>
      <c r="BF31" s="9" t="s">
        <v>1452</v>
      </c>
      <c r="BG31" s="9" t="s">
        <v>118</v>
      </c>
      <c r="BH31" s="9" t="s">
        <v>71</v>
      </c>
      <c r="BI31" s="9" t="s">
        <v>1367</v>
      </c>
      <c r="BJ31" s="9" t="s">
        <v>1368</v>
      </c>
      <c r="BK31" s="9" t="s">
        <v>1369</v>
      </c>
    </row>
    <row r="32" spans="1:65" ht="15.75" x14ac:dyDescent="0.25">
      <c r="A32" s="9" t="s">
        <v>311</v>
      </c>
      <c r="B32" s="18" t="s">
        <v>1449</v>
      </c>
      <c r="C32" s="19">
        <v>46203</v>
      </c>
      <c r="D32" s="9" t="s">
        <v>1359</v>
      </c>
      <c r="E32" s="9" t="s">
        <v>1360</v>
      </c>
      <c r="F32" s="27" t="s">
        <v>1544</v>
      </c>
      <c r="G32" s="28" t="s">
        <v>1368</v>
      </c>
      <c r="H32" s="28" t="s">
        <v>1368</v>
      </c>
      <c r="I32" s="9" t="str">
        <f t="shared" si="0"/>
        <v>An Giang - Hà Tiên, (&gt;8-16 tấn), xe 95G 00283</v>
      </c>
      <c r="J32" s="9" t="s">
        <v>1361</v>
      </c>
      <c r="K32" s="9" t="s">
        <v>1362</v>
      </c>
      <c r="L32" s="9" t="s">
        <v>49</v>
      </c>
      <c r="M32" s="9" t="s">
        <v>50</v>
      </c>
      <c r="N32" s="9" t="s">
        <v>1291</v>
      </c>
      <c r="O32" s="9" t="s">
        <v>1292</v>
      </c>
      <c r="P32" s="9" t="s">
        <v>1293</v>
      </c>
      <c r="Q32" s="9" t="s">
        <v>23</v>
      </c>
      <c r="R32" s="9" t="s">
        <v>54</v>
      </c>
      <c r="S32" s="9" t="s">
        <v>195</v>
      </c>
      <c r="T32" s="9" t="s">
        <v>1284</v>
      </c>
      <c r="U32" s="9">
        <v>30.6</v>
      </c>
      <c r="V32" s="8">
        <f t="shared" si="9"/>
        <v>3.1E-2</v>
      </c>
      <c r="W32" s="9">
        <f t="shared" si="10"/>
        <v>0</v>
      </c>
      <c r="X32" s="9">
        <f t="shared" si="11"/>
        <v>0</v>
      </c>
      <c r="AH32" s="9" t="s">
        <v>22</v>
      </c>
      <c r="AI32" s="9" t="s">
        <v>1569</v>
      </c>
      <c r="AL32" s="9" t="s">
        <v>23</v>
      </c>
      <c r="AM32" s="9" t="s">
        <v>23</v>
      </c>
      <c r="AN32" s="9" t="s">
        <v>23</v>
      </c>
      <c r="AO32" s="9" t="s">
        <v>23</v>
      </c>
      <c r="AP32" s="9" t="s">
        <v>23</v>
      </c>
      <c r="AQ32" s="9" t="s">
        <v>23</v>
      </c>
      <c r="AS32" s="9" t="s">
        <v>23</v>
      </c>
      <c r="AT32" s="9" t="s">
        <v>1445</v>
      </c>
      <c r="AU32" s="9" t="s">
        <v>320</v>
      </c>
      <c r="AV32" s="9" t="s">
        <v>1392</v>
      </c>
      <c r="AW32" s="9" t="s">
        <v>61</v>
      </c>
      <c r="AX32" s="9" t="s">
        <v>62</v>
      </c>
      <c r="AY32" s="9" t="s">
        <v>321</v>
      </c>
      <c r="AZ32" s="9" t="s">
        <v>322</v>
      </c>
      <c r="BA32" s="9" t="s">
        <v>322</v>
      </c>
      <c r="BB32" s="9" t="s">
        <v>23</v>
      </c>
      <c r="BC32" s="9" t="s">
        <v>323</v>
      </c>
      <c r="BD32" s="9" t="s">
        <v>324</v>
      </c>
      <c r="BE32" s="9" t="s">
        <v>1451</v>
      </c>
      <c r="BF32" s="9" t="s">
        <v>1452</v>
      </c>
      <c r="BG32" s="9" t="s">
        <v>118</v>
      </c>
      <c r="BH32" s="9" t="s">
        <v>71</v>
      </c>
      <c r="BI32" s="9" t="s">
        <v>1367</v>
      </c>
      <c r="BJ32" s="9" t="s">
        <v>1368</v>
      </c>
      <c r="BK32" s="9" t="s">
        <v>1369</v>
      </c>
    </row>
    <row r="33" spans="1:68" ht="15.75" x14ac:dyDescent="0.25">
      <c r="A33" s="9" t="s">
        <v>311</v>
      </c>
      <c r="B33" s="18" t="s">
        <v>1449</v>
      </c>
      <c r="C33" s="19">
        <v>46203</v>
      </c>
      <c r="D33" s="9" t="s">
        <v>1359</v>
      </c>
      <c r="E33" s="9" t="s">
        <v>1360</v>
      </c>
      <c r="F33" s="27" t="s">
        <v>1544</v>
      </c>
      <c r="G33" s="28" t="s">
        <v>1368</v>
      </c>
      <c r="H33" s="28" t="s">
        <v>1368</v>
      </c>
      <c r="I33" s="9" t="str">
        <f t="shared" si="0"/>
        <v>An Giang - Hà Tiên, (&gt;8-16 tấn), xe 95G 00283</v>
      </c>
      <c r="J33" s="9" t="s">
        <v>1361</v>
      </c>
      <c r="K33" s="9" t="s">
        <v>1362</v>
      </c>
      <c r="L33" s="9" t="s">
        <v>49</v>
      </c>
      <c r="M33" s="9" t="s">
        <v>50</v>
      </c>
      <c r="N33" s="9" t="s">
        <v>1300</v>
      </c>
      <c r="O33" s="9" t="s">
        <v>1301</v>
      </c>
      <c r="P33" s="9" t="s">
        <v>1302</v>
      </c>
      <c r="Q33" s="9" t="s">
        <v>23</v>
      </c>
      <c r="R33" s="9" t="s">
        <v>54</v>
      </c>
      <c r="S33" s="9" t="s">
        <v>106</v>
      </c>
      <c r="T33" s="9" t="s">
        <v>77</v>
      </c>
      <c r="U33" s="9" t="s">
        <v>218</v>
      </c>
      <c r="V33" s="8">
        <f t="shared" si="9"/>
        <v>9.6000000000000002E-2</v>
      </c>
      <c r="W33" s="9">
        <f t="shared" si="10"/>
        <v>0</v>
      </c>
      <c r="X33" s="9">
        <f t="shared" si="11"/>
        <v>0</v>
      </c>
      <c r="AH33" s="9" t="s">
        <v>22</v>
      </c>
      <c r="AI33" s="9" t="s">
        <v>1569</v>
      </c>
      <c r="AL33" s="9" t="s">
        <v>23</v>
      </c>
      <c r="AM33" s="9" t="s">
        <v>23</v>
      </c>
      <c r="AN33" s="9" t="s">
        <v>23</v>
      </c>
      <c r="AO33" s="9" t="s">
        <v>23</v>
      </c>
      <c r="AP33" s="9" t="s">
        <v>23</v>
      </c>
      <c r="AQ33" s="9" t="s">
        <v>23</v>
      </c>
      <c r="AS33" s="9" t="s">
        <v>23</v>
      </c>
      <c r="AT33" s="9" t="s">
        <v>1445</v>
      </c>
      <c r="AU33" s="9" t="s">
        <v>320</v>
      </c>
      <c r="AV33" s="9" t="s">
        <v>1392</v>
      </c>
      <c r="AW33" s="9" t="s">
        <v>61</v>
      </c>
      <c r="AX33" s="9" t="s">
        <v>62</v>
      </c>
      <c r="AY33" s="9" t="s">
        <v>321</v>
      </c>
      <c r="AZ33" s="9" t="s">
        <v>322</v>
      </c>
      <c r="BA33" s="9" t="s">
        <v>322</v>
      </c>
      <c r="BB33" s="9" t="s">
        <v>23</v>
      </c>
      <c r="BC33" s="9" t="s">
        <v>323</v>
      </c>
      <c r="BD33" s="9" t="s">
        <v>324</v>
      </c>
      <c r="BE33" s="9" t="s">
        <v>1451</v>
      </c>
      <c r="BF33" s="9" t="s">
        <v>1452</v>
      </c>
      <c r="BG33" s="9" t="s">
        <v>118</v>
      </c>
      <c r="BH33" s="9" t="s">
        <v>71</v>
      </c>
      <c r="BI33" s="9" t="s">
        <v>1367</v>
      </c>
      <c r="BJ33" s="9" t="s">
        <v>1368</v>
      </c>
      <c r="BK33" s="9" t="s">
        <v>1369</v>
      </c>
    </row>
    <row r="34" spans="1:68" ht="15.75" x14ac:dyDescent="0.25">
      <c r="A34" s="9" t="s">
        <v>311</v>
      </c>
      <c r="B34" s="18" t="s">
        <v>1449</v>
      </c>
      <c r="C34" s="19">
        <v>46203</v>
      </c>
      <c r="D34" s="9" t="s">
        <v>1359</v>
      </c>
      <c r="E34" s="9" t="s">
        <v>1360</v>
      </c>
      <c r="F34" s="27" t="s">
        <v>1544</v>
      </c>
      <c r="G34" s="28" t="s">
        <v>1368</v>
      </c>
      <c r="H34" s="28" t="s">
        <v>1368</v>
      </c>
      <c r="I34" s="9" t="str">
        <f t="shared" si="0"/>
        <v>An Giang - Hà Tiên, (&gt;8-16 tấn), xe 95G 00283</v>
      </c>
      <c r="J34" s="9" t="s">
        <v>1361</v>
      </c>
      <c r="K34" s="9" t="s">
        <v>1362</v>
      </c>
      <c r="L34" s="9" t="s">
        <v>49</v>
      </c>
      <c r="M34" s="9" t="s">
        <v>50</v>
      </c>
      <c r="N34" s="9" t="s">
        <v>334</v>
      </c>
      <c r="O34" s="9" t="s">
        <v>335</v>
      </c>
      <c r="P34" s="9" t="s">
        <v>336</v>
      </c>
      <c r="Q34" s="9" t="s">
        <v>23</v>
      </c>
      <c r="R34" s="9" t="s">
        <v>54</v>
      </c>
      <c r="S34" s="9" t="s">
        <v>55</v>
      </c>
      <c r="T34" s="9" t="s">
        <v>338</v>
      </c>
      <c r="U34" s="9" t="s">
        <v>1320</v>
      </c>
      <c r="V34" s="8">
        <f t="shared" si="9"/>
        <v>0.16200000000000001</v>
      </c>
      <c r="W34" s="9">
        <f t="shared" si="10"/>
        <v>0</v>
      </c>
      <c r="X34" s="9">
        <f t="shared" si="11"/>
        <v>0</v>
      </c>
      <c r="AH34" s="9" t="s">
        <v>22</v>
      </c>
      <c r="AI34" s="9" t="s">
        <v>1569</v>
      </c>
      <c r="AL34" s="9" t="s">
        <v>23</v>
      </c>
      <c r="AM34" s="9" t="s">
        <v>23</v>
      </c>
      <c r="AN34" s="9" t="s">
        <v>23</v>
      </c>
      <c r="AO34" s="9" t="s">
        <v>23</v>
      </c>
      <c r="AP34" s="9" t="s">
        <v>23</v>
      </c>
      <c r="AQ34" s="9" t="s">
        <v>23</v>
      </c>
      <c r="AS34" s="9" t="s">
        <v>23</v>
      </c>
      <c r="AT34" s="9" t="s">
        <v>1445</v>
      </c>
      <c r="AU34" s="9" t="s">
        <v>320</v>
      </c>
      <c r="AV34" s="9" t="s">
        <v>1392</v>
      </c>
      <c r="AW34" s="9" t="s">
        <v>61</v>
      </c>
      <c r="AX34" s="9" t="s">
        <v>62</v>
      </c>
      <c r="AY34" s="9" t="s">
        <v>321</v>
      </c>
      <c r="AZ34" s="9" t="s">
        <v>322</v>
      </c>
      <c r="BA34" s="9" t="s">
        <v>322</v>
      </c>
      <c r="BB34" s="9" t="s">
        <v>23</v>
      </c>
      <c r="BC34" s="9" t="s">
        <v>323</v>
      </c>
      <c r="BD34" s="9" t="s">
        <v>324</v>
      </c>
      <c r="BE34" s="9" t="s">
        <v>1451</v>
      </c>
      <c r="BF34" s="9" t="s">
        <v>1452</v>
      </c>
      <c r="BG34" s="9" t="s">
        <v>118</v>
      </c>
      <c r="BH34" s="9" t="s">
        <v>71</v>
      </c>
      <c r="BI34" s="9" t="s">
        <v>1367</v>
      </c>
      <c r="BJ34" s="9" t="s">
        <v>1368</v>
      </c>
      <c r="BK34" s="9" t="s">
        <v>1369</v>
      </c>
    </row>
    <row r="35" spans="1:68" ht="15.75" x14ac:dyDescent="0.25">
      <c r="A35" s="9" t="s">
        <v>311</v>
      </c>
      <c r="B35" s="18" t="s">
        <v>1449</v>
      </c>
      <c r="C35" s="19">
        <v>46203</v>
      </c>
      <c r="D35" s="9" t="s">
        <v>1359</v>
      </c>
      <c r="E35" s="9" t="s">
        <v>1360</v>
      </c>
      <c r="F35" s="27" t="s">
        <v>1544</v>
      </c>
      <c r="G35" s="28" t="s">
        <v>1368</v>
      </c>
      <c r="H35" s="28" t="s">
        <v>1368</v>
      </c>
      <c r="I35" s="9" t="str">
        <f t="shared" si="0"/>
        <v>An Giang - Hà Tiên, (&gt;8-16 tấn), xe 95G 00283</v>
      </c>
      <c r="J35" s="9" t="s">
        <v>1361</v>
      </c>
      <c r="K35" s="9" t="s">
        <v>1362</v>
      </c>
      <c r="L35" s="9" t="s">
        <v>49</v>
      </c>
      <c r="M35" s="9" t="s">
        <v>50</v>
      </c>
      <c r="N35" s="9" t="s">
        <v>340</v>
      </c>
      <c r="O35" s="9" t="s">
        <v>341</v>
      </c>
      <c r="P35" s="9" t="s">
        <v>342</v>
      </c>
      <c r="Q35" s="9" t="s">
        <v>23</v>
      </c>
      <c r="R35" s="9" t="s">
        <v>343</v>
      </c>
      <c r="S35" s="9" t="s">
        <v>195</v>
      </c>
      <c r="T35" s="9" t="s">
        <v>164</v>
      </c>
      <c r="U35" s="9" t="s">
        <v>1131</v>
      </c>
      <c r="V35" s="8">
        <f t="shared" si="9"/>
        <v>0.1</v>
      </c>
      <c r="W35" s="9">
        <f t="shared" si="10"/>
        <v>0</v>
      </c>
      <c r="X35" s="9">
        <f t="shared" si="11"/>
        <v>0</v>
      </c>
      <c r="AH35" s="9" t="s">
        <v>22</v>
      </c>
      <c r="AI35" s="9" t="s">
        <v>1569</v>
      </c>
      <c r="AL35" s="9" t="s">
        <v>23</v>
      </c>
      <c r="AM35" s="9" t="s">
        <v>23</v>
      </c>
      <c r="AN35" s="9" t="s">
        <v>23</v>
      </c>
      <c r="AO35" s="9" t="s">
        <v>23</v>
      </c>
      <c r="AP35" s="9" t="s">
        <v>23</v>
      </c>
      <c r="AQ35" s="9" t="s">
        <v>23</v>
      </c>
      <c r="AS35" s="9" t="s">
        <v>23</v>
      </c>
      <c r="AT35" s="9" t="s">
        <v>1445</v>
      </c>
      <c r="AU35" s="9" t="s">
        <v>320</v>
      </c>
      <c r="AV35" s="9" t="s">
        <v>1392</v>
      </c>
      <c r="AW35" s="9" t="s">
        <v>61</v>
      </c>
      <c r="AX35" s="9" t="s">
        <v>62</v>
      </c>
      <c r="AY35" s="9" t="s">
        <v>321</v>
      </c>
      <c r="AZ35" s="9" t="s">
        <v>322</v>
      </c>
      <c r="BA35" s="9" t="s">
        <v>322</v>
      </c>
      <c r="BB35" s="9" t="s">
        <v>23</v>
      </c>
      <c r="BC35" s="9" t="s">
        <v>323</v>
      </c>
      <c r="BD35" s="9" t="s">
        <v>324</v>
      </c>
      <c r="BE35" s="9" t="s">
        <v>1451</v>
      </c>
      <c r="BF35" s="9" t="s">
        <v>1452</v>
      </c>
      <c r="BG35" s="9" t="s">
        <v>118</v>
      </c>
      <c r="BH35" s="9" t="s">
        <v>71</v>
      </c>
      <c r="BI35" s="9" t="s">
        <v>1367</v>
      </c>
      <c r="BJ35" s="9" t="s">
        <v>1368</v>
      </c>
      <c r="BK35" s="9" t="s">
        <v>1369</v>
      </c>
    </row>
    <row r="36" spans="1:68" ht="15.75" x14ac:dyDescent="0.25">
      <c r="A36" s="9" t="s">
        <v>311</v>
      </c>
      <c r="B36" s="18" t="s">
        <v>1449</v>
      </c>
      <c r="C36" s="19">
        <v>46203</v>
      </c>
      <c r="D36" s="9" t="s">
        <v>1359</v>
      </c>
      <c r="E36" s="9" t="s">
        <v>1360</v>
      </c>
      <c r="F36" s="27" t="s">
        <v>1544</v>
      </c>
      <c r="G36" s="28" t="s">
        <v>1368</v>
      </c>
      <c r="H36" s="28" t="s">
        <v>1368</v>
      </c>
      <c r="I36" s="9" t="str">
        <f t="shared" si="0"/>
        <v>An Giang - Hà Tiên, (&gt;8-16 tấn), xe 95G 00283</v>
      </c>
      <c r="J36" s="9" t="s">
        <v>1361</v>
      </c>
      <c r="K36" s="9" t="s">
        <v>1362</v>
      </c>
      <c r="L36" s="9" t="s">
        <v>49</v>
      </c>
      <c r="M36" s="9" t="s">
        <v>50</v>
      </c>
      <c r="N36" s="9" t="s">
        <v>1308</v>
      </c>
      <c r="O36" s="9" t="s">
        <v>1309</v>
      </c>
      <c r="P36" s="9" t="s">
        <v>1310</v>
      </c>
      <c r="Q36" s="9" t="s">
        <v>23</v>
      </c>
      <c r="R36" s="9" t="s">
        <v>54</v>
      </c>
      <c r="S36" s="9" t="s">
        <v>106</v>
      </c>
      <c r="T36" s="9" t="s">
        <v>196</v>
      </c>
      <c r="U36" s="9" t="s">
        <v>518</v>
      </c>
      <c r="V36" s="8">
        <f t="shared" si="9"/>
        <v>0.12</v>
      </c>
      <c r="W36" s="9">
        <f t="shared" si="10"/>
        <v>0</v>
      </c>
      <c r="X36" s="9">
        <f t="shared" si="11"/>
        <v>0</v>
      </c>
      <c r="AH36" s="9" t="s">
        <v>22</v>
      </c>
      <c r="AI36" s="9" t="s">
        <v>1569</v>
      </c>
      <c r="AL36" s="9" t="s">
        <v>23</v>
      </c>
      <c r="AM36" s="9" t="s">
        <v>23</v>
      </c>
      <c r="AN36" s="9" t="s">
        <v>23</v>
      </c>
      <c r="AO36" s="9" t="s">
        <v>23</v>
      </c>
      <c r="AP36" s="9" t="s">
        <v>23</v>
      </c>
      <c r="AQ36" s="9" t="s">
        <v>23</v>
      </c>
      <c r="AS36" s="9" t="s">
        <v>23</v>
      </c>
      <c r="AT36" s="9" t="s">
        <v>1445</v>
      </c>
      <c r="AU36" s="9" t="s">
        <v>320</v>
      </c>
      <c r="AV36" s="9" t="s">
        <v>1392</v>
      </c>
      <c r="AW36" s="9" t="s">
        <v>61</v>
      </c>
      <c r="AX36" s="9" t="s">
        <v>62</v>
      </c>
      <c r="AY36" s="9" t="s">
        <v>321</v>
      </c>
      <c r="AZ36" s="9" t="s">
        <v>322</v>
      </c>
      <c r="BA36" s="9" t="s">
        <v>322</v>
      </c>
      <c r="BB36" s="9" t="s">
        <v>23</v>
      </c>
      <c r="BC36" s="9" t="s">
        <v>323</v>
      </c>
      <c r="BD36" s="9" t="s">
        <v>324</v>
      </c>
      <c r="BE36" s="9" t="s">
        <v>1451</v>
      </c>
      <c r="BF36" s="9" t="s">
        <v>1452</v>
      </c>
      <c r="BG36" s="9" t="s">
        <v>118</v>
      </c>
      <c r="BH36" s="9" t="s">
        <v>71</v>
      </c>
      <c r="BI36" s="9" t="s">
        <v>1367</v>
      </c>
      <c r="BJ36" s="9" t="s">
        <v>1368</v>
      </c>
      <c r="BK36" s="9" t="s">
        <v>1369</v>
      </c>
    </row>
    <row r="37" spans="1:68" ht="15.75" x14ac:dyDescent="0.25">
      <c r="A37" s="9" t="s">
        <v>311</v>
      </c>
      <c r="B37" s="18" t="s">
        <v>1455</v>
      </c>
      <c r="C37" s="19">
        <v>46203</v>
      </c>
      <c r="D37" s="9" t="s">
        <v>1359</v>
      </c>
      <c r="E37" s="9" t="s">
        <v>1360</v>
      </c>
      <c r="F37" s="27" t="s">
        <v>1544</v>
      </c>
      <c r="G37" s="28" t="s">
        <v>1368</v>
      </c>
      <c r="H37" s="28" t="s">
        <v>1368</v>
      </c>
      <c r="I37" s="9" t="str">
        <f t="shared" si="0"/>
        <v>An Giang - Hà Tiên, (&gt;8-16 tấn), xe 95G 00283</v>
      </c>
      <c r="J37" s="9" t="s">
        <v>1361</v>
      </c>
      <c r="K37" s="9" t="s">
        <v>1362</v>
      </c>
      <c r="L37" s="9" t="s">
        <v>49</v>
      </c>
      <c r="M37" s="9" t="s">
        <v>50</v>
      </c>
      <c r="N37" s="9" t="s">
        <v>1456</v>
      </c>
      <c r="O37" s="9" t="s">
        <v>1457</v>
      </c>
      <c r="P37" s="9" t="s">
        <v>1458</v>
      </c>
      <c r="Q37" s="9" t="s">
        <v>23</v>
      </c>
      <c r="R37" s="9" t="s">
        <v>92</v>
      </c>
      <c r="S37" s="9" t="s">
        <v>361</v>
      </c>
      <c r="T37" s="9" t="s">
        <v>93</v>
      </c>
      <c r="U37" s="9" t="s">
        <v>1242</v>
      </c>
      <c r="V37" s="8">
        <f t="shared" si="9"/>
        <v>7.4999999999999997E-2</v>
      </c>
      <c r="W37" s="9">
        <f t="shared" si="10"/>
        <v>7.4999999999999997E-2</v>
      </c>
      <c r="X37" s="9">
        <f t="shared" si="11"/>
        <v>0</v>
      </c>
      <c r="AH37" s="9" t="s">
        <v>22</v>
      </c>
      <c r="AI37" s="9" t="s">
        <v>1569</v>
      </c>
      <c r="AL37" s="9" t="s">
        <v>23</v>
      </c>
      <c r="AM37" s="9" t="s">
        <v>23</v>
      </c>
      <c r="AN37" s="9" t="s">
        <v>23</v>
      </c>
      <c r="AO37" s="9" t="s">
        <v>23</v>
      </c>
      <c r="AP37" s="9" t="s">
        <v>23</v>
      </c>
      <c r="AQ37" s="9" t="s">
        <v>23</v>
      </c>
      <c r="AS37" s="9" t="s">
        <v>23</v>
      </c>
      <c r="AT37" s="9" t="s">
        <v>1445</v>
      </c>
      <c r="AU37" s="9" t="s">
        <v>320</v>
      </c>
      <c r="AV37" s="9" t="s">
        <v>1392</v>
      </c>
      <c r="AW37" s="9" t="s">
        <v>61</v>
      </c>
      <c r="AX37" s="9" t="s">
        <v>62</v>
      </c>
      <c r="AY37" s="9" t="s">
        <v>321</v>
      </c>
      <c r="AZ37" s="9" t="s">
        <v>322</v>
      </c>
      <c r="BA37" s="9" t="s">
        <v>322</v>
      </c>
      <c r="BB37" s="9" t="s">
        <v>23</v>
      </c>
      <c r="BC37" s="9" t="s">
        <v>1459</v>
      </c>
      <c r="BD37" s="9" t="s">
        <v>1460</v>
      </c>
      <c r="BE37" s="9" t="s">
        <v>1461</v>
      </c>
      <c r="BF37" s="9" t="s">
        <v>1462</v>
      </c>
      <c r="BG37" s="9" t="s">
        <v>118</v>
      </c>
      <c r="BH37" s="9" t="s">
        <v>71</v>
      </c>
      <c r="BI37" s="9" t="s">
        <v>1367</v>
      </c>
      <c r="BJ37" s="9" t="s">
        <v>1368</v>
      </c>
      <c r="BK37" s="9" t="s">
        <v>1369</v>
      </c>
    </row>
    <row r="38" spans="1:68" ht="15.75" x14ac:dyDescent="0.25">
      <c r="A38" s="9" t="s">
        <v>311</v>
      </c>
      <c r="B38" s="18" t="s">
        <v>1463</v>
      </c>
      <c r="C38" s="19">
        <v>46203</v>
      </c>
      <c r="D38" s="9" t="s">
        <v>1359</v>
      </c>
      <c r="E38" s="9" t="s">
        <v>1360</v>
      </c>
      <c r="F38" s="27" t="s">
        <v>1544</v>
      </c>
      <c r="G38" s="28" t="s">
        <v>1368</v>
      </c>
      <c r="H38" s="28" t="s">
        <v>1368</v>
      </c>
      <c r="I38" s="9" t="str">
        <f t="shared" si="0"/>
        <v>An Giang - Hà Tiên, (&gt;8-16 tấn), xe 95G 00283</v>
      </c>
      <c r="J38" s="9" t="s">
        <v>1361</v>
      </c>
      <c r="K38" s="9" t="s">
        <v>1362</v>
      </c>
      <c r="L38" s="9" t="s">
        <v>49</v>
      </c>
      <c r="M38" s="9" t="s">
        <v>50</v>
      </c>
      <c r="N38" s="9" t="s">
        <v>1275</v>
      </c>
      <c r="O38" s="9" t="s">
        <v>1276</v>
      </c>
      <c r="P38" s="9" t="s">
        <v>1277</v>
      </c>
      <c r="Q38" s="9" t="s">
        <v>23</v>
      </c>
      <c r="R38" s="9" t="s">
        <v>54</v>
      </c>
      <c r="S38" s="9" t="s">
        <v>55</v>
      </c>
      <c r="T38" s="9" t="s">
        <v>1279</v>
      </c>
      <c r="U38" s="9">
        <v>196.44</v>
      </c>
      <c r="V38" s="8">
        <f t="shared" si="9"/>
        <v>0.19600000000000001</v>
      </c>
      <c r="W38" s="9">
        <f t="shared" si="10"/>
        <v>0.20800000000000002</v>
      </c>
      <c r="X38" s="9">
        <f t="shared" si="11"/>
        <v>0</v>
      </c>
      <c r="AH38" s="9" t="s">
        <v>22</v>
      </c>
      <c r="AI38" s="9" t="s">
        <v>1569</v>
      </c>
      <c r="AL38" s="9" t="s">
        <v>23</v>
      </c>
      <c r="AM38" s="9" t="s">
        <v>23</v>
      </c>
      <c r="AN38" s="9" t="s">
        <v>23</v>
      </c>
      <c r="AO38" s="9" t="s">
        <v>23</v>
      </c>
      <c r="AP38" s="9" t="s">
        <v>23</v>
      </c>
      <c r="AQ38" s="9" t="s">
        <v>23</v>
      </c>
      <c r="AS38" s="9" t="s">
        <v>23</v>
      </c>
      <c r="AT38" s="9" t="s">
        <v>1445</v>
      </c>
      <c r="AU38" s="9" t="s">
        <v>320</v>
      </c>
      <c r="AV38" s="9" t="s">
        <v>1441</v>
      </c>
      <c r="AW38" s="9" t="s">
        <v>61</v>
      </c>
      <c r="AX38" s="9" t="s">
        <v>62</v>
      </c>
      <c r="AY38" s="9" t="s">
        <v>321</v>
      </c>
      <c r="AZ38" s="9" t="s">
        <v>322</v>
      </c>
      <c r="BA38" s="9" t="s">
        <v>322</v>
      </c>
      <c r="BB38" s="9" t="s">
        <v>98</v>
      </c>
      <c r="BC38" s="9" t="s">
        <v>323</v>
      </c>
      <c r="BD38" s="9" t="s">
        <v>324</v>
      </c>
      <c r="BE38" s="9" t="s">
        <v>1465</v>
      </c>
      <c r="BF38" s="9" t="s">
        <v>1466</v>
      </c>
      <c r="BG38" s="9" t="s">
        <v>118</v>
      </c>
      <c r="BH38" s="9" t="s">
        <v>71</v>
      </c>
      <c r="BI38" s="9" t="s">
        <v>1367</v>
      </c>
      <c r="BJ38" s="9" t="s">
        <v>1368</v>
      </c>
      <c r="BK38" s="9" t="s">
        <v>1369</v>
      </c>
    </row>
    <row r="39" spans="1:68" ht="15.75" x14ac:dyDescent="0.25">
      <c r="A39" s="9" t="s">
        <v>311</v>
      </c>
      <c r="B39" s="18" t="s">
        <v>1463</v>
      </c>
      <c r="C39" s="19">
        <v>46203</v>
      </c>
      <c r="D39" s="9" t="s">
        <v>1359</v>
      </c>
      <c r="E39" s="9" t="s">
        <v>1360</v>
      </c>
      <c r="F39" s="27" t="s">
        <v>1544</v>
      </c>
      <c r="G39" s="28" t="s">
        <v>1368</v>
      </c>
      <c r="H39" s="28" t="s">
        <v>1368</v>
      </c>
      <c r="I39" s="9" t="str">
        <f t="shared" si="0"/>
        <v>An Giang - Hà Tiên, (&gt;8-16 tấn), xe 95G 00283</v>
      </c>
      <c r="J39" s="9" t="s">
        <v>1361</v>
      </c>
      <c r="K39" s="9" t="s">
        <v>1362</v>
      </c>
      <c r="L39" s="9" t="s">
        <v>49</v>
      </c>
      <c r="M39" s="9" t="s">
        <v>50</v>
      </c>
      <c r="N39" s="9" t="s">
        <v>1467</v>
      </c>
      <c r="O39" s="9" t="s">
        <v>1468</v>
      </c>
      <c r="P39" s="9" t="s">
        <v>1469</v>
      </c>
      <c r="Q39" s="9" t="s">
        <v>23</v>
      </c>
      <c r="R39" s="9" t="s">
        <v>54</v>
      </c>
      <c r="S39" s="9" t="s">
        <v>96</v>
      </c>
      <c r="T39" s="9" t="s">
        <v>196</v>
      </c>
      <c r="U39" s="9" t="s">
        <v>196</v>
      </c>
      <c r="V39" s="8">
        <f t="shared" si="9"/>
        <v>1.2E-2</v>
      </c>
      <c r="W39" s="9">
        <f t="shared" si="10"/>
        <v>0</v>
      </c>
      <c r="X39" s="9">
        <f t="shared" si="11"/>
        <v>0</v>
      </c>
      <c r="AH39" s="9" t="s">
        <v>22</v>
      </c>
      <c r="AI39" s="9" t="s">
        <v>1569</v>
      </c>
      <c r="AL39" s="9" t="s">
        <v>23</v>
      </c>
      <c r="AM39" s="9" t="s">
        <v>23</v>
      </c>
      <c r="AN39" s="9" t="s">
        <v>23</v>
      </c>
      <c r="AO39" s="9" t="s">
        <v>23</v>
      </c>
      <c r="AP39" s="9" t="s">
        <v>23</v>
      </c>
      <c r="AQ39" s="9" t="s">
        <v>23</v>
      </c>
      <c r="AS39" s="9" t="s">
        <v>23</v>
      </c>
      <c r="AT39" s="9" t="s">
        <v>1445</v>
      </c>
      <c r="AU39" s="9" t="s">
        <v>320</v>
      </c>
      <c r="AV39" s="9" t="s">
        <v>1441</v>
      </c>
      <c r="AW39" s="9" t="s">
        <v>61</v>
      </c>
      <c r="AX39" s="9" t="s">
        <v>62</v>
      </c>
      <c r="AY39" s="9" t="s">
        <v>321</v>
      </c>
      <c r="AZ39" s="9" t="s">
        <v>322</v>
      </c>
      <c r="BA39" s="9" t="s">
        <v>322</v>
      </c>
      <c r="BB39" s="9" t="s">
        <v>98</v>
      </c>
      <c r="BC39" s="9" t="s">
        <v>323</v>
      </c>
      <c r="BD39" s="9" t="s">
        <v>324</v>
      </c>
      <c r="BE39" s="9" t="s">
        <v>1465</v>
      </c>
      <c r="BF39" s="9" t="s">
        <v>1466</v>
      </c>
      <c r="BG39" s="9" t="s">
        <v>118</v>
      </c>
      <c r="BH39" s="9" t="s">
        <v>71</v>
      </c>
      <c r="BI39" s="9" t="s">
        <v>1367</v>
      </c>
      <c r="BJ39" s="9" t="s">
        <v>1368</v>
      </c>
      <c r="BK39" s="9" t="s">
        <v>1369</v>
      </c>
    </row>
    <row r="40" spans="1:68" ht="16.5" customHeight="1" x14ac:dyDescent="0.25">
      <c r="A40" s="53"/>
      <c r="B40" s="53"/>
      <c r="C40" s="54" t="s">
        <v>1572</v>
      </c>
      <c r="D40" s="55" t="str">
        <f>D39</f>
        <v>95G 00283</v>
      </c>
      <c r="E40" s="53"/>
      <c r="F40" s="55" t="str">
        <f>I39</f>
        <v>An Giang - Hà Tiên, (&gt;8-16 tấn), xe 95G 00283</v>
      </c>
      <c r="G40" s="53"/>
      <c r="H40" s="53"/>
      <c r="I40" s="56"/>
      <c r="J40" s="55"/>
      <c r="K40" s="53"/>
      <c r="L40" s="57"/>
      <c r="M40" s="53"/>
      <c r="N40" s="53"/>
      <c r="O40" s="53"/>
      <c r="P40" s="53"/>
      <c r="Q40" s="53"/>
      <c r="R40" s="53"/>
      <c r="S40" s="58"/>
      <c r="T40" s="59"/>
      <c r="U40" s="59"/>
      <c r="V40" s="60">
        <f>SUM(V28:V39)</f>
        <v>3.3290000000000011</v>
      </c>
      <c r="W40" s="60">
        <f t="shared" ref="W40:X40" si="12">SUM(W28:W39)</f>
        <v>3.3290000000000011</v>
      </c>
      <c r="X40" s="60">
        <f t="shared" si="12"/>
        <v>3.3290000000000011</v>
      </c>
      <c r="Y40" s="59"/>
      <c r="Z40" s="61"/>
      <c r="AA40" s="61"/>
      <c r="AB40" s="61"/>
      <c r="AC40" s="61"/>
      <c r="AD40" s="61">
        <f>SUM(AD39)</f>
        <v>0</v>
      </c>
      <c r="AE40" s="61">
        <f>SUM(AE39)</f>
        <v>0</v>
      </c>
      <c r="AF40" s="61"/>
      <c r="AG40" s="61"/>
      <c r="AH40" s="62"/>
      <c r="AI40" s="62"/>
      <c r="AJ40" s="62"/>
      <c r="AK40" s="62"/>
      <c r="AL40" s="63"/>
      <c r="AM40" s="62"/>
      <c r="AN40" s="62"/>
      <c r="AO40" s="62"/>
      <c r="AP40" s="62"/>
      <c r="AQ40" s="62"/>
      <c r="AR40" s="62"/>
      <c r="AS40" s="62"/>
      <c r="AT40" s="64"/>
      <c r="AU40" s="64"/>
      <c r="AV40" s="64"/>
      <c r="AW40" s="65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</row>
    <row r="41" spans="1:68" ht="16.5" customHeight="1" x14ac:dyDescent="0.25">
      <c r="A41" s="40"/>
      <c r="B41" s="40"/>
      <c r="C41" s="41"/>
      <c r="D41" s="42"/>
      <c r="E41" s="40"/>
      <c r="F41" s="42" t="s">
        <v>1573</v>
      </c>
      <c r="G41" s="40"/>
      <c r="H41" s="40"/>
      <c r="I41" s="40"/>
      <c r="J41" s="42"/>
      <c r="K41" s="40"/>
      <c r="L41" s="42"/>
      <c r="M41" s="40"/>
      <c r="N41" s="40"/>
      <c r="O41" s="40"/>
      <c r="P41" s="40"/>
      <c r="Q41" s="40"/>
      <c r="R41" s="40"/>
      <c r="S41" s="43"/>
      <c r="T41" s="44"/>
      <c r="U41" s="44"/>
      <c r="V41" s="45"/>
      <c r="W41" s="45">
        <f>SUM(W3:W40)/2</f>
        <v>14.065999999999999</v>
      </c>
      <c r="X41" s="45">
        <f>SUM(X3:X40)/2</f>
        <v>14.066000000000001</v>
      </c>
      <c r="Y41" s="66"/>
      <c r="Z41" s="46"/>
      <c r="AA41" s="46"/>
      <c r="AB41" s="46"/>
      <c r="AC41" s="46"/>
      <c r="AD41" s="46">
        <f>SUM(AD3:AD40)/2</f>
        <v>6143057.5</v>
      </c>
      <c r="AE41" s="46">
        <f>SUM(AE25:AE40)/2</f>
        <v>3057164.5</v>
      </c>
      <c r="AF41" s="47"/>
      <c r="AG41" s="47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9"/>
      <c r="AS41" s="49"/>
      <c r="AT41" s="50"/>
      <c r="AU41" s="48"/>
      <c r="AV41" s="49"/>
      <c r="AW41" s="42"/>
      <c r="AX41" s="67"/>
      <c r="AY41" s="51"/>
      <c r="AZ41" s="52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</row>
    <row r="50" spans="1:63" ht="31.5" x14ac:dyDescent="0.25">
      <c r="A50" s="15" t="s">
        <v>0</v>
      </c>
      <c r="B50" s="16" t="s">
        <v>1</v>
      </c>
      <c r="C50" s="17" t="s">
        <v>2</v>
      </c>
      <c r="D50" s="26" t="s">
        <v>1539</v>
      </c>
      <c r="E50" s="15" t="s">
        <v>4</v>
      </c>
      <c r="F50" s="22" t="s">
        <v>1535</v>
      </c>
      <c r="G50" s="23" t="s">
        <v>1536</v>
      </c>
      <c r="H50" s="24" t="s">
        <v>1537</v>
      </c>
      <c r="I50" s="25" t="s">
        <v>1538</v>
      </c>
      <c r="J50" s="15" t="s">
        <v>5</v>
      </c>
      <c r="K50" s="15" t="s">
        <v>6</v>
      </c>
      <c r="L50" s="15" t="s">
        <v>7</v>
      </c>
      <c r="M50" s="15" t="s">
        <v>8</v>
      </c>
      <c r="N50" s="15" t="s">
        <v>9</v>
      </c>
      <c r="O50" s="15" t="s">
        <v>10</v>
      </c>
      <c r="P50" s="15" t="s">
        <v>11</v>
      </c>
      <c r="Q50" s="15" t="s">
        <v>12</v>
      </c>
      <c r="R50" s="15" t="s">
        <v>13</v>
      </c>
      <c r="S50" s="15" t="s">
        <v>14</v>
      </c>
      <c r="T50" s="15" t="s">
        <v>15</v>
      </c>
      <c r="U50" s="15" t="s">
        <v>16</v>
      </c>
      <c r="V50" s="29" t="s">
        <v>1552</v>
      </c>
      <c r="W50" s="30" t="s">
        <v>1553</v>
      </c>
      <c r="X50" s="30" t="s">
        <v>1554</v>
      </c>
      <c r="Y50" s="31" t="s">
        <v>1555</v>
      </c>
      <c r="Z50" s="32" t="s">
        <v>1556</v>
      </c>
      <c r="AA50" s="33" t="s">
        <v>1557</v>
      </c>
      <c r="AB50" s="33" t="s">
        <v>1558</v>
      </c>
      <c r="AC50" s="33" t="s">
        <v>1559</v>
      </c>
      <c r="AD50" s="33" t="s">
        <v>1560</v>
      </c>
      <c r="AE50" s="33" t="s">
        <v>1561</v>
      </c>
      <c r="AF50" s="33"/>
      <c r="AG50" s="33"/>
      <c r="AH50" s="34" t="s">
        <v>1562</v>
      </c>
      <c r="AI50" s="34" t="s">
        <v>1563</v>
      </c>
      <c r="AJ50" s="35" t="s">
        <v>1564</v>
      </c>
      <c r="AK50" s="36" t="s">
        <v>1565</v>
      </c>
      <c r="AL50" s="37" t="s">
        <v>1566</v>
      </c>
      <c r="AM50" s="6" t="s">
        <v>18</v>
      </c>
      <c r="AN50" s="6" t="s">
        <v>19</v>
      </c>
      <c r="AO50" s="6" t="s">
        <v>20</v>
      </c>
      <c r="AP50" s="6" t="s">
        <v>21</v>
      </c>
      <c r="AQ50" s="6" t="s">
        <v>22</v>
      </c>
      <c r="AR50" s="6" t="s">
        <v>1470</v>
      </c>
      <c r="AS50" s="15" t="s">
        <v>24</v>
      </c>
      <c r="AT50" s="15" t="s">
        <v>25</v>
      </c>
      <c r="AU50" s="15" t="s">
        <v>26</v>
      </c>
      <c r="AV50" s="15" t="s">
        <v>27</v>
      </c>
      <c r="AW50" s="15" t="s">
        <v>28</v>
      </c>
      <c r="AX50" s="15" t="s">
        <v>29</v>
      </c>
      <c r="AY50" s="15" t="s">
        <v>30</v>
      </c>
      <c r="AZ50" s="15" t="s">
        <v>31</v>
      </c>
      <c r="BA50" s="15" t="s">
        <v>32</v>
      </c>
      <c r="BB50" s="15" t="s">
        <v>33</v>
      </c>
      <c r="BC50" s="15" t="s">
        <v>34</v>
      </c>
      <c r="BD50" s="15" t="s">
        <v>35</v>
      </c>
      <c r="BE50" s="15" t="s">
        <v>36</v>
      </c>
      <c r="BF50" s="15" t="s">
        <v>37</v>
      </c>
      <c r="BG50" s="15" t="s">
        <v>38</v>
      </c>
      <c r="BH50" s="15" t="s">
        <v>39</v>
      </c>
      <c r="BI50" s="15" t="s">
        <v>40</v>
      </c>
      <c r="BJ50" s="15" t="s">
        <v>41</v>
      </c>
      <c r="BK50" s="15" t="s">
        <v>42</v>
      </c>
    </row>
    <row r="51" spans="1:63" ht="15.75" x14ac:dyDescent="0.25">
      <c r="A51" s="9" t="s">
        <v>311</v>
      </c>
      <c r="B51" s="18" t="s">
        <v>453</v>
      </c>
      <c r="C51" s="19">
        <v>46203</v>
      </c>
      <c r="D51" s="9" t="s">
        <v>436</v>
      </c>
      <c r="E51" s="9" t="s">
        <v>437</v>
      </c>
      <c r="F51" s="27" t="s">
        <v>1549</v>
      </c>
      <c r="G51" s="28" t="s">
        <v>1550</v>
      </c>
      <c r="H51" s="28" t="s">
        <v>1541</v>
      </c>
      <c r="I51" s="9" t="str">
        <f t="shared" ref="I51:I75" si="13">G51&amp;", ("&amp;L51&amp;"), xe "&amp;D51</f>
        <v>TP. Hồ Chí Minh - Hóc Môn, (≤2.5 tấn), xe 50H 44024</v>
      </c>
      <c r="J51" s="9" t="s">
        <v>438</v>
      </c>
      <c r="K51" s="9" t="s">
        <v>439</v>
      </c>
      <c r="L51" s="9" t="s">
        <v>260</v>
      </c>
      <c r="M51" s="9" t="s">
        <v>261</v>
      </c>
      <c r="N51" s="9" t="s">
        <v>484</v>
      </c>
      <c r="O51" s="9" t="s">
        <v>485</v>
      </c>
      <c r="P51" s="9" t="s">
        <v>486</v>
      </c>
      <c r="Q51" s="9" t="s">
        <v>23</v>
      </c>
      <c r="R51" s="9" t="s">
        <v>54</v>
      </c>
      <c r="S51" s="9" t="s">
        <v>75</v>
      </c>
      <c r="T51" s="9" t="s">
        <v>487</v>
      </c>
      <c r="U51" s="9">
        <v>26.4</v>
      </c>
      <c r="V51" s="8">
        <f t="shared" ref="V51:V75" si="14">ROUND(U51/1000,3)</f>
        <v>2.5999999999999999E-2</v>
      </c>
      <c r="W51" s="9">
        <f t="shared" ref="W51:W75" si="15">(IF($B51=$B50,0,SUMIF($B:$B,$B51,$V:$V)))</f>
        <v>3.7999999999999999E-2</v>
      </c>
      <c r="X51" s="9">
        <f t="shared" ref="X51:X75" si="16">+IF(AND(D51=D50,C51=C50),0,SUMIFS($V:$V,$C:$C,$C51,$D:$D,$D51))</f>
        <v>3.7999999999999999E-2</v>
      </c>
      <c r="Y51" s="20">
        <f>AL51</f>
        <v>1.9179999999999999</v>
      </c>
      <c r="Z51" s="38">
        <v>1369000</v>
      </c>
      <c r="AA51" s="38">
        <v>200000</v>
      </c>
      <c r="AD51" s="39">
        <f>ROUND(SUM(Z51:AB51)/Y51*X51,0)</f>
        <v>31086</v>
      </c>
      <c r="AE51" s="39">
        <f>ROUND(SUM(Z51:AB51)/Y51*X51,0)</f>
        <v>31086</v>
      </c>
      <c r="AH51" s="9" t="s">
        <v>22</v>
      </c>
      <c r="AI51" s="9" t="s">
        <v>1567</v>
      </c>
      <c r="AL51" s="20">
        <f>SUM(AM51:AR51)</f>
        <v>1.9179999999999999</v>
      </c>
      <c r="AM51" s="20">
        <v>1.5129999999999999</v>
      </c>
      <c r="AN51" s="9" t="s">
        <v>23</v>
      </c>
      <c r="AO51" s="20">
        <v>0.17899999999999999</v>
      </c>
      <c r="AP51" s="20">
        <v>0.188</v>
      </c>
      <c r="AQ51" s="20">
        <v>3.7999999999999999E-2</v>
      </c>
      <c r="AR51" s="20"/>
      <c r="AS51" s="9" t="s">
        <v>23</v>
      </c>
      <c r="AT51" s="9" t="s">
        <v>446</v>
      </c>
      <c r="AU51" s="9" t="s">
        <v>473</v>
      </c>
      <c r="AV51" s="9" t="s">
        <v>458</v>
      </c>
      <c r="AW51" s="9" t="s">
        <v>61</v>
      </c>
      <c r="AX51" s="9" t="s">
        <v>62</v>
      </c>
      <c r="AY51" s="9" t="s">
        <v>474</v>
      </c>
      <c r="AZ51" s="9" t="s">
        <v>459</v>
      </c>
      <c r="BA51" s="9" t="s">
        <v>272</v>
      </c>
      <c r="BB51" s="9" t="s">
        <v>23</v>
      </c>
      <c r="BC51" s="9" t="s">
        <v>323</v>
      </c>
      <c r="BD51" s="9" t="s">
        <v>324</v>
      </c>
      <c r="BE51" s="9" t="s">
        <v>460</v>
      </c>
      <c r="BF51" s="9" t="s">
        <v>461</v>
      </c>
      <c r="BG51" s="9" t="s">
        <v>118</v>
      </c>
      <c r="BH51" s="9" t="s">
        <v>71</v>
      </c>
      <c r="BI51" s="9" t="s">
        <v>450</v>
      </c>
      <c r="BJ51" s="9" t="s">
        <v>451</v>
      </c>
      <c r="BK51" s="9" t="s">
        <v>452</v>
      </c>
    </row>
    <row r="52" spans="1:63" ht="15.75" x14ac:dyDescent="0.25">
      <c r="A52" s="9" t="s">
        <v>311</v>
      </c>
      <c r="B52" s="18" t="s">
        <v>453</v>
      </c>
      <c r="C52" s="19">
        <v>46203</v>
      </c>
      <c r="D52" s="9" t="s">
        <v>436</v>
      </c>
      <c r="E52" s="9" t="s">
        <v>437</v>
      </c>
      <c r="F52" s="27" t="s">
        <v>1549</v>
      </c>
      <c r="G52" s="28" t="s">
        <v>1550</v>
      </c>
      <c r="H52" s="28" t="s">
        <v>1541</v>
      </c>
      <c r="I52" s="9" t="str">
        <f t="shared" si="13"/>
        <v>TP. Hồ Chí Minh - Hóc Môn, (≤2.5 tấn), xe 50H 44024</v>
      </c>
      <c r="J52" s="9" t="s">
        <v>438</v>
      </c>
      <c r="K52" s="9" t="s">
        <v>439</v>
      </c>
      <c r="L52" s="9" t="s">
        <v>260</v>
      </c>
      <c r="M52" s="9" t="s">
        <v>261</v>
      </c>
      <c r="N52" s="9" t="s">
        <v>489</v>
      </c>
      <c r="O52" s="9" t="s">
        <v>490</v>
      </c>
      <c r="P52" s="9" t="s">
        <v>491</v>
      </c>
      <c r="Q52" s="9" t="s">
        <v>23</v>
      </c>
      <c r="R52" s="9" t="s">
        <v>54</v>
      </c>
      <c r="S52" s="9" t="s">
        <v>96</v>
      </c>
      <c r="T52" s="9" t="s">
        <v>196</v>
      </c>
      <c r="U52" s="9" t="s">
        <v>196</v>
      </c>
      <c r="V52" s="8">
        <f t="shared" si="14"/>
        <v>1.2E-2</v>
      </c>
      <c r="W52" s="9">
        <f t="shared" si="15"/>
        <v>0</v>
      </c>
      <c r="X52" s="9">
        <f t="shared" si="16"/>
        <v>0</v>
      </c>
      <c r="AH52" s="9" t="s">
        <v>22</v>
      </c>
      <c r="AI52" s="9" t="s">
        <v>1567</v>
      </c>
      <c r="AL52" s="9" t="s">
        <v>23</v>
      </c>
      <c r="AM52" s="9" t="s">
        <v>23</v>
      </c>
      <c r="AN52" s="9" t="s">
        <v>23</v>
      </c>
      <c r="AO52" s="9" t="s">
        <v>23</v>
      </c>
      <c r="AP52" s="9" t="s">
        <v>23</v>
      </c>
      <c r="AQ52" s="9" t="s">
        <v>23</v>
      </c>
      <c r="AS52" s="9" t="s">
        <v>23</v>
      </c>
      <c r="AT52" s="9" t="s">
        <v>446</v>
      </c>
      <c r="AU52" s="9" t="s">
        <v>473</v>
      </c>
      <c r="AV52" s="9" t="s">
        <v>458</v>
      </c>
      <c r="AW52" s="9" t="s">
        <v>61</v>
      </c>
      <c r="AX52" s="9" t="s">
        <v>62</v>
      </c>
      <c r="AY52" s="9" t="s">
        <v>474</v>
      </c>
      <c r="AZ52" s="9" t="s">
        <v>459</v>
      </c>
      <c r="BA52" s="9" t="s">
        <v>272</v>
      </c>
      <c r="BB52" s="9" t="s">
        <v>23</v>
      </c>
      <c r="BC52" s="9" t="s">
        <v>323</v>
      </c>
      <c r="BD52" s="9" t="s">
        <v>324</v>
      </c>
      <c r="BE52" s="9" t="s">
        <v>460</v>
      </c>
      <c r="BF52" s="9" t="s">
        <v>461</v>
      </c>
      <c r="BG52" s="9" t="s">
        <v>118</v>
      </c>
      <c r="BH52" s="9" t="s">
        <v>71</v>
      </c>
      <c r="BI52" s="9" t="s">
        <v>450</v>
      </c>
      <c r="BJ52" s="9" t="s">
        <v>451</v>
      </c>
      <c r="BK52" s="9" t="s">
        <v>452</v>
      </c>
    </row>
    <row r="53" spans="1:63" ht="15.75" x14ac:dyDescent="0.25">
      <c r="A53" s="9" t="s">
        <v>311</v>
      </c>
      <c r="B53" s="18" t="s">
        <v>492</v>
      </c>
      <c r="C53" s="19">
        <v>46203</v>
      </c>
      <c r="D53" s="9" t="s">
        <v>436</v>
      </c>
      <c r="E53" s="9" t="s">
        <v>437</v>
      </c>
      <c r="F53" s="27" t="s">
        <v>1549</v>
      </c>
      <c r="G53" s="28" t="s">
        <v>1550</v>
      </c>
      <c r="H53" s="28" t="s">
        <v>1541</v>
      </c>
      <c r="I53" s="9" t="str">
        <f t="shared" si="13"/>
        <v>TP. Hồ Chí Minh - Hóc Môn, (≤2.5 tấn), xe 50H 44024</v>
      </c>
      <c r="J53" s="9" t="s">
        <v>438</v>
      </c>
      <c r="K53" s="9" t="s">
        <v>439</v>
      </c>
      <c r="L53" s="9" t="s">
        <v>260</v>
      </c>
      <c r="M53" s="9" t="s">
        <v>261</v>
      </c>
      <c r="N53" s="9" t="s">
        <v>493</v>
      </c>
      <c r="O53" s="9" t="s">
        <v>494</v>
      </c>
      <c r="P53" s="9" t="s">
        <v>495</v>
      </c>
      <c r="Q53" s="9" t="s">
        <v>23</v>
      </c>
      <c r="R53" s="9" t="s">
        <v>496</v>
      </c>
      <c r="S53" s="9" t="s">
        <v>75</v>
      </c>
      <c r="T53" s="9" t="s">
        <v>497</v>
      </c>
      <c r="U53" s="9" t="s">
        <v>497</v>
      </c>
      <c r="V53" s="8">
        <f t="shared" si="14"/>
        <v>0</v>
      </c>
      <c r="W53" s="9">
        <f t="shared" si="15"/>
        <v>0</v>
      </c>
      <c r="X53" s="9">
        <f t="shared" si="16"/>
        <v>0</v>
      </c>
      <c r="AH53" s="9" t="s">
        <v>22</v>
      </c>
      <c r="AI53" s="9" t="s">
        <v>1567</v>
      </c>
      <c r="AL53" s="9" t="s">
        <v>23</v>
      </c>
      <c r="AM53" s="9" t="s">
        <v>23</v>
      </c>
      <c r="AN53" s="9" t="s">
        <v>23</v>
      </c>
      <c r="AO53" s="9" t="s">
        <v>23</v>
      </c>
      <c r="AP53" s="9" t="s">
        <v>23</v>
      </c>
      <c r="AQ53" s="9" t="s">
        <v>23</v>
      </c>
      <c r="AS53" s="9" t="s">
        <v>23</v>
      </c>
      <c r="AT53" s="9" t="s">
        <v>446</v>
      </c>
      <c r="AU53" s="9" t="s">
        <v>473</v>
      </c>
      <c r="AV53" s="9" t="s">
        <v>498</v>
      </c>
      <c r="AW53" s="9" t="s">
        <v>61</v>
      </c>
      <c r="AX53" s="9" t="s">
        <v>62</v>
      </c>
      <c r="AY53" s="9" t="s">
        <v>474</v>
      </c>
      <c r="AZ53" s="9" t="s">
        <v>459</v>
      </c>
      <c r="BA53" s="9" t="s">
        <v>272</v>
      </c>
      <c r="BB53" s="9" t="s">
        <v>23</v>
      </c>
      <c r="BC53" s="9" t="s">
        <v>323</v>
      </c>
      <c r="BD53" s="9" t="s">
        <v>324</v>
      </c>
      <c r="BE53" s="9" t="s">
        <v>499</v>
      </c>
      <c r="BF53" s="9" t="s">
        <v>500</v>
      </c>
      <c r="BG53" s="9" t="s">
        <v>118</v>
      </c>
      <c r="BH53" s="9" t="s">
        <v>501</v>
      </c>
      <c r="BI53" s="9" t="s">
        <v>450</v>
      </c>
      <c r="BJ53" s="9" t="s">
        <v>451</v>
      </c>
      <c r="BK53" s="9" t="s">
        <v>452</v>
      </c>
    </row>
    <row r="54" spans="1:63" ht="15.75" x14ac:dyDescent="0.25">
      <c r="A54" s="9" t="s">
        <v>311</v>
      </c>
      <c r="B54" s="18" t="s">
        <v>630</v>
      </c>
      <c r="C54" s="19">
        <v>46203</v>
      </c>
      <c r="D54" s="9" t="s">
        <v>513</v>
      </c>
      <c r="E54" s="9" t="s">
        <v>631</v>
      </c>
      <c r="F54" s="27" t="s">
        <v>1543</v>
      </c>
      <c r="G54" s="28" t="s">
        <v>545</v>
      </c>
      <c r="H54" s="28" t="s">
        <v>1541</v>
      </c>
      <c r="I54" s="9" t="str">
        <f t="shared" si="13"/>
        <v>TP. Hồ Chí Minh - Tân Mỹ, (≤2.5 tấn), xe 50H 44328</v>
      </c>
      <c r="J54" s="9" t="s">
        <v>531</v>
      </c>
      <c r="K54" s="9" t="s">
        <v>532</v>
      </c>
      <c r="L54" s="9" t="s">
        <v>260</v>
      </c>
      <c r="M54" s="9" t="s">
        <v>261</v>
      </c>
      <c r="N54" s="9" t="s">
        <v>632</v>
      </c>
      <c r="O54" s="9" t="s">
        <v>633</v>
      </c>
      <c r="P54" s="9" t="s">
        <v>634</v>
      </c>
      <c r="Q54" s="9" t="s">
        <v>635</v>
      </c>
      <c r="R54" s="9" t="s">
        <v>54</v>
      </c>
      <c r="S54" s="9" t="s">
        <v>75</v>
      </c>
      <c r="T54" s="9" t="s">
        <v>636</v>
      </c>
      <c r="U54" s="9">
        <v>14.88</v>
      </c>
      <c r="V54" s="8">
        <f t="shared" si="14"/>
        <v>1.4999999999999999E-2</v>
      </c>
      <c r="W54" s="9">
        <f t="shared" si="15"/>
        <v>0.19500000000000001</v>
      </c>
      <c r="X54" s="9">
        <f t="shared" si="16"/>
        <v>0.26300000000000001</v>
      </c>
      <c r="Y54" s="20">
        <f>AL54</f>
        <v>1.7730000000000001</v>
      </c>
      <c r="Z54" s="38">
        <v>1369000</v>
      </c>
      <c r="AA54" s="38">
        <v>200000</v>
      </c>
      <c r="AD54" s="39">
        <f>ROUND(SUM(Z54:AB54)/Y54*X54,0)</f>
        <v>232739</v>
      </c>
      <c r="AE54" s="39">
        <f>ROUND(SUM(Z54:AB54)/Y54*X54,0)</f>
        <v>232739</v>
      </c>
      <c r="AH54" s="9" t="s">
        <v>22</v>
      </c>
      <c r="AI54" s="9" t="s">
        <v>1567</v>
      </c>
      <c r="AL54" s="20">
        <f>SUM(AM54:AR54)</f>
        <v>1.7730000000000001</v>
      </c>
      <c r="AM54" s="20">
        <v>0.93300000000000005</v>
      </c>
      <c r="AN54" s="9" t="s">
        <v>23</v>
      </c>
      <c r="AO54" s="20">
        <v>0.19600000000000001</v>
      </c>
      <c r="AP54" s="20">
        <v>0.38100000000000001</v>
      </c>
      <c r="AQ54" s="20">
        <v>0.26300000000000001</v>
      </c>
      <c r="AR54" s="20"/>
      <c r="AS54" s="9" t="s">
        <v>23</v>
      </c>
      <c r="AT54" s="9" t="s">
        <v>539</v>
      </c>
      <c r="AU54" s="9" t="s">
        <v>473</v>
      </c>
      <c r="AV54" s="9" t="s">
        <v>638</v>
      </c>
      <c r="AW54" s="9" t="s">
        <v>269</v>
      </c>
      <c r="AX54" s="9" t="s">
        <v>522</v>
      </c>
      <c r="AY54" s="9" t="s">
        <v>474</v>
      </c>
      <c r="AZ54" s="9" t="s">
        <v>577</v>
      </c>
      <c r="BA54" s="9" t="s">
        <v>272</v>
      </c>
      <c r="BB54" s="9" t="s">
        <v>613</v>
      </c>
      <c r="BC54" s="9" t="s">
        <v>323</v>
      </c>
      <c r="BD54" s="9" t="s">
        <v>324</v>
      </c>
      <c r="BE54" s="9" t="s">
        <v>639</v>
      </c>
      <c r="BF54" s="9" t="s">
        <v>640</v>
      </c>
      <c r="BG54" s="9" t="s">
        <v>118</v>
      </c>
      <c r="BH54" s="9" t="s">
        <v>71</v>
      </c>
      <c r="BI54" s="9" t="s">
        <v>544</v>
      </c>
      <c r="BJ54" s="9" t="s">
        <v>545</v>
      </c>
      <c r="BK54" s="9" t="s">
        <v>546</v>
      </c>
    </row>
    <row r="55" spans="1:63" ht="15.75" x14ac:dyDescent="0.25">
      <c r="A55" s="9" t="s">
        <v>311</v>
      </c>
      <c r="B55" s="18" t="s">
        <v>630</v>
      </c>
      <c r="C55" s="19">
        <v>46203</v>
      </c>
      <c r="D55" s="9" t="s">
        <v>513</v>
      </c>
      <c r="E55" s="9" t="s">
        <v>631</v>
      </c>
      <c r="F55" s="27" t="s">
        <v>1543</v>
      </c>
      <c r="G55" s="28" t="s">
        <v>545</v>
      </c>
      <c r="H55" s="28" t="s">
        <v>1541</v>
      </c>
      <c r="I55" s="9" t="str">
        <f t="shared" si="13"/>
        <v>TP. Hồ Chí Minh - Tân Mỹ, (≤2.5 tấn), xe 50H 44328</v>
      </c>
      <c r="J55" s="9" t="s">
        <v>531</v>
      </c>
      <c r="K55" s="9" t="s">
        <v>532</v>
      </c>
      <c r="L55" s="9" t="s">
        <v>260</v>
      </c>
      <c r="M55" s="9" t="s">
        <v>261</v>
      </c>
      <c r="N55" s="9" t="s">
        <v>641</v>
      </c>
      <c r="O55" s="9" t="s">
        <v>642</v>
      </c>
      <c r="P55" s="9" t="s">
        <v>643</v>
      </c>
      <c r="Q55" s="9" t="s">
        <v>635</v>
      </c>
      <c r="R55" s="9" t="s">
        <v>54</v>
      </c>
      <c r="S55" s="9" t="s">
        <v>361</v>
      </c>
      <c r="T55" s="9" t="s">
        <v>644</v>
      </c>
      <c r="U55" s="9">
        <v>16.919999999999899</v>
      </c>
      <c r="V55" s="8">
        <f t="shared" si="14"/>
        <v>1.7000000000000001E-2</v>
      </c>
      <c r="W55" s="9">
        <f t="shared" si="15"/>
        <v>0</v>
      </c>
      <c r="X55" s="9">
        <f t="shared" si="16"/>
        <v>0</v>
      </c>
      <c r="AH55" s="9" t="s">
        <v>22</v>
      </c>
      <c r="AI55" s="9" t="s">
        <v>1567</v>
      </c>
      <c r="AL55" s="9" t="s">
        <v>23</v>
      </c>
      <c r="AM55" s="9" t="s">
        <v>23</v>
      </c>
      <c r="AN55" s="9" t="s">
        <v>23</v>
      </c>
      <c r="AO55" s="9" t="s">
        <v>23</v>
      </c>
      <c r="AP55" s="9" t="s">
        <v>23</v>
      </c>
      <c r="AQ55" s="9" t="s">
        <v>23</v>
      </c>
      <c r="AS55" s="9" t="s">
        <v>23</v>
      </c>
      <c r="AT55" s="9" t="s">
        <v>539</v>
      </c>
      <c r="AU55" s="9" t="s">
        <v>473</v>
      </c>
      <c r="AV55" s="9" t="s">
        <v>638</v>
      </c>
      <c r="AW55" s="9" t="s">
        <v>269</v>
      </c>
      <c r="AX55" s="9" t="s">
        <v>522</v>
      </c>
      <c r="AY55" s="9" t="s">
        <v>474</v>
      </c>
      <c r="AZ55" s="9" t="s">
        <v>577</v>
      </c>
      <c r="BA55" s="9" t="s">
        <v>272</v>
      </c>
      <c r="BB55" s="9" t="s">
        <v>613</v>
      </c>
      <c r="BC55" s="9" t="s">
        <v>323</v>
      </c>
      <c r="BD55" s="9" t="s">
        <v>324</v>
      </c>
      <c r="BE55" s="9" t="s">
        <v>639</v>
      </c>
      <c r="BF55" s="9" t="s">
        <v>640</v>
      </c>
      <c r="BG55" s="9" t="s">
        <v>118</v>
      </c>
      <c r="BH55" s="9" t="s">
        <v>71</v>
      </c>
      <c r="BI55" s="9" t="s">
        <v>544</v>
      </c>
      <c r="BJ55" s="9" t="s">
        <v>545</v>
      </c>
      <c r="BK55" s="9" t="s">
        <v>546</v>
      </c>
    </row>
    <row r="56" spans="1:63" ht="15.75" x14ac:dyDescent="0.25">
      <c r="A56" s="9" t="s">
        <v>311</v>
      </c>
      <c r="B56" s="18" t="s">
        <v>630</v>
      </c>
      <c r="C56" s="19">
        <v>46203</v>
      </c>
      <c r="D56" s="9" t="s">
        <v>513</v>
      </c>
      <c r="E56" s="9" t="s">
        <v>631</v>
      </c>
      <c r="F56" s="27" t="s">
        <v>1543</v>
      </c>
      <c r="G56" s="28" t="s">
        <v>545</v>
      </c>
      <c r="H56" s="28" t="s">
        <v>1541</v>
      </c>
      <c r="I56" s="9" t="str">
        <f t="shared" si="13"/>
        <v>TP. Hồ Chí Minh - Tân Mỹ, (≤2.5 tấn), xe 50H 44328</v>
      </c>
      <c r="J56" s="9" t="s">
        <v>531</v>
      </c>
      <c r="K56" s="9" t="s">
        <v>532</v>
      </c>
      <c r="L56" s="9" t="s">
        <v>260</v>
      </c>
      <c r="M56" s="9" t="s">
        <v>261</v>
      </c>
      <c r="N56" s="9" t="s">
        <v>329</v>
      </c>
      <c r="O56" s="9" t="s">
        <v>330</v>
      </c>
      <c r="P56" s="9" t="s">
        <v>331</v>
      </c>
      <c r="Q56" s="9" t="s">
        <v>635</v>
      </c>
      <c r="R56" s="9" t="s">
        <v>54</v>
      </c>
      <c r="S56" s="9" t="s">
        <v>195</v>
      </c>
      <c r="T56" s="9" t="s">
        <v>77</v>
      </c>
      <c r="U56" s="9" t="s">
        <v>353</v>
      </c>
      <c r="V56" s="8">
        <f t="shared" si="14"/>
        <v>4.8000000000000001E-2</v>
      </c>
      <c r="W56" s="9">
        <f t="shared" si="15"/>
        <v>0</v>
      </c>
      <c r="X56" s="9">
        <f t="shared" si="16"/>
        <v>0</v>
      </c>
      <c r="AH56" s="9" t="s">
        <v>22</v>
      </c>
      <c r="AI56" s="9" t="s">
        <v>1567</v>
      </c>
      <c r="AL56" s="9" t="s">
        <v>23</v>
      </c>
      <c r="AM56" s="9" t="s">
        <v>23</v>
      </c>
      <c r="AN56" s="9" t="s">
        <v>23</v>
      </c>
      <c r="AO56" s="9" t="s">
        <v>23</v>
      </c>
      <c r="AP56" s="9" t="s">
        <v>23</v>
      </c>
      <c r="AQ56" s="9" t="s">
        <v>23</v>
      </c>
      <c r="AS56" s="9" t="s">
        <v>23</v>
      </c>
      <c r="AT56" s="9" t="s">
        <v>539</v>
      </c>
      <c r="AU56" s="9" t="s">
        <v>473</v>
      </c>
      <c r="AV56" s="9" t="s">
        <v>638</v>
      </c>
      <c r="AW56" s="9" t="s">
        <v>269</v>
      </c>
      <c r="AX56" s="9" t="s">
        <v>522</v>
      </c>
      <c r="AY56" s="9" t="s">
        <v>474</v>
      </c>
      <c r="AZ56" s="9" t="s">
        <v>577</v>
      </c>
      <c r="BA56" s="9" t="s">
        <v>272</v>
      </c>
      <c r="BB56" s="9" t="s">
        <v>613</v>
      </c>
      <c r="BC56" s="9" t="s">
        <v>323</v>
      </c>
      <c r="BD56" s="9" t="s">
        <v>324</v>
      </c>
      <c r="BE56" s="9" t="s">
        <v>639</v>
      </c>
      <c r="BF56" s="9" t="s">
        <v>640</v>
      </c>
      <c r="BG56" s="9" t="s">
        <v>118</v>
      </c>
      <c r="BH56" s="9" t="s">
        <v>71</v>
      </c>
      <c r="BI56" s="9" t="s">
        <v>544</v>
      </c>
      <c r="BJ56" s="9" t="s">
        <v>545</v>
      </c>
      <c r="BK56" s="9" t="s">
        <v>546</v>
      </c>
    </row>
    <row r="57" spans="1:63" ht="15.75" x14ac:dyDescent="0.25">
      <c r="A57" s="9" t="s">
        <v>311</v>
      </c>
      <c r="B57" s="18" t="s">
        <v>630</v>
      </c>
      <c r="C57" s="19">
        <v>46203</v>
      </c>
      <c r="D57" s="9" t="s">
        <v>513</v>
      </c>
      <c r="E57" s="9" t="s">
        <v>631</v>
      </c>
      <c r="F57" s="27" t="s">
        <v>1543</v>
      </c>
      <c r="G57" s="28" t="s">
        <v>545</v>
      </c>
      <c r="H57" s="28" t="s">
        <v>1541</v>
      </c>
      <c r="I57" s="9" t="str">
        <f t="shared" si="13"/>
        <v>TP. Hồ Chí Minh - Tân Mỹ, (≤2.5 tấn), xe 50H 44328</v>
      </c>
      <c r="J57" s="9" t="s">
        <v>531</v>
      </c>
      <c r="K57" s="9" t="s">
        <v>532</v>
      </c>
      <c r="L57" s="9" t="s">
        <v>260</v>
      </c>
      <c r="M57" s="9" t="s">
        <v>261</v>
      </c>
      <c r="N57" s="9" t="s">
        <v>646</v>
      </c>
      <c r="O57" s="9" t="s">
        <v>647</v>
      </c>
      <c r="P57" s="9" t="s">
        <v>648</v>
      </c>
      <c r="Q57" s="9" t="s">
        <v>635</v>
      </c>
      <c r="R57" s="9" t="s">
        <v>54</v>
      </c>
      <c r="S57" s="9" t="s">
        <v>106</v>
      </c>
      <c r="T57" s="9" t="s">
        <v>649</v>
      </c>
      <c r="U57" s="9">
        <v>55.199999999999903</v>
      </c>
      <c r="V57" s="8">
        <f t="shared" si="14"/>
        <v>5.5E-2</v>
      </c>
      <c r="W57" s="9">
        <f t="shared" si="15"/>
        <v>0</v>
      </c>
      <c r="X57" s="9">
        <f t="shared" si="16"/>
        <v>0</v>
      </c>
      <c r="AH57" s="9" t="s">
        <v>22</v>
      </c>
      <c r="AI57" s="9" t="s">
        <v>1567</v>
      </c>
      <c r="AL57" s="9" t="s">
        <v>23</v>
      </c>
      <c r="AM57" s="9" t="s">
        <v>23</v>
      </c>
      <c r="AN57" s="9" t="s">
        <v>23</v>
      </c>
      <c r="AO57" s="9" t="s">
        <v>23</v>
      </c>
      <c r="AP57" s="9" t="s">
        <v>23</v>
      </c>
      <c r="AQ57" s="9" t="s">
        <v>23</v>
      </c>
      <c r="AS57" s="9" t="s">
        <v>23</v>
      </c>
      <c r="AT57" s="9" t="s">
        <v>539</v>
      </c>
      <c r="AU57" s="9" t="s">
        <v>473</v>
      </c>
      <c r="AV57" s="9" t="s">
        <v>638</v>
      </c>
      <c r="AW57" s="9" t="s">
        <v>269</v>
      </c>
      <c r="AX57" s="9" t="s">
        <v>522</v>
      </c>
      <c r="AY57" s="9" t="s">
        <v>474</v>
      </c>
      <c r="AZ57" s="9" t="s">
        <v>577</v>
      </c>
      <c r="BA57" s="9" t="s">
        <v>272</v>
      </c>
      <c r="BB57" s="9" t="s">
        <v>613</v>
      </c>
      <c r="BC57" s="9" t="s">
        <v>323</v>
      </c>
      <c r="BD57" s="9" t="s">
        <v>324</v>
      </c>
      <c r="BE57" s="9" t="s">
        <v>639</v>
      </c>
      <c r="BF57" s="9" t="s">
        <v>640</v>
      </c>
      <c r="BG57" s="9" t="s">
        <v>118</v>
      </c>
      <c r="BH57" s="9" t="s">
        <v>71</v>
      </c>
      <c r="BI57" s="9" t="s">
        <v>544</v>
      </c>
      <c r="BJ57" s="9" t="s">
        <v>545</v>
      </c>
      <c r="BK57" s="9" t="s">
        <v>546</v>
      </c>
    </row>
    <row r="58" spans="1:63" ht="15.75" x14ac:dyDescent="0.25">
      <c r="A58" s="9" t="s">
        <v>311</v>
      </c>
      <c r="B58" s="18" t="s">
        <v>630</v>
      </c>
      <c r="C58" s="19">
        <v>46203</v>
      </c>
      <c r="D58" s="9" t="s">
        <v>513</v>
      </c>
      <c r="E58" s="9" t="s">
        <v>631</v>
      </c>
      <c r="F58" s="27" t="s">
        <v>1543</v>
      </c>
      <c r="G58" s="28" t="s">
        <v>545</v>
      </c>
      <c r="H58" s="28" t="s">
        <v>1541</v>
      </c>
      <c r="I58" s="9" t="str">
        <f t="shared" si="13"/>
        <v>TP. Hồ Chí Minh - Tân Mỹ, (≤2.5 tấn), xe 50H 44328</v>
      </c>
      <c r="J58" s="9" t="s">
        <v>531</v>
      </c>
      <c r="K58" s="9" t="s">
        <v>532</v>
      </c>
      <c r="L58" s="9" t="s">
        <v>260</v>
      </c>
      <c r="M58" s="9" t="s">
        <v>261</v>
      </c>
      <c r="N58" s="9" t="s">
        <v>651</v>
      </c>
      <c r="O58" s="9" t="s">
        <v>652</v>
      </c>
      <c r="P58" s="9" t="s">
        <v>653</v>
      </c>
      <c r="Q58" s="9" t="s">
        <v>635</v>
      </c>
      <c r="R58" s="9" t="s">
        <v>54</v>
      </c>
      <c r="S58" s="9" t="s">
        <v>106</v>
      </c>
      <c r="T58" s="9" t="s">
        <v>382</v>
      </c>
      <c r="U58" s="9" t="s">
        <v>197</v>
      </c>
      <c r="V58" s="8">
        <f t="shared" si="14"/>
        <v>0.06</v>
      </c>
      <c r="W58" s="9">
        <f t="shared" si="15"/>
        <v>0</v>
      </c>
      <c r="X58" s="9">
        <f t="shared" si="16"/>
        <v>0</v>
      </c>
      <c r="AH58" s="9" t="s">
        <v>22</v>
      </c>
      <c r="AI58" s="9" t="s">
        <v>1567</v>
      </c>
      <c r="AL58" s="9" t="s">
        <v>23</v>
      </c>
      <c r="AM58" s="9" t="s">
        <v>23</v>
      </c>
      <c r="AN58" s="9" t="s">
        <v>23</v>
      </c>
      <c r="AO58" s="9" t="s">
        <v>23</v>
      </c>
      <c r="AP58" s="9" t="s">
        <v>23</v>
      </c>
      <c r="AQ58" s="9" t="s">
        <v>23</v>
      </c>
      <c r="AS58" s="9" t="s">
        <v>23</v>
      </c>
      <c r="AT58" s="9" t="s">
        <v>539</v>
      </c>
      <c r="AU58" s="9" t="s">
        <v>473</v>
      </c>
      <c r="AV58" s="9" t="s">
        <v>638</v>
      </c>
      <c r="AW58" s="9" t="s">
        <v>269</v>
      </c>
      <c r="AX58" s="9" t="s">
        <v>522</v>
      </c>
      <c r="AY58" s="9" t="s">
        <v>474</v>
      </c>
      <c r="AZ58" s="9" t="s">
        <v>577</v>
      </c>
      <c r="BA58" s="9" t="s">
        <v>272</v>
      </c>
      <c r="BB58" s="9" t="s">
        <v>613</v>
      </c>
      <c r="BC58" s="9" t="s">
        <v>323</v>
      </c>
      <c r="BD58" s="9" t="s">
        <v>324</v>
      </c>
      <c r="BE58" s="9" t="s">
        <v>639</v>
      </c>
      <c r="BF58" s="9" t="s">
        <v>640</v>
      </c>
      <c r="BG58" s="9" t="s">
        <v>118</v>
      </c>
      <c r="BH58" s="9" t="s">
        <v>71</v>
      </c>
      <c r="BI58" s="9" t="s">
        <v>544</v>
      </c>
      <c r="BJ58" s="9" t="s">
        <v>545</v>
      </c>
      <c r="BK58" s="9" t="s">
        <v>546</v>
      </c>
    </row>
    <row r="59" spans="1:63" ht="15.75" x14ac:dyDescent="0.25">
      <c r="A59" s="9" t="s">
        <v>311</v>
      </c>
      <c r="B59" s="18" t="s">
        <v>654</v>
      </c>
      <c r="C59" s="19">
        <v>46203</v>
      </c>
      <c r="D59" s="9" t="s">
        <v>513</v>
      </c>
      <c r="E59" s="9" t="s">
        <v>631</v>
      </c>
      <c r="F59" s="27" t="s">
        <v>1543</v>
      </c>
      <c r="G59" s="28" t="s">
        <v>545</v>
      </c>
      <c r="H59" s="28" t="s">
        <v>1541</v>
      </c>
      <c r="I59" s="9" t="str">
        <f t="shared" si="13"/>
        <v>TP. Hồ Chí Minh - Tân Mỹ, (≤2.5 tấn), xe 50H 44328</v>
      </c>
      <c r="J59" s="9" t="s">
        <v>531</v>
      </c>
      <c r="K59" s="9" t="s">
        <v>532</v>
      </c>
      <c r="L59" s="9" t="s">
        <v>260</v>
      </c>
      <c r="M59" s="9" t="s">
        <v>261</v>
      </c>
      <c r="N59" s="9" t="s">
        <v>646</v>
      </c>
      <c r="O59" s="9" t="s">
        <v>647</v>
      </c>
      <c r="P59" s="9" t="s">
        <v>648</v>
      </c>
      <c r="Q59" s="9" t="s">
        <v>635</v>
      </c>
      <c r="R59" s="9" t="s">
        <v>54</v>
      </c>
      <c r="S59" s="9" t="s">
        <v>195</v>
      </c>
      <c r="T59" s="9" t="s">
        <v>649</v>
      </c>
      <c r="U59" s="9">
        <v>27.599999999999898</v>
      </c>
      <c r="V59" s="8">
        <f t="shared" si="14"/>
        <v>2.8000000000000001E-2</v>
      </c>
      <c r="W59" s="9">
        <f t="shared" si="15"/>
        <v>5.7999999999999996E-2</v>
      </c>
      <c r="X59" s="9">
        <f t="shared" si="16"/>
        <v>0</v>
      </c>
      <c r="AH59" s="9" t="s">
        <v>22</v>
      </c>
      <c r="AI59" s="9" t="s">
        <v>1567</v>
      </c>
      <c r="AL59" s="9" t="s">
        <v>23</v>
      </c>
      <c r="AM59" s="9" t="s">
        <v>23</v>
      </c>
      <c r="AN59" s="9" t="s">
        <v>23</v>
      </c>
      <c r="AO59" s="9" t="s">
        <v>23</v>
      </c>
      <c r="AP59" s="9" t="s">
        <v>23</v>
      </c>
      <c r="AQ59" s="9" t="s">
        <v>23</v>
      </c>
      <c r="AS59" s="9" t="s">
        <v>23</v>
      </c>
      <c r="AT59" s="9" t="s">
        <v>539</v>
      </c>
      <c r="AU59" s="9" t="s">
        <v>473</v>
      </c>
      <c r="AV59" s="9" t="s">
        <v>656</v>
      </c>
      <c r="AW59" s="9" t="s">
        <v>269</v>
      </c>
      <c r="AX59" s="9" t="s">
        <v>522</v>
      </c>
      <c r="AY59" s="9" t="s">
        <v>474</v>
      </c>
      <c r="AZ59" s="9" t="s">
        <v>577</v>
      </c>
      <c r="BA59" s="9" t="s">
        <v>272</v>
      </c>
      <c r="BB59" s="9" t="s">
        <v>613</v>
      </c>
      <c r="BC59" s="9" t="s">
        <v>323</v>
      </c>
      <c r="BD59" s="9" t="s">
        <v>324</v>
      </c>
      <c r="BE59" s="9" t="s">
        <v>657</v>
      </c>
      <c r="BF59" s="9" t="s">
        <v>658</v>
      </c>
      <c r="BG59" s="9" t="s">
        <v>118</v>
      </c>
      <c r="BH59" s="9" t="s">
        <v>567</v>
      </c>
      <c r="BI59" s="9" t="s">
        <v>544</v>
      </c>
      <c r="BJ59" s="9" t="s">
        <v>545</v>
      </c>
      <c r="BK59" s="9" t="s">
        <v>546</v>
      </c>
    </row>
    <row r="60" spans="1:63" ht="15.75" x14ac:dyDescent="0.25">
      <c r="A60" s="9" t="s">
        <v>311</v>
      </c>
      <c r="B60" s="18" t="s">
        <v>654</v>
      </c>
      <c r="C60" s="19">
        <v>46203</v>
      </c>
      <c r="D60" s="9" t="s">
        <v>513</v>
      </c>
      <c r="E60" s="9" t="s">
        <v>631</v>
      </c>
      <c r="F60" s="27" t="s">
        <v>1543</v>
      </c>
      <c r="G60" s="28" t="s">
        <v>545</v>
      </c>
      <c r="H60" s="28" t="s">
        <v>1541</v>
      </c>
      <c r="I60" s="9" t="str">
        <f t="shared" si="13"/>
        <v>TP. Hồ Chí Minh - Tân Mỹ, (≤2.5 tấn), xe 50H 44328</v>
      </c>
      <c r="J60" s="9" t="s">
        <v>531</v>
      </c>
      <c r="K60" s="9" t="s">
        <v>532</v>
      </c>
      <c r="L60" s="9" t="s">
        <v>260</v>
      </c>
      <c r="M60" s="9" t="s">
        <v>261</v>
      </c>
      <c r="N60" s="9" t="s">
        <v>651</v>
      </c>
      <c r="O60" s="9" t="s">
        <v>652</v>
      </c>
      <c r="P60" s="9" t="s">
        <v>653</v>
      </c>
      <c r="Q60" s="9" t="s">
        <v>635</v>
      </c>
      <c r="R60" s="9" t="s">
        <v>54</v>
      </c>
      <c r="S60" s="9" t="s">
        <v>195</v>
      </c>
      <c r="T60" s="9" t="s">
        <v>382</v>
      </c>
      <c r="U60" s="9" t="s">
        <v>398</v>
      </c>
      <c r="V60" s="8">
        <f t="shared" si="14"/>
        <v>0.03</v>
      </c>
      <c r="W60" s="9">
        <f t="shared" si="15"/>
        <v>0</v>
      </c>
      <c r="X60" s="9">
        <f t="shared" si="16"/>
        <v>0</v>
      </c>
      <c r="AH60" s="9" t="s">
        <v>22</v>
      </c>
      <c r="AI60" s="9" t="s">
        <v>1567</v>
      </c>
      <c r="AL60" s="9" t="s">
        <v>23</v>
      </c>
      <c r="AM60" s="9" t="s">
        <v>23</v>
      </c>
      <c r="AN60" s="9" t="s">
        <v>23</v>
      </c>
      <c r="AO60" s="9" t="s">
        <v>23</v>
      </c>
      <c r="AP60" s="9" t="s">
        <v>23</v>
      </c>
      <c r="AQ60" s="9" t="s">
        <v>23</v>
      </c>
      <c r="AS60" s="9" t="s">
        <v>23</v>
      </c>
      <c r="AT60" s="9" t="s">
        <v>539</v>
      </c>
      <c r="AU60" s="9" t="s">
        <v>473</v>
      </c>
      <c r="AV60" s="9" t="s">
        <v>656</v>
      </c>
      <c r="AW60" s="9" t="s">
        <v>269</v>
      </c>
      <c r="AX60" s="9" t="s">
        <v>522</v>
      </c>
      <c r="AY60" s="9" t="s">
        <v>474</v>
      </c>
      <c r="AZ60" s="9" t="s">
        <v>577</v>
      </c>
      <c r="BA60" s="9" t="s">
        <v>272</v>
      </c>
      <c r="BB60" s="9" t="s">
        <v>613</v>
      </c>
      <c r="BC60" s="9" t="s">
        <v>323</v>
      </c>
      <c r="BD60" s="9" t="s">
        <v>324</v>
      </c>
      <c r="BE60" s="9" t="s">
        <v>657</v>
      </c>
      <c r="BF60" s="9" t="s">
        <v>658</v>
      </c>
      <c r="BG60" s="9" t="s">
        <v>118</v>
      </c>
      <c r="BH60" s="9" t="s">
        <v>567</v>
      </c>
      <c r="BI60" s="9" t="s">
        <v>544</v>
      </c>
      <c r="BJ60" s="9" t="s">
        <v>545</v>
      </c>
      <c r="BK60" s="9" t="s">
        <v>546</v>
      </c>
    </row>
    <row r="61" spans="1:63" ht="15.75" x14ac:dyDescent="0.25">
      <c r="A61" s="9" t="s">
        <v>311</v>
      </c>
      <c r="B61" s="18" t="s">
        <v>659</v>
      </c>
      <c r="C61" s="19">
        <v>46203</v>
      </c>
      <c r="D61" s="9" t="s">
        <v>513</v>
      </c>
      <c r="E61" s="9" t="s">
        <v>631</v>
      </c>
      <c r="F61" s="27" t="s">
        <v>1543</v>
      </c>
      <c r="G61" s="28" t="s">
        <v>545</v>
      </c>
      <c r="H61" s="28" t="s">
        <v>1541</v>
      </c>
      <c r="I61" s="9" t="str">
        <f t="shared" si="13"/>
        <v>TP. Hồ Chí Minh - Tân Mỹ, (≤2.5 tấn), xe 50H 44328</v>
      </c>
      <c r="J61" s="9" t="s">
        <v>531</v>
      </c>
      <c r="K61" s="9" t="s">
        <v>532</v>
      </c>
      <c r="L61" s="9" t="s">
        <v>260</v>
      </c>
      <c r="M61" s="9" t="s">
        <v>261</v>
      </c>
      <c r="N61" s="9" t="s">
        <v>660</v>
      </c>
      <c r="O61" s="9" t="s">
        <v>661</v>
      </c>
      <c r="P61" s="9" t="s">
        <v>662</v>
      </c>
      <c r="Q61" s="9" t="s">
        <v>635</v>
      </c>
      <c r="R61" s="9" t="s">
        <v>54</v>
      </c>
      <c r="S61" s="9" t="s">
        <v>96</v>
      </c>
      <c r="T61" s="9" t="s">
        <v>77</v>
      </c>
      <c r="U61" s="9">
        <v>9.6</v>
      </c>
      <c r="V61" s="8">
        <f t="shared" si="14"/>
        <v>0.01</v>
      </c>
      <c r="W61" s="9">
        <f t="shared" si="15"/>
        <v>0.01</v>
      </c>
      <c r="X61" s="9">
        <f t="shared" si="16"/>
        <v>0</v>
      </c>
      <c r="AH61" s="9" t="s">
        <v>22</v>
      </c>
      <c r="AI61" s="9" t="s">
        <v>1567</v>
      </c>
      <c r="AL61" s="9" t="s">
        <v>23</v>
      </c>
      <c r="AM61" s="9" t="s">
        <v>23</v>
      </c>
      <c r="AN61" s="9" t="s">
        <v>23</v>
      </c>
      <c r="AO61" s="9" t="s">
        <v>23</v>
      </c>
      <c r="AP61" s="9" t="s">
        <v>23</v>
      </c>
      <c r="AQ61" s="9" t="s">
        <v>23</v>
      </c>
      <c r="AS61" s="9" t="s">
        <v>23</v>
      </c>
      <c r="AT61" s="9" t="s">
        <v>539</v>
      </c>
      <c r="AU61" s="9" t="s">
        <v>473</v>
      </c>
      <c r="AV61" s="9" t="s">
        <v>663</v>
      </c>
      <c r="AW61" s="9" t="s">
        <v>269</v>
      </c>
      <c r="AX61" s="9" t="s">
        <v>522</v>
      </c>
      <c r="AY61" s="9" t="s">
        <v>474</v>
      </c>
      <c r="AZ61" s="9" t="s">
        <v>577</v>
      </c>
      <c r="BA61" s="9" t="s">
        <v>272</v>
      </c>
      <c r="BB61" s="9" t="s">
        <v>664</v>
      </c>
      <c r="BC61" s="9" t="s">
        <v>323</v>
      </c>
      <c r="BD61" s="9" t="s">
        <v>324</v>
      </c>
      <c r="BE61" s="9" t="s">
        <v>665</v>
      </c>
      <c r="BF61" s="9" t="s">
        <v>666</v>
      </c>
      <c r="BG61" s="9" t="s">
        <v>118</v>
      </c>
      <c r="BH61" s="9" t="s">
        <v>71</v>
      </c>
      <c r="BI61" s="9" t="s">
        <v>544</v>
      </c>
      <c r="BJ61" s="9" t="s">
        <v>545</v>
      </c>
      <c r="BK61" s="9" t="s">
        <v>546</v>
      </c>
    </row>
    <row r="62" spans="1:63" ht="15.75" x14ac:dyDescent="0.25">
      <c r="A62" s="9" t="s">
        <v>311</v>
      </c>
      <c r="B62" s="18" t="s">
        <v>1007</v>
      </c>
      <c r="C62" s="19">
        <v>46203</v>
      </c>
      <c r="D62" s="9" t="s">
        <v>969</v>
      </c>
      <c r="E62" s="9" t="s">
        <v>1008</v>
      </c>
      <c r="F62" s="27" t="s">
        <v>1540</v>
      </c>
      <c r="G62" s="28" t="s">
        <v>984</v>
      </c>
      <c r="H62" s="28" t="s">
        <v>1541</v>
      </c>
      <c r="I62" s="9" t="str">
        <f t="shared" si="13"/>
        <v>TP. Hồ Chí Minh - Trung Mỹ Tây, (≤2.5 tấn), xe 50H 87442</v>
      </c>
      <c r="J62" s="9" t="s">
        <v>971</v>
      </c>
      <c r="K62" s="9" t="s">
        <v>972</v>
      </c>
      <c r="L62" s="9" t="s">
        <v>260</v>
      </c>
      <c r="M62" s="9" t="s">
        <v>261</v>
      </c>
      <c r="N62" s="9" t="s">
        <v>1009</v>
      </c>
      <c r="O62" s="9" t="s">
        <v>1010</v>
      </c>
      <c r="P62" s="9" t="s">
        <v>1011</v>
      </c>
      <c r="Q62" s="9" t="s">
        <v>1012</v>
      </c>
      <c r="R62" s="9" t="s">
        <v>54</v>
      </c>
      <c r="S62" s="9" t="s">
        <v>96</v>
      </c>
      <c r="T62" s="9" t="s">
        <v>1013</v>
      </c>
      <c r="U62" s="9">
        <v>13.458</v>
      </c>
      <c r="V62" s="8">
        <f t="shared" si="14"/>
        <v>1.2999999999999999E-2</v>
      </c>
      <c r="W62" s="9">
        <f t="shared" si="15"/>
        <v>1.2999999999999999E-2</v>
      </c>
      <c r="X62" s="9">
        <f t="shared" si="16"/>
        <v>2.0999999999999998E-2</v>
      </c>
      <c r="Y62" s="20">
        <f>AL62</f>
        <v>1.222</v>
      </c>
      <c r="Z62" s="38">
        <v>1369000</v>
      </c>
      <c r="AA62" s="38">
        <v>200000</v>
      </c>
      <c r="AD62" s="39">
        <f>ROUND(SUM(Z62:AB62)/Y62*X62,0)</f>
        <v>26963</v>
      </c>
      <c r="AE62" s="39">
        <f>ROUND(SUM(Z62:AB62)/Y62*X62,0)</f>
        <v>26963</v>
      </c>
      <c r="AH62" s="9" t="s">
        <v>1568</v>
      </c>
      <c r="AI62" s="9" t="s">
        <v>1567</v>
      </c>
      <c r="AL62" s="20">
        <f>SUM(AM62:AR62)</f>
        <v>1.222</v>
      </c>
      <c r="AM62" s="20">
        <v>0.93400000000000005</v>
      </c>
      <c r="AN62" s="20">
        <v>0.06</v>
      </c>
      <c r="AO62" s="20">
        <v>0.20699999999999999</v>
      </c>
      <c r="AP62" s="9" t="s">
        <v>23</v>
      </c>
      <c r="AQ62" s="20">
        <v>2.1000000000000001E-2</v>
      </c>
      <c r="AR62" s="20"/>
      <c r="AS62" s="9" t="s">
        <v>23</v>
      </c>
      <c r="AT62" s="9" t="s">
        <v>23</v>
      </c>
      <c r="AU62" s="9" t="s">
        <v>1014</v>
      </c>
      <c r="AV62" s="9" t="s">
        <v>1015</v>
      </c>
      <c r="AW62" s="9" t="s">
        <v>61</v>
      </c>
      <c r="AX62" s="9" t="s">
        <v>522</v>
      </c>
      <c r="AY62" s="9" t="s">
        <v>370</v>
      </c>
      <c r="AZ62" s="9" t="s">
        <v>980</v>
      </c>
      <c r="BA62" s="9" t="s">
        <v>980</v>
      </c>
      <c r="BB62" s="9" t="s">
        <v>1016</v>
      </c>
      <c r="BC62" s="9" t="s">
        <v>323</v>
      </c>
      <c r="BD62" s="9" t="s">
        <v>324</v>
      </c>
      <c r="BE62" s="9" t="s">
        <v>1017</v>
      </c>
      <c r="BF62" s="9" t="s">
        <v>1018</v>
      </c>
      <c r="BG62" s="9" t="s">
        <v>118</v>
      </c>
      <c r="BH62" s="9" t="s">
        <v>71</v>
      </c>
      <c r="BI62" s="9" t="s">
        <v>544</v>
      </c>
      <c r="BJ62" s="9" t="s">
        <v>984</v>
      </c>
      <c r="BK62" s="9" t="s">
        <v>985</v>
      </c>
    </row>
    <row r="63" spans="1:63" ht="15.75" x14ac:dyDescent="0.25">
      <c r="A63" s="9" t="s">
        <v>311</v>
      </c>
      <c r="B63" s="18" t="s">
        <v>1110</v>
      </c>
      <c r="C63" s="19">
        <v>46203</v>
      </c>
      <c r="D63" s="9" t="s">
        <v>969</v>
      </c>
      <c r="E63" s="9" t="s">
        <v>1008</v>
      </c>
      <c r="F63" s="27" t="s">
        <v>1540</v>
      </c>
      <c r="G63" s="28" t="s">
        <v>984</v>
      </c>
      <c r="H63" s="28" t="s">
        <v>1541</v>
      </c>
      <c r="I63" s="9" t="str">
        <f t="shared" si="13"/>
        <v>TP. Hồ Chí Minh - Trung Mỹ Tây, (≤2.5 tấn), xe 50H 87442</v>
      </c>
      <c r="J63" s="9" t="s">
        <v>971</v>
      </c>
      <c r="K63" s="9" t="s">
        <v>987</v>
      </c>
      <c r="L63" s="9" t="s">
        <v>260</v>
      </c>
      <c r="M63" s="9" t="s">
        <v>261</v>
      </c>
      <c r="N63" s="9" t="s">
        <v>1111</v>
      </c>
      <c r="O63" s="9" t="s">
        <v>1112</v>
      </c>
      <c r="P63" s="9" t="s">
        <v>1113</v>
      </c>
      <c r="Q63" s="9" t="s">
        <v>1114</v>
      </c>
      <c r="R63" s="9" t="s">
        <v>54</v>
      </c>
      <c r="S63" s="9" t="s">
        <v>96</v>
      </c>
      <c r="T63" s="9" t="s">
        <v>1115</v>
      </c>
      <c r="U63" s="9">
        <v>7.6</v>
      </c>
      <c r="V63" s="8">
        <f t="shared" si="14"/>
        <v>8.0000000000000002E-3</v>
      </c>
      <c r="W63" s="9">
        <f t="shared" si="15"/>
        <v>8.0000000000000002E-3</v>
      </c>
      <c r="X63" s="9">
        <f t="shared" si="16"/>
        <v>0</v>
      </c>
      <c r="AH63" s="9" t="s">
        <v>1568</v>
      </c>
      <c r="AI63" s="9" t="s">
        <v>1567</v>
      </c>
      <c r="AL63" s="9" t="s">
        <v>23</v>
      </c>
      <c r="AM63" s="9" t="s">
        <v>23</v>
      </c>
      <c r="AN63" s="9" t="s">
        <v>23</v>
      </c>
      <c r="AO63" s="9" t="s">
        <v>23</v>
      </c>
      <c r="AP63" s="9" t="s">
        <v>23</v>
      </c>
      <c r="AQ63" s="9" t="s">
        <v>23</v>
      </c>
      <c r="AS63" s="9" t="s">
        <v>23</v>
      </c>
      <c r="AT63" s="9" t="s">
        <v>23</v>
      </c>
      <c r="AU63" s="9" t="s">
        <v>1014</v>
      </c>
      <c r="AV63" s="9" t="s">
        <v>1116</v>
      </c>
      <c r="AW63" s="9" t="s">
        <v>61</v>
      </c>
      <c r="AX63" s="9" t="s">
        <v>522</v>
      </c>
      <c r="AY63" s="9" t="s">
        <v>370</v>
      </c>
      <c r="AZ63" s="9" t="s">
        <v>980</v>
      </c>
      <c r="BA63" s="9" t="s">
        <v>980</v>
      </c>
      <c r="BB63" s="9" t="s">
        <v>1083</v>
      </c>
      <c r="BC63" s="9" t="s">
        <v>323</v>
      </c>
      <c r="BD63" s="9" t="s">
        <v>324</v>
      </c>
      <c r="BE63" s="9" t="s">
        <v>1117</v>
      </c>
      <c r="BF63" s="9" t="s">
        <v>1118</v>
      </c>
      <c r="BG63" s="9" t="s">
        <v>118</v>
      </c>
      <c r="BH63" s="9" t="s">
        <v>71</v>
      </c>
      <c r="BI63" s="9" t="s">
        <v>544</v>
      </c>
      <c r="BJ63" s="9" t="s">
        <v>984</v>
      </c>
      <c r="BK63" s="9" t="s">
        <v>985</v>
      </c>
    </row>
    <row r="64" spans="1:63" ht="15.75" x14ac:dyDescent="0.25">
      <c r="A64" s="9" t="s">
        <v>311</v>
      </c>
      <c r="B64" s="18" t="s">
        <v>1133</v>
      </c>
      <c r="C64" s="19">
        <v>46203</v>
      </c>
      <c r="D64" s="9" t="s">
        <v>1134</v>
      </c>
      <c r="E64" s="9" t="s">
        <v>706</v>
      </c>
      <c r="F64" s="27" t="s">
        <v>1542</v>
      </c>
      <c r="G64" s="28" t="s">
        <v>715</v>
      </c>
      <c r="H64" s="28" t="s">
        <v>1541</v>
      </c>
      <c r="I64" s="9" t="str">
        <f t="shared" si="13"/>
        <v>TP. Hồ Chí Minh - Thới An, (≤2.5 tấn), xe 50H 92136</v>
      </c>
      <c r="J64" s="9" t="s">
        <v>707</v>
      </c>
      <c r="K64" s="9" t="s">
        <v>708</v>
      </c>
      <c r="L64" s="9" t="s">
        <v>260</v>
      </c>
      <c r="M64" s="9" t="s">
        <v>261</v>
      </c>
      <c r="N64" s="9" t="s">
        <v>1139</v>
      </c>
      <c r="O64" s="9" t="s">
        <v>1140</v>
      </c>
      <c r="P64" s="9" t="s">
        <v>1141</v>
      </c>
      <c r="Q64" s="9" t="s">
        <v>709</v>
      </c>
      <c r="R64" s="9" t="s">
        <v>54</v>
      </c>
      <c r="S64" s="9" t="s">
        <v>106</v>
      </c>
      <c r="T64" s="9" t="s">
        <v>1142</v>
      </c>
      <c r="U64" s="9">
        <v>170.88</v>
      </c>
      <c r="V64" s="8">
        <f t="shared" si="14"/>
        <v>0.17100000000000001</v>
      </c>
      <c r="W64" s="9">
        <f t="shared" si="15"/>
        <v>1.0230000000000001</v>
      </c>
      <c r="X64" s="9">
        <f t="shared" si="16"/>
        <v>1.0230000000000001</v>
      </c>
      <c r="Y64" s="20">
        <f>AL64</f>
        <v>1.847</v>
      </c>
      <c r="Z64" s="38">
        <v>1369000</v>
      </c>
      <c r="AA64" s="38">
        <v>200000</v>
      </c>
      <c r="AD64" s="39">
        <f>ROUND(SUM(Z64:AB64)/Y64*X64,0)</f>
        <v>869024</v>
      </c>
      <c r="AE64" s="39">
        <f>ROUND(SUM(Z64:AB64)/Y64*X64,0)</f>
        <v>869024</v>
      </c>
      <c r="AH64" s="9" t="s">
        <v>22</v>
      </c>
      <c r="AI64" s="9" t="s">
        <v>1567</v>
      </c>
      <c r="AL64" s="20">
        <f>SUM(AM64:AR64)</f>
        <v>1.847</v>
      </c>
      <c r="AM64" s="20">
        <v>0.17599999999999999</v>
      </c>
      <c r="AN64" s="9" t="s">
        <v>23</v>
      </c>
      <c r="AO64" s="20">
        <v>0.64800000000000002</v>
      </c>
      <c r="AP64" s="9" t="s">
        <v>23</v>
      </c>
      <c r="AQ64" s="20">
        <v>1.0229999999999999</v>
      </c>
      <c r="AR64" s="20"/>
      <c r="AS64" s="9" t="s">
        <v>23</v>
      </c>
      <c r="AT64" s="9" t="s">
        <v>1135</v>
      </c>
      <c r="AU64" s="9" t="s">
        <v>473</v>
      </c>
      <c r="AV64" s="9" t="s">
        <v>719</v>
      </c>
      <c r="AW64" s="9" t="s">
        <v>61</v>
      </c>
      <c r="AX64" s="9" t="s">
        <v>62</v>
      </c>
      <c r="AY64" s="9" t="s">
        <v>474</v>
      </c>
      <c r="AZ64" s="9" t="s">
        <v>577</v>
      </c>
      <c r="BA64" s="9" t="s">
        <v>272</v>
      </c>
      <c r="BB64" s="9" t="s">
        <v>23</v>
      </c>
      <c r="BC64" s="9" t="s">
        <v>323</v>
      </c>
      <c r="BD64" s="9" t="s">
        <v>324</v>
      </c>
      <c r="BE64" s="9" t="s">
        <v>1136</v>
      </c>
      <c r="BF64" s="9" t="s">
        <v>1137</v>
      </c>
      <c r="BG64" s="9" t="s">
        <v>118</v>
      </c>
      <c r="BH64" s="9" t="s">
        <v>71</v>
      </c>
      <c r="BI64" s="9" t="s">
        <v>544</v>
      </c>
      <c r="BJ64" s="9" t="s">
        <v>715</v>
      </c>
      <c r="BK64" s="9" t="s">
        <v>1138</v>
      </c>
    </row>
    <row r="65" spans="1:65" ht="15.75" x14ac:dyDescent="0.25">
      <c r="A65" s="9" t="s">
        <v>311</v>
      </c>
      <c r="B65" s="18" t="s">
        <v>1133</v>
      </c>
      <c r="C65" s="19">
        <v>46203</v>
      </c>
      <c r="D65" s="9" t="s">
        <v>1134</v>
      </c>
      <c r="E65" s="9" t="s">
        <v>706</v>
      </c>
      <c r="F65" s="27" t="s">
        <v>1542</v>
      </c>
      <c r="G65" s="28" t="s">
        <v>715</v>
      </c>
      <c r="H65" s="28" t="s">
        <v>1541</v>
      </c>
      <c r="I65" s="9" t="str">
        <f t="shared" si="13"/>
        <v>TP. Hồ Chí Minh - Thới An, (≤2.5 tấn), xe 50H 92136</v>
      </c>
      <c r="J65" s="9" t="s">
        <v>707</v>
      </c>
      <c r="K65" s="9" t="s">
        <v>708</v>
      </c>
      <c r="L65" s="9" t="s">
        <v>260</v>
      </c>
      <c r="M65" s="9" t="s">
        <v>261</v>
      </c>
      <c r="N65" s="9" t="s">
        <v>329</v>
      </c>
      <c r="O65" s="9" t="s">
        <v>330</v>
      </c>
      <c r="P65" s="9" t="s">
        <v>331</v>
      </c>
      <c r="Q65" s="9" t="s">
        <v>709</v>
      </c>
      <c r="R65" s="9" t="s">
        <v>54</v>
      </c>
      <c r="S65" s="9" t="s">
        <v>178</v>
      </c>
      <c r="T65" s="9" t="s">
        <v>77</v>
      </c>
      <c r="U65" s="9" t="s">
        <v>1144</v>
      </c>
      <c r="V65" s="8">
        <f t="shared" si="14"/>
        <v>0.67200000000000004</v>
      </c>
      <c r="W65" s="9">
        <f t="shared" si="15"/>
        <v>0</v>
      </c>
      <c r="X65" s="9">
        <f t="shared" si="16"/>
        <v>0</v>
      </c>
      <c r="AH65" s="9" t="s">
        <v>22</v>
      </c>
      <c r="AI65" s="9" t="s">
        <v>1567</v>
      </c>
      <c r="AL65" s="9" t="s">
        <v>23</v>
      </c>
      <c r="AM65" s="9" t="s">
        <v>23</v>
      </c>
      <c r="AN65" s="9" t="s">
        <v>23</v>
      </c>
      <c r="AO65" s="9" t="s">
        <v>23</v>
      </c>
      <c r="AP65" s="9" t="s">
        <v>23</v>
      </c>
      <c r="AQ65" s="9" t="s">
        <v>23</v>
      </c>
      <c r="AS65" s="9" t="s">
        <v>23</v>
      </c>
      <c r="AT65" s="9" t="s">
        <v>1135</v>
      </c>
      <c r="AU65" s="9" t="s">
        <v>473</v>
      </c>
      <c r="AV65" s="9" t="s">
        <v>719</v>
      </c>
      <c r="AW65" s="9" t="s">
        <v>61</v>
      </c>
      <c r="AX65" s="9" t="s">
        <v>62</v>
      </c>
      <c r="AY65" s="9" t="s">
        <v>474</v>
      </c>
      <c r="AZ65" s="9" t="s">
        <v>577</v>
      </c>
      <c r="BA65" s="9" t="s">
        <v>272</v>
      </c>
      <c r="BB65" s="9" t="s">
        <v>23</v>
      </c>
      <c r="BC65" s="9" t="s">
        <v>323</v>
      </c>
      <c r="BD65" s="9" t="s">
        <v>324</v>
      </c>
      <c r="BE65" s="9" t="s">
        <v>1136</v>
      </c>
      <c r="BF65" s="9" t="s">
        <v>1137</v>
      </c>
      <c r="BG65" s="9" t="s">
        <v>118</v>
      </c>
      <c r="BH65" s="9" t="s">
        <v>71</v>
      </c>
      <c r="BI65" s="9" t="s">
        <v>544</v>
      </c>
      <c r="BJ65" s="9" t="s">
        <v>715</v>
      </c>
      <c r="BK65" s="9" t="s">
        <v>1138</v>
      </c>
    </row>
    <row r="66" spans="1:65" ht="15.75" x14ac:dyDescent="0.25">
      <c r="A66" s="9" t="s">
        <v>311</v>
      </c>
      <c r="B66" s="18" t="s">
        <v>1133</v>
      </c>
      <c r="C66" s="19">
        <v>46203</v>
      </c>
      <c r="D66" s="9" t="s">
        <v>1134</v>
      </c>
      <c r="E66" s="9" t="s">
        <v>706</v>
      </c>
      <c r="F66" s="27" t="s">
        <v>1542</v>
      </c>
      <c r="G66" s="28" t="s">
        <v>715</v>
      </c>
      <c r="H66" s="28" t="s">
        <v>1541</v>
      </c>
      <c r="I66" s="9" t="str">
        <f t="shared" si="13"/>
        <v>TP. Hồ Chí Minh - Thới An, (≤2.5 tấn), xe 50H 92136</v>
      </c>
      <c r="J66" s="9" t="s">
        <v>707</v>
      </c>
      <c r="K66" s="9" t="s">
        <v>708</v>
      </c>
      <c r="L66" s="9" t="s">
        <v>260</v>
      </c>
      <c r="M66" s="9" t="s">
        <v>261</v>
      </c>
      <c r="N66" s="9" t="s">
        <v>1145</v>
      </c>
      <c r="O66" s="9" t="s">
        <v>1146</v>
      </c>
      <c r="P66" s="9" t="s">
        <v>1147</v>
      </c>
      <c r="Q66" s="9" t="s">
        <v>709</v>
      </c>
      <c r="R66" s="9" t="s">
        <v>54</v>
      </c>
      <c r="S66" s="9" t="s">
        <v>106</v>
      </c>
      <c r="T66" s="9" t="s">
        <v>1148</v>
      </c>
      <c r="U66" s="9" t="s">
        <v>202</v>
      </c>
      <c r="V66" s="8">
        <f t="shared" si="14"/>
        <v>0.16800000000000001</v>
      </c>
      <c r="W66" s="9">
        <f t="shared" si="15"/>
        <v>0</v>
      </c>
      <c r="X66" s="9">
        <f t="shared" si="16"/>
        <v>0</v>
      </c>
      <c r="AH66" s="9" t="s">
        <v>22</v>
      </c>
      <c r="AI66" s="9" t="s">
        <v>1567</v>
      </c>
      <c r="AL66" s="9" t="s">
        <v>23</v>
      </c>
      <c r="AM66" s="9" t="s">
        <v>23</v>
      </c>
      <c r="AN66" s="9" t="s">
        <v>23</v>
      </c>
      <c r="AO66" s="9" t="s">
        <v>23</v>
      </c>
      <c r="AP66" s="9" t="s">
        <v>23</v>
      </c>
      <c r="AQ66" s="9" t="s">
        <v>23</v>
      </c>
      <c r="AS66" s="9" t="s">
        <v>23</v>
      </c>
      <c r="AT66" s="9" t="s">
        <v>1135</v>
      </c>
      <c r="AU66" s="9" t="s">
        <v>473</v>
      </c>
      <c r="AV66" s="9" t="s">
        <v>719</v>
      </c>
      <c r="AW66" s="9" t="s">
        <v>61</v>
      </c>
      <c r="AX66" s="9" t="s">
        <v>62</v>
      </c>
      <c r="AY66" s="9" t="s">
        <v>474</v>
      </c>
      <c r="AZ66" s="9" t="s">
        <v>577</v>
      </c>
      <c r="BA66" s="9" t="s">
        <v>272</v>
      </c>
      <c r="BB66" s="9" t="s">
        <v>23</v>
      </c>
      <c r="BC66" s="9" t="s">
        <v>323</v>
      </c>
      <c r="BD66" s="9" t="s">
        <v>324</v>
      </c>
      <c r="BE66" s="9" t="s">
        <v>1136</v>
      </c>
      <c r="BF66" s="9" t="s">
        <v>1137</v>
      </c>
      <c r="BG66" s="9" t="s">
        <v>118</v>
      </c>
      <c r="BH66" s="9" t="s">
        <v>71</v>
      </c>
      <c r="BI66" s="9" t="s">
        <v>544</v>
      </c>
      <c r="BJ66" s="9" t="s">
        <v>715</v>
      </c>
      <c r="BK66" s="9" t="s">
        <v>1138</v>
      </c>
    </row>
    <row r="67" spans="1:65" ht="15.75" x14ac:dyDescent="0.25">
      <c r="A67" s="9" t="s">
        <v>311</v>
      </c>
      <c r="B67" s="18" t="s">
        <v>1133</v>
      </c>
      <c r="C67" s="19">
        <v>46203</v>
      </c>
      <c r="D67" s="9" t="s">
        <v>1134</v>
      </c>
      <c r="E67" s="9" t="s">
        <v>706</v>
      </c>
      <c r="F67" s="27" t="s">
        <v>1542</v>
      </c>
      <c r="G67" s="28" t="s">
        <v>715</v>
      </c>
      <c r="H67" s="28" t="s">
        <v>1541</v>
      </c>
      <c r="I67" s="9" t="str">
        <f t="shared" si="13"/>
        <v>TP. Hồ Chí Minh - Thới An, (≤2.5 tấn), xe 50H 92136</v>
      </c>
      <c r="J67" s="9" t="s">
        <v>707</v>
      </c>
      <c r="K67" s="9" t="s">
        <v>708</v>
      </c>
      <c r="L67" s="9" t="s">
        <v>260</v>
      </c>
      <c r="M67" s="9" t="s">
        <v>261</v>
      </c>
      <c r="N67" s="9" t="s">
        <v>1149</v>
      </c>
      <c r="O67" s="9" t="s">
        <v>1150</v>
      </c>
      <c r="P67" s="9" t="s">
        <v>1151</v>
      </c>
      <c r="Q67" s="9" t="s">
        <v>709</v>
      </c>
      <c r="R67" s="9" t="s">
        <v>54</v>
      </c>
      <c r="S67" s="9" t="s">
        <v>96</v>
      </c>
      <c r="T67" s="9" t="s">
        <v>196</v>
      </c>
      <c r="U67" s="9" t="s">
        <v>196</v>
      </c>
      <c r="V67" s="8">
        <f t="shared" si="14"/>
        <v>1.2E-2</v>
      </c>
      <c r="W67" s="9">
        <f t="shared" si="15"/>
        <v>0</v>
      </c>
      <c r="X67" s="9">
        <f t="shared" si="16"/>
        <v>0</v>
      </c>
      <c r="AH67" s="9" t="s">
        <v>22</v>
      </c>
      <c r="AI67" s="9" t="s">
        <v>1567</v>
      </c>
      <c r="AL67" s="9" t="s">
        <v>23</v>
      </c>
      <c r="AM67" s="9" t="s">
        <v>23</v>
      </c>
      <c r="AN67" s="9" t="s">
        <v>23</v>
      </c>
      <c r="AO67" s="9" t="s">
        <v>23</v>
      </c>
      <c r="AP67" s="9" t="s">
        <v>23</v>
      </c>
      <c r="AQ67" s="9" t="s">
        <v>23</v>
      </c>
      <c r="AS67" s="9" t="s">
        <v>23</v>
      </c>
      <c r="AT67" s="9" t="s">
        <v>1135</v>
      </c>
      <c r="AU67" s="9" t="s">
        <v>473</v>
      </c>
      <c r="AV67" s="9" t="s">
        <v>719</v>
      </c>
      <c r="AW67" s="9" t="s">
        <v>61</v>
      </c>
      <c r="AX67" s="9" t="s">
        <v>62</v>
      </c>
      <c r="AY67" s="9" t="s">
        <v>474</v>
      </c>
      <c r="AZ67" s="9" t="s">
        <v>577</v>
      </c>
      <c r="BA67" s="9" t="s">
        <v>272</v>
      </c>
      <c r="BB67" s="9" t="s">
        <v>23</v>
      </c>
      <c r="BC67" s="9" t="s">
        <v>323</v>
      </c>
      <c r="BD67" s="9" t="s">
        <v>324</v>
      </c>
      <c r="BE67" s="9" t="s">
        <v>1136</v>
      </c>
      <c r="BF67" s="9" t="s">
        <v>1137</v>
      </c>
      <c r="BG67" s="9" t="s">
        <v>118</v>
      </c>
      <c r="BH67" s="9" t="s">
        <v>71</v>
      </c>
      <c r="BI67" s="9" t="s">
        <v>544</v>
      </c>
      <c r="BJ67" s="9" t="s">
        <v>715</v>
      </c>
      <c r="BK67" s="9" t="s">
        <v>1138</v>
      </c>
    </row>
    <row r="68" spans="1:65" ht="15.75" x14ac:dyDescent="0.25">
      <c r="A68" s="9" t="s">
        <v>311</v>
      </c>
      <c r="B68" s="18" t="s">
        <v>1152</v>
      </c>
      <c r="C68" s="19">
        <v>46203</v>
      </c>
      <c r="D68" s="9" t="s">
        <v>1153</v>
      </c>
      <c r="E68" s="9" t="s">
        <v>1154</v>
      </c>
      <c r="F68" s="27" t="s">
        <v>1547</v>
      </c>
      <c r="G68" s="28" t="s">
        <v>1163</v>
      </c>
      <c r="H68" s="28" t="s">
        <v>1541</v>
      </c>
      <c r="I68" s="9" t="str">
        <f t="shared" si="13"/>
        <v>TP. Hồ Chí Minh - An Khánh, (≤2.5 tấn), xe 51D 38021</v>
      </c>
      <c r="J68" s="9" t="s">
        <v>1155</v>
      </c>
      <c r="K68" s="9" t="s">
        <v>1156</v>
      </c>
      <c r="L68" s="9" t="s">
        <v>260</v>
      </c>
      <c r="M68" s="9" t="s">
        <v>261</v>
      </c>
      <c r="N68" s="9" t="s">
        <v>660</v>
      </c>
      <c r="O68" s="9" t="s">
        <v>661</v>
      </c>
      <c r="P68" s="9" t="s">
        <v>662</v>
      </c>
      <c r="Q68" s="9" t="s">
        <v>1157</v>
      </c>
      <c r="R68" s="9" t="s">
        <v>54</v>
      </c>
      <c r="S68" s="9" t="s">
        <v>75</v>
      </c>
      <c r="T68" s="9" t="s">
        <v>77</v>
      </c>
      <c r="U68" s="9">
        <v>19.2</v>
      </c>
      <c r="V68" s="8">
        <f t="shared" si="14"/>
        <v>1.9E-2</v>
      </c>
      <c r="W68" s="9">
        <f t="shared" si="15"/>
        <v>0.17900000000000002</v>
      </c>
      <c r="X68" s="9">
        <f t="shared" si="16"/>
        <v>0.33200000000000002</v>
      </c>
      <c r="Y68" s="20">
        <f>AL68</f>
        <v>1.1619999999999999</v>
      </c>
      <c r="Z68" s="38">
        <v>1369000</v>
      </c>
      <c r="AA68" s="38">
        <v>200000</v>
      </c>
      <c r="AD68" s="39">
        <f>ROUND(SUM(Z68:AB68)/Y68*X68,0)</f>
        <v>448286</v>
      </c>
      <c r="AE68" s="39">
        <f>ROUND(SUM(Z68:AB68)/Y68*X68,0)</f>
        <v>448286</v>
      </c>
      <c r="AH68" s="9" t="s">
        <v>1568</v>
      </c>
      <c r="AI68" s="9" t="s">
        <v>1567</v>
      </c>
      <c r="AL68" s="20">
        <f>SUM(AM68:AR68)</f>
        <v>1.1619999999999999</v>
      </c>
      <c r="AM68" s="20">
        <v>0.73</v>
      </c>
      <c r="AN68" s="20">
        <v>0.02</v>
      </c>
      <c r="AO68" s="20">
        <v>0.08</v>
      </c>
      <c r="AP68" s="9" t="s">
        <v>23</v>
      </c>
      <c r="AQ68" s="20">
        <v>0.33200000000000002</v>
      </c>
      <c r="AR68" s="20"/>
      <c r="AS68" s="9" t="s">
        <v>23</v>
      </c>
      <c r="AT68" s="9" t="s">
        <v>23</v>
      </c>
      <c r="AU68" s="9" t="s">
        <v>1014</v>
      </c>
      <c r="AV68" s="9" t="s">
        <v>1158</v>
      </c>
      <c r="AW68" s="9" t="s">
        <v>61</v>
      </c>
      <c r="AX68" s="9" t="s">
        <v>522</v>
      </c>
      <c r="AY68" s="9" t="s">
        <v>370</v>
      </c>
      <c r="AZ68" s="9" t="s">
        <v>980</v>
      </c>
      <c r="BA68" s="9" t="s">
        <v>980</v>
      </c>
      <c r="BB68" s="9" t="s">
        <v>1159</v>
      </c>
      <c r="BC68" s="9" t="s">
        <v>323</v>
      </c>
      <c r="BD68" s="9" t="s">
        <v>324</v>
      </c>
      <c r="BE68" s="9" t="s">
        <v>1160</v>
      </c>
      <c r="BF68" s="9" t="s">
        <v>1161</v>
      </c>
      <c r="BG68" s="9" t="s">
        <v>118</v>
      </c>
      <c r="BH68" s="9" t="s">
        <v>71</v>
      </c>
      <c r="BI68" s="9" t="s">
        <v>1162</v>
      </c>
      <c r="BJ68" s="9" t="s">
        <v>1163</v>
      </c>
      <c r="BK68" s="9" t="s">
        <v>1164</v>
      </c>
    </row>
    <row r="69" spans="1:65" ht="15.75" x14ac:dyDescent="0.25">
      <c r="A69" s="9" t="s">
        <v>311</v>
      </c>
      <c r="B69" s="18" t="s">
        <v>1152</v>
      </c>
      <c r="C69" s="19">
        <v>46203</v>
      </c>
      <c r="D69" s="9" t="s">
        <v>1153</v>
      </c>
      <c r="E69" s="9" t="s">
        <v>1154</v>
      </c>
      <c r="F69" s="27" t="s">
        <v>1547</v>
      </c>
      <c r="G69" s="28" t="s">
        <v>1163</v>
      </c>
      <c r="H69" s="28" t="s">
        <v>1541</v>
      </c>
      <c r="I69" s="9" t="str">
        <f t="shared" si="13"/>
        <v>TP. Hồ Chí Minh - An Khánh, (≤2.5 tấn), xe 51D 38021</v>
      </c>
      <c r="J69" s="9" t="s">
        <v>1155</v>
      </c>
      <c r="K69" s="9" t="s">
        <v>1156</v>
      </c>
      <c r="L69" s="9" t="s">
        <v>260</v>
      </c>
      <c r="M69" s="9" t="s">
        <v>261</v>
      </c>
      <c r="N69" s="9" t="s">
        <v>1009</v>
      </c>
      <c r="O69" s="9" t="s">
        <v>1010</v>
      </c>
      <c r="P69" s="9" t="s">
        <v>1011</v>
      </c>
      <c r="Q69" s="9" t="s">
        <v>1157</v>
      </c>
      <c r="R69" s="9" t="s">
        <v>54</v>
      </c>
      <c r="S69" s="9" t="s">
        <v>75</v>
      </c>
      <c r="T69" s="9" t="s">
        <v>1013</v>
      </c>
      <c r="U69" s="9">
        <v>26.916</v>
      </c>
      <c r="V69" s="8">
        <f t="shared" si="14"/>
        <v>2.7E-2</v>
      </c>
      <c r="W69" s="9">
        <f t="shared" si="15"/>
        <v>0</v>
      </c>
      <c r="X69" s="9">
        <f t="shared" si="16"/>
        <v>0</v>
      </c>
      <c r="AH69" s="9" t="s">
        <v>1568</v>
      </c>
      <c r="AI69" s="9" t="s">
        <v>1567</v>
      </c>
      <c r="AL69" s="9" t="s">
        <v>23</v>
      </c>
      <c r="AM69" s="9" t="s">
        <v>23</v>
      </c>
      <c r="AN69" s="9" t="s">
        <v>23</v>
      </c>
      <c r="AO69" s="9" t="s">
        <v>23</v>
      </c>
      <c r="AP69" s="9" t="s">
        <v>23</v>
      </c>
      <c r="AQ69" s="9" t="s">
        <v>23</v>
      </c>
      <c r="AS69" s="9" t="s">
        <v>23</v>
      </c>
      <c r="AT69" s="9" t="s">
        <v>23</v>
      </c>
      <c r="AU69" s="9" t="s">
        <v>1014</v>
      </c>
      <c r="AV69" s="9" t="s">
        <v>1158</v>
      </c>
      <c r="AW69" s="9" t="s">
        <v>61</v>
      </c>
      <c r="AX69" s="9" t="s">
        <v>522</v>
      </c>
      <c r="AY69" s="9" t="s">
        <v>370</v>
      </c>
      <c r="AZ69" s="9" t="s">
        <v>980</v>
      </c>
      <c r="BA69" s="9" t="s">
        <v>980</v>
      </c>
      <c r="BB69" s="9" t="s">
        <v>1159</v>
      </c>
      <c r="BC69" s="9" t="s">
        <v>323</v>
      </c>
      <c r="BD69" s="9" t="s">
        <v>324</v>
      </c>
      <c r="BE69" s="9" t="s">
        <v>1160</v>
      </c>
      <c r="BF69" s="9" t="s">
        <v>1161</v>
      </c>
      <c r="BG69" s="9" t="s">
        <v>118</v>
      </c>
      <c r="BH69" s="9" t="s">
        <v>567</v>
      </c>
      <c r="BI69" s="9" t="s">
        <v>1162</v>
      </c>
      <c r="BJ69" s="9" t="s">
        <v>1163</v>
      </c>
      <c r="BK69" s="9" t="s">
        <v>1164</v>
      </c>
    </row>
    <row r="70" spans="1:65" ht="15.75" x14ac:dyDescent="0.25">
      <c r="A70" s="9" t="s">
        <v>311</v>
      </c>
      <c r="B70" s="18" t="s">
        <v>1152</v>
      </c>
      <c r="C70" s="19">
        <v>46203</v>
      </c>
      <c r="D70" s="9" t="s">
        <v>1153</v>
      </c>
      <c r="E70" s="9" t="s">
        <v>1154</v>
      </c>
      <c r="F70" s="27" t="s">
        <v>1547</v>
      </c>
      <c r="G70" s="28" t="s">
        <v>1163</v>
      </c>
      <c r="H70" s="28" t="s">
        <v>1541</v>
      </c>
      <c r="I70" s="9" t="str">
        <f t="shared" si="13"/>
        <v>TP. Hồ Chí Minh - An Khánh, (≤2.5 tấn), xe 51D 38021</v>
      </c>
      <c r="J70" s="9" t="s">
        <v>1155</v>
      </c>
      <c r="K70" s="9" t="s">
        <v>1156</v>
      </c>
      <c r="L70" s="9" t="s">
        <v>260</v>
      </c>
      <c r="M70" s="9" t="s">
        <v>261</v>
      </c>
      <c r="N70" s="9" t="s">
        <v>1009</v>
      </c>
      <c r="O70" s="9" t="s">
        <v>1010</v>
      </c>
      <c r="P70" s="9" t="s">
        <v>1011</v>
      </c>
      <c r="Q70" s="9" t="s">
        <v>1157</v>
      </c>
      <c r="R70" s="9" t="s">
        <v>54</v>
      </c>
      <c r="S70" s="9" t="s">
        <v>122</v>
      </c>
      <c r="T70" s="9" t="s">
        <v>1013</v>
      </c>
      <c r="U70" s="9">
        <v>53.832000000000001</v>
      </c>
      <c r="V70" s="8">
        <f t="shared" si="14"/>
        <v>5.3999999999999999E-2</v>
      </c>
      <c r="W70" s="9">
        <f t="shared" si="15"/>
        <v>0</v>
      </c>
      <c r="X70" s="9">
        <f t="shared" si="16"/>
        <v>0</v>
      </c>
      <c r="AH70" s="9" t="s">
        <v>1568</v>
      </c>
      <c r="AI70" s="9" t="s">
        <v>1567</v>
      </c>
      <c r="AL70" s="9" t="s">
        <v>23</v>
      </c>
      <c r="AM70" s="9" t="s">
        <v>23</v>
      </c>
      <c r="AN70" s="9" t="s">
        <v>23</v>
      </c>
      <c r="AO70" s="9" t="s">
        <v>23</v>
      </c>
      <c r="AP70" s="9" t="s">
        <v>23</v>
      </c>
      <c r="AQ70" s="9" t="s">
        <v>23</v>
      </c>
      <c r="AS70" s="9" t="s">
        <v>23</v>
      </c>
      <c r="AT70" s="9" t="s">
        <v>23</v>
      </c>
      <c r="AU70" s="9" t="s">
        <v>1014</v>
      </c>
      <c r="AV70" s="9" t="s">
        <v>1158</v>
      </c>
      <c r="AW70" s="9" t="s">
        <v>61</v>
      </c>
      <c r="AX70" s="9" t="s">
        <v>522</v>
      </c>
      <c r="AY70" s="9" t="s">
        <v>370</v>
      </c>
      <c r="AZ70" s="9" t="s">
        <v>980</v>
      </c>
      <c r="BA70" s="9" t="s">
        <v>980</v>
      </c>
      <c r="BB70" s="9" t="s">
        <v>1159</v>
      </c>
      <c r="BC70" s="9" t="s">
        <v>323</v>
      </c>
      <c r="BD70" s="9" t="s">
        <v>324</v>
      </c>
      <c r="BE70" s="9" t="s">
        <v>1160</v>
      </c>
      <c r="BF70" s="9" t="s">
        <v>1161</v>
      </c>
      <c r="BG70" s="9" t="s">
        <v>118</v>
      </c>
      <c r="BH70" s="9" t="s">
        <v>71</v>
      </c>
      <c r="BI70" s="9" t="s">
        <v>1162</v>
      </c>
      <c r="BJ70" s="9" t="s">
        <v>1163</v>
      </c>
      <c r="BK70" s="9" t="s">
        <v>1164</v>
      </c>
    </row>
    <row r="71" spans="1:65" ht="15.75" x14ac:dyDescent="0.25">
      <c r="A71" s="9" t="s">
        <v>311</v>
      </c>
      <c r="B71" s="18" t="s">
        <v>1152</v>
      </c>
      <c r="C71" s="19">
        <v>46203</v>
      </c>
      <c r="D71" s="9" t="s">
        <v>1153</v>
      </c>
      <c r="E71" s="9" t="s">
        <v>1154</v>
      </c>
      <c r="F71" s="27" t="s">
        <v>1547</v>
      </c>
      <c r="G71" s="28" t="s">
        <v>1163</v>
      </c>
      <c r="H71" s="28" t="s">
        <v>1541</v>
      </c>
      <c r="I71" s="9" t="str">
        <f t="shared" si="13"/>
        <v>TP. Hồ Chí Minh - An Khánh, (≤2.5 tấn), xe 51D 38021</v>
      </c>
      <c r="J71" s="9" t="s">
        <v>1155</v>
      </c>
      <c r="K71" s="9" t="s">
        <v>1156</v>
      </c>
      <c r="L71" s="9" t="s">
        <v>260</v>
      </c>
      <c r="M71" s="9" t="s">
        <v>261</v>
      </c>
      <c r="N71" s="9" t="s">
        <v>1167</v>
      </c>
      <c r="O71" s="9" t="s">
        <v>1168</v>
      </c>
      <c r="P71" s="9" t="s">
        <v>1169</v>
      </c>
      <c r="Q71" s="9" t="s">
        <v>1157</v>
      </c>
      <c r="R71" s="9" t="s">
        <v>54</v>
      </c>
      <c r="S71" s="9" t="s">
        <v>361</v>
      </c>
      <c r="T71" s="9" t="s">
        <v>649</v>
      </c>
      <c r="U71" s="9">
        <v>16.559999999999999</v>
      </c>
      <c r="V71" s="8">
        <f t="shared" si="14"/>
        <v>1.7000000000000001E-2</v>
      </c>
      <c r="W71" s="9">
        <f t="shared" si="15"/>
        <v>0</v>
      </c>
      <c r="X71" s="9">
        <f t="shared" si="16"/>
        <v>0</v>
      </c>
      <c r="AH71" s="9" t="s">
        <v>1568</v>
      </c>
      <c r="AI71" s="9" t="s">
        <v>1567</v>
      </c>
      <c r="AL71" s="9" t="s">
        <v>23</v>
      </c>
      <c r="AM71" s="9" t="s">
        <v>23</v>
      </c>
      <c r="AN71" s="9" t="s">
        <v>23</v>
      </c>
      <c r="AO71" s="9" t="s">
        <v>23</v>
      </c>
      <c r="AP71" s="9" t="s">
        <v>23</v>
      </c>
      <c r="AQ71" s="9" t="s">
        <v>23</v>
      </c>
      <c r="AS71" s="9" t="s">
        <v>23</v>
      </c>
      <c r="AT71" s="9" t="s">
        <v>23</v>
      </c>
      <c r="AU71" s="9" t="s">
        <v>1014</v>
      </c>
      <c r="AV71" s="9" t="s">
        <v>1158</v>
      </c>
      <c r="AW71" s="9" t="s">
        <v>61</v>
      </c>
      <c r="AX71" s="9" t="s">
        <v>522</v>
      </c>
      <c r="AY71" s="9" t="s">
        <v>370</v>
      </c>
      <c r="AZ71" s="9" t="s">
        <v>980</v>
      </c>
      <c r="BA71" s="9" t="s">
        <v>980</v>
      </c>
      <c r="BB71" s="9" t="s">
        <v>1159</v>
      </c>
      <c r="BC71" s="9" t="s">
        <v>323</v>
      </c>
      <c r="BD71" s="9" t="s">
        <v>324</v>
      </c>
      <c r="BE71" s="9" t="s">
        <v>1160</v>
      </c>
      <c r="BF71" s="9" t="s">
        <v>1161</v>
      </c>
      <c r="BG71" s="9" t="s">
        <v>118</v>
      </c>
      <c r="BH71" s="9" t="s">
        <v>567</v>
      </c>
      <c r="BI71" s="9" t="s">
        <v>1162</v>
      </c>
      <c r="BJ71" s="9" t="s">
        <v>1163</v>
      </c>
      <c r="BK71" s="9" t="s">
        <v>1164</v>
      </c>
    </row>
    <row r="72" spans="1:65" ht="15.75" x14ac:dyDescent="0.25">
      <c r="A72" s="9" t="s">
        <v>311</v>
      </c>
      <c r="B72" s="18" t="s">
        <v>1152</v>
      </c>
      <c r="C72" s="19">
        <v>46203</v>
      </c>
      <c r="D72" s="9" t="s">
        <v>1153</v>
      </c>
      <c r="E72" s="9" t="s">
        <v>1154</v>
      </c>
      <c r="F72" s="27" t="s">
        <v>1547</v>
      </c>
      <c r="G72" s="28" t="s">
        <v>1163</v>
      </c>
      <c r="H72" s="28" t="s">
        <v>1541</v>
      </c>
      <c r="I72" s="9" t="str">
        <f t="shared" si="13"/>
        <v>TP. Hồ Chí Minh - An Khánh, (≤2.5 tấn), xe 51D 38021</v>
      </c>
      <c r="J72" s="9" t="s">
        <v>1155</v>
      </c>
      <c r="K72" s="9" t="s">
        <v>1156</v>
      </c>
      <c r="L72" s="9" t="s">
        <v>260</v>
      </c>
      <c r="M72" s="9" t="s">
        <v>261</v>
      </c>
      <c r="N72" s="9" t="s">
        <v>1167</v>
      </c>
      <c r="O72" s="9" t="s">
        <v>1168</v>
      </c>
      <c r="P72" s="9" t="s">
        <v>1169</v>
      </c>
      <c r="Q72" s="9" t="s">
        <v>1157</v>
      </c>
      <c r="R72" s="9" t="s">
        <v>54</v>
      </c>
      <c r="S72" s="9" t="s">
        <v>382</v>
      </c>
      <c r="T72" s="9" t="s">
        <v>649</v>
      </c>
      <c r="U72" s="9">
        <v>33.119999999999997</v>
      </c>
      <c r="V72" s="8">
        <f t="shared" si="14"/>
        <v>3.3000000000000002E-2</v>
      </c>
      <c r="W72" s="9">
        <f t="shared" si="15"/>
        <v>0</v>
      </c>
      <c r="X72" s="9">
        <f t="shared" si="16"/>
        <v>0</v>
      </c>
      <c r="AH72" s="9" t="s">
        <v>1568</v>
      </c>
      <c r="AI72" s="9" t="s">
        <v>1567</v>
      </c>
      <c r="AL72" s="9" t="s">
        <v>23</v>
      </c>
      <c r="AM72" s="9" t="s">
        <v>23</v>
      </c>
      <c r="AN72" s="9" t="s">
        <v>23</v>
      </c>
      <c r="AO72" s="9" t="s">
        <v>23</v>
      </c>
      <c r="AP72" s="9" t="s">
        <v>23</v>
      </c>
      <c r="AQ72" s="9" t="s">
        <v>23</v>
      </c>
      <c r="AS72" s="9" t="s">
        <v>23</v>
      </c>
      <c r="AT72" s="9" t="s">
        <v>23</v>
      </c>
      <c r="AU72" s="9" t="s">
        <v>1014</v>
      </c>
      <c r="AV72" s="9" t="s">
        <v>1158</v>
      </c>
      <c r="AW72" s="9" t="s">
        <v>61</v>
      </c>
      <c r="AX72" s="9" t="s">
        <v>522</v>
      </c>
      <c r="AY72" s="9" t="s">
        <v>370</v>
      </c>
      <c r="AZ72" s="9" t="s">
        <v>980</v>
      </c>
      <c r="BA72" s="9" t="s">
        <v>980</v>
      </c>
      <c r="BB72" s="9" t="s">
        <v>1159</v>
      </c>
      <c r="BC72" s="9" t="s">
        <v>323</v>
      </c>
      <c r="BD72" s="9" t="s">
        <v>324</v>
      </c>
      <c r="BE72" s="9" t="s">
        <v>1160</v>
      </c>
      <c r="BF72" s="9" t="s">
        <v>1161</v>
      </c>
      <c r="BG72" s="9" t="s">
        <v>118</v>
      </c>
      <c r="BH72" s="9" t="s">
        <v>71</v>
      </c>
      <c r="BI72" s="9" t="s">
        <v>1162</v>
      </c>
      <c r="BJ72" s="9" t="s">
        <v>1163</v>
      </c>
      <c r="BK72" s="9" t="s">
        <v>1164</v>
      </c>
    </row>
    <row r="73" spans="1:65" ht="15.75" x14ac:dyDescent="0.25">
      <c r="A73" s="9" t="s">
        <v>311</v>
      </c>
      <c r="B73" s="18" t="s">
        <v>1152</v>
      </c>
      <c r="C73" s="19">
        <v>46203</v>
      </c>
      <c r="D73" s="9" t="s">
        <v>1153</v>
      </c>
      <c r="E73" s="9" t="s">
        <v>1154</v>
      </c>
      <c r="F73" s="27" t="s">
        <v>1547</v>
      </c>
      <c r="G73" s="28" t="s">
        <v>1163</v>
      </c>
      <c r="H73" s="28" t="s">
        <v>1541</v>
      </c>
      <c r="I73" s="9" t="str">
        <f t="shared" si="13"/>
        <v>TP. Hồ Chí Minh - An Khánh, (≤2.5 tấn), xe 51D 38021</v>
      </c>
      <c r="J73" s="9" t="s">
        <v>1155</v>
      </c>
      <c r="K73" s="9" t="s">
        <v>1156</v>
      </c>
      <c r="L73" s="9" t="s">
        <v>260</v>
      </c>
      <c r="M73" s="9" t="s">
        <v>261</v>
      </c>
      <c r="N73" s="9" t="s">
        <v>1172</v>
      </c>
      <c r="O73" s="9" t="s">
        <v>1173</v>
      </c>
      <c r="P73" s="9" t="s">
        <v>1174</v>
      </c>
      <c r="Q73" s="9" t="s">
        <v>1157</v>
      </c>
      <c r="R73" s="9" t="s">
        <v>54</v>
      </c>
      <c r="S73" s="9" t="s">
        <v>361</v>
      </c>
      <c r="T73" s="9" t="s">
        <v>1175</v>
      </c>
      <c r="U73" s="9">
        <v>29.337899999999902</v>
      </c>
      <c r="V73" s="8">
        <f t="shared" si="14"/>
        <v>2.9000000000000001E-2</v>
      </c>
      <c r="W73" s="9">
        <f t="shared" si="15"/>
        <v>0</v>
      </c>
      <c r="X73" s="9">
        <f t="shared" si="16"/>
        <v>0</v>
      </c>
      <c r="AH73" s="9" t="s">
        <v>1568</v>
      </c>
      <c r="AI73" s="9" t="s">
        <v>1567</v>
      </c>
      <c r="AL73" s="9" t="s">
        <v>23</v>
      </c>
      <c r="AM73" s="9" t="s">
        <v>23</v>
      </c>
      <c r="AN73" s="9" t="s">
        <v>23</v>
      </c>
      <c r="AO73" s="9" t="s">
        <v>23</v>
      </c>
      <c r="AP73" s="9" t="s">
        <v>23</v>
      </c>
      <c r="AQ73" s="9" t="s">
        <v>23</v>
      </c>
      <c r="AS73" s="9" t="s">
        <v>23</v>
      </c>
      <c r="AT73" s="9" t="s">
        <v>23</v>
      </c>
      <c r="AU73" s="9" t="s">
        <v>1014</v>
      </c>
      <c r="AV73" s="9" t="s">
        <v>1158</v>
      </c>
      <c r="AW73" s="9" t="s">
        <v>61</v>
      </c>
      <c r="AX73" s="9" t="s">
        <v>522</v>
      </c>
      <c r="AY73" s="9" t="s">
        <v>370</v>
      </c>
      <c r="AZ73" s="9" t="s">
        <v>980</v>
      </c>
      <c r="BA73" s="9" t="s">
        <v>980</v>
      </c>
      <c r="BB73" s="9" t="s">
        <v>1159</v>
      </c>
      <c r="BC73" s="9" t="s">
        <v>323</v>
      </c>
      <c r="BD73" s="9" t="s">
        <v>324</v>
      </c>
      <c r="BE73" s="9" t="s">
        <v>1160</v>
      </c>
      <c r="BF73" s="9" t="s">
        <v>1161</v>
      </c>
      <c r="BG73" s="9" t="s">
        <v>118</v>
      </c>
      <c r="BH73" s="9" t="s">
        <v>71</v>
      </c>
      <c r="BI73" s="9" t="s">
        <v>1162</v>
      </c>
      <c r="BJ73" s="9" t="s">
        <v>1163</v>
      </c>
      <c r="BK73" s="9" t="s">
        <v>1164</v>
      </c>
    </row>
    <row r="74" spans="1:65" ht="15.75" x14ac:dyDescent="0.25">
      <c r="A74" s="9" t="s">
        <v>311</v>
      </c>
      <c r="B74" s="18" t="s">
        <v>1177</v>
      </c>
      <c r="C74" s="19">
        <v>46203</v>
      </c>
      <c r="D74" s="9" t="s">
        <v>1153</v>
      </c>
      <c r="E74" s="9" t="s">
        <v>1154</v>
      </c>
      <c r="F74" s="27" t="s">
        <v>1547</v>
      </c>
      <c r="G74" s="28" t="s">
        <v>1163</v>
      </c>
      <c r="H74" s="28" t="s">
        <v>1541</v>
      </c>
      <c r="I74" s="9" t="str">
        <f t="shared" si="13"/>
        <v>TP. Hồ Chí Minh - An Khánh, (≤2.5 tấn), xe 51D 38021</v>
      </c>
      <c r="J74" s="9" t="s">
        <v>1155</v>
      </c>
      <c r="K74" s="9" t="s">
        <v>1156</v>
      </c>
      <c r="L74" s="9" t="s">
        <v>260</v>
      </c>
      <c r="M74" s="9" t="s">
        <v>261</v>
      </c>
      <c r="N74" s="9" t="s">
        <v>1178</v>
      </c>
      <c r="O74" s="9" t="s">
        <v>1179</v>
      </c>
      <c r="P74" s="9" t="s">
        <v>1180</v>
      </c>
      <c r="Q74" s="9" t="s">
        <v>1157</v>
      </c>
      <c r="R74" s="9" t="s">
        <v>54</v>
      </c>
      <c r="S74" s="9" t="s">
        <v>382</v>
      </c>
      <c r="T74" s="9" t="s">
        <v>1181</v>
      </c>
      <c r="U74" s="9" t="s">
        <v>1182</v>
      </c>
      <c r="V74" s="8">
        <f t="shared" si="14"/>
        <v>5.0999999999999997E-2</v>
      </c>
      <c r="W74" s="9">
        <f t="shared" si="15"/>
        <v>0.153</v>
      </c>
      <c r="X74" s="9">
        <f t="shared" si="16"/>
        <v>0</v>
      </c>
      <c r="AH74" s="9" t="s">
        <v>1568</v>
      </c>
      <c r="AI74" s="9" t="s">
        <v>1567</v>
      </c>
      <c r="AL74" s="9" t="s">
        <v>23</v>
      </c>
      <c r="AM74" s="9" t="s">
        <v>23</v>
      </c>
      <c r="AN74" s="9" t="s">
        <v>23</v>
      </c>
      <c r="AO74" s="9" t="s">
        <v>23</v>
      </c>
      <c r="AP74" s="9" t="s">
        <v>23</v>
      </c>
      <c r="AQ74" s="9" t="s">
        <v>23</v>
      </c>
      <c r="AS74" s="9" t="s">
        <v>23</v>
      </c>
      <c r="AT74" s="9" t="s">
        <v>23</v>
      </c>
      <c r="AU74" s="9" t="s">
        <v>1014</v>
      </c>
      <c r="AV74" s="9" t="s">
        <v>1183</v>
      </c>
      <c r="AW74" s="9" t="s">
        <v>61</v>
      </c>
      <c r="AX74" s="9" t="s">
        <v>522</v>
      </c>
      <c r="AY74" s="9" t="s">
        <v>370</v>
      </c>
      <c r="AZ74" s="9" t="s">
        <v>980</v>
      </c>
      <c r="BA74" s="9" t="s">
        <v>980</v>
      </c>
      <c r="BB74" s="9" t="s">
        <v>1184</v>
      </c>
      <c r="BC74" s="9" t="s">
        <v>323</v>
      </c>
      <c r="BD74" s="9" t="s">
        <v>324</v>
      </c>
      <c r="BE74" s="9" t="s">
        <v>1185</v>
      </c>
      <c r="BF74" s="9" t="s">
        <v>1186</v>
      </c>
      <c r="BG74" s="9" t="s">
        <v>118</v>
      </c>
      <c r="BH74" s="9" t="s">
        <v>567</v>
      </c>
      <c r="BI74" s="9" t="s">
        <v>1162</v>
      </c>
      <c r="BJ74" s="9" t="s">
        <v>1163</v>
      </c>
      <c r="BK74" s="9" t="s">
        <v>1164</v>
      </c>
    </row>
    <row r="75" spans="1:65" ht="15.75" x14ac:dyDescent="0.25">
      <c r="A75" s="9" t="s">
        <v>311</v>
      </c>
      <c r="B75" s="18" t="s">
        <v>1177</v>
      </c>
      <c r="C75" s="19">
        <v>46203</v>
      </c>
      <c r="D75" s="9" t="s">
        <v>1153</v>
      </c>
      <c r="E75" s="9" t="s">
        <v>1154</v>
      </c>
      <c r="F75" s="27" t="s">
        <v>1547</v>
      </c>
      <c r="G75" s="28" t="s">
        <v>1163</v>
      </c>
      <c r="H75" s="28" t="s">
        <v>1541</v>
      </c>
      <c r="I75" s="9" t="str">
        <f t="shared" si="13"/>
        <v>TP. Hồ Chí Minh - An Khánh, (≤2.5 tấn), xe 51D 38021</v>
      </c>
      <c r="J75" s="9" t="s">
        <v>1155</v>
      </c>
      <c r="K75" s="9" t="s">
        <v>1156</v>
      </c>
      <c r="L75" s="9" t="s">
        <v>260</v>
      </c>
      <c r="M75" s="9" t="s">
        <v>261</v>
      </c>
      <c r="N75" s="9" t="s">
        <v>1178</v>
      </c>
      <c r="O75" s="9" t="s">
        <v>1179</v>
      </c>
      <c r="P75" s="9" t="s">
        <v>1180</v>
      </c>
      <c r="Q75" s="9" t="s">
        <v>1157</v>
      </c>
      <c r="R75" s="9" t="s">
        <v>54</v>
      </c>
      <c r="S75" s="9" t="s">
        <v>196</v>
      </c>
      <c r="T75" s="9" t="s">
        <v>1181</v>
      </c>
      <c r="U75" s="9" t="s">
        <v>1187</v>
      </c>
      <c r="V75" s="8">
        <f t="shared" si="14"/>
        <v>0.10199999999999999</v>
      </c>
      <c r="W75" s="9">
        <f t="shared" si="15"/>
        <v>0</v>
      </c>
      <c r="X75" s="9">
        <f t="shared" si="16"/>
        <v>0</v>
      </c>
      <c r="AH75" s="9" t="s">
        <v>1568</v>
      </c>
      <c r="AI75" s="9" t="s">
        <v>1567</v>
      </c>
      <c r="AL75" s="9" t="s">
        <v>23</v>
      </c>
      <c r="AM75" s="9" t="s">
        <v>23</v>
      </c>
      <c r="AN75" s="9" t="s">
        <v>23</v>
      </c>
      <c r="AO75" s="9" t="s">
        <v>23</v>
      </c>
      <c r="AP75" s="9" t="s">
        <v>23</v>
      </c>
      <c r="AQ75" s="9" t="s">
        <v>23</v>
      </c>
      <c r="AS75" s="9" t="s">
        <v>23</v>
      </c>
      <c r="AT75" s="9" t="s">
        <v>23</v>
      </c>
      <c r="AU75" s="9" t="s">
        <v>1014</v>
      </c>
      <c r="AV75" s="9" t="s">
        <v>1183</v>
      </c>
      <c r="AW75" s="9" t="s">
        <v>61</v>
      </c>
      <c r="AX75" s="9" t="s">
        <v>522</v>
      </c>
      <c r="AY75" s="9" t="s">
        <v>370</v>
      </c>
      <c r="AZ75" s="9" t="s">
        <v>980</v>
      </c>
      <c r="BA75" s="9" t="s">
        <v>980</v>
      </c>
      <c r="BB75" s="9" t="s">
        <v>1184</v>
      </c>
      <c r="BC75" s="9" t="s">
        <v>323</v>
      </c>
      <c r="BD75" s="9" t="s">
        <v>324</v>
      </c>
      <c r="BE75" s="9" t="s">
        <v>1185</v>
      </c>
      <c r="BF75" s="9" t="s">
        <v>1186</v>
      </c>
      <c r="BG75" s="9" t="s">
        <v>118</v>
      </c>
      <c r="BH75" s="9" t="s">
        <v>71</v>
      </c>
      <c r="BI75" s="9" t="s">
        <v>1162</v>
      </c>
      <c r="BJ75" s="9" t="s">
        <v>1163</v>
      </c>
      <c r="BK75" s="9" t="s">
        <v>1164</v>
      </c>
    </row>
    <row r="76" spans="1:65" ht="16.5" customHeight="1" x14ac:dyDescent="0.25">
      <c r="A76" s="40"/>
      <c r="B76" s="40"/>
      <c r="C76" s="41"/>
      <c r="D76" s="42"/>
      <c r="E76" s="42" t="s">
        <v>1571</v>
      </c>
      <c r="F76" s="40"/>
      <c r="G76" s="40"/>
      <c r="H76" s="40"/>
      <c r="I76" s="42"/>
      <c r="J76" s="40"/>
      <c r="K76" s="42"/>
      <c r="L76" s="40"/>
      <c r="M76" s="40"/>
      <c r="N76" s="40"/>
      <c r="O76" s="40"/>
      <c r="P76" s="40"/>
      <c r="Q76" s="40"/>
      <c r="R76" s="43"/>
      <c r="S76" s="44"/>
      <c r="T76" s="44"/>
      <c r="U76" s="45">
        <v>11.884999999999982</v>
      </c>
      <c r="V76" s="45">
        <f>SUM(V51:V75)</f>
        <v>1.6769999999999996</v>
      </c>
      <c r="W76" s="45">
        <f t="shared" ref="W76:X76" si="17">SUM(W51:W75)</f>
        <v>1.6770000000000003</v>
      </c>
      <c r="X76" s="45">
        <f t="shared" si="17"/>
        <v>1.6770000000000003</v>
      </c>
      <c r="Y76" s="46"/>
      <c r="Z76" s="46"/>
      <c r="AA76" s="46"/>
      <c r="AB76" s="46"/>
      <c r="AC76" s="46">
        <f>SUM(AC65:AC75)</f>
        <v>0</v>
      </c>
      <c r="AD76" s="46">
        <f>SUM(AD51:AD75)</f>
        <v>1608098</v>
      </c>
      <c r="AE76" s="46">
        <f>SUM(AE51:AE75)</f>
        <v>1608098</v>
      </c>
      <c r="AF76" s="47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9"/>
      <c r="AR76" s="49"/>
      <c r="AS76" s="50"/>
      <c r="AT76" s="48"/>
      <c r="AU76" s="49"/>
      <c r="AV76" s="51"/>
      <c r="AW76" s="52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</row>
  </sheetData>
  <autoFilter ref="A50:BK75" xr:uid="{00000000-0001-0000-05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Processed</vt:lpstr>
      <vt:lpstr>MCC (goc)</vt:lpstr>
      <vt:lpstr>MCC-clv</vt:lpstr>
      <vt:lpstr>MCC (uni)</vt:lpstr>
      <vt:lpstr>MCC (tt)</vt:lpstr>
      <vt:lpstr>NDFC=clv</vt:lpstr>
      <vt:lpstr>NDFC (uni)</vt:lpstr>
      <vt:lpstr>NDFC (tt)</vt:lpstr>
      <vt:lpstr>NDFC (goc)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2026-07-02T06:27:34Z</dcterms:created>
  <dcterms:modified xsi:type="dcterms:W3CDTF">2026-07-31T09:10:10Z</dcterms:modified>
  <cp:category/>
</cp:coreProperties>
</file>