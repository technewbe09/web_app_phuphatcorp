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danh_sach_kh/"/>
    </mc:Choice>
  </mc:AlternateContent>
  <xr:revisionPtr revIDLastSave="0" documentId="13_ncr:1_{AF45C4A0-457B-9547-9E8F-C8FF0DC56867}" xr6:coauthVersionLast="47" xr6:coauthVersionMax="47" xr10:uidLastSave="{00000000-0000-0000-0000-000000000000}"/>
  <bookViews>
    <workbookView xWindow="200" yWindow="2920" windowWidth="28600" windowHeight="13420" activeTab="6" xr2:uid="{00000000-000D-0000-FFFF-FFFF00000000}"/>
  </bookViews>
  <sheets>
    <sheet name="GP NVC" sheetId="147" state="hidden" r:id="rId1"/>
    <sheet name="siêu thị" sheetId="220" state="hidden" r:id="rId2"/>
    <sheet name="npp" sheetId="221" state="hidden" r:id="rId3"/>
    <sheet name="tỉnh" sheetId="222" state="hidden" r:id="rId4"/>
    <sheet name="npp (clv)" sheetId="223" state="hidden" r:id="rId5"/>
    <sheet name="siêu thị (clv)" sheetId="224" state="hidden" r:id="rId6"/>
    <sheet name="TONG HOP cap nhat T5-26" sheetId="225" r:id="rId7"/>
    <sheet name="MÃ HÀNG OK" sheetId="226" r:id="rId8"/>
  </sheets>
  <definedNames>
    <definedName name="_xlnm._FilterDatabase" localSheetId="0" hidden="1">'GP NVC'!$A$1:$J$1</definedName>
    <definedName name="_xlnm._FilterDatabase" localSheetId="7" hidden="1">'MÃ HÀNG OK'!$A$2:$I$360</definedName>
    <definedName name="_xlnm._FilterDatabase" localSheetId="1" hidden="1">'siêu thị'!$A$3:$F$128</definedName>
    <definedName name="_xlnm._FilterDatabase" localSheetId="5" hidden="1">'siêu thị (clv)'!$A$3:$G$181</definedName>
    <definedName name="_xlnm._FilterDatabase" localSheetId="3" hidden="1">tỉnh!$A$3:$H$48</definedName>
    <definedName name="_xlnm._FilterDatabase" localSheetId="6" hidden="1">'TONG HOP cap nhat T5-26'!$A$15:$H$275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225" l="1"/>
  <c r="D197" i="225" l="1"/>
  <c r="D23" i="225"/>
  <c r="D227" i="225"/>
  <c r="D51" i="225"/>
  <c r="D271" i="225"/>
  <c r="D257" i="225"/>
  <c r="D246" i="225"/>
  <c r="D238" i="225"/>
  <c r="D211" i="225"/>
  <c r="D235" i="225"/>
  <c r="D189" i="225"/>
  <c r="D41" i="225"/>
  <c r="D165" i="225"/>
  <c r="D93" i="225"/>
  <c r="D18" i="225"/>
  <c r="D19" i="225"/>
  <c r="D20" i="225"/>
  <c r="D21" i="225"/>
  <c r="D22" i="225"/>
  <c r="D24" i="225"/>
  <c r="D25" i="225"/>
  <c r="D26" i="225"/>
  <c r="D27" i="225"/>
  <c r="D28" i="225"/>
  <c r="D29" i="225"/>
  <c r="D30" i="225"/>
  <c r="D31" i="225"/>
  <c r="D32" i="225"/>
  <c r="D33" i="225"/>
  <c r="D34" i="225"/>
  <c r="D35" i="225"/>
  <c r="D36" i="225"/>
  <c r="D37" i="225"/>
  <c r="D38" i="225"/>
  <c r="D39" i="225"/>
  <c r="D40" i="225"/>
  <c r="D42" i="225"/>
  <c r="D43" i="225"/>
  <c r="D44" i="225"/>
  <c r="D45" i="225"/>
  <c r="D46" i="225"/>
  <c r="D47" i="225"/>
  <c r="D48" i="225"/>
  <c r="D49" i="225"/>
  <c r="D50" i="225"/>
  <c r="D52" i="225"/>
  <c r="D53" i="225"/>
  <c r="D54" i="225"/>
  <c r="D55" i="225"/>
  <c r="D56" i="225"/>
  <c r="D57" i="225"/>
  <c r="D58" i="225"/>
  <c r="D59" i="225"/>
  <c r="D60" i="225"/>
  <c r="D61" i="225"/>
  <c r="D62" i="225"/>
  <c r="D63" i="225"/>
  <c r="D64" i="225"/>
  <c r="D65" i="225"/>
  <c r="D66" i="225"/>
  <c r="D67" i="225"/>
  <c r="D68" i="225"/>
  <c r="D69" i="225"/>
  <c r="D70" i="225"/>
  <c r="D71" i="225"/>
  <c r="D72" i="225"/>
  <c r="D73" i="225"/>
  <c r="D74" i="225"/>
  <c r="D75" i="225"/>
  <c r="D76" i="225"/>
  <c r="D77" i="225"/>
  <c r="D78" i="225"/>
  <c r="D79" i="225"/>
  <c r="D80" i="225"/>
  <c r="D81" i="225"/>
  <c r="D82" i="225"/>
  <c r="D83" i="225"/>
  <c r="D84" i="225"/>
  <c r="D85" i="225"/>
  <c r="D86" i="225"/>
  <c r="D87" i="225"/>
  <c r="D88" i="225"/>
  <c r="D89" i="225"/>
  <c r="D90" i="225"/>
  <c r="D91" i="225"/>
  <c r="D92" i="225"/>
  <c r="D94" i="225"/>
  <c r="D95" i="225"/>
  <c r="D96" i="225"/>
  <c r="D97" i="225"/>
  <c r="D99" i="225"/>
  <c r="D100" i="225"/>
  <c r="D101" i="225"/>
  <c r="D102" i="225"/>
  <c r="D103" i="225"/>
  <c r="D104" i="225"/>
  <c r="D105" i="225"/>
  <c r="D106" i="225"/>
  <c r="D107" i="225"/>
  <c r="D108" i="225"/>
  <c r="D109" i="225"/>
  <c r="D110" i="225"/>
  <c r="D111" i="225"/>
  <c r="D112" i="225"/>
  <c r="D113" i="225"/>
  <c r="D114" i="225"/>
  <c r="D115" i="225"/>
  <c r="D116" i="225"/>
  <c r="D117" i="225"/>
  <c r="D118" i="225"/>
  <c r="D119" i="225"/>
  <c r="D120" i="225"/>
  <c r="D121" i="225"/>
  <c r="D122" i="225"/>
  <c r="D123" i="225"/>
  <c r="D124" i="225"/>
  <c r="D125" i="225"/>
  <c r="D126" i="225"/>
  <c r="D127" i="225"/>
  <c r="D128" i="225"/>
  <c r="D129" i="225"/>
  <c r="D130" i="225"/>
  <c r="D131" i="225"/>
  <c r="D132" i="225"/>
  <c r="D133" i="225"/>
  <c r="D134" i="225"/>
  <c r="D135" i="225"/>
  <c r="D136" i="225"/>
  <c r="D137" i="225"/>
  <c r="D138" i="225"/>
  <c r="D139" i="225"/>
  <c r="D140" i="225"/>
  <c r="D141" i="225"/>
  <c r="D142" i="225"/>
  <c r="D143" i="225"/>
  <c r="D144" i="225"/>
  <c r="D145" i="225"/>
  <c r="D146" i="225"/>
  <c r="D147" i="225"/>
  <c r="D148" i="225"/>
  <c r="D149" i="225"/>
  <c r="D150" i="225"/>
  <c r="D151" i="225"/>
  <c r="D152" i="225"/>
  <c r="D153" i="225"/>
  <c r="D154" i="225"/>
  <c r="D155" i="225"/>
  <c r="D156" i="225"/>
  <c r="D157" i="225"/>
  <c r="D158" i="225"/>
  <c r="D159" i="225"/>
  <c r="D160" i="225"/>
  <c r="D161" i="225"/>
  <c r="D162" i="225"/>
  <c r="D163" i="225"/>
  <c r="D164" i="225"/>
  <c r="D166" i="225"/>
  <c r="D167" i="225"/>
  <c r="D168" i="225"/>
  <c r="D169" i="225"/>
  <c r="D170" i="225"/>
  <c r="D171" i="225"/>
  <c r="D172" i="225"/>
  <c r="D173" i="225"/>
  <c r="D174" i="225"/>
  <c r="D175" i="225"/>
  <c r="D176" i="225"/>
  <c r="D177" i="225"/>
  <c r="D178" i="225"/>
  <c r="D179" i="225"/>
  <c r="D180" i="225"/>
  <c r="D181" i="225"/>
  <c r="D182" i="225"/>
  <c r="D183" i="225"/>
  <c r="D184" i="225"/>
  <c r="D186" i="225"/>
  <c r="D187" i="225"/>
  <c r="D188" i="225"/>
  <c r="D190" i="225"/>
  <c r="D191" i="225"/>
  <c r="D192" i="225"/>
  <c r="D193" i="225"/>
  <c r="D194" i="225"/>
  <c r="D195" i="225"/>
  <c r="D196" i="225"/>
  <c r="D198" i="225"/>
  <c r="D199" i="225"/>
  <c r="D200" i="225"/>
  <c r="D201" i="225"/>
  <c r="D202" i="225"/>
  <c r="D203" i="225"/>
  <c r="D204" i="225"/>
  <c r="D205" i="225"/>
  <c r="D206" i="225"/>
  <c r="D207" i="225"/>
  <c r="D208" i="225"/>
  <c r="D209" i="225"/>
  <c r="D210" i="225"/>
  <c r="D212" i="225"/>
  <c r="D213" i="225"/>
  <c r="D214" i="225"/>
  <c r="D215" i="225"/>
  <c r="D216" i="225"/>
  <c r="D217" i="225"/>
  <c r="D218" i="225"/>
  <c r="D219" i="225"/>
  <c r="D220" i="225"/>
  <c r="D221" i="225"/>
  <c r="D222" i="225"/>
  <c r="D223" i="225"/>
  <c r="D224" i="225"/>
  <c r="D225" i="225"/>
  <c r="D226" i="225"/>
  <c r="D228" i="225"/>
  <c r="D229" i="225"/>
  <c r="D230" i="225"/>
  <c r="D231" i="225"/>
  <c r="D232" i="225"/>
  <c r="D233" i="225"/>
  <c r="D234" i="225"/>
  <c r="D236" i="225"/>
  <c r="D237" i="225"/>
  <c r="D239" i="225"/>
  <c r="D240" i="225"/>
  <c r="D241" i="225"/>
  <c r="D242" i="225"/>
  <c r="D243" i="225"/>
  <c r="D244" i="225"/>
  <c r="D245" i="225"/>
  <c r="D247" i="225"/>
  <c r="D248" i="225"/>
  <c r="D249" i="225"/>
  <c r="D250" i="225"/>
  <c r="D251" i="225"/>
  <c r="D252" i="225"/>
  <c r="D254" i="225"/>
  <c r="D253" i="225"/>
  <c r="D255" i="225"/>
  <c r="D256" i="225"/>
  <c r="D258" i="225"/>
  <c r="D259" i="225"/>
  <c r="D260" i="225"/>
  <c r="D261" i="225"/>
  <c r="D262" i="225"/>
  <c r="D263" i="225"/>
  <c r="D264" i="225"/>
  <c r="D265" i="225"/>
  <c r="D266" i="225"/>
  <c r="D267" i="225"/>
  <c r="D268" i="225"/>
  <c r="D269" i="225"/>
  <c r="D270" i="225"/>
  <c r="D272" i="225"/>
  <c r="D273" i="225"/>
  <c r="D274" i="225"/>
  <c r="D275" i="225"/>
  <c r="D17" i="225" l="1"/>
  <c r="D16" i="225"/>
  <c r="I4" i="226" l="1"/>
  <c r="I5" i="226"/>
  <c r="I6" i="226"/>
  <c r="I7" i="226"/>
  <c r="I8" i="226"/>
  <c r="I9" i="226"/>
  <c r="I10" i="226"/>
  <c r="I11" i="226"/>
  <c r="I12" i="226"/>
  <c r="I13" i="226"/>
  <c r="I14" i="226"/>
  <c r="I15" i="226"/>
  <c r="I16" i="226"/>
  <c r="I17" i="226"/>
  <c r="I18" i="226"/>
  <c r="I19" i="226"/>
  <c r="I20" i="226"/>
  <c r="I21" i="226"/>
  <c r="I22" i="226"/>
  <c r="I23" i="226"/>
  <c r="I24" i="226"/>
  <c r="I25" i="226"/>
  <c r="I26" i="226"/>
  <c r="I27" i="226"/>
  <c r="I28" i="226"/>
  <c r="I29" i="226"/>
  <c r="I30" i="226"/>
  <c r="I31" i="226"/>
  <c r="I32" i="226"/>
  <c r="I33" i="226"/>
  <c r="I34" i="226"/>
  <c r="I35" i="226"/>
  <c r="I36" i="226"/>
  <c r="I37" i="226"/>
  <c r="I38" i="226"/>
  <c r="I39" i="226"/>
  <c r="I40" i="226"/>
  <c r="I41" i="226"/>
  <c r="I42" i="226"/>
  <c r="I43" i="226"/>
  <c r="I44" i="226"/>
  <c r="I45" i="226"/>
  <c r="I46" i="226"/>
  <c r="I47" i="226"/>
  <c r="I48" i="226"/>
  <c r="I49" i="226"/>
  <c r="I50" i="226"/>
  <c r="I51" i="226"/>
  <c r="I52" i="226"/>
  <c r="I53" i="226"/>
  <c r="I54" i="226"/>
  <c r="I55" i="226"/>
  <c r="I56" i="226"/>
  <c r="I57" i="226"/>
  <c r="I58" i="226"/>
  <c r="I59" i="226"/>
  <c r="I60" i="226"/>
  <c r="I61" i="226"/>
  <c r="I62" i="226"/>
  <c r="I63" i="226"/>
  <c r="I64" i="226"/>
  <c r="I65" i="226"/>
  <c r="I66" i="226"/>
  <c r="I67" i="226"/>
  <c r="I68" i="226"/>
  <c r="I69" i="226"/>
  <c r="I70" i="226"/>
  <c r="I71" i="226"/>
  <c r="I72" i="226"/>
  <c r="I73" i="226"/>
  <c r="I74" i="226"/>
  <c r="I75" i="226"/>
  <c r="I76" i="226"/>
  <c r="I77" i="226"/>
  <c r="I78" i="226"/>
  <c r="I79" i="226"/>
  <c r="I80" i="226"/>
  <c r="I81" i="226"/>
  <c r="I82" i="226"/>
  <c r="I83" i="226"/>
  <c r="I84" i="226"/>
  <c r="I85" i="226"/>
  <c r="I86" i="226"/>
  <c r="I87" i="226"/>
  <c r="I88" i="226"/>
  <c r="I89" i="226"/>
  <c r="I90" i="226"/>
  <c r="I91" i="226"/>
  <c r="I92" i="226"/>
  <c r="I93" i="226"/>
  <c r="I94" i="226"/>
  <c r="I95" i="226"/>
  <c r="I96" i="226"/>
  <c r="I97" i="226"/>
  <c r="I98" i="226"/>
  <c r="I99" i="226"/>
  <c r="I100" i="226"/>
  <c r="I101" i="226"/>
  <c r="I102" i="226"/>
  <c r="I103" i="226"/>
  <c r="I104" i="226"/>
  <c r="I105" i="226"/>
  <c r="I106" i="226"/>
  <c r="I107" i="226"/>
  <c r="I108" i="226"/>
  <c r="I109" i="226"/>
  <c r="I110" i="226"/>
  <c r="I111" i="226"/>
  <c r="I112" i="226"/>
  <c r="I113" i="226"/>
  <c r="I114" i="226"/>
  <c r="I115" i="226"/>
  <c r="I116" i="226"/>
  <c r="I117" i="226"/>
  <c r="I118" i="226"/>
  <c r="I119" i="226"/>
  <c r="I120" i="226"/>
  <c r="I121" i="226"/>
  <c r="I122" i="226"/>
  <c r="I123" i="226"/>
  <c r="I124" i="226"/>
  <c r="I125" i="226"/>
  <c r="I126" i="226"/>
  <c r="I127" i="226"/>
  <c r="I128" i="226"/>
  <c r="I129" i="226"/>
  <c r="I130" i="226"/>
  <c r="I131" i="226"/>
  <c r="I132" i="226"/>
  <c r="I133" i="226"/>
  <c r="I134" i="226"/>
  <c r="I135" i="226"/>
  <c r="I136" i="226"/>
  <c r="I137" i="226"/>
  <c r="I138" i="226"/>
  <c r="I139" i="226"/>
  <c r="I140" i="226"/>
  <c r="I141" i="226"/>
  <c r="I142" i="226"/>
  <c r="I143" i="226"/>
  <c r="I144" i="226"/>
  <c r="I145" i="226"/>
  <c r="I146" i="226"/>
  <c r="I147" i="226"/>
  <c r="I148" i="226"/>
  <c r="I149" i="226"/>
  <c r="I150" i="226"/>
  <c r="I151" i="226"/>
  <c r="I152" i="226"/>
  <c r="I153" i="226"/>
  <c r="I154" i="226"/>
  <c r="I155" i="226"/>
  <c r="I156" i="226"/>
  <c r="I157" i="226"/>
  <c r="I158" i="226"/>
  <c r="I159" i="226"/>
  <c r="I160" i="226"/>
  <c r="I161" i="226"/>
  <c r="I162" i="226"/>
  <c r="I163" i="226"/>
  <c r="I164" i="226"/>
  <c r="I165" i="226"/>
  <c r="I166" i="226"/>
  <c r="I167" i="226"/>
  <c r="I168" i="226"/>
  <c r="I169" i="226"/>
  <c r="I170" i="226"/>
  <c r="I171" i="226"/>
  <c r="I172" i="226"/>
  <c r="I173" i="226"/>
  <c r="I174" i="226"/>
  <c r="I175" i="226"/>
  <c r="I176" i="226"/>
  <c r="I177" i="226"/>
  <c r="I178" i="226"/>
  <c r="I179" i="226"/>
  <c r="I180" i="226"/>
  <c r="I181" i="226"/>
  <c r="I182" i="226"/>
  <c r="I183" i="226"/>
  <c r="I184" i="226"/>
  <c r="I185" i="226"/>
  <c r="I186" i="226"/>
  <c r="I187" i="226"/>
  <c r="I188" i="226"/>
  <c r="I189" i="226"/>
  <c r="I190" i="226"/>
  <c r="I191" i="226"/>
  <c r="I192" i="226"/>
  <c r="I193" i="226"/>
  <c r="I194" i="226"/>
  <c r="I195" i="226"/>
  <c r="I196" i="226"/>
  <c r="I197" i="226"/>
  <c r="I198" i="226"/>
  <c r="I199" i="226"/>
  <c r="I200" i="226"/>
  <c r="I201" i="226"/>
  <c r="I202" i="226"/>
  <c r="I203" i="226"/>
  <c r="I204" i="226"/>
  <c r="I205" i="226"/>
  <c r="I206" i="226"/>
  <c r="I207" i="226"/>
  <c r="I208" i="226"/>
  <c r="I209" i="226"/>
  <c r="I210" i="226"/>
  <c r="I211" i="226"/>
  <c r="I212" i="226"/>
  <c r="I213" i="226"/>
  <c r="I214" i="226"/>
  <c r="I215" i="226"/>
  <c r="I216" i="226"/>
  <c r="I217" i="226"/>
  <c r="I218" i="226"/>
  <c r="I219" i="226"/>
  <c r="I220" i="226"/>
  <c r="I221" i="226"/>
  <c r="I222" i="226"/>
  <c r="I223" i="226"/>
  <c r="I224" i="226"/>
  <c r="I225" i="226"/>
  <c r="I226" i="226"/>
  <c r="I227" i="226"/>
  <c r="I228" i="226"/>
  <c r="I229" i="226"/>
  <c r="I230" i="226"/>
  <c r="I231" i="226"/>
  <c r="I232" i="226"/>
  <c r="I233" i="226"/>
  <c r="I234" i="226"/>
  <c r="I235" i="226"/>
  <c r="I236" i="226"/>
  <c r="I237" i="226"/>
  <c r="I238" i="226"/>
  <c r="I239" i="226"/>
  <c r="I240" i="226"/>
  <c r="I241" i="226"/>
  <c r="I242" i="226"/>
  <c r="I243" i="226"/>
  <c r="I244" i="226"/>
  <c r="I245" i="226"/>
  <c r="I246" i="226"/>
  <c r="I247" i="226"/>
  <c r="I248" i="226"/>
  <c r="I249" i="226"/>
  <c r="I250" i="226"/>
  <c r="I251" i="226"/>
  <c r="I252" i="226"/>
  <c r="I253" i="226"/>
  <c r="I254" i="226"/>
  <c r="I255" i="226"/>
  <c r="I256" i="226"/>
  <c r="I257" i="226"/>
  <c r="I258" i="226"/>
  <c r="I259" i="226"/>
  <c r="I260" i="226"/>
  <c r="I261" i="226"/>
  <c r="I262" i="226"/>
  <c r="I263" i="226"/>
  <c r="I264" i="226"/>
  <c r="I265" i="226"/>
  <c r="I266" i="226"/>
  <c r="I267" i="226"/>
  <c r="I268" i="226"/>
  <c r="I269" i="226"/>
  <c r="I270" i="226"/>
  <c r="I271" i="226"/>
  <c r="I272" i="226"/>
  <c r="I273" i="226"/>
  <c r="I274" i="226"/>
  <c r="I275" i="226"/>
  <c r="I276" i="226"/>
  <c r="I277" i="226"/>
  <c r="I278" i="226"/>
  <c r="I279" i="226"/>
  <c r="I280" i="226"/>
  <c r="I281" i="226"/>
  <c r="I282" i="226"/>
  <c r="I283" i="226"/>
  <c r="I284" i="226"/>
  <c r="I285" i="226"/>
  <c r="I286" i="226"/>
  <c r="I287" i="226"/>
  <c r="I288" i="226"/>
  <c r="I289" i="226"/>
  <c r="I290" i="226"/>
  <c r="I291" i="226"/>
  <c r="I292" i="226"/>
  <c r="I293" i="226"/>
  <c r="I294" i="226"/>
  <c r="I295" i="226"/>
  <c r="I296" i="226"/>
  <c r="I297" i="226"/>
  <c r="I298" i="226"/>
  <c r="I299" i="226"/>
  <c r="I300" i="226"/>
  <c r="I301" i="226"/>
  <c r="I302" i="226"/>
  <c r="I303" i="226"/>
  <c r="I304" i="226"/>
  <c r="I305" i="226"/>
  <c r="I306" i="226"/>
  <c r="I307" i="226"/>
  <c r="I308" i="226"/>
  <c r="I309" i="226"/>
  <c r="I310" i="226"/>
  <c r="I311" i="226"/>
  <c r="I312" i="226"/>
  <c r="I313" i="226"/>
  <c r="I314" i="226"/>
  <c r="I315" i="226"/>
  <c r="I316" i="226"/>
  <c r="I317" i="226"/>
  <c r="I318" i="226"/>
  <c r="I319" i="226"/>
  <c r="I320" i="226"/>
  <c r="I321" i="226"/>
  <c r="I322" i="226"/>
  <c r="I323" i="226"/>
  <c r="I324" i="226"/>
  <c r="I325" i="226"/>
  <c r="I326" i="226"/>
  <c r="I327" i="226"/>
  <c r="I328" i="226"/>
  <c r="I329" i="226"/>
  <c r="I330" i="226"/>
  <c r="I331" i="226"/>
  <c r="I332" i="226"/>
  <c r="I333" i="226"/>
  <c r="I334" i="226"/>
  <c r="I335" i="226"/>
  <c r="I336" i="226"/>
  <c r="I337" i="226"/>
  <c r="I338" i="226"/>
  <c r="I339" i="226"/>
  <c r="I340" i="226"/>
  <c r="I341" i="226"/>
  <c r="I342" i="226"/>
  <c r="I343" i="226"/>
  <c r="I344" i="226"/>
  <c r="I345" i="226"/>
  <c r="I346" i="226"/>
  <c r="I347" i="226"/>
  <c r="I348" i="226"/>
  <c r="I349" i="226"/>
  <c r="I350" i="226"/>
  <c r="I351" i="226"/>
  <c r="I352" i="226"/>
  <c r="I353" i="226"/>
  <c r="I354" i="226"/>
  <c r="I355" i="226"/>
  <c r="I356" i="226"/>
  <c r="I3" i="226"/>
  <c r="G293" i="147" l="1"/>
  <c r="H293" i="147" s="1"/>
  <c r="G294" i="147"/>
  <c r="H294" i="147" s="1"/>
  <c r="G295" i="147"/>
  <c r="H295" i="147" s="1"/>
  <c r="G296" i="147"/>
  <c r="H296" i="147" s="1"/>
  <c r="G297" i="147"/>
  <c r="H297" i="147" s="1"/>
  <c r="G298" i="147"/>
  <c r="H298" i="147" s="1"/>
  <c r="G299" i="147"/>
  <c r="H299" i="147" s="1"/>
  <c r="L293" i="147"/>
  <c r="L292" i="147"/>
  <c r="G286" i="147"/>
  <c r="H286" i="147"/>
  <c r="G287" i="147"/>
  <c r="H287" i="147" s="1"/>
  <c r="G288" i="147"/>
  <c r="H288" i="147" s="1"/>
  <c r="G289" i="147"/>
  <c r="H289" i="147" s="1"/>
  <c r="G290" i="147"/>
  <c r="H290" i="147" s="1"/>
  <c r="G291" i="147"/>
  <c r="H291" i="147" s="1"/>
  <c r="G292" i="147"/>
  <c r="H292" i="147" s="1"/>
  <c r="G285" i="147"/>
  <c r="H285" i="147" s="1"/>
  <c r="H300" i="147" l="1"/>
  <c r="J272" i="147"/>
  <c r="J271" i="147"/>
  <c r="J270" i="147"/>
  <c r="J269" i="147"/>
  <c r="J267" i="147"/>
  <c r="G271" i="147"/>
  <c r="H271" i="147" s="1"/>
  <c r="A275" i="147"/>
  <c r="G275" i="147"/>
  <c r="H275" i="147" s="1"/>
  <c r="G274" i="147"/>
  <c r="H274" i="147" s="1"/>
  <c r="G272" i="147"/>
  <c r="H272" i="147" s="1"/>
  <c r="G270" i="147"/>
  <c r="H270" i="147" s="1"/>
  <c r="G269" i="147"/>
  <c r="H269" i="147" s="1"/>
  <c r="J268" i="147"/>
  <c r="G268" i="147"/>
  <c r="H268" i="147" s="1"/>
  <c r="A268" i="147"/>
  <c r="A269" i="147" s="1"/>
  <c r="A270" i="147" s="1"/>
  <c r="A271" i="147" s="1"/>
  <c r="A272" i="147" s="1"/>
  <c r="G267" i="147"/>
  <c r="H267" i="147" s="1"/>
  <c r="G260" i="147"/>
  <c r="H260" i="147" s="1"/>
  <c r="G259" i="147"/>
  <c r="H259" i="147" s="1"/>
  <c r="G258" i="147"/>
  <c r="H258" i="147" s="1"/>
  <c r="G257" i="147"/>
  <c r="H257" i="147" s="1"/>
  <c r="G256" i="147"/>
  <c r="H256" i="147" s="1"/>
  <c r="G255" i="147"/>
  <c r="H255" i="147" s="1"/>
  <c r="A255" i="147"/>
  <c r="A256" i="147" s="1"/>
  <c r="A257" i="147" s="1"/>
  <c r="A258" i="147" s="1"/>
  <c r="A259" i="147" s="1"/>
  <c r="A260" i="147" s="1"/>
  <c r="G254" i="147"/>
  <c r="H254" i="147" s="1"/>
  <c r="G252" i="147"/>
  <c r="H252" i="147" s="1"/>
  <c r="G251" i="147"/>
  <c r="H251" i="147" s="1"/>
  <c r="G250" i="147"/>
  <c r="H250" i="147" s="1"/>
  <c r="G249" i="147"/>
  <c r="H249" i="147" s="1"/>
  <c r="G248" i="147"/>
  <c r="H248" i="147" s="1"/>
  <c r="G247" i="147"/>
  <c r="H247" i="147" s="1"/>
  <c r="G246" i="147"/>
  <c r="H246" i="147" s="1"/>
  <c r="G245" i="147"/>
  <c r="H245" i="147" s="1"/>
  <c r="G244" i="147"/>
  <c r="H244" i="147" s="1"/>
  <c r="G243" i="147"/>
  <c r="H243" i="147" s="1"/>
  <c r="J242" i="147"/>
  <c r="G242" i="147"/>
  <c r="H242" i="147" s="1"/>
  <c r="J241" i="147"/>
  <c r="G241" i="147"/>
  <c r="H241" i="147" s="1"/>
  <c r="J240" i="147"/>
  <c r="G240" i="147"/>
  <c r="H240" i="147" s="1"/>
  <c r="J239" i="147"/>
  <c r="G239" i="147"/>
  <c r="H239" i="147" s="1"/>
  <c r="J238" i="147"/>
  <c r="G238" i="147"/>
  <c r="H238" i="147" s="1"/>
  <c r="A238" i="147"/>
  <c r="A239" i="147" s="1"/>
  <c r="A240" i="147" s="1"/>
  <c r="A241" i="147" s="1"/>
  <c r="A242" i="147" s="1"/>
  <c r="A243" i="147" s="1"/>
  <c r="A244" i="147" s="1"/>
  <c r="A246" i="147" s="1"/>
  <c r="A248" i="147" s="1"/>
  <c r="A249" i="147" s="1"/>
  <c r="A251" i="147" s="1"/>
  <c r="J237" i="147"/>
  <c r="G237" i="147"/>
  <c r="H237" i="147" s="1"/>
  <c r="H276" i="147" l="1"/>
  <c r="H273" i="147"/>
  <c r="H261" i="147"/>
  <c r="H253" i="147"/>
  <c r="H277" i="147" l="1"/>
  <c r="H262" i="147"/>
  <c r="G215" i="147" l="1"/>
  <c r="H215" i="147" s="1"/>
  <c r="G216" i="147"/>
  <c r="H216" i="147" s="1"/>
  <c r="G217" i="147"/>
  <c r="H217" i="147" s="1"/>
  <c r="G218" i="147"/>
  <c r="H218" i="147" s="1"/>
  <c r="G219" i="147"/>
  <c r="H219" i="147" s="1"/>
  <c r="G220" i="147"/>
  <c r="H220" i="147" s="1"/>
  <c r="G221" i="147"/>
  <c r="H221" i="147" s="1"/>
  <c r="G222" i="147"/>
  <c r="H222" i="147" s="1"/>
  <c r="J212" i="147"/>
  <c r="J211" i="147"/>
  <c r="J210" i="147"/>
  <c r="J209" i="147"/>
  <c r="J208" i="147"/>
  <c r="J207" i="147"/>
  <c r="G214" i="147"/>
  <c r="H214" i="147" s="1"/>
  <c r="G230" i="147" l="1"/>
  <c r="H230" i="147" s="1"/>
  <c r="G229" i="147"/>
  <c r="H229" i="147" s="1"/>
  <c r="G228" i="147"/>
  <c r="H228" i="147" s="1"/>
  <c r="G227" i="147"/>
  <c r="H227" i="147" s="1"/>
  <c r="G226" i="147"/>
  <c r="H226" i="147" s="1"/>
  <c r="G225" i="147"/>
  <c r="H225" i="147" s="1"/>
  <c r="A225" i="147"/>
  <c r="A226" i="147" s="1"/>
  <c r="A227" i="147" s="1"/>
  <c r="A228" i="147" s="1"/>
  <c r="A229" i="147" s="1"/>
  <c r="A230" i="147" s="1"/>
  <c r="G224" i="147"/>
  <c r="H224" i="147" s="1"/>
  <c r="G213" i="147"/>
  <c r="H213" i="147" s="1"/>
  <c r="G212" i="147"/>
  <c r="H212" i="147" s="1"/>
  <c r="G211" i="147"/>
  <c r="H211" i="147" s="1"/>
  <c r="G210" i="147"/>
  <c r="H210" i="147" s="1"/>
  <c r="G209" i="147"/>
  <c r="H209" i="147" s="1"/>
  <c r="G208" i="147"/>
  <c r="H208" i="147" s="1"/>
  <c r="A208" i="147"/>
  <c r="A209" i="147" s="1"/>
  <c r="A210" i="147" s="1"/>
  <c r="A211" i="147" s="1"/>
  <c r="A212" i="147" s="1"/>
  <c r="A213" i="147" s="1"/>
  <c r="A214" i="147" s="1"/>
  <c r="A216" i="147" s="1"/>
  <c r="A218" i="147" s="1"/>
  <c r="A219" i="147" s="1"/>
  <c r="A221" i="147" s="1"/>
  <c r="G207" i="147"/>
  <c r="H207" i="147" s="1"/>
  <c r="H223" i="147" l="1"/>
  <c r="H231" i="147"/>
  <c r="H232" i="147" l="1"/>
  <c r="G200" i="147" l="1"/>
  <c r="H200" i="147" s="1"/>
  <c r="G191" i="147"/>
  <c r="H191" i="147" s="1"/>
  <c r="G189" i="147"/>
  <c r="H189" i="147" s="1"/>
  <c r="G187" i="147"/>
  <c r="H187" i="147" s="1"/>
  <c r="G185" i="147"/>
  <c r="H185" i="147" s="1"/>
  <c r="J183" i="147"/>
  <c r="J182" i="147"/>
  <c r="J181" i="147"/>
  <c r="J179" i="147"/>
  <c r="G198" i="147" l="1"/>
  <c r="H198" i="147" s="1"/>
  <c r="G199" i="147"/>
  <c r="H199" i="147" s="1"/>
  <c r="G196" i="147"/>
  <c r="H196" i="147" s="1"/>
  <c r="G197" i="147"/>
  <c r="H197" i="147" s="1"/>
  <c r="G195" i="147"/>
  <c r="H195" i="147" s="1"/>
  <c r="G194" i="147"/>
  <c r="H194" i="147" s="1"/>
  <c r="A194" i="147"/>
  <c r="A195" i="147" s="1"/>
  <c r="A196" i="147" s="1"/>
  <c r="A197" i="147" s="1"/>
  <c r="A198" i="147" s="1"/>
  <c r="A199" i="147" s="1"/>
  <c r="A200" i="147" s="1"/>
  <c r="G193" i="147"/>
  <c r="H193" i="147" s="1"/>
  <c r="G190" i="147"/>
  <c r="H190" i="147" s="1"/>
  <c r="G188" i="147"/>
  <c r="H188" i="147" s="1"/>
  <c r="G186" i="147"/>
  <c r="H186" i="147" s="1"/>
  <c r="G184" i="147"/>
  <c r="H184" i="147" s="1"/>
  <c r="G183" i="147"/>
  <c r="H183" i="147" s="1"/>
  <c r="G182" i="147"/>
  <c r="H182" i="147" s="1"/>
  <c r="G181" i="147"/>
  <c r="H181" i="147" s="1"/>
  <c r="G180" i="147"/>
  <c r="H180" i="147" s="1"/>
  <c r="A180" i="147"/>
  <c r="A181" i="147" s="1"/>
  <c r="A182" i="147" s="1"/>
  <c r="A183" i="147" s="1"/>
  <c r="A184" i="147" s="1"/>
  <c r="A186" i="147" s="1"/>
  <c r="A188" i="147" s="1"/>
  <c r="A190" i="147" s="1"/>
  <c r="G179" i="147"/>
  <c r="H179" i="147" s="1"/>
  <c r="H201" i="147" l="1"/>
  <c r="H192" i="147"/>
  <c r="H202" i="147" l="1"/>
  <c r="G172" i="147" l="1"/>
  <c r="H172" i="147" s="1"/>
  <c r="G171" i="147"/>
  <c r="H171" i="147" s="1"/>
  <c r="G170" i="147"/>
  <c r="H170" i="147" s="1"/>
  <c r="G169" i="147"/>
  <c r="H169" i="147" s="1"/>
  <c r="G168" i="147"/>
  <c r="H168" i="147" s="1"/>
  <c r="G167" i="147"/>
  <c r="H167" i="147" s="1"/>
  <c r="G166" i="147"/>
  <c r="H166" i="147" s="1"/>
  <c r="G165" i="147"/>
  <c r="H165" i="147" s="1"/>
  <c r="G163" i="147"/>
  <c r="H163" i="147" s="1"/>
  <c r="G162" i="147"/>
  <c r="H162" i="147" s="1"/>
  <c r="G161" i="147"/>
  <c r="H161" i="147" s="1"/>
  <c r="G160" i="147"/>
  <c r="H160" i="147" s="1"/>
  <c r="G157" i="147"/>
  <c r="H157" i="147" s="1"/>
  <c r="G158" i="147"/>
  <c r="H158" i="147" s="1"/>
  <c r="G159" i="147"/>
  <c r="H159" i="147" s="1"/>
  <c r="J155" i="147"/>
  <c r="J154" i="147"/>
  <c r="J153" i="147"/>
  <c r="J151" i="147"/>
  <c r="A166" i="147"/>
  <c r="A167" i="147" s="1"/>
  <c r="A168" i="147" s="1"/>
  <c r="A169" i="147" s="1"/>
  <c r="A170" i="147" s="1"/>
  <c r="A171" i="147" s="1"/>
  <c r="A172" i="147" s="1"/>
  <c r="G156" i="147"/>
  <c r="H156" i="147" s="1"/>
  <c r="G155" i="147"/>
  <c r="H155" i="147" s="1"/>
  <c r="G154" i="147"/>
  <c r="H154" i="147" s="1"/>
  <c r="G153" i="147"/>
  <c r="H153" i="147" s="1"/>
  <c r="G152" i="147"/>
  <c r="H152" i="147" s="1"/>
  <c r="A152" i="147"/>
  <c r="A153" i="147" s="1"/>
  <c r="A154" i="147" s="1"/>
  <c r="A155" i="147" s="1"/>
  <c r="A156" i="147" s="1"/>
  <c r="A157" i="147" s="1"/>
  <c r="A158" i="147" s="1"/>
  <c r="A159" i="147" s="1"/>
  <c r="A160" i="147" s="1"/>
  <c r="A161" i="147" s="1"/>
  <c r="A162" i="147" s="1"/>
  <c r="A163" i="147" s="1"/>
  <c r="G151" i="147"/>
  <c r="H151" i="147" s="1"/>
  <c r="H164" i="147" l="1"/>
  <c r="H173" i="147"/>
  <c r="H174" i="147" l="1"/>
  <c r="G142" i="147" l="1"/>
  <c r="H142" i="147" s="1"/>
  <c r="G141" i="147"/>
  <c r="H141" i="147" s="1"/>
  <c r="G140" i="147"/>
  <c r="H140" i="147" s="1"/>
  <c r="G139" i="147" l="1"/>
  <c r="H139" i="147" s="1"/>
  <c r="J135" i="147"/>
  <c r="J134" i="147"/>
  <c r="J133" i="147"/>
  <c r="J131" i="147"/>
  <c r="G144" i="147"/>
  <c r="H144" i="147" s="1"/>
  <c r="G143" i="147"/>
  <c r="H143" i="147" s="1"/>
  <c r="G138" i="147"/>
  <c r="H138" i="147" s="1"/>
  <c r="G136" i="147"/>
  <c r="H136" i="147" s="1"/>
  <c r="G135" i="147"/>
  <c r="H135" i="147" s="1"/>
  <c r="G134" i="147"/>
  <c r="H134" i="147" s="1"/>
  <c r="G133" i="147"/>
  <c r="H133" i="147" s="1"/>
  <c r="G132" i="147"/>
  <c r="H132" i="147" s="1"/>
  <c r="A132" i="147"/>
  <c r="A133" i="147" s="1"/>
  <c r="A134" i="147" s="1"/>
  <c r="A135" i="147" s="1"/>
  <c r="A136" i="147" s="1"/>
  <c r="G131" i="147"/>
  <c r="H131" i="147" s="1"/>
  <c r="H137" i="147" l="1"/>
  <c r="H145" i="147"/>
  <c r="A139" i="147"/>
  <c r="A140" i="147" s="1"/>
  <c r="A141" i="147" s="1"/>
  <c r="A142" i="147" s="1"/>
  <c r="A143" i="147" s="1"/>
  <c r="A144" i="147" s="1"/>
  <c r="H146" i="147" l="1"/>
  <c r="G118" i="147" l="1"/>
  <c r="H118" i="147" s="1"/>
  <c r="G117" i="147"/>
  <c r="H117" i="147" s="1"/>
  <c r="G116" i="147"/>
  <c r="H116" i="147" s="1"/>
  <c r="G115" i="147"/>
  <c r="H115" i="147" s="1"/>
  <c r="J114" i="147"/>
  <c r="G114" i="147"/>
  <c r="H114" i="147" s="1"/>
  <c r="J113" i="147"/>
  <c r="G113" i="147"/>
  <c r="H113" i="147" s="1"/>
  <c r="J112" i="147"/>
  <c r="G112" i="147"/>
  <c r="H112" i="147" s="1"/>
  <c r="J111" i="147"/>
  <c r="G111" i="147"/>
  <c r="H111" i="147" s="1"/>
  <c r="G110" i="147"/>
  <c r="H110" i="147" s="1"/>
  <c r="A110" i="147"/>
  <c r="A111" i="147" s="1"/>
  <c r="A112" i="147" s="1"/>
  <c r="A113" i="147" s="1"/>
  <c r="A114" i="147" s="1"/>
  <c r="A115" i="147" s="1"/>
  <c r="A116" i="147" s="1"/>
  <c r="A117" i="147" s="1"/>
  <c r="A118" i="147" s="1"/>
  <c r="J109" i="147"/>
  <c r="G109" i="147"/>
  <c r="H109" i="147" s="1"/>
  <c r="I102" i="147"/>
  <c r="F102" i="147"/>
  <c r="G102" i="147" s="1"/>
  <c r="I101" i="147"/>
  <c r="F101" i="147"/>
  <c r="G101" i="147" s="1"/>
  <c r="I100" i="147"/>
  <c r="F100" i="147"/>
  <c r="G100" i="147" s="1"/>
  <c r="I99" i="147"/>
  <c r="F99" i="147"/>
  <c r="G99" i="147" s="1"/>
  <c r="I98" i="147"/>
  <c r="F98" i="147"/>
  <c r="G98" i="147" s="1"/>
  <c r="I97" i="147"/>
  <c r="F97" i="147"/>
  <c r="G97" i="147" s="1"/>
  <c r="I96" i="147"/>
  <c r="F96" i="147"/>
  <c r="G96" i="147" s="1"/>
  <c r="A96" i="147"/>
  <c r="A97" i="147" s="1"/>
  <c r="A98" i="147" s="1"/>
  <c r="A99" i="147" s="1"/>
  <c r="A100" i="147" s="1"/>
  <c r="A101" i="147" s="1"/>
  <c r="A102" i="147" s="1"/>
  <c r="I95" i="147"/>
  <c r="F95" i="147"/>
  <c r="G95" i="147" s="1"/>
  <c r="F90" i="147"/>
  <c r="G90" i="147" s="1"/>
  <c r="F89" i="147"/>
  <c r="G89" i="147" s="1"/>
  <c r="F88" i="147"/>
  <c r="G88" i="147" s="1"/>
  <c r="F87" i="147"/>
  <c r="G87" i="147" s="1"/>
  <c r="F86" i="147"/>
  <c r="G86" i="147" s="1"/>
  <c r="F85" i="147"/>
  <c r="G85" i="147" s="1"/>
  <c r="F84" i="147"/>
  <c r="G84" i="147" s="1"/>
  <c r="A84" i="147"/>
  <c r="A85" i="147" s="1"/>
  <c r="A86" i="147" s="1"/>
  <c r="A87" i="147" s="1"/>
  <c r="A88" i="147" s="1"/>
  <c r="A89" i="147" s="1"/>
  <c r="A90" i="147" s="1"/>
  <c r="F83" i="147"/>
  <c r="G83" i="147" s="1"/>
  <c r="F78" i="147"/>
  <c r="G78" i="147" s="1"/>
  <c r="F77" i="147"/>
  <c r="G77" i="147" s="1"/>
  <c r="F76" i="147"/>
  <c r="G76" i="147" s="1"/>
  <c r="F75" i="147"/>
  <c r="G75" i="147" s="1"/>
  <c r="F74" i="147"/>
  <c r="G74" i="147" s="1"/>
  <c r="F73" i="147"/>
  <c r="G73" i="147" s="1"/>
  <c r="I72" i="147"/>
  <c r="F72" i="147"/>
  <c r="G72" i="147" s="1"/>
  <c r="A72" i="147"/>
  <c r="I71" i="147"/>
  <c r="F71" i="147"/>
  <c r="G71" i="147" s="1"/>
  <c r="I70" i="147"/>
  <c r="F70" i="147"/>
  <c r="G70" i="147" s="1"/>
  <c r="I69" i="147"/>
  <c r="F69" i="147"/>
  <c r="G69" i="147" s="1"/>
  <c r="I68" i="147"/>
  <c r="F68" i="147"/>
  <c r="G68" i="147" s="1"/>
  <c r="I67" i="147"/>
  <c r="F67" i="147"/>
  <c r="G67" i="147" s="1"/>
  <c r="A67" i="147"/>
  <c r="A68" i="147" s="1"/>
  <c r="A69" i="147" s="1"/>
  <c r="A70" i="147" s="1"/>
  <c r="A71" i="147" s="1"/>
  <c r="I66" i="147"/>
  <c r="F66" i="147"/>
  <c r="G66" i="147" s="1"/>
  <c r="I60" i="147"/>
  <c r="F60" i="147"/>
  <c r="G60" i="147" s="1"/>
  <c r="A60" i="147"/>
  <c r="F59" i="147"/>
  <c r="G59" i="147" s="1"/>
  <c r="F58" i="147"/>
  <c r="G58" i="147" s="1"/>
  <c r="F57" i="147"/>
  <c r="G57" i="147" s="1"/>
  <c r="F56" i="147"/>
  <c r="G56" i="147" s="1"/>
  <c r="F55" i="147"/>
  <c r="G55" i="147" s="1"/>
  <c r="F54" i="147"/>
  <c r="G54" i="147" s="1"/>
  <c r="I53" i="147"/>
  <c r="F53" i="147"/>
  <c r="G53" i="147" s="1"/>
  <c r="I52" i="147"/>
  <c r="F52" i="147"/>
  <c r="G52" i="147" s="1"/>
  <c r="I51" i="147"/>
  <c r="F51" i="147"/>
  <c r="G51" i="147" s="1"/>
  <c r="I50" i="147"/>
  <c r="F50" i="147"/>
  <c r="G50" i="147" s="1"/>
  <c r="I49" i="147"/>
  <c r="F49" i="147"/>
  <c r="G49" i="147" s="1"/>
  <c r="A49" i="147"/>
  <c r="A50" i="147" s="1"/>
  <c r="A51" i="147" s="1"/>
  <c r="A52" i="147" s="1"/>
  <c r="A53" i="147" s="1"/>
  <c r="I48" i="147"/>
  <c r="F48" i="147"/>
  <c r="G48" i="147" s="1"/>
  <c r="F42" i="147"/>
  <c r="G42" i="147" s="1"/>
  <c r="F41" i="147"/>
  <c r="G41" i="147" s="1"/>
  <c r="F40" i="147"/>
  <c r="G40" i="147" s="1"/>
  <c r="F39" i="147"/>
  <c r="G39" i="147" s="1"/>
  <c r="F38" i="147"/>
  <c r="G38" i="147" s="1"/>
  <c r="F37" i="147"/>
  <c r="G37" i="147" s="1"/>
  <c r="I36" i="147"/>
  <c r="F36" i="147"/>
  <c r="G36" i="147" s="1"/>
  <c r="I35" i="147"/>
  <c r="F35" i="147"/>
  <c r="G35" i="147" s="1"/>
  <c r="I34" i="147"/>
  <c r="F34" i="147"/>
  <c r="G34" i="147" s="1"/>
  <c r="I33" i="147"/>
  <c r="F33" i="147"/>
  <c r="G33" i="147" s="1"/>
  <c r="I32" i="147"/>
  <c r="F32" i="147"/>
  <c r="G32" i="147" s="1"/>
  <c r="A32" i="147"/>
  <c r="A33" i="147" s="1"/>
  <c r="A34" i="147" s="1"/>
  <c r="A35" i="147" s="1"/>
  <c r="A36" i="147" s="1"/>
  <c r="A37" i="147" s="1"/>
  <c r="A38" i="147" s="1"/>
  <c r="A39" i="147" s="1"/>
  <c r="A40" i="147" s="1"/>
  <c r="A42" i="147" s="1"/>
  <c r="I31" i="147"/>
  <c r="F31" i="147"/>
  <c r="G31" i="147" s="1"/>
  <c r="F14" i="147"/>
  <c r="G14" i="147" s="1"/>
  <c r="F13" i="147"/>
  <c r="G13" i="147" s="1"/>
  <c r="F12" i="147"/>
  <c r="G12" i="147" s="1"/>
  <c r="F11" i="147"/>
  <c r="G11" i="147" s="1"/>
  <c r="F10" i="147"/>
  <c r="G10" i="147" s="1"/>
  <c r="F9" i="147"/>
  <c r="G9" i="147" s="1"/>
  <c r="I8" i="147"/>
  <c r="F8" i="147"/>
  <c r="G8" i="147" s="1"/>
  <c r="I7" i="147"/>
  <c r="F7" i="147"/>
  <c r="G7" i="147" s="1"/>
  <c r="I6" i="147"/>
  <c r="F6" i="147"/>
  <c r="G6" i="147" s="1"/>
  <c r="I5" i="147"/>
  <c r="F5" i="147"/>
  <c r="G5" i="147" s="1"/>
  <c r="I4" i="147"/>
  <c r="F4" i="147"/>
  <c r="G4" i="147" s="1"/>
  <c r="A4" i="147"/>
  <c r="A5" i="147" s="1"/>
  <c r="A6" i="147" s="1"/>
  <c r="A7" i="147" s="1"/>
  <c r="A8" i="147" s="1"/>
  <c r="A9" i="147" s="1"/>
  <c r="A10" i="147" s="1"/>
  <c r="I3" i="147"/>
  <c r="F3" i="147"/>
  <c r="G3" i="147" s="1"/>
  <c r="G61" i="147" l="1"/>
  <c r="G91" i="147"/>
  <c r="G103" i="147"/>
  <c r="G15" i="147"/>
  <c r="H119" i="147"/>
  <c r="G43" i="147"/>
  <c r="A14" i="147"/>
  <c r="A11" i="147"/>
  <c r="A12" i="147" s="1"/>
  <c r="G79" i="147"/>
</calcChain>
</file>

<file path=xl/sharedStrings.xml><?xml version="1.0" encoding="utf-8"?>
<sst xmlns="http://schemas.openxmlformats.org/spreadsheetml/2006/main" count="7410" uniqueCount="2185">
  <si>
    <t>CLV</t>
  </si>
  <si>
    <t>STT</t>
  </si>
  <si>
    <t>Trọng lượng</t>
  </si>
  <si>
    <t>Nguyễn Trương</t>
  </si>
  <si>
    <t>Đơn vị tính</t>
  </si>
  <si>
    <t>Phong Vân</t>
  </si>
  <si>
    <t>Anfood</t>
  </si>
  <si>
    <t>Aeon Tân Phú</t>
  </si>
  <si>
    <t>Lam Tân</t>
  </si>
  <si>
    <t>Phạm Nguyên</t>
  </si>
  <si>
    <t>Long An</t>
  </si>
  <si>
    <t>Lê Gia</t>
  </si>
  <si>
    <t>Satra Củ Chi</t>
  </si>
  <si>
    <t>EB Nguyễn Thị Thập</t>
  </si>
  <si>
    <t>Mega Bình Phú</t>
  </si>
  <si>
    <t>Xuân Vân</t>
  </si>
  <si>
    <t>Mega Hiệp Phú</t>
  </si>
  <si>
    <t>EB Trường Chinh</t>
  </si>
  <si>
    <t>EB An Phú</t>
  </si>
  <si>
    <t>Siêu Thị Sài Gòn</t>
  </si>
  <si>
    <t>Aeon Citimart</t>
  </si>
  <si>
    <t>Thọ Phát</t>
  </si>
  <si>
    <t>Nam Việt Đỗ</t>
  </si>
  <si>
    <t>Khang Phát Foods</t>
  </si>
  <si>
    <t>TM SB</t>
  </si>
  <si>
    <t>Mega An Phú</t>
  </si>
  <si>
    <t>Hồng Á</t>
  </si>
  <si>
    <t>M&amp;N Vĩnh Thạnh</t>
  </si>
  <si>
    <t>Vị Ngọt Happy</t>
  </si>
  <si>
    <t>Vương Tường Văn Gia Lai</t>
  </si>
  <si>
    <t>Papparoti Việt Nam</t>
  </si>
  <si>
    <t>Dương Dương Châu</t>
  </si>
  <si>
    <t>Hưng Quế</t>
  </si>
  <si>
    <t>Văn Phòng Nguyễn Văn Cừ</t>
  </si>
  <si>
    <t>Thực Phẩm Và Giải Khát Việt Nam</t>
  </si>
  <si>
    <t>Bách Hóa Xanh Nhà Bè</t>
  </si>
  <si>
    <t>Cát Hải</t>
  </si>
  <si>
    <t>Thanh Minh</t>
  </si>
  <si>
    <t>Nguyễn Ngọc Thùy</t>
  </si>
  <si>
    <t>Bách Hóa Xanh Cần Đước</t>
  </si>
  <si>
    <t>Bách Hóa Xanh Xuyên Á</t>
  </si>
  <si>
    <t>GP 60417 ngày 12/09/2024</t>
  </si>
  <si>
    <t>Tên mặt hàng</t>
  </si>
  <si>
    <t xml:space="preserve">Số lượng </t>
  </si>
  <si>
    <t>Trọng lượng 
mặt hàng</t>
  </si>
  <si>
    <t>Trọng lượng 
Tấn/ hóa đơn)</t>
  </si>
  <si>
    <t>Gạo Neptune SR25 Plus 5kg</t>
  </si>
  <si>
    <t>túi</t>
  </si>
  <si>
    <t>16 bao 3 bịch</t>
  </si>
  <si>
    <t>Dầu Neptune Light 1L</t>
  </si>
  <si>
    <t>chai</t>
  </si>
  <si>
    <t>28 chai</t>
  </si>
  <si>
    <t>Bún tươi Meizan 300g</t>
  </si>
  <si>
    <t>gói</t>
  </si>
  <si>
    <t>3 thùng 11 gói</t>
  </si>
  <si>
    <t>Tương ớt Nam Dương 255gr</t>
  </si>
  <si>
    <t>3 thùng11 chai</t>
  </si>
  <si>
    <t>Dầu hào Nam Dương 270g</t>
  </si>
  <si>
    <t>Nước rửa chén Power 100</t>
  </si>
  <si>
    <t>8 thùng 9 chai</t>
  </si>
  <si>
    <t xml:space="preserve">MEADOW FRESH UHT FULL CREAM PURE MILK 1LX12 TUB IN CARTON </t>
  </si>
  <si>
    <t>thùng</t>
  </si>
  <si>
    <t>8 thùng</t>
  </si>
  <si>
    <t>MEADOW FRESH UHT LOW FAT PURE MILK 1LX12 TUB IN CARTON</t>
  </si>
  <si>
    <t>11 thùng</t>
  </si>
  <si>
    <t>15 thùng</t>
  </si>
  <si>
    <t>SỮA TƯƠI TIỆT TRÙNG GIÀU CANXI ÍT BÉO NHÃN HIỆU MEADOW FRESH 1LX12</t>
  </si>
  <si>
    <t>10 thùng</t>
  </si>
  <si>
    <t xml:space="preserve">SỮA TƯƠI TIỆT TRÙNG GIÀU CANXI ÍT BÉO NHÃN HIỆU MEADOW FRESH 1L X 12 HỘP ĐÓNG TRONG THÙNG CARTON </t>
  </si>
  <si>
    <t>hộp</t>
  </si>
  <si>
    <t>4 hộp</t>
  </si>
  <si>
    <t>Băng keo logo Wilmar CLV</t>
  </si>
  <si>
    <t>cuộn</t>
  </si>
  <si>
    <t>Tổng cộng hàng CLF</t>
  </si>
  <si>
    <t xml:space="preserve">SỮA TƯƠI TIỆT TRÙNG NGUYÊN KEM NHÃN HIỆU MEADOW FRESH 200MLX3X8 HỘP ĐÓNG TRONG THÙNG CARTON </t>
  </si>
  <si>
    <t>MEADOW FRESH UHT LOW FAT PURE MILK 200MLX3X8 TUB IN CARTON</t>
  </si>
  <si>
    <t>GP 78790 ngày 12/11/2024</t>
  </si>
  <si>
    <t>Đơn vị
 tính</t>
  </si>
  <si>
    <t>Trọng
 lượng</t>
  </si>
  <si>
    <t>17 bao 1 bịch</t>
  </si>
  <si>
    <t>2 thùng 7 chai</t>
  </si>
  <si>
    <t>3 thùng 14 gói</t>
  </si>
  <si>
    <t>3 thùng 14 chai</t>
  </si>
  <si>
    <t>8 thùng 7 chai</t>
  </si>
  <si>
    <t>9 thùng</t>
  </si>
  <si>
    <t>MEADOW FRESH UHT FULL CREAM MILK NO CAP 1LX12</t>
  </si>
  <si>
    <t>7 thùng</t>
  </si>
  <si>
    <t>3 thùng</t>
  </si>
  <si>
    <t>MEADOW FRESH UHT SKIMMED MILK 1LX12, NEW ZEALAND ORIGIN</t>
  </si>
  <si>
    <t>2 thùng</t>
  </si>
  <si>
    <t>MEADOW FRESH UHT FULL CREAM MILK 1LX12, NEW ZEALAND ORIGIN</t>
  </si>
  <si>
    <t>1 thùng</t>
  </si>
  <si>
    <t>Mega Biên Hòa</t>
  </si>
  <si>
    <t>Đồng Nai - Biên Hòa</t>
  </si>
  <si>
    <t>Sen Việt</t>
  </si>
  <si>
    <t>TP, Hồ Chí Minh</t>
  </si>
  <si>
    <t>Bình Dương - Dĩ An</t>
  </si>
  <si>
    <t>TP HCM (Củ Chi)</t>
  </si>
  <si>
    <t>KCN Hiệp Phước, Nhà Bè</t>
  </si>
  <si>
    <t>GP 1088 ngày 12/02/2025</t>
  </si>
  <si>
    <t>17 bao 2 bịch</t>
  </si>
  <si>
    <t>3 thùng 1 chai</t>
  </si>
  <si>
    <t>3 thùng 15 gói</t>
  </si>
  <si>
    <t>3 thùng 15 chai</t>
  </si>
  <si>
    <t>8 thùng 11 chai</t>
  </si>
  <si>
    <t>Khăn giấy Paseo= 11,805 (1 thùng 48 gói)</t>
  </si>
  <si>
    <t>4 thùng 14 gói</t>
  </si>
  <si>
    <t>Long An - Cần Giuộc (KCN Long Hậu)</t>
  </si>
  <si>
    <t>GP 8731 ngày 12/03/2025</t>
  </si>
  <si>
    <t>15 bao 4 bịch</t>
  </si>
  <si>
    <t>3 thùng 7 gói</t>
  </si>
  <si>
    <t>3 thùng 7 chai</t>
  </si>
  <si>
    <t>7 thùng 7 chai</t>
  </si>
  <si>
    <t>3 thùng 38 gói</t>
  </si>
  <si>
    <t>4 thùng</t>
  </si>
  <si>
    <t>5 thùng</t>
  </si>
  <si>
    <t>CLF</t>
  </si>
  <si>
    <t>Dầu ăn Meizan Gold 1L</t>
  </si>
  <si>
    <t>BƠ Meizan 80g</t>
  </si>
  <si>
    <t>Nước tương Nam Dương đậm đặc 280ml</t>
  </si>
  <si>
    <t>Tương ớt Nam Dương cay vừa 255gr</t>
  </si>
  <si>
    <t>Tương cà 255g</t>
  </si>
  <si>
    <t>Dầu hào 270g</t>
  </si>
  <si>
    <t>Hạt nêm 400g</t>
  </si>
  <si>
    <t>Mì trứng cao cấp Meizan 250gr</t>
  </si>
  <si>
    <t>16 thùng</t>
  </si>
  <si>
    <t>GP ngày 04/04/2025</t>
  </si>
  <si>
    <t>GP 12381 ngày 08/04/2025</t>
  </si>
  <si>
    <t>Dầu Kobe 1L</t>
  </si>
  <si>
    <t>3 thùng 11 chai</t>
  </si>
  <si>
    <t>8 thùng 13 chai</t>
  </si>
  <si>
    <t>4 thùng 12 gói</t>
  </si>
  <si>
    <t>69 thùng 6 chai</t>
  </si>
  <si>
    <t>Đạt Ngọc Gia Lai</t>
  </si>
  <si>
    <t>TP, Hồ Chí Minh ≤2.5 tấn (50H 55161)</t>
  </si>
  <si>
    <t>Bánh Vàng</t>
  </si>
  <si>
    <t>16 bao 4 bịch</t>
  </si>
  <si>
    <t>11 chai</t>
  </si>
  <si>
    <t>3 thùng 12 gói</t>
  </si>
  <si>
    <t>3 thùng 12 chai</t>
  </si>
  <si>
    <t>35 thùng 2 túi</t>
  </si>
  <si>
    <t>MEADOW FRESH UHT SKIMMED PURE MILK 1LX12 TUB IN CARTON</t>
  </si>
  <si>
    <t>Nước  giặt xả Power 100 3,4kg</t>
  </si>
  <si>
    <t>700 cuộn</t>
  </si>
  <si>
    <t>GP 16732 ngày 09/06/2025 - 50H 55161</t>
  </si>
  <si>
    <t>Mega Việt Phát</t>
  </si>
  <si>
    <t>Địa chỉ giao hàng</t>
  </si>
  <si>
    <t>GP 24212 ngày 08/07/2025 - 50H 64316</t>
  </si>
  <si>
    <t>Nước giặt Đam Mê 3,2kg</t>
  </si>
  <si>
    <t>1 túi</t>
  </si>
  <si>
    <t>17 bao 4 bịch</t>
  </si>
  <si>
    <t>19 chai</t>
  </si>
  <si>
    <t>3 thùng 17 gói</t>
  </si>
  <si>
    <t>3 thùng 17 chai</t>
  </si>
  <si>
    <t>Tổng cộng hàng CLV</t>
  </si>
  <si>
    <t>TỔNG CỘNG</t>
  </si>
  <si>
    <t>MEADOW FRESH UHT LOW FAT CALCI MILK 1LX12, NEW ZEALAND ORIGIN</t>
  </si>
  <si>
    <t>MEADOW FRESH UHT FULL CREAM PURE MILK 200ML</t>
  </si>
  <si>
    <t>MEADOW FRESH UHT LOW FAT CALCI MILK 200MLX24</t>
  </si>
  <si>
    <t xml:space="preserve">MEADOW FRESH UHT FULL CANXI MILK 1LX12 TUB IN CARTON </t>
  </si>
  <si>
    <t>MEADOW FRESH UHT CALCI MILK 200MLX24</t>
  </si>
  <si>
    <t>24 thùng</t>
  </si>
  <si>
    <t>27 thùng</t>
  </si>
  <si>
    <t>6 thùng</t>
  </si>
  <si>
    <t>Tuyến-cũ</t>
  </si>
  <si>
    <t>460 ĐƯỜNG 3 THÁNG 2, PHƯỜNG HÒA HƯNG, THÀNH PHỐ HỒ CHÍ MINH, VIỆT NAM</t>
  </si>
  <si>
    <t>THỬA ĐẤT SỐ 2905, TỜ BẢN ĐỒ SỐ 03, XÃ LONG CANG, HUYỆN CẦN ĐƯỚC, TỈNH LONG AN, VIỆT NAM</t>
  </si>
  <si>
    <t>Số 30, Đường Tân Thắng, Phường Tân Sơn Nhì, Thành Phố Hồ Chí Minh, Việt Nam</t>
  </si>
  <si>
    <t>KHO 11, BÌNH PHÚ, QUẬN 6, TP. HCM</t>
  </si>
  <si>
    <t>KHU PHỐ 4, PHƯỜNG QUANG VINH, THÀNH PHỐ BIÊN HÒA, TỈNH ĐỒNG NAI, VIỆT NAM</t>
  </si>
  <si>
    <t>C6/27 PHẠM HÙNG, XÃ BÌNH HƯNG, THÀNH PHỐ HỒ CHÍ MINH, VIỆT NAM</t>
  </si>
  <si>
    <t>Lô F5-1 và F5-2, Khu F, KCN Hiệp phước, Xã Hiệp Phước, Huyện Nhà Bè, Thành Phố Hồ Chí Minh</t>
  </si>
  <si>
    <t>Lô HT-F2-4&amp;5, Đường số 1, Khu công nghiệp Hiệp Phước, Xã Hiệp Phước, Thành phố Hồ Chí Minh, Việt Nam</t>
  </si>
  <si>
    <t>15 ĐƯỜNG SỐ 106, PHƯỜNG CÁT LÁI, THÀNH PHỐ HỒ CHÍ MINH, VIỆT NAM</t>
  </si>
  <si>
    <t>21 Lê Đình Thụ, Phường Phú Thọ Hòa, Thành phố Hồ Chí Minh, Việt Nam</t>
  </si>
  <si>
    <t>114 KHA VẠN CÂN, PHƯỜNG HIỆP BÌNH CHÁNH, QUẬN THỦ ĐỨC, THÀNH PHỐ HỒ CHÍ MINH</t>
  </si>
  <si>
    <t>174-174A-174B HUỲNH THỊ HAI, PHƯỜNG TÂN CHÁNH HIỆP, QUẬN 12, THÀNH PHỐ HỒ CHÍ MINH, VIỆT NAM</t>
  </si>
  <si>
    <t>198 LÃNH BÌNH THĂNG,PHƯỜNG 13, QUẬN 11, THÀNH PHỐ HỒ CHÍ MINH, VIỆT NAM</t>
  </si>
  <si>
    <t>SỐ 24 KINH DƯƠNG VƯƠNG, PHƯỜNG 13, QUẬN 6, HCM.</t>
  </si>
  <si>
    <t>Lô B3c,Khu Công Nghiệp Hiệp Phước, Xã Hiệp Phước, Thành phố Hồ Chí Minh, Việt Nam.</t>
  </si>
  <si>
    <t>SỐ 51 ĐƯỜNG TRẦN VĂN ƠN, PHƯỜNG TÂN SƠN NHÌ, THÀNH PHỐ HỒ CHÍ MINH, VIỆT NAM</t>
  </si>
  <si>
    <t>số 17 Huỳnh Đình Hai, Phường Bình Thạnh, Thành Phố Hồ Chí Minh</t>
  </si>
  <si>
    <t>60/3L QL1A, ẤP TIỀN LÂN, XÃ BÀ ĐIỂM, HÓC MÔN – BÃI XE NGUYỄN NGỌC KHO B4</t>
  </si>
  <si>
    <t>NHÀ KHO SỐ WH1.1 KHU CÔNG NGHIỆP XUYÊN Á,  XÃ MỸ HẠNH BẮC, HUYỆN ĐỨC HOÀ, TỈNH LONG AN, VIỆT NAM</t>
  </si>
  <si>
    <t>SỐ 24 KINH DƯƠNG VƯƠNG, PHƯỜNG 13, QUẬN 6, TP. HCM</t>
  </si>
  <si>
    <t>SỐ 2 ĐƯỜNG TRƯƠNG THỊ HOA, KHU PHỐ 4A, PHƯỜNG TÂN THỚI HIỆP, QUẬN 12, THÀNH PHỐ HỒ CHÍ MINH, VIỆT NAM</t>
  </si>
  <si>
    <t>LÔ 3, ĐƯỜNG SỐ 7, KCN LONG HẬU MỞ RỘNG, XÃ CẦN GIUỘC, TỈNH TÂY NINH, VIỆT NAM</t>
  </si>
  <si>
    <t>LÔ C40-43/I, C51-55/II, ĐƯỜNG SỐ 7, KCN VĨNH LỘC, XÃ VĨNH LỘC, THÀNH PHỐ HỒ CHÍ MINH</t>
  </si>
  <si>
    <t>Số 4, đường Lương Thế Vinh, Phường Tân Thới Hòa, Quận Tân Phú, TP. HCM</t>
  </si>
  <si>
    <t>Tầng trệt, tầng 1 và tầng 2, Lô A, Khu Dân cư Cityland,  số 99, Đường Nguyễn Thị Thập, Phường Tân Mỹ, Thành phố Hồ Chí Minh, Việt Nam</t>
  </si>
  <si>
    <t>Số 10 ĐƯỜNG BẾN NGHÉ, PHƯỜNG TÂN THUẬN, THÀNH PHỐ HỒ CHÍ MINH, VIỆT NAM</t>
  </si>
  <si>
    <t>1239 TỈNH LỘ 8, ẤP THẠNH AN 2, XÃ BÌNH MỸ, THÀNH PHỐ HỒ CHÍ MINH, VIỆT NAM</t>
  </si>
  <si>
    <t>449/23/5 Hương Lộ 2, Phường Bình Trị Đông, Thành phố Hồ Chí Minh, Việt Nam.</t>
  </si>
  <si>
    <t>Quốc lộ 1A, Xã Bà Điểm, H. Hóc Môn, Tp. Hồ Chí Minh</t>
  </si>
  <si>
    <t>Đức Tỏ</t>
  </si>
  <si>
    <t>Tên khách hàng</t>
  </si>
  <si>
    <t>CÔNG TY TNHH MM MEGA MARKET (VIỆT NAM)</t>
  </si>
  <si>
    <t>CÔNG TY TNHH DỊCH VỤ EB</t>
  </si>
  <si>
    <t>Tây Ninh - Cần Giuộc</t>
  </si>
  <si>
    <t>CÔNG TY CỔ PHẦN THƯƠNG MẠI BÁCH HÓA XANH</t>
  </si>
  <si>
    <t>CÔNG TY TNHH THƯƠNG MẠI DỊCH VỤ ĐẦU TƯ SEN VIỆT</t>
  </si>
  <si>
    <t>CÔNG TY TNHH AEON VIỆT NAM</t>
  </si>
  <si>
    <t>CN TCT TM SÀI GÒN - TNHH MTV - SIÊU THỊ SÀI GÒN</t>
  </si>
  <si>
    <t>TTTM SATRA ĐƯỜNG PHẠM HÙNG</t>
  </si>
  <si>
    <t>CÔNG TY TNHH MỘT THÀNH VIÊN XUẤT NHẬP KHẨU PHONG VÂN</t>
  </si>
  <si>
    <t>CÔNG TY CỔ PHẦN THỰC PHẨM CHOLIMEX</t>
  </si>
  <si>
    <t>CHI NHÁNH CÔNG TY LIÊN DOANH TNHH KFC VIỆT NAM TẠI THÀNH PHỐ HỒ CHÍ MINH</t>
  </si>
  <si>
    <t>CÔNG TY TNHH THƯƠNG MẠI DỊCH VỤ XUẤT NHẬP KHẨU HÂN LÊ</t>
  </si>
  <si>
    <t>CÔNG TY TNHH HƯƠNG LIỆU PHỤ GIA THỰC PHẨM HỒNG Á</t>
  </si>
  <si>
    <t>CÔNG TY TNHH THƯƠNG MẠI DỊCH VỤ SẢN XUẤT VỊ NGỌT HAPPY</t>
  </si>
  <si>
    <t>CÔNG TY CỔ PHẦN ACECOOK VIỆT NAM</t>
  </si>
  <si>
    <t>CÔNG TY TNHH ĐẦU TƯ THƯƠNG MẠI ANFOOD</t>
  </si>
  <si>
    <t>726 ĐƯỜNG LÊ VĂN KHƯƠNG, PHƯỜNG THỚI AN, THÀNH PHỐ HỒ CHÍ MINH, VIỆT NAM</t>
  </si>
  <si>
    <t>CÔNG TY TNHH TM DV VINH PHONG</t>
  </si>
  <si>
    <t>CÔNG TY TNHH THƯƠNG MẠI - DỊCH VỤ LAM TÂN</t>
  </si>
  <si>
    <t>Minh Phong</t>
  </si>
  <si>
    <t>CÔNG TY TNHH THƯƠNG MẠI-DỊCH VỤ MINH PHONG</t>
  </si>
  <si>
    <t>CÔNG TY TNHH CHẾ BIẾN THỰC PHẨM &amp; BÁNH KẸO PHẠM NGUYÊN</t>
  </si>
  <si>
    <t>CÔNG TY CỔ PHẦN THỰC PHẨM AGREX SAIGON</t>
  </si>
  <si>
    <t>CÔNG TY TNHH ĐẦU TƯ VÀ THƯƠNG MẠI NGUYỄN TRƯƠNG</t>
  </si>
  <si>
    <t>CÔNG TY TNHH NAM VIỆT ĐỖ</t>
  </si>
  <si>
    <t>CÔNG TY TNHH THƯƠNG MẠI DỊCH VỤ XUÂN VÂN</t>
  </si>
  <si>
    <t>CÔNG TY TNHH MTV THƯƠNG MẠI DỊCH VỤ THANH MINH</t>
  </si>
  <si>
    <t>HỘ KINH DOANH NGÀ NĂM</t>
  </si>
  <si>
    <t>53 BẾN PHÚ ĐỊNH – PHƯỜNG 16 – QUẬN 8</t>
  </si>
  <si>
    <t>CÔNG TY TNHH PAPPAROTI VIỆT NAM</t>
  </si>
  <si>
    <t>CÔNG TY CỔ PHẦN THỰC PHẨM CÁT HẢI</t>
  </si>
  <si>
    <t>CÔNG TY TNHH THƯƠNG MẠI CÔNG NGHỆ THỰC PHẨM LÊ GIA</t>
  </si>
  <si>
    <t>CÔNG TY TNHH THƯƠNG MẠI ÂN THÁI</t>
  </si>
  <si>
    <t>CÔNG TY TNHH TM SB</t>
  </si>
  <si>
    <t>CÔNG TY TNHH BÁNH VÀNG</t>
  </si>
  <si>
    <t>CÔNG TY TNHH MỘT THÀNH VIÊN NGUYỄN NGỌC THÙY</t>
  </si>
  <si>
    <t>CÔNG TY TNHH THƯƠNG MẠI DỊCH VỤ DƯƠNG DƯƠNG CHÂU</t>
  </si>
  <si>
    <t>Thực Phẩm GN</t>
  </si>
  <si>
    <t>CÔNG TY TNHH MTV CHẾ BIẾN THỰC PHẨM THỌ PHÁT</t>
  </si>
  <si>
    <t>CÔNG TY TNHH SẢN XUẤT THƯƠNG MẠI DỊCH VỤ XUẤT NHẬP KHẨU M&amp;N VĨNH THẠNH</t>
  </si>
  <si>
    <t>193/6 NGUYỄN TIỂU LA, PHƯỜNG 8, QUẬN 10, TP. HỒ CHÍ MINH</t>
  </si>
  <si>
    <t>CÔNG TY TNHH DỊCH VỤ THỰC PHẨM VÀ GIẢI KHÁT VIỆT NAM</t>
  </si>
  <si>
    <t>LÔ E.01, ĐƯỜNG K1, KCN CÁT LÁI, PHƯỜNG THẠNH MỸ LỢI, THÀNH PHỐ THỦ ĐỨC, TP. HCM</t>
  </si>
  <si>
    <t>CÔNG TY TRÁCH NHIỆM HỮU HẠN SẢN XUẤT THƯƠNG MẠI DỊCH VỤ VŨ PHÚC</t>
  </si>
  <si>
    <t>Số 1130, Quốc lộ 1A, Phường Tân Tạo, Quận Bình Tân, TP.HCM</t>
  </si>
  <si>
    <t>CÔNG TY TNHH THƯƠNG MẠI KHANG PHÁT FOODS</t>
  </si>
  <si>
    <t>207/63A HỒ HỌC LÃM, PHƯỜNG AN LẠC, THÀNH PHỐ HỒ CHÍ MINH</t>
  </si>
  <si>
    <t>GP 29703 ngày 07/08/2025 - 50H 55443</t>
  </si>
  <si>
    <t>17 bao 3 bịch</t>
  </si>
  <si>
    <t>3 thùng 16 gói</t>
  </si>
  <si>
    <t>3 thùng 16 chai</t>
  </si>
  <si>
    <t>Sim SFO 1L</t>
  </si>
  <si>
    <t>Meizan SBO 1L</t>
  </si>
  <si>
    <t>Sim Canola 1L</t>
  </si>
  <si>
    <t>Neptune Light 1L</t>
  </si>
  <si>
    <t>NRC Power 100 Tinh dầu chanh 3.5kg</t>
  </si>
  <si>
    <t>NLS Power 100 Nước hoa Pháp 9kg</t>
  </si>
  <si>
    <t>NGX Power 100 Nước hoa Pháp 9kg</t>
  </si>
  <si>
    <t>NRC Power 100 Nước hoa Pháp 9kg</t>
  </si>
  <si>
    <t>20 thùng</t>
  </si>
  <si>
    <t>19 thùng</t>
  </si>
  <si>
    <t>28 thùng</t>
  </si>
  <si>
    <t>SỮA TƯƠI TIỆT TRÙNG TÁCH BÉO NHÃN HIỆU MEADOW FRESH 1LX12</t>
  </si>
  <si>
    <t>SỮA TIỆT TRÙNG GIÀU CANXI ÍT BÉO NHÃN HIỆU MEADOW FRESH 1LX12</t>
  </si>
  <si>
    <t>SỮA TƯƠI TIỆT TRÙNG ÍT BÉO NHÃN HIỆU MEADOW FRESH 200mlx24</t>
  </si>
  <si>
    <t>Khu B, Khu đô thị mới An Phú-An Khánh, Phường Bình Trưng, Thành phố Hồ Chí Minh</t>
  </si>
  <si>
    <t>1, KHU PHỨC HỢP CANTAVIL AN PHÚ,Đ. SONG HÀNH XA LỘ HÀ NỘI,KP5,P.AN PHÚ,Q2,TP HCM</t>
  </si>
  <si>
    <t>CÔNG TY TNHH MỘT THÀNH VIÊN ĐẠT NGỌC GIA LAI</t>
  </si>
  <si>
    <t>CÔNG TY TNHH MTV VƯƠNG TƯỜNG VĂN GIA LAI</t>
  </si>
  <si>
    <t>55C4/13 ĐƯỜNG CÂY KEO, PHƯỜNG TAM BÌNH, THÀNH PHỐ HỒ CHÍ MINH</t>
  </si>
  <si>
    <t>KHO VIETTEL POST - KHO AEON RDC: SỐ 2 BIS, KHU Z11, QUỐC LỘ 1A, KHU PHỐ 2, PHƯỜNG TRUNG MỸ TÂY, THÀNH PHỐ HỒ CHÍ MINH, VIỆT NAM</t>
  </si>
  <si>
    <t>HƯNG QUẾ</t>
  </si>
  <si>
    <t>HCM - Dĩ An</t>
  </si>
  <si>
    <t>Đồng Nai - Long Bình</t>
  </si>
  <si>
    <t>HCM - KCN Hiệp Phước</t>
  </si>
  <si>
    <t>Tây Ninh - Đức Lập</t>
  </si>
  <si>
    <t>Tây Ninh - Long Cang</t>
  </si>
  <si>
    <t>Tuyến</t>
  </si>
  <si>
    <t>SỐ 613, ĐƯỜNG TRẦN ĐẠI NGHĨA, ẤP 20, XÃ TÂN NHỰT, THÀNH PHỐ HỒ CHÍ MINH, VIỆT NAM</t>
  </si>
  <si>
    <t>Bibica Miền Tây</t>
  </si>
  <si>
    <t>CÔNG TY TNHH MTV BIBICA MIỀN TÂY</t>
  </si>
  <si>
    <t>LÔ A1/1-3, ĐƯỜNG VL4, KCN VĨNH LỘC 2, XÃ MỸ YÊN, TỈNH TÂY NINH, VIỆT NAM</t>
  </si>
  <si>
    <t>Bột Mì Liên Nguyễn</t>
  </si>
  <si>
    <t>CÔNG TY TNHH SẢN XUẤT VÀ XUẤT NHẬP KHẨU BỘT MÌ LIÊN NGUYỄN</t>
  </si>
  <si>
    <t>B5/19K TRẦN ĐẠI NGHĨA, ẤP 2 TÂN KIÊN, XÃ TÂN NHỰT, TP HỒ CHÍ MINH, VIỆT NAM</t>
  </si>
  <si>
    <t>DV Nhựt Tân</t>
  </si>
  <si>
    <t>CÔNG TY TNHH TM DV NHỰT TÂN</t>
  </si>
  <si>
    <t>SỐ 345 ĐƯỜNG TỈNH LỘ 8, ẤP TÂY, XÃ TÂN AN HỘI, THÀNH PHỐ HỒ CHÍ MINH, VIỆT NAM</t>
  </si>
  <si>
    <t>CÔNG TY TNHH TA BAKER FOOD</t>
  </si>
  <si>
    <t>30 Huỳnh Tấn Chùa, Phường Đông Hưng Thuận, Thành phố Hồ Chí Minh, Việt Nam</t>
  </si>
  <si>
    <t>CÔNG TY TNHH NÔNG SẢN THỰC PHẨM HỒNG NGỌC</t>
  </si>
  <si>
    <t>439/43/1 - 439/43/3 HỒ HỌC LÃM, KHU PHỐ 2, PHƯỜNG AN LẠC, THÀNH PHỐ HỒ CHÍ MINH, VIỆT NAM</t>
  </si>
  <si>
    <t>DV Vinh Phong</t>
  </si>
  <si>
    <t>TRUNG TÂM THƯƠNG MẠI SATRA CỦ CHI</t>
  </si>
  <si>
    <t>117/28/2 HỒ VĂN LONG, PHƯỜNG BÌNH TÂN, THÀNH PHỐ HỒ CHÍ MINH, VIỆT NAM</t>
  </si>
  <si>
    <t>CÔNG TY TNHH MEGA VIỆT PHÁT</t>
  </si>
  <si>
    <t>MEGADELI, L06A, ĐƯỜNG SỐ 1, KCN LONG HẬU, XÃ CẦN GIUỘC, TÂY NINH</t>
  </si>
  <si>
    <t>Số 1/1, Đường Trường Chinh, Phường Tây Thạnh, Thành phố Hồ Chí Minh, Việt Nam</t>
  </si>
  <si>
    <t>HCM - Tân An Hội</t>
  </si>
  <si>
    <t>GP 41290 ngày 13/10/2025 - 50H 63174</t>
  </si>
  <si>
    <t>Trà Twinkle Olong 1.5gx20x12</t>
  </si>
  <si>
    <t>Trà Twinkle Ginger 1.8gx20x12</t>
  </si>
  <si>
    <t>Trà Twinkle Charmomile 1.5gx20x12</t>
  </si>
  <si>
    <t>Trà Twinkle Jasmine 1.5gx20x12</t>
  </si>
  <si>
    <t>19 bao 3 túi</t>
  </si>
  <si>
    <t>21 chai</t>
  </si>
  <si>
    <t>11 thùng 2 hộp</t>
  </si>
  <si>
    <t>13 thùng 2 hộp</t>
  </si>
  <si>
    <t>14 thùng 1 hộp</t>
  </si>
  <si>
    <t>14 thùng</t>
  </si>
  <si>
    <t>23 thùng</t>
  </si>
  <si>
    <t>4 thùng + 1 hộp nhỏ</t>
  </si>
  <si>
    <t>Số 131/31C đường Kinh Dương Vương, Phường Phú Lâm, TP Hồ Chí Minh</t>
  </si>
  <si>
    <t>Satra Phạm Hùng</t>
  </si>
  <si>
    <t>CÔNG TY TNHH MỘT THÀNH VIÊN THƯƠNG MẠI DỊCH VỤ LONA MART</t>
  </si>
  <si>
    <t>TA Baker Food</t>
  </si>
  <si>
    <t>CÔNG TY CỔ PHẦN THỰC PHẨM GN</t>
  </si>
  <si>
    <t>P.02B ĐƯỜNG TRUNG TÂM, KCN LONG HẬU MỞ RỘNG, XÃ CẦN GIUỘC, TỈNH TÂY NINH, VIỆT NAM</t>
  </si>
  <si>
    <t>Đồng Nai - Trấn Biên</t>
  </si>
  <si>
    <t>Tây Ninh - Đức Hòa</t>
  </si>
  <si>
    <t>31 Nguyễn Văn Dung, phường An Nhơn, TP.HCM</t>
  </si>
  <si>
    <t>CÔNG TY TNHH THƯƠNG MAI DỊCH VỤ QUANG MINH KHANG</t>
  </si>
  <si>
    <t>CÔNG TY TNHH THƯƠNG MẠI SẢN XUẤT HƯƠNG LIỆU THANH XUÂN</t>
  </si>
  <si>
    <t>50/47A, ẤP 4, XÃ XUÂN THỚI SƠN, HÓC MÔN, TP. HCM</t>
  </si>
  <si>
    <t>CÔNG TY TRÁCH NHIỆM HỮU HẠN SẢN XUẤT THƯƠNG MẠI DỊCH VỤ TILICO</t>
  </si>
  <si>
    <t>26 ĐƯỜNG 18, KHU PHỐ 22, PHƯỜNG AN LẠC, TP HỒ CHÍ MINH, VIỆT NAM</t>
  </si>
  <si>
    <t>Cô Ba Vĩnh Phong</t>
  </si>
  <si>
    <t>HỘ KINH DOANH CÔ BA VĨNH PHONG</t>
  </si>
  <si>
    <t>CÔNG TY LIÊN DOANH PHẠM-ASSET</t>
  </si>
  <si>
    <t>LÔ D4/1, ĐƯỜNG 1B, KHU CÔNG NGHIỆP VĨNH LỘC, PHƯỜNG BÌNH TÂN, THÀNH PHỐ HỒ CHÍ MINH, VIỆT NAM</t>
  </si>
  <si>
    <t>N.D.A</t>
  </si>
  <si>
    <t>CÔNG TY TNHH SẢN XUẤT THƯƠNG MẠI N.D.A</t>
  </si>
  <si>
    <t>28 ĐƯỜNG D7, KDC NAM LONG, PHƯỜNG PHƯỚC LONG, TP HỒ CHÍ MINH</t>
  </si>
  <si>
    <t>Út Giao</t>
  </si>
  <si>
    <t>Tây Ninh - Tân An</t>
  </si>
  <si>
    <t>CÔNG TY TNHH ÚT GIAO</t>
  </si>
  <si>
    <t>SỐ 26 ĐINH THIẾU SƠN, KHU PHỐ BÌNH AN 1, PHƯỜNG 7, TP TÂN AN, TỈNH LONG AN</t>
  </si>
  <si>
    <t>GP 45335 ngày 13/11/2025 - 50H 63174</t>
  </si>
  <si>
    <t>MEADOW FRESH UHT FULL CREAM MILK LOW FAT 1LX12</t>
  </si>
  <si>
    <t>MEADOW FRESH UHT FULL CREAM MILK 200ML</t>
  </si>
  <si>
    <t>MEADOW FRESH UHT FULL CREAM MILK LOW FAT 200ML</t>
  </si>
  <si>
    <t>17 thùng</t>
  </si>
  <si>
    <t>82 thùng</t>
  </si>
  <si>
    <t>46 thùng</t>
  </si>
  <si>
    <t>Nước rửa chén Power 100 Lô Hội 750g</t>
  </si>
  <si>
    <t>Nước rửa chén Power 100 Bưởi tây 750g</t>
  </si>
  <si>
    <t>TRÀ TWINKLE HƯƠNG DÂU 1,8 G X 20 X 12 HỘP ĐÓNG TRONG THÙNG CARTON</t>
  </si>
  <si>
    <t>TRÀ TWINKLE HƯƠNG GỪNG 1,8 G X 20 X 12 HỘP ĐÓNG TRONG THÙNG CARTON</t>
  </si>
  <si>
    <t>TRÀ TWINKLE EARL GREY 1,8 G X 100 X 10 TÚI ĐÓNG TRONG THÙNG CARTON</t>
  </si>
  <si>
    <t>17 bao 3 túi</t>
  </si>
  <si>
    <t>13 thùng</t>
  </si>
  <si>
    <t>18 thùng 6 chai</t>
  </si>
  <si>
    <t>3 chai</t>
  </si>
  <si>
    <t>7 thùng 4 hộp</t>
  </si>
  <si>
    <t>13 thùng 11 hộp</t>
  </si>
  <si>
    <t>CHI NHÁNH CÔNG TY TNHH JOLLIBEE VIỆT NAM TẠI CẦN GIUỘC</t>
  </si>
  <si>
    <t>Lô K3-1 và K3-3, Khu công nghiệp Tân Kim mở rộng, xã Cần Giuộc, tỉnh Tây Ninh, Việt Nam</t>
  </si>
  <si>
    <t>CHÀNH CƠ – 24 KINH DƯƠNG VƯƠNG - P13 - Q6 - TP.HCM</t>
  </si>
  <si>
    <t>Đại Hiền Tâm</t>
  </si>
  <si>
    <t>CÔNG TY TNHH ĐẠI HIỀN TÂM</t>
  </si>
  <si>
    <t>34/23 CÂY BÀI, XÃ PHƯỚC VĨNH AN, CỦ CHI</t>
  </si>
  <si>
    <t>Điểm trả hàng</t>
  </si>
  <si>
    <t>CÔNG TY TNHH TRUYỀN THÔNG VÀ GIẢI TRÍ ĐÔNG QUÂN</t>
  </si>
  <si>
    <t>Saf - Việt</t>
  </si>
  <si>
    <t>CÔNG TY TNHH LIÊN DOANH SAF - VIỆT</t>
  </si>
  <si>
    <t>CỤM CÔNG NGHIỆP LONG ĐỊNH, XÃ LONG CANG, TỈNH TÂY NINH, VIỆT NAM.</t>
  </si>
  <si>
    <t>123 TÂN HIỆP 4, XÃ HÓC MÔN, THÀNH PHỐ HỒ CHÍ MINH, VIỆT NAM</t>
  </si>
  <si>
    <t>CÔNG TY TNHH ĐỨC TỎ</t>
  </si>
  <si>
    <t>ĐƯỜNG SỐ 14/15-17 ẤP TIỀN LÂN, XÃ BÀ ĐIỂM, TP HỒ CHÍ MINH</t>
  </si>
  <si>
    <t>Tây Ninh - Mỹ Yên</t>
  </si>
  <si>
    <t>Jollibee Việt Nam</t>
  </si>
  <si>
    <t>KFC Việt Nam</t>
  </si>
  <si>
    <t>Hân - Phú</t>
  </si>
  <si>
    <t>HÂN - PHÚ</t>
  </si>
  <si>
    <t>75 TRẦN CHÁNH CHIẾU, PHƯỜNG 14, QUẬN 5, TP. HCM</t>
  </si>
  <si>
    <t>CÔNG TY TNHH DỊCH VỤ THƯƠNG MẠI PHƯỚC CƯỜNG</t>
  </si>
  <si>
    <t>SỐ 272/32 TRẦN THỊ NĂM, PHƯỜNG TRUNG MỸ TÂY, THÀNH PHỐ HỒ CHÍ MINH, VIỆT NAM.</t>
  </si>
  <si>
    <t>CÔNG TY CỔ PHẦN THỰC PHẨM HỢP NHẤT</t>
  </si>
  <si>
    <t>5B, ĐƯỜNG SỐ 2, KCN LONG HẬU, ẤP 3, XÃ LONG HẬU, HUYỆN CẦN GIUỘC, LONG AN</t>
  </si>
  <si>
    <t>428/60 QL1A, PHƯỜNG BÌNH TÂN, TP HỒ CHÍ MINH</t>
  </si>
  <si>
    <t>CÔNG TY TNHH VINA FOODS KYOEI</t>
  </si>
  <si>
    <t>CÔNG TY TNHH DƯỢC PHẨM USA - NIC</t>
  </si>
  <si>
    <t>Phước Cường</t>
  </si>
  <si>
    <t>Hồng Ngọc</t>
  </si>
  <si>
    <t>HCM - Bình Mỹ</t>
  </si>
  <si>
    <t>GP 51377 ngày 15/12/2025 - 50H 87742</t>
  </si>
  <si>
    <t>Viên giặt xả Power 10 tiện lợi 3 trong 1 hương tươi mát 15g*34*10 túi</t>
  </si>
  <si>
    <t>Viên giặt xả Power 10 tiện lợi 3 trong 1 hương tinh tế 15g*34*10 túi</t>
  </si>
  <si>
    <t>Gạo Neptune ST25 Plus 5kg</t>
  </si>
  <si>
    <t>Dầu hào Nam Dương 320gr</t>
  </si>
  <si>
    <t xml:space="preserve">Lịch Tết </t>
  </si>
  <si>
    <t>cuốn</t>
  </si>
  <si>
    <t>18 bao</t>
  </si>
  <si>
    <t>11 thùng 16 gói</t>
  </si>
  <si>
    <t>3 thùng 18 chai</t>
  </si>
  <si>
    <t>9 thùng 5 chai</t>
  </si>
  <si>
    <t>184 cuốn</t>
  </si>
  <si>
    <t>SỐ 753, ĐƯỜNG XA LỘ HÀ NỘI, KHU PHỐ 29, PHƯỜNG LONG BÌNH, TỈNH ĐỒNG NAI, VIỆT NAM</t>
  </si>
  <si>
    <t>CÔNG TY TNHH SÔNG HỒNG TÂN</t>
  </si>
  <si>
    <t>Sông Hồng Tân</t>
  </si>
  <si>
    <t>LÔ 11 D, ĐƯỜNG C, KCN TÂN TẠO, PHƯỜNG TÂN TẠO,  TP. HỒ CHÍ MINH, VIỆT NAM</t>
  </si>
  <si>
    <t>Dược Phẩm Usa - Nic</t>
  </si>
  <si>
    <t>Thực Phẩm Cholimex</t>
  </si>
  <si>
    <t>20 HUỲNH THỊ BẢY, ẤP 18, XÃ TÂN NHỰT, TP. HỒ CHÍ MINH, VIỆT NAM</t>
  </si>
  <si>
    <t>485 HỒNG BÀNG, PHƯỜNG CHỢ LỚN, THÀNH PHỐ HỒ CHÍ MINH, VIỆT NAM</t>
  </si>
  <si>
    <t>DOANH NGHIỆP TƯ NHÂN VẠN VẠN LỢI</t>
  </si>
  <si>
    <t>LÔ SỐ II-3, ĐƯỜNG SỐ 11, NHÓM CN II, KHU CÔNG NGHIỆP TÂN BÌNH, PHƯỜNG TÂY THẠNH, THÀNH PHỐ HỒ CHÍ MINH, VIỆT NAM</t>
  </si>
  <si>
    <t>Acecook Việt Nam</t>
  </si>
  <si>
    <t>LÔ 1-18 KHU G1,  KCN TÂN THỚI HIỆP, HƯƠNG LỘ 80, P. TÂN THỚI HIỆP, TP.HCM</t>
  </si>
  <si>
    <t>CÔNG TY CỔ PHẦN APIS</t>
  </si>
  <si>
    <t>Apis</t>
  </si>
  <si>
    <t>168 QUANG TRUNG, PHƯỜNG GÒ VẤP, TP. HỒ CHÍ MINH, VIỆT NAM</t>
  </si>
  <si>
    <t>NHÀ MÁY BÁNH KẸO KIDO'S BAKERY, LÔ 6-12 (KHU A5) KHU CÔNG NGHIỆP TÂN THỚI HIỆP, PHƯỜNG TÂN THỚI HIỆP, THÀNH PHỐ HỒ CHÍ MINH, VIỆT NAM</t>
  </si>
  <si>
    <t>CÔNG TY CỔ PHẦN TẬP ĐOÀN KIDO</t>
  </si>
  <si>
    <t>Tập Đoàn Kido</t>
  </si>
  <si>
    <t>Bình Dương - Bến Cát</t>
  </si>
  <si>
    <t>HCM - Bến Cát</t>
  </si>
  <si>
    <t>235 ĐƯỜNG XUYÊN Á, KHU PHỐ BÌNH ĐƯỜNG 3, PHƯỜNG DĨ AN, TP HỒ CHÍ MINH</t>
  </si>
  <si>
    <t>7A/1 THÀNH THÁI, PHƯỜNG DIÊN HỒNG, TP. HỒ CHÍ MINH, VIỆT NAM</t>
  </si>
  <si>
    <t>TRUNG TÂM ĐIỀU HÀNH SATRAFOODS</t>
  </si>
  <si>
    <t>C22-C24, ĐƯỜNG SỐ 6, KCN LÊ MINH XUÂN,X. TÂN NHỰT, TP. HỒ CHÍ MINH, VIỆT NAM</t>
  </si>
  <si>
    <t>CÔNG TY TNHH TRỤC CHÀ LÚA TÂN LÚA VÀNG</t>
  </si>
  <si>
    <t>Trục Chà Lúa Tân Lúa Vàng</t>
  </si>
  <si>
    <t>SỐ 5 LIÊN KHU 8-9, BÌNH HƯNG HÒA B, TP HỒ CHÍ MINH</t>
  </si>
  <si>
    <t>126A, ẤP 2, XÃ  ĐỨC HÒA, TỈNH TÂY NINH, VIỆT NAM</t>
  </si>
  <si>
    <t>TT PHÂN PHỐI MM MEGA MARKET – HIỆP PHÚ, QUỐC LỘ 1A, P. TÂN THỚI HIỆP, QUẬN 12, TP.HCM</t>
  </si>
  <si>
    <t>Mega Kho 50</t>
  </si>
  <si>
    <t>Quang Minh Khang</t>
  </si>
  <si>
    <t>Vạn Vạn Lợi</t>
  </si>
  <si>
    <t>Satrafoods</t>
  </si>
  <si>
    <t>Mega Hưng Phú</t>
  </si>
  <si>
    <t>Số 9B, đường Kha Vạn Cân, phường Linh Đông, TP. Thủ Đức, Tp.HCM</t>
  </si>
  <si>
    <t>Kiến Vương</t>
  </si>
  <si>
    <t>CÔNG TY TNHH KIẾN VƯƠNG</t>
  </si>
  <si>
    <t>LÔ 22, ĐƯỜNG SỐ 7, KHU CÔNG NGHIỆP TÂN TẠO, P. TÂN TẠO, TP.HỒ CHÍ MINH, VIỆT NAM</t>
  </si>
  <si>
    <t>Vina Foods Kyoei</t>
  </si>
  <si>
    <t>LÔ A55/II, ĐƯỜNG 2D, KHU CÔNG NGHIỆP VĨNH LỘC, PHƯỜNG BÌNH TÂN,TP.HỒ CHÍ MINH, VIỆT NAM</t>
  </si>
  <si>
    <t>Bách Hóa Xanh Long Bình</t>
  </si>
  <si>
    <t>G243 Bùi Văn Hòa , Khu phố 7, P. Long Bình, TP Biên Hòa , Tỉnh Đồng Nai.</t>
  </si>
  <si>
    <t>11 ĐƯỜNG 30/4, PHƯỜNG PHÚ THỌ HÒA, TP HỒ CHÍ MINH</t>
  </si>
  <si>
    <t>EB An Lạc</t>
  </si>
  <si>
    <t>Số 1231, khu phố 5, Đường Quốc lộ 1A, Phường An Lạc, Thành phố Hồ Chí Minh, Việt Nam</t>
  </si>
  <si>
    <t>Lona Mart</t>
  </si>
  <si>
    <t>SỐ 9 NGUYỄN VĂN TẠO, XÃ HIỆP PHƯỚC, THÀNH PHỐ HỒ CHÍ MINH</t>
  </si>
  <si>
    <t>Bách Hóa Xanh Vĩnh Lộc</t>
  </si>
  <si>
    <t>LÔ A65/II - A72/II, ĐƯỜNG SỐ 4, KCN VĨNH LỘC, P. BÌNH HƯNG HÒA B, Q. BÌNH TÂN , TP.HCM</t>
  </si>
  <si>
    <t>Hương Liệu Thanh Xuân</t>
  </si>
  <si>
    <t>HCM - Củ Chi</t>
  </si>
  <si>
    <t>Satra Võ Văn Kiệt</t>
  </si>
  <si>
    <t>CHI NHÁNH TỔNG CÔNG TY THƯƠNG MẠI SÀI GÒN-TNHH MỘT THÀNH VIÊN-TRUNG TÂM THƯƠNG MẠI SATRA VÕ VĂN KIỆT</t>
  </si>
  <si>
    <t>SỐ 1466, ĐƯỜNG VÕ VĂN KIỆT, PHƯỜNG BÌNH TIÊN, THÀNH PHỐ HỒ CHÍ MINH, VIỆT NAM</t>
  </si>
  <si>
    <t>Đồng Nai - Trảng Bom</t>
  </si>
  <si>
    <t>Đông Quân</t>
  </si>
  <si>
    <t>Hân Lê</t>
  </si>
  <si>
    <t>4/4C3 , XÃ XUÂN THỚI SƠN, HUYỆN HÓC MÔN , THÀNH PHỐ HỒ CHÍ MINH.</t>
  </si>
  <si>
    <t>HCM - Bình Hòa</t>
  </si>
  <si>
    <t>Bình Dương - Thuận An</t>
  </si>
  <si>
    <t>CÔNG TY TNHH CÔNG NGHIỆP THỰC PHẨM LIWAYWAY SÀI GÒN</t>
  </si>
  <si>
    <t>SỐ 18, ĐƯỜNG SỐ 6, KCN VIỆT NAM - SINGAPORE, P. BÌNH HÒA, THÀNH PHỐ HỒ CHÍ MINH, VIỆT NAM.</t>
  </si>
  <si>
    <t>Topfood Việt Nam</t>
  </si>
  <si>
    <t>Tây Ninh - Long An</t>
  </si>
  <si>
    <t>CÔNG TY TNHH TOPFOOD VIỆT NAM</t>
  </si>
  <si>
    <t>592/214 QUỐC LỘ 1, PHƯỜNG LONG AN, TỈNH TÂY NINH, VIỆT NAM</t>
  </si>
  <si>
    <t>Tilico</t>
  </si>
  <si>
    <t>Bách Hóa Xanh Trần Đại Nghĩa</t>
  </si>
  <si>
    <t>G16/108A Đường Trần Đại Nghĩa, Ấp 7, Xã Lê Minh Xuân, Huyện Bình Chánh, TP.HCM</t>
  </si>
  <si>
    <t>Vũ Phúc</t>
  </si>
  <si>
    <t>Phạm Phan</t>
  </si>
  <si>
    <t>CÔNG TY CỔ PHẦN THƯƠNG MẠI PHẠM PHAN</t>
  </si>
  <si>
    <t>SỐ 14, ĐƯỜNG LÊ THỊ HOA, ẤP 2, XÃ CỦ CHI, TP.HỒ CHÍ MINH, VIỆT NAM</t>
  </si>
  <si>
    <t>Ngà Năm</t>
  </si>
  <si>
    <t>Liwayway Sài Gòn</t>
  </si>
  <si>
    <t>Hóa Chất Sen Việt</t>
  </si>
  <si>
    <t>Đồng Nai - Hố Nai</t>
  </si>
  <si>
    <t>CÔNG TY TNHH HÓA CHẤT SEN VIỆT</t>
  </si>
  <si>
    <t>ĐƯỜNG D2, CỤM CÔNG NGHIỆP HỐ NAI 3, PHƯỜNG HỐ NAI, TỈNH ĐỒNG NAI, VIỆT NAM</t>
  </si>
  <si>
    <t>Hồ Chí Minh</t>
  </si>
  <si>
    <t>Tuyến+Phường</t>
  </si>
  <si>
    <t>TP, Hồ Chí Minh - Tân Sơn Nhì</t>
  </si>
  <si>
    <t>TP, Hồ Chí Minh - Trung Mỹ Tây</t>
  </si>
  <si>
    <t>TP, Hồ Chí Minh - Thới An</t>
  </si>
  <si>
    <t>TP, Hồ Chí Minh - Bình Lợi</t>
  </si>
  <si>
    <t>TP, Hồ Chí Minh - Bình Tân</t>
  </si>
  <si>
    <t>Xuất Nhập Khẩu New Life</t>
  </si>
  <si>
    <t>CÔNG TY TNHH XUẤT NHẬP KHẨU NEW LIFE</t>
  </si>
  <si>
    <t>PHƯỜNG AN BÌNH, THÀNH PHỐ HỒ CHÍ MINH</t>
  </si>
  <si>
    <t>Dược Phẩm Phong Phú</t>
  </si>
  <si>
    <t>CÔNG TY CỔ PHẦN DƯỢC PHẨM PHONG PHÚ</t>
  </si>
  <si>
    <t>LÔ SỐ 12, ĐƯỜNG SỐ 8, KCN TÂN TẠO, PHƯỜNG TÂN TẠO, THÀNH PHỐ HỒ CHÍ MINH</t>
  </si>
  <si>
    <t>Ân Thái</t>
  </si>
  <si>
    <t>37 ĐƯỜNG 281 LÝ THƯỜNG KIỆT, PHƯỜNG PHÚ THỌ, THÀNH PHỐ HỒ CHÍ MINH</t>
  </si>
  <si>
    <t>EB Miền Đông</t>
  </si>
  <si>
    <t>Số 268, Đường Tô Hiến Thành, Phường Hòa Hưng, Thành phố Hồ Chí Minh, Việt Nam</t>
  </si>
  <si>
    <t>CÔNG TY TNHH TRUNG TÂM NGUYÊN LIỆU HUBCAKE</t>
  </si>
  <si>
    <t>SỐ 272/32 TRẦN THỊ NĂM, KHU PHỐ 49, PHƯỜNG TRUNG MỸ TÂY, THÀNH PHỐ HỒ CHÍ MINH, VIỆT NAM</t>
  </si>
  <si>
    <t>EB Đồng Nai</t>
  </si>
  <si>
    <t>Đồng Nai - Long Hưng</t>
  </si>
  <si>
    <t>Số 833, xa lộ Hà Nội, Phường Long Hưng, Tỉnh Đồng Nai, Việt Nam</t>
  </si>
  <si>
    <t>Phạm-Asset</t>
  </si>
  <si>
    <t>Thực Phẩm Hợp Nhất</t>
  </si>
  <si>
    <t>CÔNG TY TNHH ĐẦU TƯ THƯƠNG MẠI DỊCH VỤ NGUYỄN HUY</t>
  </si>
  <si>
    <t>355/3A ĐƯỜNG NGUYỄN KIM CƯƠNG, ẤP 6, XÃ TÂN THẠNH ĐÔNG, HUYỆN CỦ CHI, THÀNH PHỐ HỒ CHÍ MINH, VIỆT NAM</t>
  </si>
  <si>
    <t>Nguyễn Huy</t>
  </si>
  <si>
    <t>Lotte Phú Thọ</t>
  </si>
  <si>
    <t>CÔNG TY CỔ PHẦN TRUNG TÂM THƯƠNG MẠI LOTTE VIỆT NAM</t>
  </si>
  <si>
    <t>LOTTE MART PHÚ THỌ - 968 ĐƯỜNG 3/2, PHƯỜNG PHÚ THỌ, THÀNH PHỐ HỒ CHÍ MINH, VIỆT NAM</t>
  </si>
  <si>
    <t>Lotte Quận 7</t>
  </si>
  <si>
    <t>Số 469, đường Nguyễn Hữu Thọ, Phường Tân Hưng, TP. Hồ Chí Minh, Việt Nam</t>
  </si>
  <si>
    <t>Lotte Tân Bình</t>
  </si>
  <si>
    <t>CÔNG TY CỔ PHẦN TRUNG TÂM THƯƠNG MẠI LOTTE VIỆT NAM - CHI NHÁNH TÂN BÌNH</t>
  </si>
  <si>
    <t>Số 20, Đường Cộng Hòa , Phường Bảy Hiền, TP. Hồ Chí Minh, Việt Nam</t>
  </si>
  <si>
    <t>Emart Sala</t>
  </si>
  <si>
    <t>CÔNG TY TNHH THISO RETAIL</t>
  </si>
  <si>
    <t>TẦNG HẦM 01 (B1 ), KHU CAO ỐC VĂN PHÒNG - THƯƠNG MẠI - DỊCH VỤ TẠI LÔ 5.5, SỐ 8 - 10 ĐƯỜNG MAI CHÍ THỌ, PHƯỜNG AN KHÁNH, TP HCM</t>
  </si>
  <si>
    <t>Emart Phan Huy Ích</t>
  </si>
  <si>
    <t>385 PHAN HUY ÍCH, PHƯỜNG AN HỘI TÂY, TP HCM, VIỆT NAM</t>
  </si>
  <si>
    <t>Lotte Gò Vấp</t>
  </si>
  <si>
    <t>CÔNG TY CỔ PHẦN TRUNG TÂM THƯƠNG MẠI LOTTE VIỆT NAM - CHI NHÁNH GÒ VẤP</t>
  </si>
  <si>
    <t>Số 18 đường Phan Văn Trị, Phường Gò Vấp, TP. Hồ Chí Minh, Việt Nam</t>
  </si>
  <si>
    <t>TP, Hồ Chí Minh - Phú Thọ</t>
  </si>
  <si>
    <t>TP, Hồ Chí Minh - Chợ Lớn</t>
  </si>
  <si>
    <t>TP, Hồ Chí Minh - Bình Phú</t>
  </si>
  <si>
    <t>TP, Hồ Chí Minh - Phú Lâm</t>
  </si>
  <si>
    <t>TP, Hồ Chí Minh - Tân Tạo</t>
  </si>
  <si>
    <t>TP, Hồ Chí Minh - Bình Trị Đông</t>
  </si>
  <si>
    <t>TP, Hồ Chí Minh - Phú Thọ Hòa</t>
  </si>
  <si>
    <t>TP, Hồ Chí Minh - Bà Điểm</t>
  </si>
  <si>
    <t>TP, Hồ Chí Minh - An Lạc</t>
  </si>
  <si>
    <t>TP, Hồ Chí Minh - An Khánh</t>
  </si>
  <si>
    <t>TP, Hồ Chí Minh - Hòa Hưng</t>
  </si>
  <si>
    <t>TP, Hồ Chí Minh - Tân Mỹ</t>
  </si>
  <si>
    <t>TP. Hồ Chí Minh - Tân Tạo</t>
  </si>
  <si>
    <t>TP, Hồ Chí Minh - Cát Lái</t>
  </si>
  <si>
    <t>TP, Hồ Chí Minh - Tam Bình</t>
  </si>
  <si>
    <t>TP, Hồ Chí Minh - Hóc Môn</t>
  </si>
  <si>
    <t>TP, Hồ Chí Minh - Tân Nhựt</t>
  </si>
  <si>
    <t>TP, Hồ Chí Minh - Gò Vấp</t>
  </si>
  <si>
    <t>TP, Hồ Chí Minh - Tân Thới Hiệp</t>
  </si>
  <si>
    <t>TP, Hồ Chí Minh - Bình Trưng</t>
  </si>
  <si>
    <t>TP, Hồ Chí Minh - Đông Hưng Thuận</t>
  </si>
  <si>
    <t>TP, Hồ Chí Minh - Diên Hồng</t>
  </si>
  <si>
    <t>TP, Hồ Chí Minh - Bình Hưng Hòa B</t>
  </si>
  <si>
    <t>TP, Hồ Chí Minh - Phước Long</t>
  </si>
  <si>
    <t>TP, Hồ Chí Minh - Bình Thạnh</t>
  </si>
  <si>
    <t>TP, Hồ Chí Minh - Tân Thuận</t>
  </si>
  <si>
    <t>TP, Hồ Chí Minh - Bình Hưng</t>
  </si>
  <si>
    <t>Agrex Saigon</t>
  </si>
  <si>
    <t>TP, Hồ Chí Minh - Cầu Ông Lãnh</t>
  </si>
  <si>
    <t>TP, Hồ Chí Minh - Tây Thạnh</t>
  </si>
  <si>
    <t>TP, Hồ Chí Minh - Hiệp Bình</t>
  </si>
  <si>
    <t>TP. Hồ Chí Minh - Phú Định</t>
  </si>
  <si>
    <t>TP, Hồ Chí Minh - Bình Tiên</t>
  </si>
  <si>
    <t>TP, Hồ Chí Minh - Vĩnh Lộc</t>
  </si>
  <si>
    <t>TP, Hồ Chí Minh - Thạnh Mỹ Lợi</t>
  </si>
  <si>
    <t>Nguyên Liệu Hubcake</t>
  </si>
  <si>
    <t>TP, Hồ Chí Minh - Phú Thạnh</t>
  </si>
  <si>
    <t>Aeon Bình Tân</t>
  </si>
  <si>
    <t>TP. Hồ Chí Minh - An Lạc</t>
  </si>
  <si>
    <t>CÔNG TY TNHH AEON VIỆT NAM - CHI NHÁNH THÀNH PHỐ HỒ CHÍ MINH</t>
  </si>
  <si>
    <t>Số 1 đường số 17A, khu phố 27, Phường An Lạc, TP. Hồ Chí Minh, Việt Nam</t>
  </si>
  <si>
    <t>Emart Phan Văn Trị</t>
  </si>
  <si>
    <t>SỐ 366 PHAN VĂN TRỊ, PHƯỜNG AN NHƠN, THÀNH PHỐ HỒ CHÍ MINH, VIỆT NAM</t>
  </si>
  <si>
    <t>EB Phú Thạnh</t>
  </si>
  <si>
    <t>Số 53, Đường Nguyễn Sơn, Phường Phú Thạnh, Thành phố Hồ Chí Minh, Việt Nam</t>
  </si>
  <si>
    <t>TP, Hồ Chí Minh - An Hội Tây</t>
  </si>
  <si>
    <t>TP, Hồ Chí Minh - An Nhơn</t>
  </si>
  <si>
    <t>TP, Hồ Chí Minh - Tân Hưng</t>
  </si>
  <si>
    <t>TP, Hồ Chí Minh - Bảy Hiền</t>
  </si>
  <si>
    <t>Ajnomoto Việt Nam</t>
  </si>
  <si>
    <t>Đồng Nai - Ajnomoto/Nestle/… … ( Xe giao hàng dầu trong IBC tank - bao gồm cả phí thu hồi IBC tank)</t>
  </si>
  <si>
    <t>CÔNG TY AJINOMOTO VIỆT NAM</t>
  </si>
  <si>
    <t>Đường số 9, KCN Long Thành, Xã An Phước, Tỉnh Đồng Nai</t>
  </si>
  <si>
    <t>Anh Anh Vũ</t>
  </si>
  <si>
    <t>TP, Hồ Chí Minh (Đường nhỏ) - Bình Đông</t>
  </si>
  <si>
    <t>TP, Hồ Chí Minh (Đường nhỏ)</t>
  </si>
  <si>
    <t>CÔNG TY TNHH ANH ANH VŨ</t>
  </si>
  <si>
    <t>03 TẠ QUANG BỬU, PHƯỜNG BÌNH ĐÔNG, THÀNH PHỐ HỒ CHÍ MINH, VIỆT NAM</t>
  </si>
  <si>
    <t>Phan Minh Vũ</t>
  </si>
  <si>
    <t>Đồng Nai - Bình Lộc</t>
  </si>
  <si>
    <t>Đồng Nai - Long Khánh</t>
  </si>
  <si>
    <t>CÔNG TY TNHH THƯƠNG MẠI DỊCH VỤ PHAN MINH VŨ</t>
  </si>
  <si>
    <t>Đồng Nai - Trảng Dài</t>
  </si>
  <si>
    <t>SỐ 768, TỔ 10, KP3, PHƯỜNG TRẢNG DÀI, TỈNH ĐỒNG NAI, VIỆT NAM</t>
  </si>
  <si>
    <t>Tân Hùng Thái</t>
  </si>
  <si>
    <t>CÔNG TY TNHH TÂN HÙNG THÁI</t>
  </si>
  <si>
    <t>LÔ F19A-20-21, ĐƯỜNG SỐ 4, KCN HẢI SƠN ( GĐ 3+4), ẤP BÌNH TIỀN 2, XÃ ĐỨC HÒA, TỈNH TÂY NINH</t>
  </si>
  <si>
    <t>Hoàng Minh Phát</t>
  </si>
  <si>
    <t>CÔNG TY TNHH CÔNG NGHỆ PHẨM HOÀNG MINH PHÁT</t>
  </si>
  <si>
    <t>75/69 9, 75/5 Xuân Thới Thượng 9, Xuân Thới Thượng, Hóc Môn, Hồ Chí Minh</t>
  </si>
  <si>
    <t>Hóa Chất Việt Mỹ</t>
  </si>
  <si>
    <t>TP, Hồ Chí Minh - Bình Chánh</t>
  </si>
  <si>
    <t>CÔNG TY CỔ PHẦN XUẤT NHẬP KHẨU HÓA CHẤT VIỆT MỸ</t>
  </si>
  <si>
    <t>C2/29 QUỐC LỘ 1A, ẤP 3, XÃ BÌNH CHÁNH, HUYỆN BÌNH CHÁNH, TP.HCM</t>
  </si>
  <si>
    <t>Phúc Lộc Phát PLP</t>
  </si>
  <si>
    <t>TP, Hồ Chí Minh - Phú Thuận</t>
  </si>
  <si>
    <t>CÔNG TY TNHH THƯƠNG MẠI DỊCH VỤ PHÚC LỘC PHÁT PLP</t>
  </si>
  <si>
    <t>30/1 NGUYỄN VĂN QUỲ, PHƯỜNG PHÚ THUẬN, THÀNH PHỐ HỒ CHÍ MINH, VIỆT NAM</t>
  </si>
  <si>
    <t>Phạm Anh</t>
  </si>
  <si>
    <t>CÔNG TY TNHH MỘT THÀNH VIÊN PHẠM ANH</t>
  </si>
  <si>
    <t>1175 LÊ ĐỨC ANH, KHU PHỐ 25, PHƯỜNG TÂN TẠO, THÀNH PHỐ HỒ CHÍ MINH, VIỆT NAM</t>
  </si>
  <si>
    <t>Mifa</t>
  </si>
  <si>
    <t>CÔNG TY TNHH MIFA</t>
  </si>
  <si>
    <t>Lô 15 Đường số 4, Khu Công Nghiệp Tân Tạo, Phường Tân Tạo, TP. Hồ Chí Minh</t>
  </si>
  <si>
    <t>Thắng Nguyễn</t>
  </si>
  <si>
    <t>TP, Hồ Chí Minh (Đường nhỏ) - Phước Long</t>
  </si>
  <si>
    <t>CÔNG TY TNHH ĐẦU TƯ THƯƠNG MẠI DỊCH VỤ THẮNG NGUYỄN</t>
  </si>
  <si>
    <t>50C XA LỘ HÀ NỘI, PHƯỜNG PHƯỚC LONG, TP. HỒ CHÍ MINH, VIỆT NAM</t>
  </si>
  <si>
    <t xml:space="preserve">  </t>
  </si>
  <si>
    <t>Nestle Việt Nam</t>
  </si>
  <si>
    <t>CÔNG TY TNHH NESTLE VIỆT NAM</t>
  </si>
  <si>
    <t>SỐ 7, ĐƯỜNG 17A, KHU CÔNG NGHIỆP BIÊN HÒA II, PHƯỜNG TRẤN BIÊN, TỈNH ĐỒNG NAI, VIỆT NAM</t>
  </si>
  <si>
    <t>Nhật Trúc Anh</t>
  </si>
  <si>
    <t>Đồng Nai - Hưng Thịnh</t>
  </si>
  <si>
    <t>CÔNG TY TNHH NHẬT TRÚC ANH</t>
  </si>
  <si>
    <t>SỐ 37, ĐƯỜNG ĐÔNG HÒA 7KM, ẤP HÒA BÌNH, XÃ HƯNG THỊNH, TỈNH ĐỒNG NAI, VIỆT NAM</t>
  </si>
  <si>
    <t>Bách Hóa Xanh Diên Khánh</t>
  </si>
  <si>
    <t>Khánh Hòa</t>
  </si>
  <si>
    <t>Lô số 12,13 thuộc Cụm CN Diên Phú-VCN, X.Diên Phú, H.Diên Khánh, Tỉnh Khánh Hoà</t>
  </si>
  <si>
    <t>Bách Hoành</t>
  </si>
  <si>
    <t>An Giang - Châu Đốc</t>
  </si>
  <si>
    <t>Công ty TNHH MTV Thương Mại Dịch Vụ Bách Hoành</t>
  </si>
  <si>
    <t>Đường Tôn Đức Thắng, Tổ 20, Khóm Mỹ Thành, P. Vĩnh Mỹ, TP. Châu Đốc, Tỉnh An Giang, Việt Nam</t>
  </si>
  <si>
    <t>Bánh Mì Kim Ngân Bakery</t>
  </si>
  <si>
    <t>Khánh Hòa - Nam Nha Trang</t>
  </si>
  <si>
    <t>CÔNG TY TNHH BÁNH MÌ KIM NGÂN BAKERY</t>
  </si>
  <si>
    <t>THÔN PHƯỚC LỘC, XÃ PHƯỚC ĐỒNG, THÀNH PHỐ NHA TRANG, TỈNH KHÁNH HÒA, VIỆT NAM</t>
  </si>
  <si>
    <t>Đặng Hoàng Khang</t>
  </si>
  <si>
    <t>Cần Thơ - Vị Tân</t>
  </si>
  <si>
    <t>Hậu Giang</t>
  </si>
  <si>
    <t>CÔNG TY TRÁCH NHIỆM HỮU HẠN ĐẶNG HOÀNG KHANG</t>
  </si>
  <si>
    <t>107 NGUYỄN TRÃI, PHƯỜNG VỊ TÂN, THÀNH PHỐ CẦN THƠ, VIỆT NAM</t>
  </si>
  <si>
    <t>Di Phát</t>
  </si>
  <si>
    <t>Cần Thơ - Phú Lợi</t>
  </si>
  <si>
    <t>Sóc Trăng</t>
  </si>
  <si>
    <t>CÔNG TY TNHH MTV DI PHÁT</t>
  </si>
  <si>
    <t>SỐ 290-292-294 ĐƯỜNG LÊ DUẨN, PHƯỜNG PHÚ LỢI, TP CẦN THƠ, VIỆT NAM</t>
  </si>
  <si>
    <t>EB Gò Công Tây</t>
  </si>
  <si>
    <t>Đồng Tháp - Sơn Qui</t>
  </si>
  <si>
    <t>Tiền Giang - Cai Lậy</t>
  </si>
  <si>
    <t>THỬA ĐẤT SỐ 160, TỜ BẢN ĐỒ SỐ 14, ĐƯỜNG NGUYỄN VĂN CÔN, KHU PHỐ 5, THỊ TRẤN VĨNH BÌNH, HUYỆN GÒ CÔNG TÂY, TỈNH TIỀN GIANG, VIỆT NAM</t>
  </si>
  <si>
    <t>EB Nha Trang</t>
  </si>
  <si>
    <t>Khánh Hòa - Tây Nha Trang</t>
  </si>
  <si>
    <t>Trung tâm thương mại GO! Nha Trang, lô số 4, đường 19/5, Khu đô thị Vĩnh Điềm Trung, Phường Tây Nha Trang, Tỉnh Khánh Hòa, Việt Nam</t>
  </si>
  <si>
    <t>Gia Hoàng</t>
  </si>
  <si>
    <t>CÔNG TY TRÁCH NHIỆM HỮU HẠN THƯƠNG MẠI-DỊCH VỤ GIA HOÀNG</t>
  </si>
  <si>
    <t>KHU PHỐ LĂNG HOÀNG GIA, PHƯỜNG SƠN QUI, TỈNH ĐỒNG THÁP, VIỆT NAM</t>
  </si>
  <si>
    <t>H H Food</t>
  </si>
  <si>
    <t>Khánh Hòa - Nha Trang</t>
  </si>
  <si>
    <t>CÔNG TY TNHH H H FOOD</t>
  </si>
  <si>
    <t>30 Lý Tự Trọng, Phường Nha Trang, Khánh Hòa</t>
  </si>
  <si>
    <t>Hoàng Kha Phú Quốc</t>
  </si>
  <si>
    <t>An Giang - Đặc Khu Phú Quốc</t>
  </si>
  <si>
    <t>Kiên Giang - Phú Quốc</t>
  </si>
  <si>
    <t>CÔNG TY TNHH MTV HOÀNG KHA PHÚ QUỐC</t>
  </si>
  <si>
    <t>Hữu Linh</t>
  </si>
  <si>
    <t>HCM - Bà Rịa</t>
  </si>
  <si>
    <t>Bà Rịa - Vũng Tàu</t>
  </si>
  <si>
    <t>CÔNG TY TNHH THƯƠNG MẠI HỮU LINH</t>
  </si>
  <si>
    <t>47 TRẦN CHÁNH CHIẾU, PHƯỜNG BÀ RỊA, THÀNH PHỐ HỒ CHÍ MINH</t>
  </si>
  <si>
    <t>Huỳnh Hoàng Phát</t>
  </si>
  <si>
    <t>Đồng Tháp - Cao Lãnh</t>
  </si>
  <si>
    <t>CÔNG TY TNHH MỘT THÀNH VIÊN HUỲNH HOÀNG PHÁT</t>
  </si>
  <si>
    <t>SỐ 29, ĐƯỜNG NGUYỄN THỊ LỰU, PHƯỜNG CAO LÃNH, TỈNH ĐỒNG THÁP, VIỆT NAM</t>
  </si>
  <si>
    <t>Khanh Hoàng Kiệt</t>
  </si>
  <si>
    <t>Đồng Tháp - An Bình</t>
  </si>
  <si>
    <t>Đồng Tháp - Hồng Ngự</t>
  </si>
  <si>
    <t>Công ty TNHH Một Thành Viên Khanh Hoàng Kiệt</t>
  </si>
  <si>
    <t>QUỐC LỘ 30, KHÓM AN THỊNH, PHƯỜNG AN BÌNH A, THÀNH PHỐ HỒNG NGỰ, TỈNH ĐỒNG THÁP, VIỆT NAM</t>
  </si>
  <si>
    <t>Lotte Gold Nha Trang</t>
  </si>
  <si>
    <t>CÔNG TY CỔ PHẦN TRUNG TÂM THƯƠNG MẠI LOTTE VIỆT NAM - CHI NHÁNH NHA TRANG</t>
  </si>
  <si>
    <t>TẦNG 3, 4 NHA TRANG GOLD COAST - SỐ 1 TRẦN HƯNG ĐẠO, PHƯỜNG NHA TRANG, TỈNH KHÁNH HÒA</t>
  </si>
  <si>
    <t>Lotte Nha Trang</t>
  </si>
  <si>
    <t>SỐ 58 ĐƯỜNG 23/10, PHƯỜNG TÂY NHA TRANG, TỈNH KHÁNH HÒA, VIỆT NAM</t>
  </si>
  <si>
    <t>Mai Hoa</t>
  </si>
  <si>
    <t>Lâm Đồng - Đức Trọng</t>
  </si>
  <si>
    <t>CÔNG TY TNHH MAI HOA</t>
  </si>
  <si>
    <t>SỐ 705 QUỐC LỘ 20, XÃ  ĐỨC TRỌNG, TỈNH LÂM ĐỒNG, VIỆT NAM</t>
  </si>
  <si>
    <t>Mai Thịnh</t>
  </si>
  <si>
    <t>Lâm Đồng - Bảo Lộc</t>
  </si>
  <si>
    <t>CÔNG TY TNHH MTV MAI THỊNH</t>
  </si>
  <si>
    <t>SỐ 7-11 ĐƯỜNG LÊ HỒNG PHONG, PHƯỜNG 1, THÀNH PHỐ BẢO LỘC, TỈNH LÂM ĐỒNG, VIỆT NAM</t>
  </si>
  <si>
    <t>Mega Nha Trang</t>
  </si>
  <si>
    <t>ĐƯỜNG 23/10, THÔN VÕ CẠNH, XÃ VĨNH TRUNG,TP. NHA TRANG, TỈNH KHÁNH HÒA, VIỆT NAM</t>
  </si>
  <si>
    <t>Mega Phú Quốc</t>
  </si>
  <si>
    <t>TỔ 2, ẤP SUỐI ĐÁ, XÃ DƯƠNG TƠ, HUYỆN PHÚ QUỐC, TỈNH KIÊN GIANG, VIỆT NAM</t>
  </si>
  <si>
    <t>Minh Dược</t>
  </si>
  <si>
    <t>CÔNG TY TNHH THƯƠNG MẠI MINH DƯỢC</t>
  </si>
  <si>
    <t>404/6 LÊ HỒNG PHONG, PHƯỜNG NAM NHA TRANG, TỈNH KHÁNH HÒA, VIỆT NAM</t>
  </si>
  <si>
    <t>Mỹ Lệ</t>
  </si>
  <si>
    <t>Khánh Hòa - Bắc Cam Ranh</t>
  </si>
  <si>
    <t>Khánh Hòa - Cam Ranh</t>
  </si>
  <si>
    <t>Công ty TNHH TMDV Mỹ Lệ</t>
  </si>
  <si>
    <t>59 Nguyễn Công Trứ, Phường Bắc Cam Ranh, Tỉnh Khánh Hòa</t>
  </si>
  <si>
    <t>Ngọc Trương</t>
  </si>
  <si>
    <t>Lâm Đồng - Lâm Viên-Đà Lạt</t>
  </si>
  <si>
    <t>Lâm Đồng - Đà Lạt</t>
  </si>
  <si>
    <t>CÔNG TY TNHH NGỌC TRƯƠNG</t>
  </si>
  <si>
    <t>SỐ 26 28 TRẦN KHÁNH DƯ, PHƯỜNG LÂM VIÊN ĐÀ LẠT, TỈNH LÂM ĐỒNG, VIỆT NAM</t>
  </si>
  <si>
    <t>Phương Uyên</t>
  </si>
  <si>
    <t>Cần Thơ - Thuận Hưng</t>
  </si>
  <si>
    <t>Cần Thơ - Thốt Nốt</t>
  </si>
  <si>
    <t>CÔNG TY TNHH MỘT THÀNH VIÊN THƯƠNG MẠI DỊCH VỤ PHƯƠNG UYÊN</t>
  </si>
  <si>
    <t>KHU VỰC QUI THẠNH 1, PHƯỜNG THUẬN HƯNG, THÀNH PHỐ CẦN THƠ, VIỆT NAM</t>
  </si>
  <si>
    <t>Quốc Phong</t>
  </si>
  <si>
    <t>Khánh Hòa - Bắc Ninh Hòa</t>
  </si>
  <si>
    <t>CÔNG TY TNHH QUỐC PHONG NHA TRANG</t>
  </si>
  <si>
    <t>Thôn Ninh Ích, Xã Bắc Ninh Hòa, Tỉnh Khánh Hòa, Việt Nam</t>
  </si>
  <si>
    <t>Sunhou Việt Nam</t>
  </si>
  <si>
    <t>Cần Thơ - An Ninh</t>
  </si>
  <si>
    <t>CÔNG TY CỔ PHẦN SUNHOU VIỆT NAM</t>
  </si>
  <si>
    <t>Lô Q đường N1 khu công nghiệp An Nghiệp, xã An Ninh, thành phố Cần Thơ, Việt Nam</t>
  </si>
  <si>
    <t>Tân Huê Viên</t>
  </si>
  <si>
    <t>Cần Thơ</t>
  </si>
  <si>
    <t>CÔNG TY TNHH CHẾ BIẾN THỰC PHẨM BÁNH PÍA LẠP XƯỞNG TÂN HUÊ VIÊN</t>
  </si>
  <si>
    <t>153 QL1A, ẤP PHỤNG HIỆP, XÃ AN NINH, THÀNH PHỐ CẦN THƠ, VIỆT NAM</t>
  </si>
  <si>
    <t>Tân Vĩnh Lợi Hà Tiên</t>
  </si>
  <si>
    <t>An Giang - Hà Tiên</t>
  </si>
  <si>
    <t>Kiên Giang - Hà Tiên</t>
  </si>
  <si>
    <t>CÔNG TY TNHH MỘT THÀNH VIÊN TÂN VĨNH LỢI HÀ TIÊN</t>
  </si>
  <si>
    <t>LÔ C6 ĐƯỜNG NGUYỄN THỊ ĐỊNH, KĐT MỚI HÀ TIÊN, PHƯỜNG HÀ TIÊN, TỈNH AN GIANG.</t>
  </si>
  <si>
    <t>Thắng Thoa</t>
  </si>
  <si>
    <t>Đồng Nai - Tân Phú</t>
  </si>
  <si>
    <t>DOANH NGHIỆP TƯ NHÂN THẮNG THOA</t>
  </si>
  <si>
    <t>SỐ 90, TỔ 3, ẤP NGỌC LÂM 1, XÃ TÂN PHÚ, TỈNH ĐỒNG NAI, VIỆT NAM</t>
  </si>
  <si>
    <t>Tuấn Hân</t>
  </si>
  <si>
    <t>CÔNG TY TNHH MTV TUẤN HÂN</t>
  </si>
  <si>
    <t>93 CÙ CHÍNH LAN, PHƯỜNG 8, TP. ĐÀ LẠT, T. LÂM ĐỒNG, VIỆT NAM</t>
  </si>
  <si>
    <t>Vĩnh Thành</t>
  </si>
  <si>
    <t>CÔNG TY TNHH VĨNH THÀNH</t>
  </si>
  <si>
    <t>96 TRẦN QUÝ CÁP, PHƯỜNG NHA TRANG, TỈNH KHÁNH HÒA, VIỆT NAM</t>
  </si>
  <si>
    <t>SỐ 1610 VÕ VĂN KIỆT, PHƯỜNG BÌNH TIÊN, THÀNH PHỐ HỒ CHÍ MINH, VIỆT NAM.</t>
  </si>
  <si>
    <t>Thực Phẩm Dary</t>
  </si>
  <si>
    <t>CÔNG TY TNHH THỰC PHẨM DARY</t>
  </si>
  <si>
    <t>Lô D4, Đường N1, KCN Hiệp Phước, Xã Hiệp Phước, Huyện Nhà Bè, Thành phố Hồ Chí Minh, Việt Nam</t>
  </si>
  <si>
    <t>Bé Cần Đước</t>
  </si>
  <si>
    <t>HCM - Thủ Dầu Một</t>
  </si>
  <si>
    <t>Bình Dương - TDM</t>
  </si>
  <si>
    <t>CÔNG TY TNHH THƯƠNG MẠI ĐẦU TƯ BÉ CẦN ĐƯỚC</t>
  </si>
  <si>
    <t xml:space="preserve">61 ĐƯỜNG D, KHU ĐÔ THỊ CHÁNH NGHĨA, PHƯỜNG THỦ DẦU MỘT, THÀNH PHỐ HỒ CHÍ MINH, VIỆT NAM </t>
  </si>
  <si>
    <t>Thực Phẩm Vi Vi</t>
  </si>
  <si>
    <t>CÔNG TY TNHH THƯƠNG MẠI PHÂN PHỐI THỰC PHẨM VI VI</t>
  </si>
  <si>
    <t>Số 1 Đường Bùi Thanh Khiết, Xã Tân Nhựt, Thành phố Hồ Chí Minh, Việt Nam</t>
  </si>
  <si>
    <t>Satra</t>
  </si>
  <si>
    <t>TRUNG TÂM PHÂN PHỐI SATRA</t>
  </si>
  <si>
    <t>LÔ 1-5, KHU C1 VÀ LÔ 3-5,KHU B1 KHU CÔNG NGHIỆP TÂN THỚI HIỆP, PHƯỜNG TÂN THỚI HIỆP, THÀNH PHỐ HỒ CHÍ MINH, VIỆT NAM</t>
  </si>
  <si>
    <t>TP, Hồ Chí Minh - Tân Thạnh Đông</t>
  </si>
  <si>
    <t>Lâm Đồng - Xuân Hương-Đà Lạt</t>
  </si>
  <si>
    <t>Quảng trường Lâm Viên, góc đường Hồ Tùng Mậu và Trần Quốc Toản, Phường Xuân Hương - Đà Lạt, Tỉnh Lâm Đồng, Việt Nam</t>
  </si>
  <si>
    <t>Mega Kiên Giang</t>
  </si>
  <si>
    <t>An Giang - Rạch Giá</t>
  </si>
  <si>
    <t>Kiên Giang</t>
  </si>
  <si>
    <t>LÔ A11, KHU LẤN BIỂN, PHƯỜNG VĨNH THANH VÂN, THÀNH PHỐ RẠCH GIÁ, TỈNH KIÊN GIANG, VIỆT NAM</t>
  </si>
  <si>
    <t>Hiệp Hưng</t>
  </si>
  <si>
    <t>An Giang - Long Xuyên</t>
  </si>
  <si>
    <t>Công ty TNHH MTV Thương mại Dịch vụ Hiệp Hưng</t>
  </si>
  <si>
    <t>SỐ 162, ĐƯỜNG ĐIỆN BIÊN PHỦ, KHÓM 4, PHƯỜNG LONG XUYÊN, AN GIANG</t>
  </si>
  <si>
    <t>Thôn Võ Cang, Phường Tây Nha Trang, Tỉnh Khánh Hòa, Việt Nam</t>
  </si>
  <si>
    <t>Đường Quảng Ngãi</t>
  </si>
  <si>
    <t>CÔNG TY CỔ PHẦN ĐƯỜNG QUẢNG NGÃI</t>
  </si>
  <si>
    <t>KHO SỐ 3-BÃI XE MIỀN NAM,SỐ 13 QUỐC LỘ 1A,PHƯỜNG THỚI AN,THÀNH PHỒ HỒ CHÍ MINH</t>
  </si>
  <si>
    <t>EB Gò Vấp</t>
  </si>
  <si>
    <t>TP, Hồ Chí Minh - Hạnh Thông</t>
  </si>
  <si>
    <t>792 Nguyễn Kiệm, Phường Hạnh Thông, Thành phố Hồ Chí Minh, Việt Nam</t>
  </si>
  <si>
    <t>Cửa Hàng Hà Anh</t>
  </si>
  <si>
    <t>HỘ KINH DOANH CỬA HÀNG HÀ ANH</t>
  </si>
  <si>
    <t>226/21 Phan Đình Phùng, Phường Xuân Hương - Đà Lạt, Lâm Đồng</t>
  </si>
  <si>
    <t>Đăng Vân Kiên Giang</t>
  </si>
  <si>
    <t>CÔNG TY TNHH MỘT THÀNH VIÊN TƯ VẤN ĐĂNG VÂN KIÊN GIANG</t>
  </si>
  <si>
    <t>SỐ 566 LÂM QUANG KY, PHƯỜNG RẠCH GIÁ, TỈNH AN GIANG, VIỆT NAM</t>
  </si>
  <si>
    <t>Khánh Hòa - Cam Lâm</t>
  </si>
  <si>
    <t>LÔ N13, N14, N15 KHU CÔNG NGHIỆP SUỐI DẦU, XÃ SUỐI TÂN, HUYỆN CAM LÂM, TỈNH KHÁNH HÒA</t>
  </si>
  <si>
    <t>Hóa Dược Quốc Tế Sài Gòn</t>
  </si>
  <si>
    <t>CÔNG TY CỔ PHẦN HÓA DƯỢC QUỐC TẾ SÀI GÒN</t>
  </si>
  <si>
    <t>SỐ 71 ĐƯỜNG TA08, PHƯỜNG THỚI AN, THÀNH PHỐ HỒ CHÍ MINH, VIỆT NAM</t>
  </si>
  <si>
    <t>LC Foods</t>
  </si>
  <si>
    <t>HCM - Tây Nam</t>
  </si>
  <si>
    <t>CÔNG TY CỔ PHẦN LC FOODS</t>
  </si>
  <si>
    <t>LÔ G4-1 (KHU B2). ĐƯỜNG D10, KCN RẠCH BẮP, PHƯỜNG TÂY NAM, THÀNH PHỐ HỒ CHÍ MINH</t>
  </si>
  <si>
    <t>EB Âu Cơ</t>
  </si>
  <si>
    <t>EB Thảo Điền</t>
  </si>
  <si>
    <t>Tầng hầm lửng, Tòa nhà Thảo Điền Pearl, số 12, đường Quốc Hương, Phường An Khánh, Thành phố Hồ Chí Minh, Việt Nam</t>
  </si>
  <si>
    <t>Khu căn hộ và Trung tâm thương mại Đông Phương, số 685 đường Âu Cơ, Phường Tân Thành, Quận Tân Phú, Thành phố Hồ Chí Minh</t>
  </si>
  <si>
    <t>Xuân Thủy</t>
  </si>
  <si>
    <t>TP, Hồ Chí Minh - Tân Kiên</t>
  </si>
  <si>
    <t>HỘ KINH DOANH XUÂN THỦY</t>
  </si>
  <si>
    <t>B4/2 QL1A, VÒNG XOAY AN LẠC, XÃ TÂN KIÊN, HUYỆN BÌNH CHÁNH, TP HCM</t>
  </si>
  <si>
    <t>Jollibee Việt Nam Tại Cần Giuộc</t>
  </si>
  <si>
    <t>LÔ 302, ĐƯỜNG SỐ 12, KHU CÔNG NGHIỆP LONG HẬU 3 (GIAI ĐOẠN 2), ẤP LONG HẬU 3, XÃ CẦN GIUỘC, TỈNH TÂY NINH, VIỆT NAM</t>
  </si>
  <si>
    <t>Duy Linh</t>
  </si>
  <si>
    <t>TP, Hồ Chí Minh - Linh Xuân</t>
  </si>
  <si>
    <t>CÔNG TY TNHH MỘT THÀNH VIÊN VẬN TẢI DUY LINH</t>
  </si>
  <si>
    <t>56/6 Đường số 3, Khu phố 2, Phường Linh Xuân, TP. Hồ Chí Minh</t>
  </si>
  <si>
    <t>TP, Hồ Chí Minh - Linh Đông</t>
  </si>
  <si>
    <t>US Pharma USA</t>
  </si>
  <si>
    <t>CÔNG TY CỔ PHẦN US PHARMA USA</t>
  </si>
  <si>
    <t>LÔ B1-10, ĐƯỜNG D2, KHU CÔNG NGHIỆP TÂY BẮC CỦ CHI, ẤP BÀU TRE 2, XÃ TÂN AN HỘI, THÀNH PHỐ HỒ CHÍ MINH, VIỆT NAM</t>
  </si>
  <si>
    <t>Số 53/1 Quốc Lộ 1A, Phường Tân Thới Nhất, Quận 12, Thành Phố Hồ Chí Minh</t>
  </si>
  <si>
    <t>S.P.M</t>
  </si>
  <si>
    <t>CÔNG TY CỔ PHẦN S.P.M</t>
  </si>
  <si>
    <t>LÔ SỐ 51 - 53 KHU CÔNG NGHIỆP TÂN TẠO ĐƯỜNG SỐ 2, PHƯỜNG TÂN TẠO, THÀNH PHỐ HỒ CHÍ MINH, VIỆT NAM.</t>
  </si>
  <si>
    <t>Thực Phẩm Đông Lạnh Kido</t>
  </si>
  <si>
    <t>CÔNG TY CỔ PHẦN THỰC PHẨM ĐÔNG LẠNH KIDO</t>
  </si>
  <si>
    <t>LÔ A2-7, ĐƯỜNG SỐ N4, KCN TÂY BẮC CỦ CHI, XÃ TÂN AN HỘI, THÀNH PHỐ HỒ CHÍ MINH, VIỆT NAM.</t>
  </si>
  <si>
    <t>Nguyễn Ngọc Lang</t>
  </si>
  <si>
    <t>Tây Ninh - Rạch Kiến</t>
  </si>
  <si>
    <t>CÔNG TY TNHH MỘT THÀNH VIÊN NGUYỄN NGỌC LANG</t>
  </si>
  <si>
    <t>315 TỔ 5, ẤP 3, XÃ RẠCH KIẾN, TỈNH TÂY NINH, VIỆT NAM</t>
  </si>
  <si>
    <t>Phil Inter Pharma</t>
  </si>
  <si>
    <t>CÔNG TY TNHH PHIL INTER PHARMA</t>
  </si>
  <si>
    <t>Số 20 Đại lộ Hữu Nghị, Khu công nghiệp Việt Nam – Singapore, P. Bình Hòa, TP. Hồ Chí Minh, Việt Nam</t>
  </si>
  <si>
    <t>SG Coop Lê Minh Xuân</t>
  </si>
  <si>
    <t>LIÊN HIỆP HỢP TÁC XÃ THƯƠNG MẠI THÀNH PHỐ HỒ CHÍ MINH</t>
  </si>
  <si>
    <t>LÔ H1, H2-1, ĐƯỜNG N6, KHU CÔNG NGHIỆP LÊ MINH XUÂN 3, XÃ LÊ MINH XUÂN, HUYỆN BÌNH CHÁNH, THÀNH PHỐ HỒ CHÍ MINH, VIỆT NAM</t>
  </si>
  <si>
    <t>Go! Đà Lạt</t>
  </si>
  <si>
    <t>Nhựa Ngọc Minh</t>
  </si>
  <si>
    <t>CÔNG TY CỔ PHẦN HÓA NHỰA NGỌC MINH</t>
  </si>
  <si>
    <t>301 Đường ĐT 743 Khu phố Đồng An 2, Phường Bình Hòa, TP.HCM, Việt Nam</t>
  </si>
  <si>
    <t>Bách Hóa Xanh Thuận An</t>
  </si>
  <si>
    <t>HCM - An Phú</t>
  </si>
  <si>
    <t>Số 38/1 Tổ 1, Khu Phố Bình Phước A, Phường Bình Chuẩn, Thị xã Thuận An, Tỉnh Bình Dương, Việt Nam</t>
  </si>
  <si>
    <t>Golden Sword</t>
  </si>
  <si>
    <t>CÔNG TY TNHH GOLDEN SWORD</t>
  </si>
  <si>
    <t>A2/19T TRẦN ĐẠI NGHĨA, ẤP 1, XÃ TÂN KIÊN, HUYỆN BÌNH CHÁNH, THÀNH PHỐ HỒ CHÍ MINH, VIỆT NAM</t>
  </si>
  <si>
    <t>Hai Thanh</t>
  </si>
  <si>
    <t>CÔNG TY TNHH THỰC PHẨM XUẤT KHẨU HAI THANH</t>
  </si>
  <si>
    <t>LÔ A14a, KCN HIỆP PHƯỚC, XÃ HIỆP PHƯỚC, THÀNH PHỐ HỒ CHÍ MINH</t>
  </si>
  <si>
    <t>2538 TRẦN VĂN GIÀU, P.3, XÃ PHẠM VĂN HAI, HUYỆN BÌNH CHÁNH, TP.HỒ CHÍ MINH</t>
  </si>
  <si>
    <t>MỸ Phẩm LG Vina</t>
  </si>
  <si>
    <t>Đồng Nai - Nhơn Trạch</t>
  </si>
  <si>
    <t>CÔNG TY TNHH MỸ PHẨM LG VINA</t>
  </si>
  <si>
    <t>KCN NHƠN TRẠCH 2, XÃ NHƠN TRẠCH, TỈNH ĐỒNG NAI, VIỆT NAM</t>
  </si>
  <si>
    <t>Vĩnh Nam Anh</t>
  </si>
  <si>
    <t>CÔNG TY TNHH VĨNH NAM ANH</t>
  </si>
  <si>
    <t>109 Hà Duy Phiên, ấp 5, xã Bình Mỹ, Huyện Củ Chi</t>
  </si>
  <si>
    <t>ACT Hà Anh</t>
  </si>
  <si>
    <t>CÔNG TY TNHH ACT HÀ ANH</t>
  </si>
  <si>
    <t>SỐ 45 NGUYỄN LƯƠNG BẰNG, PHƯỜNG XUÂN HƯƠNG - ĐÀ LẠT, TỈNH LÂM ĐỒNG, VIỆT NAM</t>
  </si>
  <si>
    <t>ko bx ko chuyển tải</t>
  </si>
  <si>
    <t>có chuyển tải</t>
  </si>
  <si>
    <t>Tân Nguyên Hưng</t>
  </si>
  <si>
    <t>HỘ KINH DOANH TÂN NGUYÊN HƯNG</t>
  </si>
  <si>
    <t>269 HẬU GIANG, PHƯỜNG BÌNH TÂY, THÀNH PHỐ HỒ CHÍ MINH, VIỆT NAM</t>
  </si>
  <si>
    <t>TP, Hồ Chí Minh - Bình Tây</t>
  </si>
  <si>
    <t>Ic Food Vietnam Tại Thành Phố Hồ Chí Minh</t>
  </si>
  <si>
    <t>CHI NHÁNH CÔNG TY TNHH IC FOOD VIETNAM TẠI THÀNH PHỐ HỒ CHÍ MINH</t>
  </si>
  <si>
    <t>LÔ III-21, ĐƯỜNG 19/5A, NHÓM CN III, KHU CÔNG NGHIỆP TÂN BÌNH, PHƯỜNG TÂY THẠNH, THÀNH PHỐ HỒ CHÍ MINH, VIỆT NAM</t>
  </si>
  <si>
    <t>Mỹ Phẩm Sài Gòn</t>
  </si>
  <si>
    <t>CÔNG TY CỔ PHẦN MỸ PHẨM SÀI GÒN</t>
  </si>
  <si>
    <t>930 NGUYỄN THỊ ĐỊNH, KCN CÁT LÁI (CỤM II), PHƯỜNG CÁT LÁI, TP.HCM, VIỆT NAM</t>
  </si>
  <si>
    <t>TP, Hồ Chí Minh - Đông Thạnh</t>
  </si>
  <si>
    <t>CÔNG TY TNHH THƯƠNG MẠI NHẤT HƯƠNG</t>
  </si>
  <si>
    <t>335 ĐẶNG THÚC VỊNH , XÃ ĐÔNG THẠNH, HUYỆN HÓC MÔN, TP. HCM</t>
  </si>
  <si>
    <t>Yilin Việt Nam</t>
  </si>
  <si>
    <t>CÔNG TY TNHH YILIN VIỆT NAM</t>
  </si>
  <si>
    <t>LÔ K4C, ĐƯỜNG SỐ 4, KCN LÊ MINH XUÂN, XÃ BÌNH LỢI, THÀNH PHỐ HỒ CHÍ MINH</t>
  </si>
  <si>
    <t>Quốc Tế Hoàng Quân</t>
  </si>
  <si>
    <t>CÔNG TY TNHH XUẤT NHẬP KHẨU QUỐC TẾ HOÀNG QUÂN</t>
  </si>
  <si>
    <t>Số 72 Tô Ký , Phường Trung Mỹ Tây, Thành Phố Hồ Chí Minh</t>
  </si>
  <si>
    <t>Nguyên Liệu Nemo</t>
  </si>
  <si>
    <t>CÔNG TY TNHH NGUYÊN LIỆU NEMO</t>
  </si>
  <si>
    <t>01 NÚI MỘT, PHƯỜNG NHA TRANG, TỈNH KHÁNH HOÀ, VIỆT NAM</t>
  </si>
  <si>
    <t>EB Đà Lạt</t>
  </si>
  <si>
    <t>Toannguyen Food</t>
  </si>
  <si>
    <t>CÔNG TY TNHH TOANNGUYEN FOOD</t>
  </si>
  <si>
    <t>50G ĐƯỜNG BẾN PHÚ ĐỊNH, PHƯỜNG PHÚ ĐỊNH, THÀNH PHỐ HỒ CHÍ MINH, VIỆT NAM</t>
  </si>
  <si>
    <t>Marico South East Asia</t>
  </si>
  <si>
    <t>CÔNG TY CỔ PHẦN MARICO SOUTH EAST ASIA</t>
  </si>
  <si>
    <t>Lô D2 Đường số 7A, KCN Lê Minh Xuân, Xã Tân Nhựt, Thành phố Hồ Chí Minh, Việt Nam</t>
  </si>
  <si>
    <t>Giày Thái Thịnh</t>
  </si>
  <si>
    <t>TP, Hồ Chí Minh - Tân Vĩnh Lộc</t>
  </si>
  <si>
    <t>CÔNG TY CỔ PHẦN GIÀY THÁI THỊNH</t>
  </si>
  <si>
    <t>F1/35 Vĩnh Lộc (hương lộ 80), xã Vĩnh Lộc B,Bình Chánh, thành phố Hồ Chí Minh</t>
  </si>
  <si>
    <t>Đạt Mạnh Hùng</t>
  </si>
  <si>
    <t>Đồng Nai - Bình An</t>
  </si>
  <si>
    <t>Đồng Nai - Long Thành</t>
  </si>
  <si>
    <t>CÔNG TY TNHH ĐẠT MẠNH HÙNG</t>
  </si>
  <si>
    <t>299, TỔ 4, KHU 12, XÃ BÌNH AN, TỈNH ĐỒNG NAI, VIỆT NAM</t>
  </si>
  <si>
    <t>TP, Hồ Chí Minh - Bình Hưng Hòa A</t>
  </si>
  <si>
    <t>298/33 ĐƯỜNG LÊ VĂN QUỚI, PHƯỜNG BÌNH TÂN, THÀNH PHỐ HỒ CHÍ MINH, VIỆT NAM</t>
  </si>
  <si>
    <t>Tân Nhất Hương</t>
  </si>
  <si>
    <t>ko bx, ko ct</t>
  </si>
  <si>
    <t>Wincommerce</t>
  </si>
  <si>
    <t>HCM - Hòa Phú</t>
  </si>
  <si>
    <t>CÔNG TY CỔ PHẦN DỊCH VỤ THƯƠNG MẠI TỔNG HỢP WINCOMMERCE</t>
  </si>
  <si>
    <t>SITE 1379, 18L1/2, ĐƯỜNG SỐ 3 VSIP 2, HÒA PHÚ, P. PHÚ CHÁNH, T. BÌNH DƯƠNG, VIỆT NAM</t>
  </si>
  <si>
    <t>King Food Market</t>
  </si>
  <si>
    <t>HCM - Đông Hòa</t>
  </si>
  <si>
    <t>CÔNG TY CỔ PHẦN KING FOOD MARKET</t>
  </si>
  <si>
    <t>Kho Linker Logistics, Số 324, đường ĐT743A, Phường Đông Hòa, Thành phố Hồ Chí Minh, Việt Nam</t>
  </si>
  <si>
    <t>Viva Caca</t>
  </si>
  <si>
    <t>CÔNG TY CỔ PHẦN VIVA CACA</t>
  </si>
  <si>
    <t>LÔ H.07, ĐƯỜNG SỐ 2, KCN LONG HẬU, ẤP 3, XÃ CẦN GIUỘC, TÂY NINH</t>
  </si>
  <si>
    <t>Nuplex Resins (Việt Nam)</t>
  </si>
  <si>
    <t>Đồng Nai - An Bình</t>
  </si>
  <si>
    <t>CÔNG TY TNHH NUPLEX RESINS (VIỆT NAM)</t>
  </si>
  <si>
    <t>SỐ 1, ĐƯỜNG 9A, KHU CÔNG NGHIỆP BIÊN HÒA II, PHƯỜNG TRẤN BIÊN, TỈNH ĐỒNG NAI, VIỆT NAM</t>
  </si>
  <si>
    <t>Thiên Long Long Thành</t>
  </si>
  <si>
    <t>Đồng Nai - An Phước</t>
  </si>
  <si>
    <t>CÔNG TY TNHH SẢN XUẤT THƯƠNG MẠI THIÊN LONG LONG THÀNH</t>
  </si>
  <si>
    <t>Đường số 7, KCN Long Thành, Xã An Phước, Tỉnh Đồng Nai</t>
  </si>
  <si>
    <t>Bột Mì Phương Nam</t>
  </si>
  <si>
    <t>CÔNG TY TNHH THƯƠNG MẠI BỘT MÌ PHƯƠNG NAM</t>
  </si>
  <si>
    <t>53/1C QUỐC LỘ 1A, PHƯỜNG ĐÔNG HƯNG THUẬN, TP HỒ CHÍ MINH</t>
  </si>
  <si>
    <t>Võ Thành Nhân</t>
  </si>
  <si>
    <t>HCM - Thái Mỹ</t>
  </si>
  <si>
    <t>CÔNG TY TNHH MTV VÕ THÀNH NHÂN</t>
  </si>
  <si>
    <t>825, QUỐC LỘ 22, NGÃ TƯ PHƯỚC THẠNH, XÃ PHƯỚC THẠNH, HUYỆN CỦ CHI, TP. HỒ CHÍ MINH</t>
  </si>
  <si>
    <t>Kim Kê</t>
  </si>
  <si>
    <t>CÔNG TY TNHH KIM KÊ</t>
  </si>
  <si>
    <t>LÔ E1, ĐƯỜNG K1, KCN CÁT LÁI, PHƯỜNG CÁT LÁI, THÀNH PHỐ HỒ CHÍ MINH</t>
  </si>
  <si>
    <t>True Care Việt Nam</t>
  </si>
  <si>
    <t>CÔNG TY CỔ PHẦN TRUE CARE VIỆT NAM</t>
  </si>
  <si>
    <t xml:space="preserve">Lô A211, đường số 3, KCN Thái Hòa, xã Đức Lập, tỉnh Tây Ninh </t>
  </si>
  <si>
    <t>Vico Tại Bình Dương</t>
  </si>
  <si>
    <t>HCM - Vĩnh Tân</t>
  </si>
  <si>
    <t>Bình Dương - Tân Uyên</t>
  </si>
  <si>
    <t>CHI NHÁNH CÔNG TY TNHH VICO TẠI BÌNH DƯƠNG</t>
  </si>
  <si>
    <t>SỐ 19 VSIP II-A, ĐƯỜNG SỐ 26, KHU CÔNG NGHIỆP VIỆT NAM-SINGAPORE, PHƯỜNG VĨNH TÂN, THÀNH PHỐ HỒ CHÍ MINH, VIỆT NAM</t>
  </si>
  <si>
    <t>Dong Lim Vina Chemical</t>
  </si>
  <si>
    <t>CÔNG TY TNHH DONG LIM VINA CHEMICAL</t>
  </si>
  <si>
    <t>Khu Công nghiệp Long Thành, Xã  An Phước, Tỉnh Đồng Nai, Việt Nam</t>
  </si>
  <si>
    <t>Vilaco</t>
  </si>
  <si>
    <t>CÔNG TY CỔ PHẦN VILACO</t>
  </si>
  <si>
    <t>KCN SÓNG THẦN, QL14 , THÀNH PHỐ HỒ CHÍ MINH</t>
  </si>
  <si>
    <t>Dương Hoàng Hoa</t>
  </si>
  <si>
    <t>Đồng Nai - Tam Phước</t>
  </si>
  <si>
    <t>CÔNG TY TNHH MỘT THÀNH VIÊN DƯƠNG HOÀNG HOA</t>
  </si>
  <si>
    <t>Cụm Công Nghiệp Dốc 47, Xã Tam Phước, TP.Biên Hòa, Tỉnh Đồng Nai</t>
  </si>
  <si>
    <t>Opas</t>
  </si>
  <si>
    <t>Cần Thơ - Bình Thủy</t>
  </si>
  <si>
    <t>CÔNG TY CỔ PHẦN THƯƠNG MẠI DỊCH VỤ OPAS</t>
  </si>
  <si>
    <t>8A, CÁCH MẠNG THÁNG TÁM, PHƯỜNG BÌNH THUỶ, THÀNH PHỐ CẦN THƠ, VIỆT NAM</t>
  </si>
  <si>
    <t>Đại Việt BP</t>
  </si>
  <si>
    <t>Đồng Nai - Bình Phước</t>
  </si>
  <si>
    <t>CÔNG TY TNHH MTV ĐẠI VIỆT BP</t>
  </si>
  <si>
    <t>TỔ 7, KHU PHỐ TÂN TRÀ 2, PHƯỜNG BÌNH PHƯỚC, TỈNH ĐỒNG NAI, VIỆT NAM</t>
  </si>
  <si>
    <t>One Mount Distribution</t>
  </si>
  <si>
    <t>TP, Hồ Chí Minh - Trường Thọ</t>
  </si>
  <si>
    <t>CÔNG TY CỔ PHẦN ONE MOUNT DISTRIBUTION</t>
  </si>
  <si>
    <t>411A NGUYỄN VĂN BÁ, PHƯỜNG TRƯỜNG THỌ, THÀNH PHỐ HỒ CHÍ MINH</t>
  </si>
  <si>
    <t>Thực Phẩm Bình Tây</t>
  </si>
  <si>
    <t>CÔNG TY CỔ PHẦN THỰC PHẨM BÌNH TÂY</t>
  </si>
  <si>
    <t>KHU A, LÔ L01-03-05-07-09A, ĐƯỜNG SỐ 8, KCX TÂN THUẬN, PHƯỜNG TÂN THUẬN, THÀNH PHỐ HỒ CHÍ MINH, VIỆT NAM</t>
  </si>
  <si>
    <t>TP, Hồ Chí Minh - Sài Gòn</t>
  </si>
  <si>
    <t>15B/8 ĐƯỜNG LÊ THÁNH TÔN, PHƯỜNG SÀI GÒN, THÀNH PHỐ HỒ CHÍ MINH, VIỆT NAM</t>
  </si>
  <si>
    <t>Nam Huy Đồng Tháp</t>
  </si>
  <si>
    <t>CÔNG TY TNHH MỘT THÀNH VIÊN NAM HUY ĐỒNG THÁP</t>
  </si>
  <si>
    <t>SỐ 42/2/2 ĐƯỜNG 18, KHU PHỐ 2, PHƯỜNG THẠNH MỸ LỢI, THÀNH PHỐ THỦ ĐỨC, THÀNH PHỐ HỒ CHÍ MINH</t>
  </si>
  <si>
    <t>Vũng Tàu</t>
  </si>
  <si>
    <t>SỐ 58/23C &amp; 58/37A NGUYỄN GIA THIỀU, PHƯỜNG PHƯỚC THẮNG, THÀNH PHỐ HỒ CHÍ MINH, VIỆT NAM</t>
  </si>
  <si>
    <t>Khánh Hòa - Diên Điền</t>
  </si>
  <si>
    <t>TP, Hồ Chí Minh - Tân Phú</t>
  </si>
  <si>
    <t>TP, Hồ Chí Minh - Bình Hòa</t>
  </si>
  <si>
    <t>Bánh Kẹo Á Châu</t>
  </si>
  <si>
    <t>CÔNG TY CỔ PHẦN BÁNH KẸO Á CHÂU</t>
  </si>
  <si>
    <t>545 KINH DƯƠNG VƯƠNG, PHƯỜNG AN LẠC, QUẬN BÌNH TÂN, TP.HCM, VIỆT NAM</t>
  </si>
  <si>
    <t>Thực Phẩm Hải Đăng</t>
  </si>
  <si>
    <t>CÔNG TY CỔ PHẦN SẢN XUẤT THỰC PHẨM HẢI ĐĂNG</t>
  </si>
  <si>
    <t>O2-7, O2-8, O2-9 (THUỘC NHÀ XƯỞNG O1), ĐƯỜNG 1B, KHU XƯỞNG KIZUNA 3 MỞ RỘNG, KHU K1, KHU CÔNG NGHIỆP TÂN KIM MỞ RỘNG, XÃ CẦN GIUỘC, TỈNH TÂY NINH, VIỆT NAM.</t>
  </si>
  <si>
    <t>Lô T8, Đường số 10, KCN Hải Sơn Mở Rộng (Giai Đoạn 3+4), Xã Đức Hòa, Tỉnh Tây Ninh, Việt Nam</t>
  </si>
  <si>
    <t>Aeon Bình Dương</t>
  </si>
  <si>
    <t>HCM - Thuận Giao</t>
  </si>
  <si>
    <t>Bình Dương - Thuận Giao</t>
  </si>
  <si>
    <t>CÔNG TY TNHH AEON VIỆT NAM-CHI NHÁNH BÌNH DƯƠNG</t>
  </si>
  <si>
    <t>Số 1, Đại Lộ Bình Dương, Khu Phố Bình Giao, Phường Thuận Giao, Thành Phố Hồ Chí Minh, Việt Nam</t>
  </si>
  <si>
    <t>36/25 PHẠM VĂN NGHỊ,SKY GARDEN 3, P. TÂN PHONG, Q. 7,TP. HỒ CHÍ MINH</t>
  </si>
  <si>
    <t>Kim Hải Châu</t>
  </si>
  <si>
    <t>CÔNG TY TNHH KIM HẢI CHÂU</t>
  </si>
  <si>
    <t>PWVC + CFV, ĐƯỜNG SỐ 1, KCN NHƠN TRẠCH 1, XÃ NHƠN TRẠCH, T. ĐỒNG NAI</t>
  </si>
  <si>
    <t>ĐIỂM GIAO HÀNG TÍNH PHÍ
(ghi PL cú CLV)</t>
  </si>
  <si>
    <t>Các Phường/Xã khác trực thuộc Hồ Chí Minh (Đường Nhỏ)</t>
  </si>
  <si>
    <t>Đồng Nai - Bảo Vinh/ Bình Lộc/ Hàng Gòn/ Hố Nai/ Bình Minh/ Hưng Thịnh/ Trảng Bom</t>
  </si>
  <si>
    <t>Đồng Nai - Long Bình/ Long Hưng/ Tam Hiệp/ Tam Phước/ Tân Triều/ Trấn Biên/ Trảng Dài/ An Phước/ Bình An/ Long Thành/ Nhơn Trạch</t>
  </si>
  <si>
    <t xml:space="preserve">Tây Ninh - Khánh Hậu/ Long An/ Tân An/ Bến Lức/ Bình Đức/ Đức Hòa/ Đức Lập/ Hậu Nghĩa/ Hòa Khánh/ Long Cang/ Mỹ Hạnh/ Mỹ Yên/ Rạch Kiến / Tân Lân </t>
  </si>
  <si>
    <t>Các Phường/Xã khác trực thuộc TP. Hồ Chí Minh</t>
  </si>
  <si>
    <t>Hồ Chí Minh - An Phú/ Bình Dương/ Bình Hòa/ Chánh Hiệp/ Dĩ An/ Đông Hòa/ Lái Thiêu/ Phú An/ Phú Lợi/ Tân Đông Hiệp/ Thủ Dầu Một/ Thuận An/ Thuận Giao</t>
  </si>
  <si>
    <t>TP. Hồ Chí Minh -Tân Tạo</t>
  </si>
  <si>
    <t>Hồ Chí Minh - Bình Mỹ/ Củ Chi / Nhuận Đức/ Tân An Hội/ Thái Mỹ / Phú Hòa Đông</t>
  </si>
  <si>
    <t>TP. Hồ Chí Minh - Trung Mỹ Tây</t>
  </si>
  <si>
    <t>Hồ Chí Minh - Bình Mỹ</t>
  </si>
  <si>
    <t>Hồ Chí Minh - Bình Hòa</t>
  </si>
  <si>
    <t>TP. Hồ Chí Minh - Phú Thuận</t>
  </si>
  <si>
    <t>TP. Hồ Chí Minh - Bình Chánh</t>
  </si>
  <si>
    <t>TP. Hồ Chí Minh - Bà Điểm</t>
  </si>
  <si>
    <t>Hồ Chí Minh (Đường Nhỏ) - Bình Đông</t>
  </si>
  <si>
    <t>Hồ Chí Minh (Đường Nhỏ) - Phước Long</t>
  </si>
  <si>
    <t>Hồ Chí Minh - KCN Hiệp Phước</t>
  </si>
  <si>
    <t>Hồ Chí Minh - Củ Chi</t>
  </si>
  <si>
    <t>Hồ Chí Minh - Tân An Hội</t>
  </si>
  <si>
    <t>Hồ Chí Minh - Thủ Dầu Một</t>
  </si>
  <si>
    <t>Hồ Chí Minh - Dĩ An</t>
  </si>
  <si>
    <t>Hồ Chí Minh - Bến Cát/ Hòa Lợi/ Hòa Phú/ Long Nguyên/ Mỹ Phước/ Tân Hiệp/ Tân Khánh/ Tân Uyên/ Tây Nam/ Thới Hòa/ Vĩnh Tân/ Bắc Tân Uyên</t>
  </si>
  <si>
    <t>Hồ Chí Minh - Bến Cát</t>
  </si>
  <si>
    <t>Hồ Chí Minh - Tây Nam</t>
  </si>
  <si>
    <t>Hồ Chí Minh - Thuận Giao</t>
  </si>
  <si>
    <t>Hồ Chí Minh - Vĩnh Tân</t>
  </si>
  <si>
    <t>Hồ Chí Minh - An Phú</t>
  </si>
  <si>
    <t>Hồ Chí Minh - Hòa Phú</t>
  </si>
  <si>
    <t>Hồ Chí Minh - Đông Hòa</t>
  </si>
  <si>
    <t>Hồ Chí Minh - Thái Mỹ</t>
  </si>
  <si>
    <t>TP. Hồ Chí Minh - Tây Thạnh</t>
  </si>
  <si>
    <t>TP. Hồ Chí Minh</t>
  </si>
  <si>
    <t>TP. Hồ Chí Minh - Tân Sơn Nhì</t>
  </si>
  <si>
    <t>TP. Hồ Chí Minh - Tân Thuận</t>
  </si>
  <si>
    <t>TP. Hồ Chí Minh - Phú Thọ</t>
  </si>
  <si>
    <t>TP. Hồ Chí Minh - Thới An</t>
  </si>
  <si>
    <t>TP. Hồ Chí Minh - Tân Thới Hiệp</t>
  </si>
  <si>
    <t>TP. Hồ Chí Minh - Bình Lợi</t>
  </si>
  <si>
    <t>TP. Hồ Chí Minh - Bình Tân</t>
  </si>
  <si>
    <t>TP. Hồ Chí Minh - Phú Lâm</t>
  </si>
  <si>
    <t>TP. Hồ Chí Minh - Phú Thọ Hòa</t>
  </si>
  <si>
    <t>TP. Hồ Chí Minh - Bình Trị Đông</t>
  </si>
  <si>
    <t>TP. Hồ Chí Minh - An Khánh</t>
  </si>
  <si>
    <t>TP. Hồ Chí Minh - Tân Phú</t>
  </si>
  <si>
    <t>TP. Hồ Chí Minh - Hòa Hưng</t>
  </si>
  <si>
    <t>TP. Hồ Chí Minh - Tân Mỹ</t>
  </si>
  <si>
    <t>TP. Hồ Chí Minh - Phú Thạnh</t>
  </si>
  <si>
    <t>TP. Hồ Chí Minh - An Hội Tây</t>
  </si>
  <si>
    <t>TP. Hồ Chí Minh - An Nhơn</t>
  </si>
  <si>
    <t>TP. Hồ Chí Minh - Hóc Môn</t>
  </si>
  <si>
    <t>TP. Hồ Chí Minh - Chợ Lớn</t>
  </si>
  <si>
    <t>TP. Hồ Chí Minh - Hiệp Bình</t>
  </si>
  <si>
    <t>TP. Hồ Chí Minh - Tam Bình</t>
  </si>
  <si>
    <t>TP. Hồ Chí Minh - Diên Hồng</t>
  </si>
  <si>
    <t>TP. Hồ Chí Minh - Bình Phú</t>
  </si>
  <si>
    <t>TP. Hồ Chí Minh - Gò Vấp</t>
  </si>
  <si>
    <t>TP. Hồ Chí Minh - Tân Hưng</t>
  </si>
  <si>
    <t>TP. Hồ Chí Minh - Bảy Hiền</t>
  </si>
  <si>
    <t>TP. Hồ Chí Minh - Bình Trưng</t>
  </si>
  <si>
    <t>TP. Hồ Chí Minh - Linh Đông</t>
  </si>
  <si>
    <t>TP. Hồ Chí Minh - Bình Thạnh</t>
  </si>
  <si>
    <t>TP. Hồ Chí Minh - Phước Long</t>
  </si>
  <si>
    <t>TP. Hồ Chí Minh - Tân Thạnh Đông</t>
  </si>
  <si>
    <t>TP. Hồ Chí Minh - Tân Nhựt</t>
  </si>
  <si>
    <t>TP. Hồ Chí Minh - Bình Tiên</t>
  </si>
  <si>
    <t>TP. Hồ Chí Minh - Bình Hưng Hòa B</t>
  </si>
  <si>
    <t>TP. Hồ Chí Minh - Bình Hưng Hòa A</t>
  </si>
  <si>
    <t>TP. Hồ Chí Minh - Bình Hưng</t>
  </si>
  <si>
    <t>TP. Hồ Chí Minh - Đông Hưng Thuận</t>
  </si>
  <si>
    <t>TP. Hồ Chí Minh - Vĩnh Lộc</t>
  </si>
  <si>
    <t>TP. Hồ Chí Minh - Thạnh Mỹ Lợi</t>
  </si>
  <si>
    <t>TP. Hồ Chí Minh - Cầu Ông Lãnh</t>
  </si>
  <si>
    <t>TP. Hồ Chí Minh - Cát Lái</t>
  </si>
  <si>
    <t>TP. Hồ Chí Minh - Hạnh Thông</t>
  </si>
  <si>
    <t>TP. Hồ Chí Minh - Tân Kiên</t>
  </si>
  <si>
    <t>TP. Hồ Chí Minh - Linh Xuân</t>
  </si>
  <si>
    <t>TP. Hồ Chí Minh - Bình Hòa</t>
  </si>
  <si>
    <t>TP. Hồ Chí Minh - Tân Vĩnh Lộc</t>
  </si>
  <si>
    <t>TP. Hồ Chí Minh - Bình Tây</t>
  </si>
  <si>
    <t>TP. Hồ Chí Minh - Đông Thạnh</t>
  </si>
  <si>
    <t>TP. Hồ Chí Minh - Sài Gòn</t>
  </si>
  <si>
    <t>TP. Hồ Chí Minh - Trường Thọ</t>
  </si>
  <si>
    <t>Các Phường/Xã khác trực thuộc tỉnh Khánh Hòa</t>
  </si>
  <si>
    <t>Cần Thơ - Vị Tân/ Châu Thành/ Tân Hòa/ Thạnh Hòa/ Thạnh Xuân</t>
  </si>
  <si>
    <t>Cần Thơ - Phú Lợi/ An Ninh</t>
  </si>
  <si>
    <t xml:space="preserve">Đồng Tháp - Cai Lậy / Sơn Qui/ Hội Cư/ Ngũ Hiệp </t>
  </si>
  <si>
    <t>Hồ Chí Minh - Phước Thắng/ Tam Thắng</t>
  </si>
  <si>
    <t>Hồ Chí Minh - Phước Thắng</t>
  </si>
  <si>
    <t>Hồ Chí Minh - Bà Rịa/ Phú Mỹ/ Tân Phước / Châu Pha / Hồ Tràm / Long Điền/ Ngãi Giao</t>
  </si>
  <si>
    <t>Đồng Tháp - Cao Lãnh/ Lấp Vò/ Thanh Bình</t>
  </si>
  <si>
    <t>Đồng Tháp - An Bình/ Thường Lạc</t>
  </si>
  <si>
    <t>Lâm Đồng - Đức Trọng/ Hiệp Thạnh/ Phú Hội</t>
  </si>
  <si>
    <t>Lâm Đồng - Bảo Lộc/ B'Lao</t>
  </si>
  <si>
    <t>Lâm Đồng - Lâm Viên-Đà Lạt/ Xuân Hương-Đà Lạt/ Đơn Dương</t>
  </si>
  <si>
    <t>Cần Thơ - Thốt Nốt/ Thuận Hưng/ Trung Nhứt</t>
  </si>
  <si>
    <t>Đồng Nai - La Ngà/ Tân Phú/ Xuân Lộc/ Xuân Phú</t>
  </si>
  <si>
    <t>Các Phường/Xã khác trực thuộc tỉnh An Giang</t>
  </si>
  <si>
    <t>An Giang - Rạch Giá/ Châu Thành/ Thạnh Lộc</t>
  </si>
  <si>
    <t>ĐẠI LÝ</t>
  </si>
  <si>
    <t>ĐIỂM GIAO HÀNG THỰC TẾ</t>
  </si>
  <si>
    <t>Việt Tiến Phú</t>
  </si>
  <si>
    <t>Hồ Chí Minh - Hưng Định</t>
  </si>
  <si>
    <t>CÔNG TY TNHH THƯƠNG MẠI VIỆT TIẾN PHÚ</t>
  </si>
  <si>
    <t>SỐ 141A ĐƯỜNG CẦU TÀU, KHU PHỐ HƯNG THỌ, PHƯỜNG HƯNG ĐỊNH, THÀNH PHỐ THUẬN AN, TỈNH BÌNH DƯƠNG, VIỆT NAM</t>
  </si>
  <si>
    <t>Huyền Nga</t>
  </si>
  <si>
    <t>DOANH NGHIỆP TƯ NHÂN HUYỀN NGA</t>
  </si>
  <si>
    <t>SỐ 67/15C ĐƯỜNG PHÓ CƠ ĐIỀU, PHƯỜNG PHƯỚC HẬU, TỈNH VĨNH LONG, VIỆT NAM</t>
  </si>
  <si>
    <t>Các Phường/Xã khác trực thuộc tỉnh Vĩnh Long</t>
  </si>
  <si>
    <t>Vĩnh Long - Phước Hậu</t>
  </si>
  <si>
    <t>TP. Hồ Chí Minh - Hiệp Phước</t>
  </si>
  <si>
    <t>KHO 94/1055F NGUYỄN VĂN DUNG, P.6,QUẬN GÒ VẤP, TP.Hồ Chí Minh</t>
  </si>
  <si>
    <t>Đồng Nai - Bình Long/ Bình Phước/ Phước Bình/ Đồng Phú/ Lộc Ninh</t>
  </si>
  <si>
    <t>Kỳ Vũ</t>
  </si>
  <si>
    <t>CÔNG TY TNHH XUẤT NHẬP KHẨU KỲ VŨ</t>
  </si>
  <si>
    <t>LÔ II-14, KCN HỐ NAI, XÃ HỐ NAI 3, HUYỆN TRẢNG BOM, TỈNH ĐỒNG NAI</t>
  </si>
  <si>
    <t>Kreators</t>
  </si>
  <si>
    <t>CÔNG TY TNHH KREATORS</t>
  </si>
  <si>
    <t>THỬA 726, TỜ BẢN ĐỒ 28, KHU PHỐ TÂN BÌNH, PHƯỜNG TÂN HIỆP, THÀNH PHỐ HỒ CHÍ MINH, VIỆT NAM</t>
  </si>
  <si>
    <t>Mã nhà cung cấp</t>
  </si>
  <si>
    <t>Mã hàng hóa</t>
  </si>
  <si>
    <t>Tên hàng hóa</t>
  </si>
  <si>
    <t>Tên hàng hóa (En)</t>
  </si>
  <si>
    <t>Mã ĐVT (Bán hàng)</t>
  </si>
  <si>
    <t>SP - Trọng lượng Net</t>
  </si>
  <si>
    <t>2000000001</t>
  </si>
  <si>
    <t>7.45705279090100</t>
  </si>
  <si>
    <t>DẦU HẠT CẢI HIỆU SATELLITE TRONG TÚI BÓNG 18KG</t>
  </si>
  <si>
    <t>SATELLITE-CANOLA BIB @18 KG</t>
  </si>
  <si>
    <t>MT</t>
  </si>
  <si>
    <t>7.131087031705H10</t>
  </si>
  <si>
    <t>DẦU ĂN THƯỢNG HẠNG NHÃN HIỆU NEPTUNE LIGHT 1L</t>
  </si>
  <si>
    <t>CO-NEPTUNE LIGHT 1L X 12 BTL</t>
  </si>
  <si>
    <t>CAR</t>
  </si>
  <si>
    <t>7.131087061703H10</t>
  </si>
  <si>
    <t>DẦU ĂN THƯỢNG HẠNG NHÃN HIỆU NEPTUNE LIGHT 5L</t>
  </si>
  <si>
    <t>CO-NEPTUNE LIGHT 5L X 4 BTL</t>
  </si>
  <si>
    <t>7.1070123222553050</t>
  </si>
  <si>
    <t>BƠ THỰC VẬT NHÃN HIỆU MEIZAN 800G</t>
  </si>
  <si>
    <t>MEIZAN MARGARINE MP 39-42 800G X 12TUB</t>
  </si>
  <si>
    <t>7.131078031705E10</t>
  </si>
  <si>
    <t>DẦU ĂN CAO CẤP NHÃN HIỆU MEIZAN GOLD 1L</t>
  </si>
  <si>
    <t>CO-MEIZAN GOLD 1L X 12 BTL</t>
  </si>
  <si>
    <t>7.131009031705O90</t>
  </si>
  <si>
    <t>DẦU THỰC VẬT HẢO HẠNG NHÃN HIỆU CÁI LÂN 1L</t>
  </si>
  <si>
    <t>CAILAN PR VEGOIL(99.5OL+0.5SBO) 1LX12BTL</t>
  </si>
  <si>
    <t>7.131009041704O90</t>
  </si>
  <si>
    <t>DẦU THỰC VẬT HẢO HẠNG NHÃN HIỆU CÁI LÂN 2L</t>
  </si>
  <si>
    <t>CAILAN PR VEGOIL(99.5OL+0.5SBO) 2LX6BTL</t>
  </si>
  <si>
    <t>7.131103A41703P20</t>
  </si>
  <si>
    <t>DẦU THỰC VẬT HẢO HẠNG NHÃN HIỆU ORCHID 5L</t>
  </si>
  <si>
    <t>ORCHID PR 99.5%ROLIV56+0.5%SBO 5L*4BTL</t>
  </si>
  <si>
    <t>7.131103F01703P20</t>
  </si>
  <si>
    <t>DẦU THỰC VẬT HẢO HẠNG NHÃN HIỆU ORCHID 4.5L</t>
  </si>
  <si>
    <t>ORCHID PR 99.5%ROLIV56+0.5%SBO 4.5L*4BTL</t>
  </si>
  <si>
    <t>7.101306591201A60</t>
  </si>
  <si>
    <t>DẦU THỰC VẬT HẢO HẠNG NHÃN HIỆU ORCHID (KÍCH CỠ ĐÓNG GÓI LỚN) ÐÓNG CAN 25KG</t>
  </si>
  <si>
    <t>ORCHID PR ROL IV 56 IN JERRYCAN@25KG</t>
  </si>
  <si>
    <t>JRG</t>
  </si>
  <si>
    <t>7.131009591201O50</t>
  </si>
  <si>
    <t>DẦU THỰC VẬT HẢO HẠNG NHÃN HIỆU CÁI LÂN (KÍCH CỠ ĐÓNG GÓI LỚN) ĐÓNG CAN 25KG</t>
  </si>
  <si>
    <t>CAILANPREMIUMVEG OIL(100%OLIV58)JRG@25KG</t>
  </si>
  <si>
    <t>7.45705003010500</t>
  </si>
  <si>
    <t>DẦU HẠT CẢI NHÃN HIỆU SIMPLY 1L</t>
  </si>
  <si>
    <t>CO-SIMPLY CANOLA 1L X 12 BTL</t>
  </si>
  <si>
    <t>7.458050051704000</t>
  </si>
  <si>
    <t>DẦU HƯỚNG DƯƠNG NHÃN HIỆU SIMPLY 2L</t>
  </si>
  <si>
    <t>SIMPLY SFO 2L X 6 BTL</t>
  </si>
  <si>
    <t>7.455051R11706010</t>
  </si>
  <si>
    <t>DẦU MÈ THƠM NHÃN HIỆU MEIZAN 100ML</t>
  </si>
  <si>
    <t>MEIZAN SESAME OIL 0.1L X 24 BOTTLE</t>
  </si>
  <si>
    <t>7.45505101010501</t>
  </si>
  <si>
    <t>DẦU MÈ THƠM NHÃN HIỆU MEIZAN 250 ML</t>
  </si>
  <si>
    <t>CO-MEIZAN SESAME 0.25L X 12 BTL</t>
  </si>
  <si>
    <t>7.1070123122552250</t>
  </si>
  <si>
    <t>BƠ THỰC VẬT NHÃN HIỆU MEIZAN 200G</t>
  </si>
  <si>
    <t>MEIZAN MARGARINE MP 39-42 200G X 36TUB</t>
  </si>
  <si>
    <t>7.1070123022552230</t>
  </si>
  <si>
    <t>BƠ THỰC VẬT NHÃN HIỆU MEIZAN 80G</t>
  </si>
  <si>
    <t>MEIZAN MARGARINE MP 39-42 80G X 60TUB</t>
  </si>
  <si>
    <t>7.45105103010500</t>
  </si>
  <si>
    <t>DẦU ĐẬU NÀNH NHÃN HIỆU MEIZAN 1L</t>
  </si>
  <si>
    <t>CO-MEIZAN SBO 1L X 12 BTL</t>
  </si>
  <si>
    <t>7.101071031805550</t>
  </si>
  <si>
    <t>DẦU THỰC VẬT TINH LUYỆN NHÃN HIỆU CÁI LÂN 1L</t>
  </si>
  <si>
    <t>CAILAN ROL CP8 1LX12POUCH</t>
  </si>
  <si>
    <t>7.131023011705840</t>
  </si>
  <si>
    <t>DẦU Ô-LIU DINH DƯỠNG CHO TRẺ EM NHÃN HIỆU KIDDY 250 ML</t>
  </si>
  <si>
    <t>KIDDY REFINED OLIVE OIL 250ML X 12BTL</t>
  </si>
  <si>
    <t>7.47505601010500</t>
  </si>
  <si>
    <t>DẦU Ô-LIU EXTRA VIRGIN NHÃN HIỆU OLIVOILÀ 250 ML</t>
  </si>
  <si>
    <t>CO-OLIVOILÀ OLIVE OIL 0.25L X 12 BTL</t>
  </si>
  <si>
    <t>7.47505617010400</t>
  </si>
  <si>
    <t>DẦU Ô-LIU EXTRA VIRGIN NHÃN HIỆU OLIVOILÀ 750 ML</t>
  </si>
  <si>
    <t>CO-OLIVOILÀ OLIVE OIL @ 0.75L X 6 BTL</t>
  </si>
  <si>
    <t>7.107014089103300</t>
  </si>
  <si>
    <t>DẦU BƠ THAY THẾ HIỆU SATELLITE 18KG</t>
  </si>
  <si>
    <t>SATELLITE BOS IN PLASTIC BUCKET @ 18 KG</t>
  </si>
  <si>
    <t>PAI</t>
  </si>
  <si>
    <t>7.1070120892033009</t>
  </si>
  <si>
    <t>DẦU BƠ THAY THẾ HIỆU MEIZAN TRONG THÙNG NHỰA 18 KG (NHÃN VÀNG)</t>
  </si>
  <si>
    <t>MEIZAN BOS IN PLASTIC BUCKET35-38@18KG P</t>
  </si>
  <si>
    <t>7.707584P53717000H</t>
  </si>
  <si>
    <t>NƯỚC RỬA CHÉN POWER100 TIẾT KIỆM HƯƠNG CHANH 3.2KG*4 TÚI</t>
  </si>
  <si>
    <t>POWER100 DWL SAVING LEMON 3.2KG X 4PCH</t>
  </si>
  <si>
    <t>7.707586652817000H</t>
  </si>
  <si>
    <t>NƯỚC RỬA CHÉN POWER100 HƯƠNG TRÀ XANH 3.5KG*4</t>
  </si>
  <si>
    <t>POWER100 DWL GREENTEA 3.5KG*4BTL</t>
  </si>
  <si>
    <t>7.707662N328170001</t>
  </si>
  <si>
    <t>NƯỚC RỬA CHÉN POWER100 TINH DẦU CHANH 1.4KG*10</t>
  </si>
  <si>
    <t>POWER100 DWLLEMONESSENTIALOIL1.4KG*10BTL</t>
  </si>
  <si>
    <t>7.707662N528170000</t>
  </si>
  <si>
    <t>NƯỚC RỬA CHÉN POWER100 TINH DẦU CHANH 9.0KG</t>
  </si>
  <si>
    <t>POWER100 DWLLEMON ESSENTIALOIL BTL@9KG</t>
  </si>
  <si>
    <t>BOT</t>
  </si>
  <si>
    <t>7.707711E92817000N</t>
  </si>
  <si>
    <t>NƯỚC RỬA CHÉN POWER100 NATURAL TINH DẦU BƯỞI TÂY 750G*16</t>
  </si>
  <si>
    <t>POWER100 NTRLDWLGRAPEFRUIT EO 750G*16BTL</t>
  </si>
  <si>
    <t>7.707711962817000H</t>
  </si>
  <si>
    <t>NƯỚC RỬA CHÉN POWER100 NATURAL TINH DẦU BƯỞI TÂY 3.0KG*4</t>
  </si>
  <si>
    <t>POWER100 NTRL DWL GRAPEFRUIT EO 3KG*4BTL</t>
  </si>
  <si>
    <t>7.707591M328170002</t>
  </si>
  <si>
    <t>NƯỚC TẨY BỒN CẦU VÀ NHÀ TẮM POWER100 HƯƠNG BẠC HÀ 900ML*12</t>
  </si>
  <si>
    <t>POWER100 TOILET CLEANER MINT 900ML*12BTL</t>
  </si>
  <si>
    <t>7.707663652817000H</t>
  </si>
  <si>
    <t>NƯỚC LAU SÀN POWER100 TINH DẦU HOA THIÊN NHIÊN 3.5KG*4</t>
  </si>
  <si>
    <t>POWER100 FCFLORAL ESSENTIALOIL3.5KG*4BTL</t>
  </si>
  <si>
    <t>7.707664P53717000H</t>
  </si>
  <si>
    <t>NƯỚC LAU SÀN POWER100 TINH DẦU CHANH SẢ 3.2KG*4 TÚI</t>
  </si>
  <si>
    <t>POWER100 FC LG ESSENTIALOIL 3.2KG X 4PCH</t>
  </si>
  <si>
    <t>7.704228N528170019</t>
  </si>
  <si>
    <t>NƯỚC GIẶT XẢ POWER100 HƯƠNG NƯỚC HOA PHÁP QUYẾN RŨ 9.0KG*2</t>
  </si>
  <si>
    <t>POWER100 LDCHARMINGFRENCHPERFUME9KG*2BTL</t>
  </si>
  <si>
    <t>7.704229P53717000H</t>
  </si>
  <si>
    <t>NƯỚC GIẶT XẢ POWER100 HƯƠNG NƯỚC HOA PHÁP ĐAM MÊ 3.2KG*4</t>
  </si>
  <si>
    <t>POWER100 LD PASSION FRENCH 3.2KG X 4PCH</t>
  </si>
  <si>
    <t>7.704229P42817000H</t>
  </si>
  <si>
    <t>NƯỚC GIẶT XẢ POWER100 HƯƠNG NƯỚC HOA PHÁP ĐAM MÊ 3.4KG*4</t>
  </si>
  <si>
    <t>POWER100 LD PASSION FRENCH 3.4KG X 4BTL</t>
  </si>
  <si>
    <t>7.704233Q83717001I</t>
  </si>
  <si>
    <t>BỘT GIẶT POWER100 HƯƠNG NƯỚC HOA PHÁP QUYẾN RŨ 5.3KG*3</t>
  </si>
  <si>
    <t>POWER100 PD CHARMINGFRENCH PF 5.3KG*3PCH</t>
  </si>
  <si>
    <t>7.704235R73717001M</t>
  </si>
  <si>
    <t>BỘT GIẶT POWER100 SAVING 3 TRONG 1 5.1KG*3</t>
  </si>
  <si>
    <t>POWER100 SAVING PD 3IN1 5.1KG X 3PCH</t>
  </si>
  <si>
    <t>MBG</t>
  </si>
  <si>
    <t>7.10108957090102</t>
  </si>
  <si>
    <t>DẦU OLEIN TINH LUYỆN HIỆU SATELLITE TRONG TÚI BÓNG 18KG</t>
  </si>
  <si>
    <t>SATELLITE-OL1008 BIB @18KG</t>
  </si>
  <si>
    <t>7.707662N32817000K</t>
  </si>
  <si>
    <t>NƯỚC RỬA CHÉN POWER100 TINH DẦU CHANH 1.4KG*8</t>
  </si>
  <si>
    <t>POWER100 DWLLEMON ESSENTIALOIL1.4KG*8BTL</t>
  </si>
  <si>
    <t>7.1070140214008010</t>
  </si>
  <si>
    <t>BƠ THƠM NHÃN HIỆU SATELLITE TRONG THÙNG 20KG</t>
  </si>
  <si>
    <t>SATELLITE BAKERY MARGARINE PEBAG@20KG</t>
  </si>
  <si>
    <t>7.10408930480801</t>
  </si>
  <si>
    <t>SHORTENING HIỆU SATELLITE 25 KG</t>
  </si>
  <si>
    <t>SATELLITE SHORTENING  RED @ 25 KG</t>
  </si>
  <si>
    <t>7.704228P53717000H</t>
  </si>
  <si>
    <t>NƯỚC GIẶT XẢ POWER100 HƯƠNG NƯỚC HOA PHÁP QUYẾN RŨ 3.2KG*4</t>
  </si>
  <si>
    <t>POWER100 LD CHARMINGFRENCH PF 3.2KG*4PCH</t>
  </si>
  <si>
    <t>7.131078061703E10</t>
  </si>
  <si>
    <t>DẦU ĂN CAO CẤP NHÃN HIỆU MEIZAN GOLD 5L</t>
  </si>
  <si>
    <t>CO-MEIZAN GOLD 5L X 4 BTL</t>
  </si>
  <si>
    <t>7.131009121706O90</t>
  </si>
  <si>
    <t>DẦU THỰC VẬT HẢO HẠNG NHÃN HIỆU CÁI LÂN 400ML</t>
  </si>
  <si>
    <t>CAILANPRVEGOIL(99.5OL+0.5SBO)400MLX24BTL</t>
  </si>
  <si>
    <t>7.707583652817400H</t>
  </si>
  <si>
    <t>NƯỚC RỬA CHÉN POWER100 TIẾT KIỆM HƯƠNG CHANH 3.5KG*4</t>
  </si>
  <si>
    <t>POWER100 SAVING DWL LEMON 3.5KG*4BTL</t>
  </si>
  <si>
    <t>7.707662652817000H</t>
  </si>
  <si>
    <t>NƯỚC RỬA CHÉN POWER100 TINH DẦU CHANH 3.5KG*4</t>
  </si>
  <si>
    <t>POWER100 DWLLEMON ESSENTIALOIL3.5KG*4BTL</t>
  </si>
  <si>
    <t>7.706102031401200</t>
  </si>
  <si>
    <t>PHỤ GIA THỰC PHẨM GLYXERIN TINH KHIẾT 99,7% - WILFARIN, ĐÓNG TRONG PHUY 250KG</t>
  </si>
  <si>
    <t>WILFARIN REFINED GLYCERINE 99.7 DR@250KG</t>
  </si>
  <si>
    <t>7.1070140295008010</t>
  </si>
  <si>
    <t>DẦU BƠ THAY THẾ NHÃN HIỆU SATELLITE (NHÃN MÀU CAM) TRONG THÙNG 20KG</t>
  </si>
  <si>
    <t>SATELLITE BOS ORANGE IN PEBAG@20KG</t>
  </si>
  <si>
    <t>7.10108959120002</t>
  </si>
  <si>
    <t>DẦU OLEIN TINH LUYỆN HIỆU SATELLITE TRONG CAN 25KG</t>
  </si>
  <si>
    <t>SATELLITE-OL1008 JRG @25 KG</t>
  </si>
  <si>
    <t>7.45105003010500</t>
  </si>
  <si>
    <t>DẦU ĐẬU NÀNH NHÃN HIỆU SIMPLY 1L</t>
  </si>
  <si>
    <t>CO-SIMPLY SBO 1L X 12 BTL</t>
  </si>
  <si>
    <t>7.1061590330308010</t>
  </si>
  <si>
    <t>SHORTENING NHÃN HIỆU SATELLITE (NHÃN MÀU XANH LÁ)TRONG THÙNG CARTON 25KG</t>
  </si>
  <si>
    <t>SATELLITE SHORT(GREEN LABEL)CARTON@25KG</t>
  </si>
  <si>
    <t>7.451052261200000</t>
  </si>
  <si>
    <t>DẦU ĐẬU NÀNH TINH LUYỆN HIỆU SATELLITE TRONG CAN 25KG</t>
  </si>
  <si>
    <t>SATELLITE RBDSBO IN JERRYCAN @25KG</t>
  </si>
  <si>
    <t>7.704233Q13717001H</t>
  </si>
  <si>
    <t>BỘT GIẶT POWER100 HƯƠNG NƯỚC HOA PHÁP QUYẾN RŨ 2.6KG*5</t>
  </si>
  <si>
    <t>POWER100 PD CHARMINGFRENCH PF 2.6KG*5PCH</t>
  </si>
  <si>
    <t>7.45105008010300</t>
  </si>
  <si>
    <t>DẦU ĐẬU NÀNH NHÃN HIỆU SIMPLY 5L</t>
  </si>
  <si>
    <t>CO-SIMPLY SBO 5L X 4 BTL</t>
  </si>
  <si>
    <t>7.131014591200E30</t>
  </si>
  <si>
    <t>DẦU THỰC VẬT CHO ĐẦU BẾP CHUYÊN NGHIỆP NHÃN HIỆU SATELLITE ĐÓNG TRONG CAN 25KG</t>
  </si>
  <si>
    <t>SATELLITE VEG.OIL FOR PRO.CHEF INJC@25KG</t>
  </si>
  <si>
    <t>7.131103D11705P20</t>
  </si>
  <si>
    <t>DẦU THỰC VẬT HẢO HẠNG NHÃN HIỆU ORCHID 880ML</t>
  </si>
  <si>
    <t>ORCHID PR 99.5%ROL+0.5%SBO 0.88L*12BTL</t>
  </si>
  <si>
    <t>7.707705P42817000H</t>
  </si>
  <si>
    <t>NƯỚC GIẶT XẢ POWER100 HƯƠNG NƯỚC HOA PHÁP QUYẾN RŨ 3.4KG*4</t>
  </si>
  <si>
    <t>POWER100 LDCHARMINGFRNCPERFUME3.4KG*4BTL</t>
  </si>
  <si>
    <t>7.707664652817000H</t>
  </si>
  <si>
    <t>NƯỚC LAU SÀN POWER100 TINH DẦU CHANH SẢ 3.5KG*4</t>
  </si>
  <si>
    <t>POWER100 FC LEMONGRASS ESSENTIAL OIL 3.5KG*4BTL</t>
  </si>
  <si>
    <t>6.1212A98</t>
  </si>
  <si>
    <t>DẦU OLEIN CỌ TINH LUYỆN TRONG XE BỒN (TTP/LC1)</t>
  </si>
  <si>
    <t>RE-REFINED PALM OLEIN (TTP/LC1)</t>
  </si>
  <si>
    <t>7.707583N528174000</t>
  </si>
  <si>
    <t>NƯỚC RỬA CHÉN POWER100 TIẾT KIỆM HƯƠNG CHANH 9.0KG</t>
  </si>
  <si>
    <t>POWER100 SAVING DWL LEMON BTL @9KG</t>
  </si>
  <si>
    <t>7.131087041704H10</t>
  </si>
  <si>
    <t>DẦU ĂN THƯỢNG HẠNG NHÃN HIỆU NEPTUNE LIGHT 2L</t>
  </si>
  <si>
    <t>CO-NEPTUNE LIGHT 2L X 6 BTL</t>
  </si>
  <si>
    <t>7.131078041704E10</t>
  </si>
  <si>
    <t>DẦU ĂN CAO CẤP NHÃN HIỆU MEIZAN GOLD 2L</t>
  </si>
  <si>
    <t>CO-MEIZAN GOLD 2L X 6 BTL</t>
  </si>
  <si>
    <t>7.131103281705P20</t>
  </si>
  <si>
    <t>DẦU THỰC VẬT HẢO HẠNG NHÃN HIỆU ORCHID 1L</t>
  </si>
  <si>
    <t>ORCHID PR 99.5%ROLIV56+0.5%SBO 1L*12BTL</t>
  </si>
  <si>
    <t>7.101307591201C20</t>
  </si>
  <si>
    <t>ORCHID S PR ROL IV58 IN JERRYCAN@25KG</t>
  </si>
  <si>
    <t>7.475056171704020</t>
  </si>
  <si>
    <t>DẦU Ô-LIU POMACE NHÃN HIỆU OLIVOILÀ 750ML</t>
  </si>
  <si>
    <t>CO-OLIVOILA POMACE OLIVE OIL 750ML*6BTL</t>
  </si>
  <si>
    <t>7.707707P53717000H</t>
  </si>
  <si>
    <t>NƯỚC RỬA CHÉN POWER100 TIẾT KIỆM HƯƠNG TRÀ XANH LÔ HỘI 3.2KG*4 TÚI</t>
  </si>
  <si>
    <t>POWER100 DWL SVG GREENTEAALOE 3.2KG*4PCH</t>
  </si>
  <si>
    <t>7.131103B11704P20</t>
  </si>
  <si>
    <t>DẦU THỰC VẬT HẢO HẠNG NHÃN HIỆU ORCHID 2L</t>
  </si>
  <si>
    <t>ORCHID PR 99.5%ROLIV56+0.5%SBO 2L*6BTL</t>
  </si>
  <si>
    <t>7.707712O63717000C</t>
  </si>
  <si>
    <t>NƯỚC XẢ VẢI POWER100 PERFUMERY PEONY BLOSSOM 2L*6</t>
  </si>
  <si>
    <t>POWER100 FS PF PEONYBLOSSSOM 2L*6PCH</t>
  </si>
  <si>
    <t>7.707713R82017001K</t>
  </si>
  <si>
    <t>NƯỚC XẢ VẢI POWER100 EXTRA MILKY 20ML*360</t>
  </si>
  <si>
    <t>POWER100 FS EXTRA MILKY 20ML*360SCH</t>
  </si>
  <si>
    <t>7.704712R82017001K</t>
  </si>
  <si>
    <t>NƯỚC XẢ VẢI POWER100 PERFUMERY PEONY BLOSSOM 20ML*360</t>
  </si>
  <si>
    <t>POWER100 FS PF PEONYBLOSSSOM 20ML*360SCH</t>
  </si>
  <si>
    <t>7.704D62R63717001J</t>
  </si>
  <si>
    <t>VIÊN GIẶT TIỆN LỢI POWER100 3 TRONG 1 HƯƠNG TƯƠI MÁT 15G*4*170 TÚI</t>
  </si>
  <si>
    <t>POWER100 LP 3IN1 FRESH 4PODS@15G*170PCH</t>
  </si>
  <si>
    <t>7.1070120201608010</t>
  </si>
  <si>
    <t>BƠ THỰC VẬT ĐA DỤNG NHÃN HIỆU MEIZAN TRONG THÙNG CARTON 20KG</t>
  </si>
  <si>
    <t>MEIZAN CONFECTIONARY MARGARINE PBAG@20KG</t>
  </si>
  <si>
    <t>7.131010041704O30</t>
  </si>
  <si>
    <t>CAILAN S [70%OL IV58+30%NBDSBO] 2L*6BTL</t>
  </si>
  <si>
    <t>7.45105005010400</t>
  </si>
  <si>
    <t>DẦU ĐẬU NÀNH NHÃN HIỆU SIMPLY 2L</t>
  </si>
  <si>
    <t>CO-SIMPLY SBO 2L X 6 BTL</t>
  </si>
  <si>
    <t>7.707583653717400H</t>
  </si>
  <si>
    <t>NƯỚC RỬA CHÉN POWER100 TIẾT KIỆM HƯƠNG CHANH 3.5KG*4 TÚI</t>
  </si>
  <si>
    <t>POWER100 SAVING DWL LEMON 3.5KG*4PCH</t>
  </si>
  <si>
    <t>7.707664M428170002</t>
  </si>
  <si>
    <t>NƯỚC LAU SÀN POWER100 TINH DẦU CHANH SẢ 990G*12</t>
  </si>
  <si>
    <t>POWER100 FC LG ESSENTIALOIL990G*12BTL</t>
  </si>
  <si>
    <t>7.707713O63717000C</t>
  </si>
  <si>
    <t>NƯỚC XẢ VẢI POWER100 EXTRA MILKY 2L*6</t>
  </si>
  <si>
    <t>POWER100 FS EXTRA MILKY 2L X 6PCH</t>
  </si>
  <si>
    <t>7.458051B51705000</t>
  </si>
  <si>
    <t>DẦU HƯỚNG DƯƠNG NHÃN HIỆU MEIZAN 1L</t>
  </si>
  <si>
    <t>MEIZAN RBD SFO 1L(0.91KG) X 12 BTL</t>
  </si>
  <si>
    <t>7.460050030105030</t>
  </si>
  <si>
    <t>DẦU GẠO LỨT NHÃN HIỆU SIMPLY 1L</t>
  </si>
  <si>
    <t>SIMPLY RBDRBO 1L X 12 BTL</t>
  </si>
  <si>
    <t>7.131010031705O30</t>
  </si>
  <si>
    <t>CAILAN S [70%OL IV58+30%NBDSBO] 1L*12BTL</t>
  </si>
  <si>
    <t>7.131104281705P10</t>
  </si>
  <si>
    <t>ORCHID S PR 75%ROL+25%SBO 1L*12BTL</t>
  </si>
  <si>
    <t>7.723025010100000</t>
  </si>
  <si>
    <t>CHẤT HOẠT ĐỘNG BỀ MẶT MES (METHYL ESTER SULFONATE) DẠNG VẢY NHÃN HIỆU MIZULAN FL-80; BAO 25KG</t>
  </si>
  <si>
    <t>MES MIZULAN FL-80 IN PAPER BAG @25KG</t>
  </si>
  <si>
    <t>7.707587L82817000A</t>
  </si>
  <si>
    <t>NƯỚC LAU KÍNH POWER100 HƯƠNG BẠC HÀ 500ML*24</t>
  </si>
  <si>
    <t>POWER100 GLASS CLEANER MINT 500ML*24BTL</t>
  </si>
  <si>
    <t>7.460050B91704030</t>
  </si>
  <si>
    <t>DẦU GẠO LỨT NHÃN HIỆU SIMPLY 2L</t>
  </si>
  <si>
    <t>SIMPLY RBDRBO 2L X 6BTL</t>
  </si>
  <si>
    <t>7.131010061703O30</t>
  </si>
  <si>
    <t>DẦU THỰC VẬT HẢO HẠNG NHÃN HIỆU CÁI LÂN 5L</t>
  </si>
  <si>
    <t>CAILAN S [70%OL IV58+30%NBDSBO] 5L*4BTL</t>
  </si>
  <si>
    <t>6.1212B64</t>
  </si>
  <si>
    <t>DẦU OLEIN CỌ TINH LUYỆN TRONG XE BỒN(LC)</t>
  </si>
  <si>
    <t>RE-REFINED PALM OLEIN (LC)</t>
  </si>
  <si>
    <t>7.131105031705P50</t>
  </si>
  <si>
    <t>DẦU ĂN THƯỢNG HẠNG NHÃN HIỆU NEPTUNE OLIVE LIGHT 1L</t>
  </si>
  <si>
    <t>NEPTUNE OLIVELIGHT(RBO+EVOOCOI+)1LX12BTL</t>
  </si>
  <si>
    <t>7.131105041704P50</t>
  </si>
  <si>
    <t>DẦU ĂN THƯỢNG HẠNG NHÃN HIỆU NEPTUNE OLIVE LIGHT 2L</t>
  </si>
  <si>
    <t>NEPTUNE OLIVE LIGHT(RBO+EVOOCOI+)2LX6BTL</t>
  </si>
  <si>
    <t>N04.0018006.00445</t>
  </si>
  <si>
    <t>HỘP THỦY TINH VUÔNG NIKKO 520ML</t>
  </si>
  <si>
    <t>PROMOTIONAL STUFF, TYPE:GLASS CONTAINER, MATERIAL:GLASS, PP PLASTIC, SILICONE, SIZE:138 X 138 X 67 MM, MARKING:NEPTUNE, ADDITIONAL DETAILS:VIETNAM MARKET</t>
  </si>
  <si>
    <t>PC</t>
  </si>
  <si>
    <t>7.45805003010500</t>
  </si>
  <si>
    <t>DẦU HƯỚNG DƯƠNG NHÃN HIỆU SIMPLY 1L</t>
  </si>
  <si>
    <t>CO-SIMPLY SFO 1L X 12 BTL</t>
  </si>
  <si>
    <t>7.45105105010400</t>
  </si>
  <si>
    <t>DẦU ĐẬU NÀNH NHÃN HIỆU MEIZAN 2L</t>
  </si>
  <si>
    <t>CO-MEIZAN SBO 2L X 6 BTL</t>
  </si>
  <si>
    <t>7.45105108010300</t>
  </si>
  <si>
    <t>DẦU ĐẬU NÀNH NHÃN HIỆU MEIZAN 5L</t>
  </si>
  <si>
    <t>CO-MEIZAN SBO 5L X 4 BTL</t>
  </si>
  <si>
    <t>7.451050440106000</t>
  </si>
  <si>
    <t>DẦU ĐẬU NÀNH NHÃN HIỆU SIMPLY 400 ML</t>
  </si>
  <si>
    <t>CO-SIMPLY SBO 0.4L X 24 BTL</t>
  </si>
  <si>
    <t>7.131104A41703P10</t>
  </si>
  <si>
    <t>ORCHID S PR 75%ROL+25%SBO 5L*4BTL</t>
  </si>
  <si>
    <t>7.131010591201O40</t>
  </si>
  <si>
    <t>CAILAN S PREMVEGOIL(100%OLIV56) JRG@25KG</t>
  </si>
  <si>
    <t>7.45105279090100</t>
  </si>
  <si>
    <t>DẦU ĐẬU NÀNH TINH LUYỆN HIỆU SATELLITE TRONG TÚI BÓNG 18 KG</t>
  </si>
  <si>
    <t>SATELLITE-SBO BIB @18 KG</t>
  </si>
  <si>
    <t>7.101089580800910</t>
  </si>
  <si>
    <t>DẦU CỌ CHUYÊN DỤNG NHÃN HIỆU SATELLITE 20KG</t>
  </si>
  <si>
    <t>SATELLITE TEXTURIZED RBDPO CARTON@20KG</t>
  </si>
  <si>
    <t>7.704236E03717000H</t>
  </si>
  <si>
    <t>NƯỚC GIẶT POWER100 8 TRONG 1 HƯƠNG THUẦN KHIẾT 2.5KG*4 TÚI</t>
  </si>
  <si>
    <t>POWER100 LD PLATONIC 8IN1 2.5KG X 4PCH</t>
  </si>
  <si>
    <t>7.704237E03717000H</t>
  </si>
  <si>
    <t>NƯỚC GIẶT POWER100 8 TRONG 1 HƯƠNG THANH LỊCH 2.5KG*4 TÚI</t>
  </si>
  <si>
    <t>POWER100 LD ELEGANT 8IN1 2.5KG X 4PCH</t>
  </si>
  <si>
    <t>7.101172570901A00</t>
  </si>
  <si>
    <t>DẦU OLEIN TINH LUYỆN HIỆU SATELLITE TRONG TÚI BÓNG 18KG (RSPO/MB)</t>
  </si>
  <si>
    <t>SATELLITE RED RPOIV 58-61RSPOMB BIB@18KG</t>
  </si>
  <si>
    <t>7.1060140333708010</t>
  </si>
  <si>
    <t>SHORTENING HIỆU SATELLITE 25 KG (RSPO/MB)</t>
  </si>
  <si>
    <t>SATELLITE SHT 47-52 PE BAG@25KG/RSPO MB</t>
  </si>
  <si>
    <t>7.707664N52817000X</t>
  </si>
  <si>
    <t>NƯỚC LAU SÀN POWER100 TINH DẦU CHANH SẢ 9.0KG*2</t>
  </si>
  <si>
    <t>POWER100FCLEMONGRASSESSENTIALOIL9KG*2BTL</t>
  </si>
  <si>
    <t>7.707662N52817000X</t>
  </si>
  <si>
    <t>NƯỚC RỬA CHÉN POWER100 TINH DẦU CHANH 9.0KG*2</t>
  </si>
  <si>
    <t>POWER100 DWLLEMON ESSENTIALOIL 9KG*2BTL</t>
  </si>
  <si>
    <t>7.707663N52817000X</t>
  </si>
  <si>
    <t>NƯỚC LAU SÀN POWER100 TINH DẦU HOA THIÊN NHIÊN 9.0KG*2</t>
  </si>
  <si>
    <t>POWER100 FC FLORAL ESSENTIALOIL 9KG*2BTL</t>
  </si>
  <si>
    <t>7.131087121706H10</t>
  </si>
  <si>
    <t>DẦU ĂN THƯỢNG HẠNG NHÃN HIỆU NEPTUNE LIGHT 400ML</t>
  </si>
  <si>
    <t>CO-NEPTUNE LIGHT 400ML X 24 BTL</t>
  </si>
  <si>
    <t>7.1070120201508010</t>
  </si>
  <si>
    <t>BƠ THỰC VẬT CAO CẤP NHÃN HIỆU MEIZAN 20KG</t>
  </si>
  <si>
    <t>MEIZAN SUPERIOR MARGARINE(RED) PBG@20KG</t>
  </si>
  <si>
    <t>7.131036560800D60</t>
  </si>
  <si>
    <t>DẦU BƠ THAY THẾ ĐA DỤNG NHÃN HIỆU ORCHIRD TRONG THÙNG 15KG</t>
  </si>
  <si>
    <t>ORCHID BOS PINK IN PEBAG@15KG</t>
  </si>
  <si>
    <t>7.107033089153300</t>
  </si>
  <si>
    <t>DẦU BƠ THAY THẾ NHÃN HIỆU ORCHIRD (NHÃN MÀU VÀNG) TRONG THÙNG NHỰA 18KG</t>
  </si>
  <si>
    <t>ORCHID BOS IN PLASTIC BUCKET @18 KG</t>
  </si>
  <si>
    <t>7.706102031501200</t>
  </si>
  <si>
    <t>PHỤ GIA THỰC PHẨM GLYXERIN TINH KHIẾT 99,7% - WILFARIN, ĐÓNG TRONG PHUY SẮT 250KG</t>
  </si>
  <si>
    <t>WILFARIN REFGLYCERINE99.7 STEELDRM@250KG</t>
  </si>
  <si>
    <t>7.704229N528170019</t>
  </si>
  <si>
    <t>NƯỚC GIẶT XẢ POWER100 HƯƠNG NƯỚC HOA PHÁP ĐAM MÊ 9.0KG*2</t>
  </si>
  <si>
    <t>POWER100 LD PASSION FRENCH 9KG X 2BTL</t>
  </si>
  <si>
    <t>7.131005E41702C50</t>
  </si>
  <si>
    <t>DẦU THỰC VẬT CAO CẤP NHÃN HIỆU MEIZAN 9KG</t>
  </si>
  <si>
    <t>MEIZAN COOKING OIL 9KG X 2 BTL</t>
  </si>
  <si>
    <t>7.1070120291508010</t>
  </si>
  <si>
    <t>DẦU BƠ THAY THẾ NHÃN HIỆU MEIZAN 20KG</t>
  </si>
  <si>
    <t>MEIZAN BOS(BROWN) IN PEBAG@20KG</t>
  </si>
  <si>
    <t>7.707662P53717000H</t>
  </si>
  <si>
    <t>NƯỚC RỬA CHÉN POWER100 TINH DẦU CHANH 3.2KG*4 TÚI</t>
  </si>
  <si>
    <t>POWER100 DWLLEMON ESSENTIALOIL3.2KG*4PCH</t>
  </si>
  <si>
    <t>7.704235913717001L</t>
  </si>
  <si>
    <t>BỘT GIẶT POWER100 SAVING 3 TRONG 1 350G*36</t>
  </si>
  <si>
    <t>POWER100 SAVING PD 3IN1 350G X 36PCH</t>
  </si>
  <si>
    <t>7.131009061703O90</t>
  </si>
  <si>
    <t>CAILAN PR VEGOIL(99.5OL+0.5SBO) 5LX4BTL</t>
  </si>
  <si>
    <t>7.131009570901O50</t>
  </si>
  <si>
    <t>DẦU THỰC VẬT HẢO HẠNG NHÃN HIỆU CÁI LÂN (KÍCH CỠ ĐÓNG GÓI LỚN) TRONG TÚI BÓNG 18KG</t>
  </si>
  <si>
    <t>CAILANPREMIUMVEG OIL(100%OLIV58)BIB@18KG</t>
  </si>
  <si>
    <t>7.131087F11702H10</t>
  </si>
  <si>
    <t>DẦU ĂN THƯỢNG HẠNG NHÃN HIỆU NEPTUNE LIGHT 9.8L (9KG)</t>
  </si>
  <si>
    <t>CO-NEPTUNE LIGHT 9.8L X 2 BTL</t>
  </si>
  <si>
    <t>7.707707652817000H</t>
  </si>
  <si>
    <t>NƯỚC RỬA CHÉN POWER100 TIẾT KIỆM HƯƠNG TRÀ XANH LÔ HỘI 3.5KG*4</t>
  </si>
  <si>
    <t>POWER100 DWLSVG GREENTEA ALOE 3.5KG*4BTL</t>
  </si>
  <si>
    <t>7.707707N32817000K</t>
  </si>
  <si>
    <t>NƯỚC RỬA CHÉN POWER100 TIẾT KIỆM HƯƠNG TRÀ XANH LÔ HỘI 1.4KG*8</t>
  </si>
  <si>
    <t>POWER100 DWL SVG GREENTEA ALOE1.4KG*8BTL</t>
  </si>
  <si>
    <t>7.707583F62817400A</t>
  </si>
  <si>
    <t>NRC TIẾT KIỆM HƯƠNG CHANH 400G*24</t>
  </si>
  <si>
    <t>7.7042335937170003</t>
  </si>
  <si>
    <t>BỘT GIẶT POWER100 HƯƠNG NƯỚC HOA PHÁP QUYẾN RŨ 700G*20</t>
  </si>
  <si>
    <t>POWER100 PD CHARMINGFRENCH PF 700G*20PCH</t>
  </si>
  <si>
    <t>7.707583N32817000K</t>
  </si>
  <si>
    <t>NƯỚC RỬA CHÉN POWER100 TIẾT KIỆM HƯƠNG CHANH 1.4KG*8-XK</t>
  </si>
  <si>
    <t>POWER100 SAVING DWL LEMON@1.4KG*8BTL-EX</t>
  </si>
  <si>
    <t>7.707583E92817400N</t>
  </si>
  <si>
    <t>NƯỚC RỬA CHÉN POWER100 TIẾT KIỆM HƯƠNG CHANH 750G*16-XK</t>
  </si>
  <si>
    <t>POWER100 SAVING DWL LEMON 750G*16BTL-EX</t>
  </si>
  <si>
    <t>7.475056081708020</t>
  </si>
  <si>
    <t>DẦU Ô-LIU POMACE NHÃN HIỆU OLIVOILÀ 5L</t>
  </si>
  <si>
    <t>7.131078121706H60</t>
  </si>
  <si>
    <t>DẦU ĂN CAO CẤP NHÃN HIỆU MEIZAN GOLD 400 ML</t>
  </si>
  <si>
    <t>MEIZAN GOLD 0.4L X 24BTL</t>
  </si>
  <si>
    <t>7.707662F62817000A</t>
  </si>
  <si>
    <t>NƯỚC RỬA CHÉN POWER100 TINH DẦU CHANH 400G*24</t>
  </si>
  <si>
    <t>POWER100 DWLLEMON ESSENTIALOIL400G*24BTL</t>
  </si>
  <si>
    <t>7.707662E92817000N</t>
  </si>
  <si>
    <t>NƯỚC RỬA CHÉN POWER100 TINH DẦU CHANH 750G*16</t>
  </si>
  <si>
    <t>POWER100 DWLLEMON ESSENTIALOIL750G*16BTL</t>
  </si>
  <si>
    <t>7.45105003170000</t>
  </si>
  <si>
    <t>CO-SIMPLY SBO  BTL @ 1L-KM</t>
  </si>
  <si>
    <t>7.707704N22817000H</t>
  </si>
  <si>
    <t>NLK ĐA NĂNG POWER100 HƯƠNG BẠC HÀ 3.8L*4</t>
  </si>
  <si>
    <t>7.707663M428170002</t>
  </si>
  <si>
    <t>NLS TINH DẦU HOA THIÊN NHIÊN 990G*12</t>
  </si>
  <si>
    <t>7.707710N32817000K</t>
  </si>
  <si>
    <t>NƯỚC RỬA CHÉN POWER100 TINH CHẤT LÔ HỘI 1.4KG*8</t>
  </si>
  <si>
    <t>POWER100 NTRL DWL ALOEVERA EO 1.4KG*8BTL</t>
  </si>
  <si>
    <t>7.707710E92817000N</t>
  </si>
  <si>
    <t>NƯỚC RỬA CHÉN POWER100 NATURAL TINH CHẤT LÔ HỘI 750G*16</t>
  </si>
  <si>
    <t>POWER100 NTRL DWL ALOEVERA EO 750G*16BTL</t>
  </si>
  <si>
    <t>7.707711953717000C</t>
  </si>
  <si>
    <t>NƯỚC RỬA CHÉN POWER100 NATURAL TINH DẦU BƯỞI TÂY 2KG*6 TÚI-V</t>
  </si>
  <si>
    <t>POWER100 NTRL DWL GRAPEFRUIT EO 2KG*6PCH-V</t>
  </si>
  <si>
    <t>7.1070120803408010</t>
  </si>
  <si>
    <t>BƠ THỰC VẬT CAO CẤP HIỆU MEIZAN TRONG THÙNG 18KG (MÀU XANH )</t>
  </si>
  <si>
    <t>MEIZAN MARGARINE MP 42-44 IN PEBAG@18KG</t>
  </si>
  <si>
    <t>7.45105044170000</t>
  </si>
  <si>
    <t>CO-SIMPLY SBO BTL @ 0.4L</t>
  </si>
  <si>
    <t>7.45105008170000</t>
  </si>
  <si>
    <t>CO-SIMPLY SBO  BTL @ 5L</t>
  </si>
  <si>
    <t>7.45805003170000</t>
  </si>
  <si>
    <t>CO-SIMPLY SFO BTL @ 1L</t>
  </si>
  <si>
    <t>7.458050051700000</t>
  </si>
  <si>
    <t>SIMPLY SFO IN BOTTLE @2L</t>
  </si>
  <si>
    <t>7.45705003170000</t>
  </si>
  <si>
    <t>CO-SIMPLY CANOLA  BTL @ 1L</t>
  </si>
  <si>
    <t>7.101089570901890</t>
  </si>
  <si>
    <t>DẦU OLEIN CỌ TINH LUYỆN - B NHÃN HIỆU SATELLITE TRONG TÚI BÓNG 18KG</t>
  </si>
  <si>
    <t>SATELLITE-OL1008 + BHT BIB @18KG</t>
  </si>
  <si>
    <t>7.74100814070000</t>
  </si>
  <si>
    <t>CHẤT HOẠT ĐỘNG BỀ MẶT - SODIUM LAURYL SULPHATE ĐÓNG TRONG BAO 25KG</t>
  </si>
  <si>
    <t>SLS POWDER IN PAPER BAG @25KG</t>
  </si>
  <si>
    <t>7.707710F62817000A</t>
  </si>
  <si>
    <t>NƯỚC RỬA CHÉN POWER100 NATURAL TINH CHẤT LÔ HỘI 400G*24</t>
  </si>
  <si>
    <t>POWER100 NTRL DWL ALOEVERA EO 400G*24BTL</t>
  </si>
  <si>
    <t>7.131104F01703P10</t>
  </si>
  <si>
    <t>ORCHID S PR 75%ROLIV58+25%SBO 4.5L*4BTL</t>
  </si>
  <si>
    <t>N04.0018006.00306</t>
  </si>
  <si>
    <t>KỆ SẮT POWER100</t>
  </si>
  <si>
    <t>PROMOTIONAL STUFF,DISPLAY STAND SHELF,PO</t>
  </si>
  <si>
    <t>N04.0018001.00085</t>
  </si>
  <si>
    <t>TÚI VẢI ĐAY OLIVOILÀ</t>
  </si>
  <si>
    <t>BAG, TYPE:TOTE/GOODIE, MATERIAL:BLENDED JUTE FABRIC, SIZE:W. 30 X D. 9.2 X H. 36 CM, ADDITIONAL DETAILS:ROUND ROPE HANDLE, OLIVOILÀ</t>
  </si>
  <si>
    <t>7.704D63R537170001</t>
  </si>
  <si>
    <t>VIÊN GIẶT TIỆN LỢI POWER100 3 TRONG 1 HƯƠNG TINH TẾ 15G*34*10 TÚI</t>
  </si>
  <si>
    <t>POWER100 LP 3IN1DELICATE 34POD@15G*10PCH</t>
  </si>
  <si>
    <t>7.704D62R537170001</t>
  </si>
  <si>
    <t>VIÊN GIẶT TIỆN LỢI POWER100 3 TRONG 1 HƯƠNG TƯƠI MÁT 15G*34*10 TÚI</t>
  </si>
  <si>
    <t>POWER100 LP 3IN1 FRESH 34PODS@15G*10PCH</t>
  </si>
  <si>
    <t>7.1060140429608010</t>
  </si>
  <si>
    <t>SHORTENING NHÃN HIỆU SATELLITE 16KG</t>
  </si>
  <si>
    <t>SATELLITE SHORTENING (RED)IN CARTON 16KG</t>
  </si>
  <si>
    <t>7.1060140239008010</t>
  </si>
  <si>
    <t>SHORTENING NHÃN HIỆU SATELLITE 20KG</t>
  </si>
  <si>
    <t>SATELLITE SHT MP 48-51 IV 43 PEBAG@20KG</t>
  </si>
  <si>
    <t>7.101089570901880</t>
  </si>
  <si>
    <t>DẦU OLEIN CỌ TINH LUYỆN – A NHÃN HIỆU SATELLITE TRONG TÚI BÓNG 18KG</t>
  </si>
  <si>
    <t>SATELLITE-OL1008 + TOCOPHEROL BIB @18KG</t>
  </si>
  <si>
    <t>7.706102173201200</t>
  </si>
  <si>
    <t>PHỤ GIA THỰC PHẨM GLYXERIN TINH KHIẾT 99,7% WILFARIN - ĐÓNG TRONG CAN 30KG</t>
  </si>
  <si>
    <t>WILFARIN REFINED GLYCERINE 99.7% IN JERRY CAN 30KG</t>
  </si>
  <si>
    <t>7.1070123001852230</t>
  </si>
  <si>
    <t>MEIZAN MARGARINEMP44MAX 80GRX60 OVALTUBE</t>
  </si>
  <si>
    <t>6.4510700</t>
  </si>
  <si>
    <t>DẦU ĐẬU NÀNH TINH LUYỆN TRONG XE BỒN</t>
  </si>
  <si>
    <t>NBD SOYA BEAN OIL</t>
  </si>
  <si>
    <t>6.1212A64</t>
  </si>
  <si>
    <t>DẦU OLEIN CỌ TINH LUYỆN TRONG XE BỒN (RSPO/MB)</t>
  </si>
  <si>
    <t>REFINED PALM OLEIN IV 58-61/RSPO MB</t>
  </si>
  <si>
    <t>7.707583E928174002</t>
  </si>
  <si>
    <t>NƯỚC RỬA CHÉN POWER100 TIẾT KIỆM HƯƠNG CHANH 750G*12</t>
  </si>
  <si>
    <t>POWER100 SAVING DWL LEMON 750G*12BTL</t>
  </si>
  <si>
    <t>7.7040800101012000</t>
  </si>
  <si>
    <t>PHÔI XÀ PHÒNG - WILFARIN SN8020; BAO GIẤY 25KG</t>
  </si>
  <si>
    <t>WILFARIN SN8020 IN PAPERBAG@25KG</t>
  </si>
  <si>
    <t>7.101089591200A80</t>
  </si>
  <si>
    <t>DẦU OLEIN TINH LUYỆN HIỆU SATELLITE TRONG CAN 25KG (RSPO/MB)</t>
  </si>
  <si>
    <t>SATELLITE RBD OL1008 JRG @25KG/RSPO MB</t>
  </si>
  <si>
    <t>7.703004010500500</t>
  </si>
  <si>
    <t>AXIT STEARIC - WILFARIN SA1804; BAO NHỰA 25KG</t>
  </si>
  <si>
    <t>WILFARIN SA1804 IN WOVENBAG@25KG</t>
  </si>
  <si>
    <t>7.707710953717000C</t>
  </si>
  <si>
    <t>NƯỚC RỬA CHÉN POWER100 NATURAL TINH CHẤT LÔ HỘI 2.0KG*6 TÚI</t>
  </si>
  <si>
    <t>POWER100 NTRL DWL ALOEVERA EO 2KG*6BTL</t>
  </si>
  <si>
    <t>7.707586N32817000K</t>
  </si>
  <si>
    <t>NƯỚC RỬA CHÉN POWER100 HƯƠNG TRÀ XANH 1.4KG*8</t>
  </si>
  <si>
    <t>POWER100 DWL GREENTEA 1.4KG*8BTL</t>
  </si>
  <si>
    <t>7.74132917020000</t>
  </si>
  <si>
    <t>CHẤT HOẠT ĐỘNG BỀ MẶT AEO-9 MOL; PHUY SẮT 200KG</t>
  </si>
  <si>
    <t>FAL1214 ETHOXYLATED 9MOL STEELDRM@200KG</t>
  </si>
  <si>
    <t>7.707583F62817400G</t>
  </si>
  <si>
    <t>NƯỚC RỬA CHÉN POWER100 TIẾT KIỆM HƯƠNG CHANH 400G*28</t>
  </si>
  <si>
    <t>POWER100 SAVING DWL LEMON 400G*28BOTTLE</t>
  </si>
  <si>
    <t>7.707711N32817000K</t>
  </si>
  <si>
    <t>NƯỚC RỬA CHÉN POWER100 NATURAL TINH DẦU BƯỞI TÂY 1.4KG*8</t>
  </si>
  <si>
    <t>POWER100 NTRLDWLGRAPEFRUIT EO 1.4KG*8BTL</t>
  </si>
  <si>
    <t>7.131104B11704P10</t>
  </si>
  <si>
    <t>ORCHID S PR 75%ROL+25%SBO 2L*6BTL</t>
  </si>
  <si>
    <t>2000000005</t>
  </si>
  <si>
    <t>7.522H850305201320</t>
  </si>
  <si>
    <t>Nui cao cấp meizan - ống dài 8kg</t>
  </si>
  <si>
    <t>2000000007</t>
  </si>
  <si>
    <t>7.5221125707Y0223</t>
  </si>
  <si>
    <t>BỘT CHIÊN GIÒN MEIZAN 150G X 60 GÓI</t>
  </si>
  <si>
    <t>MEIZAN CRISPY FRYING MIX 150G X 60BAG</t>
  </si>
  <si>
    <t>7.522H850300101020</t>
  </si>
  <si>
    <t>NUI CAO CẤP MEIZAN 200G X 24 GÓI</t>
  </si>
  <si>
    <t>MEIZAN MACARONI LONG TUBE 200G*24BAG</t>
  </si>
  <si>
    <t>7.5221120707Y0210</t>
  </si>
  <si>
    <t>BỘT CHIÊN GIÒN MEIZAN 1KG X 10 GÓI</t>
  </si>
  <si>
    <t>MEIZAN CRISPY FRYING MIX 1KG X 10BAG</t>
  </si>
  <si>
    <t>7.522H850301201140</t>
  </si>
  <si>
    <t>NUI CAO CẤP MEIZAN 400G X 12 GÓI</t>
  </si>
  <si>
    <t>MEIZAN MACARONI LONG TUBE 400G*12BAG</t>
  </si>
  <si>
    <t>7.55601041671206</t>
  </si>
  <si>
    <t>BỘT BẮP MEIZAN 1KG X 10 GÓI</t>
  </si>
  <si>
    <t>MEIZAN CORN STARCH 1KG X 10 PLASTIC BAG</t>
  </si>
  <si>
    <t>7.522B850640701140</t>
  </si>
  <si>
    <t>MÌ TRỨNG CAO CẤP MEIZAN 500G X 12 GÓI</t>
  </si>
  <si>
    <t>MEIZAN PREMIUM EGG NOODLE 500G X 12BAG</t>
  </si>
  <si>
    <t>7.5221125707Z0206</t>
  </si>
  <si>
    <t>BỘT CHIÊN GIÒN MEIZAN ĐÃ NÊM SẴN GIA VỊ 150G X 24 GÓI</t>
  </si>
  <si>
    <t>MEIZAN SEASONED CRISPY FRYMIX 150G*24BAG</t>
  </si>
  <si>
    <t>7.522H850041201140</t>
  </si>
  <si>
    <t>NUI CAO CẤP MEIZAN - CHỮ "C" 400G X 12 GÓI</t>
  </si>
  <si>
    <t>MEIZAN MACARONI ELBOW 400G X 12BAG</t>
  </si>
  <si>
    <t>7.55601010672006</t>
  </si>
  <si>
    <t>BỘT BẮP MEIZAN 150G X 22 GÓI</t>
  </si>
  <si>
    <t>MEIZAN CORN STARCH 150G X 22 PLASTIC BAG</t>
  </si>
  <si>
    <t>7.585D130830080110</t>
  </si>
  <si>
    <t>BÁNH TRÁNG MEIZAN 120G</t>
  </si>
  <si>
    <t>MEIZAN RICE PAPER ROLL 120G X 40BAG</t>
  </si>
  <si>
    <t>7.5221450707Y0210</t>
  </si>
  <si>
    <t>BỘT CHIÊN GIÒN LA BÀN 1KG X 10 GÓI</t>
  </si>
  <si>
    <t>COMPASS CRISPY FRYING MIX 1KG X 10BAG</t>
  </si>
  <si>
    <t>7.522B850648101020</t>
  </si>
  <si>
    <t>MÌ TRỨNG CAO CẤP MEIZAN 250G X 24 GÓI</t>
  </si>
  <si>
    <t>MEIZAN PREMIUM EGG NOODLE 250G X 24BAG</t>
  </si>
  <si>
    <t>7.522H850240101020</t>
  </si>
  <si>
    <t>NUI CAO CẤP MEIZAN - HÌNH SAO 200G X 24 GÓI</t>
  </si>
  <si>
    <t>MEIZAN MACARONI STELLINE 200G X 24BAG</t>
  </si>
  <si>
    <t>7.522H850280101020</t>
  </si>
  <si>
    <t>NUI RAU CỦ CAO CẤP MEIZAN - CHỮ "C" 200G X 24 GÓI</t>
  </si>
  <si>
    <t>MEIZAN VEG MACARONI ELBOW 200G X 24BAG</t>
  </si>
  <si>
    <t>7.5221125707Y0206</t>
  </si>
  <si>
    <t>BỘT CHIÊN GIÒN MEIZAN 150G X 24 GÓI</t>
  </si>
  <si>
    <t>MEIZAN CRISPY FRYING MIX 150G X 24BAG</t>
  </si>
  <si>
    <t>7.522B856160701140</t>
  </si>
  <si>
    <t>MÌ TRỨNG CAO CẤP MEIZAN - SỢI NHỎ 500G X 12 GÓI</t>
  </si>
  <si>
    <t>MEIZAN THINROUNDSTRING NOODLE 500G*12BAG</t>
  </si>
  <si>
    <t>7.522112732350205</t>
  </si>
  <si>
    <t>BỘT GẠO MEIZAN 400G X 12 GÓI</t>
  </si>
  <si>
    <t>MEIZAN RICE FLOUR 400G X 12BAG</t>
  </si>
  <si>
    <t>7.01410721050205</t>
  </si>
  <si>
    <t>BỘT NĂNG ĐA DỤNG MEIZAN 400G X 12 GÓI</t>
  </si>
  <si>
    <t>MEIZAN ALLPURP TAPIOCA STARCH 400G*12BAG</t>
  </si>
  <si>
    <t>7.522H850040101020</t>
  </si>
  <si>
    <t>NUI CAO CẤP MEIZAN - CHỮ "C" 200G X 24 GÓI</t>
  </si>
  <si>
    <t>MEIZAN MACARONI ELBOW 200G X 24BAG</t>
  </si>
  <si>
    <t>7.522H850251401140</t>
  </si>
  <si>
    <t>NUI CAO CẤP MEIZAN - HÌNH XOẮN 300G X 12 GÓI</t>
  </si>
  <si>
    <t>MEIZAN MACARONI SPIRAL 300G X 12BAG</t>
  </si>
  <si>
    <t>7.522H860110780020</t>
  </si>
  <si>
    <t>MÌ SPAGHETTI OLIVOILÀ N.5 500G X 24 GÓI</t>
  </si>
  <si>
    <t>OLIVOILA SPAGHETTI N.5 500G X 24 ZIPPBAG</t>
  </si>
  <si>
    <t>7.522H860110765160</t>
  </si>
  <si>
    <t>MÌ SPAGHETTI OLIVOILÀ N.5 500G X 18 HỘP</t>
  </si>
  <si>
    <t>OLIVOILA SPAGHETTI N.5 500G X 18BOX</t>
  </si>
  <si>
    <t>7.090026641990913</t>
  </si>
  <si>
    <t>BỘT BÁNH XÈO MEIZAN 400G X 12 GÓI</t>
  </si>
  <si>
    <t>MEIZAN VIETNAMESE PANCAKE MIX 400G*12BAG</t>
  </si>
  <si>
    <t>7.522H850271201140</t>
  </si>
  <si>
    <t>NUI GẠO CAO CẤP MEIZAN - ỐNG DÀI 400G X 12 GÓI</t>
  </si>
  <si>
    <t>MEIZAN RICEMACARONI LONGTUBE 400G*12BAG</t>
  </si>
  <si>
    <t>7.522H870040803000</t>
  </si>
  <si>
    <t>NUI LA BÀN ĐỎ - CHỮ "C" 10KG</t>
  </si>
  <si>
    <t>RED COMPASS MACARONI ELBOW WOVENBAG@10KG</t>
  </si>
  <si>
    <t>BAG</t>
  </si>
  <si>
    <t>7.522H870300803000</t>
  </si>
  <si>
    <t>NUI LA BÀN ĐỎ - ỐNG DÀI 10KG</t>
  </si>
  <si>
    <t>REDCOMPASS MACARONILONGTUBE WOVENBG@10KG</t>
  </si>
  <si>
    <t>7.522B856181401020</t>
  </si>
  <si>
    <t>BÚN TƯƠI MEIZAN 300G X 24 GÓI</t>
  </si>
  <si>
    <t>MEIZAN RICE VERMICELLI 300G X 24BAG</t>
  </si>
  <si>
    <t>7.522112732590205</t>
  </si>
  <si>
    <t>BỘT NẾP MEIZAN 400G X 12 GÓI</t>
  </si>
  <si>
    <t>MEIZAN GLUTINOUS RICE FLOUR 400G*12BAG</t>
  </si>
  <si>
    <t>7.5221125707Z0223</t>
  </si>
  <si>
    <t>BỘT CHIÊN GIÒN MEIZAN ĐÃ NÊM SẴN GIA VỊ 150G X 60 GÓI</t>
  </si>
  <si>
    <t>MEIZAN SEASONED CRISPYFRYMIX 150G*60BAG</t>
  </si>
  <si>
    <t>7.01410701050101</t>
  </si>
  <si>
    <t>BỘT NĂNG ĐA DỤNG MEIZAN 10KG</t>
  </si>
  <si>
    <t>MEIZAN ALL PURP TAPIOCA STARCH BAG@10KG</t>
  </si>
  <si>
    <t>7.522B856170701140</t>
  </si>
  <si>
    <t>MÌ TRỨNG CAO CẤP MEIZAN - SỢI DẸT 500G X 12 GÓI</t>
  </si>
  <si>
    <t>MEIZAN EGGNOODLE FLATSTRING 500G*12BAG</t>
  </si>
  <si>
    <t>7.522B856158101140</t>
  </si>
  <si>
    <t>MÌ CHAY CAO CẤP MEIZAN 250G X 12 GÓI</t>
  </si>
  <si>
    <t>MEIZAN PREMIUM VEG NOODLE 250G X 12BAG</t>
  </si>
  <si>
    <t>7.585D130180080101</t>
  </si>
  <si>
    <t>BÁNH TRÁNG MEIZAN 450G X 20 GÓI</t>
  </si>
  <si>
    <t>MEIZAN RICE PAPER ROLL 450G X 20BAG</t>
  </si>
  <si>
    <t>7.59701568D32202</t>
  </si>
  <si>
    <t>BÁNH PHỒNG TÔM MEIZAN 100G X 50 GÓI</t>
  </si>
  <si>
    <t>MEIZAN PRAWN CRACKER 100G X 50BAG</t>
  </si>
  <si>
    <t>7.01410705050210</t>
  </si>
  <si>
    <t>BỘT NĂNG ĐA DỤNG MEIZAN 1KG</t>
  </si>
  <si>
    <t>MEIZAN ALLPURPOSETAPIOCASTARCH 1KG*10BAG</t>
  </si>
  <si>
    <t>7.522H850260101020</t>
  </si>
  <si>
    <t>NUI GẠO CAO CẤP MEIZAN - CHỮ "C" 200G X 24 GÓI</t>
  </si>
  <si>
    <t>MEIZAN RICE MACARONI ELBOW 200G X 24BAG</t>
  </si>
  <si>
    <t>7.0141070505021</t>
  </si>
  <si>
    <t>7.5221127323502</t>
  </si>
  <si>
    <t>7.522112052520101</t>
  </si>
  <si>
    <t>BỘT CHIÊN GÀ BC MEIZAN 10KG</t>
  </si>
  <si>
    <t>7.522HA80260803320</t>
  </si>
  <si>
    <t>NUI GẠO CÁI LÂN - CHỮ "C" 10KG</t>
  </si>
  <si>
    <t>CAILAN RICE MACARONI ELBOW WOVENBAG@10KG</t>
  </si>
  <si>
    <t>7.522HA80270803320</t>
  </si>
  <si>
    <t>NUI GẠO CÁI LÂN - ỐNG DÀI 10KG</t>
  </si>
  <si>
    <t>CAILAN RICEMACARONILONGTUBE WOVENBG@10KG</t>
  </si>
  <si>
    <t>7.522112052520601</t>
  </si>
  <si>
    <t>BỘT GÀ RÁN MEIZAN 10KG</t>
  </si>
  <si>
    <t>MEIZAN CHICKEN FRYING FLOUR PAPERBG@10KG</t>
  </si>
  <si>
    <t>7.522B850641C01320</t>
  </si>
  <si>
    <t>MÌ TRỨNG CAO CẤP MEIZAN 6,5KG</t>
  </si>
  <si>
    <t>MEIZAN PREMIUMEGGNOODLE PLASTICBAG@6.5KG</t>
  </si>
  <si>
    <t>2000000008</t>
  </si>
  <si>
    <t>7.551460E67C4M0680</t>
  </si>
  <si>
    <t>NƯỚC CHẤM ĐẬU NÀNH HÀNG VIỆT 500ML X 24 CHAI/THÙNG</t>
  </si>
  <si>
    <t>NAMDUONG HANG VIET SOY SAUCE 500ML*24BTL</t>
  </si>
  <si>
    <t>7.551460E67C5M0680</t>
  </si>
  <si>
    <t>NƯỚC CHẤM ĐẬU NÀNH HÀNG VIỆT THANH VỊ 500 ML X 24 CHAI/THÙNG</t>
  </si>
  <si>
    <t>NAMDUONG HANGVIETTHANHVI SOY 500ML*24BTL</t>
  </si>
  <si>
    <t>7.551460F37C6M0380</t>
  </si>
  <si>
    <t>NƯỚC CHẤM ĐẬU NÀNH HÀNG VIỆT HORECA 4 LÍT X 4 CHAI/THÙNG</t>
  </si>
  <si>
    <t>NAMDUONG HANGVIETHORECA SOYSAUCE 4L*4BTL</t>
  </si>
  <si>
    <t>7.5180032102408040</t>
  </si>
  <si>
    <t>HẠT NÊM MEIZAN THỊT, XƯƠNG ỐNG, TỦY, CÀ RỐT – VỊ HEO 1,8 KG X 6 GÓI/THÙNG</t>
  </si>
  <si>
    <t>MEIZAN PORK BOUILLON GRANULE 1.8KG*6BAG</t>
  </si>
  <si>
    <t>7.118110B419217060</t>
  </si>
  <si>
    <t>MAYONNAISE HƯƠNG GẠO RANG 230G X 24 CHAI/ THÙNG</t>
  </si>
  <si>
    <t>SIMPLY MAYO RICE ROASTED FLVR 230G*24BTL</t>
  </si>
  <si>
    <t>7.118110B418217060</t>
  </si>
  <si>
    <t>MAYONNAISE (CHẤM VÀ TRỘN ĐỀU NGON) 230G X 24 CHAI/ THÙNG</t>
  </si>
  <si>
    <t>SIMPLY MULTIPURPOSE MAYO 230G X 24BTL</t>
  </si>
  <si>
    <t>7.551460F56C7M0680</t>
  </si>
  <si>
    <t>TƯƠNG ĐEN 255G X 24 CHAI/THÙNG</t>
  </si>
  <si>
    <t>NAM DUONG HOISIN SOY SAUCE 255G X 24BTL</t>
  </si>
  <si>
    <t>7.515006143217060</t>
  </si>
  <si>
    <t>TƯƠNG ỚT ĐẶC BIỆT CAY 255G X 24 CHAI/THÙNG</t>
  </si>
  <si>
    <t>NAMDUONG SPECIAL HOT CHILI SC 255G*24BTL</t>
  </si>
  <si>
    <t>7.58810402204R1318</t>
  </si>
  <si>
    <t>SỐT DẦU DẤM TRỘN SALAD 250G</t>
  </si>
  <si>
    <t>NAM DUONG SALAD DRESSING 250G X 24BTL</t>
  </si>
  <si>
    <t>7.5180061602408100</t>
  </si>
  <si>
    <t>HẠT NÊM 4 TRONG 1 VỊ HEO 850G X 10 GÓI/ THÙNG</t>
  </si>
  <si>
    <t>NEPTUNE PORK BOUILLON 850G X 10PEBAG</t>
  </si>
  <si>
    <t>7.5180061402308120</t>
  </si>
  <si>
    <t>HẠT NÊM TAM BẢO VỊ NẤM 380G</t>
  </si>
  <si>
    <t>NEPTUNE MUSHROOM BOUILLON 380G*20PEBAG</t>
  </si>
  <si>
    <t>7.551460E6Y8000680</t>
  </si>
  <si>
    <t>NƯỚC TƯƠNG THƯỢNG HẠNG 500ML X 24 CHAI/THÙNG</t>
  </si>
  <si>
    <t>NAMDUONG PREMIUM SOY SAUCE 500ML X 24BTL</t>
  </si>
  <si>
    <t>7.58810415704Q1318</t>
  </si>
  <si>
    <t>DẦU HÀO NAM DƯƠNG 320G X 24 CHAI/ THÙNG</t>
  </si>
  <si>
    <t>NAM DUONG OYSTER SAUCE 320G X 24BTL</t>
  </si>
  <si>
    <t>7.58810415804Q1302</t>
  </si>
  <si>
    <t>DẦU HÀO NAM DƯƠNG 810G X 12 CHAI/ THÙNG</t>
  </si>
  <si>
    <t>NAM DUONG OYSTER SAUCE 810G X 12BTL</t>
  </si>
  <si>
    <t>7.5180072302408A50</t>
  </si>
  <si>
    <t>HẠT NÊM ORCHID THỊT, XƯƠNG ỐNG VÀ TỦY 10KG X 2 TÚI/BAO</t>
  </si>
  <si>
    <t>ORCHID PORK BOUILLON GRANULE 10KG*2BAG</t>
  </si>
  <si>
    <t>7.551460E4Y8000680</t>
  </si>
  <si>
    <t>NƯỚC TƯƠNG THƯỢNG HẠNG 210ML X 24 CHAI / THÙNG</t>
  </si>
  <si>
    <t>NAMDUONG PREMIUM SOY SAUCE 210ML X 24BTL</t>
  </si>
  <si>
    <t>7.551460E5Y9000680</t>
  </si>
  <si>
    <t>NƯỚC TƯƠNG NAM DƯƠNG ĐẬM ĐẶC 280ML X 24 CHAI/ THÙNG</t>
  </si>
  <si>
    <t>NAMDUONG CONDENSED SOY SAUCE 280ML*24BTL</t>
  </si>
  <si>
    <t>7.515006302917030</t>
  </si>
  <si>
    <t>TƯƠNG ỚT HÀNG VIỆT HORECA 4,2KG X 4 CHAI/THÙNG</t>
  </si>
  <si>
    <t>NAMDUONG HORECA HV CHILISAUCE 4.2KG*4BTL</t>
  </si>
  <si>
    <t>7.58810414704Q1304</t>
  </si>
  <si>
    <t>DẦU HÀO 615G X 20 CHAI/THÙNG</t>
  </si>
  <si>
    <t>NAM DUONG OYSTER SAUCE 615G X 20BTL</t>
  </si>
  <si>
    <t>7.1181100903976050</t>
  </si>
  <si>
    <t>MAYONNAISE 1KG X 12 HỘP/THÙNG</t>
  </si>
  <si>
    <t>SIMPLY MAYONNAISE 1KG X 12BOX</t>
  </si>
  <si>
    <t>7.1181109103976030</t>
  </si>
  <si>
    <t>MAYONNAISE SIMPLY 3KG X 4 HỘP/ THÙNG</t>
  </si>
  <si>
    <t>SIMPLY MAYONNAISE 3KG X 4BOX</t>
  </si>
  <si>
    <t>7.1180129103976030</t>
  </si>
  <si>
    <t>MAYONNAISE MEIZAN 3KG X 4 HỘP/ THÙNG</t>
  </si>
  <si>
    <t>MEIZAN MAYONNAISE 3KG X 4BOX</t>
  </si>
  <si>
    <t>7.5180031502508050</t>
  </si>
  <si>
    <t>BỘT NGỌT MEIZAN 1KG x 12 TÚI/ THÙNG</t>
  </si>
  <si>
    <t>MEIZAN MONOSODIUM GLUTAMAT 1KG*12PEBAG</t>
  </si>
  <si>
    <t>7.551460F26C000580</t>
  </si>
  <si>
    <t>NƯỚC TƯƠNG NAM DƯƠNG ĐẬU NÀNH LÊN MEN TỰ NHIÊN 710ML X 12 CHAI/THÙNG</t>
  </si>
  <si>
    <t>NAMDUONG FERMENTED SOY SAUCE 710ML*12BTL</t>
  </si>
  <si>
    <t>7.58810402204Q1318</t>
  </si>
  <si>
    <t>DẦU HÀO 270G X 24 CHAI</t>
  </si>
  <si>
    <t>NAM DUONG OYSTER SAUCE 270G X 24BTL</t>
  </si>
  <si>
    <t>7.515006413217060</t>
  </si>
  <si>
    <t>TƯƠNG ỚT ĐẶC BIỆT CAY 400G</t>
  </si>
  <si>
    <t>NAMDUONG SPECIAL HOT CHILI SC 400G*24BTL</t>
  </si>
  <si>
    <t>7.515006130617050</t>
  </si>
  <si>
    <t>TƯƠNG ỚT 470G X 12 CHAI/THÙNG</t>
  </si>
  <si>
    <t>NAM DUONG CHILI SAUCE 470G X 12BTL</t>
  </si>
  <si>
    <t>7.5630080350030601</t>
  </si>
  <si>
    <t>TƯƠNG CÀ 500G X 12 CHAI/THÙNG</t>
  </si>
  <si>
    <t>NAM DUONG TOMATO SAUCE 500G X 12BTL</t>
  </si>
  <si>
    <t>7.5180030702518200</t>
  </si>
  <si>
    <t>BỘT NGỌT MEIZAN 400G x 30 TÚI/ THÙNG</t>
  </si>
  <si>
    <t>MEIZAN MONOSODIUM GLUTAMAT 400G*30PCH</t>
  </si>
  <si>
    <t>7.515006141417060</t>
  </si>
  <si>
    <t>TƯƠNG ỚT NAM DƯƠNG CAY VỪA 255G X 24 CHAI/THÙNG</t>
  </si>
  <si>
    <t>NAMDUONG MED SPICY CHILISAUCE 255G*24BTL</t>
  </si>
  <si>
    <t>7.515006090608100</t>
  </si>
  <si>
    <t>TƯƠNG ỚT TÚI 1KG</t>
  </si>
  <si>
    <t>NAM DUONG CHILI SAUCE 1KG X 10BAG</t>
  </si>
  <si>
    <t>7.5630080190030604</t>
  </si>
  <si>
    <t>TƯƠNG CÀ NAM DƯƠNG 255G X 24 CHAI/ THÙNG</t>
  </si>
  <si>
    <t>NAM DUONG TOMATO SAUCE 255G X 24BTL</t>
  </si>
  <si>
    <t>7.5630080260030602</t>
  </si>
  <si>
    <t>TƯƠNG CÀ NAM DƯƠNG 2.2KG X 6 CHAI/ THÙNG</t>
  </si>
  <si>
    <t>NAM DUONG TOMATO SAUCE 2.2KG X 6BTL</t>
  </si>
  <si>
    <t>7.5180030702408060</t>
  </si>
  <si>
    <t>HẠT NÊM MEIZAN THỊT, XƯƠNG ỐNG, TUỶ, CÀ RỐT- VỊ HEO 400G X 24 GÓI/THÙNG</t>
  </si>
  <si>
    <t>MEIZAN PORKBOUILLON GRANULE 400G*24PEBAG</t>
  </si>
  <si>
    <t>7.515006333017050</t>
  </si>
  <si>
    <t>TƯƠNG ỚT HÀNG VIỆT 800G X 12 CHAI/ THÙNG</t>
  </si>
  <si>
    <t>NAMDUONG HANGVIET CHILISAUCE 800G*12BTL</t>
  </si>
  <si>
    <t>7.5180071702408080</t>
  </si>
  <si>
    <t>HẠT NÊM ORCHID THỊT, XƯƠNG ỐNG VÀ TỦY 5KG X 3 TÚI/THÙNG</t>
  </si>
  <si>
    <t>ORCHID PORK BOUILLON GRANULE 5KG*3PEBAG</t>
  </si>
  <si>
    <t>7.51800009025B2010</t>
  </si>
  <si>
    <t>BỘT NGỌT 25KG (S)</t>
  </si>
  <si>
    <t>MONOSODIUM GLUTAMATE PLASTICBAG@25KG</t>
  </si>
  <si>
    <t>7.551460E6Y9000680</t>
  </si>
  <si>
    <t>NƯỚC TƯƠNG NAM DƯƠNG ĐẬM ĐẶC 500ML X 24 CHAI/ THÙNG</t>
  </si>
  <si>
    <t>NAMDUONG CONDENSED SOY SAUCE 500ML*24BTL</t>
  </si>
  <si>
    <t>7.5180061402408120</t>
  </si>
  <si>
    <t>HẠT NÊM 4 TRONG 1 VỊ HEO 380G X 20 GÓI/THÙNG</t>
  </si>
  <si>
    <t>NEPTUNE PORK BOUILLON GRANULE 380G*20BAG</t>
  </si>
  <si>
    <t>7.551460E66C000680</t>
  </si>
  <si>
    <t>NƯỚC TƯƠNG NAM DƯƠNG ĐẬU NÀNH LÊN MEN TỰ NHIÊN 500ML X 24 CHAI</t>
  </si>
  <si>
    <t>NAMDUONG FERMENTED SOY SAUCE 500ML*24BTL</t>
  </si>
  <si>
    <t>7.5180030703418200</t>
  </si>
  <si>
    <t>BỘT NGỌT MEIZAN (CÁNH VỪA) 400G X 30 TÚI/ THÙNG</t>
  </si>
  <si>
    <t>MEIZAN MSG 60-MESH 400G*30PCH</t>
  </si>
  <si>
    <t>7.5180031702518080</t>
  </si>
  <si>
    <t>BỘT NGỌT MEIZAN (CÁNH VỪA) 5KG X 3 TÚI/ THÙNG</t>
  </si>
  <si>
    <t>MEIZAN MONOSODIUM GLUTAMATE 5KG*3PCH</t>
  </si>
  <si>
    <t>7.551460176C7M0580</t>
  </si>
  <si>
    <t>TƯƠNG ĐEN 500G X 12 CHAI</t>
  </si>
  <si>
    <t>NAM DUONG HOISIN SOY SAUCE 500G X 12BTL</t>
  </si>
  <si>
    <t>7.515006311417040</t>
  </si>
  <si>
    <t>TƯƠNG ỚT NAM DƯƠNG CAY VỪA 2.1KG X 6 CHAI/ THÙNG</t>
  </si>
  <si>
    <t>NAMDUONG MED SPICY CHILISAUCE 2.1KG*6BTL</t>
  </si>
  <si>
    <t>7.5180031502518050</t>
  </si>
  <si>
    <t>BỘT NGỌT MEIZAN (CÁNH VỪA) 1KG X 12 TÚI/ THÙNG</t>
  </si>
  <si>
    <t>MEIZAN MONOSODIUM GLUTAMATE 1KG X 12PCH</t>
  </si>
  <si>
    <t>7.5180032202518040</t>
  </si>
  <si>
    <t>BỘT NGỌT MEIZAN (CÁNH VỪA) 2KG X 6 TÚI/ THÙNG</t>
  </si>
  <si>
    <t>MEIZAN MONOSODIUM GLUTAMATE 2KG*6PCH</t>
  </si>
  <si>
    <t>7.551477E4Y8000680</t>
  </si>
  <si>
    <t>MEGA PREMIUM SOY SAUCE 210ML X 24BTL</t>
  </si>
  <si>
    <t>7.515006141317B20</t>
  </si>
  <si>
    <t>TƯƠNG ỚT NAM DƯƠNG CAY VỪA 255G X 4 LỐC/ THÙNG</t>
  </si>
  <si>
    <t>NAMDUONG HOT CHILI SAUCE@255G 6BTL*4PACK</t>
  </si>
  <si>
    <t>7.5180062202408040</t>
  </si>
  <si>
    <t>HẠT NÊM 4 TRONG 1 - VỊ HEO 2KG X 6 GÓI</t>
  </si>
  <si>
    <t>NEPTUNE PORK BOUILLON GRANULE 2KG*6PEBAG</t>
  </si>
  <si>
    <t>7.58810402204R1335</t>
  </si>
  <si>
    <t>SỐT DẦU DẤM TRỘN SALAD 250G X 4 LỐC/ THÙNG</t>
  </si>
  <si>
    <t>NAMDUONG SALAD DRESSING @250G 6BTL*4PACK</t>
  </si>
  <si>
    <t>7.515006312917040</t>
  </si>
  <si>
    <t>TƯƠNG ỚT HÀNG VIỆT HORECA 2,1KG X 6 CHAI/THÙNG</t>
  </si>
  <si>
    <t>NAMDUONG HORECA HV CHILISAUCE 2.1KG*6BTL</t>
  </si>
  <si>
    <t>7.515006341420A80</t>
  </si>
  <si>
    <t>TƯƠNG ỚT NAM DƯƠNG CAY VỪA 10G X 800 GÓI/THÙNG</t>
  </si>
  <si>
    <t>NAMDUONG MED SPICY CHILISAUCE 10G*800SCH</t>
  </si>
  <si>
    <t>7.5630080280031006</t>
  </si>
  <si>
    <t>TƯƠNG CÀ 10G X 800 GÓI/THÙNG</t>
  </si>
  <si>
    <t>NAM DUONG TOMATO SAUCE 10G X 800SACHET</t>
  </si>
  <si>
    <t>7.5180031502408100</t>
  </si>
  <si>
    <t>HẠT NÊM MEIZAN THỊT, XƯƠNG ỐNG, TỦY, CÀ RỐT – VỊ HEO 1KG X 10 GÓI/THÙNG</t>
  </si>
  <si>
    <t>MEIZAN PORK BOUILLON GRANULE 1KG*10PEBAG</t>
  </si>
  <si>
    <t>7.59800827601116</t>
  </si>
  <si>
    <t>COMBO 01 BAO HẠT NÊM 4 TRONG 1 VỊ HEO 850G VÀ 01 CHAI NƯỚC TƯƠNG THƯỢNG HẠNG 500ML VÀ 01 CHAI TƯƠNG ỚT ĐẶC BIỆT CAY 255G VÀ 01 CHAI NƯỚC MẮM NHỈ CÁ CƠM 30° ĐẠM HIỆU 584 NHA TRANG CHAI PET 500ML X 10 TÚI/ THÙNG</t>
  </si>
  <si>
    <t>NAMDUNG+NEPTUNE BUNDLE COMBO X 10PACK</t>
  </si>
  <si>
    <t>7.5180031702518</t>
  </si>
  <si>
    <t>7.5180031502508</t>
  </si>
  <si>
    <t>7.58810404104Q1308</t>
  </si>
  <si>
    <t>DẦU HÀO NAM DƯƠNG 2,25KG X 6 CHAI/ THÙNG</t>
  </si>
  <si>
    <t>NAM DUONG OYSTER SAUCE 2.25KG X 6BTL</t>
  </si>
  <si>
    <t>7.5180032102408</t>
  </si>
  <si>
    <t>7.51800315024081</t>
  </si>
  <si>
    <t>7.51800614023081</t>
  </si>
  <si>
    <t>7.1180129103976</t>
  </si>
  <si>
    <t>7.551460E6S2001280</t>
  </si>
  <si>
    <t>NƯỚC CHẤM HƯƠNG NẤM 500ML</t>
  </si>
  <si>
    <t>7.56300801900306</t>
  </si>
  <si>
    <t>7.51500614321706</t>
  </si>
  <si>
    <t>7.51500641321706</t>
  </si>
  <si>
    <t>7.1181100903976</t>
  </si>
  <si>
    <t>7.56300803500306</t>
  </si>
  <si>
    <t>7.51500633301705</t>
  </si>
  <si>
    <t>7.51500631291704</t>
  </si>
  <si>
    <t>7.51500630291703</t>
  </si>
  <si>
    <t>7.51500631141704</t>
  </si>
  <si>
    <t>Tương ớt nam dương cay vừa 2.1kg x 6 chai/ thùng</t>
  </si>
  <si>
    <t>Nam duong hot chili sauce 2.1kg x 6 bot/car</t>
  </si>
  <si>
    <t>7.51500614141706</t>
  </si>
  <si>
    <t>7.5630130190030604</t>
  </si>
  <si>
    <t>TƯƠNG CÀ THE PIZZA COMPANY 255G X 24 CHAI/THÙNG</t>
  </si>
  <si>
    <t>7.5630130280221008</t>
  </si>
  <si>
    <t>TƯƠNG CÀ THE PIZZA COMPANY 10G X1.200 GÓI/THÙNG</t>
  </si>
  <si>
    <t>7.551460E67C4M068</t>
  </si>
  <si>
    <t>7.551460F9S52N0680</t>
  </si>
  <si>
    <t>NƯỚC TƯƠNG TỎI ỚT TƯƠI 310G X 24CHAI/THÙNG</t>
  </si>
  <si>
    <t>NAMDUONG GARLIC CHILISOYSAUCE 310G*24BTL</t>
  </si>
  <si>
    <t>7.551460E56C000680</t>
  </si>
  <si>
    <t>NƯỚC TƯƠNG NAM DƯƠNG ĐẬU NÀNH LÊN MEN TỰ NHIÊN 280ML X 24 CHAI</t>
  </si>
  <si>
    <t>NAMDUONG FERMENTED SOY SAUCE 280ML*24BTL</t>
  </si>
  <si>
    <t>2100000002</t>
  </si>
  <si>
    <t>7.5221120705D2710</t>
  </si>
  <si>
    <t>BỘT MÌ HIỆU MEIZAN BÁNH BÔNG LAN (1KG *10 GÓI/THÙNG)</t>
  </si>
  <si>
    <t>MEIZAN CAKE FL 7-9% W/FE&amp;ZN 1KG X 10BAG</t>
  </si>
  <si>
    <t>7.089062121281203</t>
  </si>
  <si>
    <t>MEN KHÔ DÙNG LIỀN HIỆU MEIZAN –NHÃN XANH DƯƠNG (500G*20 GÓI/THÙNG)</t>
  </si>
  <si>
    <t>MEIZAN DRYYEASTLOWSUGAR500GX20BAG BLUELB</t>
  </si>
  <si>
    <t>7.089062120091203</t>
  </si>
  <si>
    <t>MEN KHÔ DÙNG LIỀN HIỆU MEIZAN - NHÃN ĐỎ (500G*20 GÓI/THÙNG)</t>
  </si>
  <si>
    <t>MEIZAN DRYYEASTLOWSUGAR 500GX20BAG REDLB</t>
  </si>
  <si>
    <t>7.522112071922710</t>
  </si>
  <si>
    <t>BỘT MÌ ĐA DỤNG CAO CẤP HIỆU MEIZAN (1KG*10 GÓI/THÙNG)</t>
  </si>
  <si>
    <t>MEIZAN MULTIPURPOSE W/FE,ZN,VIT 1KG*10BG</t>
  </si>
  <si>
    <t>7.52211207A632710</t>
  </si>
  <si>
    <t>BỘT MÌ HIỆU MEIZAN BÁNH MÌ (1KG *10 GÓI/THÙNG)</t>
  </si>
  <si>
    <t>MEIZAN BREADFL W/FE,ZN,VIT.C 1KG X 10BAG</t>
  </si>
  <si>
    <t>7.089062120111103</t>
  </si>
  <si>
    <t>MEN KHÔ DÙNG LIỀN HIỆU MEIZAN - NHÃN VÀNG (500G*20 GÓI/THÙNG)</t>
  </si>
  <si>
    <t>MEIZANDRYYEASTHISUGAR 500GX20BAGYELLOWLB</t>
  </si>
  <si>
    <t>7.522112292032712</t>
  </si>
  <si>
    <t>BỘT MÌ ĐA DỤNG CAO CẤP HIỆU MEIZAN (0.5KG*20 GÓI/THÙNG)</t>
  </si>
  <si>
    <t>MEIZAN MULTIFL 9.5-12%W/FE&amp;ZN 500G*20BAG</t>
  </si>
  <si>
    <t>7.522223292882712</t>
  </si>
  <si>
    <t>BỘT MÌ SỐ 8 MEIZAN GOLD (500G * 20 GÓI/THÙNG)</t>
  </si>
  <si>
    <t>MEIZAN GOLD WHEAT FLOUR NO.8 500G*20BAG</t>
  </si>
  <si>
    <t>7.522145071362710</t>
  </si>
  <si>
    <t>BỘT MÌ ĐA DỤNG HIỆU LA BÀN (1KG*10 GÓI/THÙNG)</t>
  </si>
  <si>
    <t>COMPASS MULTIPURPOSE FL 9-11% 1KG*10BAG</t>
  </si>
  <si>
    <t>7.522145291362712</t>
  </si>
  <si>
    <t>BỘT MÌ ĐA DỤNG HIỆU LA BÀN (0.5KG *20 GÓI/THÙNG)</t>
  </si>
  <si>
    <t>COMPASS MULTIPURPOSE FLOUR 500G*20BAG</t>
  </si>
  <si>
    <t>7.E38017899F00138</t>
  </si>
  <si>
    <t>SỮA TIỆT TRÙNG GIÀU CANXI ÍT BÉO NHÃN HIỆU MEADOW FRESH 200mlx24, XUẤT XỨ NEW ZEALAND</t>
  </si>
  <si>
    <t>7.G4001B599F20186</t>
  </si>
  <si>
    <t>TRÀ VINATEA HƯƠNG NHÀI, LOẠI 70G X 72 TÚI ĐÓNG TRONG THÙNG CARTON</t>
  </si>
  <si>
    <t>VINATEA JASMINE FLAVORED TEA 70G X 72 BAGS IN CARTON</t>
  </si>
  <si>
    <t>7.E3801789985I932</t>
  </si>
  <si>
    <t>SỮA TƯƠI TIỆT TRÙNG NGUYÊN KEM NHÃN HIỆU MEADOW FRESH 1LX12, XUẤT XỨ NEW ZEALAND</t>
  </si>
  <si>
    <t>7.92419B799D001A3</t>
  </si>
  <si>
    <t>NƯỚC MẮM CÁ CƠM 12° ĐẠM CHAI PET 5L X 4 CHAI ĐÓNG TRONG THÙNG CARTON</t>
  </si>
  <si>
    <t>ANCHOVY FISH SAUCE 12°N PLASTIC BOTTLES 5 LITRE X 4 BOT IN CARTON</t>
  </si>
  <si>
    <t>7.E3801789985I933</t>
  </si>
  <si>
    <t>SỮA TƯƠI TIỆT TRÙNG TÁCH BÉO NHÃN HIỆU MEADOW FRESH 1LX12, XUẤT XỨ NEW ZEALAND</t>
  </si>
  <si>
    <t>7.E3801789985I935</t>
  </si>
  <si>
    <t>SỮA TƯƠI TIỆT TRÙNG ÍT BÉO NHÃN HIỆU MEADOW FRESH 1LX12, XUẤT XỨ NEW ZEALAND</t>
  </si>
  <si>
    <t>MEADOW FRESH UHT LOW FAT MILK 1LX12, NEW ZEALAND ORIGIN</t>
  </si>
  <si>
    <t>7.E3801789985I938</t>
  </si>
  <si>
    <t>SỮA TIỆT TRÙNG GIÀU CANXI ÍT BÉO NHÃN HIỆU MEADOW FRESH 1LX12, XUẤT XỨ NEW ZEALAND</t>
  </si>
  <si>
    <t>7.E38017899F00132</t>
  </si>
  <si>
    <t>SỮA TƯƠI TIỆT TRÙNG NGUYÊN KEM NHÃN HIỆU MEADOW FRESH 200mlx24, XUẤT XỨ NEW ZEALAND</t>
  </si>
  <si>
    <t>MEADOW FRESH UHT FULL CREAM MILK 200MLX24</t>
  </si>
  <si>
    <t>7.G4001B599330186</t>
  </si>
  <si>
    <t>TRÀ VINATEA HƯƠNG NHÀI 400G X 10 TÚI ĐÓNG TRONG THÙNG CARTON</t>
  </si>
  <si>
    <t>VINATEA JASMINE FLAVORED TEA 400G X 10 BAGS IN CARTON</t>
  </si>
  <si>
    <t>7.J43021099020199</t>
  </si>
  <si>
    <t>HẠT MÈ (VỪNG) TÁCH VỎ 99.97% 1KG X 25 GÓI ĐÓNG TRONG BAO PP</t>
  </si>
  <si>
    <t>HULLED SESAME SEED 99.97% 1KG X 25 PACK IN PP MASTER BAG</t>
  </si>
  <si>
    <t>7.G4001B599C20188</t>
  </si>
  <si>
    <t>TRÀ VINATEA HOA CÚC MẬT ++ (TÚI LỌC) 40G 2G X 20 TÚI LỌC X 24 HỘP ĐÓNG TRONG THÙNG CARTON</t>
  </si>
  <si>
    <t>VINATEA CHAMOMILE TEA ++ (TEA BAG) 40G 2G X 20 BAGS X 24 BOXES IN CARTON</t>
  </si>
  <si>
    <t>7.G4001B599320199</t>
  </si>
  <si>
    <t>TRÀ ĐEN HẢO HẠNG HỘP VÀNG TÚI LỌC HIỆU VINATEA, LOẠI 200G 2G X 100 TÚI LỌC X 16 HỘP ĐÓNG TRONG THÙNG CARTON</t>
  </si>
  <si>
    <t>VINATEA BLACK TEA (TEA BAG) 200G 2G X 100 BAGS X 16 BOXES IN CARTON</t>
  </si>
  <si>
    <t>7.D3701C299020124</t>
  </si>
  <si>
    <t>NGUYÊN LIỆU THỰC PHẨM SÔ-CÔ-LA TRẮNG DẠNG KHỐI NHÃN HIỆU CHAMBERY, KHỐI 1KG, ĐÓNG TRONG THÙNG CARTON 10KG</t>
  </si>
  <si>
    <t>CHAMBERY WHITE COMPOUND BLOCK (1KG X 10PCS), 10KG</t>
  </si>
  <si>
    <t>7.D3701C2990201D1</t>
  </si>
  <si>
    <t>NGUYÊN LIỆU THỰC PHẨM SÔ-CÔ-LA ĐEN DẠNG KHỐI NHÃN HIỆU CHAMBERY, KHỐI 1KG, ĐÓNG TRONG THÙNG CARTON 10KG</t>
  </si>
  <si>
    <t>CHAMBERY DARK CHOCOLATE COMPOUND BLOCK (1KG X 10PCS), 10KG</t>
  </si>
  <si>
    <t>7.D3701109902L125</t>
  </si>
  <si>
    <t>NGUYÊN LIỆU THỰC PHẨM SÔ-CÔ-LA ĐEN CHAMBERY DẠNG KHỐI CDD-16CPEX, BLOCK 1KG, ĐÓNG TRONG THÙNG CARTON 10KG</t>
  </si>
  <si>
    <t>CHAMBERY DARK CHOCOLATE COMPOUND BLOCK CDD-16CPEX (1KG X 10PCS), 10KG</t>
  </si>
  <si>
    <t>7.E38017899F00135</t>
  </si>
  <si>
    <t>SỮA TƯƠI TIỆT TRÙNG ÍT BÉO NHÃN HIỆU MEADOW FRESH 200mlx24, XUẤT XỨ NEW ZEALAND</t>
  </si>
  <si>
    <t>MEADOW FRESH UHT LOW FAT MILK 200MLX24</t>
  </si>
  <si>
    <t>7.E3801789985K232</t>
  </si>
  <si>
    <t xml:space="preserve">SỮA TƯƠI TIỆT TRÙNG NGUYÊN KEM KHÔNG NẮP NHÃN HIỆU MEADOW FRESH 1LX12 </t>
  </si>
  <si>
    <t>7.J43021099050199</t>
  </si>
  <si>
    <t>HẠT MÈ (VỪNG) TÁCH VỎ 99.97% ĐÓNG TRONG BAO 25KG</t>
  </si>
  <si>
    <t>HULLED SESAME SEED 99.97% IN 25KG PP BAG</t>
  </si>
  <si>
    <t>7.G4001B599830199</t>
  </si>
  <si>
    <t>TRÀ HƯƠNG SÂM DỨA HIỆU VINATEA, LOẠI 350G X 10 TÚI TRONG THÙNG CARTON</t>
  </si>
  <si>
    <t>VINATEA PANDAN FLAVORED TEA 350G X 10 BAGS IN CARTON</t>
  </si>
  <si>
    <t>7.92524B69947L2D9</t>
  </si>
  <si>
    <t>XỐT GIA VỊ HOÀN CHỈNH BÒ KHO NHÃN HIỆU DHFOODS 80G X 20 X 6 HỘP ĐÓNG TRONG THÙNG CARTON</t>
  </si>
  <si>
    <t>DHFOODS SOUP BASE FOR BEEF STEW 80GR X 20 X 6 BOXES IN CARTON</t>
  </si>
  <si>
    <t>7.92524B69947L399</t>
  </si>
  <si>
    <t>XỐT GIA VỊ HOÀN CHỈNH KHO THỊT CÁ NHÃN HIỆU DHFOODS 80G X 20 X 6 HỘP ĐÓNG TRONG THÙNG CARTON</t>
  </si>
  <si>
    <t>DHFOODS VIETNAMESE BRAISING SAUCE FOR MEAT &amp; FISH 80GR X 20 X 6 BOXES IN CARTON</t>
  </si>
  <si>
    <t>7.92524B69947L408</t>
  </si>
  <si>
    <t>XỐT GIA VỊ HOÀN CHỈNH XÀO CHUA NGỌT NHÃN HIỆU DHFOODS 80G X 20 X 6 HỘP ĐÓNG TRONG THÙNG CARTON</t>
  </si>
  <si>
    <t>DHFOODS STIR-FRY SAUCE WITH SWEET &amp; SOUR TASTE 80GR X 20 X 6 BOXES IN CARTON</t>
  </si>
  <si>
    <t>7.92524B6996001E1</t>
  </si>
  <si>
    <t>XỐT PHÔ MAI NHÃN HIỆU DHFOODS 100G X 24 CHAI ĐÓNG TRONG THÙNG CARTON</t>
  </si>
  <si>
    <t>DHFOODS CHEESE SAUCE 100GR X 24 PCS IN CARTON</t>
  </si>
  <si>
    <t>7.92524B6993201E2</t>
  </si>
  <si>
    <t>XỐT THÁI SẢ TẮC NHÃN HIỆU DHFOODS 200G X 24 CHAI ĐÓNG TRONG THÙNG CARTON</t>
  </si>
  <si>
    <t>DHFOODS THAI-STYLE LEMONGRASS &amp; KUMQUAT SAUCE 200GR X 24 PCS IN CARTON</t>
  </si>
  <si>
    <t>7.92514B6994701C9</t>
  </si>
  <si>
    <t>XỐT GIA VỊ HOÀN CHỈNH NƯỚNG THỊT GÓI NHÃN HIỆU DHFOODS 80GR X 20 X 6 HỘP ĐÓNG TRONG THÙNG CARTON</t>
  </si>
  <si>
    <t>DHFOODS BBQ SAUCE FOR GRILLED MEAT 80GR X 20 x 6 BOXES IN CARTON</t>
  </si>
  <si>
    <t>7.92511B699D10189</t>
  </si>
  <si>
    <t>MUỐI TÔM TÂY NINH 60G X 48 CHAI ĐÓNG TRONG THÙNG CARTON</t>
  </si>
  <si>
    <t>TAY NINH SHRIMP SALT 60G x 48 BOT IN CARTON</t>
  </si>
  <si>
    <t>7.92511B699B00189</t>
  </si>
  <si>
    <t>MUỐI TÔM TÂY NINH 110G X 24 HŨ ĐÓNG TRONG THÙNG CARTON</t>
  </si>
  <si>
    <t>TAY NINH SHRIMP SALT 110G X 24 PCS IN CARTON</t>
  </si>
  <si>
    <t>7.92520B699430199</t>
  </si>
  <si>
    <t>MUỐI CHẤM HOA QUẢ 50GR X 48 HŨ ĐÓNG TRONG THÙNG CARTON</t>
  </si>
  <si>
    <t>DIPPING FRUIT SALT 50G x 48 PCS IN CARTON</t>
  </si>
  <si>
    <t>7.92522B699D70199</t>
  </si>
  <si>
    <t>MUỐI ỚT HỘT 65GR X 48 CHAI ĐÓNG TRONG THÙNG CARTON</t>
  </si>
  <si>
    <t>SEA SALT WITH CHILI 65GR X 48 PCS IN CARTON</t>
  </si>
  <si>
    <t>7.92419B7993701B9</t>
  </si>
  <si>
    <t>NƯỚC MẮM CÁ CƠM 15° ĐẠM HIỆU 584 NHA TRANG CHAI PET 500ML X 20 CHAI ĐÓNG TRONG THÙNG CARTON</t>
  </si>
  <si>
    <t>584 NHA TRANG ANCHOVY FISH SAUCE 15°N OF PET BOTTLES 500ML X 20 PCS IN CARTON</t>
  </si>
  <si>
    <t>7.92419B7993701B8</t>
  </si>
  <si>
    <t>NƯỚC MẮM NHỈ CÁ CƠM 30° ĐẠM HIỆU 584 NHA TRANG CHAI PET 500ML X 6 CHAI ĐÓNG TRONG THÙNG CARTON</t>
  </si>
  <si>
    <t>584 NHA TRANG ANCHOVY FISH SAUCE 30°N PET BOTTLES 500ML X 6 PCS IN CARTON</t>
  </si>
  <si>
    <t>7.92512B699430190</t>
  </si>
  <si>
    <t>MUỐI TIÊU LÁ CHANH 50G X 48 CHAI ĐÓNG TRONG THÙNG CARTON</t>
  </si>
  <si>
    <t>LIME LEAF PEPPER SALT 50G x 48 BOT IN CARTON</t>
  </si>
  <si>
    <t>7.92419B799C901A2</t>
  </si>
  <si>
    <t>NƯỚC MẮM NHỈ CÁ CƠM 25° ĐẠM CHAI PET 2L X 6 CHAI ĐÓNG TRONG THÙNG CARTON</t>
  </si>
  <si>
    <t>ANCHOVY FISH SAUCE 25°N PLASTIC BOTTLES 2 LITRE X 6 BOT IN CARTON</t>
  </si>
  <si>
    <t>7.92419B7993701A1</t>
  </si>
  <si>
    <t>NƯỚC MẮM NHỈ CÁ CƠM 35° ĐẠM HIỆU 584 NHA TRANG CHAI THỦY TINH 500ML X 12 CHAI ĐÓNG TRONG THÙNG CARTON</t>
  </si>
  <si>
    <t>ANCHOVY FISH SAUCE 35°N GLASS BOTTLES 500ML X 12 BOT IN CARTON</t>
  </si>
  <si>
    <t>7.92419B7993701A0</t>
  </si>
  <si>
    <t>NƯỚC MẮM NHỈ CÁ CƠM 40° ĐẠM HIỆU 584 NHA TRANG CHAI THỦY TINH 500ML X 12 CHAI ĐÓNG TRONG THÙNG CARTON</t>
  </si>
  <si>
    <t>ANCHOVY FISH SAUCE 40°N GLASS BOTTLES 500ML X 12 BOT IN CARTON</t>
  </si>
  <si>
    <t>7.G4001B595430199</t>
  </si>
  <si>
    <t>TRÀ VINATEA THÁI NGUYÊN (TÚI LỌC) 50G 2G X 25 TÚI LỌC X 24 HỘP ĐÓNG TRONG THÙNG CARTON</t>
  </si>
  <si>
    <t>VINATEA THAI NGUYEN GREEN TEA (TEA BAG) 50G 2G X 25 BAGS X 24 BOXES IN CARTON</t>
  </si>
  <si>
    <t>7.92413B699600199</t>
  </si>
  <si>
    <t>MUỐI ỚT CHANH 100GR X 48 CHAI ĐÓNG TRONG THÙNG CARTON</t>
  </si>
  <si>
    <t>LIME GREEN CHILI SAUCE 100G X 48 PCS IN CARTON</t>
  </si>
  <si>
    <t>7.92419B7998501A3</t>
  </si>
  <si>
    <t>NƯỚC MẮM CÁ CƠM 12° ĐẠM CHAI PET 1L X 12 CHAI ĐÓNG TRONG THÙNG CARTON</t>
  </si>
  <si>
    <t>ANCHOVY FISH SAUCE 12°N PLASTIC BOTTLES 1L X 12 BOT IN CARTON</t>
  </si>
  <si>
    <t>7.92413B699320191</t>
  </si>
  <si>
    <t>MUỐI ỚT CHANH NHA TRANG 200G X 24 CHAI ĐÓNG TRONG THÙNG CARTON</t>
  </si>
  <si>
    <t>7.92419B799D001B9</t>
  </si>
  <si>
    <t>NƯỚC MẮM CÁ CƠM 15° ĐẠM HIỆU 584 NHA TRANG CHAI PET 5L X 4 CHAI</t>
  </si>
  <si>
    <t>7.G4001B499C10183</t>
  </si>
  <si>
    <t>7.G4001B499C00182</t>
  </si>
  <si>
    <t>TWINKLE CHAMOMILE</t>
  </si>
  <si>
    <t>7.G4001B499C10184</t>
  </si>
  <si>
    <t>TWINKLE PEACH</t>
  </si>
  <si>
    <t>7.I42021099050199</t>
  </si>
  <si>
    <t>HẠT MÈ (VỪNG) TÁCH VỎ 99.97 ĐÓNG TRONG BAO 25KG</t>
  </si>
  <si>
    <t>HULLED SESAME SEED 99.97 PACKING IN 25KG PP BAG</t>
  </si>
  <si>
    <t>7.92514B6994701D8</t>
  </si>
  <si>
    <t>XỐT GIA VỊ HOÀN CHỈNH NƯỚNG MẬT ONG 80G X 20 X 6 HỘP</t>
  </si>
  <si>
    <t>7.D370110990399C5</t>
  </si>
  <si>
    <t>NGUYÊN LIỆU THỰC PHẨM SÔ-CÔ-LA ĐEN CHAMBERY DẠNG LỎNG MZD-15DL, BUCKET 5KG, ĐÓNG TRONG THÙNG CARTON 10KG</t>
  </si>
  <si>
    <t>CHAMBERY DARK COMPOUND CHOCOLATE LIQUID MZD-15DL (5KG X 2), 10KG</t>
  </si>
  <si>
    <t>7.92419B7998501A2</t>
  </si>
  <si>
    <t>NƯỚC MẮM NHỈ CÁ CƠM 25° ĐẠM CHAI PET 1L X 12 CHAI ĐÓNG TRONG THÙNG CARTON</t>
  </si>
  <si>
    <t>ANCHOVY FISH SAUCE 25°N PLASTIC BOTTLES 1L X 12 BOT IN CARTON</t>
  </si>
  <si>
    <t>7.1340551233401</t>
  </si>
  <si>
    <t>DẦU BƠ THAY THẾ NHÃN HIỆU GOLDEN CROWN ĐÓNG TRONG THÙNG THÉP 18KG</t>
  </si>
  <si>
    <t>GOLDEN CROWN BUTTER OIL SUBSTITUTE IN TIN 18KG</t>
  </si>
  <si>
    <t>7.G4001B599D601C3</t>
  </si>
  <si>
    <t>TRÀ VINATEA HƯƠNG SÂM DỨA, LOẠI 70G X 72 TÚI ĐÓNG TRONG THÙNG CARTON</t>
  </si>
  <si>
    <t>VINATEA PANDAN FLAVORED TEA 70G X 72 BAGS IN CARTON</t>
  </si>
  <si>
    <t>7.92514B699320199</t>
  </si>
  <si>
    <t>XỐT BBQ NHÃN HIỆU DHFOODS 200G X 24 CHAI ĐÓNG TRONG THÙNG CARTON</t>
  </si>
  <si>
    <t>DHFOODS BBQ SAUCE 200G x 24 PCS IN CARTON</t>
  </si>
  <si>
    <t>7.E3803789985I932</t>
  </si>
  <si>
    <t>SỮA TIỆT TRÙNG NGUYÊN KEM NHÃN HIỆU MEADOW FRESH 1Lx12, XUẤT XỨ NEW ZEALAND</t>
  </si>
  <si>
    <t>7.G4001B599030187</t>
  </si>
  <si>
    <t>HỒNG TRÀ HIỆU VINATEA TÚI 1KG X 5 TÚI ĐÓNG TRONG THÙNG CARTON</t>
  </si>
  <si>
    <t>VINATEA RED TEA 1KG X 5 BAGS IN CARTON</t>
  </si>
  <si>
    <t>7.92514B6994701B7</t>
  </si>
  <si>
    <t>XỐT GIA VỊ HOÀN CHỈNH NƯỚNG NGŨ VỊ NHÃN HIỆU DHFOODS 80GR X 20 X 6 HỘP ĐÓNG TRONG THÙNG CARTON</t>
  </si>
  <si>
    <t>DHFOODS BBQ SAUCE FOR FIVE SPICE GRILLED MEAT 80GR X 20 x 6 BOXES IN CARTON</t>
  </si>
  <si>
    <t>7.92419B7993701A2</t>
  </si>
  <si>
    <t>NƯỚC MẮM NHỈ CÁ CƠM 25° ĐẠM HIỆU 584 NHA TRANG CHAI THỦY TINH 500ML X 15 CHAI ĐÓNG TRONG THÙNG CARTON</t>
  </si>
  <si>
    <t>ANCHOVY FISH SAUCE 25°N GLASS BOTTLES 500ML X 15 BOT IN CARTON</t>
  </si>
  <si>
    <t>7.92521B699320108</t>
  </si>
  <si>
    <t>XỐT ME CHUA NGỌT NHÃN HIỆU DHFOODS 200G X 24 CHAI ĐÓNG TRONG THÙNG CARTON</t>
  </si>
  <si>
    <t>DHFOODS SWEET &amp; SOUR TAMARIND SAUCE 200G X 24 PCS IN CARTON</t>
  </si>
  <si>
    <t>HCM - Tân Hiệp</t>
  </si>
  <si>
    <t>11/8C ẤP 21, XÃ HÓC MÔN, THÀNH PHỐ HỒ CHÍ MINH, VIỆT NAM</t>
  </si>
  <si>
    <t>CÔNG TY TNHH THƯƠNG MẠI TẤN TƯỜNG</t>
  </si>
  <si>
    <t>11 ĐƯỜNG 30/04, PHƯỜNG PHÚ THỌ HÒA, THÀNH PHỐ HỒ CHÍ MINH, VIỆT NAM</t>
  </si>
  <si>
    <t>Tấn Tường</t>
  </si>
  <si>
    <t>Lotte Nam Sài Gòn</t>
  </si>
  <si>
    <t>9/3C, Ấp 1 Dương Công Khi, xã Bà Điểm, Thành phố Hồ Chí Minh</t>
  </si>
  <si>
    <t>TỔ 1, ẤP 3, PHƯỜNG BÌNH LỘC, TỈNH ĐỒNG NAI</t>
  </si>
  <si>
    <t>Các Phường/Xã khác trực thuộc tỉnh Cần Thơ</t>
  </si>
  <si>
    <t>EB Tân Hiệp</t>
  </si>
  <si>
    <t>Tầng 1 và 2 Trung tâm thương mại EB Tân Hiệp, số 1135, Nguyễn Ái Quốc, KP2, Phường Tam Hiệp, tỉnh Đồng Nai, Việt Nam</t>
  </si>
  <si>
    <t>Đồng Nai - Tam Hiệp</t>
  </si>
  <si>
    <t>LC FOODS: LÔ G4-1A (KHU B2), ĐƯỜNG D10, KCN RẠCH BẮP, PHƯỜNG AN TÂY, THÀNH PHỐ BẾN CÁT, TỈNH BÌNH DƯƠNG, VIỆT NAM</t>
  </si>
  <si>
    <t>7.G4001B499C10199</t>
  </si>
  <si>
    <t>TRÀ TWINKLE ENGLISH BREAKFAST 1,8 G X 20 X 12 HỘP ĐÓNG TRONG THÙNG CARTON</t>
  </si>
  <si>
    <t>7.92524B69947L3E0</t>
  </si>
  <si>
    <t>XỐT GIA VỊ HOÀN CHỈNH KHO TÀU NHÃN HIỆU DHFOODS 80G X 20 X 6 HỘP ĐÓNG TRONG THÙNG CARTON</t>
  </si>
  <si>
    <t>7.131087031700H10</t>
  </si>
  <si>
    <t>CO-NEPTUNE LIGHT IN BOTTLE@1L-CHƯA TP</t>
  </si>
  <si>
    <t>7.45105005170000</t>
  </si>
  <si>
    <t>CO-Simply SBO BTL @ 2L</t>
  </si>
  <si>
    <t>DẦU ĂN THƯỢNG HẠNG HIỆU NEPTUNE LIGHT 1L</t>
  </si>
  <si>
    <t>DẦU ĐẬU NÀNH NHXN HIỆU SIMPLY 2L</t>
  </si>
  <si>
    <t>Các Phường/Xã khác trực thuộc Thành phố Hồ Chí Minh</t>
  </si>
  <si>
    <t>Các Phường/Xã khác trực thuộc Thành phố Hồ Chí Minh (Đường nhỏ)</t>
  </si>
  <si>
    <t>MCC</t>
  </si>
  <si>
    <t>NDFC</t>
  </si>
  <si>
    <t>Thành phố Hồ Chí Minh (Đường nhỏ) - Bình Đông</t>
  </si>
  <si>
    <t>Thành phố Hồ Chí Minh, Tân Tạo</t>
  </si>
  <si>
    <t>Thành phố Hồ Chí Minh (Đường nhỏ), Bình Đông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</si>
  <si>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Tân Tạo</t>
    </r>
  </si>
  <si>
    <t>DHFOODS VIETNAMESE CARAMEL BRAISING SAUCE 80GR X 20 X 6 BOXES IN CARTON</t>
  </si>
  <si>
    <t>TWINKLE ENGLISH BREAKFAST TEA 1,8 G X 20 X 12 IN CARTON</t>
  </si>
  <si>
    <t>DHFOODS BBQ SAUCE FOR HONEY GRILLED MEAT 80GR X 20 X 6 BOXES IN CARTON</t>
  </si>
  <si>
    <t>TWINKLE EARL GREY 1,8 G X 20 X 12 IN CARTON</t>
  </si>
  <si>
    <t>TRÀ TWINKLE EARL GREY 1,8 G X 20 X 12 HỘP ĐÓNG TRONG THÙNG CARTON</t>
  </si>
  <si>
    <t>584 NHA TRANG ANCHOVY FISH SAUCE 15°N OF PET BOTTLES 5L X 4 PCS IN CARTON</t>
  </si>
  <si>
    <t>NHA TRANG LIME GREEN - CHILI SAUCE 200G X 24 PCS IN CARTON</t>
  </si>
  <si>
    <t>Phú Thái</t>
  </si>
  <si>
    <t>SỐ 121/17 PHẠM NGỌC THẠCH, TỔ 73,KHU PHỐ 5, PHƯỜNG PHÚ LỢI, THÀNH PHỐ HỒ CHÍ MINH, VIỆT NAM</t>
  </si>
  <si>
    <t>Hồ Chí Minh - Phú Lợi</t>
  </si>
  <si>
    <t>CÔNG TY TNHH THƯƠNG MẠI DỊCH VỤ PHÚ THÁI</t>
  </si>
  <si>
    <r>
      <rPr>
        <b/>
        <sz val="11"/>
        <color rgb="FFFF0000"/>
        <rFont val="Times New Roman"/>
        <family val="1"/>
      </rPr>
      <t>Thành phố Hồ Chí Minh</t>
    </r>
    <r>
      <rPr>
        <sz val="11"/>
        <color theme="1"/>
        <rFont val="Times New Roman"/>
        <family val="1"/>
      </rPr>
      <t xml:space="preserve"> - Phú Thuận</t>
    </r>
  </si>
  <si>
    <t>Thành phố Hồ Chí Minh (Đường nhỏ) - Phước Long</t>
  </si>
  <si>
    <t>Thành phố Hồ Chí Minh, Phú Thuận</t>
  </si>
  <si>
    <t>Thành phố Hồ Chí Minh (Đường nhỏ), Phước Long</t>
  </si>
  <si>
    <t>7.704D63R63717001J</t>
  </si>
  <si>
    <t>POWER100 LP 3IN1DELICATE 4POD@15G*170PCH</t>
  </si>
  <si>
    <t>VIÊN GIẶT TIỆN LỢI POWER100 3 TRONG 1 HƯƠNG TINH TẾ 15G*4*170 TÚI</t>
  </si>
  <si>
    <t>TP, Hồ Chí Minh - Thủ Đức</t>
  </si>
  <si>
    <t>Hiến Hiệu</t>
  </si>
  <si>
    <t>Đồng Nai - Xuân Lộc</t>
  </si>
  <si>
    <t>Nguyên Vật Liệu Smallfortune</t>
  </si>
  <si>
    <t>Tây Ninh - Khánh Hậu/ Long An/ Tân An/ Bến Lức/ Bình Đức/ Đức Hòa/ Đức Lập/ Hậu Nghĩa/ Hòa Khánh/ Long Cang/ Mỹ Hạnh/ Mỹ Yên/ Rạch Kiến/ Tân Lân</t>
  </si>
  <si>
    <t>Bất Động Sản Sản Xuất Dịch Vụ Hưng Long Phát</t>
  </si>
  <si>
    <t>Các Phường/Xã khác trực thuộc TP, Hồ Chí Minh</t>
  </si>
  <si>
    <t>Poyun</t>
  </si>
  <si>
    <t>CÔNG TY TNHH SẢN XUẤT THƯƠNG MẠI POYUN</t>
  </si>
  <si>
    <t>Đường 4A, KCN Bàu Xéo , Xã Sông Trầu, Huyện Trảng Bom, Đồng Nai</t>
  </si>
  <si>
    <t>Thực Phẩm Nissin Việt Nam</t>
  </si>
  <si>
    <t>HCM - Bến Cát/ Hòa Lợi/ Hòa Phú/ Long Nguyên/ Mỹ Phước/ Tân Hiệp/ Tân Khánh/ Tân Uyên/ Tây Nam/ Thới Hòa/ Vĩnh Tân/ Bắc Tân Uyên</t>
  </si>
  <si>
    <t>CÔNG TY TNHH THỰC PHẨM NISSIN VIỆT NAM</t>
  </si>
  <si>
    <t>SỐ 2 VSIP II-A, ĐƯỜNG SỐ 19, KCN VIỆT NAM - SINGAPORE II-A, PHƯỜNG VĨNH TÂN, THÀNH PHỐ HỒ CHÍ MINH, VIỆT NAM</t>
  </si>
  <si>
    <t>Silver Nano Việt Nam</t>
  </si>
  <si>
    <t>CÔNG TY CỔ PHẦN SILVER NANO VIỆT NAM</t>
  </si>
  <si>
    <t>Thửa Đất Số 138, Đường Số 1, Kênh Tư Thượng, Ấp Bình Tiền 2, Xã Đức Hòa, Tỉnh Tây Ninh, Việt Nam</t>
  </si>
  <si>
    <t>Thương Mại Và Đầu Tư LG</t>
  </si>
  <si>
    <t>CÔNG TY TNHH THƯƠNG MẠI VÀ ĐẦU TƯ LG</t>
  </si>
  <si>
    <t>LÔ Q21 ĐƯỜNG SỐ 11, KCN HẢI SƠN MỞ RỘNG (GĐ 3+4), XÃ ĐỨC HÒA, TỈNH TÂY NINH</t>
  </si>
  <si>
    <t>Thủy Đặc Sản</t>
  </si>
  <si>
    <t>CÔNG TY CỔ PHẦN THỦY ĐẶC SẢN</t>
  </si>
  <si>
    <t>B23/63 Hoàng Phan Thái, Xã Bình Chánh, H.Bình Chánh</t>
  </si>
  <si>
    <t>Việt Nam Kỹ Nghệ Súc Sản</t>
  </si>
  <si>
    <t>TP, Hồ Chí Minh - Bình Lợi Trung</t>
  </si>
  <si>
    <t>CÔNG TY CỔ PHẦN VIỆT NAM KỸ NGHỆ SÚC SẢN</t>
  </si>
  <si>
    <t>SỐ 420, ĐƯỜNG NƠ TRANG LONG, PHƯỜNG BÌNH LỢI TRUNG, THÀNH PHỐ HỒ CHÍ MINH, VIỆT NAM.</t>
  </si>
  <si>
    <t>Phát Triển Khoa Học Quốc Tế Trường Sinh</t>
  </si>
  <si>
    <t>CÔNG TY TNHH PHÁT TRIỂN KHOA HỌC QUỐC TẾ TRƯỜNG SINH</t>
  </si>
  <si>
    <t>129 QUỐC LỘ 13, PHƯỜNG BÌNH THẠNH, THÀNH PHỐ HỒ CHÍ MINH</t>
  </si>
  <si>
    <t>Xà Bông Hạnh Phước</t>
  </si>
  <si>
    <t>TP, Hồ Chí Minh - Minh Phụng</t>
  </si>
  <si>
    <t>CÔNG TY TNHH XÀ BÔNG HẠNH PHƯỚC</t>
  </si>
  <si>
    <t>31 ĐÀO NGUYÊN PHỔ, PHƯỜNG 4, QUẬN 11, TPHCM</t>
  </si>
  <si>
    <t>Đại Việt Hương</t>
  </si>
  <si>
    <t>CÔNG TY CỔ PHẦN ĐẠI VIỆT HƯƠNG – CHI NHÁNH CẦN THƠ</t>
  </si>
  <si>
    <t>CHÀNH 1062, QUỐC LỘ 1A, PHƯỜNG TÂN TẠO A, QUẬN BÌNH TÂN, TP HCM</t>
  </si>
  <si>
    <t>Thorakao CO.LTD</t>
  </si>
  <si>
    <t>1191 Quốc Lộ 1A, Thới An, TP. Hồ Chí Minh</t>
  </si>
  <si>
    <t>Agronalis</t>
  </si>
  <si>
    <t>CÔNG TY TNHH AGRONALIS</t>
  </si>
  <si>
    <t>72 Tô Ký, P.Trung Mỹ Tây, TpHCM</t>
  </si>
  <si>
    <t>Quang Xuân Trường</t>
  </si>
  <si>
    <t>CÔNG TY TNHH DỊCH VỤ - THƯƠNG MẠI QUANG XUÂN TRƯỜNG</t>
  </si>
  <si>
    <t>SỐ 322, TỔ 5, ẤP 1B, XÃ PHƯỚC HÒA, THÀNH PHỐ HỒ CHÍ MINH, VIỆT NAM.</t>
  </si>
  <si>
    <t>Hồ Chí Minh - Phước Hòa</t>
  </si>
  <si>
    <t>Hồ Chí Minh - Bàu Bàng/ Long Hòa/ Phước Hòa…</t>
  </si>
  <si>
    <t>Hoàng Giang</t>
  </si>
  <si>
    <t>CÔNG TY TNHH HOÀNG GIANG</t>
  </si>
  <si>
    <t>PHƯỜNG HÀM THẮNG, TỈNH LÂM ĐỒNG, VIỆT NAM</t>
  </si>
  <si>
    <t>Lâm Đồng - Hàm Thắng/ Phú Thủy/ Tuyên Quang/ Lương Sơn</t>
  </si>
  <si>
    <t>Lâm Đông - Hàm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</si>
</sst>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8.25"/>
      <color rgb="FF000000"/>
      <name val="Tahoma"/>
      <family val="2"/>
    </font>
    <font>
      <sz val="10"/>
      <color rgb="FF000000"/>
      <name val="Calibri Light"/>
      <family val="1"/>
      <scheme val="major"/>
    </font>
    <font>
      <sz val="8.25"/>
      <color rgb="FFFF0000"/>
      <name val="Tahoma"/>
      <family val="2"/>
    </font>
    <font>
      <sz val="11"/>
      <color rgb="FFFF0000"/>
      <name val="Calibri"/>
      <family val="2"/>
      <scheme val="minor"/>
    </font>
    <font>
      <sz val="8.25"/>
      <color rgb="FF000000"/>
      <name val="Tahoma"/>
      <family val="2"/>
    </font>
    <font>
      <b/>
      <sz val="9"/>
      <name val="Times New Roman"/>
      <family val="1"/>
    </font>
    <font>
      <b/>
      <sz val="9"/>
      <color rgb="FF000000"/>
      <name val="Times New Roman"/>
      <family val="1"/>
    </font>
    <font>
      <sz val="8.25"/>
      <color rgb="FF000000"/>
      <name val="Tahoma"/>
      <family val="2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color rgb="FF000000"/>
      <name val="Tahoma"/>
      <family val="2"/>
    </font>
    <font>
      <sz val="8.25"/>
      <name val="Tahoma"/>
      <family val="2"/>
    </font>
    <font>
      <sz val="11"/>
      <name val="Calibri"/>
      <family val="2"/>
      <scheme val="minor"/>
    </font>
    <font>
      <b/>
      <sz val="8"/>
      <name val="Times New Roman"/>
      <family val="1"/>
    </font>
    <font>
      <sz val="12"/>
      <color theme="1"/>
      <name val="Times New Roman"/>
      <family val="1"/>
    </font>
    <font>
      <sz val="8.25"/>
      <color rgb="FF000000"/>
      <name val="Times New Roman"/>
      <family val="1"/>
    </font>
    <font>
      <sz val="8.25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3D3D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5">
    <xf numFmtId="0" fontId="0" fillId="0" borderId="0"/>
    <xf numFmtId="0" fontId="10" fillId="0" borderId="0"/>
    <xf numFmtId="0" fontId="1" fillId="0" borderId="0"/>
    <xf numFmtId="0" fontId="1" fillId="0" borderId="0"/>
    <xf numFmtId="0" fontId="10" fillId="0" borderId="0"/>
  </cellStyleXfs>
  <cellXfs count="194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6" borderId="3" xfId="0" applyFill="1" applyBorder="1"/>
    <xf numFmtId="0" fontId="0" fillId="0" borderId="4" xfId="0" applyBorder="1"/>
    <xf numFmtId="0" fontId="2" fillId="0" borderId="1" xfId="0" applyFont="1" applyBorder="1"/>
    <xf numFmtId="49" fontId="3" fillId="2" borderId="3" xfId="0" applyNumberFormat="1" applyFont="1" applyFill="1" applyBorder="1" applyAlignment="1">
      <alignment horizontal="left" vertical="center"/>
    </xf>
    <xf numFmtId="49" fontId="3" fillId="6" borderId="1" xfId="0" applyNumberFormat="1" applyFont="1" applyFill="1" applyBorder="1" applyAlignment="1">
      <alignment horizontal="left" vertical="center"/>
    </xf>
    <xf numFmtId="49" fontId="7" fillId="2" borderId="6" xfId="0" applyNumberFormat="1" applyFont="1" applyFill="1" applyBorder="1" applyAlignment="1">
      <alignment horizontal="left" vertical="center"/>
    </xf>
    <xf numFmtId="0" fontId="2" fillId="0" borderId="0" xfId="0" applyFont="1"/>
    <xf numFmtId="0" fontId="0" fillId="6" borderId="0" xfId="0" applyFill="1"/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0" xfId="0" applyFont="1" applyFill="1"/>
    <xf numFmtId="0" fontId="0" fillId="0" borderId="2" xfId="0" applyBorder="1" applyAlignment="1">
      <alignment horizontal="center"/>
    </xf>
    <xf numFmtId="49" fontId="7" fillId="6" borderId="2" xfId="0" applyNumberFormat="1" applyFont="1" applyFill="1" applyBorder="1" applyAlignment="1">
      <alignment horizontal="left" vertical="center"/>
    </xf>
    <xf numFmtId="0" fontId="0" fillId="6" borderId="2" xfId="0" applyFill="1" applyBorder="1"/>
    <xf numFmtId="164" fontId="0" fillId="6" borderId="2" xfId="0" applyNumberFormat="1" applyFill="1" applyBorder="1"/>
    <xf numFmtId="0" fontId="0" fillId="0" borderId="2" xfId="0" applyBorder="1"/>
    <xf numFmtId="49" fontId="7" fillId="2" borderId="1" xfId="0" applyNumberFormat="1" applyFont="1" applyFill="1" applyBorder="1" applyAlignment="1">
      <alignment horizontal="left" vertical="center"/>
    </xf>
    <xf numFmtId="164" fontId="0" fillId="0" borderId="2" xfId="0" applyNumberFormat="1" applyBorder="1"/>
    <xf numFmtId="49" fontId="7" fillId="2" borderId="2" xfId="0" applyNumberFormat="1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0" fontId="6" fillId="4" borderId="2" xfId="0" applyFont="1" applyFill="1" applyBorder="1"/>
    <xf numFmtId="0" fontId="0" fillId="6" borderId="5" xfId="0" applyFill="1" applyBorder="1" applyAlignment="1">
      <alignment horizontal="center"/>
    </xf>
    <xf numFmtId="49" fontId="8" fillId="6" borderId="5" xfId="0" applyNumberFormat="1" applyFont="1" applyFill="1" applyBorder="1" applyAlignment="1">
      <alignment horizontal="left" vertical="center"/>
    </xf>
    <xf numFmtId="0" fontId="0" fillId="6" borderId="5" xfId="0" applyFill="1" applyBorder="1"/>
    <xf numFmtId="164" fontId="5" fillId="6" borderId="5" xfId="0" applyNumberFormat="1" applyFont="1" applyFill="1" applyBorder="1"/>
    <xf numFmtId="0" fontId="6" fillId="0" borderId="2" xfId="0" applyFont="1" applyBorder="1"/>
    <xf numFmtId="49" fontId="7" fillId="4" borderId="2" xfId="0" applyNumberFormat="1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49" fontId="7" fillId="0" borderId="6" xfId="0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0" fillId="0" borderId="1" xfId="0" applyBorder="1"/>
    <xf numFmtId="0" fontId="0" fillId="4" borderId="2" xfId="0" applyFill="1" applyBorder="1"/>
    <xf numFmtId="0" fontId="0" fillId="0" borderId="3" xfId="0" applyBorder="1"/>
    <xf numFmtId="0" fontId="0" fillId="0" borderId="1" xfId="0" applyBorder="1" applyAlignment="1">
      <alignment horizontal="center"/>
    </xf>
    <xf numFmtId="49" fontId="3" fillId="5" borderId="6" xfId="0" applyNumberFormat="1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49" fontId="8" fillId="6" borderId="2" xfId="0" applyNumberFormat="1" applyFont="1" applyFill="1" applyBorder="1" applyAlignment="1">
      <alignment horizontal="left" vertical="center"/>
    </xf>
    <xf numFmtId="164" fontId="5" fillId="6" borderId="2" xfId="0" applyNumberFormat="1" applyFont="1" applyFill="1" applyBorder="1"/>
    <xf numFmtId="0" fontId="0" fillId="6" borderId="3" xfId="0" applyFill="1" applyBorder="1" applyAlignment="1">
      <alignment horizontal="center"/>
    </xf>
    <xf numFmtId="49" fontId="7" fillId="6" borderId="3" xfId="0" applyNumberFormat="1" applyFont="1" applyFill="1" applyBorder="1" applyAlignment="1">
      <alignment horizontal="left" vertical="center"/>
    </xf>
    <xf numFmtId="164" fontId="0" fillId="6" borderId="3" xfId="0" applyNumberFormat="1" applyFill="1" applyBorder="1"/>
    <xf numFmtId="0" fontId="0" fillId="6" borderId="1" xfId="0" applyFill="1" applyBorder="1" applyAlignment="1">
      <alignment horizontal="center"/>
    </xf>
    <xf numFmtId="49" fontId="7" fillId="6" borderId="1" xfId="0" applyNumberFormat="1" applyFont="1" applyFill="1" applyBorder="1" applyAlignment="1">
      <alignment horizontal="left" vertical="center"/>
    </xf>
    <xf numFmtId="0" fontId="0" fillId="6" borderId="1" xfId="0" applyFill="1" applyBorder="1"/>
    <xf numFmtId="164" fontId="0" fillId="6" borderId="1" xfId="0" applyNumberFormat="1" applyFill="1" applyBorder="1"/>
    <xf numFmtId="0" fontId="0" fillId="0" borderId="4" xfId="0" applyBorder="1" applyAlignment="1">
      <alignment horizontal="center"/>
    </xf>
    <xf numFmtId="49" fontId="11" fillId="0" borderId="1" xfId="0" applyNumberFormat="1" applyFont="1" applyBorder="1" applyAlignment="1">
      <alignment horizontal="left" vertical="center"/>
    </xf>
    <xf numFmtId="164" fontId="0" fillId="0" borderId="1" xfId="0" applyNumberFormat="1" applyBorder="1"/>
    <xf numFmtId="49" fontId="7" fillId="0" borderId="4" xfId="0" applyNumberFormat="1" applyFont="1" applyBorder="1" applyAlignment="1">
      <alignment horizontal="left" vertical="center"/>
    </xf>
    <xf numFmtId="164" fontId="0" fillId="0" borderId="4" xfId="0" applyNumberFormat="1" applyBorder="1"/>
    <xf numFmtId="49" fontId="8" fillId="6" borderId="4" xfId="0" applyNumberFormat="1" applyFont="1" applyFill="1" applyBorder="1" applyAlignment="1">
      <alignment horizontal="left" vertical="center"/>
    </xf>
    <xf numFmtId="0" fontId="0" fillId="6" borderId="4" xfId="0" applyFill="1" applyBorder="1" applyAlignment="1">
      <alignment horizontal="center"/>
    </xf>
    <xf numFmtId="0" fontId="0" fillId="6" borderId="4" xfId="0" applyFill="1" applyBorder="1"/>
    <xf numFmtId="164" fontId="5" fillId="6" borderId="4" xfId="0" applyNumberFormat="1" applyFont="1" applyFill="1" applyBorder="1"/>
    <xf numFmtId="0" fontId="0" fillId="0" borderId="3" xfId="0" applyBorder="1" applyAlignment="1">
      <alignment horizontal="center"/>
    </xf>
    <xf numFmtId="49" fontId="7" fillId="0" borderId="3" xfId="0" applyNumberFormat="1" applyFont="1" applyBorder="1" applyAlignment="1">
      <alignment horizontal="left" vertical="center"/>
    </xf>
    <xf numFmtId="164" fontId="0" fillId="0" borderId="3" xfId="0" applyNumberFormat="1" applyBorder="1"/>
    <xf numFmtId="49" fontId="11" fillId="0" borderId="3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2" fillId="6" borderId="1" xfId="0" applyFont="1" applyFill="1" applyBorder="1"/>
    <xf numFmtId="164" fontId="2" fillId="6" borderId="1" xfId="0" applyNumberFormat="1" applyFont="1" applyFill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164" fontId="2" fillId="0" borderId="3" xfId="0" applyNumberFormat="1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64" fontId="2" fillId="0" borderId="4" xfId="0" applyNumberFormat="1" applyFont="1" applyBorder="1"/>
    <xf numFmtId="0" fontId="0" fillId="6" borderId="8" xfId="0" applyFill="1" applyBorder="1" applyAlignment="1">
      <alignment horizontal="center"/>
    </xf>
    <xf numFmtId="49" fontId="8" fillId="6" borderId="8" xfId="0" applyNumberFormat="1" applyFont="1" applyFill="1" applyBorder="1" applyAlignment="1">
      <alignment horizontal="left" vertical="center"/>
    </xf>
    <xf numFmtId="0" fontId="0" fillId="6" borderId="8" xfId="0" applyFill="1" applyBorder="1"/>
    <xf numFmtId="164" fontId="5" fillId="6" borderId="8" xfId="0" applyNumberFormat="1" applyFont="1" applyFill="1" applyBorder="1"/>
    <xf numFmtId="0" fontId="0" fillId="0" borderId="9" xfId="0" applyBorder="1"/>
    <xf numFmtId="0" fontId="2" fillId="0" borderId="9" xfId="0" applyFont="1" applyBorder="1"/>
    <xf numFmtId="49" fontId="13" fillId="6" borderId="1" xfId="0" applyNumberFormat="1" applyFont="1" applyFill="1" applyBorder="1" applyAlignment="1">
      <alignment horizontal="left" vertical="center"/>
    </xf>
    <xf numFmtId="0" fontId="14" fillId="6" borderId="1" xfId="0" applyFont="1" applyFill="1" applyBorder="1"/>
    <xf numFmtId="164" fontId="14" fillId="6" borderId="1" xfId="0" applyNumberFormat="1" applyFont="1" applyFill="1" applyBorder="1"/>
    <xf numFmtId="49" fontId="13" fillId="6" borderId="4" xfId="0" applyNumberFormat="1" applyFont="1" applyFill="1" applyBorder="1" applyAlignment="1">
      <alignment horizontal="left" vertical="center"/>
    </xf>
    <xf numFmtId="0" fontId="14" fillId="6" borderId="4" xfId="0" applyFont="1" applyFill="1" applyBorder="1"/>
    <xf numFmtId="164" fontId="14" fillId="6" borderId="4" xfId="0" applyNumberFormat="1" applyFont="1" applyFill="1" applyBorder="1"/>
    <xf numFmtId="49" fontId="13" fillId="0" borderId="1" xfId="0" applyNumberFormat="1" applyFont="1" applyBorder="1" applyAlignment="1">
      <alignment horizontal="left" vertical="center"/>
    </xf>
    <xf numFmtId="0" fontId="14" fillId="0" borderId="1" xfId="0" applyFont="1" applyBorder="1"/>
    <xf numFmtId="49" fontId="15" fillId="0" borderId="1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0" fontId="14" fillId="0" borderId="4" xfId="0" applyFont="1" applyBorder="1"/>
    <xf numFmtId="164" fontId="0" fillId="0" borderId="10" xfId="0" applyNumberFormat="1" applyBorder="1"/>
    <xf numFmtId="49" fontId="16" fillId="3" borderId="2" xfId="0" applyNumberFormat="1" applyFont="1" applyFill="1" applyBorder="1" applyAlignment="1">
      <alignment horizontal="center" vertical="center"/>
    </xf>
    <xf numFmtId="49" fontId="17" fillId="3" borderId="2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0" fontId="14" fillId="0" borderId="0" xfId="0" applyFont="1"/>
    <xf numFmtId="49" fontId="4" fillId="0" borderId="1" xfId="0" applyNumberFormat="1" applyFont="1" applyBorder="1" applyAlignment="1">
      <alignment horizontal="left" vertical="center"/>
    </xf>
    <xf numFmtId="49" fontId="18" fillId="2" borderId="6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49" fontId="3" fillId="2" borderId="6" xfId="0" applyNumberFormat="1" applyFont="1" applyFill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top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/>
    </xf>
    <xf numFmtId="0" fontId="2" fillId="0" borderId="6" xfId="0" applyFont="1" applyBorder="1" applyAlignment="1">
      <alignment horizontal="left" vertical="center"/>
    </xf>
    <xf numFmtId="49" fontId="21" fillId="2" borderId="6" xfId="0" applyNumberFormat="1" applyFont="1" applyFill="1" applyBorder="1" applyAlignment="1">
      <alignment horizontal="left" vertical="center"/>
    </xf>
    <xf numFmtId="49" fontId="22" fillId="2" borderId="6" xfId="0" applyNumberFormat="1" applyFont="1" applyFill="1" applyBorder="1" applyAlignment="1">
      <alignment horizontal="left" vertical="center"/>
    </xf>
    <xf numFmtId="49" fontId="23" fillId="2" borderId="6" xfId="0" applyNumberFormat="1" applyFont="1" applyFill="1" applyBorder="1" applyAlignment="1">
      <alignment horizontal="left" vertical="center"/>
    </xf>
    <xf numFmtId="49" fontId="24" fillId="2" borderId="6" xfId="0" applyNumberFormat="1" applyFont="1" applyFill="1" applyBorder="1" applyAlignment="1">
      <alignment horizontal="left" vertical="center"/>
    </xf>
    <xf numFmtId="49" fontId="13" fillId="2" borderId="6" xfId="0" applyNumberFormat="1" applyFont="1" applyFill="1" applyBorder="1" applyAlignment="1">
      <alignment horizontal="left" vertical="center"/>
    </xf>
    <xf numFmtId="49" fontId="13" fillId="2" borderId="0" xfId="0" applyNumberFormat="1" applyFont="1" applyFill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25" fillId="2" borderId="6" xfId="0" applyNumberFormat="1" applyFont="1" applyFill="1" applyBorder="1" applyAlignment="1">
      <alignment horizontal="left" vertical="center"/>
    </xf>
    <xf numFmtId="49" fontId="25" fillId="7" borderId="6" xfId="0" applyNumberFormat="1" applyFont="1" applyFill="1" applyBorder="1" applyAlignment="1">
      <alignment horizontal="left" vertical="center"/>
    </xf>
    <xf numFmtId="49" fontId="26" fillId="2" borderId="6" xfId="0" applyNumberFormat="1" applyFont="1" applyFill="1" applyBorder="1" applyAlignment="1">
      <alignment horizontal="left" vertical="center"/>
    </xf>
    <xf numFmtId="49" fontId="7" fillId="7" borderId="6" xfId="0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2" fontId="27" fillId="2" borderId="6" xfId="0" applyNumberFormat="1" applyFont="1" applyFill="1" applyBorder="1" applyAlignment="1">
      <alignment horizontal="left" vertical="center"/>
    </xf>
    <xf numFmtId="2" fontId="28" fillId="2" borderId="6" xfId="0" applyNumberFormat="1" applyFont="1" applyFill="1" applyBorder="1" applyAlignment="1">
      <alignment horizontal="left" vertical="center"/>
    </xf>
    <xf numFmtId="2" fontId="13" fillId="2" borderId="6" xfId="0" applyNumberFormat="1" applyFont="1" applyFill="1" applyBorder="1" applyAlignment="1">
      <alignment horizontal="left" vertical="center"/>
    </xf>
    <xf numFmtId="2" fontId="14" fillId="2" borderId="6" xfId="0" applyNumberFormat="1" applyFont="1" applyFill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49" fontId="3" fillId="8" borderId="1" xfId="0" applyNumberFormat="1" applyFont="1" applyFill="1" applyBorder="1" applyAlignment="1">
      <alignment horizontal="left" vertical="center"/>
    </xf>
    <xf numFmtId="49" fontId="29" fillId="9" borderId="2" xfId="0" applyNumberFormat="1" applyFont="1" applyFill="1" applyBorder="1" applyAlignment="1">
      <alignment horizontal="center" vertical="center" wrapText="1"/>
    </xf>
    <xf numFmtId="0" fontId="30" fillId="0" borderId="6" xfId="0" applyFont="1" applyBorder="1"/>
    <xf numFmtId="0" fontId="30" fillId="0" borderId="1" xfId="0" applyFont="1" applyBorder="1" applyAlignment="1">
      <alignment horizontal="left" vertical="center" wrapText="1"/>
    </xf>
    <xf numFmtId="0" fontId="0" fillId="7" borderId="0" xfId="0" applyFill="1"/>
    <xf numFmtId="49" fontId="22" fillId="7" borderId="6" xfId="0" applyNumberFormat="1" applyFont="1" applyFill="1" applyBorder="1" applyAlignment="1">
      <alignment horizontal="left" vertical="center"/>
    </xf>
    <xf numFmtId="49" fontId="13" fillId="7" borderId="6" xfId="0" applyNumberFormat="1" applyFont="1" applyFill="1" applyBorder="1" applyAlignment="1">
      <alignment horizontal="left" vertical="center"/>
    </xf>
    <xf numFmtId="0" fontId="14" fillId="7" borderId="0" xfId="0" applyFont="1" applyFill="1"/>
    <xf numFmtId="49" fontId="23" fillId="7" borderId="6" xfId="0" applyNumberFormat="1" applyFont="1" applyFill="1" applyBorder="1" applyAlignment="1">
      <alignment horizontal="left" vertical="center"/>
    </xf>
    <xf numFmtId="49" fontId="3" fillId="7" borderId="6" xfId="0" applyNumberFormat="1" applyFont="1" applyFill="1" applyBorder="1" applyAlignment="1">
      <alignment horizontal="left" vertical="center"/>
    </xf>
    <xf numFmtId="49" fontId="24" fillId="7" borderId="6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49" fontId="26" fillId="7" borderId="6" xfId="0" applyNumberFormat="1" applyFont="1" applyFill="1" applyBorder="1" applyAlignment="1">
      <alignment horizontal="left" vertical="center"/>
    </xf>
    <xf numFmtId="2" fontId="27" fillId="7" borderId="6" xfId="0" applyNumberFormat="1" applyFont="1" applyFill="1" applyBorder="1" applyAlignment="1">
      <alignment horizontal="left" vertical="center"/>
    </xf>
    <xf numFmtId="2" fontId="13" fillId="7" borderId="6" xfId="0" applyNumberFormat="1" applyFont="1" applyFill="1" applyBorder="1" applyAlignment="1">
      <alignment horizontal="left" vertical="center"/>
    </xf>
    <xf numFmtId="2" fontId="14" fillId="7" borderId="6" xfId="0" applyNumberFormat="1" applyFont="1" applyFill="1" applyBorder="1" applyAlignment="1">
      <alignment horizontal="left" vertical="center"/>
    </xf>
    <xf numFmtId="2" fontId="28" fillId="7" borderId="6" xfId="0" applyNumberFormat="1" applyFont="1" applyFill="1" applyBorder="1" applyAlignment="1">
      <alignment horizontal="left" vertical="center"/>
    </xf>
    <xf numFmtId="49" fontId="2" fillId="7" borderId="6" xfId="0" applyNumberFormat="1" applyFont="1" applyFill="1" applyBorder="1" applyAlignment="1">
      <alignment horizontal="left" vertical="center"/>
    </xf>
    <xf numFmtId="0" fontId="2" fillId="7" borderId="0" xfId="0" applyFont="1" applyFill="1"/>
    <xf numFmtId="0" fontId="2" fillId="0" borderId="6" xfId="0" applyFont="1" applyBorder="1"/>
    <xf numFmtId="49" fontId="4" fillId="7" borderId="6" xfId="0" applyNumberFormat="1" applyFont="1" applyFill="1" applyBorder="1" applyAlignment="1">
      <alignment horizontal="left" vertical="center"/>
    </xf>
    <xf numFmtId="2" fontId="20" fillId="7" borderId="6" xfId="0" applyNumberFormat="1" applyFont="1" applyFill="1" applyBorder="1" applyAlignment="1">
      <alignment horizontal="left" vertical="center"/>
    </xf>
    <xf numFmtId="0" fontId="4" fillId="7" borderId="0" xfId="0" applyFont="1" applyFill="1"/>
    <xf numFmtId="2" fontId="4" fillId="7" borderId="6" xfId="0" applyNumberFormat="1" applyFont="1" applyFill="1" applyBorder="1" applyAlignment="1">
      <alignment horizontal="left" vertical="center"/>
    </xf>
    <xf numFmtId="49" fontId="29" fillId="3" borderId="2" xfId="0" applyNumberFormat="1" applyFont="1" applyFill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left" vertical="center" wrapText="1"/>
    </xf>
    <xf numFmtId="0" fontId="2" fillId="0" borderId="11" xfId="0" applyFont="1" applyBorder="1"/>
    <xf numFmtId="2" fontId="7" fillId="2" borderId="6" xfId="0" applyNumberFormat="1" applyFont="1" applyFill="1" applyBorder="1" applyAlignment="1">
      <alignment horizontal="left" vertical="center"/>
    </xf>
    <xf numFmtId="49" fontId="8" fillId="11" borderId="6" xfId="0" applyNumberFormat="1" applyFont="1" applyFill="1" applyBorder="1" applyAlignment="1">
      <alignment horizontal="center" vertical="center"/>
    </xf>
    <xf numFmtId="2" fontId="8" fillId="11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right" vertical="center"/>
    </xf>
    <xf numFmtId="49" fontId="7" fillId="6" borderId="6" xfId="0" applyNumberFormat="1" applyFont="1" applyFill="1" applyBorder="1" applyAlignment="1">
      <alignment horizontal="left" vertical="center"/>
    </xf>
    <xf numFmtId="0" fontId="0" fillId="0" borderId="6" xfId="0" applyBorder="1"/>
    <xf numFmtId="2" fontId="0" fillId="0" borderId="0" xfId="0" applyNumberFormat="1"/>
    <xf numFmtId="0" fontId="19" fillId="6" borderId="0" xfId="0" applyFont="1" applyFill="1" applyAlignment="1">
      <alignment horizontal="center"/>
    </xf>
    <xf numFmtId="49" fontId="3" fillId="0" borderId="11" xfId="0" applyNumberFormat="1" applyFont="1" applyBorder="1" applyAlignment="1">
      <alignment horizontal="left" vertical="center"/>
    </xf>
    <xf numFmtId="49" fontId="29" fillId="10" borderId="8" xfId="0" applyNumberFormat="1" applyFont="1" applyFill="1" applyBorder="1" applyAlignment="1">
      <alignment horizontal="center" vertical="center"/>
    </xf>
    <xf numFmtId="49" fontId="29" fillId="3" borderId="8" xfId="0" applyNumberFormat="1" applyFont="1" applyFill="1" applyBorder="1" applyAlignment="1">
      <alignment horizontal="center" vertical="center"/>
    </xf>
    <xf numFmtId="49" fontId="29" fillId="9" borderId="8" xfId="0" applyNumberFormat="1" applyFont="1" applyFill="1" applyBorder="1" applyAlignment="1">
      <alignment horizontal="center" vertical="center" wrapText="1"/>
    </xf>
    <xf numFmtId="49" fontId="16" fillId="3" borderId="8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center" vertical="center"/>
    </xf>
    <xf numFmtId="0" fontId="30" fillId="0" borderId="11" xfId="0" applyFont="1" applyBorder="1"/>
    <xf numFmtId="2" fontId="7" fillId="2" borderId="11" xfId="0" applyNumberFormat="1" applyFont="1" applyFill="1" applyBorder="1" applyAlignment="1">
      <alignment horizontal="left" vertical="center"/>
    </xf>
    <xf numFmtId="0" fontId="2" fillId="0" borderId="8" xfId="0" applyFont="1" applyBorder="1"/>
    <xf numFmtId="49" fontId="3" fillId="0" borderId="0" xfId="0" applyNumberFormat="1" applyFont="1" applyAlignment="1">
      <alignment horizontal="left" vertical="center"/>
    </xf>
    <xf numFmtId="49" fontId="3" fillId="2" borderId="11" xfId="0" applyNumberFormat="1" applyFont="1" applyFill="1" applyBorder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49" fontId="31" fillId="2" borderId="11" xfId="0" applyNumberFormat="1" applyFont="1" applyFill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1" fillId="2" borderId="0" xfId="0" applyNumberFormat="1" applyFont="1" applyFill="1" applyAlignment="1">
      <alignment horizontal="left" vertical="center"/>
    </xf>
    <xf numFmtId="49" fontId="20" fillId="0" borderId="11" xfId="0" applyNumberFormat="1" applyFont="1" applyBorder="1" applyAlignment="1">
      <alignment horizontal="left" vertical="center"/>
    </xf>
    <xf numFmtId="2" fontId="4" fillId="2" borderId="11" xfId="0" applyNumberFormat="1" applyFont="1" applyFill="1" applyBorder="1" applyAlignment="1">
      <alignment horizontal="left" vertical="center"/>
    </xf>
    <xf numFmtId="2" fontId="4" fillId="2" borderId="0" xfId="0" applyNumberFormat="1" applyFont="1" applyFill="1" applyAlignment="1">
      <alignment horizontal="left" vertical="center"/>
    </xf>
    <xf numFmtId="2" fontId="20" fillId="2" borderId="0" xfId="0" applyNumberFormat="1" applyFont="1" applyFill="1" applyAlignment="1">
      <alignment horizontal="left" vertical="center"/>
    </xf>
    <xf numFmtId="0" fontId="2" fillId="12" borderId="0" xfId="0" applyFont="1" applyFill="1"/>
    <xf numFmtId="0" fontId="30" fillId="0" borderId="8" xfId="0" applyFont="1" applyBorder="1" applyAlignment="1">
      <alignment horizontal="left" vertical="center" wrapText="1"/>
    </xf>
    <xf numFmtId="49" fontId="32" fillId="2" borderId="0" xfId="0" applyNumberFormat="1" applyFont="1" applyFill="1" applyAlignment="1">
      <alignment horizontal="left" vertical="center"/>
    </xf>
    <xf numFmtId="49" fontId="29" fillId="13" borderId="8" xfId="0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30" fillId="13" borderId="11" xfId="0" applyFont="1" applyFill="1" applyBorder="1"/>
    <xf numFmtId="49" fontId="3" fillId="13" borderId="11" xfId="0" applyNumberFormat="1" applyFont="1" applyFill="1" applyBorder="1" applyAlignment="1">
      <alignment horizontal="left" vertical="center"/>
    </xf>
    <xf numFmtId="0" fontId="2" fillId="13" borderId="11" xfId="0" applyFont="1" applyFill="1" applyBorder="1"/>
  </cellXfs>
  <cellStyles count="5">
    <cellStyle name="Bình thường 8" xfId="2" xr:uid="{00000000-0005-0000-0000-000000000000}"/>
    <cellStyle name="Normal" xfId="0" builtinId="0"/>
    <cellStyle name="Normal 2 5" xfId="3" xr:uid="{00000000-0005-0000-0000-000004000000}"/>
    <cellStyle name="Normal 3" xfId="1" xr:uid="{00000000-0005-0000-0000-000005000000}"/>
    <cellStyle name="Normal 4" xfId="4" xr:uid="{00000000-0005-0000-0000-000006000000}"/>
  </cellStyles>
  <dxfs count="0"/>
  <tableStyles count="0" defaultTableStyle="TableStyleMedium2" defaultPivotStyle="PivotStyleLight16"/>
  <colors>
    <mruColors>
      <color rgb="FFFFFFFF"/>
      <color rgb="FF66FFFF"/>
      <color rgb="FFCCFFFF"/>
      <color rgb="FFFFFFC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"/>
  <sheetViews>
    <sheetView zoomScale="110" zoomScaleNormal="110" workbookViewId="0">
      <selection activeCell="H14" sqref="H14"/>
    </sheetView>
  </sheetViews>
  <sheetFormatPr baseColWidth="10" defaultColWidth="8.83203125" defaultRowHeight="15" x14ac:dyDescent="0.2"/>
  <cols>
    <col min="2" max="2" width="69.6640625" customWidth="1"/>
    <col min="6" max="6" width="12.33203125" customWidth="1"/>
    <col min="7" max="7" width="14.83203125" customWidth="1"/>
    <col min="8" max="8" width="15.5" customWidth="1"/>
    <col min="9" max="9" width="13.33203125" customWidth="1"/>
  </cols>
  <sheetData>
    <row r="1" spans="1:9" x14ac:dyDescent="0.2">
      <c r="A1" s="13"/>
      <c r="B1" s="13" t="s">
        <v>41</v>
      </c>
    </row>
    <row r="2" spans="1:9" ht="24" customHeight="1" x14ac:dyDescent="0.2">
      <c r="A2" s="14" t="s">
        <v>1</v>
      </c>
      <c r="B2" s="14" t="s">
        <v>42</v>
      </c>
      <c r="C2" s="14" t="s">
        <v>4</v>
      </c>
      <c r="D2" s="14" t="s">
        <v>2</v>
      </c>
      <c r="E2" s="14" t="s">
        <v>43</v>
      </c>
      <c r="F2" s="15" t="s">
        <v>44</v>
      </c>
      <c r="G2" s="15" t="s">
        <v>45</v>
      </c>
    </row>
    <row r="3" spans="1:9" x14ac:dyDescent="0.2">
      <c r="A3" s="17">
        <v>1</v>
      </c>
      <c r="B3" s="18" t="s">
        <v>46</v>
      </c>
      <c r="C3" s="19" t="s">
        <v>47</v>
      </c>
      <c r="D3" s="19">
        <v>5</v>
      </c>
      <c r="E3" s="19">
        <v>83</v>
      </c>
      <c r="F3" s="19">
        <f t="shared" ref="F3:F14" si="0">D3*E3</f>
        <v>415</v>
      </c>
      <c r="G3" s="20">
        <f t="shared" ref="G3:G14" si="1">ROUND(F3/1000,3)</f>
        <v>0.41499999999999998</v>
      </c>
      <c r="H3" t="s">
        <v>48</v>
      </c>
      <c r="I3">
        <f>16*5+3</f>
        <v>83</v>
      </c>
    </row>
    <row r="4" spans="1:9" x14ac:dyDescent="0.2">
      <c r="A4" s="17">
        <f t="shared" ref="A4:A12" si="2">A3+1</f>
        <v>2</v>
      </c>
      <c r="B4" s="18" t="s">
        <v>49</v>
      </c>
      <c r="C4" s="19" t="s">
        <v>50</v>
      </c>
      <c r="D4" s="19">
        <v>0.91</v>
      </c>
      <c r="E4" s="19">
        <v>28</v>
      </c>
      <c r="F4" s="19">
        <f t="shared" si="0"/>
        <v>25.48</v>
      </c>
      <c r="G4" s="20">
        <f t="shared" si="1"/>
        <v>2.5000000000000001E-2</v>
      </c>
      <c r="H4" t="s">
        <v>51</v>
      </c>
      <c r="I4">
        <f>10.92/12</f>
        <v>0.91</v>
      </c>
    </row>
    <row r="5" spans="1:9" x14ac:dyDescent="0.2">
      <c r="A5" s="17">
        <f t="shared" si="2"/>
        <v>3</v>
      </c>
      <c r="B5" s="18" t="s">
        <v>52</v>
      </c>
      <c r="C5" s="19" t="s">
        <v>53</v>
      </c>
      <c r="D5" s="19">
        <v>0.3</v>
      </c>
      <c r="E5" s="19">
        <v>83</v>
      </c>
      <c r="F5" s="19">
        <f t="shared" si="0"/>
        <v>24.9</v>
      </c>
      <c r="G5" s="20">
        <f t="shared" si="1"/>
        <v>2.5000000000000001E-2</v>
      </c>
      <c r="H5" t="s">
        <v>54</v>
      </c>
      <c r="I5">
        <f>3*24+11</f>
        <v>83</v>
      </c>
    </row>
    <row r="6" spans="1:9" x14ac:dyDescent="0.2">
      <c r="A6" s="17">
        <f t="shared" si="2"/>
        <v>4</v>
      </c>
      <c r="B6" s="18" t="s">
        <v>55</v>
      </c>
      <c r="C6" s="19" t="s">
        <v>50</v>
      </c>
      <c r="D6" s="19">
        <v>0.255</v>
      </c>
      <c r="E6" s="19">
        <v>83</v>
      </c>
      <c r="F6" s="19">
        <f t="shared" si="0"/>
        <v>21.164999999999999</v>
      </c>
      <c r="G6" s="20">
        <f t="shared" si="1"/>
        <v>2.1000000000000001E-2</v>
      </c>
      <c r="H6" t="s">
        <v>56</v>
      </c>
      <c r="I6">
        <f>3*24+11</f>
        <v>83</v>
      </c>
    </row>
    <row r="7" spans="1:9" x14ac:dyDescent="0.2">
      <c r="A7" s="17">
        <f t="shared" si="2"/>
        <v>5</v>
      </c>
      <c r="B7" s="18" t="s">
        <v>57</v>
      </c>
      <c r="C7" s="19" t="s">
        <v>50</v>
      </c>
      <c r="D7" s="19">
        <v>0.27</v>
      </c>
      <c r="E7" s="19">
        <v>83</v>
      </c>
      <c r="F7" s="19">
        <f t="shared" si="0"/>
        <v>22.41</v>
      </c>
      <c r="G7" s="20">
        <f t="shared" si="1"/>
        <v>2.1999999999999999E-2</v>
      </c>
      <c r="H7" t="s">
        <v>56</v>
      </c>
      <c r="I7">
        <f>3*24+11</f>
        <v>83</v>
      </c>
    </row>
    <row r="8" spans="1:9" x14ac:dyDescent="0.2">
      <c r="A8" s="17">
        <f t="shared" si="2"/>
        <v>6</v>
      </c>
      <c r="B8" s="18" t="s">
        <v>58</v>
      </c>
      <c r="C8" s="19" t="s">
        <v>50</v>
      </c>
      <c r="D8" s="19">
        <v>0.75</v>
      </c>
      <c r="E8" s="19">
        <v>137</v>
      </c>
      <c r="F8" s="19">
        <f t="shared" si="0"/>
        <v>102.75</v>
      </c>
      <c r="G8" s="20">
        <f t="shared" si="1"/>
        <v>0.10299999999999999</v>
      </c>
      <c r="H8" t="s">
        <v>59</v>
      </c>
      <c r="I8">
        <f>8*16+10</f>
        <v>138</v>
      </c>
    </row>
    <row r="9" spans="1:9" x14ac:dyDescent="0.2">
      <c r="A9" s="17">
        <f t="shared" si="2"/>
        <v>7</v>
      </c>
      <c r="B9" s="22" t="s">
        <v>60</v>
      </c>
      <c r="C9" s="21" t="s">
        <v>61</v>
      </c>
      <c r="D9" s="21">
        <v>12</v>
      </c>
      <c r="E9" s="21">
        <v>4</v>
      </c>
      <c r="F9" s="21">
        <f t="shared" si="0"/>
        <v>48</v>
      </c>
      <c r="G9" s="23">
        <f t="shared" si="1"/>
        <v>4.8000000000000001E-2</v>
      </c>
      <c r="H9" t="s">
        <v>62</v>
      </c>
    </row>
    <row r="10" spans="1:9" x14ac:dyDescent="0.2">
      <c r="A10" s="17">
        <f t="shared" si="2"/>
        <v>8</v>
      </c>
      <c r="B10" s="11" t="s">
        <v>63</v>
      </c>
      <c r="C10" s="21" t="s">
        <v>61</v>
      </c>
      <c r="D10" s="21">
        <v>12</v>
      </c>
      <c r="E10" s="21">
        <v>1</v>
      </c>
      <c r="F10" s="21">
        <f t="shared" si="0"/>
        <v>12</v>
      </c>
      <c r="G10" s="23">
        <f t="shared" si="1"/>
        <v>1.2E-2</v>
      </c>
      <c r="H10" t="s">
        <v>64</v>
      </c>
    </row>
    <row r="11" spans="1:9" x14ac:dyDescent="0.2">
      <c r="A11" s="17">
        <f t="shared" si="2"/>
        <v>9</v>
      </c>
      <c r="B11" s="24" t="s">
        <v>60</v>
      </c>
      <c r="C11" s="21" t="s">
        <v>61</v>
      </c>
      <c r="D11" s="21">
        <v>12.336</v>
      </c>
      <c r="E11" s="21">
        <v>23</v>
      </c>
      <c r="F11" s="21">
        <f t="shared" si="0"/>
        <v>283.72800000000001</v>
      </c>
      <c r="G11" s="23">
        <f t="shared" si="1"/>
        <v>0.28399999999999997</v>
      </c>
      <c r="H11" t="s">
        <v>65</v>
      </c>
    </row>
    <row r="12" spans="1:9" x14ac:dyDescent="0.2">
      <c r="A12" s="17">
        <f t="shared" si="2"/>
        <v>10</v>
      </c>
      <c r="B12" s="25" t="s">
        <v>66</v>
      </c>
      <c r="C12" s="21" t="s">
        <v>61</v>
      </c>
      <c r="D12" s="21">
        <v>12</v>
      </c>
      <c r="E12" s="21">
        <v>3</v>
      </c>
      <c r="F12" s="21">
        <f t="shared" si="0"/>
        <v>36</v>
      </c>
      <c r="G12" s="23">
        <f t="shared" si="1"/>
        <v>3.5999999999999997E-2</v>
      </c>
      <c r="H12" t="s">
        <v>67</v>
      </c>
    </row>
    <row r="13" spans="1:9" x14ac:dyDescent="0.2">
      <c r="A13" s="17"/>
      <c r="B13" s="26" t="s">
        <v>68</v>
      </c>
      <c r="C13" s="21" t="s">
        <v>69</v>
      </c>
      <c r="D13" s="21">
        <v>1</v>
      </c>
      <c r="E13" s="21"/>
      <c r="F13" s="21">
        <f t="shared" si="0"/>
        <v>0</v>
      </c>
      <c r="G13" s="23">
        <f t="shared" si="1"/>
        <v>0</v>
      </c>
      <c r="H13" t="s">
        <v>70</v>
      </c>
    </row>
    <row r="14" spans="1:9" x14ac:dyDescent="0.2">
      <c r="A14" s="17">
        <f>A10+1</f>
        <v>9</v>
      </c>
      <c r="B14" s="24" t="s">
        <v>71</v>
      </c>
      <c r="C14" s="21" t="s">
        <v>72</v>
      </c>
      <c r="D14" s="21">
        <v>0.27800000000000002</v>
      </c>
      <c r="E14" s="21">
        <v>210</v>
      </c>
      <c r="F14" s="21">
        <f t="shared" si="0"/>
        <v>58.38</v>
      </c>
      <c r="G14" s="23">
        <f t="shared" si="1"/>
        <v>5.8000000000000003E-2</v>
      </c>
      <c r="I14">
        <v>0.27800000000000002</v>
      </c>
    </row>
    <row r="15" spans="1:9" x14ac:dyDescent="0.2">
      <c r="A15" s="27"/>
      <c r="B15" s="28" t="s">
        <v>73</v>
      </c>
      <c r="C15" s="29"/>
      <c r="D15" s="29"/>
      <c r="E15" s="29"/>
      <c r="F15" s="29"/>
      <c r="G15" s="30">
        <f>SUM(G3:G14)</f>
        <v>1.0490000000000002</v>
      </c>
    </row>
    <row r="19" spans="1:9" x14ac:dyDescent="0.2">
      <c r="B19" s="31" t="s">
        <v>74</v>
      </c>
      <c r="C19" s="21" t="s">
        <v>61</v>
      </c>
      <c r="D19" s="21">
        <v>4.8</v>
      </c>
    </row>
    <row r="20" spans="1:9" x14ac:dyDescent="0.2">
      <c r="B20" s="32" t="s">
        <v>75</v>
      </c>
      <c r="C20" s="21" t="s">
        <v>61</v>
      </c>
      <c r="D20" s="21">
        <v>4.8</v>
      </c>
    </row>
    <row r="21" spans="1:9" x14ac:dyDescent="0.2">
      <c r="B21" s="24" t="s">
        <v>60</v>
      </c>
      <c r="C21" s="21" t="s">
        <v>61</v>
      </c>
      <c r="D21" s="21">
        <v>12.336</v>
      </c>
    </row>
    <row r="22" spans="1:9" x14ac:dyDescent="0.2">
      <c r="B22" s="24" t="s">
        <v>60</v>
      </c>
      <c r="C22" s="21" t="s">
        <v>61</v>
      </c>
      <c r="D22" s="21">
        <v>12.336</v>
      </c>
    </row>
    <row r="23" spans="1:9" x14ac:dyDescent="0.2">
      <c r="B23" s="26" t="s">
        <v>68</v>
      </c>
      <c r="C23" s="21" t="s">
        <v>69</v>
      </c>
      <c r="D23" s="21">
        <v>1</v>
      </c>
    </row>
    <row r="24" spans="1:9" x14ac:dyDescent="0.2">
      <c r="B24" s="24" t="s">
        <v>71</v>
      </c>
      <c r="C24" s="21" t="s">
        <v>72</v>
      </c>
      <c r="D24" s="21">
        <v>0.29399999999999998</v>
      </c>
    </row>
    <row r="29" spans="1:9" x14ac:dyDescent="0.2">
      <c r="A29" s="13"/>
      <c r="B29" s="16" t="s">
        <v>76</v>
      </c>
    </row>
    <row r="30" spans="1:9" ht="31.5" customHeight="1" x14ac:dyDescent="0.2">
      <c r="A30" s="14" t="s">
        <v>1</v>
      </c>
      <c r="B30" s="14" t="s">
        <v>42</v>
      </c>
      <c r="C30" s="15" t="s">
        <v>77</v>
      </c>
      <c r="D30" s="15" t="s">
        <v>78</v>
      </c>
      <c r="E30" s="14" t="s">
        <v>43</v>
      </c>
      <c r="F30" s="15" t="s">
        <v>44</v>
      </c>
      <c r="G30" s="15" t="s">
        <v>45</v>
      </c>
    </row>
    <row r="31" spans="1:9" x14ac:dyDescent="0.2">
      <c r="A31" s="33">
        <v>1</v>
      </c>
      <c r="B31" s="18" t="s">
        <v>46</v>
      </c>
      <c r="C31" s="19" t="s">
        <v>47</v>
      </c>
      <c r="D31" s="19">
        <v>5</v>
      </c>
      <c r="E31" s="19">
        <v>86</v>
      </c>
      <c r="F31" s="19">
        <f t="shared" ref="F31:F42" si="3">D31*E31</f>
        <v>430</v>
      </c>
      <c r="G31" s="20">
        <f t="shared" ref="G31:G42" si="4">ROUND(F31/1000,3)</f>
        <v>0.43</v>
      </c>
      <c r="H31" s="13" t="s">
        <v>79</v>
      </c>
      <c r="I31">
        <f>17*5+1</f>
        <v>86</v>
      </c>
    </row>
    <row r="32" spans="1:9" x14ac:dyDescent="0.2">
      <c r="A32" s="33">
        <f t="shared" ref="A32:A40" si="5">A31+1</f>
        <v>2</v>
      </c>
      <c r="B32" s="18" t="s">
        <v>49</v>
      </c>
      <c r="C32" s="19" t="s">
        <v>50</v>
      </c>
      <c r="D32" s="19">
        <v>0.91</v>
      </c>
      <c r="E32" s="19">
        <v>31</v>
      </c>
      <c r="F32" s="19">
        <f t="shared" si="3"/>
        <v>28.21</v>
      </c>
      <c r="G32" s="20">
        <f t="shared" si="4"/>
        <v>2.8000000000000001E-2</v>
      </c>
      <c r="H32" s="13" t="s">
        <v>80</v>
      </c>
      <c r="I32">
        <f>2*12+7</f>
        <v>31</v>
      </c>
    </row>
    <row r="33" spans="1:9" x14ac:dyDescent="0.2">
      <c r="A33" s="33">
        <f t="shared" si="5"/>
        <v>3</v>
      </c>
      <c r="B33" s="18" t="s">
        <v>52</v>
      </c>
      <c r="C33" s="19" t="s">
        <v>53</v>
      </c>
      <c r="D33" s="19">
        <v>0.3</v>
      </c>
      <c r="E33" s="19">
        <v>86</v>
      </c>
      <c r="F33" s="19">
        <f t="shared" si="3"/>
        <v>25.8</v>
      </c>
      <c r="G33" s="20">
        <f t="shared" si="4"/>
        <v>2.5999999999999999E-2</v>
      </c>
      <c r="H33" s="13" t="s">
        <v>81</v>
      </c>
      <c r="I33">
        <f>3*24+14</f>
        <v>86</v>
      </c>
    </row>
    <row r="34" spans="1:9" x14ac:dyDescent="0.2">
      <c r="A34" s="33">
        <f t="shared" si="5"/>
        <v>4</v>
      </c>
      <c r="B34" s="18" t="s">
        <v>55</v>
      </c>
      <c r="C34" s="19" t="s">
        <v>50</v>
      </c>
      <c r="D34" s="19">
        <v>0.255</v>
      </c>
      <c r="E34" s="19">
        <v>86</v>
      </c>
      <c r="F34" s="19">
        <f t="shared" si="3"/>
        <v>21.93</v>
      </c>
      <c r="G34" s="20">
        <f t="shared" si="4"/>
        <v>2.1999999999999999E-2</v>
      </c>
      <c r="H34" s="13" t="s">
        <v>82</v>
      </c>
      <c r="I34">
        <f>3*24+14</f>
        <v>86</v>
      </c>
    </row>
    <row r="35" spans="1:9" x14ac:dyDescent="0.2">
      <c r="A35" s="33">
        <f t="shared" si="5"/>
        <v>5</v>
      </c>
      <c r="B35" s="18" t="s">
        <v>57</v>
      </c>
      <c r="C35" s="19" t="s">
        <v>50</v>
      </c>
      <c r="D35" s="19">
        <v>0.27</v>
      </c>
      <c r="E35" s="19">
        <v>86</v>
      </c>
      <c r="F35" s="19">
        <f t="shared" si="3"/>
        <v>23.220000000000002</v>
      </c>
      <c r="G35" s="20">
        <f t="shared" si="4"/>
        <v>2.3E-2</v>
      </c>
      <c r="H35" s="13" t="s">
        <v>82</v>
      </c>
      <c r="I35">
        <f>3*24+14</f>
        <v>86</v>
      </c>
    </row>
    <row r="36" spans="1:9" x14ac:dyDescent="0.2">
      <c r="A36" s="33">
        <f t="shared" si="5"/>
        <v>6</v>
      </c>
      <c r="B36" s="18" t="s">
        <v>58</v>
      </c>
      <c r="C36" s="19" t="s">
        <v>50</v>
      </c>
      <c r="D36" s="19">
        <v>0.75</v>
      </c>
      <c r="E36" s="19">
        <v>135</v>
      </c>
      <c r="F36" s="19">
        <f t="shared" si="3"/>
        <v>101.25</v>
      </c>
      <c r="G36" s="20">
        <f t="shared" si="4"/>
        <v>0.10100000000000001</v>
      </c>
      <c r="H36" s="13" t="s">
        <v>83</v>
      </c>
      <c r="I36">
        <f>8*16+7</f>
        <v>135</v>
      </c>
    </row>
    <row r="37" spans="1:9" x14ac:dyDescent="0.2">
      <c r="A37" s="17">
        <f t="shared" si="5"/>
        <v>7</v>
      </c>
      <c r="B37" s="34" t="s">
        <v>63</v>
      </c>
      <c r="C37" s="21" t="s">
        <v>61</v>
      </c>
      <c r="D37" s="21">
        <v>12.336</v>
      </c>
      <c r="E37" s="21">
        <v>9</v>
      </c>
      <c r="F37" s="21">
        <f t="shared" si="3"/>
        <v>111.024</v>
      </c>
      <c r="G37" s="23">
        <f t="shared" si="4"/>
        <v>0.111</v>
      </c>
      <c r="H37" t="s">
        <v>84</v>
      </c>
    </row>
    <row r="38" spans="1:9" x14ac:dyDescent="0.2">
      <c r="A38" s="17">
        <f t="shared" si="5"/>
        <v>8</v>
      </c>
      <c r="B38" s="34" t="s">
        <v>85</v>
      </c>
      <c r="C38" s="21" t="s">
        <v>61</v>
      </c>
      <c r="D38" s="21">
        <v>12</v>
      </c>
      <c r="E38" s="21">
        <v>11</v>
      </c>
      <c r="F38" s="21">
        <f t="shared" si="3"/>
        <v>132</v>
      </c>
      <c r="G38" s="23">
        <f t="shared" si="4"/>
        <v>0.13200000000000001</v>
      </c>
      <c r="H38" t="s">
        <v>64</v>
      </c>
    </row>
    <row r="39" spans="1:9" x14ac:dyDescent="0.2">
      <c r="A39" s="17">
        <f t="shared" si="5"/>
        <v>9</v>
      </c>
      <c r="B39" s="35" t="s">
        <v>66</v>
      </c>
      <c r="C39" s="21" t="s">
        <v>61</v>
      </c>
      <c r="D39" s="21">
        <v>12.336</v>
      </c>
      <c r="E39" s="21">
        <v>7</v>
      </c>
      <c r="F39" s="21">
        <f t="shared" si="3"/>
        <v>86.352000000000004</v>
      </c>
      <c r="G39" s="23">
        <f t="shared" si="4"/>
        <v>8.5999999999999993E-2</v>
      </c>
      <c r="H39" t="s">
        <v>86</v>
      </c>
    </row>
    <row r="40" spans="1:9" x14ac:dyDescent="0.2">
      <c r="A40" s="17">
        <f t="shared" si="5"/>
        <v>10</v>
      </c>
      <c r="B40" s="36" t="s">
        <v>60</v>
      </c>
      <c r="C40" s="21" t="s">
        <v>61</v>
      </c>
      <c r="D40" s="21">
        <v>12.336</v>
      </c>
      <c r="E40" s="21">
        <v>3</v>
      </c>
      <c r="F40" s="21">
        <f t="shared" si="3"/>
        <v>37.008000000000003</v>
      </c>
      <c r="G40" s="23">
        <f t="shared" si="4"/>
        <v>3.6999999999999998E-2</v>
      </c>
      <c r="H40" t="s">
        <v>87</v>
      </c>
    </row>
    <row r="41" spans="1:9" x14ac:dyDescent="0.2">
      <c r="A41" s="17"/>
      <c r="B41" s="34" t="s">
        <v>88</v>
      </c>
      <c r="C41" s="21" t="s">
        <v>61</v>
      </c>
      <c r="D41" s="21">
        <v>12.336</v>
      </c>
      <c r="E41" s="21">
        <v>2</v>
      </c>
      <c r="F41" s="21">
        <f t="shared" si="3"/>
        <v>24.672000000000001</v>
      </c>
      <c r="G41" s="23">
        <f t="shared" si="4"/>
        <v>2.5000000000000001E-2</v>
      </c>
      <c r="H41" t="s">
        <v>89</v>
      </c>
    </row>
    <row r="42" spans="1:9" x14ac:dyDescent="0.2">
      <c r="A42" s="17">
        <f>A40+1</f>
        <v>11</v>
      </c>
      <c r="B42" s="34" t="s">
        <v>90</v>
      </c>
      <c r="C42" s="21" t="s">
        <v>61</v>
      </c>
      <c r="D42" s="21">
        <v>12.336</v>
      </c>
      <c r="E42" s="21">
        <v>1</v>
      </c>
      <c r="F42" s="21">
        <f t="shared" si="3"/>
        <v>12.336</v>
      </c>
      <c r="G42" s="23">
        <f t="shared" si="4"/>
        <v>1.2E-2</v>
      </c>
      <c r="H42" t="s">
        <v>91</v>
      </c>
    </row>
    <row r="43" spans="1:9" x14ac:dyDescent="0.2">
      <c r="A43" s="27"/>
      <c r="B43" s="28" t="s">
        <v>73</v>
      </c>
      <c r="C43" s="29"/>
      <c r="D43" s="29"/>
      <c r="E43" s="29"/>
      <c r="F43" s="29"/>
      <c r="G43" s="30">
        <f>SUM(G31:G42)</f>
        <v>1.0329999999999999</v>
      </c>
    </row>
    <row r="46" spans="1:9" x14ac:dyDescent="0.2">
      <c r="A46" s="13"/>
      <c r="B46" s="16" t="s">
        <v>99</v>
      </c>
    </row>
    <row r="47" spans="1:9" ht="32" x14ac:dyDescent="0.2">
      <c r="A47" s="14" t="s">
        <v>1</v>
      </c>
      <c r="B47" s="14" t="s">
        <v>42</v>
      </c>
      <c r="C47" s="15" t="s">
        <v>77</v>
      </c>
      <c r="D47" s="15" t="s">
        <v>78</v>
      </c>
      <c r="E47" s="14" t="s">
        <v>43</v>
      </c>
      <c r="F47" s="15" t="s">
        <v>44</v>
      </c>
      <c r="G47" s="15" t="s">
        <v>45</v>
      </c>
    </row>
    <row r="48" spans="1:9" x14ac:dyDescent="0.2">
      <c r="A48" s="33">
        <v>1</v>
      </c>
      <c r="B48" s="18" t="s">
        <v>46</v>
      </c>
      <c r="C48" s="19" t="s">
        <v>47</v>
      </c>
      <c r="D48" s="19">
        <v>5</v>
      </c>
      <c r="E48" s="19">
        <v>87</v>
      </c>
      <c r="F48" s="19">
        <f t="shared" ref="F48:F60" si="6">D48*E48</f>
        <v>435</v>
      </c>
      <c r="G48" s="20">
        <f t="shared" ref="G48:G60" si="7">ROUND(F48/1000,3)</f>
        <v>0.435</v>
      </c>
      <c r="H48" s="13" t="s">
        <v>100</v>
      </c>
      <c r="I48">
        <f>17*5+2</f>
        <v>87</v>
      </c>
    </row>
    <row r="49" spans="1:9" x14ac:dyDescent="0.2">
      <c r="A49" s="33">
        <f>A48+1</f>
        <v>2</v>
      </c>
      <c r="B49" s="18" t="s">
        <v>49</v>
      </c>
      <c r="C49" s="19" t="s">
        <v>50</v>
      </c>
      <c r="D49" s="19">
        <v>0.91</v>
      </c>
      <c r="E49" s="19">
        <v>25</v>
      </c>
      <c r="F49" s="19">
        <f t="shared" si="6"/>
        <v>22.75</v>
      </c>
      <c r="G49" s="20">
        <f t="shared" si="7"/>
        <v>2.3E-2</v>
      </c>
      <c r="H49" s="13" t="s">
        <v>101</v>
      </c>
      <c r="I49">
        <f>2*12+1</f>
        <v>25</v>
      </c>
    </row>
    <row r="50" spans="1:9" x14ac:dyDescent="0.2">
      <c r="A50" s="33">
        <f>A49+1</f>
        <v>3</v>
      </c>
      <c r="B50" s="18" t="s">
        <v>52</v>
      </c>
      <c r="C50" s="19" t="s">
        <v>53</v>
      </c>
      <c r="D50" s="19">
        <v>0.3</v>
      </c>
      <c r="E50" s="19">
        <v>87</v>
      </c>
      <c r="F50" s="19">
        <f t="shared" si="6"/>
        <v>26.099999999999998</v>
      </c>
      <c r="G50" s="20">
        <f t="shared" si="7"/>
        <v>2.5999999999999999E-2</v>
      </c>
      <c r="H50" s="13" t="s">
        <v>102</v>
      </c>
      <c r="I50">
        <f>3*24+15</f>
        <v>87</v>
      </c>
    </row>
    <row r="51" spans="1:9" x14ac:dyDescent="0.2">
      <c r="A51" s="33">
        <f>A50+1</f>
        <v>4</v>
      </c>
      <c r="B51" s="18" t="s">
        <v>55</v>
      </c>
      <c r="C51" s="19" t="s">
        <v>50</v>
      </c>
      <c r="D51" s="19">
        <v>0.255</v>
      </c>
      <c r="E51" s="19">
        <v>87</v>
      </c>
      <c r="F51" s="19">
        <f t="shared" si="6"/>
        <v>22.184999999999999</v>
      </c>
      <c r="G51" s="20">
        <f t="shared" si="7"/>
        <v>2.1999999999999999E-2</v>
      </c>
      <c r="H51" s="13" t="s">
        <v>103</v>
      </c>
      <c r="I51">
        <f>3*24+15</f>
        <v>87</v>
      </c>
    </row>
    <row r="52" spans="1:9" x14ac:dyDescent="0.2">
      <c r="A52" s="33">
        <f>A51+1</f>
        <v>5</v>
      </c>
      <c r="B52" s="18" t="s">
        <v>57</v>
      </c>
      <c r="C52" s="19" t="s">
        <v>50</v>
      </c>
      <c r="D52" s="19">
        <v>0.27</v>
      </c>
      <c r="E52" s="19">
        <v>87</v>
      </c>
      <c r="F52" s="19">
        <f t="shared" si="6"/>
        <v>23.490000000000002</v>
      </c>
      <c r="G52" s="20">
        <f t="shared" si="7"/>
        <v>2.3E-2</v>
      </c>
      <c r="H52" s="13" t="s">
        <v>103</v>
      </c>
      <c r="I52">
        <f>3*24+15</f>
        <v>87</v>
      </c>
    </row>
    <row r="53" spans="1:9" x14ac:dyDescent="0.2">
      <c r="A53" s="33">
        <f>A52+1</f>
        <v>6</v>
      </c>
      <c r="B53" s="18" t="s">
        <v>58</v>
      </c>
      <c r="C53" s="19" t="s">
        <v>50</v>
      </c>
      <c r="D53" s="19">
        <v>0.75</v>
      </c>
      <c r="E53" s="19">
        <v>139</v>
      </c>
      <c r="F53" s="19">
        <f t="shared" si="6"/>
        <v>104.25</v>
      </c>
      <c r="G53" s="20">
        <f t="shared" si="7"/>
        <v>0.104</v>
      </c>
      <c r="H53" s="13" t="s">
        <v>104</v>
      </c>
      <c r="I53">
        <f>8*16+11</f>
        <v>139</v>
      </c>
    </row>
    <row r="54" spans="1:9" x14ac:dyDescent="0.2">
      <c r="A54" s="33"/>
      <c r="B54" s="34" t="s">
        <v>63</v>
      </c>
      <c r="C54" s="21" t="s">
        <v>61</v>
      </c>
      <c r="D54" s="21">
        <v>12.336</v>
      </c>
      <c r="E54" s="21"/>
      <c r="F54" s="21">
        <f t="shared" si="6"/>
        <v>0</v>
      </c>
      <c r="G54" s="23">
        <f t="shared" si="7"/>
        <v>0</v>
      </c>
      <c r="H54" t="s">
        <v>84</v>
      </c>
    </row>
    <row r="55" spans="1:9" x14ac:dyDescent="0.2">
      <c r="A55" s="33"/>
      <c r="B55" s="34" t="s">
        <v>85</v>
      </c>
      <c r="C55" s="21" t="s">
        <v>61</v>
      </c>
      <c r="D55" s="21">
        <v>12</v>
      </c>
      <c r="E55" s="21"/>
      <c r="F55" s="21">
        <f t="shared" si="6"/>
        <v>0</v>
      </c>
      <c r="G55" s="23">
        <f t="shared" si="7"/>
        <v>0</v>
      </c>
      <c r="H55" t="s">
        <v>64</v>
      </c>
    </row>
    <row r="56" spans="1:9" x14ac:dyDescent="0.2">
      <c r="A56" s="33"/>
      <c r="B56" s="35" t="s">
        <v>66</v>
      </c>
      <c r="C56" s="21" t="s">
        <v>61</v>
      </c>
      <c r="D56" s="21">
        <v>12.336</v>
      </c>
      <c r="E56" s="21"/>
      <c r="F56" s="21">
        <f t="shared" si="6"/>
        <v>0</v>
      </c>
      <c r="G56" s="23">
        <f t="shared" si="7"/>
        <v>0</v>
      </c>
      <c r="H56" t="s">
        <v>86</v>
      </c>
    </row>
    <row r="57" spans="1:9" x14ac:dyDescent="0.2">
      <c r="A57" s="33"/>
      <c r="B57" s="36" t="s">
        <v>60</v>
      </c>
      <c r="C57" s="21" t="s">
        <v>61</v>
      </c>
      <c r="D57" s="21">
        <v>12.336</v>
      </c>
      <c r="E57" s="21"/>
      <c r="F57" s="21">
        <f t="shared" si="6"/>
        <v>0</v>
      </c>
      <c r="G57" s="23">
        <f t="shared" si="7"/>
        <v>0</v>
      </c>
      <c r="H57" t="s">
        <v>87</v>
      </c>
    </row>
    <row r="58" spans="1:9" x14ac:dyDescent="0.2">
      <c r="A58" s="33"/>
      <c r="B58" s="34" t="s">
        <v>88</v>
      </c>
      <c r="C58" s="21" t="s">
        <v>61</v>
      </c>
      <c r="D58" s="21">
        <v>12.336</v>
      </c>
      <c r="E58" s="21"/>
      <c r="F58" s="21">
        <f t="shared" si="6"/>
        <v>0</v>
      </c>
      <c r="G58" s="23">
        <f t="shared" si="7"/>
        <v>0</v>
      </c>
      <c r="H58" t="s">
        <v>89</v>
      </c>
    </row>
    <row r="59" spans="1:9" x14ac:dyDescent="0.2">
      <c r="A59" s="33"/>
      <c r="B59" s="34" t="s">
        <v>90</v>
      </c>
      <c r="C59" s="21" t="s">
        <v>61</v>
      </c>
      <c r="D59" s="21">
        <v>12.336</v>
      </c>
      <c r="E59" s="21"/>
      <c r="F59" s="21">
        <f t="shared" si="6"/>
        <v>0</v>
      </c>
      <c r="G59" s="23">
        <f t="shared" si="7"/>
        <v>0</v>
      </c>
      <c r="H59" t="s">
        <v>91</v>
      </c>
    </row>
    <row r="60" spans="1:9" x14ac:dyDescent="0.2">
      <c r="A60" s="33">
        <f>A59+1</f>
        <v>1</v>
      </c>
      <c r="B60" t="s">
        <v>105</v>
      </c>
      <c r="C60" s="21" t="s">
        <v>53</v>
      </c>
      <c r="D60" s="21">
        <v>0.246</v>
      </c>
      <c r="E60" s="21">
        <v>206</v>
      </c>
      <c r="F60" s="21">
        <f t="shared" si="6"/>
        <v>50.676000000000002</v>
      </c>
      <c r="G60" s="23">
        <f t="shared" si="7"/>
        <v>5.0999999999999997E-2</v>
      </c>
      <c r="H60" t="s">
        <v>106</v>
      </c>
      <c r="I60">
        <f>4*48+14</f>
        <v>206</v>
      </c>
    </row>
    <row r="61" spans="1:9" x14ac:dyDescent="0.2">
      <c r="A61" s="27"/>
      <c r="B61" s="28" t="s">
        <v>73</v>
      </c>
      <c r="C61" s="29"/>
      <c r="D61" s="29"/>
      <c r="E61" s="29"/>
      <c r="F61" s="29"/>
      <c r="G61" s="30">
        <f>SUM(G48:G60)</f>
        <v>0.68400000000000005</v>
      </c>
    </row>
    <row r="64" spans="1:9" x14ac:dyDescent="0.2">
      <c r="A64" s="13"/>
      <c r="B64" s="16" t="s">
        <v>108</v>
      </c>
    </row>
    <row r="65" spans="1:9" ht="32" x14ac:dyDescent="0.2">
      <c r="A65" s="14" t="s">
        <v>1</v>
      </c>
      <c r="B65" s="14" t="s">
        <v>42</v>
      </c>
      <c r="C65" s="15" t="s">
        <v>77</v>
      </c>
      <c r="D65" s="15" t="s">
        <v>78</v>
      </c>
      <c r="E65" s="14" t="s">
        <v>43</v>
      </c>
      <c r="F65" s="15" t="s">
        <v>44</v>
      </c>
      <c r="G65" s="15" t="s">
        <v>45</v>
      </c>
    </row>
    <row r="66" spans="1:9" x14ac:dyDescent="0.2">
      <c r="A66" s="33">
        <v>1</v>
      </c>
      <c r="B66" s="18" t="s">
        <v>46</v>
      </c>
      <c r="C66" s="19" t="s">
        <v>47</v>
      </c>
      <c r="D66" s="19">
        <v>5</v>
      </c>
      <c r="E66" s="19">
        <v>79</v>
      </c>
      <c r="F66" s="19">
        <f t="shared" ref="F66:F78" si="8">D66*E66</f>
        <v>395</v>
      </c>
      <c r="G66" s="20">
        <f t="shared" ref="G66:G78" si="9">ROUND(F66/1000,3)</f>
        <v>0.39500000000000002</v>
      </c>
      <c r="H66" s="13" t="s">
        <v>109</v>
      </c>
      <c r="I66">
        <f>15*5+4</f>
        <v>79</v>
      </c>
    </row>
    <row r="67" spans="1:9" x14ac:dyDescent="0.2">
      <c r="A67" s="33">
        <f>A66+1</f>
        <v>2</v>
      </c>
      <c r="B67" s="18" t="s">
        <v>49</v>
      </c>
      <c r="C67" s="19" t="s">
        <v>50</v>
      </c>
      <c r="D67" s="19">
        <v>0.91</v>
      </c>
      <c r="E67" s="19">
        <v>31</v>
      </c>
      <c r="F67" s="19">
        <f t="shared" si="8"/>
        <v>28.21</v>
      </c>
      <c r="G67" s="20">
        <f t="shared" si="9"/>
        <v>2.8000000000000001E-2</v>
      </c>
      <c r="H67" s="13" t="s">
        <v>80</v>
      </c>
      <c r="I67">
        <f>2*12+7</f>
        <v>31</v>
      </c>
    </row>
    <row r="68" spans="1:9" x14ac:dyDescent="0.2">
      <c r="A68" s="33">
        <f>A67+1</f>
        <v>3</v>
      </c>
      <c r="B68" s="18" t="s">
        <v>52</v>
      </c>
      <c r="C68" s="19" t="s">
        <v>53</v>
      </c>
      <c r="D68" s="19">
        <v>0.3</v>
      </c>
      <c r="E68" s="19">
        <v>79</v>
      </c>
      <c r="F68" s="19">
        <f t="shared" si="8"/>
        <v>23.7</v>
      </c>
      <c r="G68" s="20">
        <f t="shared" si="9"/>
        <v>2.4E-2</v>
      </c>
      <c r="H68" s="13" t="s">
        <v>110</v>
      </c>
      <c r="I68">
        <f>3*24+7</f>
        <v>79</v>
      </c>
    </row>
    <row r="69" spans="1:9" x14ac:dyDescent="0.2">
      <c r="A69" s="33">
        <f>A68+1</f>
        <v>4</v>
      </c>
      <c r="B69" s="18" t="s">
        <v>55</v>
      </c>
      <c r="C69" s="19" t="s">
        <v>50</v>
      </c>
      <c r="D69" s="19">
        <v>0.255</v>
      </c>
      <c r="E69" s="19">
        <v>79</v>
      </c>
      <c r="F69" s="19">
        <f t="shared" si="8"/>
        <v>20.145</v>
      </c>
      <c r="G69" s="20">
        <f t="shared" si="9"/>
        <v>0.02</v>
      </c>
      <c r="H69" s="13" t="s">
        <v>111</v>
      </c>
      <c r="I69">
        <f>3*24+7</f>
        <v>79</v>
      </c>
    </row>
    <row r="70" spans="1:9" x14ac:dyDescent="0.2">
      <c r="A70" s="33">
        <f>A69+1</f>
        <v>5</v>
      </c>
      <c r="B70" s="18" t="s">
        <v>57</v>
      </c>
      <c r="C70" s="19" t="s">
        <v>50</v>
      </c>
      <c r="D70" s="19">
        <v>0.27</v>
      </c>
      <c r="E70" s="19">
        <v>79</v>
      </c>
      <c r="F70" s="19">
        <f t="shared" si="8"/>
        <v>21.330000000000002</v>
      </c>
      <c r="G70" s="20">
        <f t="shared" si="9"/>
        <v>2.1000000000000001E-2</v>
      </c>
      <c r="H70" s="13" t="s">
        <v>111</v>
      </c>
      <c r="I70">
        <f>3*24+7</f>
        <v>79</v>
      </c>
    </row>
    <row r="71" spans="1:9" x14ac:dyDescent="0.2">
      <c r="A71" s="33">
        <f>A70+1</f>
        <v>6</v>
      </c>
      <c r="B71" s="18" t="s">
        <v>58</v>
      </c>
      <c r="C71" s="19" t="s">
        <v>50</v>
      </c>
      <c r="D71" s="19">
        <v>0.75</v>
      </c>
      <c r="E71" s="19">
        <v>119</v>
      </c>
      <c r="F71" s="19">
        <f t="shared" si="8"/>
        <v>89.25</v>
      </c>
      <c r="G71" s="20">
        <f t="shared" si="9"/>
        <v>8.8999999999999996E-2</v>
      </c>
      <c r="H71" s="13" t="s">
        <v>112</v>
      </c>
      <c r="I71">
        <f>7*16+7</f>
        <v>119</v>
      </c>
    </row>
    <row r="72" spans="1:9" x14ac:dyDescent="0.2">
      <c r="A72" s="33">
        <f>A78+1</f>
        <v>1</v>
      </c>
      <c r="B72" s="13" t="s">
        <v>105</v>
      </c>
      <c r="C72" s="19" t="s">
        <v>53</v>
      </c>
      <c r="D72" s="19">
        <v>0.246</v>
      </c>
      <c r="E72" s="19">
        <v>182</v>
      </c>
      <c r="F72" s="19">
        <f t="shared" si="8"/>
        <v>44.771999999999998</v>
      </c>
      <c r="G72" s="20">
        <f t="shared" si="9"/>
        <v>4.4999999999999998E-2</v>
      </c>
      <c r="H72" s="13" t="s">
        <v>113</v>
      </c>
      <c r="I72">
        <f>3*48+38</f>
        <v>182</v>
      </c>
    </row>
    <row r="73" spans="1:9" x14ac:dyDescent="0.2">
      <c r="A73" s="33"/>
      <c r="B73" s="34" t="s">
        <v>63</v>
      </c>
      <c r="C73" s="21" t="s">
        <v>61</v>
      </c>
      <c r="D73" s="21">
        <v>12.336</v>
      </c>
      <c r="E73" s="21">
        <v>3</v>
      </c>
      <c r="F73" s="21">
        <f t="shared" si="8"/>
        <v>37.008000000000003</v>
      </c>
      <c r="G73" s="23">
        <f t="shared" si="9"/>
        <v>3.6999999999999998E-2</v>
      </c>
      <c r="H73" t="s">
        <v>87</v>
      </c>
    </row>
    <row r="74" spans="1:9" x14ac:dyDescent="0.2">
      <c r="A74" s="33"/>
      <c r="B74" s="34" t="s">
        <v>85</v>
      </c>
      <c r="C74" s="21" t="s">
        <v>61</v>
      </c>
      <c r="D74" s="21">
        <v>12</v>
      </c>
      <c r="E74" s="21">
        <v>7</v>
      </c>
      <c r="F74" s="21">
        <f t="shared" si="8"/>
        <v>84</v>
      </c>
      <c r="G74" s="23">
        <f t="shared" si="9"/>
        <v>8.4000000000000005E-2</v>
      </c>
      <c r="H74" t="s">
        <v>86</v>
      </c>
    </row>
    <row r="75" spans="1:9" x14ac:dyDescent="0.2">
      <c r="A75" s="33"/>
      <c r="B75" s="35" t="s">
        <v>66</v>
      </c>
      <c r="C75" s="21" t="s">
        <v>61</v>
      </c>
      <c r="D75" s="21">
        <v>12.336</v>
      </c>
      <c r="E75" s="21">
        <v>11</v>
      </c>
      <c r="F75" s="21">
        <f t="shared" si="8"/>
        <v>135.696</v>
      </c>
      <c r="G75" s="23">
        <f t="shared" si="9"/>
        <v>0.13600000000000001</v>
      </c>
      <c r="H75" t="s">
        <v>64</v>
      </c>
    </row>
    <row r="76" spans="1:9" x14ac:dyDescent="0.2">
      <c r="A76" s="33"/>
      <c r="B76" s="32" t="s">
        <v>75</v>
      </c>
      <c r="C76" s="21" t="s">
        <v>61</v>
      </c>
      <c r="D76" s="21">
        <v>4.8</v>
      </c>
      <c r="E76" s="21">
        <v>8</v>
      </c>
      <c r="F76" s="21">
        <f t="shared" si="8"/>
        <v>38.4</v>
      </c>
      <c r="G76" s="23">
        <f t="shared" si="9"/>
        <v>3.7999999999999999E-2</v>
      </c>
      <c r="H76" t="s">
        <v>62</v>
      </c>
    </row>
    <row r="77" spans="1:9" x14ac:dyDescent="0.2">
      <c r="A77" s="33"/>
      <c r="B77" s="32" t="s">
        <v>75</v>
      </c>
      <c r="C77" s="21" t="s">
        <v>61</v>
      </c>
      <c r="D77" s="21">
        <v>4.8</v>
      </c>
      <c r="E77" s="21">
        <v>4</v>
      </c>
      <c r="F77" s="21">
        <f t="shared" si="8"/>
        <v>19.2</v>
      </c>
      <c r="G77" s="23">
        <f t="shared" si="9"/>
        <v>1.9E-2</v>
      </c>
      <c r="H77" t="s">
        <v>114</v>
      </c>
    </row>
    <row r="78" spans="1:9" x14ac:dyDescent="0.2">
      <c r="A78" s="33"/>
      <c r="B78" s="11" t="s">
        <v>63</v>
      </c>
      <c r="C78" s="21" t="s">
        <v>61</v>
      </c>
      <c r="D78" s="21">
        <v>12.336</v>
      </c>
      <c r="E78" s="21">
        <v>5</v>
      </c>
      <c r="F78" s="21">
        <f t="shared" si="8"/>
        <v>61.68</v>
      </c>
      <c r="G78" s="23">
        <f t="shared" si="9"/>
        <v>6.2E-2</v>
      </c>
      <c r="H78" t="s">
        <v>115</v>
      </c>
    </row>
    <row r="79" spans="1:9" x14ac:dyDescent="0.2">
      <c r="A79" s="27"/>
      <c r="B79" s="28" t="s">
        <v>73</v>
      </c>
      <c r="C79" s="29"/>
      <c r="D79" s="29"/>
      <c r="E79" s="29"/>
      <c r="F79" s="29"/>
      <c r="G79" s="30">
        <f>SUM(G66:G78)</f>
        <v>0.99800000000000022</v>
      </c>
    </row>
    <row r="81" spans="1:9" x14ac:dyDescent="0.2">
      <c r="A81" s="13"/>
      <c r="B81" s="16" t="s">
        <v>126</v>
      </c>
    </row>
    <row r="82" spans="1:9" ht="32" x14ac:dyDescent="0.2">
      <c r="A82" s="14" t="s">
        <v>1</v>
      </c>
      <c r="B82" s="14" t="s">
        <v>42</v>
      </c>
      <c r="C82" s="15" t="s">
        <v>77</v>
      </c>
      <c r="D82" s="15" t="s">
        <v>78</v>
      </c>
      <c r="E82" s="14" t="s">
        <v>43</v>
      </c>
      <c r="F82" s="15" t="s">
        <v>44</v>
      </c>
      <c r="G82" s="15" t="s">
        <v>45</v>
      </c>
    </row>
    <row r="83" spans="1:9" x14ac:dyDescent="0.2">
      <c r="A83" s="33">
        <v>1</v>
      </c>
      <c r="B83" s="18" t="s">
        <v>117</v>
      </c>
      <c r="C83" s="19" t="s">
        <v>47</v>
      </c>
      <c r="D83" s="39">
        <v>10.92</v>
      </c>
      <c r="E83" s="19">
        <v>16</v>
      </c>
      <c r="F83" s="19">
        <f t="shared" ref="F83:F90" si="10">D83*E83</f>
        <v>174.72</v>
      </c>
      <c r="G83" s="20">
        <f t="shared" ref="G83:G90" si="11">ROUND(F83/1000,3)</f>
        <v>0.17499999999999999</v>
      </c>
      <c r="H83" s="13" t="s">
        <v>125</v>
      </c>
    </row>
    <row r="84" spans="1:9" x14ac:dyDescent="0.2">
      <c r="A84" s="33">
        <f t="shared" ref="A84:A90" si="12">A83+1</f>
        <v>2</v>
      </c>
      <c r="B84" s="18" t="s">
        <v>118</v>
      </c>
      <c r="C84" s="19" t="s">
        <v>50</v>
      </c>
      <c r="D84" s="39">
        <v>4.8</v>
      </c>
      <c r="E84" s="19">
        <v>3</v>
      </c>
      <c r="F84" s="19">
        <f t="shared" si="10"/>
        <v>14.399999999999999</v>
      </c>
      <c r="G84" s="20">
        <f t="shared" si="11"/>
        <v>1.4E-2</v>
      </c>
      <c r="H84" s="13" t="s">
        <v>87</v>
      </c>
    </row>
    <row r="85" spans="1:9" x14ac:dyDescent="0.2">
      <c r="A85" s="33">
        <f t="shared" si="12"/>
        <v>3</v>
      </c>
      <c r="B85" s="18" t="s">
        <v>119</v>
      </c>
      <c r="C85" s="19" t="s">
        <v>53</v>
      </c>
      <c r="D85" s="39">
        <v>7.7131999999999996</v>
      </c>
      <c r="E85" s="19">
        <v>8</v>
      </c>
      <c r="F85" s="19">
        <f t="shared" si="10"/>
        <v>61.705599999999997</v>
      </c>
      <c r="G85" s="20">
        <f t="shared" si="11"/>
        <v>6.2E-2</v>
      </c>
      <c r="H85" s="13" t="s">
        <v>62</v>
      </c>
    </row>
    <row r="86" spans="1:9" x14ac:dyDescent="0.2">
      <c r="A86" s="33">
        <f t="shared" si="12"/>
        <v>4</v>
      </c>
      <c r="B86" s="18" t="s">
        <v>120</v>
      </c>
      <c r="C86" s="19" t="s">
        <v>50</v>
      </c>
      <c r="D86" s="39">
        <v>6.12</v>
      </c>
      <c r="E86" s="19">
        <v>8</v>
      </c>
      <c r="F86" s="19">
        <f t="shared" si="10"/>
        <v>48.96</v>
      </c>
      <c r="G86" s="20">
        <f t="shared" si="11"/>
        <v>4.9000000000000002E-2</v>
      </c>
      <c r="H86" s="13" t="s">
        <v>62</v>
      </c>
    </row>
    <row r="87" spans="1:9" x14ac:dyDescent="0.2">
      <c r="A87" s="33">
        <f t="shared" si="12"/>
        <v>5</v>
      </c>
      <c r="B87" s="18" t="s">
        <v>121</v>
      </c>
      <c r="C87" s="19" t="s">
        <v>50</v>
      </c>
      <c r="D87" s="39">
        <v>6.12</v>
      </c>
      <c r="E87" s="19">
        <v>8</v>
      </c>
      <c r="F87" s="19">
        <f t="shared" si="10"/>
        <v>48.96</v>
      </c>
      <c r="G87" s="20">
        <f t="shared" si="11"/>
        <v>4.9000000000000002E-2</v>
      </c>
      <c r="H87" s="13" t="s">
        <v>62</v>
      </c>
    </row>
    <row r="88" spans="1:9" x14ac:dyDescent="0.2">
      <c r="A88" s="33">
        <f t="shared" si="12"/>
        <v>6</v>
      </c>
      <c r="B88" s="18" t="s">
        <v>122</v>
      </c>
      <c r="C88" s="19" t="s">
        <v>50</v>
      </c>
      <c r="D88" s="39">
        <v>6.48</v>
      </c>
      <c r="E88" s="19">
        <v>8</v>
      </c>
      <c r="F88" s="19">
        <f t="shared" si="10"/>
        <v>51.84</v>
      </c>
      <c r="G88" s="20">
        <f t="shared" si="11"/>
        <v>5.1999999999999998E-2</v>
      </c>
      <c r="H88" s="13" t="s">
        <v>62</v>
      </c>
    </row>
    <row r="89" spans="1:9" x14ac:dyDescent="0.2">
      <c r="A89" s="33">
        <f t="shared" si="12"/>
        <v>7</v>
      </c>
      <c r="B89" s="13" t="s">
        <v>123</v>
      </c>
      <c r="C89" s="19" t="s">
        <v>53</v>
      </c>
      <c r="D89" s="39">
        <v>9.6</v>
      </c>
      <c r="E89" s="19">
        <v>7</v>
      </c>
      <c r="F89" s="19">
        <f t="shared" si="10"/>
        <v>67.2</v>
      </c>
      <c r="G89" s="20">
        <f t="shared" si="11"/>
        <v>6.7000000000000004E-2</v>
      </c>
      <c r="H89" s="13" t="s">
        <v>86</v>
      </c>
    </row>
    <row r="90" spans="1:9" x14ac:dyDescent="0.2">
      <c r="A90" s="33">
        <f t="shared" si="12"/>
        <v>8</v>
      </c>
      <c r="B90" s="34" t="s">
        <v>124</v>
      </c>
      <c r="C90" s="21" t="s">
        <v>61</v>
      </c>
      <c r="D90" s="39">
        <v>3</v>
      </c>
      <c r="E90" s="19">
        <v>7</v>
      </c>
      <c r="F90" s="19">
        <f t="shared" si="10"/>
        <v>21</v>
      </c>
      <c r="G90" s="20">
        <f t="shared" si="11"/>
        <v>2.1000000000000001E-2</v>
      </c>
      <c r="H90" s="13" t="s">
        <v>86</v>
      </c>
    </row>
    <row r="91" spans="1:9" x14ac:dyDescent="0.2">
      <c r="A91" s="27"/>
      <c r="B91" s="28" t="s">
        <v>73</v>
      </c>
      <c r="C91" s="29"/>
      <c r="D91" s="29"/>
      <c r="E91" s="29"/>
      <c r="F91" s="29"/>
      <c r="G91" s="30">
        <f>SUM(G83:G90)</f>
        <v>0.48899999999999999</v>
      </c>
    </row>
    <row r="93" spans="1:9" x14ac:dyDescent="0.2">
      <c r="A93" s="13"/>
      <c r="B93" s="16" t="s">
        <v>127</v>
      </c>
    </row>
    <row r="94" spans="1:9" ht="32" x14ac:dyDescent="0.2">
      <c r="A94" s="14" t="s">
        <v>1</v>
      </c>
      <c r="B94" s="14" t="s">
        <v>42</v>
      </c>
      <c r="C94" s="15" t="s">
        <v>77</v>
      </c>
      <c r="D94" s="15" t="s">
        <v>78</v>
      </c>
      <c r="E94" s="14" t="s">
        <v>43</v>
      </c>
      <c r="F94" s="15" t="s">
        <v>44</v>
      </c>
      <c r="G94" s="15" t="s">
        <v>45</v>
      </c>
    </row>
    <row r="95" spans="1:9" x14ac:dyDescent="0.2">
      <c r="A95" s="33">
        <v>1</v>
      </c>
      <c r="B95" s="18" t="s">
        <v>46</v>
      </c>
      <c r="C95" s="19" t="s">
        <v>47</v>
      </c>
      <c r="D95" s="19">
        <v>5</v>
      </c>
      <c r="E95" s="19">
        <v>83</v>
      </c>
      <c r="F95" s="19">
        <f t="shared" ref="F95:F102" si="13">D95*E95</f>
        <v>415</v>
      </c>
      <c r="G95" s="20">
        <f t="shared" ref="G95:G102" si="14">ROUND(F95/1000,3)</f>
        <v>0.41499999999999998</v>
      </c>
      <c r="H95" s="13" t="s">
        <v>48</v>
      </c>
      <c r="I95">
        <f>16*5+3</f>
        <v>83</v>
      </c>
    </row>
    <row r="96" spans="1:9" x14ac:dyDescent="0.2">
      <c r="A96" s="33">
        <f t="shared" ref="A96:A102" si="15">A95+1</f>
        <v>2</v>
      </c>
      <c r="B96" s="18" t="s">
        <v>49</v>
      </c>
      <c r="C96" s="19" t="s">
        <v>50</v>
      </c>
      <c r="D96" s="19">
        <v>0.91</v>
      </c>
      <c r="E96" s="19">
        <v>31</v>
      </c>
      <c r="F96" s="19">
        <f t="shared" si="13"/>
        <v>28.21</v>
      </c>
      <c r="G96" s="20">
        <f t="shared" si="14"/>
        <v>2.8000000000000001E-2</v>
      </c>
      <c r="H96" s="13" t="s">
        <v>80</v>
      </c>
      <c r="I96">
        <f>2*12+7</f>
        <v>31</v>
      </c>
    </row>
    <row r="97" spans="1:10" x14ac:dyDescent="0.2">
      <c r="A97" s="33">
        <f t="shared" si="15"/>
        <v>3</v>
      </c>
      <c r="B97" s="18" t="s">
        <v>52</v>
      </c>
      <c r="C97" s="19" t="s">
        <v>53</v>
      </c>
      <c r="D97" s="19">
        <v>0.3</v>
      </c>
      <c r="E97" s="19">
        <v>83</v>
      </c>
      <c r="F97" s="19">
        <f t="shared" si="13"/>
        <v>24.9</v>
      </c>
      <c r="G97" s="20">
        <f t="shared" si="14"/>
        <v>2.5000000000000001E-2</v>
      </c>
      <c r="H97" s="13" t="s">
        <v>54</v>
      </c>
      <c r="I97">
        <f>3*24+11</f>
        <v>83</v>
      </c>
    </row>
    <row r="98" spans="1:10" x14ac:dyDescent="0.2">
      <c r="A98" s="33">
        <f t="shared" si="15"/>
        <v>4</v>
      </c>
      <c r="B98" s="18" t="s">
        <v>55</v>
      </c>
      <c r="C98" s="19" t="s">
        <v>50</v>
      </c>
      <c r="D98" s="19">
        <v>0.255</v>
      </c>
      <c r="E98" s="19">
        <v>83</v>
      </c>
      <c r="F98" s="19">
        <f t="shared" si="13"/>
        <v>21.164999999999999</v>
      </c>
      <c r="G98" s="20">
        <f t="shared" si="14"/>
        <v>2.1000000000000001E-2</v>
      </c>
      <c r="H98" s="13" t="s">
        <v>129</v>
      </c>
      <c r="I98">
        <f>3*24+11</f>
        <v>83</v>
      </c>
    </row>
    <row r="99" spans="1:10" x14ac:dyDescent="0.2">
      <c r="A99" s="33">
        <f t="shared" si="15"/>
        <v>5</v>
      </c>
      <c r="B99" s="18" t="s">
        <v>57</v>
      </c>
      <c r="C99" s="19" t="s">
        <v>50</v>
      </c>
      <c r="D99" s="19">
        <v>0.27</v>
      </c>
      <c r="E99" s="19">
        <v>83</v>
      </c>
      <c r="F99" s="19">
        <f t="shared" si="13"/>
        <v>22.41</v>
      </c>
      <c r="G99" s="20">
        <f t="shared" si="14"/>
        <v>2.1999999999999999E-2</v>
      </c>
      <c r="H99" s="13" t="s">
        <v>129</v>
      </c>
      <c r="I99">
        <f>3*24+11</f>
        <v>83</v>
      </c>
    </row>
    <row r="100" spans="1:10" x14ac:dyDescent="0.2">
      <c r="A100" s="33">
        <f t="shared" si="15"/>
        <v>6</v>
      </c>
      <c r="B100" s="18" t="s">
        <v>58</v>
      </c>
      <c r="C100" s="19" t="s">
        <v>50</v>
      </c>
      <c r="D100" s="19">
        <v>0.75</v>
      </c>
      <c r="E100" s="19">
        <v>141</v>
      </c>
      <c r="F100" s="19">
        <f t="shared" si="13"/>
        <v>105.75</v>
      </c>
      <c r="G100" s="20">
        <f t="shared" si="14"/>
        <v>0.106</v>
      </c>
      <c r="H100" s="13" t="s">
        <v>130</v>
      </c>
      <c r="I100">
        <f>8*16+13</f>
        <v>141</v>
      </c>
    </row>
    <row r="101" spans="1:10" x14ac:dyDescent="0.2">
      <c r="A101" s="33">
        <f t="shared" si="15"/>
        <v>7</v>
      </c>
      <c r="B101" s="13" t="s">
        <v>105</v>
      </c>
      <c r="C101" s="19" t="s">
        <v>53</v>
      </c>
      <c r="D101" s="19">
        <v>0.246</v>
      </c>
      <c r="E101" s="19">
        <v>204</v>
      </c>
      <c r="F101" s="19">
        <f t="shared" si="13"/>
        <v>50.183999999999997</v>
      </c>
      <c r="G101" s="20">
        <f t="shared" si="14"/>
        <v>0.05</v>
      </c>
      <c r="H101" s="13" t="s">
        <v>131</v>
      </c>
      <c r="I101">
        <f>4*48+12</f>
        <v>204</v>
      </c>
    </row>
    <row r="102" spans="1:10" x14ac:dyDescent="0.2">
      <c r="A102" s="33">
        <f t="shared" si="15"/>
        <v>8</v>
      </c>
      <c r="B102" s="34" t="s">
        <v>128</v>
      </c>
      <c r="C102" s="21" t="s">
        <v>50</v>
      </c>
      <c r="D102" s="19">
        <v>0.91</v>
      </c>
      <c r="E102" s="19">
        <v>834</v>
      </c>
      <c r="F102" s="19">
        <f t="shared" si="13"/>
        <v>758.94</v>
      </c>
      <c r="G102" s="20">
        <f t="shared" si="14"/>
        <v>0.75900000000000001</v>
      </c>
      <c r="H102" s="13" t="s">
        <v>132</v>
      </c>
      <c r="I102">
        <f>69*12+6</f>
        <v>834</v>
      </c>
    </row>
    <row r="103" spans="1:10" x14ac:dyDescent="0.2">
      <c r="A103" s="27"/>
      <c r="B103" s="28" t="s">
        <v>73</v>
      </c>
      <c r="C103" s="29"/>
      <c r="D103" s="29"/>
      <c r="E103" s="29"/>
      <c r="F103" s="29"/>
      <c r="G103" s="30">
        <f>SUM(G95:G102)</f>
        <v>1.4260000000000002</v>
      </c>
    </row>
    <row r="107" spans="1:10" x14ac:dyDescent="0.2">
      <c r="A107" s="13"/>
      <c r="B107" s="16" t="s">
        <v>144</v>
      </c>
    </row>
    <row r="108" spans="1:10" ht="32" x14ac:dyDescent="0.2">
      <c r="A108" s="14" t="s">
        <v>1</v>
      </c>
      <c r="B108" s="14" t="s">
        <v>42</v>
      </c>
      <c r="C108" s="15" t="s">
        <v>77</v>
      </c>
      <c r="D108" s="15" t="s">
        <v>77</v>
      </c>
      <c r="E108" s="15" t="s">
        <v>78</v>
      </c>
      <c r="F108" s="14" t="s">
        <v>43</v>
      </c>
      <c r="G108" s="15" t="s">
        <v>44</v>
      </c>
      <c r="H108" s="15" t="s">
        <v>45</v>
      </c>
    </row>
    <row r="109" spans="1:10" x14ac:dyDescent="0.2">
      <c r="A109" s="46">
        <v>1</v>
      </c>
      <c r="B109" s="47" t="s">
        <v>46</v>
      </c>
      <c r="C109" s="6" t="s">
        <v>116</v>
      </c>
      <c r="D109" s="6" t="s">
        <v>47</v>
      </c>
      <c r="E109" s="6">
        <v>5</v>
      </c>
      <c r="F109" s="6">
        <v>84</v>
      </c>
      <c r="G109" s="6">
        <f t="shared" ref="G109:G118" si="16">E109*F109</f>
        <v>420</v>
      </c>
      <c r="H109" s="48">
        <f t="shared" ref="H109:H118" si="17">ROUND(G109/1000,3)</f>
        <v>0.42</v>
      </c>
      <c r="I109" t="s">
        <v>136</v>
      </c>
      <c r="J109">
        <f>16*5+4</f>
        <v>84</v>
      </c>
    </row>
    <row r="110" spans="1:10" x14ac:dyDescent="0.2">
      <c r="A110" s="49">
        <f t="shared" ref="A110:A118" si="18">A109+1</f>
        <v>2</v>
      </c>
      <c r="B110" s="50" t="s">
        <v>49</v>
      </c>
      <c r="C110" s="51" t="s">
        <v>116</v>
      </c>
      <c r="D110" s="51" t="s">
        <v>50</v>
      </c>
      <c r="E110" s="51">
        <v>0.91</v>
      </c>
      <c r="F110" s="51">
        <v>11</v>
      </c>
      <c r="G110" s="51">
        <f t="shared" si="16"/>
        <v>10.01</v>
      </c>
      <c r="H110" s="52">
        <f t="shared" si="17"/>
        <v>0.01</v>
      </c>
      <c r="I110" t="s">
        <v>137</v>
      </c>
      <c r="J110">
        <v>11</v>
      </c>
    </row>
    <row r="111" spans="1:10" x14ac:dyDescent="0.2">
      <c r="A111" s="49">
        <f t="shared" si="18"/>
        <v>3</v>
      </c>
      <c r="B111" s="50" t="s">
        <v>52</v>
      </c>
      <c r="C111" s="51" t="s">
        <v>116</v>
      </c>
      <c r="D111" s="51" t="s">
        <v>53</v>
      </c>
      <c r="E111" s="51">
        <v>0.3</v>
      </c>
      <c r="F111" s="51">
        <v>84</v>
      </c>
      <c r="G111" s="51">
        <f t="shared" si="16"/>
        <v>25.2</v>
      </c>
      <c r="H111" s="52">
        <f t="shared" si="17"/>
        <v>2.5000000000000001E-2</v>
      </c>
      <c r="I111" t="s">
        <v>138</v>
      </c>
      <c r="J111">
        <f>3*24+12</f>
        <v>84</v>
      </c>
    </row>
    <row r="112" spans="1:10" x14ac:dyDescent="0.2">
      <c r="A112" s="49">
        <f t="shared" si="18"/>
        <v>4</v>
      </c>
      <c r="B112" s="50" t="s">
        <v>55</v>
      </c>
      <c r="C112" s="51" t="s">
        <v>116</v>
      </c>
      <c r="D112" s="51" t="s">
        <v>50</v>
      </c>
      <c r="E112" s="51">
        <v>0.255</v>
      </c>
      <c r="F112" s="51">
        <v>84</v>
      </c>
      <c r="G112" s="51">
        <f t="shared" si="16"/>
        <v>21.42</v>
      </c>
      <c r="H112" s="52">
        <f t="shared" si="17"/>
        <v>2.1000000000000001E-2</v>
      </c>
      <c r="I112" t="s">
        <v>139</v>
      </c>
      <c r="J112">
        <f>3*24+12</f>
        <v>84</v>
      </c>
    </row>
    <row r="113" spans="1:10" x14ac:dyDescent="0.2">
      <c r="A113" s="49">
        <f t="shared" si="18"/>
        <v>5</v>
      </c>
      <c r="B113" s="50" t="s">
        <v>57</v>
      </c>
      <c r="C113" s="51" t="s">
        <v>116</v>
      </c>
      <c r="D113" s="51" t="s">
        <v>50</v>
      </c>
      <c r="E113" s="51">
        <v>0.27</v>
      </c>
      <c r="F113" s="51">
        <v>84</v>
      </c>
      <c r="G113" s="51">
        <f t="shared" si="16"/>
        <v>22.68</v>
      </c>
      <c r="H113" s="52">
        <f t="shared" si="17"/>
        <v>2.3E-2</v>
      </c>
      <c r="I113" t="s">
        <v>139</v>
      </c>
      <c r="J113">
        <f>3*24+12</f>
        <v>84</v>
      </c>
    </row>
    <row r="114" spans="1:10" x14ac:dyDescent="0.2">
      <c r="A114" s="49">
        <f t="shared" si="18"/>
        <v>6</v>
      </c>
      <c r="B114" s="50" t="s">
        <v>142</v>
      </c>
      <c r="C114" s="51" t="s">
        <v>116</v>
      </c>
      <c r="D114" s="51" t="s">
        <v>47</v>
      </c>
      <c r="E114" s="51">
        <v>3.4</v>
      </c>
      <c r="F114" s="51">
        <v>142</v>
      </c>
      <c r="G114" s="51">
        <f t="shared" si="16"/>
        <v>482.8</v>
      </c>
      <c r="H114" s="52">
        <f t="shared" si="17"/>
        <v>0.48299999999999998</v>
      </c>
      <c r="I114" t="s">
        <v>140</v>
      </c>
      <c r="J114">
        <f>35*4+2</f>
        <v>142</v>
      </c>
    </row>
    <row r="115" spans="1:10" x14ac:dyDescent="0.2">
      <c r="A115" s="41">
        <f t="shared" si="18"/>
        <v>7</v>
      </c>
      <c r="B115" s="54" t="s">
        <v>141</v>
      </c>
      <c r="C115" s="38" t="s">
        <v>0</v>
      </c>
      <c r="D115" s="38" t="s">
        <v>61</v>
      </c>
      <c r="E115" s="38">
        <v>12.336</v>
      </c>
      <c r="F115" s="38">
        <v>5</v>
      </c>
      <c r="G115" s="38">
        <f t="shared" si="16"/>
        <v>61.68</v>
      </c>
      <c r="H115" s="55">
        <f t="shared" si="17"/>
        <v>6.2E-2</v>
      </c>
      <c r="I115" t="s">
        <v>115</v>
      </c>
    </row>
    <row r="116" spans="1:10" x14ac:dyDescent="0.2">
      <c r="A116" s="41">
        <f t="shared" si="18"/>
        <v>8</v>
      </c>
      <c r="B116" s="54" t="s">
        <v>60</v>
      </c>
      <c r="C116" s="38" t="s">
        <v>0</v>
      </c>
      <c r="D116" s="38" t="s">
        <v>61</v>
      </c>
      <c r="E116" s="38">
        <v>12.336</v>
      </c>
      <c r="F116" s="38">
        <v>11</v>
      </c>
      <c r="G116" s="38">
        <f t="shared" si="16"/>
        <v>135.696</v>
      </c>
      <c r="H116" s="55">
        <f t="shared" si="17"/>
        <v>0.13600000000000001</v>
      </c>
      <c r="I116" t="s">
        <v>64</v>
      </c>
    </row>
    <row r="117" spans="1:10" x14ac:dyDescent="0.2">
      <c r="A117" s="41">
        <f t="shared" si="18"/>
        <v>9</v>
      </c>
      <c r="B117" s="54" t="s">
        <v>85</v>
      </c>
      <c r="C117" s="38" t="s">
        <v>0</v>
      </c>
      <c r="D117" s="38" t="s">
        <v>61</v>
      </c>
      <c r="E117" s="38">
        <v>12</v>
      </c>
      <c r="F117" s="38">
        <v>8</v>
      </c>
      <c r="G117" s="38">
        <f t="shared" si="16"/>
        <v>96</v>
      </c>
      <c r="H117" s="55">
        <f t="shared" si="17"/>
        <v>9.6000000000000002E-2</v>
      </c>
      <c r="I117" t="s">
        <v>62</v>
      </c>
    </row>
    <row r="118" spans="1:10" x14ac:dyDescent="0.2">
      <c r="A118" s="53">
        <f t="shared" si="18"/>
        <v>10</v>
      </c>
      <c r="B118" s="56" t="s">
        <v>71</v>
      </c>
      <c r="C118" s="38" t="s">
        <v>0</v>
      </c>
      <c r="D118" s="7" t="s">
        <v>72</v>
      </c>
      <c r="E118" s="7">
        <v>0.29399999999999998</v>
      </c>
      <c r="F118" s="7">
        <v>700</v>
      </c>
      <c r="G118" s="7">
        <f t="shared" si="16"/>
        <v>205.79999999999998</v>
      </c>
      <c r="H118" s="57">
        <f t="shared" si="17"/>
        <v>0.20599999999999999</v>
      </c>
      <c r="I118" t="s">
        <v>143</v>
      </c>
    </row>
    <row r="119" spans="1:10" x14ac:dyDescent="0.2">
      <c r="A119" s="33"/>
      <c r="B119" s="44" t="s">
        <v>73</v>
      </c>
      <c r="C119" s="19"/>
      <c r="D119" s="19"/>
      <c r="E119" s="19"/>
      <c r="F119" s="19"/>
      <c r="G119" s="19"/>
      <c r="H119" s="45">
        <f>SUM(H109:H118)</f>
        <v>1.4820000000000002</v>
      </c>
    </row>
    <row r="125" spans="1:10" x14ac:dyDescent="0.2">
      <c r="B125" s="2" t="s">
        <v>33</v>
      </c>
      <c r="C125" s="42" t="s">
        <v>95</v>
      </c>
      <c r="D125" s="43" t="s">
        <v>134</v>
      </c>
    </row>
    <row r="129" spans="1:10" x14ac:dyDescent="0.2">
      <c r="A129" s="13"/>
      <c r="B129" s="16" t="s">
        <v>147</v>
      </c>
    </row>
    <row r="130" spans="1:10" ht="32" x14ac:dyDescent="0.2">
      <c r="A130" s="14" t="s">
        <v>1</v>
      </c>
      <c r="B130" s="14" t="s">
        <v>42</v>
      </c>
      <c r="C130" s="15" t="s">
        <v>77</v>
      </c>
      <c r="D130" s="15" t="s">
        <v>77</v>
      </c>
      <c r="E130" s="15" t="s">
        <v>78</v>
      </c>
      <c r="F130" s="14" t="s">
        <v>43</v>
      </c>
      <c r="G130" s="15" t="s">
        <v>44</v>
      </c>
      <c r="H130" s="15" t="s">
        <v>45</v>
      </c>
    </row>
    <row r="131" spans="1:10" x14ac:dyDescent="0.2">
      <c r="A131" s="62">
        <v>1</v>
      </c>
      <c r="B131" s="63" t="s">
        <v>46</v>
      </c>
      <c r="C131" s="40" t="s">
        <v>116</v>
      </c>
      <c r="D131" s="40" t="s">
        <v>47</v>
      </c>
      <c r="E131" s="40">
        <v>5</v>
      </c>
      <c r="F131" s="40">
        <v>89</v>
      </c>
      <c r="G131" s="40">
        <f t="shared" ref="G131:G144" si="19">E131*F131</f>
        <v>445</v>
      </c>
      <c r="H131" s="64">
        <f t="shared" ref="H131:H144" si="20">ROUND(G131/1000,3)</f>
        <v>0.44500000000000001</v>
      </c>
      <c r="I131" t="s">
        <v>150</v>
      </c>
      <c r="J131">
        <f>17*5+4</f>
        <v>89</v>
      </c>
    </row>
    <row r="132" spans="1:10" x14ac:dyDescent="0.2">
      <c r="A132" s="41">
        <f t="shared" ref="A132:A144" si="21">A131+1</f>
        <v>2</v>
      </c>
      <c r="B132" s="36" t="s">
        <v>49</v>
      </c>
      <c r="C132" s="38" t="s">
        <v>116</v>
      </c>
      <c r="D132" s="38" t="s">
        <v>50</v>
      </c>
      <c r="E132" s="38">
        <v>0.91</v>
      </c>
      <c r="F132" s="38">
        <v>19</v>
      </c>
      <c r="G132" s="38">
        <f t="shared" si="19"/>
        <v>17.29</v>
      </c>
      <c r="H132" s="55">
        <f t="shared" si="20"/>
        <v>1.7000000000000001E-2</v>
      </c>
      <c r="I132" t="s">
        <v>151</v>
      </c>
      <c r="J132">
        <v>19</v>
      </c>
    </row>
    <row r="133" spans="1:10" x14ac:dyDescent="0.2">
      <c r="A133" s="41">
        <f t="shared" si="21"/>
        <v>3</v>
      </c>
      <c r="B133" s="36" t="s">
        <v>52</v>
      </c>
      <c r="C133" s="38" t="s">
        <v>116</v>
      </c>
      <c r="D133" s="38" t="s">
        <v>53</v>
      </c>
      <c r="E133" s="38">
        <v>0.3</v>
      </c>
      <c r="F133" s="38">
        <v>89</v>
      </c>
      <c r="G133" s="38">
        <f t="shared" si="19"/>
        <v>26.7</v>
      </c>
      <c r="H133" s="55">
        <f t="shared" si="20"/>
        <v>2.7E-2</v>
      </c>
      <c r="I133" t="s">
        <v>152</v>
      </c>
      <c r="J133">
        <f>3*24+17</f>
        <v>89</v>
      </c>
    </row>
    <row r="134" spans="1:10" x14ac:dyDescent="0.2">
      <c r="A134" s="41">
        <f t="shared" si="21"/>
        <v>4</v>
      </c>
      <c r="B134" s="36" t="s">
        <v>55</v>
      </c>
      <c r="C134" s="38" t="s">
        <v>116</v>
      </c>
      <c r="D134" s="38" t="s">
        <v>50</v>
      </c>
      <c r="E134" s="38">
        <v>0.255</v>
      </c>
      <c r="F134" s="38">
        <v>89</v>
      </c>
      <c r="G134" s="38">
        <f t="shared" si="19"/>
        <v>22.695</v>
      </c>
      <c r="H134" s="55">
        <f t="shared" si="20"/>
        <v>2.3E-2</v>
      </c>
      <c r="I134" t="s">
        <v>153</v>
      </c>
      <c r="J134">
        <f>3*24+17</f>
        <v>89</v>
      </c>
    </row>
    <row r="135" spans="1:10" x14ac:dyDescent="0.2">
      <c r="A135" s="41">
        <f t="shared" si="21"/>
        <v>5</v>
      </c>
      <c r="B135" s="36" t="s">
        <v>57</v>
      </c>
      <c r="C135" s="38" t="s">
        <v>116</v>
      </c>
      <c r="D135" s="38" t="s">
        <v>50</v>
      </c>
      <c r="E135" s="38">
        <v>0.27</v>
      </c>
      <c r="F135" s="38">
        <v>89</v>
      </c>
      <c r="G135" s="38">
        <f t="shared" si="19"/>
        <v>24.03</v>
      </c>
      <c r="H135" s="55">
        <f t="shared" si="20"/>
        <v>2.4E-2</v>
      </c>
      <c r="I135" t="s">
        <v>153</v>
      </c>
      <c r="J135">
        <f>3*24+17</f>
        <v>89</v>
      </c>
    </row>
    <row r="136" spans="1:10" x14ac:dyDescent="0.2">
      <c r="A136" s="41">
        <f t="shared" si="21"/>
        <v>6</v>
      </c>
      <c r="B136" s="36" t="s">
        <v>148</v>
      </c>
      <c r="C136" s="38" t="s">
        <v>116</v>
      </c>
      <c r="D136" s="38" t="s">
        <v>47</v>
      </c>
      <c r="E136" s="38">
        <v>3.2</v>
      </c>
      <c r="F136" s="38">
        <v>1</v>
      </c>
      <c r="G136" s="38">
        <f t="shared" si="19"/>
        <v>3.2</v>
      </c>
      <c r="H136" s="55">
        <f t="shared" si="20"/>
        <v>3.0000000000000001E-3</v>
      </c>
      <c r="I136" t="s">
        <v>149</v>
      </c>
      <c r="J136">
        <v>1</v>
      </c>
    </row>
    <row r="137" spans="1:10" x14ac:dyDescent="0.2">
      <c r="A137" s="59"/>
      <c r="B137" s="58" t="s">
        <v>73</v>
      </c>
      <c r="C137" s="60"/>
      <c r="D137" s="60"/>
      <c r="E137" s="60"/>
      <c r="F137" s="60"/>
      <c r="G137" s="60"/>
      <c r="H137" s="61">
        <f>SUM(H131:H136)</f>
        <v>0.53900000000000003</v>
      </c>
    </row>
    <row r="138" spans="1:10" x14ac:dyDescent="0.2">
      <c r="A138" s="62">
        <v>1</v>
      </c>
      <c r="B138" s="65" t="s">
        <v>60</v>
      </c>
      <c r="C138" s="40" t="s">
        <v>0</v>
      </c>
      <c r="D138" s="40" t="s">
        <v>61</v>
      </c>
      <c r="E138" s="40">
        <v>12.336</v>
      </c>
      <c r="F138" s="40">
        <v>24</v>
      </c>
      <c r="G138" s="40">
        <f t="shared" si="19"/>
        <v>296.06400000000002</v>
      </c>
      <c r="H138" s="64">
        <f t="shared" si="20"/>
        <v>0.29599999999999999</v>
      </c>
      <c r="I138" t="s">
        <v>161</v>
      </c>
    </row>
    <row r="139" spans="1:10" x14ac:dyDescent="0.2">
      <c r="A139" s="41">
        <f t="shared" si="21"/>
        <v>2</v>
      </c>
      <c r="B139" s="54" t="s">
        <v>85</v>
      </c>
      <c r="C139" s="38" t="s">
        <v>0</v>
      </c>
      <c r="D139" s="38" t="s">
        <v>61</v>
      </c>
      <c r="E139" s="38">
        <v>12</v>
      </c>
      <c r="F139" s="38">
        <v>27</v>
      </c>
      <c r="G139" s="38">
        <f t="shared" si="19"/>
        <v>324</v>
      </c>
      <c r="H139" s="55">
        <f t="shared" si="20"/>
        <v>0.32400000000000001</v>
      </c>
      <c r="I139" t="s">
        <v>162</v>
      </c>
    </row>
    <row r="140" spans="1:10" x14ac:dyDescent="0.2">
      <c r="A140" s="41">
        <f t="shared" si="21"/>
        <v>3</v>
      </c>
      <c r="B140" s="36" t="s">
        <v>156</v>
      </c>
      <c r="C140" s="38" t="s">
        <v>0</v>
      </c>
      <c r="D140" s="38" t="s">
        <v>61</v>
      </c>
      <c r="E140" s="38">
        <v>12.336</v>
      </c>
      <c r="F140" s="38">
        <v>15</v>
      </c>
      <c r="G140" s="38">
        <f t="shared" ref="G140:G142" si="22">E140*F140</f>
        <v>185.04</v>
      </c>
      <c r="H140" s="55">
        <f t="shared" ref="H140:H142" si="23">ROUND(G140/1000,3)</f>
        <v>0.185</v>
      </c>
      <c r="I140" t="s">
        <v>65</v>
      </c>
    </row>
    <row r="141" spans="1:10" x14ac:dyDescent="0.2">
      <c r="A141" s="41">
        <f t="shared" si="21"/>
        <v>4</v>
      </c>
      <c r="B141" s="36" t="s">
        <v>159</v>
      </c>
      <c r="C141" s="38" t="s">
        <v>0</v>
      </c>
      <c r="D141" s="38" t="s">
        <v>61</v>
      </c>
      <c r="E141" s="38">
        <v>12.336</v>
      </c>
      <c r="F141" s="38">
        <v>6</v>
      </c>
      <c r="G141" s="38">
        <f t="shared" si="22"/>
        <v>74.016000000000005</v>
      </c>
      <c r="H141" s="55">
        <f t="shared" si="23"/>
        <v>7.3999999999999996E-2</v>
      </c>
      <c r="I141" t="s">
        <v>163</v>
      </c>
    </row>
    <row r="142" spans="1:10" x14ac:dyDescent="0.2">
      <c r="A142" s="41">
        <f t="shared" si="21"/>
        <v>5</v>
      </c>
      <c r="B142" s="36" t="s">
        <v>160</v>
      </c>
      <c r="C142" s="38" t="s">
        <v>0</v>
      </c>
      <c r="D142" s="38" t="s">
        <v>61</v>
      </c>
      <c r="E142" s="38">
        <v>5.2</v>
      </c>
      <c r="F142" s="38">
        <v>10</v>
      </c>
      <c r="G142" s="38">
        <f t="shared" si="22"/>
        <v>52</v>
      </c>
      <c r="H142" s="55">
        <f t="shared" si="23"/>
        <v>5.1999999999999998E-2</v>
      </c>
      <c r="I142" t="s">
        <v>67</v>
      </c>
    </row>
    <row r="143" spans="1:10" x14ac:dyDescent="0.2">
      <c r="A143" s="41">
        <f t="shared" si="21"/>
        <v>6</v>
      </c>
      <c r="B143" s="66" t="s">
        <v>157</v>
      </c>
      <c r="C143" s="38" t="s">
        <v>0</v>
      </c>
      <c r="D143" s="38" t="s">
        <v>61</v>
      </c>
      <c r="E143" s="38">
        <v>5.2</v>
      </c>
      <c r="F143" s="38">
        <v>10</v>
      </c>
      <c r="G143" s="38">
        <f t="shared" si="19"/>
        <v>52</v>
      </c>
      <c r="H143" s="55">
        <f t="shared" si="20"/>
        <v>5.1999999999999998E-2</v>
      </c>
      <c r="I143" t="s">
        <v>67</v>
      </c>
    </row>
    <row r="144" spans="1:10" x14ac:dyDescent="0.2">
      <c r="A144" s="41">
        <f t="shared" si="21"/>
        <v>7</v>
      </c>
      <c r="B144" s="36" t="s">
        <v>158</v>
      </c>
      <c r="C144" s="38" t="s">
        <v>0</v>
      </c>
      <c r="D144" s="38" t="s">
        <v>61</v>
      </c>
      <c r="E144" s="38">
        <v>5.2</v>
      </c>
      <c r="F144" s="38">
        <v>5</v>
      </c>
      <c r="G144" s="38">
        <f t="shared" si="19"/>
        <v>26</v>
      </c>
      <c r="H144" s="55">
        <f t="shared" si="20"/>
        <v>2.5999999999999999E-2</v>
      </c>
      <c r="I144" t="s">
        <v>115</v>
      </c>
    </row>
    <row r="145" spans="1:10" x14ac:dyDescent="0.2">
      <c r="A145" s="59"/>
      <c r="B145" s="58" t="s">
        <v>154</v>
      </c>
      <c r="C145" s="60"/>
      <c r="D145" s="60"/>
      <c r="E145" s="60"/>
      <c r="F145" s="60"/>
      <c r="G145" s="60"/>
      <c r="H145" s="61">
        <f>SUM(H138:H144)</f>
        <v>1.0089999999999999</v>
      </c>
    </row>
    <row r="146" spans="1:10" x14ac:dyDescent="0.2">
      <c r="A146" s="33"/>
      <c r="B146" s="44" t="s">
        <v>155</v>
      </c>
      <c r="C146" s="19"/>
      <c r="D146" s="19"/>
      <c r="E146" s="19"/>
      <c r="F146" s="19"/>
      <c r="G146" s="19"/>
      <c r="H146" s="45">
        <f>SUM(H137,H145)</f>
        <v>1.548</v>
      </c>
    </row>
    <row r="149" spans="1:10" x14ac:dyDescent="0.2">
      <c r="A149" s="13"/>
      <c r="B149" s="16" t="s">
        <v>243</v>
      </c>
    </row>
    <row r="150" spans="1:10" ht="32" x14ac:dyDescent="0.2">
      <c r="A150" s="14" t="s">
        <v>1</v>
      </c>
      <c r="B150" s="14" t="s">
        <v>42</v>
      </c>
      <c r="C150" s="15" t="s">
        <v>77</v>
      </c>
      <c r="D150" s="15" t="s">
        <v>77</v>
      </c>
      <c r="E150" s="15" t="s">
        <v>78</v>
      </c>
      <c r="F150" s="14" t="s">
        <v>43</v>
      </c>
      <c r="G150" s="15" t="s">
        <v>44</v>
      </c>
      <c r="H150" s="15" t="s">
        <v>45</v>
      </c>
    </row>
    <row r="151" spans="1:10" x14ac:dyDescent="0.2">
      <c r="A151" s="62">
        <v>1</v>
      </c>
      <c r="B151" s="63" t="s">
        <v>46</v>
      </c>
      <c r="C151" s="40" t="s">
        <v>116</v>
      </c>
      <c r="D151" s="40" t="s">
        <v>47</v>
      </c>
      <c r="E151" s="40">
        <v>5</v>
      </c>
      <c r="F151" s="40">
        <v>88</v>
      </c>
      <c r="G151" s="40">
        <f t="shared" ref="G151:G156" si="24">E151*F151</f>
        <v>440</v>
      </c>
      <c r="H151" s="64">
        <f t="shared" ref="H151:H156" si="25">ROUND(G151/1000,3)</f>
        <v>0.44</v>
      </c>
      <c r="I151" t="s">
        <v>244</v>
      </c>
      <c r="J151">
        <f>17*5+3</f>
        <v>88</v>
      </c>
    </row>
    <row r="152" spans="1:10" x14ac:dyDescent="0.2">
      <c r="A152" s="41">
        <f t="shared" ref="A152:A172" si="26">A151+1</f>
        <v>2</v>
      </c>
      <c r="B152" s="36" t="s">
        <v>49</v>
      </c>
      <c r="C152" s="38" t="s">
        <v>116</v>
      </c>
      <c r="D152" s="38" t="s">
        <v>50</v>
      </c>
      <c r="E152" s="38">
        <v>0.91</v>
      </c>
      <c r="F152" s="38">
        <v>19</v>
      </c>
      <c r="G152" s="38">
        <f t="shared" si="24"/>
        <v>17.29</v>
      </c>
      <c r="H152" s="55">
        <f t="shared" si="25"/>
        <v>1.7000000000000001E-2</v>
      </c>
      <c r="I152" t="s">
        <v>151</v>
      </c>
      <c r="J152">
        <v>19</v>
      </c>
    </row>
    <row r="153" spans="1:10" x14ac:dyDescent="0.2">
      <c r="A153" s="41">
        <f t="shared" si="26"/>
        <v>3</v>
      </c>
      <c r="B153" s="36" t="s">
        <v>52</v>
      </c>
      <c r="C153" s="38" t="s">
        <v>116</v>
      </c>
      <c r="D153" s="38" t="s">
        <v>53</v>
      </c>
      <c r="E153" s="38">
        <v>0.3</v>
      </c>
      <c r="F153" s="38">
        <v>88</v>
      </c>
      <c r="G153" s="38">
        <f t="shared" si="24"/>
        <v>26.4</v>
      </c>
      <c r="H153" s="55">
        <f t="shared" si="25"/>
        <v>2.5999999999999999E-2</v>
      </c>
      <c r="I153" t="s">
        <v>245</v>
      </c>
      <c r="J153">
        <f>3*24+16</f>
        <v>88</v>
      </c>
    </row>
    <row r="154" spans="1:10" x14ac:dyDescent="0.2">
      <c r="A154" s="41">
        <f t="shared" si="26"/>
        <v>4</v>
      </c>
      <c r="B154" s="36" t="s">
        <v>55</v>
      </c>
      <c r="C154" s="38" t="s">
        <v>116</v>
      </c>
      <c r="D154" s="38" t="s">
        <v>50</v>
      </c>
      <c r="E154" s="38">
        <v>0.255</v>
      </c>
      <c r="F154" s="38">
        <v>88</v>
      </c>
      <c r="G154" s="38">
        <f t="shared" si="24"/>
        <v>22.44</v>
      </c>
      <c r="H154" s="55">
        <f t="shared" si="25"/>
        <v>2.1999999999999999E-2</v>
      </c>
      <c r="I154" t="s">
        <v>246</v>
      </c>
      <c r="J154">
        <f>3*24+16</f>
        <v>88</v>
      </c>
    </row>
    <row r="155" spans="1:10" x14ac:dyDescent="0.2">
      <c r="A155" s="41">
        <f t="shared" si="26"/>
        <v>5</v>
      </c>
      <c r="B155" s="36" t="s">
        <v>57</v>
      </c>
      <c r="C155" s="38" t="s">
        <v>116</v>
      </c>
      <c r="D155" s="38" t="s">
        <v>50</v>
      </c>
      <c r="E155" s="38">
        <v>0.27</v>
      </c>
      <c r="F155" s="38">
        <v>88</v>
      </c>
      <c r="G155" s="38">
        <f t="shared" si="24"/>
        <v>23.76</v>
      </c>
      <c r="H155" s="55">
        <f t="shared" si="25"/>
        <v>2.4E-2</v>
      </c>
      <c r="I155" t="s">
        <v>246</v>
      </c>
      <c r="J155">
        <f>3*24+16</f>
        <v>88</v>
      </c>
    </row>
    <row r="156" spans="1:10" x14ac:dyDescent="0.2">
      <c r="A156" s="41">
        <f t="shared" si="26"/>
        <v>6</v>
      </c>
      <c r="B156" s="36" t="s">
        <v>247</v>
      </c>
      <c r="C156" s="38" t="s">
        <v>116</v>
      </c>
      <c r="D156" s="38" t="s">
        <v>61</v>
      </c>
      <c r="E156" s="38">
        <v>10.92</v>
      </c>
      <c r="F156" s="38">
        <v>1</v>
      </c>
      <c r="G156" s="38">
        <f t="shared" si="24"/>
        <v>10.92</v>
      </c>
      <c r="H156" s="55">
        <f t="shared" si="25"/>
        <v>1.0999999999999999E-2</v>
      </c>
      <c r="I156" t="s">
        <v>91</v>
      </c>
    </row>
    <row r="157" spans="1:10" x14ac:dyDescent="0.2">
      <c r="A157" s="41">
        <f t="shared" si="26"/>
        <v>7</v>
      </c>
      <c r="B157" s="36" t="s">
        <v>248</v>
      </c>
      <c r="C157" s="38" t="s">
        <v>116</v>
      </c>
      <c r="D157" s="38" t="s">
        <v>61</v>
      </c>
      <c r="E157" s="38">
        <v>10.92</v>
      </c>
      <c r="F157" s="38">
        <v>1</v>
      </c>
      <c r="G157" s="38">
        <f t="shared" ref="G157:G163" si="27">E157*F157</f>
        <v>10.92</v>
      </c>
      <c r="H157" s="55">
        <f t="shared" ref="H157:H163" si="28">ROUND(G157/1000,3)</f>
        <v>1.0999999999999999E-2</v>
      </c>
      <c r="I157" t="s">
        <v>91</v>
      </c>
    </row>
    <row r="158" spans="1:10" x14ac:dyDescent="0.2">
      <c r="A158" s="41">
        <f t="shared" si="26"/>
        <v>8</v>
      </c>
      <c r="B158" s="36" t="s">
        <v>249</v>
      </c>
      <c r="C158" s="38" t="s">
        <v>116</v>
      </c>
      <c r="D158" s="38" t="s">
        <v>61</v>
      </c>
      <c r="E158" s="38">
        <v>10.92</v>
      </c>
      <c r="F158" s="38">
        <v>1</v>
      </c>
      <c r="G158" s="38">
        <f t="shared" si="27"/>
        <v>10.92</v>
      </c>
      <c r="H158" s="55">
        <f t="shared" si="28"/>
        <v>1.0999999999999999E-2</v>
      </c>
      <c r="I158" t="s">
        <v>91</v>
      </c>
    </row>
    <row r="159" spans="1:10" x14ac:dyDescent="0.2">
      <c r="A159" s="41">
        <f t="shared" si="26"/>
        <v>9</v>
      </c>
      <c r="B159" s="36" t="s">
        <v>250</v>
      </c>
      <c r="C159" s="38" t="s">
        <v>116</v>
      </c>
      <c r="D159" s="38" t="s">
        <v>61</v>
      </c>
      <c r="E159" s="38">
        <v>10.92</v>
      </c>
      <c r="F159" s="38">
        <v>1</v>
      </c>
      <c r="G159" s="38">
        <f t="shared" si="27"/>
        <v>10.92</v>
      </c>
      <c r="H159" s="55">
        <f t="shared" si="28"/>
        <v>1.0999999999999999E-2</v>
      </c>
      <c r="I159" t="s">
        <v>91</v>
      </c>
    </row>
    <row r="160" spans="1:10" x14ac:dyDescent="0.2">
      <c r="A160" s="41">
        <f>A159+1</f>
        <v>10</v>
      </c>
      <c r="B160" s="36" t="s">
        <v>251</v>
      </c>
      <c r="C160" s="38" t="s">
        <v>116</v>
      </c>
      <c r="D160" s="38" t="s">
        <v>61</v>
      </c>
      <c r="E160" s="38">
        <v>14</v>
      </c>
      <c r="F160" s="38">
        <v>8</v>
      </c>
      <c r="G160" s="38">
        <f t="shared" si="27"/>
        <v>112</v>
      </c>
      <c r="H160" s="55">
        <f t="shared" si="28"/>
        <v>0.112</v>
      </c>
      <c r="I160" t="s">
        <v>62</v>
      </c>
    </row>
    <row r="161" spans="1:9" x14ac:dyDescent="0.2">
      <c r="A161" s="41">
        <f t="shared" ref="A161:A163" si="29">A160+1</f>
        <v>11</v>
      </c>
      <c r="B161" s="36" t="s">
        <v>252</v>
      </c>
      <c r="C161" s="38" t="s">
        <v>116</v>
      </c>
      <c r="D161" s="38" t="s">
        <v>61</v>
      </c>
      <c r="E161" s="38">
        <v>18</v>
      </c>
      <c r="F161" s="38">
        <v>1</v>
      </c>
      <c r="G161" s="38">
        <f t="shared" si="27"/>
        <v>18</v>
      </c>
      <c r="H161" s="55">
        <f t="shared" si="28"/>
        <v>1.7999999999999999E-2</v>
      </c>
      <c r="I161" t="s">
        <v>91</v>
      </c>
    </row>
    <row r="162" spans="1:9" x14ac:dyDescent="0.2">
      <c r="A162" s="41">
        <f t="shared" si="29"/>
        <v>12</v>
      </c>
      <c r="B162" s="36" t="s">
        <v>253</v>
      </c>
      <c r="C162" s="38" t="s">
        <v>116</v>
      </c>
      <c r="D162" s="38" t="s">
        <v>61</v>
      </c>
      <c r="E162" s="38">
        <v>18</v>
      </c>
      <c r="F162" s="38">
        <v>1</v>
      </c>
      <c r="G162" s="38">
        <f t="shared" si="27"/>
        <v>18</v>
      </c>
      <c r="H162" s="55">
        <f t="shared" si="28"/>
        <v>1.7999999999999999E-2</v>
      </c>
      <c r="I162" t="s">
        <v>91</v>
      </c>
    </row>
    <row r="163" spans="1:9" x14ac:dyDescent="0.2">
      <c r="A163" s="53">
        <f t="shared" si="29"/>
        <v>13</v>
      </c>
      <c r="B163" s="56" t="s">
        <v>254</v>
      </c>
      <c r="C163" s="7" t="s">
        <v>116</v>
      </c>
      <c r="D163" s="7" t="s">
        <v>61</v>
      </c>
      <c r="E163" s="7">
        <v>18</v>
      </c>
      <c r="F163" s="7">
        <v>2</v>
      </c>
      <c r="G163" s="7">
        <f t="shared" si="27"/>
        <v>36</v>
      </c>
      <c r="H163" s="57">
        <f t="shared" si="28"/>
        <v>3.5999999999999997E-2</v>
      </c>
      <c r="I163" t="s">
        <v>89</v>
      </c>
    </row>
    <row r="164" spans="1:9" x14ac:dyDescent="0.2">
      <c r="A164" s="77"/>
      <c r="B164" s="78" t="s">
        <v>73</v>
      </c>
      <c r="C164" s="79"/>
      <c r="D164" s="79"/>
      <c r="E164" s="79"/>
      <c r="F164" s="79"/>
      <c r="G164" s="79"/>
      <c r="H164" s="80">
        <f>SUM(H151:H163)</f>
        <v>0.75700000000000012</v>
      </c>
      <c r="I164" s="81"/>
    </row>
    <row r="165" spans="1:9" x14ac:dyDescent="0.2">
      <c r="A165" s="69">
        <v>1</v>
      </c>
      <c r="B165" s="4" t="s">
        <v>85</v>
      </c>
      <c r="C165" s="70" t="s">
        <v>0</v>
      </c>
      <c r="D165" s="70" t="s">
        <v>61</v>
      </c>
      <c r="E165" s="70">
        <v>12</v>
      </c>
      <c r="F165" s="70">
        <v>20</v>
      </c>
      <c r="G165" s="70">
        <f t="shared" ref="G165:G169" si="30">E165*F165</f>
        <v>240</v>
      </c>
      <c r="H165" s="71">
        <f t="shared" ref="H165:H169" si="31">ROUND(G165/1000,3)</f>
        <v>0.24</v>
      </c>
      <c r="I165" s="82" t="s">
        <v>255</v>
      </c>
    </row>
    <row r="166" spans="1:9" x14ac:dyDescent="0.2">
      <c r="A166" s="72">
        <f t="shared" si="26"/>
        <v>2</v>
      </c>
      <c r="B166" s="3" t="s">
        <v>60</v>
      </c>
      <c r="C166" s="8" t="s">
        <v>0</v>
      </c>
      <c r="D166" s="8" t="s">
        <v>61</v>
      </c>
      <c r="E166" s="8">
        <v>12.336</v>
      </c>
      <c r="F166" s="8">
        <v>19</v>
      </c>
      <c r="G166" s="8">
        <f t="shared" si="30"/>
        <v>234.38400000000001</v>
      </c>
      <c r="H166" s="73">
        <f t="shared" si="31"/>
        <v>0.23400000000000001</v>
      </c>
      <c r="I166" s="82" t="s">
        <v>256</v>
      </c>
    </row>
    <row r="167" spans="1:9" x14ac:dyDescent="0.2">
      <c r="A167" s="72">
        <f t="shared" si="26"/>
        <v>3</v>
      </c>
      <c r="B167" s="10" t="s">
        <v>157</v>
      </c>
      <c r="C167" s="67" t="s">
        <v>0</v>
      </c>
      <c r="D167" s="67" t="s">
        <v>61</v>
      </c>
      <c r="E167" s="67">
        <v>4.95</v>
      </c>
      <c r="F167" s="67">
        <v>15</v>
      </c>
      <c r="G167" s="67">
        <f t="shared" si="30"/>
        <v>74.25</v>
      </c>
      <c r="H167" s="68">
        <f t="shared" si="31"/>
        <v>7.3999999999999996E-2</v>
      </c>
      <c r="I167" s="82" t="s">
        <v>65</v>
      </c>
    </row>
    <row r="168" spans="1:9" x14ac:dyDescent="0.2">
      <c r="A168" s="72">
        <f t="shared" si="26"/>
        <v>4</v>
      </c>
      <c r="B168" s="3" t="s">
        <v>159</v>
      </c>
      <c r="C168" s="8" t="s">
        <v>0</v>
      </c>
      <c r="D168" s="8" t="s">
        <v>61</v>
      </c>
      <c r="E168" s="8">
        <v>12.336</v>
      </c>
      <c r="F168" s="8">
        <v>28</v>
      </c>
      <c r="G168" s="8">
        <f t="shared" si="30"/>
        <v>345.40800000000002</v>
      </c>
      <c r="H168" s="73">
        <f t="shared" si="31"/>
        <v>0.34499999999999997</v>
      </c>
      <c r="I168" s="82" t="s">
        <v>257</v>
      </c>
    </row>
    <row r="169" spans="1:9" x14ac:dyDescent="0.2">
      <c r="A169" s="72">
        <f t="shared" si="26"/>
        <v>5</v>
      </c>
      <c r="B169" s="3" t="s">
        <v>160</v>
      </c>
      <c r="C169" s="8" t="s">
        <v>0</v>
      </c>
      <c r="D169" s="8" t="s">
        <v>61</v>
      </c>
      <c r="E169" s="8">
        <v>4.95</v>
      </c>
      <c r="F169" s="8">
        <v>15</v>
      </c>
      <c r="G169" s="8">
        <f t="shared" si="30"/>
        <v>74.25</v>
      </c>
      <c r="H169" s="73">
        <f t="shared" si="31"/>
        <v>7.3999999999999996E-2</v>
      </c>
      <c r="I169" s="82" t="s">
        <v>65</v>
      </c>
    </row>
    <row r="170" spans="1:9" x14ac:dyDescent="0.2">
      <c r="A170" s="72">
        <f t="shared" si="26"/>
        <v>6</v>
      </c>
      <c r="B170" s="3" t="s">
        <v>258</v>
      </c>
      <c r="C170" s="8" t="s">
        <v>0</v>
      </c>
      <c r="D170" s="8" t="s">
        <v>61</v>
      </c>
      <c r="E170" s="8">
        <v>12.336</v>
      </c>
      <c r="F170" s="8">
        <v>2</v>
      </c>
      <c r="G170" s="8">
        <f t="shared" ref="G170" si="32">E170*F170</f>
        <v>24.672000000000001</v>
      </c>
      <c r="H170" s="73">
        <f t="shared" ref="H170" si="33">ROUND(G170/1000,3)</f>
        <v>2.5000000000000001E-2</v>
      </c>
      <c r="I170" s="82" t="s">
        <v>89</v>
      </c>
    </row>
    <row r="171" spans="1:9" x14ac:dyDescent="0.2">
      <c r="A171" s="72">
        <f t="shared" si="26"/>
        <v>7</v>
      </c>
      <c r="B171" s="3" t="s">
        <v>259</v>
      </c>
      <c r="C171" s="8" t="s">
        <v>0</v>
      </c>
      <c r="D171" s="8" t="s">
        <v>61</v>
      </c>
      <c r="E171" s="8">
        <v>12.336</v>
      </c>
      <c r="F171" s="8">
        <v>3</v>
      </c>
      <c r="G171" s="8">
        <f t="shared" ref="G171:G172" si="34">E171*F171</f>
        <v>37.008000000000003</v>
      </c>
      <c r="H171" s="73">
        <f t="shared" ref="H171:H172" si="35">ROUND(G171/1000,3)</f>
        <v>3.6999999999999998E-2</v>
      </c>
      <c r="I171" s="82" t="s">
        <v>87</v>
      </c>
    </row>
    <row r="172" spans="1:9" x14ac:dyDescent="0.2">
      <c r="A172" s="74">
        <f t="shared" si="26"/>
        <v>8</v>
      </c>
      <c r="B172" s="37" t="s">
        <v>260</v>
      </c>
      <c r="C172" s="75" t="s">
        <v>0</v>
      </c>
      <c r="D172" s="75" t="s">
        <v>61</v>
      </c>
      <c r="E172" s="75">
        <v>5.0199999999999996</v>
      </c>
      <c r="F172" s="75">
        <v>4</v>
      </c>
      <c r="G172" s="75">
        <f t="shared" si="34"/>
        <v>20.079999999999998</v>
      </c>
      <c r="H172" s="76">
        <f t="shared" si="35"/>
        <v>0.02</v>
      </c>
      <c r="I172" s="82" t="s">
        <v>114</v>
      </c>
    </row>
    <row r="173" spans="1:9" x14ac:dyDescent="0.2">
      <c r="A173" s="27"/>
      <c r="B173" s="28" t="s">
        <v>154</v>
      </c>
      <c r="C173" s="29"/>
      <c r="D173" s="29"/>
      <c r="E173" s="29"/>
      <c r="F173" s="29"/>
      <c r="G173" s="29"/>
      <c r="H173" s="30">
        <f>SUM(H165:H172)</f>
        <v>1.0489999999999999</v>
      </c>
      <c r="I173" s="81"/>
    </row>
    <row r="174" spans="1:9" x14ac:dyDescent="0.2">
      <c r="A174" s="33"/>
      <c r="B174" s="44" t="s">
        <v>155</v>
      </c>
      <c r="C174" s="19"/>
      <c r="D174" s="19"/>
      <c r="E174" s="19"/>
      <c r="F174" s="19"/>
      <c r="G174" s="19"/>
      <c r="H174" s="45">
        <f>SUM(H164,H173)</f>
        <v>1.806</v>
      </c>
    </row>
    <row r="177" spans="1:10" x14ac:dyDescent="0.2">
      <c r="A177" s="13"/>
      <c r="B177" s="16" t="s">
        <v>295</v>
      </c>
    </row>
    <row r="178" spans="1:10" ht="32" x14ac:dyDescent="0.2">
      <c r="A178" s="14" t="s">
        <v>1</v>
      </c>
      <c r="B178" s="14" t="s">
        <v>42</v>
      </c>
      <c r="C178" s="15" t="s">
        <v>77</v>
      </c>
      <c r="D178" s="15" t="s">
        <v>77</v>
      </c>
      <c r="E178" s="15" t="s">
        <v>78</v>
      </c>
      <c r="F178" s="14" t="s">
        <v>43</v>
      </c>
      <c r="G178" s="15" t="s">
        <v>44</v>
      </c>
      <c r="H178" s="15" t="s">
        <v>45</v>
      </c>
    </row>
    <row r="179" spans="1:10" x14ac:dyDescent="0.2">
      <c r="A179" s="62">
        <v>1</v>
      </c>
      <c r="B179" s="63" t="s">
        <v>46</v>
      </c>
      <c r="C179" s="40" t="s">
        <v>116</v>
      </c>
      <c r="D179" s="40" t="s">
        <v>47</v>
      </c>
      <c r="E179" s="40">
        <v>5</v>
      </c>
      <c r="F179" s="40">
        <v>98</v>
      </c>
      <c r="G179" s="40">
        <f t="shared" ref="G179:G191" si="36">E179*F179</f>
        <v>490</v>
      </c>
      <c r="H179" s="64">
        <f t="shared" ref="H179:H191" si="37">ROUND(G179/1000,3)</f>
        <v>0.49</v>
      </c>
      <c r="I179" t="s">
        <v>300</v>
      </c>
      <c r="J179">
        <f>19*5+3</f>
        <v>98</v>
      </c>
    </row>
    <row r="180" spans="1:10" x14ac:dyDescent="0.2">
      <c r="A180" s="41">
        <f t="shared" ref="A180:A200" si="38">A179+1</f>
        <v>2</v>
      </c>
      <c r="B180" s="36" t="s">
        <v>49</v>
      </c>
      <c r="C180" s="38" t="s">
        <v>116</v>
      </c>
      <c r="D180" s="38" t="s">
        <v>50</v>
      </c>
      <c r="E180" s="38">
        <v>0.91</v>
      </c>
      <c r="F180" s="38">
        <v>21</v>
      </c>
      <c r="G180" s="38">
        <f t="shared" si="36"/>
        <v>19.11</v>
      </c>
      <c r="H180" s="55">
        <f t="shared" si="37"/>
        <v>1.9E-2</v>
      </c>
      <c r="I180" t="s">
        <v>301</v>
      </c>
      <c r="J180">
        <v>21</v>
      </c>
    </row>
    <row r="181" spans="1:10" x14ac:dyDescent="0.2">
      <c r="A181" s="41">
        <f t="shared" si="38"/>
        <v>3</v>
      </c>
      <c r="B181" s="36" t="s">
        <v>52</v>
      </c>
      <c r="C181" s="38" t="s">
        <v>116</v>
      </c>
      <c r="D181" s="38" t="s">
        <v>53</v>
      </c>
      <c r="E181" s="38">
        <v>0.3</v>
      </c>
      <c r="F181" s="38">
        <v>86</v>
      </c>
      <c r="G181" s="38">
        <f t="shared" si="36"/>
        <v>25.8</v>
      </c>
      <c r="H181" s="55">
        <f t="shared" si="37"/>
        <v>2.5999999999999999E-2</v>
      </c>
      <c r="I181" t="s">
        <v>81</v>
      </c>
      <c r="J181">
        <f>3*24+14</f>
        <v>86</v>
      </c>
    </row>
    <row r="182" spans="1:10" x14ac:dyDescent="0.2">
      <c r="A182" s="41">
        <f t="shared" si="38"/>
        <v>4</v>
      </c>
      <c r="B182" s="36" t="s">
        <v>55</v>
      </c>
      <c r="C182" s="38" t="s">
        <v>116</v>
      </c>
      <c r="D182" s="38" t="s">
        <v>50</v>
      </c>
      <c r="E182" s="38">
        <v>0.255</v>
      </c>
      <c r="F182" s="38">
        <v>86</v>
      </c>
      <c r="G182" s="38">
        <f t="shared" si="36"/>
        <v>21.93</v>
      </c>
      <c r="H182" s="55">
        <f t="shared" si="37"/>
        <v>2.1999999999999999E-2</v>
      </c>
      <c r="I182" t="s">
        <v>82</v>
      </c>
      <c r="J182">
        <f>3*24+14</f>
        <v>86</v>
      </c>
    </row>
    <row r="183" spans="1:10" x14ac:dyDescent="0.2">
      <c r="A183" s="41">
        <f t="shared" si="38"/>
        <v>5</v>
      </c>
      <c r="B183" s="36" t="s">
        <v>57</v>
      </c>
      <c r="C183" s="38" t="s">
        <v>116</v>
      </c>
      <c r="D183" s="38" t="s">
        <v>50</v>
      </c>
      <c r="E183" s="38">
        <v>0.27</v>
      </c>
      <c r="F183" s="38">
        <v>86</v>
      </c>
      <c r="G183" s="38">
        <f t="shared" si="36"/>
        <v>23.220000000000002</v>
      </c>
      <c r="H183" s="55">
        <f t="shared" si="37"/>
        <v>2.3E-2</v>
      </c>
      <c r="I183" t="s">
        <v>82</v>
      </c>
      <c r="J183">
        <f>3*24+14</f>
        <v>86</v>
      </c>
    </row>
    <row r="184" spans="1:10" x14ac:dyDescent="0.2">
      <c r="A184" s="41">
        <f t="shared" si="38"/>
        <v>6</v>
      </c>
      <c r="B184" s="83" t="s">
        <v>296</v>
      </c>
      <c r="C184" s="84" t="s">
        <v>116</v>
      </c>
      <c r="D184" s="84" t="s">
        <v>61</v>
      </c>
      <c r="E184" s="84">
        <v>0.36</v>
      </c>
      <c r="F184" s="84">
        <v>11</v>
      </c>
      <c r="G184" s="84">
        <f t="shared" si="36"/>
        <v>3.96</v>
      </c>
      <c r="H184" s="85">
        <f t="shared" si="37"/>
        <v>4.0000000000000001E-3</v>
      </c>
      <c r="I184" t="s">
        <v>302</v>
      </c>
    </row>
    <row r="185" spans="1:10" x14ac:dyDescent="0.2">
      <c r="A185" s="41"/>
      <c r="B185" s="83"/>
      <c r="C185" s="84"/>
      <c r="D185" s="84" t="s">
        <v>69</v>
      </c>
      <c r="E185" s="84">
        <v>0.03</v>
      </c>
      <c r="F185" s="84">
        <v>2</v>
      </c>
      <c r="G185" s="84">
        <f t="shared" si="36"/>
        <v>0.06</v>
      </c>
      <c r="H185" s="85">
        <f t="shared" si="37"/>
        <v>0</v>
      </c>
    </row>
    <row r="186" spans="1:10" x14ac:dyDescent="0.2">
      <c r="A186" s="41">
        <f>A184+1</f>
        <v>7</v>
      </c>
      <c r="B186" s="83" t="s">
        <v>297</v>
      </c>
      <c r="C186" s="84" t="s">
        <v>116</v>
      </c>
      <c r="D186" s="84" t="s">
        <v>61</v>
      </c>
      <c r="E186" s="84">
        <v>0.432</v>
      </c>
      <c r="F186" s="84">
        <v>13</v>
      </c>
      <c r="G186" s="84">
        <f t="shared" si="36"/>
        <v>5.6159999999999997</v>
      </c>
      <c r="H186" s="85">
        <f t="shared" si="37"/>
        <v>6.0000000000000001E-3</v>
      </c>
      <c r="I186" t="s">
        <v>303</v>
      </c>
    </row>
    <row r="187" spans="1:10" x14ac:dyDescent="0.2">
      <c r="A187" s="41"/>
      <c r="B187" s="83"/>
      <c r="C187" s="84"/>
      <c r="D187" s="84" t="s">
        <v>69</v>
      </c>
      <c r="E187" s="84">
        <v>3.5999999999999997E-2</v>
      </c>
      <c r="F187" s="84">
        <v>2</v>
      </c>
      <c r="G187" s="84">
        <f t="shared" si="36"/>
        <v>7.1999999999999995E-2</v>
      </c>
      <c r="H187" s="85">
        <f t="shared" si="37"/>
        <v>0</v>
      </c>
    </row>
    <row r="188" spans="1:10" x14ac:dyDescent="0.2">
      <c r="A188" s="41">
        <f>A186+1</f>
        <v>8</v>
      </c>
      <c r="B188" s="83" t="s">
        <v>298</v>
      </c>
      <c r="C188" s="84" t="s">
        <v>116</v>
      </c>
      <c r="D188" s="84" t="s">
        <v>61</v>
      </c>
      <c r="E188" s="84">
        <v>0.36</v>
      </c>
      <c r="F188" s="84">
        <v>14</v>
      </c>
      <c r="G188" s="84">
        <f t="shared" si="36"/>
        <v>5.04</v>
      </c>
      <c r="H188" s="85">
        <f t="shared" si="37"/>
        <v>5.0000000000000001E-3</v>
      </c>
      <c r="I188" t="s">
        <v>304</v>
      </c>
    </row>
    <row r="189" spans="1:10" x14ac:dyDescent="0.2">
      <c r="A189" s="41"/>
      <c r="B189" s="83"/>
      <c r="C189" s="84"/>
      <c r="D189" s="84" t="s">
        <v>69</v>
      </c>
      <c r="E189" s="84">
        <v>0.03</v>
      </c>
      <c r="F189" s="84">
        <v>1</v>
      </c>
      <c r="G189" s="84">
        <f t="shared" si="36"/>
        <v>0.03</v>
      </c>
      <c r="H189" s="85">
        <f t="shared" si="37"/>
        <v>0</v>
      </c>
    </row>
    <row r="190" spans="1:10" x14ac:dyDescent="0.2">
      <c r="A190" s="41">
        <f>A188+1</f>
        <v>9</v>
      </c>
      <c r="B190" s="83" t="s">
        <v>299</v>
      </c>
      <c r="C190" s="84" t="s">
        <v>116</v>
      </c>
      <c r="D190" s="84" t="s">
        <v>61</v>
      </c>
      <c r="E190" s="84">
        <v>0.36</v>
      </c>
      <c r="F190" s="84">
        <v>14</v>
      </c>
      <c r="G190" s="84">
        <f t="shared" si="36"/>
        <v>5.04</v>
      </c>
      <c r="H190" s="85">
        <f t="shared" si="37"/>
        <v>5.0000000000000001E-3</v>
      </c>
      <c r="I190" t="s">
        <v>304</v>
      </c>
    </row>
    <row r="191" spans="1:10" x14ac:dyDescent="0.2">
      <c r="A191" s="53"/>
      <c r="B191" s="86"/>
      <c r="C191" s="87"/>
      <c r="D191" s="87" t="s">
        <v>69</v>
      </c>
      <c r="E191" s="87">
        <v>0.03</v>
      </c>
      <c r="F191" s="87">
        <v>1</v>
      </c>
      <c r="G191" s="87">
        <f t="shared" si="36"/>
        <v>0.03</v>
      </c>
      <c r="H191" s="88">
        <f t="shared" si="37"/>
        <v>0</v>
      </c>
    </row>
    <row r="192" spans="1:10" x14ac:dyDescent="0.2">
      <c r="A192" s="77"/>
      <c r="B192" s="78" t="s">
        <v>73</v>
      </c>
      <c r="C192" s="79"/>
      <c r="D192" s="79"/>
      <c r="E192" s="79"/>
      <c r="F192" s="79"/>
      <c r="G192" s="79"/>
      <c r="H192" s="80">
        <f>SUM(H179:H191)</f>
        <v>0.60000000000000009</v>
      </c>
      <c r="I192" s="81"/>
    </row>
    <row r="193" spans="1:10" x14ac:dyDescent="0.2">
      <c r="A193" s="69">
        <v>1</v>
      </c>
      <c r="B193" s="4" t="s">
        <v>85</v>
      </c>
      <c r="C193" s="70" t="s">
        <v>0</v>
      </c>
      <c r="D193" s="70" t="s">
        <v>61</v>
      </c>
      <c r="E193" s="70">
        <v>12</v>
      </c>
      <c r="F193" s="70">
        <v>14</v>
      </c>
      <c r="G193" s="70">
        <f t="shared" ref="G193:G200" si="39">E193*F193</f>
        <v>168</v>
      </c>
      <c r="H193" s="71">
        <f t="shared" ref="H193:H200" si="40">ROUND(G193/1000,3)</f>
        <v>0.16800000000000001</v>
      </c>
      <c r="I193" s="82" t="s">
        <v>305</v>
      </c>
    </row>
    <row r="194" spans="1:10" x14ac:dyDescent="0.2">
      <c r="A194" s="72">
        <f t="shared" si="38"/>
        <v>2</v>
      </c>
      <c r="B194" s="3" t="s">
        <v>60</v>
      </c>
      <c r="C194" s="8" t="s">
        <v>0</v>
      </c>
      <c r="D194" s="8" t="s">
        <v>61</v>
      </c>
      <c r="E194" s="8">
        <v>12.336</v>
      </c>
      <c r="F194" s="8">
        <v>4</v>
      </c>
      <c r="G194" s="8">
        <f t="shared" si="39"/>
        <v>49.344000000000001</v>
      </c>
      <c r="H194" s="73">
        <f t="shared" si="40"/>
        <v>4.9000000000000002E-2</v>
      </c>
      <c r="I194" s="82" t="s">
        <v>114</v>
      </c>
    </row>
    <row r="195" spans="1:10" x14ac:dyDescent="0.2">
      <c r="A195" s="72">
        <f t="shared" si="38"/>
        <v>3</v>
      </c>
      <c r="B195" s="10" t="s">
        <v>157</v>
      </c>
      <c r="C195" s="67" t="s">
        <v>0</v>
      </c>
      <c r="D195" s="67" t="s">
        <v>61</v>
      </c>
      <c r="E195" s="67">
        <v>4.95</v>
      </c>
      <c r="F195" s="67">
        <v>9</v>
      </c>
      <c r="G195" s="67">
        <f t="shared" si="39"/>
        <v>44.550000000000004</v>
      </c>
      <c r="H195" s="68">
        <f t="shared" si="40"/>
        <v>4.4999999999999998E-2</v>
      </c>
      <c r="I195" s="82" t="s">
        <v>84</v>
      </c>
    </row>
    <row r="196" spans="1:10" x14ac:dyDescent="0.2">
      <c r="A196" s="72">
        <f t="shared" si="38"/>
        <v>4</v>
      </c>
      <c r="B196" s="3" t="s">
        <v>160</v>
      </c>
      <c r="C196" s="8" t="s">
        <v>0</v>
      </c>
      <c r="D196" s="8" t="s">
        <v>61</v>
      </c>
      <c r="E196" s="8">
        <v>4.95</v>
      </c>
      <c r="F196" s="8">
        <v>23</v>
      </c>
      <c r="G196" s="8">
        <f>E196*F196</f>
        <v>113.85000000000001</v>
      </c>
      <c r="H196" s="73">
        <f>ROUND(G196/1000,3)</f>
        <v>0.114</v>
      </c>
      <c r="I196" s="82" t="s">
        <v>306</v>
      </c>
    </row>
    <row r="197" spans="1:10" x14ac:dyDescent="0.2">
      <c r="A197" s="72">
        <f t="shared" si="38"/>
        <v>5</v>
      </c>
      <c r="B197" s="3" t="s">
        <v>159</v>
      </c>
      <c r="C197" s="8" t="s">
        <v>0</v>
      </c>
      <c r="D197" s="8" t="s">
        <v>61</v>
      </c>
      <c r="E197" s="8">
        <v>12.336</v>
      </c>
      <c r="F197" s="8">
        <v>6</v>
      </c>
      <c r="G197" s="8">
        <f t="shared" si="39"/>
        <v>74.016000000000005</v>
      </c>
      <c r="H197" s="73">
        <f t="shared" si="40"/>
        <v>7.3999999999999996E-2</v>
      </c>
      <c r="I197" s="82" t="s">
        <v>163</v>
      </c>
    </row>
    <row r="198" spans="1:10" x14ac:dyDescent="0.2">
      <c r="A198" s="72">
        <f t="shared" si="38"/>
        <v>6</v>
      </c>
      <c r="B198" s="3" t="s">
        <v>260</v>
      </c>
      <c r="C198" s="8" t="s">
        <v>0</v>
      </c>
      <c r="D198" s="8" t="s">
        <v>61</v>
      </c>
      <c r="E198" s="8">
        <v>5.0199999999999996</v>
      </c>
      <c r="F198" s="8">
        <v>8</v>
      </c>
      <c r="G198" s="8">
        <f>E198*F198</f>
        <v>40.159999999999997</v>
      </c>
      <c r="H198" s="73">
        <f>ROUND(G198/1000,3)</f>
        <v>0.04</v>
      </c>
      <c r="I198" s="82" t="s">
        <v>62</v>
      </c>
    </row>
    <row r="199" spans="1:10" x14ac:dyDescent="0.2">
      <c r="A199" s="72">
        <f t="shared" si="38"/>
        <v>7</v>
      </c>
      <c r="B199" s="3" t="s">
        <v>259</v>
      </c>
      <c r="C199" s="8" t="s">
        <v>0</v>
      </c>
      <c r="D199" s="8" t="s">
        <v>61</v>
      </c>
      <c r="E199" s="8">
        <v>12.336</v>
      </c>
      <c r="F199" s="8">
        <v>1</v>
      </c>
      <c r="G199" s="8">
        <f t="shared" si="39"/>
        <v>12.336</v>
      </c>
      <c r="H199" s="73">
        <f t="shared" si="40"/>
        <v>1.2E-2</v>
      </c>
      <c r="I199" s="82" t="s">
        <v>91</v>
      </c>
    </row>
    <row r="200" spans="1:10" x14ac:dyDescent="0.2">
      <c r="A200" s="74">
        <f t="shared" si="38"/>
        <v>8</v>
      </c>
      <c r="B200" s="56" t="s">
        <v>71</v>
      </c>
      <c r="C200" s="7" t="s">
        <v>0</v>
      </c>
      <c r="D200" s="7" t="s">
        <v>72</v>
      </c>
      <c r="E200" s="7">
        <v>0.29399999999999998</v>
      </c>
      <c r="F200" s="7"/>
      <c r="G200" s="7">
        <f t="shared" si="39"/>
        <v>0</v>
      </c>
      <c r="H200" s="57">
        <f t="shared" si="40"/>
        <v>0</v>
      </c>
      <c r="I200" t="s">
        <v>307</v>
      </c>
    </row>
    <row r="201" spans="1:10" x14ac:dyDescent="0.2">
      <c r="A201" s="27"/>
      <c r="B201" s="28" t="s">
        <v>154</v>
      </c>
      <c r="C201" s="29"/>
      <c r="D201" s="29"/>
      <c r="E201" s="29"/>
      <c r="F201" s="29"/>
      <c r="G201" s="29"/>
      <c r="H201" s="30">
        <f>SUM(H193:H200)</f>
        <v>0.502</v>
      </c>
      <c r="I201" s="81"/>
    </row>
    <row r="202" spans="1:10" x14ac:dyDescent="0.2">
      <c r="A202" s="33"/>
      <c r="B202" s="44" t="s">
        <v>155</v>
      </c>
      <c r="C202" s="19"/>
      <c r="D202" s="19"/>
      <c r="E202" s="19"/>
      <c r="F202" s="19"/>
      <c r="G202" s="19"/>
      <c r="H202" s="45">
        <f>SUM(H192,H201)</f>
        <v>1.1020000000000001</v>
      </c>
    </row>
    <row r="205" spans="1:10" x14ac:dyDescent="0.2">
      <c r="A205" s="13"/>
      <c r="B205" s="16" t="s">
        <v>333</v>
      </c>
    </row>
    <row r="206" spans="1:10" ht="32" x14ac:dyDescent="0.2">
      <c r="A206" s="14" t="s">
        <v>1</v>
      </c>
      <c r="B206" s="14" t="s">
        <v>42</v>
      </c>
      <c r="C206" s="15" t="s">
        <v>77</v>
      </c>
      <c r="D206" s="15" t="s">
        <v>77</v>
      </c>
      <c r="E206" s="15" t="s">
        <v>78</v>
      </c>
      <c r="F206" s="14" t="s">
        <v>43</v>
      </c>
      <c r="G206" s="15" t="s">
        <v>44</v>
      </c>
      <c r="H206" s="15" t="s">
        <v>45</v>
      </c>
    </row>
    <row r="207" spans="1:10" x14ac:dyDescent="0.2">
      <c r="A207" s="62">
        <v>1</v>
      </c>
      <c r="B207" s="63" t="s">
        <v>46</v>
      </c>
      <c r="C207" s="40" t="s">
        <v>116</v>
      </c>
      <c r="D207" s="40" t="s">
        <v>47</v>
      </c>
      <c r="E207" s="40">
        <v>5</v>
      </c>
      <c r="F207" s="40">
        <v>88</v>
      </c>
      <c r="G207" s="40">
        <f t="shared" ref="G207:G213" si="41">E207*F207</f>
        <v>440</v>
      </c>
      <c r="H207" s="64">
        <f t="shared" ref="H207:H222" si="42">ROUND(G207/1000,3)</f>
        <v>0.44</v>
      </c>
      <c r="I207" t="s">
        <v>345</v>
      </c>
      <c r="J207">
        <f>17*5+3</f>
        <v>88</v>
      </c>
    </row>
    <row r="208" spans="1:10" x14ac:dyDescent="0.2">
      <c r="A208" s="41">
        <f t="shared" ref="A208:A230" si="43">A207+1</f>
        <v>2</v>
      </c>
      <c r="B208" s="36" t="s">
        <v>49</v>
      </c>
      <c r="C208" s="38" t="s">
        <v>116</v>
      </c>
      <c r="D208" s="38" t="s">
        <v>50</v>
      </c>
      <c r="E208" s="38">
        <v>0.91</v>
      </c>
      <c r="F208" s="38">
        <v>156</v>
      </c>
      <c r="G208" s="38">
        <f t="shared" si="41"/>
        <v>141.96</v>
      </c>
      <c r="H208" s="55">
        <f t="shared" si="42"/>
        <v>0.14199999999999999</v>
      </c>
      <c r="I208" t="s">
        <v>346</v>
      </c>
      <c r="J208">
        <f>13*12</f>
        <v>156</v>
      </c>
    </row>
    <row r="209" spans="1:10" x14ac:dyDescent="0.2">
      <c r="A209" s="41">
        <f t="shared" si="43"/>
        <v>3</v>
      </c>
      <c r="B209" s="36" t="s">
        <v>52</v>
      </c>
      <c r="C209" s="38" t="s">
        <v>116</v>
      </c>
      <c r="D209" s="38" t="s">
        <v>53</v>
      </c>
      <c r="E209" s="38">
        <v>0.3</v>
      </c>
      <c r="F209" s="38">
        <v>88</v>
      </c>
      <c r="G209" s="38">
        <f t="shared" si="41"/>
        <v>26.4</v>
      </c>
      <c r="H209" s="55">
        <f t="shared" si="42"/>
        <v>2.5999999999999999E-2</v>
      </c>
      <c r="I209" t="s">
        <v>245</v>
      </c>
      <c r="J209">
        <f>3*24+16</f>
        <v>88</v>
      </c>
    </row>
    <row r="210" spans="1:10" x14ac:dyDescent="0.2">
      <c r="A210" s="41">
        <f t="shared" si="43"/>
        <v>4</v>
      </c>
      <c r="B210" s="36" t="s">
        <v>55</v>
      </c>
      <c r="C210" s="38" t="s">
        <v>116</v>
      </c>
      <c r="D210" s="38" t="s">
        <v>50</v>
      </c>
      <c r="E210" s="38">
        <v>0.255</v>
      </c>
      <c r="F210" s="38">
        <v>88</v>
      </c>
      <c r="G210" s="38">
        <f t="shared" si="41"/>
        <v>22.44</v>
      </c>
      <c r="H210" s="55">
        <f t="shared" si="42"/>
        <v>2.1999999999999999E-2</v>
      </c>
      <c r="I210" t="s">
        <v>246</v>
      </c>
      <c r="J210">
        <f>3*24+16</f>
        <v>88</v>
      </c>
    </row>
    <row r="211" spans="1:10" x14ac:dyDescent="0.2">
      <c r="A211" s="41">
        <f t="shared" si="43"/>
        <v>5</v>
      </c>
      <c r="B211" s="36" t="s">
        <v>57</v>
      </c>
      <c r="C211" s="38" t="s">
        <v>116</v>
      </c>
      <c r="D211" s="38" t="s">
        <v>50</v>
      </c>
      <c r="E211" s="38">
        <v>0.27</v>
      </c>
      <c r="F211" s="38">
        <v>88</v>
      </c>
      <c r="G211" s="38">
        <f t="shared" si="41"/>
        <v>23.76</v>
      </c>
      <c r="H211" s="55">
        <f t="shared" si="42"/>
        <v>2.4E-2</v>
      </c>
      <c r="I211" t="s">
        <v>246</v>
      </c>
      <c r="J211">
        <f>3*24+16</f>
        <v>88</v>
      </c>
    </row>
    <row r="212" spans="1:10" x14ac:dyDescent="0.2">
      <c r="A212" s="41">
        <f t="shared" si="43"/>
        <v>6</v>
      </c>
      <c r="B212" s="89" t="s">
        <v>340</v>
      </c>
      <c r="C212" s="90" t="s">
        <v>116</v>
      </c>
      <c r="D212" s="90" t="s">
        <v>50</v>
      </c>
      <c r="E212" s="90">
        <v>0.75</v>
      </c>
      <c r="F212" s="90">
        <v>222</v>
      </c>
      <c r="G212" s="90">
        <f t="shared" si="41"/>
        <v>166.5</v>
      </c>
      <c r="H212" s="55">
        <f t="shared" si="42"/>
        <v>0.16700000000000001</v>
      </c>
      <c r="I212" t="s">
        <v>347</v>
      </c>
      <c r="J212">
        <f>18*12+6</f>
        <v>222</v>
      </c>
    </row>
    <row r="213" spans="1:10" x14ac:dyDescent="0.2">
      <c r="A213" s="41">
        <f t="shared" si="43"/>
        <v>7</v>
      </c>
      <c r="B213" s="89" t="s">
        <v>341</v>
      </c>
      <c r="C213" s="90" t="s">
        <v>116</v>
      </c>
      <c r="D213" s="90" t="s">
        <v>50</v>
      </c>
      <c r="E213" s="90">
        <v>0.75</v>
      </c>
      <c r="F213" s="90">
        <v>3</v>
      </c>
      <c r="G213" s="90">
        <f t="shared" si="41"/>
        <v>2.25</v>
      </c>
      <c r="H213" s="55">
        <f t="shared" si="42"/>
        <v>2E-3</v>
      </c>
      <c r="I213" t="s">
        <v>348</v>
      </c>
      <c r="J213">
        <v>3</v>
      </c>
    </row>
    <row r="214" spans="1:10" x14ac:dyDescent="0.2">
      <c r="A214" s="41">
        <f t="shared" si="43"/>
        <v>8</v>
      </c>
      <c r="B214" s="91" t="s">
        <v>342</v>
      </c>
      <c r="C214" s="90" t="s">
        <v>116</v>
      </c>
      <c r="D214" s="90" t="s">
        <v>61</v>
      </c>
      <c r="E214" s="90">
        <v>0.432</v>
      </c>
      <c r="F214" s="90">
        <v>7</v>
      </c>
      <c r="G214" s="90">
        <f t="shared" ref="G214" si="44">E214*F214</f>
        <v>3.024</v>
      </c>
      <c r="H214" s="55">
        <f t="shared" si="42"/>
        <v>3.0000000000000001E-3</v>
      </c>
      <c r="I214" t="s">
        <v>349</v>
      </c>
      <c r="J214">
        <v>7</v>
      </c>
    </row>
    <row r="215" spans="1:10" x14ac:dyDescent="0.2">
      <c r="A215" s="41"/>
      <c r="B215" s="91"/>
      <c r="C215" s="90" t="s">
        <v>116</v>
      </c>
      <c r="D215" s="90" t="s">
        <v>69</v>
      </c>
      <c r="E215" s="84">
        <v>3.5999999999999997E-2</v>
      </c>
      <c r="F215" s="90">
        <v>4</v>
      </c>
      <c r="G215" s="90">
        <f t="shared" ref="G215:G222" si="45">E215*F215</f>
        <v>0.14399999999999999</v>
      </c>
      <c r="H215" s="55">
        <f t="shared" si="42"/>
        <v>0</v>
      </c>
      <c r="J215">
        <v>4</v>
      </c>
    </row>
    <row r="216" spans="1:10" x14ac:dyDescent="0.2">
      <c r="A216" s="41">
        <f>A214+1</f>
        <v>9</v>
      </c>
      <c r="B216" s="91" t="s">
        <v>343</v>
      </c>
      <c r="C216" s="90" t="s">
        <v>116</v>
      </c>
      <c r="D216" s="90" t="s">
        <v>61</v>
      </c>
      <c r="E216" s="90">
        <v>0.432</v>
      </c>
      <c r="F216" s="90">
        <v>7</v>
      </c>
      <c r="G216" s="90">
        <f t="shared" si="45"/>
        <v>3.024</v>
      </c>
      <c r="H216" s="55">
        <f t="shared" si="42"/>
        <v>3.0000000000000001E-3</v>
      </c>
      <c r="I216" t="s">
        <v>349</v>
      </c>
      <c r="J216">
        <v>7</v>
      </c>
    </row>
    <row r="217" spans="1:10" x14ac:dyDescent="0.2">
      <c r="A217" s="41"/>
      <c r="B217" s="91"/>
      <c r="C217" s="90" t="s">
        <v>116</v>
      </c>
      <c r="D217" s="90" t="s">
        <v>69</v>
      </c>
      <c r="E217" s="84">
        <v>3.5999999999999997E-2</v>
      </c>
      <c r="F217" s="90">
        <v>4</v>
      </c>
      <c r="G217" s="90">
        <f t="shared" si="45"/>
        <v>0.14399999999999999</v>
      </c>
      <c r="H217" s="55">
        <f t="shared" si="42"/>
        <v>0</v>
      </c>
      <c r="J217">
        <v>4</v>
      </c>
    </row>
    <row r="218" spans="1:10" x14ac:dyDescent="0.2">
      <c r="A218" s="41">
        <f>A216+1</f>
        <v>10</v>
      </c>
      <c r="B218" s="91" t="s">
        <v>344</v>
      </c>
      <c r="C218" s="90" t="s">
        <v>116</v>
      </c>
      <c r="D218" s="90" t="s">
        <v>61</v>
      </c>
      <c r="E218" s="90">
        <v>0.432</v>
      </c>
      <c r="F218" s="90">
        <v>10</v>
      </c>
      <c r="G218" s="90">
        <f t="shared" si="45"/>
        <v>4.32</v>
      </c>
      <c r="H218" s="55">
        <f t="shared" si="42"/>
        <v>4.0000000000000001E-3</v>
      </c>
      <c r="I218" t="s">
        <v>67</v>
      </c>
      <c r="J218">
        <v>10</v>
      </c>
    </row>
    <row r="219" spans="1:10" x14ac:dyDescent="0.2">
      <c r="A219" s="41">
        <f t="shared" si="43"/>
        <v>11</v>
      </c>
      <c r="B219" s="89" t="s">
        <v>298</v>
      </c>
      <c r="C219" s="90" t="s">
        <v>116</v>
      </c>
      <c r="D219" s="90" t="s">
        <v>61</v>
      </c>
      <c r="E219" s="90">
        <v>0.36</v>
      </c>
      <c r="F219" s="90">
        <v>13</v>
      </c>
      <c r="G219" s="90">
        <f t="shared" si="45"/>
        <v>4.68</v>
      </c>
      <c r="H219" s="55">
        <f t="shared" si="42"/>
        <v>5.0000000000000001E-3</v>
      </c>
      <c r="I219" t="s">
        <v>350</v>
      </c>
      <c r="J219">
        <v>13</v>
      </c>
    </row>
    <row r="220" spans="1:10" x14ac:dyDescent="0.2">
      <c r="A220" s="41"/>
      <c r="B220" s="89"/>
      <c r="C220" s="90" t="s">
        <v>116</v>
      </c>
      <c r="D220" s="90" t="s">
        <v>69</v>
      </c>
      <c r="E220" s="84">
        <v>0.03</v>
      </c>
      <c r="F220" s="90">
        <v>11</v>
      </c>
      <c r="G220" s="90">
        <f t="shared" si="45"/>
        <v>0.32999999999999996</v>
      </c>
      <c r="H220" s="55">
        <f t="shared" si="42"/>
        <v>0</v>
      </c>
      <c r="J220">
        <v>11</v>
      </c>
    </row>
    <row r="221" spans="1:10" x14ac:dyDescent="0.2">
      <c r="A221" s="41">
        <f>A219+1</f>
        <v>12</v>
      </c>
      <c r="B221" s="89" t="s">
        <v>299</v>
      </c>
      <c r="C221" s="90" t="s">
        <v>116</v>
      </c>
      <c r="D221" s="90" t="s">
        <v>61</v>
      </c>
      <c r="E221" s="90">
        <v>0.36</v>
      </c>
      <c r="F221" s="90">
        <v>13</v>
      </c>
      <c r="G221" s="90">
        <f t="shared" si="45"/>
        <v>4.68</v>
      </c>
      <c r="H221" s="55">
        <f t="shared" si="42"/>
        <v>5.0000000000000001E-3</v>
      </c>
      <c r="I221" t="s">
        <v>350</v>
      </c>
      <c r="J221">
        <v>13</v>
      </c>
    </row>
    <row r="222" spans="1:10" x14ac:dyDescent="0.2">
      <c r="A222" s="53"/>
      <c r="B222" s="92"/>
      <c r="C222" s="93" t="s">
        <v>116</v>
      </c>
      <c r="D222" s="93" t="s">
        <v>69</v>
      </c>
      <c r="E222" s="87">
        <v>0.03</v>
      </c>
      <c r="F222" s="93">
        <v>11</v>
      </c>
      <c r="G222" s="93">
        <f t="shared" si="45"/>
        <v>0.32999999999999996</v>
      </c>
      <c r="H222" s="94">
        <f t="shared" si="42"/>
        <v>0</v>
      </c>
      <c r="J222">
        <v>11</v>
      </c>
    </row>
    <row r="223" spans="1:10" x14ac:dyDescent="0.2">
      <c r="A223" s="77"/>
      <c r="B223" s="78" t="s">
        <v>73</v>
      </c>
      <c r="C223" s="79"/>
      <c r="D223" s="79"/>
      <c r="E223" s="79"/>
      <c r="F223" s="79"/>
      <c r="G223" s="79"/>
      <c r="H223" s="45">
        <f>SUM(H207:H222)</f>
        <v>0.84300000000000008</v>
      </c>
      <c r="I223" s="81"/>
    </row>
    <row r="224" spans="1:10" x14ac:dyDescent="0.2">
      <c r="A224" s="69">
        <v>1</v>
      </c>
      <c r="B224" s="34" t="s">
        <v>85</v>
      </c>
      <c r="C224" s="70" t="s">
        <v>0</v>
      </c>
      <c r="D224" s="70" t="s">
        <v>61</v>
      </c>
      <c r="E224" s="70">
        <v>12</v>
      </c>
      <c r="F224" s="70">
        <v>17</v>
      </c>
      <c r="G224" s="70">
        <f t="shared" ref="G224:G226" si="46">E224*F224</f>
        <v>204</v>
      </c>
      <c r="H224" s="71">
        <f t="shared" ref="H224:H226" si="47">ROUND(G224/1000,3)</f>
        <v>0.20399999999999999</v>
      </c>
      <c r="I224" s="82" t="s">
        <v>337</v>
      </c>
    </row>
    <row r="225" spans="1:10" x14ac:dyDescent="0.2">
      <c r="A225" s="72">
        <f t="shared" si="43"/>
        <v>2</v>
      </c>
      <c r="B225" s="34" t="s">
        <v>334</v>
      </c>
      <c r="C225" s="8" t="s">
        <v>0</v>
      </c>
      <c r="D225" s="8" t="s">
        <v>61</v>
      </c>
      <c r="E225" s="8">
        <v>12.336</v>
      </c>
      <c r="F225" s="8">
        <v>1</v>
      </c>
      <c r="G225" s="8">
        <f t="shared" si="46"/>
        <v>12.336</v>
      </c>
      <c r="H225" s="73">
        <f t="shared" si="47"/>
        <v>1.2E-2</v>
      </c>
      <c r="I225" s="82" t="s">
        <v>91</v>
      </c>
    </row>
    <row r="226" spans="1:10" x14ac:dyDescent="0.2">
      <c r="A226" s="72">
        <f t="shared" si="43"/>
        <v>3</v>
      </c>
      <c r="B226" s="3" t="s">
        <v>60</v>
      </c>
      <c r="C226" s="8" t="s">
        <v>0</v>
      </c>
      <c r="D226" s="8" t="s">
        <v>61</v>
      </c>
      <c r="E226" s="8">
        <v>12.336</v>
      </c>
      <c r="F226" s="8">
        <v>3</v>
      </c>
      <c r="G226" s="8">
        <f t="shared" si="46"/>
        <v>37.008000000000003</v>
      </c>
      <c r="H226" s="73">
        <f t="shared" si="47"/>
        <v>3.6999999999999998E-2</v>
      </c>
      <c r="I226" s="82" t="s">
        <v>87</v>
      </c>
    </row>
    <row r="227" spans="1:10" x14ac:dyDescent="0.2">
      <c r="A227" s="72">
        <f t="shared" si="43"/>
        <v>4</v>
      </c>
      <c r="B227" s="3" t="s">
        <v>159</v>
      </c>
      <c r="C227" s="8" t="s">
        <v>0</v>
      </c>
      <c r="D227" s="8" t="s">
        <v>61</v>
      </c>
      <c r="E227" s="8">
        <v>12.336</v>
      </c>
      <c r="F227" s="8">
        <v>10</v>
      </c>
      <c r="G227" s="8">
        <f>E227*F227</f>
        <v>123.36</v>
      </c>
      <c r="H227" s="73">
        <f>ROUND(G227/1000,3)</f>
        <v>0.123</v>
      </c>
      <c r="I227" s="82" t="s">
        <v>67</v>
      </c>
    </row>
    <row r="228" spans="1:10" x14ac:dyDescent="0.2">
      <c r="A228" s="72">
        <f t="shared" si="43"/>
        <v>5</v>
      </c>
      <c r="B228" s="3" t="s">
        <v>160</v>
      </c>
      <c r="C228" s="8" t="s">
        <v>0</v>
      </c>
      <c r="D228" s="8" t="s">
        <v>61</v>
      </c>
      <c r="E228" s="8">
        <v>4.95</v>
      </c>
      <c r="F228" s="8">
        <v>82</v>
      </c>
      <c r="G228" s="8">
        <f t="shared" ref="G228" si="48">E228*F228</f>
        <v>405.90000000000003</v>
      </c>
      <c r="H228" s="73">
        <f t="shared" ref="H228" si="49">ROUND(G228/1000,3)</f>
        <v>0.40600000000000003</v>
      </c>
      <c r="I228" s="82" t="s">
        <v>338</v>
      </c>
    </row>
    <row r="229" spans="1:10" x14ac:dyDescent="0.2">
      <c r="A229" s="72">
        <f t="shared" si="43"/>
        <v>6</v>
      </c>
      <c r="B229" s="3" t="s">
        <v>335</v>
      </c>
      <c r="C229" s="8" t="s">
        <v>0</v>
      </c>
      <c r="D229" s="8" t="s">
        <v>61</v>
      </c>
      <c r="E229" s="8">
        <v>4.95</v>
      </c>
      <c r="F229" s="8">
        <v>46</v>
      </c>
      <c r="G229" s="8">
        <f>E229*F229</f>
        <v>227.70000000000002</v>
      </c>
      <c r="H229" s="73">
        <f>ROUND(G229/1000,3)</f>
        <v>0.22800000000000001</v>
      </c>
      <c r="I229" s="82" t="s">
        <v>339</v>
      </c>
    </row>
    <row r="230" spans="1:10" x14ac:dyDescent="0.2">
      <c r="A230" s="72">
        <f t="shared" si="43"/>
        <v>7</v>
      </c>
      <c r="B230" s="3" t="s">
        <v>336</v>
      </c>
      <c r="C230" s="8" t="s">
        <v>0</v>
      </c>
      <c r="D230" s="8" t="s">
        <v>61</v>
      </c>
      <c r="E230" s="8">
        <v>5.0199999999999996</v>
      </c>
      <c r="F230" s="8">
        <v>8</v>
      </c>
      <c r="G230" s="8">
        <f t="shared" ref="G230" si="50">E230*F230</f>
        <v>40.159999999999997</v>
      </c>
      <c r="H230" s="73">
        <f t="shared" ref="H230" si="51">ROUND(G230/1000,3)</f>
        <v>0.04</v>
      </c>
      <c r="I230" s="82" t="s">
        <v>62</v>
      </c>
    </row>
    <row r="231" spans="1:10" x14ac:dyDescent="0.2">
      <c r="A231" s="27"/>
      <c r="B231" s="28" t="s">
        <v>154</v>
      </c>
      <c r="C231" s="29"/>
      <c r="D231" s="29"/>
      <c r="E231" s="29"/>
      <c r="F231" s="29"/>
      <c r="G231" s="29"/>
      <c r="H231" s="30">
        <f>SUM(H224:H230)</f>
        <v>1.05</v>
      </c>
      <c r="I231" s="81"/>
    </row>
    <row r="232" spans="1:10" x14ac:dyDescent="0.2">
      <c r="A232" s="33"/>
      <c r="B232" s="44" t="s">
        <v>155</v>
      </c>
      <c r="C232" s="19"/>
      <c r="D232" s="19"/>
      <c r="E232" s="19"/>
      <c r="F232" s="19"/>
      <c r="G232" s="19"/>
      <c r="H232" s="45">
        <f>SUM(H223,H231)</f>
        <v>1.8930000000000002</v>
      </c>
    </row>
    <row r="235" spans="1:10" x14ac:dyDescent="0.2">
      <c r="A235" s="13"/>
      <c r="B235" s="16" t="s">
        <v>333</v>
      </c>
    </row>
    <row r="236" spans="1:10" ht="32" x14ac:dyDescent="0.2">
      <c r="A236" s="14" t="s">
        <v>1</v>
      </c>
      <c r="B236" s="14" t="s">
        <v>42</v>
      </c>
      <c r="C236" s="15" t="s">
        <v>77</v>
      </c>
      <c r="D236" s="15" t="s">
        <v>77</v>
      </c>
      <c r="E236" s="15" t="s">
        <v>78</v>
      </c>
      <c r="F236" s="14" t="s">
        <v>43</v>
      </c>
      <c r="G236" s="15" t="s">
        <v>44</v>
      </c>
      <c r="H236" s="15" t="s">
        <v>45</v>
      </c>
    </row>
    <row r="237" spans="1:10" x14ac:dyDescent="0.2">
      <c r="A237" s="62">
        <v>1</v>
      </c>
      <c r="B237" s="63" t="s">
        <v>46</v>
      </c>
      <c r="C237" s="40" t="s">
        <v>116</v>
      </c>
      <c r="D237" s="40" t="s">
        <v>47</v>
      </c>
      <c r="E237" s="40">
        <v>5</v>
      </c>
      <c r="F237" s="40">
        <v>88</v>
      </c>
      <c r="G237" s="40">
        <f t="shared" ref="G237:G252" si="52">E237*F237</f>
        <v>440</v>
      </c>
      <c r="H237" s="64">
        <f t="shared" ref="H237:H252" si="53">ROUND(G237/1000,3)</f>
        <v>0.44</v>
      </c>
      <c r="I237" t="s">
        <v>345</v>
      </c>
      <c r="J237">
        <f>17*5+3</f>
        <v>88</v>
      </c>
    </row>
    <row r="238" spans="1:10" x14ac:dyDescent="0.2">
      <c r="A238" s="41">
        <f t="shared" ref="A238:A260" si="54">A237+1</f>
        <v>2</v>
      </c>
      <c r="B238" s="36" t="s">
        <v>49</v>
      </c>
      <c r="C238" s="38" t="s">
        <v>116</v>
      </c>
      <c r="D238" s="38" t="s">
        <v>50</v>
      </c>
      <c r="E238" s="38">
        <v>0.91</v>
      </c>
      <c r="F238" s="38">
        <v>156</v>
      </c>
      <c r="G238" s="38">
        <f t="shared" si="52"/>
        <v>141.96</v>
      </c>
      <c r="H238" s="55">
        <f t="shared" si="53"/>
        <v>0.14199999999999999</v>
      </c>
      <c r="I238" t="s">
        <v>346</v>
      </c>
      <c r="J238">
        <f>13*12</f>
        <v>156</v>
      </c>
    </row>
    <row r="239" spans="1:10" x14ac:dyDescent="0.2">
      <c r="A239" s="41">
        <f t="shared" si="54"/>
        <v>3</v>
      </c>
      <c r="B239" s="36" t="s">
        <v>52</v>
      </c>
      <c r="C239" s="38" t="s">
        <v>116</v>
      </c>
      <c r="D239" s="38" t="s">
        <v>53</v>
      </c>
      <c r="E239" s="38">
        <v>0.3</v>
      </c>
      <c r="F239" s="38">
        <v>88</v>
      </c>
      <c r="G239" s="38">
        <f t="shared" si="52"/>
        <v>26.4</v>
      </c>
      <c r="H239" s="55">
        <f t="shared" si="53"/>
        <v>2.5999999999999999E-2</v>
      </c>
      <c r="I239" t="s">
        <v>245</v>
      </c>
      <c r="J239">
        <f>3*24+16</f>
        <v>88</v>
      </c>
    </row>
    <row r="240" spans="1:10" x14ac:dyDescent="0.2">
      <c r="A240" s="41">
        <f t="shared" si="54"/>
        <v>4</v>
      </c>
      <c r="B240" s="36" t="s">
        <v>55</v>
      </c>
      <c r="C240" s="38" t="s">
        <v>116</v>
      </c>
      <c r="D240" s="38" t="s">
        <v>50</v>
      </c>
      <c r="E240" s="38">
        <v>0.255</v>
      </c>
      <c r="F240" s="38">
        <v>88</v>
      </c>
      <c r="G240" s="38">
        <f t="shared" si="52"/>
        <v>22.44</v>
      </c>
      <c r="H240" s="55">
        <f t="shared" si="53"/>
        <v>2.1999999999999999E-2</v>
      </c>
      <c r="I240" t="s">
        <v>246</v>
      </c>
      <c r="J240">
        <f>3*24+16</f>
        <v>88</v>
      </c>
    </row>
    <row r="241" spans="1:10" x14ac:dyDescent="0.2">
      <c r="A241" s="41">
        <f t="shared" si="54"/>
        <v>5</v>
      </c>
      <c r="B241" s="36" t="s">
        <v>57</v>
      </c>
      <c r="C241" s="38" t="s">
        <v>116</v>
      </c>
      <c r="D241" s="38" t="s">
        <v>50</v>
      </c>
      <c r="E241" s="38">
        <v>0.27</v>
      </c>
      <c r="F241" s="38">
        <v>88</v>
      </c>
      <c r="G241" s="38">
        <f t="shared" si="52"/>
        <v>23.76</v>
      </c>
      <c r="H241" s="55">
        <f t="shared" si="53"/>
        <v>2.4E-2</v>
      </c>
      <c r="I241" t="s">
        <v>246</v>
      </c>
      <c r="J241">
        <f>3*24+16</f>
        <v>88</v>
      </c>
    </row>
    <row r="242" spans="1:10" x14ac:dyDescent="0.2">
      <c r="A242" s="41">
        <f t="shared" si="54"/>
        <v>6</v>
      </c>
      <c r="B242" s="89" t="s">
        <v>340</v>
      </c>
      <c r="C242" s="90" t="s">
        <v>116</v>
      </c>
      <c r="D242" s="90" t="s">
        <v>50</v>
      </c>
      <c r="E242" s="90">
        <v>0.75</v>
      </c>
      <c r="F242" s="90">
        <v>222</v>
      </c>
      <c r="G242" s="90">
        <f t="shared" si="52"/>
        <v>166.5</v>
      </c>
      <c r="H242" s="55">
        <f t="shared" si="53"/>
        <v>0.16700000000000001</v>
      </c>
      <c r="I242" t="s">
        <v>347</v>
      </c>
      <c r="J242">
        <f>18*12+6</f>
        <v>222</v>
      </c>
    </row>
    <row r="243" spans="1:10" x14ac:dyDescent="0.2">
      <c r="A243" s="41">
        <f t="shared" si="54"/>
        <v>7</v>
      </c>
      <c r="B243" s="89" t="s">
        <v>341</v>
      </c>
      <c r="C243" s="90" t="s">
        <v>116</v>
      </c>
      <c r="D243" s="90" t="s">
        <v>50</v>
      </c>
      <c r="E243" s="90">
        <v>0.75</v>
      </c>
      <c r="F243" s="90">
        <v>3</v>
      </c>
      <c r="G243" s="90">
        <f t="shared" si="52"/>
        <v>2.25</v>
      </c>
      <c r="H243" s="55">
        <f t="shared" si="53"/>
        <v>2E-3</v>
      </c>
      <c r="I243" t="s">
        <v>348</v>
      </c>
      <c r="J243">
        <v>3</v>
      </c>
    </row>
    <row r="244" spans="1:10" x14ac:dyDescent="0.2">
      <c r="A244" s="41">
        <f t="shared" si="54"/>
        <v>8</v>
      </c>
      <c r="B244" s="91" t="s">
        <v>342</v>
      </c>
      <c r="C244" s="90" t="s">
        <v>116</v>
      </c>
      <c r="D244" s="90" t="s">
        <v>61</v>
      </c>
      <c r="E244" s="90">
        <v>0.432</v>
      </c>
      <c r="F244" s="90">
        <v>7</v>
      </c>
      <c r="G244" s="90">
        <f t="shared" si="52"/>
        <v>3.024</v>
      </c>
      <c r="H244" s="55">
        <f t="shared" si="53"/>
        <v>3.0000000000000001E-3</v>
      </c>
      <c r="I244" t="s">
        <v>349</v>
      </c>
      <c r="J244">
        <v>7</v>
      </c>
    </row>
    <row r="245" spans="1:10" x14ac:dyDescent="0.2">
      <c r="A245" s="41"/>
      <c r="B245" s="91"/>
      <c r="C245" s="90" t="s">
        <v>116</v>
      </c>
      <c r="D245" s="90" t="s">
        <v>69</v>
      </c>
      <c r="E245" s="84">
        <v>3.5999999999999997E-2</v>
      </c>
      <c r="F245" s="90">
        <v>4</v>
      </c>
      <c r="G245" s="90">
        <f t="shared" si="52"/>
        <v>0.14399999999999999</v>
      </c>
      <c r="H245" s="55">
        <f t="shared" si="53"/>
        <v>0</v>
      </c>
      <c r="J245">
        <v>4</v>
      </c>
    </row>
    <row r="246" spans="1:10" x14ac:dyDescent="0.2">
      <c r="A246" s="41">
        <f>A244+1</f>
        <v>9</v>
      </c>
      <c r="B246" s="91" t="s">
        <v>343</v>
      </c>
      <c r="C246" s="90" t="s">
        <v>116</v>
      </c>
      <c r="D246" s="90" t="s">
        <v>61</v>
      </c>
      <c r="E246" s="90">
        <v>0.432</v>
      </c>
      <c r="F246" s="90">
        <v>7</v>
      </c>
      <c r="G246" s="90">
        <f t="shared" si="52"/>
        <v>3.024</v>
      </c>
      <c r="H246" s="55">
        <f t="shared" si="53"/>
        <v>3.0000000000000001E-3</v>
      </c>
      <c r="I246" t="s">
        <v>349</v>
      </c>
      <c r="J246">
        <v>7</v>
      </c>
    </row>
    <row r="247" spans="1:10" x14ac:dyDescent="0.2">
      <c r="A247" s="41"/>
      <c r="B247" s="91"/>
      <c r="C247" s="90" t="s">
        <v>116</v>
      </c>
      <c r="D247" s="90" t="s">
        <v>69</v>
      </c>
      <c r="E247" s="84">
        <v>3.5999999999999997E-2</v>
      </c>
      <c r="F247" s="90">
        <v>4</v>
      </c>
      <c r="G247" s="90">
        <f t="shared" si="52"/>
        <v>0.14399999999999999</v>
      </c>
      <c r="H247" s="55">
        <f t="shared" si="53"/>
        <v>0</v>
      </c>
      <c r="J247">
        <v>4</v>
      </c>
    </row>
    <row r="248" spans="1:10" x14ac:dyDescent="0.2">
      <c r="A248" s="41">
        <f>A246+1</f>
        <v>10</v>
      </c>
      <c r="B248" s="91" t="s">
        <v>344</v>
      </c>
      <c r="C248" s="90" t="s">
        <v>116</v>
      </c>
      <c r="D248" s="90" t="s">
        <v>61</v>
      </c>
      <c r="E248" s="90">
        <v>0.432</v>
      </c>
      <c r="F248" s="90">
        <v>10</v>
      </c>
      <c r="G248" s="90">
        <f t="shared" si="52"/>
        <v>4.32</v>
      </c>
      <c r="H248" s="55">
        <f t="shared" si="53"/>
        <v>4.0000000000000001E-3</v>
      </c>
      <c r="I248" t="s">
        <v>67</v>
      </c>
      <c r="J248">
        <v>10</v>
      </c>
    </row>
    <row r="249" spans="1:10" x14ac:dyDescent="0.2">
      <c r="A249" s="41">
        <f t="shared" si="54"/>
        <v>11</v>
      </c>
      <c r="B249" s="89" t="s">
        <v>298</v>
      </c>
      <c r="C249" s="90" t="s">
        <v>116</v>
      </c>
      <c r="D249" s="90" t="s">
        <v>61</v>
      </c>
      <c r="E249" s="90">
        <v>0.36</v>
      </c>
      <c r="F249" s="90">
        <v>13</v>
      </c>
      <c r="G249" s="90">
        <f t="shared" si="52"/>
        <v>4.68</v>
      </c>
      <c r="H249" s="55">
        <f t="shared" si="53"/>
        <v>5.0000000000000001E-3</v>
      </c>
      <c r="I249" t="s">
        <v>350</v>
      </c>
      <c r="J249">
        <v>13</v>
      </c>
    </row>
    <row r="250" spans="1:10" x14ac:dyDescent="0.2">
      <c r="A250" s="41"/>
      <c r="B250" s="89"/>
      <c r="C250" s="90" t="s">
        <v>116</v>
      </c>
      <c r="D250" s="90" t="s">
        <v>69</v>
      </c>
      <c r="E250" s="84">
        <v>0.03</v>
      </c>
      <c r="F250" s="90">
        <v>11</v>
      </c>
      <c r="G250" s="90">
        <f t="shared" si="52"/>
        <v>0.32999999999999996</v>
      </c>
      <c r="H250" s="55">
        <f t="shared" si="53"/>
        <v>0</v>
      </c>
      <c r="J250">
        <v>11</v>
      </c>
    </row>
    <row r="251" spans="1:10" x14ac:dyDescent="0.2">
      <c r="A251" s="41">
        <f>A249+1</f>
        <v>12</v>
      </c>
      <c r="B251" s="89" t="s">
        <v>299</v>
      </c>
      <c r="C251" s="90" t="s">
        <v>116</v>
      </c>
      <c r="D251" s="90" t="s">
        <v>61</v>
      </c>
      <c r="E251" s="90">
        <v>0.36</v>
      </c>
      <c r="F251" s="90">
        <v>13</v>
      </c>
      <c r="G251" s="90">
        <f t="shared" si="52"/>
        <v>4.68</v>
      </c>
      <c r="H251" s="55">
        <f t="shared" si="53"/>
        <v>5.0000000000000001E-3</v>
      </c>
      <c r="I251" t="s">
        <v>350</v>
      </c>
      <c r="J251">
        <v>13</v>
      </c>
    </row>
    <row r="252" spans="1:10" x14ac:dyDescent="0.2">
      <c r="A252" s="53"/>
      <c r="B252" s="92"/>
      <c r="C252" s="93" t="s">
        <v>116</v>
      </c>
      <c r="D252" s="93" t="s">
        <v>69</v>
      </c>
      <c r="E252" s="87">
        <v>0.03</v>
      </c>
      <c r="F252" s="93">
        <v>11</v>
      </c>
      <c r="G252" s="93">
        <f t="shared" si="52"/>
        <v>0.32999999999999996</v>
      </c>
      <c r="H252" s="94">
        <f t="shared" si="53"/>
        <v>0</v>
      </c>
      <c r="J252">
        <v>11</v>
      </c>
    </row>
    <row r="253" spans="1:10" x14ac:dyDescent="0.2">
      <c r="A253" s="77"/>
      <c r="B253" s="78" t="s">
        <v>73</v>
      </c>
      <c r="C253" s="79"/>
      <c r="D253" s="79"/>
      <c r="E253" s="79"/>
      <c r="F253" s="79"/>
      <c r="G253" s="79"/>
      <c r="H253" s="45">
        <f>SUM(H237:H252)</f>
        <v>0.84300000000000008</v>
      </c>
      <c r="I253" s="81"/>
    </row>
    <row r="254" spans="1:10" x14ac:dyDescent="0.2">
      <c r="A254" s="69">
        <v>1</v>
      </c>
      <c r="B254" s="34" t="s">
        <v>85</v>
      </c>
      <c r="C254" s="70" t="s">
        <v>0</v>
      </c>
      <c r="D254" s="70" t="s">
        <v>61</v>
      </c>
      <c r="E254" s="70">
        <v>12</v>
      </c>
      <c r="F254" s="70">
        <v>17</v>
      </c>
      <c r="G254" s="70">
        <f t="shared" ref="G254:G256" si="55">E254*F254</f>
        <v>204</v>
      </c>
      <c r="H254" s="71">
        <f t="shared" ref="H254:H256" si="56">ROUND(G254/1000,3)</f>
        <v>0.20399999999999999</v>
      </c>
      <c r="I254" s="82" t="s">
        <v>337</v>
      </c>
    </row>
    <row r="255" spans="1:10" x14ac:dyDescent="0.2">
      <c r="A255" s="72">
        <f t="shared" si="54"/>
        <v>2</v>
      </c>
      <c r="B255" s="34" t="s">
        <v>334</v>
      </c>
      <c r="C255" s="8" t="s">
        <v>0</v>
      </c>
      <c r="D255" s="8" t="s">
        <v>61</v>
      </c>
      <c r="E255" s="8">
        <v>12.336</v>
      </c>
      <c r="F255" s="8">
        <v>1</v>
      </c>
      <c r="G255" s="8">
        <f t="shared" si="55"/>
        <v>12.336</v>
      </c>
      <c r="H255" s="73">
        <f t="shared" si="56"/>
        <v>1.2E-2</v>
      </c>
      <c r="I255" s="82" t="s">
        <v>91</v>
      </c>
    </row>
    <row r="256" spans="1:10" x14ac:dyDescent="0.2">
      <c r="A256" s="72">
        <f t="shared" si="54"/>
        <v>3</v>
      </c>
      <c r="B256" s="3" t="s">
        <v>60</v>
      </c>
      <c r="C256" s="8" t="s">
        <v>0</v>
      </c>
      <c r="D256" s="8" t="s">
        <v>61</v>
      </c>
      <c r="E256" s="8">
        <v>12.336</v>
      </c>
      <c r="F256" s="8">
        <v>3</v>
      </c>
      <c r="G256" s="8">
        <f t="shared" si="55"/>
        <v>37.008000000000003</v>
      </c>
      <c r="H256" s="73">
        <f t="shared" si="56"/>
        <v>3.6999999999999998E-2</v>
      </c>
      <c r="I256" s="82" t="s">
        <v>87</v>
      </c>
    </row>
    <row r="257" spans="1:10" x14ac:dyDescent="0.2">
      <c r="A257" s="72">
        <f t="shared" si="54"/>
        <v>4</v>
      </c>
      <c r="B257" s="3" t="s">
        <v>159</v>
      </c>
      <c r="C257" s="8" t="s">
        <v>0</v>
      </c>
      <c r="D257" s="8" t="s">
        <v>61</v>
      </c>
      <c r="E257" s="8">
        <v>12.336</v>
      </c>
      <c r="F257" s="8">
        <v>10</v>
      </c>
      <c r="G257" s="8">
        <f>E257*F257</f>
        <v>123.36</v>
      </c>
      <c r="H257" s="73">
        <f>ROUND(G257/1000,3)</f>
        <v>0.123</v>
      </c>
      <c r="I257" s="82" t="s">
        <v>67</v>
      </c>
    </row>
    <row r="258" spans="1:10" x14ac:dyDescent="0.2">
      <c r="A258" s="72">
        <f t="shared" si="54"/>
        <v>5</v>
      </c>
      <c r="B258" s="3" t="s">
        <v>160</v>
      </c>
      <c r="C258" s="8" t="s">
        <v>0</v>
      </c>
      <c r="D258" s="8" t="s">
        <v>61</v>
      </c>
      <c r="E258" s="8">
        <v>4.95</v>
      </c>
      <c r="F258" s="8">
        <v>82</v>
      </c>
      <c r="G258" s="8">
        <f t="shared" ref="G258" si="57">E258*F258</f>
        <v>405.90000000000003</v>
      </c>
      <c r="H258" s="73">
        <f t="shared" ref="H258" si="58">ROUND(G258/1000,3)</f>
        <v>0.40600000000000003</v>
      </c>
      <c r="I258" s="82" t="s">
        <v>338</v>
      </c>
    </row>
    <row r="259" spans="1:10" x14ac:dyDescent="0.2">
      <c r="A259" s="72">
        <f t="shared" si="54"/>
        <v>6</v>
      </c>
      <c r="B259" s="3" t="s">
        <v>335</v>
      </c>
      <c r="C259" s="8" t="s">
        <v>0</v>
      </c>
      <c r="D259" s="8" t="s">
        <v>61</v>
      </c>
      <c r="E259" s="8">
        <v>4.95</v>
      </c>
      <c r="F259" s="8">
        <v>46</v>
      </c>
      <c r="G259" s="8">
        <f>E259*F259</f>
        <v>227.70000000000002</v>
      </c>
      <c r="H259" s="73">
        <f>ROUND(G259/1000,3)</f>
        <v>0.22800000000000001</v>
      </c>
      <c r="I259" s="82" t="s">
        <v>339</v>
      </c>
    </row>
    <row r="260" spans="1:10" x14ac:dyDescent="0.2">
      <c r="A260" s="72">
        <f t="shared" si="54"/>
        <v>7</v>
      </c>
      <c r="B260" s="3" t="s">
        <v>336</v>
      </c>
      <c r="C260" s="8" t="s">
        <v>0</v>
      </c>
      <c r="D260" s="8" t="s">
        <v>61</v>
      </c>
      <c r="E260" s="8">
        <v>5.0199999999999996</v>
      </c>
      <c r="F260" s="8">
        <v>8</v>
      </c>
      <c r="G260" s="8">
        <f t="shared" ref="G260" si="59">E260*F260</f>
        <v>40.159999999999997</v>
      </c>
      <c r="H260" s="73">
        <f t="shared" ref="H260" si="60">ROUND(G260/1000,3)</f>
        <v>0.04</v>
      </c>
      <c r="I260" s="82" t="s">
        <v>62</v>
      </c>
    </row>
    <row r="261" spans="1:10" x14ac:dyDescent="0.2">
      <c r="A261" s="27"/>
      <c r="B261" s="28" t="s">
        <v>154</v>
      </c>
      <c r="C261" s="29"/>
      <c r="D261" s="29"/>
      <c r="E261" s="29"/>
      <c r="F261" s="29"/>
      <c r="G261" s="29"/>
      <c r="H261" s="30">
        <f>SUM(H254:H260)</f>
        <v>1.05</v>
      </c>
      <c r="I261" s="81"/>
    </row>
    <row r="262" spans="1:10" x14ac:dyDescent="0.2">
      <c r="A262" s="33"/>
      <c r="B262" s="44" t="s">
        <v>155</v>
      </c>
      <c r="C262" s="19"/>
      <c r="D262" s="19"/>
      <c r="E262" s="19"/>
      <c r="F262" s="19"/>
      <c r="G262" s="19"/>
      <c r="H262" s="45">
        <f>SUM(H253,H261)</f>
        <v>1.8930000000000002</v>
      </c>
    </row>
    <row r="265" spans="1:10" x14ac:dyDescent="0.2">
      <c r="A265" s="13"/>
      <c r="B265" s="16" t="s">
        <v>381</v>
      </c>
    </row>
    <row r="266" spans="1:10" ht="32" x14ac:dyDescent="0.2">
      <c r="A266" s="14" t="s">
        <v>1</v>
      </c>
      <c r="B266" s="14" t="s">
        <v>42</v>
      </c>
      <c r="C266" s="15" t="s">
        <v>77</v>
      </c>
      <c r="D266" s="15" t="s">
        <v>77</v>
      </c>
      <c r="E266" s="15" t="s">
        <v>78</v>
      </c>
      <c r="F266" s="14" t="s">
        <v>43</v>
      </c>
      <c r="G266" s="15" t="s">
        <v>44</v>
      </c>
      <c r="H266" s="15" t="s">
        <v>45</v>
      </c>
    </row>
    <row r="267" spans="1:10" x14ac:dyDescent="0.2">
      <c r="A267" s="62">
        <v>1</v>
      </c>
      <c r="B267" s="63" t="s">
        <v>384</v>
      </c>
      <c r="C267" s="40" t="s">
        <v>116</v>
      </c>
      <c r="D267" s="40" t="s">
        <v>47</v>
      </c>
      <c r="E267" s="40">
        <v>5</v>
      </c>
      <c r="F267" s="40">
        <v>90</v>
      </c>
      <c r="G267" s="40">
        <f t="shared" ref="G267:G272" si="61">E267*F267</f>
        <v>450</v>
      </c>
      <c r="H267" s="64">
        <f t="shared" ref="H267:H272" si="62">ROUND(G267/1000,3)</f>
        <v>0.45</v>
      </c>
      <c r="I267" t="s">
        <v>388</v>
      </c>
      <c r="J267">
        <f>18*5</f>
        <v>90</v>
      </c>
    </row>
    <row r="268" spans="1:10" x14ac:dyDescent="0.2">
      <c r="A268" s="41">
        <f t="shared" ref="A268:A272" si="63">A267+1</f>
        <v>2</v>
      </c>
      <c r="B268" s="36" t="s">
        <v>49</v>
      </c>
      <c r="C268" s="38" t="s">
        <v>116</v>
      </c>
      <c r="D268" s="38" t="s">
        <v>50</v>
      </c>
      <c r="E268" s="38">
        <v>0.91</v>
      </c>
      <c r="F268" s="38">
        <v>156</v>
      </c>
      <c r="G268" s="38">
        <f t="shared" si="61"/>
        <v>141.96</v>
      </c>
      <c r="H268" s="55">
        <f t="shared" si="62"/>
        <v>0.14199999999999999</v>
      </c>
      <c r="I268" t="s">
        <v>346</v>
      </c>
      <c r="J268">
        <f>13*12</f>
        <v>156</v>
      </c>
    </row>
    <row r="269" spans="1:10" x14ac:dyDescent="0.2">
      <c r="A269" s="41">
        <f t="shared" si="63"/>
        <v>3</v>
      </c>
      <c r="B269" s="36" t="s">
        <v>52</v>
      </c>
      <c r="C269" s="38" t="s">
        <v>116</v>
      </c>
      <c r="D269" s="38" t="s">
        <v>53</v>
      </c>
      <c r="E269" s="38">
        <v>0.3</v>
      </c>
      <c r="F269" s="38">
        <v>270</v>
      </c>
      <c r="G269" s="38">
        <f t="shared" si="61"/>
        <v>81</v>
      </c>
      <c r="H269" s="55">
        <f t="shared" si="62"/>
        <v>8.1000000000000003E-2</v>
      </c>
      <c r="I269" t="s">
        <v>389</v>
      </c>
      <c r="J269">
        <f>11*24+6</f>
        <v>270</v>
      </c>
    </row>
    <row r="270" spans="1:10" x14ac:dyDescent="0.2">
      <c r="A270" s="41">
        <f t="shared" si="63"/>
        <v>4</v>
      </c>
      <c r="B270" s="36" t="s">
        <v>385</v>
      </c>
      <c r="C270" s="38" t="s">
        <v>116</v>
      </c>
      <c r="D270" s="38" t="s">
        <v>50</v>
      </c>
      <c r="E270" s="38">
        <v>0.32</v>
      </c>
      <c r="F270" s="38">
        <v>90</v>
      </c>
      <c r="G270" s="38">
        <f t="shared" si="61"/>
        <v>28.8</v>
      </c>
      <c r="H270" s="55">
        <f t="shared" si="62"/>
        <v>2.9000000000000001E-2</v>
      </c>
      <c r="I270" t="s">
        <v>390</v>
      </c>
      <c r="J270">
        <f>3*24+18</f>
        <v>90</v>
      </c>
    </row>
    <row r="271" spans="1:10" x14ac:dyDescent="0.2">
      <c r="A271" s="41">
        <f t="shared" si="63"/>
        <v>5</v>
      </c>
      <c r="B271" s="89" t="s">
        <v>340</v>
      </c>
      <c r="C271" s="90" t="s">
        <v>116</v>
      </c>
      <c r="D271" s="90" t="s">
        <v>50</v>
      </c>
      <c r="E271" s="90">
        <v>0.75</v>
      </c>
      <c r="F271" s="90">
        <v>113</v>
      </c>
      <c r="G271" s="90">
        <f t="shared" ref="G271" si="64">E271*F271</f>
        <v>84.75</v>
      </c>
      <c r="H271" s="55">
        <f t="shared" ref="H271" si="65">ROUND(G271/1000,3)</f>
        <v>8.5000000000000006E-2</v>
      </c>
      <c r="I271" t="s">
        <v>391</v>
      </c>
      <c r="J271">
        <f>9*12+5</f>
        <v>113</v>
      </c>
    </row>
    <row r="272" spans="1:10" x14ac:dyDescent="0.2">
      <c r="A272" s="41">
        <f t="shared" si="63"/>
        <v>6</v>
      </c>
      <c r="B272" s="89" t="s">
        <v>386</v>
      </c>
      <c r="C272" s="90" t="s">
        <v>116</v>
      </c>
      <c r="D272" s="90" t="s">
        <v>387</v>
      </c>
      <c r="E272" s="90">
        <v>2</v>
      </c>
      <c r="F272" s="90">
        <v>184</v>
      </c>
      <c r="G272" s="90">
        <f t="shared" si="61"/>
        <v>368</v>
      </c>
      <c r="H272" s="55">
        <f t="shared" si="62"/>
        <v>0.36799999999999999</v>
      </c>
      <c r="I272" t="s">
        <v>392</v>
      </c>
      <c r="J272">
        <f>184</f>
        <v>184</v>
      </c>
    </row>
    <row r="273" spans="1:10" x14ac:dyDescent="0.2">
      <c r="A273" s="77"/>
      <c r="B273" s="78" t="s">
        <v>73</v>
      </c>
      <c r="C273" s="79"/>
      <c r="D273" s="79"/>
      <c r="E273" s="79"/>
      <c r="F273" s="79"/>
      <c r="G273" s="79"/>
      <c r="H273" s="45">
        <f>SUM(H267:H272)</f>
        <v>1.1549999999999998</v>
      </c>
      <c r="I273" s="81"/>
    </row>
    <row r="274" spans="1:10" x14ac:dyDescent="0.2">
      <c r="A274" s="69">
        <v>1</v>
      </c>
      <c r="B274" s="34" t="s">
        <v>382</v>
      </c>
      <c r="C274" s="70" t="s">
        <v>0</v>
      </c>
      <c r="D274" s="70" t="s">
        <v>61</v>
      </c>
      <c r="E274" s="70">
        <v>15</v>
      </c>
      <c r="F274" s="70">
        <v>15</v>
      </c>
      <c r="G274" s="70">
        <f t="shared" ref="G274" si="66">E274*F274</f>
        <v>225</v>
      </c>
      <c r="H274" s="71">
        <f t="shared" ref="H274" si="67">ROUND(G274/1000,3)</f>
        <v>0.22500000000000001</v>
      </c>
      <c r="I274" s="82" t="s">
        <v>65</v>
      </c>
    </row>
    <row r="275" spans="1:10" x14ac:dyDescent="0.2">
      <c r="A275" s="72">
        <f>A274+1</f>
        <v>2</v>
      </c>
      <c r="B275" s="34" t="s">
        <v>383</v>
      </c>
      <c r="C275" s="8" t="s">
        <v>0</v>
      </c>
      <c r="D275" s="8" t="s">
        <v>61</v>
      </c>
      <c r="E275" s="8">
        <v>15</v>
      </c>
      <c r="F275" s="8">
        <v>15</v>
      </c>
      <c r="G275" s="8">
        <f t="shared" ref="G275" si="68">E275*F275</f>
        <v>225</v>
      </c>
      <c r="H275" s="73">
        <f t="shared" ref="H275" si="69">ROUND(G275/1000,3)</f>
        <v>0.22500000000000001</v>
      </c>
      <c r="I275" s="82" t="s">
        <v>65</v>
      </c>
    </row>
    <row r="276" spans="1:10" x14ac:dyDescent="0.2">
      <c r="A276" s="27"/>
      <c r="B276" s="28" t="s">
        <v>154</v>
      </c>
      <c r="C276" s="29"/>
      <c r="D276" s="29"/>
      <c r="E276" s="29"/>
      <c r="F276" s="29"/>
      <c r="G276" s="29"/>
      <c r="H276" s="30">
        <f>SUM(H274:H275)</f>
        <v>0.45</v>
      </c>
      <c r="I276" s="81"/>
    </row>
    <row r="277" spans="1:10" x14ac:dyDescent="0.2">
      <c r="A277" s="33"/>
      <c r="B277" s="44" t="s">
        <v>155</v>
      </c>
      <c r="C277" s="19"/>
      <c r="D277" s="19"/>
      <c r="E277" s="19"/>
      <c r="F277" s="19"/>
      <c r="G277" s="19"/>
      <c r="H277" s="45">
        <f>SUM(H273,H276)</f>
        <v>1.6049999999999998</v>
      </c>
    </row>
    <row r="285" spans="1:10" x14ac:dyDescent="0.2">
      <c r="B285" s="3" t="s">
        <v>159</v>
      </c>
      <c r="C285" s="8" t="s">
        <v>0</v>
      </c>
      <c r="D285" s="8" t="s">
        <v>61</v>
      </c>
      <c r="E285" s="67">
        <v>12.336</v>
      </c>
      <c r="F285" s="67">
        <v>1</v>
      </c>
      <c r="G285" s="67">
        <f>E285*F285</f>
        <v>12.336</v>
      </c>
      <c r="H285" s="68">
        <f>ROUND(G285/1000,3)</f>
        <v>1.2E-2</v>
      </c>
      <c r="J285">
        <v>7</v>
      </c>
    </row>
    <row r="286" spans="1:10" x14ac:dyDescent="0.2">
      <c r="B286" s="3" t="s">
        <v>159</v>
      </c>
      <c r="C286" s="8" t="s">
        <v>0</v>
      </c>
      <c r="D286" s="8" t="s">
        <v>61</v>
      </c>
      <c r="E286" s="67">
        <v>12.336</v>
      </c>
      <c r="F286" s="67">
        <v>2</v>
      </c>
      <c r="G286" s="67">
        <f t="shared" ref="G286:G292" si="70">E286*F286</f>
        <v>24.672000000000001</v>
      </c>
      <c r="H286" s="68">
        <f t="shared" ref="H286:H299" si="71">ROUND(G286/1000,3)</f>
        <v>2.5000000000000001E-2</v>
      </c>
      <c r="J286">
        <v>6</v>
      </c>
    </row>
    <row r="287" spans="1:10" x14ac:dyDescent="0.2">
      <c r="B287" s="3" t="s">
        <v>159</v>
      </c>
      <c r="C287" s="8" t="s">
        <v>0</v>
      </c>
      <c r="D287" s="8" t="s">
        <v>61</v>
      </c>
      <c r="E287" s="67">
        <v>12.336</v>
      </c>
      <c r="F287" s="67">
        <v>3</v>
      </c>
      <c r="G287" s="67">
        <f t="shared" si="70"/>
        <v>37.008000000000003</v>
      </c>
      <c r="H287" s="68">
        <f t="shared" si="71"/>
        <v>3.6999999999999998E-2</v>
      </c>
      <c r="J287">
        <v>13</v>
      </c>
    </row>
    <row r="288" spans="1:10" x14ac:dyDescent="0.2">
      <c r="B288" s="3" t="s">
        <v>159</v>
      </c>
      <c r="C288" s="8" t="s">
        <v>0</v>
      </c>
      <c r="D288" s="8" t="s">
        <v>61</v>
      </c>
      <c r="E288" s="67">
        <v>12.336</v>
      </c>
      <c r="F288" s="67">
        <v>2</v>
      </c>
      <c r="G288" s="67">
        <f t="shared" si="70"/>
        <v>24.672000000000001</v>
      </c>
      <c r="H288" s="68">
        <f t="shared" si="71"/>
        <v>2.5000000000000001E-2</v>
      </c>
      <c r="J288">
        <v>12</v>
      </c>
    </row>
    <row r="289" spans="2:12" x14ac:dyDescent="0.2">
      <c r="B289" s="3" t="s">
        <v>159</v>
      </c>
      <c r="C289" s="8" t="s">
        <v>0</v>
      </c>
      <c r="D289" s="8" t="s">
        <v>61</v>
      </c>
      <c r="E289" s="67">
        <v>12.336</v>
      </c>
      <c r="F289" s="67">
        <v>8</v>
      </c>
      <c r="G289" s="67">
        <f t="shared" si="70"/>
        <v>98.688000000000002</v>
      </c>
      <c r="H289" s="68">
        <f t="shared" si="71"/>
        <v>9.9000000000000005E-2</v>
      </c>
      <c r="J289">
        <v>6</v>
      </c>
    </row>
    <row r="290" spans="2:12" x14ac:dyDescent="0.2">
      <c r="B290" s="3" t="s">
        <v>159</v>
      </c>
      <c r="C290" s="8" t="s">
        <v>0</v>
      </c>
      <c r="D290" s="8" t="s">
        <v>61</v>
      </c>
      <c r="E290" s="67">
        <v>4.95</v>
      </c>
      <c r="F290" s="67">
        <v>2</v>
      </c>
      <c r="G290" s="67">
        <f t="shared" si="70"/>
        <v>9.9</v>
      </c>
      <c r="H290" s="68">
        <f t="shared" si="71"/>
        <v>0.01</v>
      </c>
      <c r="J290">
        <v>9</v>
      </c>
    </row>
    <row r="291" spans="2:12" x14ac:dyDescent="0.2">
      <c r="B291" s="3" t="s">
        <v>159</v>
      </c>
      <c r="C291" s="8" t="s">
        <v>0</v>
      </c>
      <c r="D291" s="8" t="s">
        <v>61</v>
      </c>
      <c r="E291" s="67">
        <v>4.95</v>
      </c>
      <c r="F291" s="67">
        <v>1</v>
      </c>
      <c r="G291" s="67">
        <f t="shared" si="70"/>
        <v>4.95</v>
      </c>
      <c r="H291" s="68">
        <f t="shared" si="71"/>
        <v>5.0000000000000001E-3</v>
      </c>
      <c r="J291">
        <v>40</v>
      </c>
    </row>
    <row r="292" spans="2:12" x14ac:dyDescent="0.2">
      <c r="B292" s="3" t="s">
        <v>159</v>
      </c>
      <c r="C292" s="8" t="s">
        <v>0</v>
      </c>
      <c r="D292" s="8" t="s">
        <v>61</v>
      </c>
      <c r="E292" s="8">
        <v>1.028</v>
      </c>
      <c r="F292">
        <v>7</v>
      </c>
      <c r="G292" s="8">
        <f t="shared" si="70"/>
        <v>7.1959999999999997</v>
      </c>
      <c r="H292" s="73">
        <f t="shared" si="71"/>
        <v>7.0000000000000001E-3</v>
      </c>
      <c r="J292">
        <v>9</v>
      </c>
      <c r="L292">
        <f>12.336/12</f>
        <v>1.028</v>
      </c>
    </row>
    <row r="293" spans="2:12" x14ac:dyDescent="0.2">
      <c r="B293" s="3" t="s">
        <v>159</v>
      </c>
      <c r="C293" s="8" t="s">
        <v>0</v>
      </c>
      <c r="D293" s="8" t="s">
        <v>61</v>
      </c>
      <c r="E293" s="8">
        <v>1.028</v>
      </c>
      <c r="F293">
        <v>6</v>
      </c>
      <c r="G293" s="8">
        <f t="shared" ref="G293:G299" si="72">E293*F293</f>
        <v>6.1680000000000001</v>
      </c>
      <c r="H293" s="73">
        <f t="shared" si="71"/>
        <v>6.0000000000000001E-3</v>
      </c>
      <c r="L293">
        <f>4.95/24</f>
        <v>0.20625000000000002</v>
      </c>
    </row>
    <row r="294" spans="2:12" x14ac:dyDescent="0.2">
      <c r="B294" s="3" t="s">
        <v>159</v>
      </c>
      <c r="C294" s="8" t="s">
        <v>0</v>
      </c>
      <c r="D294" s="8" t="s">
        <v>61</v>
      </c>
      <c r="E294" s="8">
        <v>1.028</v>
      </c>
      <c r="F294">
        <v>13</v>
      </c>
      <c r="G294" s="8">
        <f t="shared" si="72"/>
        <v>13.364000000000001</v>
      </c>
      <c r="H294" s="73">
        <f t="shared" si="71"/>
        <v>1.2999999999999999E-2</v>
      </c>
    </row>
    <row r="295" spans="2:12" x14ac:dyDescent="0.2">
      <c r="E295" s="8">
        <v>1.028</v>
      </c>
      <c r="F295">
        <v>12</v>
      </c>
      <c r="G295" s="8">
        <f t="shared" si="72"/>
        <v>12.336</v>
      </c>
      <c r="H295" s="73">
        <f t="shared" si="71"/>
        <v>1.2E-2</v>
      </c>
    </row>
    <row r="296" spans="2:12" x14ac:dyDescent="0.2">
      <c r="E296" s="8">
        <v>1.028</v>
      </c>
      <c r="F296">
        <v>6</v>
      </c>
      <c r="G296" s="8">
        <f t="shared" si="72"/>
        <v>6.1680000000000001</v>
      </c>
      <c r="H296" s="73">
        <f t="shared" si="71"/>
        <v>6.0000000000000001E-3</v>
      </c>
    </row>
    <row r="297" spans="2:12" x14ac:dyDescent="0.2">
      <c r="E297" s="12">
        <v>0.20599999999999999</v>
      </c>
      <c r="F297">
        <v>9</v>
      </c>
      <c r="G297" s="8">
        <f t="shared" si="72"/>
        <v>1.8539999999999999</v>
      </c>
      <c r="H297" s="73">
        <f t="shared" si="71"/>
        <v>2E-3</v>
      </c>
    </row>
    <row r="298" spans="2:12" x14ac:dyDescent="0.2">
      <c r="E298" s="12">
        <v>0.20599999999999999</v>
      </c>
      <c r="F298">
        <v>40</v>
      </c>
      <c r="G298" s="8">
        <f t="shared" si="72"/>
        <v>8.24</v>
      </c>
      <c r="H298" s="73">
        <f t="shared" si="71"/>
        <v>8.0000000000000002E-3</v>
      </c>
    </row>
    <row r="299" spans="2:12" x14ac:dyDescent="0.2">
      <c r="E299" s="12">
        <v>0.20599999999999999</v>
      </c>
      <c r="F299">
        <v>9</v>
      </c>
      <c r="G299" s="8">
        <f t="shared" si="72"/>
        <v>1.8539999999999999</v>
      </c>
      <c r="H299" s="73">
        <f t="shared" si="71"/>
        <v>2E-3</v>
      </c>
    </row>
    <row r="300" spans="2:12" x14ac:dyDescent="0.2">
      <c r="H300" s="97">
        <f>SUM(H285:H299)</f>
        <v>0.26900000000000007</v>
      </c>
    </row>
  </sheetData>
  <autoFilter ref="A1:J1" xr:uid="{00000000-0009-0000-0000-000000000000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7FE2-8073-42E9-A623-46911FB084C1}">
  <dimension ref="A3:F187"/>
  <sheetViews>
    <sheetView topLeftCell="A95" workbookViewId="0">
      <selection activeCell="A116" sqref="A116:D116"/>
    </sheetView>
  </sheetViews>
  <sheetFormatPr baseColWidth="10" defaultColWidth="8.83203125" defaultRowHeight="15" x14ac:dyDescent="0.2"/>
  <cols>
    <col min="1" max="1" width="32.5" customWidth="1"/>
    <col min="2" max="2" width="33" customWidth="1"/>
    <col min="3" max="3" width="25.5" customWidth="1"/>
    <col min="4" max="4" width="34.1640625" customWidth="1"/>
    <col min="5" max="5" width="57.33203125" customWidth="1"/>
    <col min="6" max="6" width="77.5" customWidth="1"/>
  </cols>
  <sheetData>
    <row r="3" spans="1:6" x14ac:dyDescent="0.2">
      <c r="A3" s="95" t="s">
        <v>357</v>
      </c>
      <c r="B3" s="95" t="s">
        <v>473</v>
      </c>
      <c r="C3" s="95" t="s">
        <v>273</v>
      </c>
      <c r="D3" s="95" t="s">
        <v>164</v>
      </c>
      <c r="E3" s="96" t="s">
        <v>195</v>
      </c>
      <c r="F3" s="95" t="s">
        <v>146</v>
      </c>
    </row>
    <row r="4" spans="1:6" x14ac:dyDescent="0.2">
      <c r="A4" s="3" t="s">
        <v>403</v>
      </c>
      <c r="B4" s="3" t="s">
        <v>544</v>
      </c>
      <c r="C4" s="3" t="s">
        <v>95</v>
      </c>
      <c r="D4" s="3" t="s">
        <v>95</v>
      </c>
      <c r="E4" s="3" t="s">
        <v>210</v>
      </c>
      <c r="F4" s="3" t="s">
        <v>402</v>
      </c>
    </row>
    <row r="5" spans="1:6" x14ac:dyDescent="0.2">
      <c r="A5" s="3" t="s">
        <v>20</v>
      </c>
      <c r="B5" s="3" t="s">
        <v>475</v>
      </c>
      <c r="C5" s="3" t="s">
        <v>95</v>
      </c>
      <c r="D5" s="3" t="s">
        <v>95</v>
      </c>
      <c r="E5" s="3" t="s">
        <v>201</v>
      </c>
      <c r="F5" s="3" t="s">
        <v>266</v>
      </c>
    </row>
    <row r="6" spans="1:6" x14ac:dyDescent="0.2">
      <c r="A6" s="3" t="s">
        <v>7</v>
      </c>
      <c r="B6" s="3" t="s">
        <v>474</v>
      </c>
      <c r="C6" s="3" t="s">
        <v>95</v>
      </c>
      <c r="D6" s="3" t="s">
        <v>95</v>
      </c>
      <c r="E6" s="3" t="s">
        <v>201</v>
      </c>
      <c r="F6" s="3" t="s">
        <v>167</v>
      </c>
    </row>
    <row r="7" spans="1:6" x14ac:dyDescent="0.2">
      <c r="A7" s="4" t="s">
        <v>552</v>
      </c>
      <c r="B7" s="4" t="s">
        <v>553</v>
      </c>
      <c r="C7" s="3" t="s">
        <v>95</v>
      </c>
      <c r="D7" s="4" t="s">
        <v>472</v>
      </c>
      <c r="E7" s="9" t="s">
        <v>554</v>
      </c>
      <c r="F7" s="9" t="s">
        <v>555</v>
      </c>
    </row>
    <row r="8" spans="1:6" x14ac:dyDescent="0.2">
      <c r="A8" s="3" t="s">
        <v>542</v>
      </c>
      <c r="B8" s="3" t="s">
        <v>540</v>
      </c>
      <c r="C8" s="3" t="s">
        <v>95</v>
      </c>
      <c r="D8" s="3" t="s">
        <v>95</v>
      </c>
      <c r="E8" s="3" t="s">
        <v>218</v>
      </c>
      <c r="F8" s="3" t="s">
        <v>190</v>
      </c>
    </row>
    <row r="9" spans="1:6" x14ac:dyDescent="0.2">
      <c r="A9" s="3" t="s">
        <v>485</v>
      </c>
      <c r="B9" s="3" t="s">
        <v>515</v>
      </c>
      <c r="C9" s="3" t="s">
        <v>95</v>
      </c>
      <c r="D9" s="3" t="s">
        <v>95</v>
      </c>
      <c r="E9" s="3" t="s">
        <v>228</v>
      </c>
      <c r="F9" s="3" t="s">
        <v>486</v>
      </c>
    </row>
    <row r="10" spans="1:6" x14ac:dyDescent="0.2">
      <c r="A10" s="3" t="s">
        <v>6</v>
      </c>
      <c r="B10" s="3" t="s">
        <v>476</v>
      </c>
      <c r="C10" s="3" t="s">
        <v>95</v>
      </c>
      <c r="D10" s="3" t="s">
        <v>95</v>
      </c>
      <c r="E10" s="3" t="s">
        <v>211</v>
      </c>
      <c r="F10" s="3" t="s">
        <v>212</v>
      </c>
    </row>
    <row r="11" spans="1:6" x14ac:dyDescent="0.2">
      <c r="A11" s="3" t="s">
        <v>406</v>
      </c>
      <c r="B11" s="3" t="s">
        <v>533</v>
      </c>
      <c r="C11" s="3" t="s">
        <v>95</v>
      </c>
      <c r="D11" s="3" t="s">
        <v>95</v>
      </c>
      <c r="E11" s="3" t="s">
        <v>405</v>
      </c>
      <c r="F11" s="3" t="s">
        <v>404</v>
      </c>
    </row>
    <row r="12" spans="1:6" x14ac:dyDescent="0.2">
      <c r="A12" s="3" t="s">
        <v>39</v>
      </c>
      <c r="B12" s="3" t="s">
        <v>272</v>
      </c>
      <c r="C12" s="3" t="s">
        <v>272</v>
      </c>
      <c r="D12" s="3" t="s">
        <v>10</v>
      </c>
      <c r="E12" s="3" t="s">
        <v>199</v>
      </c>
      <c r="F12" s="3" t="s">
        <v>166</v>
      </c>
    </row>
    <row r="13" spans="1:6" x14ac:dyDescent="0.2">
      <c r="A13" s="3" t="s">
        <v>433</v>
      </c>
      <c r="B13" s="3" t="s">
        <v>269</v>
      </c>
      <c r="C13" s="3" t="s">
        <v>269</v>
      </c>
      <c r="D13" s="3" t="s">
        <v>93</v>
      </c>
      <c r="E13" s="3" t="s">
        <v>199</v>
      </c>
      <c r="F13" s="3" t="s">
        <v>434</v>
      </c>
    </row>
    <row r="14" spans="1:6" x14ac:dyDescent="0.2">
      <c r="A14" s="3" t="s">
        <v>35</v>
      </c>
      <c r="B14" s="131" t="s">
        <v>270</v>
      </c>
      <c r="C14" s="131" t="s">
        <v>270</v>
      </c>
      <c r="D14" s="3" t="s">
        <v>98</v>
      </c>
      <c r="E14" s="3" t="s">
        <v>199</v>
      </c>
      <c r="F14" s="3" t="s">
        <v>171</v>
      </c>
    </row>
    <row r="15" spans="1:6" x14ac:dyDescent="0.2">
      <c r="A15" s="3" t="s">
        <v>460</v>
      </c>
      <c r="B15" s="3" t="s">
        <v>477</v>
      </c>
      <c r="C15" s="3" t="s">
        <v>95</v>
      </c>
      <c r="D15" s="3" t="s">
        <v>95</v>
      </c>
      <c r="E15" s="3" t="s">
        <v>199</v>
      </c>
      <c r="F15" s="3" t="s">
        <v>461</v>
      </c>
    </row>
    <row r="16" spans="1:6" x14ac:dyDescent="0.2">
      <c r="A16" s="3" t="s">
        <v>440</v>
      </c>
      <c r="B16" s="3" t="s">
        <v>478</v>
      </c>
      <c r="C16" s="3" t="s">
        <v>95</v>
      </c>
      <c r="D16" s="3" t="s">
        <v>95</v>
      </c>
      <c r="E16" s="3" t="s">
        <v>199</v>
      </c>
      <c r="F16" s="3" t="s">
        <v>441</v>
      </c>
    </row>
    <row r="17" spans="1:6" x14ac:dyDescent="0.2">
      <c r="A17" s="3" t="s">
        <v>40</v>
      </c>
      <c r="B17" s="3" t="s">
        <v>271</v>
      </c>
      <c r="C17" s="3" t="s">
        <v>271</v>
      </c>
      <c r="D17" s="3" t="s">
        <v>10</v>
      </c>
      <c r="E17" s="3" t="s">
        <v>199</v>
      </c>
      <c r="F17" s="3" t="s">
        <v>183</v>
      </c>
    </row>
    <row r="18" spans="1:6" x14ac:dyDescent="0.2">
      <c r="A18" s="3" t="s">
        <v>135</v>
      </c>
      <c r="B18" s="3" t="s">
        <v>270</v>
      </c>
      <c r="C18" s="3" t="s">
        <v>270</v>
      </c>
      <c r="D18" s="3" t="s">
        <v>98</v>
      </c>
      <c r="E18" s="3" t="s">
        <v>230</v>
      </c>
      <c r="F18" s="3" t="s">
        <v>179</v>
      </c>
    </row>
    <row r="19" spans="1:6" x14ac:dyDescent="0.2">
      <c r="A19" s="3" t="s">
        <v>275</v>
      </c>
      <c r="B19" s="3" t="s">
        <v>365</v>
      </c>
      <c r="C19" s="3" t="s">
        <v>365</v>
      </c>
      <c r="D19" s="3" t="s">
        <v>10</v>
      </c>
      <c r="E19" s="3" t="s">
        <v>276</v>
      </c>
      <c r="F19" s="3" t="s">
        <v>277</v>
      </c>
    </row>
    <row r="20" spans="1:6" x14ac:dyDescent="0.2">
      <c r="A20" s="3" t="s">
        <v>278</v>
      </c>
      <c r="B20" s="3" t="s">
        <v>478</v>
      </c>
      <c r="C20" s="3" t="s">
        <v>95</v>
      </c>
      <c r="D20" s="3" t="s">
        <v>95</v>
      </c>
      <c r="E20" s="3" t="s">
        <v>279</v>
      </c>
      <c r="F20" s="3" t="s">
        <v>290</v>
      </c>
    </row>
    <row r="21" spans="1:6" x14ac:dyDescent="0.2">
      <c r="A21" s="3" t="s">
        <v>36</v>
      </c>
      <c r="B21" s="3" t="s">
        <v>198</v>
      </c>
      <c r="C21" s="3" t="s">
        <v>198</v>
      </c>
      <c r="D21" s="3" t="s">
        <v>107</v>
      </c>
      <c r="E21" s="3" t="s">
        <v>226</v>
      </c>
      <c r="F21" s="3" t="s">
        <v>186</v>
      </c>
    </row>
    <row r="22" spans="1:6" x14ac:dyDescent="0.2">
      <c r="A22" s="3" t="s">
        <v>322</v>
      </c>
      <c r="B22" s="3" t="s">
        <v>518</v>
      </c>
      <c r="C22" s="3" t="s">
        <v>95</v>
      </c>
      <c r="D22" s="3" t="s">
        <v>95</v>
      </c>
      <c r="E22" s="3" t="s">
        <v>323</v>
      </c>
      <c r="F22" s="3" t="s">
        <v>353</v>
      </c>
    </row>
    <row r="23" spans="1:6" x14ac:dyDescent="0.2">
      <c r="A23" s="3" t="s">
        <v>354</v>
      </c>
      <c r="B23" s="3" t="s">
        <v>443</v>
      </c>
      <c r="C23" s="3" t="s">
        <v>443</v>
      </c>
      <c r="D23" s="3" t="s">
        <v>97</v>
      </c>
      <c r="E23" s="3" t="s">
        <v>355</v>
      </c>
      <c r="F23" s="3" t="s">
        <v>356</v>
      </c>
    </row>
    <row r="24" spans="1:6" x14ac:dyDescent="0.2">
      <c r="A24" s="3" t="s">
        <v>133</v>
      </c>
      <c r="B24" s="3" t="s">
        <v>522</v>
      </c>
      <c r="C24" s="3" t="s">
        <v>95</v>
      </c>
      <c r="D24" s="3" t="s">
        <v>95</v>
      </c>
      <c r="E24" s="3" t="s">
        <v>263</v>
      </c>
      <c r="F24" s="3" t="s">
        <v>182</v>
      </c>
    </row>
    <row r="25" spans="1:6" x14ac:dyDescent="0.2">
      <c r="A25" s="3" t="s">
        <v>448</v>
      </c>
      <c r="B25" s="3" t="s">
        <v>521</v>
      </c>
      <c r="C25" s="3" t="s">
        <v>95</v>
      </c>
      <c r="D25" s="3" t="s">
        <v>95</v>
      </c>
      <c r="E25" s="3" t="s">
        <v>358</v>
      </c>
      <c r="F25" s="3" t="s">
        <v>435</v>
      </c>
    </row>
    <row r="26" spans="1:6" x14ac:dyDescent="0.2">
      <c r="A26" s="3" t="s">
        <v>482</v>
      </c>
      <c r="B26" s="3" t="s">
        <v>519</v>
      </c>
      <c r="C26" s="3" t="s">
        <v>95</v>
      </c>
      <c r="D26" s="3" t="s">
        <v>95</v>
      </c>
      <c r="E26" s="3" t="s">
        <v>483</v>
      </c>
      <c r="F26" s="3" t="s">
        <v>484</v>
      </c>
    </row>
    <row r="27" spans="1:6" x14ac:dyDescent="0.2">
      <c r="A27" s="3" t="s">
        <v>194</v>
      </c>
      <c r="B27" s="3" t="s">
        <v>522</v>
      </c>
      <c r="C27" s="3" t="s">
        <v>95</v>
      </c>
      <c r="D27" s="3" t="s">
        <v>95</v>
      </c>
      <c r="E27" s="3" t="s">
        <v>363</v>
      </c>
      <c r="F27" s="3" t="s">
        <v>364</v>
      </c>
    </row>
    <row r="28" spans="1:6" x14ac:dyDescent="0.2">
      <c r="A28" s="3" t="s">
        <v>31</v>
      </c>
      <c r="B28" s="3" t="s">
        <v>520</v>
      </c>
      <c r="C28" s="3" t="s">
        <v>95</v>
      </c>
      <c r="D28" s="3" t="s">
        <v>95</v>
      </c>
      <c r="E28" s="3" t="s">
        <v>232</v>
      </c>
      <c r="F28" s="3" t="s">
        <v>192</v>
      </c>
    </row>
    <row r="29" spans="1:6" x14ac:dyDescent="0.2">
      <c r="A29" s="3" t="s">
        <v>397</v>
      </c>
      <c r="B29" s="3" t="s">
        <v>519</v>
      </c>
      <c r="C29" s="3" t="s">
        <v>95</v>
      </c>
      <c r="D29" s="3" t="s">
        <v>95</v>
      </c>
      <c r="E29" s="3" t="s">
        <v>377</v>
      </c>
      <c r="F29" s="3" t="s">
        <v>396</v>
      </c>
    </row>
    <row r="30" spans="1:6" x14ac:dyDescent="0.2">
      <c r="A30" s="3" t="s">
        <v>281</v>
      </c>
      <c r="B30" s="3" t="s">
        <v>294</v>
      </c>
      <c r="C30" s="3" t="s">
        <v>294</v>
      </c>
      <c r="D30" s="3" t="s">
        <v>97</v>
      </c>
      <c r="E30" s="3" t="s">
        <v>282</v>
      </c>
      <c r="F30" s="3" t="s">
        <v>283</v>
      </c>
    </row>
    <row r="31" spans="1:6" x14ac:dyDescent="0.2">
      <c r="A31" s="3" t="s">
        <v>288</v>
      </c>
      <c r="B31" s="3" t="s">
        <v>518</v>
      </c>
      <c r="C31" s="3" t="s">
        <v>95</v>
      </c>
      <c r="D31" s="3" t="s">
        <v>95</v>
      </c>
      <c r="E31" s="3" t="s">
        <v>213</v>
      </c>
      <c r="F31" s="3" t="s">
        <v>184</v>
      </c>
    </row>
    <row r="32" spans="1:6" x14ac:dyDescent="0.2">
      <c r="A32" s="3" t="s">
        <v>436</v>
      </c>
      <c r="B32" s="3" t="s">
        <v>523</v>
      </c>
      <c r="C32" s="3" t="s">
        <v>95</v>
      </c>
      <c r="D32" s="3" t="s">
        <v>95</v>
      </c>
      <c r="E32" s="3" t="s">
        <v>197</v>
      </c>
      <c r="F32" s="3" t="s">
        <v>437</v>
      </c>
    </row>
    <row r="33" spans="1:6" x14ac:dyDescent="0.2">
      <c r="A33" s="3" t="s">
        <v>18</v>
      </c>
      <c r="B33" s="3" t="s">
        <v>524</v>
      </c>
      <c r="C33" s="3" t="s">
        <v>95</v>
      </c>
      <c r="D33" s="3" t="s">
        <v>95</v>
      </c>
      <c r="E33" s="3" t="s">
        <v>197</v>
      </c>
      <c r="F33" s="3" t="s">
        <v>262</v>
      </c>
    </row>
    <row r="34" spans="1:6" x14ac:dyDescent="0.2">
      <c r="A34" s="3" t="s">
        <v>774</v>
      </c>
      <c r="B34" s="3" t="s">
        <v>947</v>
      </c>
      <c r="C34" s="3" t="s">
        <v>95</v>
      </c>
      <c r="D34" s="3" t="s">
        <v>95</v>
      </c>
      <c r="E34" s="3" t="s">
        <v>197</v>
      </c>
      <c r="F34" s="11" t="s">
        <v>777</v>
      </c>
    </row>
    <row r="35" spans="1:6" x14ac:dyDescent="0.2">
      <c r="A35" s="3" t="s">
        <v>775</v>
      </c>
      <c r="B35" s="3" t="s">
        <v>524</v>
      </c>
      <c r="C35" s="3" t="s">
        <v>95</v>
      </c>
      <c r="D35" s="3" t="s">
        <v>95</v>
      </c>
      <c r="E35" s="3" t="s">
        <v>197</v>
      </c>
      <c r="F35" s="11" t="s">
        <v>776</v>
      </c>
    </row>
    <row r="36" spans="1:6" x14ac:dyDescent="0.2">
      <c r="A36" s="3" t="s">
        <v>491</v>
      </c>
      <c r="B36" s="3" t="s">
        <v>492</v>
      </c>
      <c r="C36" s="3" t="s">
        <v>492</v>
      </c>
      <c r="D36" s="3" t="s">
        <v>93</v>
      </c>
      <c r="E36" s="3" t="s">
        <v>197</v>
      </c>
      <c r="F36" s="3" t="s">
        <v>493</v>
      </c>
    </row>
    <row r="37" spans="1:6" x14ac:dyDescent="0.2">
      <c r="A37" s="3" t="s">
        <v>487</v>
      </c>
      <c r="B37" s="3" t="s">
        <v>525</v>
      </c>
      <c r="C37" s="8" t="s">
        <v>95</v>
      </c>
      <c r="D37" s="8" t="s">
        <v>95</v>
      </c>
      <c r="E37" s="3" t="s">
        <v>197</v>
      </c>
      <c r="F37" s="3" t="s">
        <v>488</v>
      </c>
    </row>
    <row r="38" spans="1:6" x14ac:dyDescent="0.2">
      <c r="A38" s="3" t="s">
        <v>13</v>
      </c>
      <c r="B38" s="3" t="s">
        <v>526</v>
      </c>
      <c r="C38" s="3" t="s">
        <v>95</v>
      </c>
      <c r="D38" s="3" t="s">
        <v>95</v>
      </c>
      <c r="E38" s="3" t="s">
        <v>197</v>
      </c>
      <c r="F38" s="3" t="s">
        <v>189</v>
      </c>
    </row>
    <row r="39" spans="1:6" x14ac:dyDescent="0.2">
      <c r="A39" s="3" t="s">
        <v>17</v>
      </c>
      <c r="B39" s="3" t="s">
        <v>544</v>
      </c>
      <c r="C39" s="3" t="s">
        <v>95</v>
      </c>
      <c r="D39" s="3" t="s">
        <v>95</v>
      </c>
      <c r="E39" s="3" t="s">
        <v>197</v>
      </c>
      <c r="F39" s="3" t="s">
        <v>293</v>
      </c>
    </row>
    <row r="40" spans="1:6" x14ac:dyDescent="0.2">
      <c r="A40" s="100" t="s">
        <v>558</v>
      </c>
      <c r="B40" s="100" t="s">
        <v>551</v>
      </c>
      <c r="C40" s="100" t="s">
        <v>95</v>
      </c>
      <c r="D40" s="100" t="s">
        <v>95</v>
      </c>
      <c r="E40" s="100" t="s">
        <v>197</v>
      </c>
      <c r="F40" s="100" t="s">
        <v>559</v>
      </c>
    </row>
    <row r="41" spans="1:6" x14ac:dyDescent="0.2">
      <c r="A41" s="1" t="s">
        <v>510</v>
      </c>
      <c r="B41" s="1" t="s">
        <v>560</v>
      </c>
      <c r="C41" s="3" t="s">
        <v>95</v>
      </c>
      <c r="D41" s="1" t="s">
        <v>472</v>
      </c>
      <c r="E41" s="1" t="s">
        <v>508</v>
      </c>
      <c r="F41" s="1" t="s">
        <v>511</v>
      </c>
    </row>
    <row r="42" spans="1:6" x14ac:dyDescent="0.2">
      <c r="A42" s="1" t="s">
        <v>556</v>
      </c>
      <c r="B42" s="1" t="s">
        <v>561</v>
      </c>
      <c r="C42" s="3" t="s">
        <v>95</v>
      </c>
      <c r="D42" s="1" t="s">
        <v>472</v>
      </c>
      <c r="E42" s="1" t="s">
        <v>508</v>
      </c>
      <c r="F42" s="1" t="s">
        <v>557</v>
      </c>
    </row>
    <row r="43" spans="1:6" x14ac:dyDescent="0.2">
      <c r="A43" s="1" t="s">
        <v>507</v>
      </c>
      <c r="B43" s="1" t="s">
        <v>524</v>
      </c>
      <c r="C43" s="3" t="s">
        <v>95</v>
      </c>
      <c r="D43" s="1" t="s">
        <v>472</v>
      </c>
      <c r="E43" s="1" t="s">
        <v>508</v>
      </c>
      <c r="F43" s="1" t="s">
        <v>509</v>
      </c>
    </row>
    <row r="44" spans="1:6" x14ac:dyDescent="0.2">
      <c r="A44" s="3" t="s">
        <v>449</v>
      </c>
      <c r="B44" s="3" t="s">
        <v>530</v>
      </c>
      <c r="C44" s="3" t="s">
        <v>95</v>
      </c>
      <c r="D44" s="3" t="s">
        <v>95</v>
      </c>
      <c r="E44" s="3" t="s">
        <v>207</v>
      </c>
      <c r="F44" s="3" t="s">
        <v>450</v>
      </c>
    </row>
    <row r="45" spans="1:6" x14ac:dyDescent="0.2">
      <c r="A45" s="3" t="s">
        <v>368</v>
      </c>
      <c r="B45" s="3" t="s">
        <v>516</v>
      </c>
      <c r="C45" s="3" t="s">
        <v>95</v>
      </c>
      <c r="D45" s="3" t="s">
        <v>95</v>
      </c>
      <c r="E45" s="3" t="s">
        <v>369</v>
      </c>
      <c r="F45" s="3" t="s">
        <v>370</v>
      </c>
    </row>
    <row r="46" spans="1:6" x14ac:dyDescent="0.2">
      <c r="A46" s="3" t="s">
        <v>26</v>
      </c>
      <c r="B46" s="3" t="s">
        <v>515</v>
      </c>
      <c r="C46" s="3" t="s">
        <v>95</v>
      </c>
      <c r="D46" s="3" t="s">
        <v>95</v>
      </c>
      <c r="E46" s="3" t="s">
        <v>208</v>
      </c>
      <c r="F46" s="3" t="s">
        <v>177</v>
      </c>
    </row>
    <row r="47" spans="1:6" x14ac:dyDescent="0.2">
      <c r="A47" s="3" t="s">
        <v>468</v>
      </c>
      <c r="B47" s="3" t="s">
        <v>469</v>
      </c>
      <c r="C47" s="3" t="s">
        <v>469</v>
      </c>
      <c r="D47" s="3" t="s">
        <v>447</v>
      </c>
      <c r="E47" s="3" t="s">
        <v>470</v>
      </c>
      <c r="F47" s="3" t="s">
        <v>471</v>
      </c>
    </row>
    <row r="48" spans="1:6" x14ac:dyDescent="0.2">
      <c r="A48" s="3" t="s">
        <v>379</v>
      </c>
      <c r="B48" s="3" t="s">
        <v>523</v>
      </c>
      <c r="C48" s="3" t="s">
        <v>95</v>
      </c>
      <c r="D48" s="3" t="s">
        <v>95</v>
      </c>
      <c r="E48" s="3" t="s">
        <v>286</v>
      </c>
      <c r="F48" s="3" t="s">
        <v>287</v>
      </c>
    </row>
    <row r="49" spans="1:6" x14ac:dyDescent="0.2">
      <c r="A49" s="3" t="s">
        <v>32</v>
      </c>
      <c r="B49" s="3" t="s">
        <v>518</v>
      </c>
      <c r="C49" s="3" t="s">
        <v>95</v>
      </c>
      <c r="D49" s="3" t="s">
        <v>95</v>
      </c>
      <c r="E49" s="3" t="s">
        <v>267</v>
      </c>
      <c r="F49" s="3" t="s">
        <v>178</v>
      </c>
    </row>
    <row r="50" spans="1:6" x14ac:dyDescent="0.2">
      <c r="A50" s="3" t="s">
        <v>442</v>
      </c>
      <c r="B50" s="3" t="s">
        <v>530</v>
      </c>
      <c r="C50" s="3" t="s">
        <v>95</v>
      </c>
      <c r="D50" s="3" t="s">
        <v>95</v>
      </c>
      <c r="E50" s="3" t="s">
        <v>318</v>
      </c>
      <c r="F50" s="3" t="s">
        <v>319</v>
      </c>
    </row>
    <row r="51" spans="1:6" x14ac:dyDescent="0.2">
      <c r="A51" s="3" t="s">
        <v>366</v>
      </c>
      <c r="B51" s="3" t="s">
        <v>198</v>
      </c>
      <c r="C51" s="3" t="s">
        <v>198</v>
      </c>
      <c r="D51" s="3" t="s">
        <v>107</v>
      </c>
      <c r="E51" s="3" t="s">
        <v>351</v>
      </c>
      <c r="F51" s="3" t="s">
        <v>352</v>
      </c>
    </row>
    <row r="52" spans="1:6" x14ac:dyDescent="0.2">
      <c r="A52" s="3" t="s">
        <v>367</v>
      </c>
      <c r="B52" s="3" t="s">
        <v>561</v>
      </c>
      <c r="C52" s="3" t="s">
        <v>95</v>
      </c>
      <c r="D52" s="3" t="s">
        <v>95</v>
      </c>
      <c r="E52" s="3" t="s">
        <v>206</v>
      </c>
      <c r="F52" s="3" t="s">
        <v>316</v>
      </c>
    </row>
    <row r="53" spans="1:6" x14ac:dyDescent="0.2">
      <c r="A53" s="3" t="s">
        <v>23</v>
      </c>
      <c r="B53" s="3" t="s">
        <v>523</v>
      </c>
      <c r="C53" s="3" t="s">
        <v>95</v>
      </c>
      <c r="D53" s="3" t="s">
        <v>95</v>
      </c>
      <c r="E53" s="3" t="s">
        <v>241</v>
      </c>
      <c r="F53" s="3" t="s">
        <v>242</v>
      </c>
    </row>
    <row r="54" spans="1:6" x14ac:dyDescent="0.2">
      <c r="A54" s="3" t="s">
        <v>428</v>
      </c>
      <c r="B54" s="3" t="s">
        <v>519</v>
      </c>
      <c r="C54" s="3" t="s">
        <v>95</v>
      </c>
      <c r="D54" s="3" t="s">
        <v>95</v>
      </c>
      <c r="E54" s="3" t="s">
        <v>429</v>
      </c>
      <c r="F54" s="3" t="s">
        <v>430</v>
      </c>
    </row>
    <row r="55" spans="1:6" x14ac:dyDescent="0.2">
      <c r="A55" s="3" t="s">
        <v>8</v>
      </c>
      <c r="B55" s="3" t="s">
        <v>545</v>
      </c>
      <c r="C55" s="3" t="s">
        <v>95</v>
      </c>
      <c r="D55" s="3" t="s">
        <v>95</v>
      </c>
      <c r="E55" s="3" t="s">
        <v>214</v>
      </c>
      <c r="F55" s="3" t="s">
        <v>175</v>
      </c>
    </row>
    <row r="56" spans="1:6" x14ac:dyDescent="0.2">
      <c r="A56" s="3" t="s">
        <v>467</v>
      </c>
      <c r="B56" s="3" t="s">
        <v>451</v>
      </c>
      <c r="C56" s="3" t="s">
        <v>451</v>
      </c>
      <c r="D56" s="3" t="s">
        <v>452</v>
      </c>
      <c r="E56" s="3" t="s">
        <v>453</v>
      </c>
      <c r="F56" s="3" t="s">
        <v>454</v>
      </c>
    </row>
    <row r="57" spans="1:6" x14ac:dyDescent="0.2">
      <c r="A57" s="3" t="s">
        <v>11</v>
      </c>
      <c r="B57" s="3" t="s">
        <v>529</v>
      </c>
      <c r="C57" s="3" t="s">
        <v>95</v>
      </c>
      <c r="D57" s="3" t="s">
        <v>95</v>
      </c>
      <c r="E57" s="3" t="s">
        <v>227</v>
      </c>
      <c r="F57" s="3" t="s">
        <v>265</v>
      </c>
    </row>
    <row r="58" spans="1:6" x14ac:dyDescent="0.2">
      <c r="A58" s="3" t="s">
        <v>27</v>
      </c>
      <c r="B58" s="3" t="s">
        <v>536</v>
      </c>
      <c r="C58" s="3" t="s">
        <v>95</v>
      </c>
      <c r="D58" s="3" t="s">
        <v>95</v>
      </c>
      <c r="E58" s="3" t="s">
        <v>235</v>
      </c>
      <c r="F58" s="3" t="s">
        <v>236</v>
      </c>
    </row>
    <row r="59" spans="1:6" x14ac:dyDescent="0.2">
      <c r="A59" s="3" t="s">
        <v>438</v>
      </c>
      <c r="B59" s="3" t="s">
        <v>517</v>
      </c>
      <c r="C59" s="3" t="s">
        <v>95</v>
      </c>
      <c r="D59" s="3" t="s">
        <v>95</v>
      </c>
      <c r="E59" s="3" t="s">
        <v>310</v>
      </c>
      <c r="F59" s="3" t="s">
        <v>439</v>
      </c>
    </row>
    <row r="60" spans="1:6" x14ac:dyDescent="0.2">
      <c r="A60" s="1" t="s">
        <v>512</v>
      </c>
      <c r="B60" s="1" t="s">
        <v>532</v>
      </c>
      <c r="C60" s="3" t="s">
        <v>95</v>
      </c>
      <c r="D60" s="1" t="s">
        <v>472</v>
      </c>
      <c r="E60" s="1" t="s">
        <v>513</v>
      </c>
      <c r="F60" s="1" t="s">
        <v>514</v>
      </c>
    </row>
    <row r="61" spans="1:6" x14ac:dyDescent="0.2">
      <c r="A61" s="1" t="s">
        <v>499</v>
      </c>
      <c r="B61" s="1" t="s">
        <v>515</v>
      </c>
      <c r="C61" s="3" t="s">
        <v>95</v>
      </c>
      <c r="D61" s="1" t="s">
        <v>472</v>
      </c>
      <c r="E61" s="1" t="s">
        <v>500</v>
      </c>
      <c r="F61" s="1" t="s">
        <v>501</v>
      </c>
    </row>
    <row r="62" spans="1:6" x14ac:dyDescent="0.2">
      <c r="A62" s="1" t="s">
        <v>502</v>
      </c>
      <c r="B62" s="1" t="s">
        <v>562</v>
      </c>
      <c r="C62" s="3" t="s">
        <v>95</v>
      </c>
      <c r="D62" s="1" t="s">
        <v>472</v>
      </c>
      <c r="E62" s="1" t="s">
        <v>500</v>
      </c>
      <c r="F62" s="1" t="s">
        <v>503</v>
      </c>
    </row>
    <row r="63" spans="1:6" x14ac:dyDescent="0.2">
      <c r="A63" s="1" t="s">
        <v>504</v>
      </c>
      <c r="B63" s="1" t="s">
        <v>563</v>
      </c>
      <c r="C63" s="3" t="s">
        <v>95</v>
      </c>
      <c r="D63" s="1" t="s">
        <v>472</v>
      </c>
      <c r="E63" s="1" t="s">
        <v>505</v>
      </c>
      <c r="F63" s="1" t="s">
        <v>506</v>
      </c>
    </row>
    <row r="64" spans="1:6" x14ac:dyDescent="0.2">
      <c r="A64" s="3" t="s">
        <v>25</v>
      </c>
      <c r="B64" s="3" t="s">
        <v>534</v>
      </c>
      <c r="C64" s="3" t="s">
        <v>95</v>
      </c>
      <c r="D64" s="3" t="s">
        <v>95</v>
      </c>
      <c r="E64" s="3" t="s">
        <v>196</v>
      </c>
      <c r="F64" s="3" t="s">
        <v>261</v>
      </c>
    </row>
    <row r="65" spans="1:6" x14ac:dyDescent="0.2">
      <c r="A65" s="3" t="s">
        <v>92</v>
      </c>
      <c r="B65" s="3" t="s">
        <v>314</v>
      </c>
      <c r="C65" s="3" t="s">
        <v>314</v>
      </c>
      <c r="D65" s="3" t="s">
        <v>93</v>
      </c>
      <c r="E65" s="3" t="s">
        <v>196</v>
      </c>
      <c r="F65" s="3" t="s">
        <v>169</v>
      </c>
    </row>
    <row r="66" spans="1:6" x14ac:dyDescent="0.2">
      <c r="A66" s="3" t="s">
        <v>14</v>
      </c>
      <c r="B66" s="3" t="s">
        <v>517</v>
      </c>
      <c r="C66" s="3" t="s">
        <v>95</v>
      </c>
      <c r="D66" s="3" t="s">
        <v>95</v>
      </c>
      <c r="E66" s="3" t="s">
        <v>196</v>
      </c>
      <c r="F66" s="3" t="s">
        <v>168</v>
      </c>
    </row>
    <row r="67" spans="1:6" x14ac:dyDescent="0.2">
      <c r="A67" s="3" t="s">
        <v>16</v>
      </c>
      <c r="B67" s="3" t="s">
        <v>533</v>
      </c>
      <c r="C67" s="3" t="s">
        <v>95</v>
      </c>
      <c r="D67" s="3" t="s">
        <v>95</v>
      </c>
      <c r="E67" s="3" t="s">
        <v>196</v>
      </c>
      <c r="F67" s="3" t="s">
        <v>185</v>
      </c>
    </row>
    <row r="68" spans="1:6" x14ac:dyDescent="0.2">
      <c r="A68" s="3" t="s">
        <v>422</v>
      </c>
      <c r="B68" s="3" t="s">
        <v>533</v>
      </c>
      <c r="C68" s="3" t="s">
        <v>95</v>
      </c>
      <c r="D68" s="3" t="s">
        <v>95</v>
      </c>
      <c r="E68" s="3" t="s">
        <v>196</v>
      </c>
      <c r="F68" s="3" t="s">
        <v>421</v>
      </c>
    </row>
    <row r="69" spans="1:6" x14ac:dyDescent="0.2">
      <c r="A69" s="3" t="s">
        <v>426</v>
      </c>
      <c r="B69" s="3" t="s">
        <v>788</v>
      </c>
      <c r="C69" s="3" t="s">
        <v>95</v>
      </c>
      <c r="D69" s="3" t="s">
        <v>95</v>
      </c>
      <c r="E69" s="3" t="s">
        <v>196</v>
      </c>
      <c r="F69" s="3" t="s">
        <v>427</v>
      </c>
    </row>
    <row r="70" spans="1:6" x14ac:dyDescent="0.2">
      <c r="A70" s="3" t="s">
        <v>145</v>
      </c>
      <c r="B70" s="3" t="s">
        <v>198</v>
      </c>
      <c r="C70" s="3" t="s">
        <v>198</v>
      </c>
      <c r="D70" s="3" t="s">
        <v>107</v>
      </c>
      <c r="E70" s="3" t="s">
        <v>291</v>
      </c>
      <c r="F70" s="3" t="s">
        <v>292</v>
      </c>
    </row>
    <row r="71" spans="1:6" x14ac:dyDescent="0.2">
      <c r="A71" s="3" t="s">
        <v>215</v>
      </c>
      <c r="B71" s="3" t="s">
        <v>478</v>
      </c>
      <c r="C71" s="3" t="s">
        <v>95</v>
      </c>
      <c r="D71" s="3" t="s">
        <v>95</v>
      </c>
      <c r="E71" s="3" t="s">
        <v>216</v>
      </c>
      <c r="F71" s="3" t="s">
        <v>375</v>
      </c>
    </row>
    <row r="72" spans="1:6" s="98" customFormat="1" x14ac:dyDescent="0.2">
      <c r="A72" s="99" t="s">
        <v>22</v>
      </c>
      <c r="B72" s="99" t="s">
        <v>522</v>
      </c>
      <c r="C72" s="99" t="s">
        <v>95</v>
      </c>
      <c r="D72" s="99" t="s">
        <v>95</v>
      </c>
      <c r="E72" s="99" t="s">
        <v>220</v>
      </c>
      <c r="F72" s="99" t="s">
        <v>181</v>
      </c>
    </row>
    <row r="73" spans="1:6" s="98" customFormat="1" x14ac:dyDescent="0.2">
      <c r="A73" s="99" t="s">
        <v>22</v>
      </c>
      <c r="B73" s="99" t="s">
        <v>539</v>
      </c>
      <c r="C73" s="99" t="s">
        <v>95</v>
      </c>
      <c r="D73" s="99" t="s">
        <v>95</v>
      </c>
      <c r="E73" s="99" t="s">
        <v>220</v>
      </c>
      <c r="F73" s="99" t="s">
        <v>181</v>
      </c>
    </row>
    <row r="74" spans="1:6" x14ac:dyDescent="0.2">
      <c r="A74" s="3" t="s">
        <v>326</v>
      </c>
      <c r="B74" s="3" t="s">
        <v>538</v>
      </c>
      <c r="C74" s="3" t="s">
        <v>95</v>
      </c>
      <c r="D74" s="3" t="s">
        <v>95</v>
      </c>
      <c r="E74" s="3" t="s">
        <v>327</v>
      </c>
      <c r="F74" s="3" t="s">
        <v>328</v>
      </c>
    </row>
    <row r="75" spans="1:6" x14ac:dyDescent="0.2">
      <c r="A75" s="3" t="s">
        <v>466</v>
      </c>
      <c r="B75" s="5" t="s">
        <v>546</v>
      </c>
      <c r="C75" s="3" t="s">
        <v>95</v>
      </c>
      <c r="D75" s="3" t="s">
        <v>95</v>
      </c>
      <c r="E75" s="3" t="s">
        <v>223</v>
      </c>
      <c r="F75" s="3" t="s">
        <v>224</v>
      </c>
    </row>
    <row r="76" spans="1:6" x14ac:dyDescent="0.2">
      <c r="A76" s="3" t="s">
        <v>498</v>
      </c>
      <c r="B76" s="3" t="s">
        <v>741</v>
      </c>
      <c r="C76" s="3" t="s">
        <v>443</v>
      </c>
      <c r="D76" s="3" t="s">
        <v>97</v>
      </c>
      <c r="E76" s="3" t="s">
        <v>496</v>
      </c>
      <c r="F76" s="3" t="s">
        <v>497</v>
      </c>
    </row>
    <row r="77" spans="1:6" x14ac:dyDescent="0.2">
      <c r="A77" s="3" t="s">
        <v>550</v>
      </c>
      <c r="B77" s="3" t="s">
        <v>475</v>
      </c>
      <c r="C77" s="3" t="s">
        <v>95</v>
      </c>
      <c r="D77" s="3" t="s">
        <v>95</v>
      </c>
      <c r="E77" s="3" t="s">
        <v>489</v>
      </c>
      <c r="F77" s="3" t="s">
        <v>490</v>
      </c>
    </row>
    <row r="78" spans="1:6" x14ac:dyDescent="0.2">
      <c r="A78" s="3" t="s">
        <v>38</v>
      </c>
      <c r="B78" s="3" t="s">
        <v>268</v>
      </c>
      <c r="C78" s="3" t="s">
        <v>268</v>
      </c>
      <c r="D78" s="3" t="s">
        <v>96</v>
      </c>
      <c r="E78" s="3" t="s">
        <v>231</v>
      </c>
      <c r="F78" s="3" t="s">
        <v>413</v>
      </c>
    </row>
    <row r="79" spans="1:6" x14ac:dyDescent="0.2">
      <c r="A79" s="3" t="s">
        <v>3</v>
      </c>
      <c r="B79" s="3" t="s">
        <v>521</v>
      </c>
      <c r="C79" s="3" t="s">
        <v>95</v>
      </c>
      <c r="D79" s="3" t="s">
        <v>95</v>
      </c>
      <c r="E79" s="3" t="s">
        <v>219</v>
      </c>
      <c r="F79" s="3" t="s">
        <v>174</v>
      </c>
    </row>
    <row r="80" spans="1:6" s="98" customFormat="1" x14ac:dyDescent="0.2">
      <c r="A80" s="99" t="s">
        <v>9</v>
      </c>
      <c r="B80" s="99" t="s">
        <v>315</v>
      </c>
      <c r="C80" s="99" t="s">
        <v>315</v>
      </c>
      <c r="D80" s="99" t="s">
        <v>10</v>
      </c>
      <c r="E80" s="99" t="s">
        <v>217</v>
      </c>
      <c r="F80" s="99" t="s">
        <v>420</v>
      </c>
    </row>
    <row r="81" spans="1:6" s="98" customFormat="1" x14ac:dyDescent="0.2">
      <c r="A81" s="99" t="s">
        <v>9</v>
      </c>
      <c r="B81" s="99" t="s">
        <v>531</v>
      </c>
      <c r="C81" s="99" t="s">
        <v>95</v>
      </c>
      <c r="D81" s="99" t="s">
        <v>95</v>
      </c>
      <c r="E81" s="99" t="s">
        <v>217</v>
      </c>
      <c r="F81" s="99" t="s">
        <v>274</v>
      </c>
    </row>
    <row r="82" spans="1:6" x14ac:dyDescent="0.2">
      <c r="A82" s="3" t="s">
        <v>30</v>
      </c>
      <c r="B82" s="3" t="s">
        <v>474</v>
      </c>
      <c r="C82" s="3" t="s">
        <v>95</v>
      </c>
      <c r="D82" s="3" t="s">
        <v>95</v>
      </c>
      <c r="E82" s="3" t="s">
        <v>225</v>
      </c>
      <c r="F82" s="3" t="s">
        <v>180</v>
      </c>
    </row>
    <row r="83" spans="1:6" x14ac:dyDescent="0.2">
      <c r="A83" s="3" t="s">
        <v>463</v>
      </c>
      <c r="B83" s="3" t="s">
        <v>443</v>
      </c>
      <c r="C83" s="3" t="s">
        <v>443</v>
      </c>
      <c r="D83" s="3" t="s">
        <v>97</v>
      </c>
      <c r="E83" s="3" t="s">
        <v>464</v>
      </c>
      <c r="F83" s="3" t="s">
        <v>465</v>
      </c>
    </row>
    <row r="84" spans="1:6" x14ac:dyDescent="0.2">
      <c r="A84" s="3" t="s">
        <v>494</v>
      </c>
      <c r="B84" s="3" t="s">
        <v>478</v>
      </c>
      <c r="C84" s="3" t="s">
        <v>95</v>
      </c>
      <c r="D84" s="3" t="s">
        <v>95</v>
      </c>
      <c r="E84" s="3" t="s">
        <v>324</v>
      </c>
      <c r="F84" s="3" t="s">
        <v>325</v>
      </c>
    </row>
    <row r="85" spans="1:6" s="98" customFormat="1" x14ac:dyDescent="0.2">
      <c r="A85" s="99" t="s">
        <v>5</v>
      </c>
      <c r="B85" s="99" t="s">
        <v>531</v>
      </c>
      <c r="C85" s="99" t="s">
        <v>95</v>
      </c>
      <c r="D85" s="99" t="s">
        <v>95</v>
      </c>
      <c r="E85" s="99" t="s">
        <v>204</v>
      </c>
      <c r="F85" s="99" t="s">
        <v>399</v>
      </c>
    </row>
    <row r="86" spans="1:6" s="98" customFormat="1" x14ac:dyDescent="0.2">
      <c r="A86" s="99" t="s">
        <v>5</v>
      </c>
      <c r="B86" s="99" t="s">
        <v>532</v>
      </c>
      <c r="C86" s="99" t="s">
        <v>95</v>
      </c>
      <c r="D86" s="99" t="s">
        <v>95</v>
      </c>
      <c r="E86" s="99" t="s">
        <v>204</v>
      </c>
      <c r="F86" s="99" t="s">
        <v>407</v>
      </c>
    </row>
    <row r="87" spans="1:6" x14ac:dyDescent="0.2">
      <c r="A87" s="3" t="s">
        <v>378</v>
      </c>
      <c r="B87" s="3" t="s">
        <v>475</v>
      </c>
      <c r="C87" s="3" t="s">
        <v>95</v>
      </c>
      <c r="D87" s="3" t="s">
        <v>95</v>
      </c>
      <c r="E87" s="3" t="s">
        <v>371</v>
      </c>
      <c r="F87" s="3" t="s">
        <v>372</v>
      </c>
    </row>
    <row r="88" spans="1:6" x14ac:dyDescent="0.2">
      <c r="A88" s="113" t="s">
        <v>378</v>
      </c>
      <c r="B88" s="113" t="s">
        <v>547</v>
      </c>
      <c r="C88" s="113" t="s">
        <v>95</v>
      </c>
      <c r="D88" s="113" t="s">
        <v>95</v>
      </c>
      <c r="E88" s="113" t="s">
        <v>371</v>
      </c>
      <c r="F88" s="113" t="s">
        <v>726</v>
      </c>
    </row>
    <row r="89" spans="1:6" x14ac:dyDescent="0.2">
      <c r="A89" s="99" t="s">
        <v>423</v>
      </c>
      <c r="B89" s="99" t="s">
        <v>537</v>
      </c>
      <c r="C89" s="99" t="s">
        <v>95</v>
      </c>
      <c r="D89" s="99" t="s">
        <v>95</v>
      </c>
      <c r="E89" s="99" t="s">
        <v>317</v>
      </c>
      <c r="F89" s="99" t="s">
        <v>419</v>
      </c>
    </row>
    <row r="90" spans="1:6" x14ac:dyDescent="0.2">
      <c r="A90" s="99" t="s">
        <v>423</v>
      </c>
      <c r="B90" s="99" t="s">
        <v>873</v>
      </c>
      <c r="C90" s="99" t="s">
        <v>95</v>
      </c>
      <c r="D90" s="99" t="s">
        <v>95</v>
      </c>
      <c r="E90" s="99" t="s">
        <v>317</v>
      </c>
      <c r="F90" s="99" t="s">
        <v>874</v>
      </c>
    </row>
    <row r="91" spans="1:6" x14ac:dyDescent="0.2">
      <c r="A91" s="3" t="s">
        <v>359</v>
      </c>
      <c r="B91" s="3" t="s">
        <v>272</v>
      </c>
      <c r="C91" s="3" t="s">
        <v>272</v>
      </c>
      <c r="D91" s="3" t="s">
        <v>10</v>
      </c>
      <c r="E91" s="3" t="s">
        <v>360</v>
      </c>
      <c r="F91" s="3" t="s">
        <v>361</v>
      </c>
    </row>
    <row r="92" spans="1:6" x14ac:dyDescent="0.2">
      <c r="A92" s="3" t="s">
        <v>12</v>
      </c>
      <c r="B92" s="3" t="s">
        <v>380</v>
      </c>
      <c r="C92" s="3" t="s">
        <v>380</v>
      </c>
      <c r="D92" s="3" t="s">
        <v>97</v>
      </c>
      <c r="E92" s="3" t="s">
        <v>289</v>
      </c>
      <c r="F92" s="3" t="s">
        <v>191</v>
      </c>
    </row>
    <row r="93" spans="1:6" x14ac:dyDescent="0.2">
      <c r="A93" s="3" t="s">
        <v>309</v>
      </c>
      <c r="B93" s="3" t="s">
        <v>541</v>
      </c>
      <c r="C93" s="3" t="s">
        <v>95</v>
      </c>
      <c r="D93" s="3" t="s">
        <v>95</v>
      </c>
      <c r="E93" s="3" t="s">
        <v>203</v>
      </c>
      <c r="F93" s="3" t="s">
        <v>170</v>
      </c>
    </row>
    <row r="94" spans="1:6" x14ac:dyDescent="0.2">
      <c r="A94" s="3" t="s">
        <v>444</v>
      </c>
      <c r="B94" s="3" t="s">
        <v>547</v>
      </c>
      <c r="C94" s="3" t="s">
        <v>95</v>
      </c>
      <c r="D94" s="3" t="s">
        <v>95</v>
      </c>
      <c r="E94" s="3" t="s">
        <v>445</v>
      </c>
      <c r="F94" s="3" t="s">
        <v>446</v>
      </c>
    </row>
    <row r="95" spans="1:6" x14ac:dyDescent="0.2">
      <c r="A95" s="3" t="s">
        <v>425</v>
      </c>
      <c r="B95" s="3" t="s">
        <v>536</v>
      </c>
      <c r="C95" s="3" t="s">
        <v>95</v>
      </c>
      <c r="D95" s="3" t="s">
        <v>95</v>
      </c>
      <c r="E95" s="3" t="s">
        <v>415</v>
      </c>
      <c r="F95" s="3" t="s">
        <v>414</v>
      </c>
    </row>
    <row r="96" spans="1:6" x14ac:dyDescent="0.2">
      <c r="A96" s="3" t="s">
        <v>19</v>
      </c>
      <c r="B96" s="3" t="s">
        <v>525</v>
      </c>
      <c r="C96" s="3" t="s">
        <v>95</v>
      </c>
      <c r="D96" s="3" t="s">
        <v>95</v>
      </c>
      <c r="E96" s="3" t="s">
        <v>202</v>
      </c>
      <c r="F96" s="3" t="s">
        <v>165</v>
      </c>
    </row>
    <row r="97" spans="1:6" x14ac:dyDescent="0.2">
      <c r="A97" s="3" t="s">
        <v>94</v>
      </c>
      <c r="B97" s="3" t="s">
        <v>475</v>
      </c>
      <c r="C97" s="3" t="s">
        <v>95</v>
      </c>
      <c r="D97" s="3" t="s">
        <v>95</v>
      </c>
      <c r="E97" s="3" t="s">
        <v>200</v>
      </c>
      <c r="F97" s="3" t="s">
        <v>176</v>
      </c>
    </row>
    <row r="98" spans="1:6" x14ac:dyDescent="0.2">
      <c r="A98" s="3" t="s">
        <v>395</v>
      </c>
      <c r="B98" s="3" t="s">
        <v>269</v>
      </c>
      <c r="C98" s="3" t="s">
        <v>269</v>
      </c>
      <c r="D98" s="3" t="s">
        <v>93</v>
      </c>
      <c r="E98" s="3" t="s">
        <v>394</v>
      </c>
      <c r="F98" s="3" t="s">
        <v>393</v>
      </c>
    </row>
    <row r="99" spans="1:6" x14ac:dyDescent="0.2">
      <c r="A99" s="3" t="s">
        <v>311</v>
      </c>
      <c r="B99" s="3" t="s">
        <v>535</v>
      </c>
      <c r="C99" s="3" t="s">
        <v>95</v>
      </c>
      <c r="D99" s="3" t="s">
        <v>95</v>
      </c>
      <c r="E99" s="3" t="s">
        <v>284</v>
      </c>
      <c r="F99" s="3" t="s">
        <v>285</v>
      </c>
    </row>
    <row r="100" spans="1:6" x14ac:dyDescent="0.2">
      <c r="A100" s="3" t="s">
        <v>410</v>
      </c>
      <c r="B100" s="3" t="s">
        <v>533</v>
      </c>
      <c r="C100" s="3" t="s">
        <v>95</v>
      </c>
      <c r="D100" s="3" t="s">
        <v>95</v>
      </c>
      <c r="E100" s="3" t="s">
        <v>409</v>
      </c>
      <c r="F100" s="3" t="s">
        <v>408</v>
      </c>
    </row>
    <row r="101" spans="1:6" x14ac:dyDescent="0.2">
      <c r="A101" s="3" t="s">
        <v>37</v>
      </c>
      <c r="B101" s="3" t="s">
        <v>518</v>
      </c>
      <c r="C101" s="3" t="s">
        <v>95</v>
      </c>
      <c r="D101" s="3" t="s">
        <v>95</v>
      </c>
      <c r="E101" s="3" t="s">
        <v>222</v>
      </c>
      <c r="F101" s="3" t="s">
        <v>178</v>
      </c>
    </row>
    <row r="102" spans="1:6" x14ac:dyDescent="0.2">
      <c r="A102" s="3" t="s">
        <v>21</v>
      </c>
      <c r="B102" s="3" t="s">
        <v>270</v>
      </c>
      <c r="C102" s="3" t="s">
        <v>270</v>
      </c>
      <c r="D102" s="3" t="s">
        <v>98</v>
      </c>
      <c r="E102" s="3" t="s">
        <v>234</v>
      </c>
      <c r="F102" s="3" t="s">
        <v>172</v>
      </c>
    </row>
    <row r="103" spans="1:6" x14ac:dyDescent="0.2">
      <c r="A103" s="3" t="s">
        <v>233</v>
      </c>
      <c r="B103" s="3" t="s">
        <v>198</v>
      </c>
      <c r="C103" s="3" t="s">
        <v>198</v>
      </c>
      <c r="D103" s="3" t="s">
        <v>107</v>
      </c>
      <c r="E103" s="3" t="s">
        <v>312</v>
      </c>
      <c r="F103" s="3" t="s">
        <v>313</v>
      </c>
    </row>
    <row r="104" spans="1:6" x14ac:dyDescent="0.2">
      <c r="A104" s="3" t="s">
        <v>398</v>
      </c>
      <c r="B104" s="3" t="s">
        <v>548</v>
      </c>
      <c r="C104" s="3" t="s">
        <v>95</v>
      </c>
      <c r="D104" s="3" t="s">
        <v>95</v>
      </c>
      <c r="E104" s="3" t="s">
        <v>205</v>
      </c>
      <c r="F104" s="3" t="s">
        <v>187</v>
      </c>
    </row>
    <row r="105" spans="1:6" x14ac:dyDescent="0.2">
      <c r="A105" s="3" t="s">
        <v>34</v>
      </c>
      <c r="B105" s="3" t="s">
        <v>549</v>
      </c>
      <c r="C105" s="3" t="s">
        <v>95</v>
      </c>
      <c r="D105" s="3" t="s">
        <v>95</v>
      </c>
      <c r="E105" s="3" t="s">
        <v>237</v>
      </c>
      <c r="F105" s="3" t="s">
        <v>238</v>
      </c>
    </row>
    <row r="106" spans="1:6" x14ac:dyDescent="0.2">
      <c r="A106" s="3" t="s">
        <v>495</v>
      </c>
      <c r="B106" s="3" t="s">
        <v>520</v>
      </c>
      <c r="C106" s="3" t="s">
        <v>198</v>
      </c>
      <c r="D106" s="3" t="s">
        <v>107</v>
      </c>
      <c r="E106" s="3" t="s">
        <v>373</v>
      </c>
      <c r="F106" s="3" t="s">
        <v>374</v>
      </c>
    </row>
    <row r="107" spans="1:6" x14ac:dyDescent="0.2">
      <c r="A107" s="113" t="s">
        <v>727</v>
      </c>
      <c r="B107" s="113" t="s">
        <v>270</v>
      </c>
      <c r="C107" s="113" t="s">
        <v>270</v>
      </c>
      <c r="D107" s="113" t="s">
        <v>98</v>
      </c>
      <c r="E107" s="113" t="s">
        <v>728</v>
      </c>
      <c r="F107" s="113" t="s">
        <v>729</v>
      </c>
    </row>
    <row r="108" spans="1:6" x14ac:dyDescent="0.2">
      <c r="A108" s="3" t="s">
        <v>459</v>
      </c>
      <c r="B108" s="3" t="s">
        <v>523</v>
      </c>
      <c r="C108" s="3" t="s">
        <v>95</v>
      </c>
      <c r="D108" s="3" t="s">
        <v>95</v>
      </c>
      <c r="E108" s="3" t="s">
        <v>320</v>
      </c>
      <c r="F108" s="3" t="s">
        <v>321</v>
      </c>
    </row>
    <row r="109" spans="1:6" x14ac:dyDescent="0.2">
      <c r="A109" s="3" t="s">
        <v>24</v>
      </c>
      <c r="B109" s="3" t="s">
        <v>518</v>
      </c>
      <c r="C109" s="3" t="s">
        <v>95</v>
      </c>
      <c r="D109" s="3" t="s">
        <v>95</v>
      </c>
      <c r="E109" s="3" t="s">
        <v>229</v>
      </c>
      <c r="F109" s="3" t="s">
        <v>308</v>
      </c>
    </row>
    <row r="110" spans="1:6" x14ac:dyDescent="0.2">
      <c r="A110" s="3" t="s">
        <v>455</v>
      </c>
      <c r="B110" s="3" t="s">
        <v>456</v>
      </c>
      <c r="C110" s="3" t="s">
        <v>456</v>
      </c>
      <c r="D110" s="3" t="s">
        <v>10</v>
      </c>
      <c r="E110" s="3" t="s">
        <v>457</v>
      </c>
      <c r="F110" s="3" t="s">
        <v>458</v>
      </c>
    </row>
    <row r="111" spans="1:6" x14ac:dyDescent="0.2">
      <c r="A111" s="3" t="s">
        <v>418</v>
      </c>
      <c r="B111" s="3" t="s">
        <v>531</v>
      </c>
      <c r="C111" s="3" t="s">
        <v>95</v>
      </c>
      <c r="D111" s="3" t="s">
        <v>95</v>
      </c>
      <c r="E111" s="3" t="s">
        <v>417</v>
      </c>
      <c r="F111" s="3" t="s">
        <v>416</v>
      </c>
    </row>
    <row r="112" spans="1:6" x14ac:dyDescent="0.2">
      <c r="A112" s="3" t="s">
        <v>329</v>
      </c>
      <c r="B112" s="3" t="s">
        <v>330</v>
      </c>
      <c r="C112" s="3" t="s">
        <v>330</v>
      </c>
      <c r="D112" s="3" t="s">
        <v>10</v>
      </c>
      <c r="E112" s="3" t="s">
        <v>331</v>
      </c>
      <c r="F112" s="3" t="s">
        <v>332</v>
      </c>
    </row>
    <row r="113" spans="1:6" x14ac:dyDescent="0.2">
      <c r="A113" s="3" t="s">
        <v>33</v>
      </c>
      <c r="B113" s="3" t="s">
        <v>543</v>
      </c>
      <c r="C113" s="3" t="s">
        <v>95</v>
      </c>
      <c r="D113" s="3" t="s">
        <v>95</v>
      </c>
    </row>
    <row r="114" spans="1:6" s="98" customFormat="1" x14ac:dyDescent="0.2">
      <c r="A114" s="99" t="s">
        <v>28</v>
      </c>
      <c r="B114" s="99" t="s">
        <v>269</v>
      </c>
      <c r="C114" s="99" t="s">
        <v>269</v>
      </c>
      <c r="D114" s="99" t="s">
        <v>93</v>
      </c>
      <c r="E114" s="101"/>
      <c r="F114" s="101"/>
    </row>
    <row r="115" spans="1:6" s="98" customFormat="1" x14ac:dyDescent="0.2">
      <c r="A115" s="99" t="s">
        <v>28</v>
      </c>
      <c r="B115" s="99" t="s">
        <v>412</v>
      </c>
      <c r="C115" s="99" t="s">
        <v>412</v>
      </c>
      <c r="D115" s="99" t="s">
        <v>411</v>
      </c>
      <c r="E115" s="101"/>
      <c r="F115" s="101"/>
    </row>
    <row r="116" spans="1:6" s="98" customFormat="1" x14ac:dyDescent="0.2">
      <c r="A116" s="99" t="s">
        <v>28</v>
      </c>
      <c r="B116" s="99" t="s">
        <v>530</v>
      </c>
      <c r="C116" s="99" t="s">
        <v>95</v>
      </c>
      <c r="D116" s="99" t="s">
        <v>95</v>
      </c>
      <c r="E116" s="99" t="s">
        <v>209</v>
      </c>
      <c r="F116" s="99" t="s">
        <v>362</v>
      </c>
    </row>
    <row r="117" spans="1:6" x14ac:dyDescent="0.2">
      <c r="A117" s="3" t="s">
        <v>431</v>
      </c>
      <c r="B117" s="3" t="s">
        <v>478</v>
      </c>
      <c r="C117" s="3" t="s">
        <v>95</v>
      </c>
      <c r="D117" s="3" t="s">
        <v>95</v>
      </c>
      <c r="E117" s="3" t="s">
        <v>376</v>
      </c>
      <c r="F117" s="3" t="s">
        <v>432</v>
      </c>
    </row>
    <row r="118" spans="1:6" x14ac:dyDescent="0.2">
      <c r="A118" s="3" t="s">
        <v>424</v>
      </c>
      <c r="B118" s="3" t="s">
        <v>516</v>
      </c>
      <c r="C118" s="3" t="s">
        <v>95</v>
      </c>
      <c r="D118" s="3" t="s">
        <v>95</v>
      </c>
      <c r="E118" s="3" t="s">
        <v>401</v>
      </c>
      <c r="F118" s="3" t="s">
        <v>400</v>
      </c>
    </row>
    <row r="119" spans="1:6" s="98" customFormat="1" x14ac:dyDescent="0.2">
      <c r="A119" s="99" t="s">
        <v>29</v>
      </c>
      <c r="B119" s="99" t="s">
        <v>522</v>
      </c>
      <c r="C119" s="99" t="s">
        <v>95</v>
      </c>
      <c r="D119" s="99" t="s">
        <v>95</v>
      </c>
      <c r="E119" s="99" t="s">
        <v>264</v>
      </c>
      <c r="F119" s="99" t="s">
        <v>193</v>
      </c>
    </row>
    <row r="120" spans="1:6" s="98" customFormat="1" x14ac:dyDescent="0.2">
      <c r="A120" s="99" t="s">
        <v>29</v>
      </c>
      <c r="B120" s="99" t="s">
        <v>531</v>
      </c>
      <c r="C120" s="99" t="s">
        <v>95</v>
      </c>
      <c r="D120" s="99" t="s">
        <v>95</v>
      </c>
      <c r="E120" s="99" t="s">
        <v>264</v>
      </c>
      <c r="F120" s="99" t="s">
        <v>280</v>
      </c>
    </row>
    <row r="121" spans="1:6" s="98" customFormat="1" x14ac:dyDescent="0.2">
      <c r="A121" s="99" t="s">
        <v>29</v>
      </c>
      <c r="B121" s="99" t="s">
        <v>551</v>
      </c>
      <c r="C121" s="99" t="s">
        <v>95</v>
      </c>
      <c r="D121" s="99" t="s">
        <v>95</v>
      </c>
      <c r="E121" s="99" t="s">
        <v>264</v>
      </c>
      <c r="F121" s="99" t="s">
        <v>188</v>
      </c>
    </row>
    <row r="122" spans="1:6" x14ac:dyDescent="0.2">
      <c r="A122" s="3" t="s">
        <v>462</v>
      </c>
      <c r="B122" s="5" t="s">
        <v>527</v>
      </c>
      <c r="C122" s="3" t="s">
        <v>95</v>
      </c>
      <c r="D122" s="3" t="s">
        <v>95</v>
      </c>
      <c r="E122" s="3" t="s">
        <v>239</v>
      </c>
      <c r="F122" s="3" t="s">
        <v>240</v>
      </c>
    </row>
    <row r="123" spans="1:6" x14ac:dyDescent="0.2">
      <c r="A123" s="3" t="s">
        <v>479</v>
      </c>
      <c r="B123" s="3" t="s">
        <v>268</v>
      </c>
      <c r="C123" s="3" t="s">
        <v>268</v>
      </c>
      <c r="D123" s="3" t="s">
        <v>96</v>
      </c>
      <c r="E123" s="3" t="s">
        <v>480</v>
      </c>
      <c r="F123" s="3" t="s">
        <v>481</v>
      </c>
    </row>
    <row r="124" spans="1:6" x14ac:dyDescent="0.2">
      <c r="A124" t="s">
        <v>15</v>
      </c>
      <c r="B124" t="s">
        <v>528</v>
      </c>
      <c r="C124" t="s">
        <v>95</v>
      </c>
      <c r="D124" t="s">
        <v>95</v>
      </c>
      <c r="E124" t="s">
        <v>221</v>
      </c>
      <c r="F124" t="s">
        <v>173</v>
      </c>
    </row>
    <row r="125" spans="1:6" x14ac:dyDescent="0.2">
      <c r="A125" s="113" t="s">
        <v>730</v>
      </c>
      <c r="B125" s="113" t="s">
        <v>731</v>
      </c>
      <c r="C125" s="113" t="s">
        <v>731</v>
      </c>
      <c r="D125" s="113" t="s">
        <v>732</v>
      </c>
      <c r="E125" s="113" t="s">
        <v>733</v>
      </c>
      <c r="F125" s="113" t="s">
        <v>734</v>
      </c>
    </row>
    <row r="126" spans="1:6" x14ac:dyDescent="0.2">
      <c r="A126" s="113" t="s">
        <v>735</v>
      </c>
      <c r="B126" s="113" t="s">
        <v>531</v>
      </c>
      <c r="C126" s="113" t="s">
        <v>95</v>
      </c>
      <c r="D126" s="113" t="s">
        <v>95</v>
      </c>
      <c r="E126" s="113" t="s">
        <v>736</v>
      </c>
      <c r="F126" s="113" t="s">
        <v>737</v>
      </c>
    </row>
    <row r="127" spans="1:6" x14ac:dyDescent="0.2">
      <c r="A127" s="113" t="s">
        <v>738</v>
      </c>
      <c r="B127" s="113" t="s">
        <v>533</v>
      </c>
      <c r="C127" s="113" t="s">
        <v>95</v>
      </c>
      <c r="D127" s="113" t="s">
        <v>95</v>
      </c>
      <c r="E127" s="113" t="s">
        <v>739</v>
      </c>
      <c r="F127" s="113" t="s">
        <v>740</v>
      </c>
    </row>
    <row r="128" spans="1:6" x14ac:dyDescent="0.2">
      <c r="A128" s="125" t="s">
        <v>914</v>
      </c>
      <c r="B128" s="125" t="s">
        <v>893</v>
      </c>
      <c r="C128" s="125" t="s">
        <v>893</v>
      </c>
      <c r="D128" s="125" t="s">
        <v>870</v>
      </c>
      <c r="E128" s="125" t="s">
        <v>915</v>
      </c>
      <c r="F128" s="125" t="s">
        <v>916</v>
      </c>
    </row>
    <row r="135" spans="1:6" x14ac:dyDescent="0.2">
      <c r="A135" t="s">
        <v>962</v>
      </c>
      <c r="B135" t="s">
        <v>824</v>
      </c>
      <c r="C135" t="s">
        <v>824</v>
      </c>
      <c r="D135" t="s">
        <v>824</v>
      </c>
      <c r="E135" t="s">
        <v>963</v>
      </c>
      <c r="F135" t="s">
        <v>964</v>
      </c>
    </row>
    <row r="136" spans="1:6" x14ac:dyDescent="0.2">
      <c r="A136" t="s">
        <v>877</v>
      </c>
      <c r="B136" s="11" t="s">
        <v>562</v>
      </c>
      <c r="C136" s="114" t="s">
        <v>95</v>
      </c>
      <c r="D136" s="114" t="s">
        <v>95</v>
      </c>
      <c r="E136" t="s">
        <v>879</v>
      </c>
      <c r="F136" t="s">
        <v>961</v>
      </c>
    </row>
    <row r="137" spans="1:6" x14ac:dyDescent="0.2">
      <c r="A137" t="s">
        <v>956</v>
      </c>
      <c r="B137" t="s">
        <v>957</v>
      </c>
      <c r="C137" t="s">
        <v>957</v>
      </c>
      <c r="D137" t="s">
        <v>958</v>
      </c>
      <c r="E137" t="s">
        <v>959</v>
      </c>
      <c r="F137" t="s">
        <v>960</v>
      </c>
    </row>
    <row r="138" spans="1:6" x14ac:dyDescent="0.2">
      <c r="A138" s="114" t="s">
        <v>753</v>
      </c>
      <c r="B138" s="114" t="s">
        <v>476</v>
      </c>
      <c r="C138" s="114" t="s">
        <v>95</v>
      </c>
      <c r="D138" s="114" t="s">
        <v>95</v>
      </c>
      <c r="E138" s="114" t="s">
        <v>754</v>
      </c>
      <c r="F138" s="114" t="s">
        <v>755</v>
      </c>
    </row>
    <row r="139" spans="1:6" x14ac:dyDescent="0.2">
      <c r="A139" s="114" t="s">
        <v>756</v>
      </c>
      <c r="B139" s="114" t="s">
        <v>757</v>
      </c>
      <c r="C139" s="114" t="s">
        <v>95</v>
      </c>
      <c r="D139" s="114" t="s">
        <v>95</v>
      </c>
      <c r="E139" s="114" t="s">
        <v>197</v>
      </c>
      <c r="F139" s="114" t="s">
        <v>758</v>
      </c>
    </row>
    <row r="140" spans="1:6" x14ac:dyDescent="0.2">
      <c r="A140" s="117" t="s">
        <v>596</v>
      </c>
      <c r="B140" s="117" t="s">
        <v>519</v>
      </c>
      <c r="C140" s="117" t="s">
        <v>95</v>
      </c>
      <c r="D140" s="117" t="s">
        <v>95</v>
      </c>
      <c r="E140" s="117" t="s">
        <v>597</v>
      </c>
      <c r="F140" s="114" t="s">
        <v>598</v>
      </c>
    </row>
    <row r="141" spans="1:6" x14ac:dyDescent="0.2">
      <c r="A141" s="98" t="s">
        <v>596</v>
      </c>
      <c r="B141" s="98" t="s">
        <v>315</v>
      </c>
      <c r="C141" s="98" t="s">
        <v>315</v>
      </c>
      <c r="D141" s="98" t="s">
        <v>10</v>
      </c>
      <c r="E141" s="98" t="s">
        <v>597</v>
      </c>
      <c r="F141" t="s">
        <v>955</v>
      </c>
    </row>
    <row r="142" spans="1:6" x14ac:dyDescent="0.2">
      <c r="A142" s="11" t="s">
        <v>767</v>
      </c>
      <c r="B142" s="11" t="s">
        <v>476</v>
      </c>
      <c r="C142" s="11" t="s">
        <v>95</v>
      </c>
      <c r="D142" s="11" t="s">
        <v>95</v>
      </c>
      <c r="E142" s="11" t="s">
        <v>768</v>
      </c>
      <c r="F142" s="11" t="s">
        <v>769</v>
      </c>
    </row>
    <row r="143" spans="1:6" x14ac:dyDescent="0.2">
      <c r="A143" s="11" t="s">
        <v>770</v>
      </c>
      <c r="B143" s="11" t="s">
        <v>771</v>
      </c>
      <c r="C143" s="11" t="s">
        <v>771</v>
      </c>
      <c r="D143" s="11" t="s">
        <v>411</v>
      </c>
      <c r="E143" s="11" t="s">
        <v>772</v>
      </c>
      <c r="F143" s="11" t="s">
        <v>773</v>
      </c>
    </row>
    <row r="144" spans="1:6" x14ac:dyDescent="0.2">
      <c r="A144" s="11" t="s">
        <v>778</v>
      </c>
      <c r="B144" s="11" t="s">
        <v>779</v>
      </c>
      <c r="C144" s="11" t="s">
        <v>95</v>
      </c>
      <c r="D144" s="11" t="s">
        <v>95</v>
      </c>
      <c r="E144" s="11" t="s">
        <v>780</v>
      </c>
      <c r="F144" s="11" t="s">
        <v>781</v>
      </c>
    </row>
    <row r="145" spans="1:6" x14ac:dyDescent="0.2">
      <c r="A145" s="11" t="s">
        <v>738</v>
      </c>
      <c r="B145" s="11" t="s">
        <v>533</v>
      </c>
      <c r="C145" s="11" t="s">
        <v>95</v>
      </c>
      <c r="D145" s="11" t="s">
        <v>95</v>
      </c>
      <c r="E145" s="11" t="s">
        <v>739</v>
      </c>
      <c r="F145" s="11" t="s">
        <v>740</v>
      </c>
    </row>
    <row r="146" spans="1:6" x14ac:dyDescent="0.2">
      <c r="A146" s="115" t="s">
        <v>782</v>
      </c>
      <c r="B146" s="102" t="s">
        <v>198</v>
      </c>
      <c r="C146" s="102" t="s">
        <v>198</v>
      </c>
      <c r="D146" s="102" t="s">
        <v>107</v>
      </c>
      <c r="E146" s="115" t="s">
        <v>351</v>
      </c>
      <c r="F146" s="115" t="s">
        <v>783</v>
      </c>
    </row>
    <row r="147" spans="1:6" x14ac:dyDescent="0.2">
      <c r="A147" s="115" t="s">
        <v>784</v>
      </c>
      <c r="B147" s="115" t="s">
        <v>785</v>
      </c>
      <c r="C147" s="115" t="s">
        <v>95</v>
      </c>
      <c r="D147" s="115" t="s">
        <v>95</v>
      </c>
      <c r="E147" s="115" t="s">
        <v>786</v>
      </c>
      <c r="F147" s="115" t="s">
        <v>787</v>
      </c>
    </row>
    <row r="148" spans="1:6" x14ac:dyDescent="0.2">
      <c r="A148" s="116" t="s">
        <v>789</v>
      </c>
      <c r="B148" s="116" t="s">
        <v>294</v>
      </c>
      <c r="C148" s="116" t="s">
        <v>294</v>
      </c>
      <c r="D148" s="116" t="s">
        <v>97</v>
      </c>
      <c r="E148" s="116" t="s">
        <v>790</v>
      </c>
      <c r="F148" s="116" t="s">
        <v>791</v>
      </c>
    </row>
    <row r="149" spans="1:6" x14ac:dyDescent="0.2">
      <c r="A149" s="116" t="s">
        <v>215</v>
      </c>
      <c r="B149" s="116" t="s">
        <v>535</v>
      </c>
      <c r="C149" s="116" t="s">
        <v>95</v>
      </c>
      <c r="D149" s="116" t="s">
        <v>95</v>
      </c>
      <c r="E149" s="116" t="s">
        <v>216</v>
      </c>
      <c r="F149" s="116" t="s">
        <v>792</v>
      </c>
    </row>
    <row r="150" spans="1:6" x14ac:dyDescent="0.2">
      <c r="A150" s="1" t="s">
        <v>793</v>
      </c>
      <c r="B150" s="10" t="s">
        <v>519</v>
      </c>
      <c r="C150" s="1" t="s">
        <v>95</v>
      </c>
      <c r="D150" s="1" t="s">
        <v>95</v>
      </c>
      <c r="E150" s="11" t="s">
        <v>794</v>
      </c>
      <c r="F150" s="11" t="s">
        <v>795</v>
      </c>
    </row>
    <row r="151" spans="1:6" x14ac:dyDescent="0.2">
      <c r="A151" s="11" t="s">
        <v>796</v>
      </c>
      <c r="B151" s="11" t="s">
        <v>294</v>
      </c>
      <c r="C151" s="11" t="s">
        <v>294</v>
      </c>
      <c r="D151" s="11" t="s">
        <v>97</v>
      </c>
      <c r="E151" s="11" t="s">
        <v>797</v>
      </c>
      <c r="F151" s="11" t="s">
        <v>798</v>
      </c>
    </row>
    <row r="152" spans="1:6" x14ac:dyDescent="0.2">
      <c r="A152" s="11" t="s">
        <v>799</v>
      </c>
      <c r="B152" s="11" t="s">
        <v>800</v>
      </c>
      <c r="C152" s="11" t="s">
        <v>800</v>
      </c>
      <c r="D152" s="11" t="s">
        <v>10</v>
      </c>
      <c r="E152" s="11" t="s">
        <v>801</v>
      </c>
      <c r="F152" s="11" t="s">
        <v>802</v>
      </c>
    </row>
    <row r="153" spans="1:6" x14ac:dyDescent="0.2">
      <c r="A153" s="11" t="s">
        <v>803</v>
      </c>
      <c r="B153" s="1" t="s">
        <v>948</v>
      </c>
      <c r="C153" s="1" t="s">
        <v>95</v>
      </c>
      <c r="D153" s="1" t="s">
        <v>95</v>
      </c>
      <c r="E153" s="11" t="s">
        <v>804</v>
      </c>
      <c r="F153" s="11" t="s">
        <v>805</v>
      </c>
    </row>
    <row r="154" spans="1:6" x14ac:dyDescent="0.2">
      <c r="A154" s="11" t="s">
        <v>806</v>
      </c>
      <c r="B154" s="11" t="s">
        <v>477</v>
      </c>
      <c r="C154" s="11" t="s">
        <v>95</v>
      </c>
      <c r="D154" s="11" t="s">
        <v>95</v>
      </c>
      <c r="E154" s="11" t="s">
        <v>807</v>
      </c>
      <c r="F154" s="11" t="s">
        <v>808</v>
      </c>
    </row>
    <row r="155" spans="1:6" x14ac:dyDescent="0.2">
      <c r="A155" s="117" t="s">
        <v>813</v>
      </c>
      <c r="B155" s="11" t="s">
        <v>814</v>
      </c>
      <c r="C155" s="11" t="s">
        <v>814</v>
      </c>
      <c r="D155" s="11" t="s">
        <v>452</v>
      </c>
      <c r="E155" s="11" t="s">
        <v>199</v>
      </c>
      <c r="F155" s="11" t="s">
        <v>815</v>
      </c>
    </row>
    <row r="156" spans="1:6" x14ac:dyDescent="0.2">
      <c r="A156" s="11" t="s">
        <v>816</v>
      </c>
      <c r="B156" s="11" t="s">
        <v>779</v>
      </c>
      <c r="C156" s="11" t="s">
        <v>95</v>
      </c>
      <c r="D156" s="11" t="s">
        <v>95</v>
      </c>
      <c r="E156" s="11" t="s">
        <v>817</v>
      </c>
      <c r="F156" s="11" t="s">
        <v>818</v>
      </c>
    </row>
    <row r="157" spans="1:6" x14ac:dyDescent="0.2">
      <c r="A157" t="s">
        <v>819</v>
      </c>
      <c r="B157" t="s">
        <v>270</v>
      </c>
      <c r="C157" t="s">
        <v>270</v>
      </c>
      <c r="D157" t="s">
        <v>98</v>
      </c>
      <c r="E157" t="s">
        <v>820</v>
      </c>
      <c r="F157" t="s">
        <v>821</v>
      </c>
    </row>
    <row r="158" spans="1:6" x14ac:dyDescent="0.2">
      <c r="A158" s="11" t="s">
        <v>368</v>
      </c>
      <c r="B158" s="11" t="s">
        <v>865</v>
      </c>
      <c r="C158" s="11" t="s">
        <v>95</v>
      </c>
      <c r="D158" s="11" t="s">
        <v>95</v>
      </c>
      <c r="E158" s="11" t="s">
        <v>369</v>
      </c>
      <c r="F158" s="11" t="s">
        <v>822</v>
      </c>
    </row>
    <row r="159" spans="1:6" x14ac:dyDescent="0.2">
      <c r="A159" s="11" t="s">
        <v>835</v>
      </c>
      <c r="B159" s="11" t="s">
        <v>838</v>
      </c>
      <c r="C159" s="11" t="s">
        <v>95</v>
      </c>
      <c r="D159" s="11" t="s">
        <v>95</v>
      </c>
      <c r="E159" s="11" t="s">
        <v>836</v>
      </c>
      <c r="F159" s="11" t="s">
        <v>837</v>
      </c>
    </row>
    <row r="160" spans="1:6" x14ac:dyDescent="0.2">
      <c r="A160" t="s">
        <v>839</v>
      </c>
      <c r="B160" t="s">
        <v>544</v>
      </c>
      <c r="C160" t="s">
        <v>95</v>
      </c>
      <c r="D160" t="s">
        <v>95</v>
      </c>
      <c r="E160" t="s">
        <v>840</v>
      </c>
      <c r="F160" t="s">
        <v>841</v>
      </c>
    </row>
    <row r="161" spans="1:6" x14ac:dyDescent="0.2">
      <c r="A161" s="120" t="s">
        <v>842</v>
      </c>
      <c r="B161" s="120" t="s">
        <v>528</v>
      </c>
      <c r="C161" s="120" t="s">
        <v>95</v>
      </c>
      <c r="D161" s="120" t="s">
        <v>95</v>
      </c>
      <c r="E161" s="120" t="s">
        <v>843</v>
      </c>
      <c r="F161" s="120" t="s">
        <v>844</v>
      </c>
    </row>
    <row r="162" spans="1:6" x14ac:dyDescent="0.2">
      <c r="A162" s="123" t="s">
        <v>875</v>
      </c>
      <c r="B162" t="s">
        <v>845</v>
      </c>
      <c r="C162" t="s">
        <v>95</v>
      </c>
      <c r="D162" t="s">
        <v>95</v>
      </c>
      <c r="E162" s="121" t="s">
        <v>846</v>
      </c>
      <c r="F162" s="121" t="s">
        <v>847</v>
      </c>
    </row>
    <row r="163" spans="1:6" x14ac:dyDescent="0.2">
      <c r="A163" s="120" t="s">
        <v>848</v>
      </c>
      <c r="B163" s="120" t="s">
        <v>477</v>
      </c>
      <c r="C163" s="120" t="s">
        <v>95</v>
      </c>
      <c r="D163" s="120" t="s">
        <v>95</v>
      </c>
      <c r="E163" s="120" t="s">
        <v>849</v>
      </c>
      <c r="F163" s="120" t="s">
        <v>850</v>
      </c>
    </row>
    <row r="164" spans="1:6" x14ac:dyDescent="0.2">
      <c r="A164" s="122" t="s">
        <v>858</v>
      </c>
      <c r="B164" s="122" t="s">
        <v>546</v>
      </c>
      <c r="C164" s="122" t="s">
        <v>95</v>
      </c>
      <c r="D164" s="122" t="s">
        <v>95</v>
      </c>
      <c r="E164" s="122" t="s">
        <v>859</v>
      </c>
      <c r="F164" s="122" t="s">
        <v>860</v>
      </c>
    </row>
    <row r="165" spans="1:6" x14ac:dyDescent="0.2">
      <c r="A165" s="122" t="s">
        <v>861</v>
      </c>
      <c r="B165" s="122" t="s">
        <v>531</v>
      </c>
      <c r="C165" s="122" t="s">
        <v>95</v>
      </c>
      <c r="D165" s="122" t="s">
        <v>95</v>
      </c>
      <c r="E165" s="122" t="s">
        <v>862</v>
      </c>
      <c r="F165" s="122" t="s">
        <v>863</v>
      </c>
    </row>
    <row r="166" spans="1:6" x14ac:dyDescent="0.2">
      <c r="A166" s="122" t="s">
        <v>864</v>
      </c>
      <c r="B166" s="122" t="s">
        <v>865</v>
      </c>
      <c r="C166" s="122" t="s">
        <v>95</v>
      </c>
      <c r="D166" s="122" t="s">
        <v>95</v>
      </c>
      <c r="E166" s="122" t="s">
        <v>866</v>
      </c>
      <c r="F166" s="122" t="s">
        <v>867</v>
      </c>
    </row>
    <row r="167" spans="1:6" x14ac:dyDescent="0.2">
      <c r="A167" s="122" t="s">
        <v>868</v>
      </c>
      <c r="B167" s="122" t="s">
        <v>869</v>
      </c>
      <c r="C167" s="122" t="s">
        <v>869</v>
      </c>
      <c r="D167" s="122" t="s">
        <v>870</v>
      </c>
      <c r="E167" s="122" t="s">
        <v>871</v>
      </c>
      <c r="F167" s="122" t="s">
        <v>872</v>
      </c>
    </row>
    <row r="168" spans="1:6" x14ac:dyDescent="0.2">
      <c r="A168" s="117" t="s">
        <v>877</v>
      </c>
      <c r="B168" s="117" t="s">
        <v>878</v>
      </c>
      <c r="C168" s="117" t="s">
        <v>878</v>
      </c>
      <c r="D168" s="117" t="s">
        <v>411</v>
      </c>
      <c r="E168" s="11" t="s">
        <v>879</v>
      </c>
      <c r="F168" s="11" t="s">
        <v>880</v>
      </c>
    </row>
    <row r="169" spans="1:6" x14ac:dyDescent="0.2">
      <c r="A169" s="11" t="s">
        <v>881</v>
      </c>
      <c r="B169" s="11" t="s">
        <v>882</v>
      </c>
      <c r="C169" s="11" t="s">
        <v>882</v>
      </c>
      <c r="D169" s="11" t="s">
        <v>96</v>
      </c>
      <c r="E169" s="11" t="s">
        <v>883</v>
      </c>
      <c r="F169" s="11" t="s">
        <v>884</v>
      </c>
    </row>
    <row r="170" spans="1:6" x14ac:dyDescent="0.2">
      <c r="A170" t="s">
        <v>885</v>
      </c>
      <c r="B170" s="125" t="s">
        <v>198</v>
      </c>
      <c r="C170" s="125" t="s">
        <v>198</v>
      </c>
      <c r="D170" s="125" t="s">
        <v>107</v>
      </c>
      <c r="E170" s="125" t="s">
        <v>886</v>
      </c>
      <c r="F170" s="125" t="s">
        <v>887</v>
      </c>
    </row>
    <row r="171" spans="1:6" x14ac:dyDescent="0.2">
      <c r="A171" s="125" t="s">
        <v>888</v>
      </c>
      <c r="B171" s="125" t="s">
        <v>889</v>
      </c>
      <c r="C171" s="125" t="s">
        <v>889</v>
      </c>
      <c r="D171" s="125" t="s">
        <v>314</v>
      </c>
      <c r="E171" s="125" t="s">
        <v>890</v>
      </c>
      <c r="F171" s="125" t="s">
        <v>891</v>
      </c>
    </row>
    <row r="172" spans="1:6" x14ac:dyDescent="0.2">
      <c r="A172" s="125" t="s">
        <v>892</v>
      </c>
      <c r="B172" s="125" t="s">
        <v>893</v>
      </c>
      <c r="C172" s="125" t="s">
        <v>893</v>
      </c>
      <c r="D172" s="125" t="s">
        <v>870</v>
      </c>
      <c r="E172" s="125" t="s">
        <v>894</v>
      </c>
      <c r="F172" s="125" t="s">
        <v>895</v>
      </c>
    </row>
    <row r="173" spans="1:6" x14ac:dyDescent="0.2">
      <c r="A173" s="125" t="s">
        <v>896</v>
      </c>
      <c r="B173" s="125" t="s">
        <v>535</v>
      </c>
      <c r="C173" s="125" t="s">
        <v>95</v>
      </c>
      <c r="D173" s="125" t="s">
        <v>95</v>
      </c>
      <c r="E173" s="125" t="s">
        <v>897</v>
      </c>
      <c r="F173" s="125" t="s">
        <v>898</v>
      </c>
    </row>
    <row r="174" spans="1:6" x14ac:dyDescent="0.2">
      <c r="A174" s="125" t="s">
        <v>899</v>
      </c>
      <c r="B174" s="125" t="s">
        <v>900</v>
      </c>
      <c r="C174" s="125" t="s">
        <v>900</v>
      </c>
      <c r="D174" s="125" t="s">
        <v>97</v>
      </c>
      <c r="E174" s="125" t="s">
        <v>901</v>
      </c>
      <c r="F174" s="125" t="s">
        <v>902</v>
      </c>
    </row>
    <row r="175" spans="1:6" x14ac:dyDescent="0.2">
      <c r="A175" s="127" t="s">
        <v>903</v>
      </c>
      <c r="B175" s="127" t="s">
        <v>528</v>
      </c>
      <c r="C175" s="127" t="s">
        <v>95</v>
      </c>
      <c r="D175" s="127" t="s">
        <v>95</v>
      </c>
      <c r="E175" s="125" t="s">
        <v>904</v>
      </c>
      <c r="F175" s="125" t="s">
        <v>905</v>
      </c>
    </row>
    <row r="176" spans="1:6" x14ac:dyDescent="0.2">
      <c r="A176" s="128" t="s">
        <v>903</v>
      </c>
      <c r="B176" s="128" t="s">
        <v>939</v>
      </c>
      <c r="C176" s="128" t="s">
        <v>95</v>
      </c>
      <c r="D176" s="128" t="s">
        <v>95</v>
      </c>
      <c r="E176" s="126" t="s">
        <v>904</v>
      </c>
      <c r="F176" s="126" t="s">
        <v>940</v>
      </c>
    </row>
    <row r="177" spans="1:6" x14ac:dyDescent="0.2">
      <c r="A177" s="125" t="s">
        <v>888</v>
      </c>
      <c r="B177" s="125" t="s">
        <v>314</v>
      </c>
      <c r="C177" s="125" t="s">
        <v>314</v>
      </c>
      <c r="D177" s="125" t="s">
        <v>314</v>
      </c>
      <c r="E177" s="125" t="s">
        <v>890</v>
      </c>
      <c r="F177" s="125" t="s">
        <v>891</v>
      </c>
    </row>
    <row r="178" spans="1:6" x14ac:dyDescent="0.2">
      <c r="A178" s="125" t="s">
        <v>906</v>
      </c>
      <c r="B178" s="125" t="s">
        <v>271</v>
      </c>
      <c r="C178" s="125" t="s">
        <v>271</v>
      </c>
      <c r="D178" s="125" t="s">
        <v>10</v>
      </c>
      <c r="E178" s="125" t="s">
        <v>907</v>
      </c>
      <c r="F178" s="125" t="s">
        <v>908</v>
      </c>
    </row>
    <row r="179" spans="1:6" x14ac:dyDescent="0.2">
      <c r="A179" s="125" t="s">
        <v>909</v>
      </c>
      <c r="B179" s="11" t="s">
        <v>910</v>
      </c>
      <c r="C179" s="11" t="s">
        <v>910</v>
      </c>
      <c r="D179" s="11" t="s">
        <v>911</v>
      </c>
      <c r="E179" s="125" t="s">
        <v>912</v>
      </c>
      <c r="F179" s="125" t="s">
        <v>913</v>
      </c>
    </row>
    <row r="180" spans="1:6" x14ac:dyDescent="0.2">
      <c r="A180" s="125" t="s">
        <v>810</v>
      </c>
      <c r="B180" s="125" t="s">
        <v>451</v>
      </c>
      <c r="C180" s="125" t="s">
        <v>451</v>
      </c>
      <c r="D180" s="125" t="s">
        <v>452</v>
      </c>
      <c r="E180" s="125" t="s">
        <v>811</v>
      </c>
      <c r="F180" s="125" t="s">
        <v>812</v>
      </c>
    </row>
    <row r="181" spans="1:6" x14ac:dyDescent="0.2">
      <c r="A181" s="125" t="s">
        <v>917</v>
      </c>
      <c r="B181" s="125" t="s">
        <v>268</v>
      </c>
      <c r="C181" s="125" t="s">
        <v>268</v>
      </c>
      <c r="D181" s="125" t="s">
        <v>96</v>
      </c>
      <c r="E181" s="125" t="s">
        <v>918</v>
      </c>
      <c r="F181" s="125" t="s">
        <v>919</v>
      </c>
    </row>
    <row r="182" spans="1:6" x14ac:dyDescent="0.2">
      <c r="A182" s="126" t="s">
        <v>932</v>
      </c>
      <c r="B182" s="126" t="s">
        <v>933</v>
      </c>
      <c r="C182" s="126" t="s">
        <v>95</v>
      </c>
      <c r="D182" s="126" t="s">
        <v>95</v>
      </c>
      <c r="E182" s="126" t="s">
        <v>934</v>
      </c>
      <c r="F182" s="126" t="s">
        <v>935</v>
      </c>
    </row>
    <row r="183" spans="1:6" x14ac:dyDescent="0.2">
      <c r="A183" t="s">
        <v>936</v>
      </c>
      <c r="B183" t="s">
        <v>540</v>
      </c>
      <c r="C183" t="s">
        <v>95</v>
      </c>
      <c r="D183" t="s">
        <v>95</v>
      </c>
      <c r="E183" s="102" t="s">
        <v>937</v>
      </c>
      <c r="F183" s="102" t="s">
        <v>938</v>
      </c>
    </row>
    <row r="184" spans="1:6" x14ac:dyDescent="0.2">
      <c r="A184" s="105" t="s">
        <v>585</v>
      </c>
      <c r="B184" s="126" t="s">
        <v>586</v>
      </c>
      <c r="C184" s="125" t="s">
        <v>95</v>
      </c>
      <c r="D184" s="125" t="s">
        <v>95</v>
      </c>
      <c r="E184" s="126" t="s">
        <v>587</v>
      </c>
      <c r="F184" s="126" t="s">
        <v>588</v>
      </c>
    </row>
    <row r="185" spans="1:6" x14ac:dyDescent="0.2">
      <c r="A185" s="126" t="s">
        <v>941</v>
      </c>
      <c r="B185" s="126" t="s">
        <v>528</v>
      </c>
      <c r="C185" s="126" t="s">
        <v>95</v>
      </c>
      <c r="D185" s="126" t="s">
        <v>95</v>
      </c>
      <c r="E185" s="126" t="s">
        <v>942</v>
      </c>
      <c r="F185" s="126" t="s">
        <v>943</v>
      </c>
    </row>
    <row r="186" spans="1:6" x14ac:dyDescent="0.2">
      <c r="A186" t="s">
        <v>949</v>
      </c>
      <c r="B186" t="s">
        <v>523</v>
      </c>
      <c r="C186" t="s">
        <v>95</v>
      </c>
      <c r="D186" t="s">
        <v>95</v>
      </c>
      <c r="E186" t="s">
        <v>950</v>
      </c>
      <c r="F186" t="s">
        <v>951</v>
      </c>
    </row>
    <row r="187" spans="1:6" x14ac:dyDescent="0.2">
      <c r="A187" t="s">
        <v>952</v>
      </c>
      <c r="B187" t="s">
        <v>198</v>
      </c>
      <c r="C187" t="s">
        <v>198</v>
      </c>
      <c r="D187" t="s">
        <v>107</v>
      </c>
      <c r="E187" t="s">
        <v>953</v>
      </c>
      <c r="F187" t="s">
        <v>954</v>
      </c>
    </row>
  </sheetData>
  <autoFilter ref="A3:F128" xr:uid="{2B217FE2-8073-42E9-A623-46911FB084C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8ED-6C30-49B5-8D79-E3E05EEC36B0}">
  <dimension ref="A3:E26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25.1640625" customWidth="1"/>
    <col min="2" max="2" width="91" customWidth="1"/>
    <col min="3" max="3" width="29.83203125" customWidth="1"/>
    <col min="4" max="4" width="43.6640625" customWidth="1"/>
    <col min="5" max="5" width="63.1640625" customWidth="1"/>
  </cols>
  <sheetData>
    <row r="3" spans="1:5" x14ac:dyDescent="0.2">
      <c r="A3" s="95" t="s">
        <v>357</v>
      </c>
      <c r="B3" s="95" t="s">
        <v>473</v>
      </c>
      <c r="C3" s="95" t="s">
        <v>164</v>
      </c>
      <c r="D3" s="96" t="s">
        <v>195</v>
      </c>
      <c r="E3" s="95" t="s">
        <v>146</v>
      </c>
    </row>
    <row r="4" spans="1:5" ht="21.75" customHeight="1" x14ac:dyDescent="0.2">
      <c r="A4" s="106" t="s">
        <v>564</v>
      </c>
      <c r="B4" s="107" t="s">
        <v>565</v>
      </c>
      <c r="C4" s="106" t="s">
        <v>93</v>
      </c>
      <c r="D4" s="106" t="s">
        <v>566</v>
      </c>
      <c r="E4" s="106" t="s">
        <v>567</v>
      </c>
    </row>
    <row r="5" spans="1:5" x14ac:dyDescent="0.2">
      <c r="A5" s="105" t="s">
        <v>568</v>
      </c>
      <c r="B5" s="105" t="s">
        <v>569</v>
      </c>
      <c r="C5" s="105" t="s">
        <v>570</v>
      </c>
      <c r="D5" s="105" t="s">
        <v>571</v>
      </c>
      <c r="E5" s="105" t="s">
        <v>572</v>
      </c>
    </row>
    <row r="6" spans="1:5" x14ac:dyDescent="0.2">
      <c r="A6" s="105" t="s">
        <v>573</v>
      </c>
      <c r="B6" s="105" t="s">
        <v>574</v>
      </c>
      <c r="C6" s="105" t="s">
        <v>575</v>
      </c>
      <c r="D6" s="105" t="s">
        <v>576</v>
      </c>
    </row>
    <row r="7" spans="1:5" x14ac:dyDescent="0.2">
      <c r="A7" s="105" t="s">
        <v>573</v>
      </c>
      <c r="B7" s="105" t="s">
        <v>577</v>
      </c>
      <c r="C7" s="105" t="s">
        <v>93</v>
      </c>
      <c r="D7" s="105" t="s">
        <v>576</v>
      </c>
      <c r="E7" s="105" t="s">
        <v>578</v>
      </c>
    </row>
    <row r="8" spans="1:5" x14ac:dyDescent="0.2">
      <c r="A8" s="105" t="s">
        <v>579</v>
      </c>
      <c r="B8" s="105" t="s">
        <v>315</v>
      </c>
      <c r="C8" s="105" t="s">
        <v>10</v>
      </c>
      <c r="D8" s="105" t="s">
        <v>580</v>
      </c>
      <c r="E8" s="105" t="s">
        <v>581</v>
      </c>
    </row>
    <row r="9" spans="1:5" x14ac:dyDescent="0.2">
      <c r="A9" s="105" t="s">
        <v>582</v>
      </c>
      <c r="B9" s="105" t="s">
        <v>522</v>
      </c>
      <c r="C9" s="105" t="s">
        <v>95</v>
      </c>
      <c r="D9" s="105" t="s">
        <v>583</v>
      </c>
      <c r="E9" s="105" t="s">
        <v>584</v>
      </c>
    </row>
    <row r="10" spans="1:5" x14ac:dyDescent="0.2">
      <c r="A10" s="105" t="s">
        <v>585</v>
      </c>
      <c r="B10" s="105" t="s">
        <v>586</v>
      </c>
      <c r="C10" s="105" t="s">
        <v>95</v>
      </c>
      <c r="D10" s="105" t="s">
        <v>587</v>
      </c>
      <c r="E10" s="105" t="s">
        <v>588</v>
      </c>
    </row>
    <row r="11" spans="1:5" x14ac:dyDescent="0.2">
      <c r="A11" s="105" t="s">
        <v>589</v>
      </c>
      <c r="B11" s="105" t="s">
        <v>590</v>
      </c>
      <c r="C11" s="105" t="s">
        <v>95</v>
      </c>
      <c r="D11" s="105" t="s">
        <v>591</v>
      </c>
      <c r="E11" s="105" t="s">
        <v>592</v>
      </c>
    </row>
    <row r="12" spans="1:5" x14ac:dyDescent="0.2">
      <c r="A12" s="105" t="s">
        <v>593</v>
      </c>
      <c r="B12" s="105" t="s">
        <v>519</v>
      </c>
      <c r="C12" s="105" t="s">
        <v>95</v>
      </c>
      <c r="D12" s="105" t="s">
        <v>594</v>
      </c>
      <c r="E12" s="105" t="s">
        <v>595</v>
      </c>
    </row>
    <row r="13" spans="1:5" x14ac:dyDescent="0.2">
      <c r="A13" s="105" t="s">
        <v>596</v>
      </c>
      <c r="B13" s="105" t="s">
        <v>519</v>
      </c>
      <c r="C13" s="105" t="s">
        <v>95</v>
      </c>
      <c r="D13" s="105" t="s">
        <v>597</v>
      </c>
      <c r="E13" s="105" t="s">
        <v>598</v>
      </c>
    </row>
    <row r="14" spans="1:5" x14ac:dyDescent="0.2">
      <c r="A14" s="12" t="s">
        <v>599</v>
      </c>
      <c r="B14" s="105" t="s">
        <v>600</v>
      </c>
      <c r="C14" s="12" t="s">
        <v>570</v>
      </c>
      <c r="D14" s="108" t="s">
        <v>601</v>
      </c>
      <c r="E14" s="108" t="s">
        <v>602</v>
      </c>
    </row>
    <row r="15" spans="1:5" x14ac:dyDescent="0.2">
      <c r="A15" s="109" t="s">
        <v>604</v>
      </c>
      <c r="B15" s="110" t="s">
        <v>565</v>
      </c>
      <c r="C15" s="111" t="s">
        <v>93</v>
      </c>
      <c r="D15" s="111" t="s">
        <v>605</v>
      </c>
      <c r="E15" s="111" t="s">
        <v>606</v>
      </c>
    </row>
    <row r="16" spans="1:5" x14ac:dyDescent="0.2">
      <c r="A16" s="105" t="s">
        <v>596</v>
      </c>
      <c r="B16" s="105" t="s">
        <v>519</v>
      </c>
      <c r="C16" s="112"/>
      <c r="D16" s="105" t="s">
        <v>597</v>
      </c>
      <c r="E16" s="105" t="s">
        <v>598</v>
      </c>
    </row>
    <row r="17" spans="1:5" x14ac:dyDescent="0.2">
      <c r="A17" s="105" t="s">
        <v>395</v>
      </c>
      <c r="B17" s="105" t="s">
        <v>269</v>
      </c>
      <c r="C17" s="105" t="s">
        <v>93</v>
      </c>
      <c r="D17" s="105" t="s">
        <v>394</v>
      </c>
      <c r="E17" s="105" t="s">
        <v>393</v>
      </c>
    </row>
    <row r="18" spans="1:5" x14ac:dyDescent="0.2">
      <c r="A18" s="105" t="s">
        <v>607</v>
      </c>
      <c r="B18" s="105" t="s">
        <v>608</v>
      </c>
      <c r="C18" s="105" t="s">
        <v>447</v>
      </c>
      <c r="D18" s="105" t="s">
        <v>609</v>
      </c>
      <c r="E18" s="105" t="s">
        <v>610</v>
      </c>
    </row>
    <row r="19" spans="1:5" x14ac:dyDescent="0.2">
      <c r="A19" s="11" t="s">
        <v>810</v>
      </c>
      <c r="B19" s="11" t="s">
        <v>451</v>
      </c>
      <c r="C19" s="11" t="s">
        <v>451</v>
      </c>
      <c r="D19" s="11" t="s">
        <v>811</v>
      </c>
      <c r="E19" s="11" t="s">
        <v>812</v>
      </c>
    </row>
    <row r="20" spans="1:5" x14ac:dyDescent="0.2">
      <c r="A20" t="s">
        <v>593</v>
      </c>
      <c r="B20" t="s">
        <v>519</v>
      </c>
      <c r="C20" s="102" t="s">
        <v>95</v>
      </c>
      <c r="D20" s="102" t="s">
        <v>594</v>
      </c>
      <c r="E20" s="102" t="s">
        <v>595</v>
      </c>
    </row>
    <row r="21" spans="1:5" x14ac:dyDescent="0.2">
      <c r="A21" s="11" t="s">
        <v>823</v>
      </c>
      <c r="B21" s="105" t="s">
        <v>824</v>
      </c>
      <c r="C21" s="105" t="s">
        <v>824</v>
      </c>
      <c r="D21" s="11" t="s">
        <v>825</v>
      </c>
      <c r="E21" s="11" t="s">
        <v>826</v>
      </c>
    </row>
    <row r="22" spans="1:5" x14ac:dyDescent="0.2">
      <c r="A22" s="11" t="s">
        <v>827</v>
      </c>
      <c r="B22" s="11" t="s">
        <v>380</v>
      </c>
      <c r="C22" s="11" t="s">
        <v>97</v>
      </c>
      <c r="D22" s="11" t="s">
        <v>828</v>
      </c>
      <c r="E22" s="11" t="s">
        <v>829</v>
      </c>
    </row>
    <row r="23" spans="1:5" x14ac:dyDescent="0.2">
      <c r="A23" s="11" t="s">
        <v>851</v>
      </c>
      <c r="B23" s="11" t="s">
        <v>475</v>
      </c>
      <c r="C23" s="11" t="s">
        <v>95</v>
      </c>
      <c r="D23" s="11" t="s">
        <v>852</v>
      </c>
      <c r="E23" s="11" t="s">
        <v>853</v>
      </c>
    </row>
    <row r="24" spans="1:5" x14ac:dyDescent="0.2">
      <c r="A24" s="125" t="s">
        <v>906</v>
      </c>
      <c r="B24" s="125" t="s">
        <v>271</v>
      </c>
      <c r="C24" s="125" t="s">
        <v>10</v>
      </c>
      <c r="D24" s="125" t="s">
        <v>907</v>
      </c>
      <c r="E24" s="125" t="s">
        <v>908</v>
      </c>
    </row>
    <row r="25" spans="1:5" x14ac:dyDescent="0.2">
      <c r="A25" s="125" t="s">
        <v>920</v>
      </c>
      <c r="B25" s="125" t="s">
        <v>921</v>
      </c>
      <c r="C25" s="125" t="s">
        <v>93</v>
      </c>
      <c r="D25" s="125" t="s">
        <v>922</v>
      </c>
      <c r="E25" s="125" t="s">
        <v>923</v>
      </c>
    </row>
    <row r="26" spans="1:5" x14ac:dyDescent="0.2">
      <c r="C26" t="s">
        <v>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E66-3BD7-4069-88BF-241F767C7406}">
  <dimension ref="A3:H48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34.5" customWidth="1"/>
    <col min="2" max="2" width="32.1640625" customWidth="1"/>
    <col min="3" max="3" width="62.6640625" customWidth="1"/>
    <col min="4" max="4" width="19.1640625" customWidth="1"/>
    <col min="5" max="5" width="33.1640625" customWidth="1"/>
    <col min="6" max="6" width="33.6640625" customWidth="1"/>
    <col min="7" max="7" width="70.6640625" customWidth="1"/>
  </cols>
  <sheetData>
    <row r="3" spans="1:8" ht="24" x14ac:dyDescent="0.2">
      <c r="A3" s="155" t="s">
        <v>1064</v>
      </c>
      <c r="B3" s="155" t="s">
        <v>1065</v>
      </c>
      <c r="C3" s="132" t="s">
        <v>965</v>
      </c>
      <c r="D3" s="132"/>
      <c r="E3" s="95" t="s">
        <v>164</v>
      </c>
      <c r="F3" s="96" t="s">
        <v>195</v>
      </c>
      <c r="G3" s="95" t="s">
        <v>146</v>
      </c>
    </row>
    <row r="4" spans="1:8" ht="16" x14ac:dyDescent="0.2">
      <c r="A4" s="102" t="s">
        <v>611</v>
      </c>
      <c r="B4" s="102" t="s">
        <v>946</v>
      </c>
      <c r="C4" s="133" t="s">
        <v>1048</v>
      </c>
      <c r="D4" s="133"/>
      <c r="E4" s="102" t="s">
        <v>612</v>
      </c>
      <c r="F4" s="102" t="s">
        <v>199</v>
      </c>
      <c r="G4" s="102" t="s">
        <v>613</v>
      </c>
    </row>
    <row r="5" spans="1:8" ht="16" x14ac:dyDescent="0.2">
      <c r="A5" s="103" t="s">
        <v>614</v>
      </c>
      <c r="B5" s="103" t="s">
        <v>615</v>
      </c>
      <c r="C5" s="133" t="s">
        <v>615</v>
      </c>
      <c r="D5" s="133"/>
      <c r="E5" s="103" t="s">
        <v>615</v>
      </c>
      <c r="F5" s="103" t="s">
        <v>616</v>
      </c>
      <c r="G5" s="103" t="s">
        <v>617</v>
      </c>
      <c r="H5" s="102"/>
    </row>
    <row r="6" spans="1:8" ht="16" x14ac:dyDescent="0.2">
      <c r="A6" s="103" t="s">
        <v>618</v>
      </c>
      <c r="B6" s="5" t="s">
        <v>619</v>
      </c>
      <c r="C6" s="133" t="s">
        <v>1048</v>
      </c>
      <c r="D6" s="133"/>
      <c r="E6" s="103" t="s">
        <v>612</v>
      </c>
      <c r="F6" s="103" t="s">
        <v>620</v>
      </c>
      <c r="G6" s="103" t="s">
        <v>621</v>
      </c>
      <c r="H6" s="124" t="s">
        <v>876</v>
      </c>
    </row>
    <row r="7" spans="1:8" ht="16" x14ac:dyDescent="0.2">
      <c r="A7" s="103" t="s">
        <v>622</v>
      </c>
      <c r="B7" s="103" t="s">
        <v>623</v>
      </c>
      <c r="C7" s="133" t="s">
        <v>1049</v>
      </c>
      <c r="D7" s="133"/>
      <c r="E7" s="103" t="s">
        <v>624</v>
      </c>
      <c r="F7" s="103" t="s">
        <v>625</v>
      </c>
      <c r="G7" s="103" t="s">
        <v>626</v>
      </c>
    </row>
    <row r="8" spans="1:8" ht="16" x14ac:dyDescent="0.2">
      <c r="A8" s="103" t="s">
        <v>627</v>
      </c>
      <c r="B8" s="103" t="s">
        <v>628</v>
      </c>
      <c r="C8" s="133" t="s">
        <v>1050</v>
      </c>
      <c r="D8" s="133"/>
      <c r="E8" s="103" t="s">
        <v>629</v>
      </c>
      <c r="F8" s="103" t="s">
        <v>630</v>
      </c>
      <c r="G8" s="103" t="s">
        <v>631</v>
      </c>
    </row>
    <row r="9" spans="1:8" ht="16" x14ac:dyDescent="0.2">
      <c r="A9" s="104" t="s">
        <v>632</v>
      </c>
      <c r="B9" s="104" t="s">
        <v>633</v>
      </c>
      <c r="C9" s="133" t="s">
        <v>1051</v>
      </c>
      <c r="D9" s="133"/>
      <c r="E9" s="103" t="s">
        <v>634</v>
      </c>
      <c r="F9" s="103" t="s">
        <v>197</v>
      </c>
      <c r="G9" s="103" t="s">
        <v>635</v>
      </c>
    </row>
    <row r="10" spans="1:8" ht="16" x14ac:dyDescent="0.2">
      <c r="A10" s="103" t="s">
        <v>636</v>
      </c>
      <c r="B10" s="103" t="s">
        <v>637</v>
      </c>
      <c r="C10" s="133" t="s">
        <v>1048</v>
      </c>
      <c r="D10" s="133"/>
      <c r="E10" s="103" t="s">
        <v>612</v>
      </c>
      <c r="F10" s="103" t="s">
        <v>197</v>
      </c>
      <c r="G10" s="103" t="s">
        <v>638</v>
      </c>
    </row>
    <row r="11" spans="1:8" ht="16" x14ac:dyDescent="0.2">
      <c r="A11" s="103" t="s">
        <v>639</v>
      </c>
      <c r="B11" s="103" t="s">
        <v>633</v>
      </c>
      <c r="C11" s="133" t="s">
        <v>1051</v>
      </c>
      <c r="D11" s="133"/>
      <c r="E11" s="103" t="s">
        <v>634</v>
      </c>
      <c r="F11" s="103" t="s">
        <v>640</v>
      </c>
      <c r="G11" s="103" t="s">
        <v>641</v>
      </c>
    </row>
    <row r="12" spans="1:8" ht="16" x14ac:dyDescent="0.2">
      <c r="A12" s="103" t="s">
        <v>642</v>
      </c>
      <c r="B12" s="103" t="s">
        <v>643</v>
      </c>
      <c r="C12" s="133" t="s">
        <v>1048</v>
      </c>
      <c r="D12" s="156"/>
      <c r="E12" s="3" t="s">
        <v>612</v>
      </c>
      <c r="F12" s="103" t="s">
        <v>644</v>
      </c>
      <c r="G12" s="103" t="s">
        <v>645</v>
      </c>
    </row>
    <row r="13" spans="1:8" ht="16" x14ac:dyDescent="0.2">
      <c r="A13" s="103" t="s">
        <v>646</v>
      </c>
      <c r="B13" s="103" t="s">
        <v>647</v>
      </c>
      <c r="C13" s="133" t="s">
        <v>647</v>
      </c>
      <c r="D13" s="133"/>
      <c r="E13" s="103" t="s">
        <v>648</v>
      </c>
      <c r="F13" s="103" t="s">
        <v>649</v>
      </c>
      <c r="G13" s="12"/>
    </row>
    <row r="14" spans="1:8" ht="16" x14ac:dyDescent="0.2">
      <c r="A14" s="129" t="s">
        <v>650</v>
      </c>
      <c r="B14" s="129" t="s">
        <v>651</v>
      </c>
      <c r="C14" s="133" t="s">
        <v>1054</v>
      </c>
      <c r="D14" s="133"/>
      <c r="E14" s="129" t="s">
        <v>652</v>
      </c>
      <c r="F14" s="103" t="s">
        <v>653</v>
      </c>
      <c r="G14" s="103" t="s">
        <v>654</v>
      </c>
    </row>
    <row r="15" spans="1:8" ht="16" x14ac:dyDescent="0.2">
      <c r="A15" s="128" t="s">
        <v>650</v>
      </c>
      <c r="B15" s="128" t="s">
        <v>1053</v>
      </c>
      <c r="C15" s="133" t="s">
        <v>1052</v>
      </c>
      <c r="D15" s="133"/>
      <c r="E15" s="128" t="s">
        <v>944</v>
      </c>
      <c r="F15" s="126" t="s">
        <v>653</v>
      </c>
      <c r="G15" s="126" t="s">
        <v>945</v>
      </c>
    </row>
    <row r="16" spans="1:8" ht="16" x14ac:dyDescent="0.2">
      <c r="A16" s="103" t="s">
        <v>655</v>
      </c>
      <c r="B16" s="103" t="s">
        <v>656</v>
      </c>
      <c r="C16" s="133" t="s">
        <v>1055</v>
      </c>
      <c r="D16" s="133"/>
      <c r="E16" s="103" t="s">
        <v>656</v>
      </c>
      <c r="F16" s="103" t="s">
        <v>657</v>
      </c>
      <c r="G16" s="103" t="s">
        <v>658</v>
      </c>
    </row>
    <row r="17" spans="1:8" ht="16" x14ac:dyDescent="0.2">
      <c r="A17" s="12" t="s">
        <v>659</v>
      </c>
      <c r="B17" s="12" t="s">
        <v>660</v>
      </c>
      <c r="C17" s="133" t="s">
        <v>1056</v>
      </c>
      <c r="D17" s="156"/>
      <c r="E17" s="12" t="s">
        <v>661</v>
      </c>
      <c r="F17" s="12" t="s">
        <v>662</v>
      </c>
      <c r="G17" s="12" t="s">
        <v>663</v>
      </c>
    </row>
    <row r="18" spans="1:8" ht="16" x14ac:dyDescent="0.2">
      <c r="A18" s="103" t="s">
        <v>664</v>
      </c>
      <c r="B18" s="103" t="s">
        <v>643</v>
      </c>
      <c r="C18" s="133" t="s">
        <v>1048</v>
      </c>
      <c r="D18" s="133"/>
      <c r="E18" s="103" t="s">
        <v>612</v>
      </c>
      <c r="F18" s="103" t="s">
        <v>665</v>
      </c>
      <c r="G18" s="103" t="s">
        <v>666</v>
      </c>
    </row>
    <row r="19" spans="1:8" ht="16" x14ac:dyDescent="0.2">
      <c r="A19" s="103" t="s">
        <v>667</v>
      </c>
      <c r="B19" s="103" t="s">
        <v>637</v>
      </c>
      <c r="C19" s="133" t="s">
        <v>1048</v>
      </c>
      <c r="D19" s="133"/>
      <c r="E19" s="103" t="s">
        <v>612</v>
      </c>
      <c r="F19" s="103" t="s">
        <v>665</v>
      </c>
      <c r="G19" s="103" t="s">
        <v>668</v>
      </c>
    </row>
    <row r="20" spans="1:8" ht="16" x14ac:dyDescent="0.2">
      <c r="A20" s="103" t="s">
        <v>669</v>
      </c>
      <c r="B20" s="103" t="s">
        <v>670</v>
      </c>
      <c r="C20" s="133" t="s">
        <v>1057</v>
      </c>
      <c r="D20" s="133"/>
      <c r="E20" s="103" t="s">
        <v>670</v>
      </c>
      <c r="F20" s="103" t="s">
        <v>671</v>
      </c>
      <c r="G20" s="103" t="s">
        <v>672</v>
      </c>
    </row>
    <row r="21" spans="1:8" ht="16" x14ac:dyDescent="0.2">
      <c r="A21" s="103" t="s">
        <v>673</v>
      </c>
      <c r="B21" s="103" t="s">
        <v>674</v>
      </c>
      <c r="C21" s="133" t="s">
        <v>1058</v>
      </c>
      <c r="D21" s="133"/>
      <c r="E21" s="103" t="s">
        <v>674</v>
      </c>
      <c r="F21" s="103" t="s">
        <v>675</v>
      </c>
      <c r="G21" s="103" t="s">
        <v>676</v>
      </c>
    </row>
    <row r="22" spans="1:8" ht="16" x14ac:dyDescent="0.2">
      <c r="A22" s="103" t="s">
        <v>677</v>
      </c>
      <c r="B22" s="103" t="s">
        <v>637</v>
      </c>
      <c r="C22" s="133" t="s">
        <v>1048</v>
      </c>
      <c r="D22" s="133"/>
      <c r="E22" s="103" t="s">
        <v>612</v>
      </c>
      <c r="F22" s="103" t="s">
        <v>196</v>
      </c>
      <c r="G22" s="103" t="s">
        <v>678</v>
      </c>
    </row>
    <row r="23" spans="1:8" ht="16" x14ac:dyDescent="0.2">
      <c r="A23" s="103" t="s">
        <v>679</v>
      </c>
      <c r="B23" s="103" t="s">
        <v>647</v>
      </c>
      <c r="C23" s="133" t="s">
        <v>647</v>
      </c>
      <c r="D23" s="133"/>
      <c r="E23" s="103" t="s">
        <v>648</v>
      </c>
      <c r="F23" s="103" t="s">
        <v>196</v>
      </c>
      <c r="G23" s="103" t="s">
        <v>680</v>
      </c>
    </row>
    <row r="24" spans="1:8" ht="16" x14ac:dyDescent="0.2">
      <c r="A24" s="103" t="s">
        <v>681</v>
      </c>
      <c r="B24" s="103" t="s">
        <v>619</v>
      </c>
      <c r="C24" s="133" t="s">
        <v>1048</v>
      </c>
      <c r="D24" s="133"/>
      <c r="E24" s="103" t="s">
        <v>612</v>
      </c>
      <c r="F24" s="103" t="s">
        <v>682</v>
      </c>
      <c r="G24" s="103" t="s">
        <v>683</v>
      </c>
      <c r="H24" s="119" t="s">
        <v>834</v>
      </c>
    </row>
    <row r="25" spans="1:8" ht="16" x14ac:dyDescent="0.2">
      <c r="A25" s="103" t="s">
        <v>684</v>
      </c>
      <c r="B25" s="103" t="s">
        <v>685</v>
      </c>
      <c r="C25" s="133" t="s">
        <v>685</v>
      </c>
      <c r="D25" s="133"/>
      <c r="E25" s="103" t="s">
        <v>686</v>
      </c>
      <c r="F25" s="103" t="s">
        <v>687</v>
      </c>
      <c r="G25" s="103" t="s">
        <v>688</v>
      </c>
    </row>
    <row r="26" spans="1:8" ht="16" x14ac:dyDescent="0.2">
      <c r="A26" s="103" t="s">
        <v>689</v>
      </c>
      <c r="B26" s="103" t="s">
        <v>690</v>
      </c>
      <c r="C26" s="133" t="s">
        <v>1059</v>
      </c>
      <c r="D26" s="133"/>
      <c r="E26" s="103" t="s">
        <v>691</v>
      </c>
      <c r="F26" s="103" t="s">
        <v>692</v>
      </c>
      <c r="G26" s="103" t="s">
        <v>693</v>
      </c>
    </row>
    <row r="27" spans="1:8" ht="16" x14ac:dyDescent="0.2">
      <c r="A27" t="s">
        <v>857</v>
      </c>
      <c r="B27" t="s">
        <v>742</v>
      </c>
      <c r="C27" s="133" t="s">
        <v>1059</v>
      </c>
      <c r="D27" s="156"/>
      <c r="E27" t="s">
        <v>691</v>
      </c>
      <c r="F27" t="s">
        <v>197</v>
      </c>
      <c r="G27" t="s">
        <v>743</v>
      </c>
    </row>
    <row r="28" spans="1:8" ht="16" x14ac:dyDescent="0.2">
      <c r="A28" s="103" t="s">
        <v>694</v>
      </c>
      <c r="B28" s="103" t="s">
        <v>695</v>
      </c>
      <c r="C28" s="133" t="s">
        <v>1060</v>
      </c>
      <c r="D28" s="133"/>
      <c r="E28" s="103" t="s">
        <v>696</v>
      </c>
      <c r="F28" s="103" t="s">
        <v>697</v>
      </c>
      <c r="G28" s="103" t="s">
        <v>698</v>
      </c>
    </row>
    <row r="29" spans="1:8" ht="16" x14ac:dyDescent="0.2">
      <c r="A29" s="103" t="s">
        <v>699</v>
      </c>
      <c r="B29" s="103" t="s">
        <v>700</v>
      </c>
      <c r="C29" s="133" t="s">
        <v>1048</v>
      </c>
      <c r="D29" s="133"/>
      <c r="E29" s="103" t="s">
        <v>612</v>
      </c>
      <c r="F29" s="103" t="s">
        <v>701</v>
      </c>
      <c r="G29" s="103" t="s">
        <v>702</v>
      </c>
    </row>
    <row r="30" spans="1:8" ht="16" x14ac:dyDescent="0.2">
      <c r="A30" s="103" t="s">
        <v>699</v>
      </c>
      <c r="B30" s="103" t="s">
        <v>637</v>
      </c>
      <c r="C30" s="133" t="s">
        <v>1048</v>
      </c>
      <c r="D30" s="133"/>
      <c r="E30" s="103" t="s">
        <v>612</v>
      </c>
      <c r="F30" s="103" t="s">
        <v>701</v>
      </c>
      <c r="G30" s="103" t="s">
        <v>752</v>
      </c>
    </row>
    <row r="31" spans="1:8" ht="16" x14ac:dyDescent="0.2">
      <c r="A31" s="103" t="s">
        <v>703</v>
      </c>
      <c r="B31" s="103" t="s">
        <v>704</v>
      </c>
      <c r="C31" s="133" t="s">
        <v>1050</v>
      </c>
      <c r="D31" s="133"/>
      <c r="E31" s="103" t="s">
        <v>629</v>
      </c>
      <c r="F31" s="103" t="s">
        <v>705</v>
      </c>
      <c r="G31" s="103" t="s">
        <v>706</v>
      </c>
    </row>
    <row r="32" spans="1:8" ht="16" x14ac:dyDescent="0.2">
      <c r="A32" s="103" t="s">
        <v>707</v>
      </c>
      <c r="B32" s="103" t="s">
        <v>704</v>
      </c>
      <c r="C32" s="133" t="s">
        <v>1050</v>
      </c>
      <c r="D32" s="133"/>
      <c r="E32" s="103" t="s">
        <v>708</v>
      </c>
      <c r="F32" s="103" t="s">
        <v>709</v>
      </c>
      <c r="G32" s="103" t="s">
        <v>710</v>
      </c>
    </row>
    <row r="33" spans="1:8" ht="16" x14ac:dyDescent="0.2">
      <c r="A33" s="103" t="s">
        <v>711</v>
      </c>
      <c r="B33" s="103" t="s">
        <v>712</v>
      </c>
      <c r="C33" s="133" t="s">
        <v>712</v>
      </c>
      <c r="D33" s="133"/>
      <c r="E33" s="103" t="s">
        <v>713</v>
      </c>
      <c r="F33" s="103" t="s">
        <v>714</v>
      </c>
      <c r="G33" s="103" t="s">
        <v>715</v>
      </c>
    </row>
    <row r="34" spans="1:8" ht="16" x14ac:dyDescent="0.2">
      <c r="A34" s="103" t="s">
        <v>716</v>
      </c>
      <c r="B34" s="103" t="s">
        <v>717</v>
      </c>
      <c r="C34" s="133" t="s">
        <v>1061</v>
      </c>
      <c r="D34" s="133"/>
      <c r="E34" s="103" t="s">
        <v>717</v>
      </c>
      <c r="F34" s="103" t="s">
        <v>718</v>
      </c>
      <c r="G34" s="103" t="s">
        <v>719</v>
      </c>
    </row>
    <row r="35" spans="1:8" ht="16" x14ac:dyDescent="0.2">
      <c r="A35" s="103" t="s">
        <v>720</v>
      </c>
      <c r="B35" s="103" t="s">
        <v>690</v>
      </c>
      <c r="C35" s="133" t="s">
        <v>1059</v>
      </c>
      <c r="D35" s="133"/>
      <c r="E35" s="103" t="s">
        <v>691</v>
      </c>
      <c r="F35" s="103" t="s">
        <v>721</v>
      </c>
      <c r="G35" s="103" t="s">
        <v>722</v>
      </c>
    </row>
    <row r="36" spans="1:8" ht="16" x14ac:dyDescent="0.2">
      <c r="A36" s="103" t="s">
        <v>329</v>
      </c>
      <c r="B36" s="103" t="s">
        <v>330</v>
      </c>
      <c r="C36" s="133" t="s">
        <v>969</v>
      </c>
      <c r="D36" s="133"/>
      <c r="E36" s="103" t="s">
        <v>10</v>
      </c>
      <c r="F36" s="103" t="s">
        <v>331</v>
      </c>
      <c r="G36" s="103" t="s">
        <v>332</v>
      </c>
    </row>
    <row r="37" spans="1:8" ht="16" x14ac:dyDescent="0.2">
      <c r="A37" s="3" t="s">
        <v>723</v>
      </c>
      <c r="B37" s="103" t="s">
        <v>643</v>
      </c>
      <c r="C37" s="133" t="s">
        <v>1048</v>
      </c>
      <c r="D37" s="156"/>
      <c r="E37" s="3" t="s">
        <v>612</v>
      </c>
      <c r="F37" s="103" t="s">
        <v>724</v>
      </c>
      <c r="G37" s="103" t="s">
        <v>725</v>
      </c>
    </row>
    <row r="38" spans="1:8" ht="16" x14ac:dyDescent="0.2">
      <c r="A38" s="11" t="s">
        <v>809</v>
      </c>
      <c r="B38" s="11" t="s">
        <v>742</v>
      </c>
      <c r="C38" s="133" t="s">
        <v>1059</v>
      </c>
      <c r="D38" s="133"/>
      <c r="E38" s="11" t="s">
        <v>691</v>
      </c>
      <c r="F38" t="s">
        <v>197</v>
      </c>
      <c r="G38" t="s">
        <v>743</v>
      </c>
      <c r="H38" s="130" t="s">
        <v>603</v>
      </c>
    </row>
    <row r="39" spans="1:8" ht="16" x14ac:dyDescent="0.2">
      <c r="A39" t="s">
        <v>744</v>
      </c>
      <c r="B39" t="s">
        <v>745</v>
      </c>
      <c r="C39" s="133" t="s">
        <v>1063</v>
      </c>
      <c r="D39" s="156"/>
      <c r="E39" t="s">
        <v>746</v>
      </c>
      <c r="F39" t="s">
        <v>196</v>
      </c>
      <c r="G39" t="s">
        <v>747</v>
      </c>
    </row>
    <row r="40" spans="1:8" ht="16" x14ac:dyDescent="0.2">
      <c r="A40" s="11" t="s">
        <v>748</v>
      </c>
      <c r="B40" s="11" t="s">
        <v>749</v>
      </c>
      <c r="C40" s="133" t="s">
        <v>1062</v>
      </c>
      <c r="D40" s="133"/>
      <c r="E40" s="11" t="s">
        <v>749</v>
      </c>
      <c r="F40" s="11" t="s">
        <v>750</v>
      </c>
      <c r="G40" s="11" t="s">
        <v>751</v>
      </c>
    </row>
    <row r="41" spans="1:8" ht="16" x14ac:dyDescent="0.2">
      <c r="A41" t="s">
        <v>830</v>
      </c>
      <c r="B41" t="s">
        <v>742</v>
      </c>
      <c r="C41" s="133" t="s">
        <v>1059</v>
      </c>
      <c r="D41" s="156"/>
      <c r="E41" t="s">
        <v>691</v>
      </c>
      <c r="F41" t="s">
        <v>831</v>
      </c>
      <c r="G41" t="s">
        <v>832</v>
      </c>
    </row>
    <row r="42" spans="1:8" ht="16" x14ac:dyDescent="0.2">
      <c r="A42" s="11" t="s">
        <v>759</v>
      </c>
      <c r="B42" s="11" t="s">
        <v>742</v>
      </c>
      <c r="C42" s="133" t="s">
        <v>1059</v>
      </c>
      <c r="D42" s="133"/>
      <c r="E42" s="11" t="s">
        <v>691</v>
      </c>
      <c r="F42" s="11" t="s">
        <v>760</v>
      </c>
      <c r="G42" s="11" t="s">
        <v>761</v>
      </c>
    </row>
    <row r="43" spans="1:8" ht="16" x14ac:dyDescent="0.2">
      <c r="A43" s="11" t="s">
        <v>762</v>
      </c>
      <c r="B43" s="11" t="s">
        <v>745</v>
      </c>
      <c r="C43" s="133" t="s">
        <v>1063</v>
      </c>
      <c r="D43" s="133"/>
      <c r="E43" s="11" t="s">
        <v>746</v>
      </c>
      <c r="F43" s="11" t="s">
        <v>763</v>
      </c>
      <c r="G43" s="11" t="s">
        <v>764</v>
      </c>
    </row>
    <row r="44" spans="1:8" ht="16" x14ac:dyDescent="0.2">
      <c r="A44" s="11" t="s">
        <v>723</v>
      </c>
      <c r="B44" s="11" t="s">
        <v>765</v>
      </c>
      <c r="C44" s="133" t="s">
        <v>1048</v>
      </c>
      <c r="D44" s="133"/>
      <c r="E44" s="11" t="s">
        <v>612</v>
      </c>
      <c r="F44" s="11" t="s">
        <v>724</v>
      </c>
      <c r="G44" s="11" t="s">
        <v>766</v>
      </c>
      <c r="H44" s="118" t="s">
        <v>833</v>
      </c>
    </row>
    <row r="45" spans="1:8" ht="16" x14ac:dyDescent="0.2">
      <c r="A45" s="11" t="s">
        <v>830</v>
      </c>
      <c r="B45" s="1" t="s">
        <v>742</v>
      </c>
      <c r="C45" s="133" t="s">
        <v>1059</v>
      </c>
      <c r="D45" s="156"/>
      <c r="E45" s="1" t="s">
        <v>691</v>
      </c>
      <c r="F45" s="11" t="s">
        <v>831</v>
      </c>
      <c r="G45" s="11" t="s">
        <v>832</v>
      </c>
    </row>
    <row r="46" spans="1:8" ht="16" x14ac:dyDescent="0.2">
      <c r="A46" s="11" t="s">
        <v>854</v>
      </c>
      <c r="B46" s="11" t="s">
        <v>643</v>
      </c>
      <c r="C46" s="133" t="s">
        <v>1048</v>
      </c>
      <c r="D46" s="133"/>
      <c r="E46" s="11" t="s">
        <v>612</v>
      </c>
      <c r="F46" s="11" t="s">
        <v>855</v>
      </c>
      <c r="G46" s="11" t="s">
        <v>856</v>
      </c>
    </row>
    <row r="47" spans="1:8" x14ac:dyDescent="0.2">
      <c r="A47" t="s">
        <v>924</v>
      </c>
      <c r="B47" t="s">
        <v>925</v>
      </c>
      <c r="E47" t="s">
        <v>708</v>
      </c>
      <c r="F47" t="s">
        <v>926</v>
      </c>
      <c r="G47" t="s">
        <v>927</v>
      </c>
    </row>
    <row r="48" spans="1:8" x14ac:dyDescent="0.2">
      <c r="A48" t="s">
        <v>928</v>
      </c>
      <c r="B48" t="s">
        <v>929</v>
      </c>
      <c r="E48" t="s">
        <v>929</v>
      </c>
      <c r="F48" s="125" t="s">
        <v>930</v>
      </c>
      <c r="G48" s="125" t="s">
        <v>931</v>
      </c>
    </row>
  </sheetData>
  <autoFilter ref="A3:H48" xr:uid="{C6CFAE66-3BD7-4069-88BF-241F767C740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36CE-BCB3-4B2D-81F5-124B45F669F5}">
  <dimension ref="A3:G26"/>
  <sheetViews>
    <sheetView workbookViewId="0">
      <selection activeCell="A4" sqref="A4:XFD25"/>
    </sheetView>
  </sheetViews>
  <sheetFormatPr baseColWidth="10" defaultColWidth="8.83203125" defaultRowHeight="15" x14ac:dyDescent="0.2"/>
  <cols>
    <col min="1" max="1" width="25.1640625" customWidth="1"/>
    <col min="2" max="2" width="91" customWidth="1"/>
    <col min="3" max="4" width="82.5" customWidth="1"/>
    <col min="5" max="5" width="29.83203125" customWidth="1"/>
    <col min="6" max="6" width="43.6640625" customWidth="1"/>
    <col min="7" max="7" width="63.1640625" customWidth="1"/>
  </cols>
  <sheetData>
    <row r="3" spans="1:7" ht="24" x14ac:dyDescent="0.2">
      <c r="A3" s="155" t="s">
        <v>1064</v>
      </c>
      <c r="B3" s="155" t="s">
        <v>1065</v>
      </c>
      <c r="C3" s="132" t="s">
        <v>965</v>
      </c>
      <c r="D3" s="132"/>
      <c r="E3" s="95" t="s">
        <v>164</v>
      </c>
      <c r="F3" s="96" t="s">
        <v>195</v>
      </c>
      <c r="G3" s="95" t="s">
        <v>146</v>
      </c>
    </row>
    <row r="4" spans="1:7" ht="21.75" customHeight="1" x14ac:dyDescent="0.2">
      <c r="A4" s="106" t="s">
        <v>564</v>
      </c>
      <c r="B4" s="107" t="s">
        <v>565</v>
      </c>
      <c r="C4" s="133" t="s">
        <v>565</v>
      </c>
      <c r="D4" s="156"/>
      <c r="E4" s="106" t="s">
        <v>93</v>
      </c>
      <c r="F4" s="106" t="s">
        <v>566</v>
      </c>
      <c r="G4" s="106" t="s">
        <v>567</v>
      </c>
    </row>
    <row r="5" spans="1:7" ht="16" x14ac:dyDescent="0.2">
      <c r="A5" s="105" t="s">
        <v>568</v>
      </c>
      <c r="B5" s="105" t="s">
        <v>980</v>
      </c>
      <c r="C5" s="133" t="s">
        <v>966</v>
      </c>
      <c r="D5" s="133"/>
      <c r="E5" s="105" t="s">
        <v>570</v>
      </c>
      <c r="F5" s="105" t="s">
        <v>571</v>
      </c>
      <c r="G5" s="105" t="s">
        <v>572</v>
      </c>
    </row>
    <row r="6" spans="1:7" ht="17" x14ac:dyDescent="0.2">
      <c r="A6" s="105" t="s">
        <v>573</v>
      </c>
      <c r="B6" s="105" t="s">
        <v>574</v>
      </c>
      <c r="C6" s="134" t="s">
        <v>967</v>
      </c>
      <c r="D6" s="157"/>
      <c r="E6" s="105" t="s">
        <v>575</v>
      </c>
      <c r="F6" s="105" t="s">
        <v>576</v>
      </c>
    </row>
    <row r="7" spans="1:7" ht="34" x14ac:dyDescent="0.2">
      <c r="A7" s="105" t="s">
        <v>573</v>
      </c>
      <c r="B7" s="105" t="s">
        <v>577</v>
      </c>
      <c r="C7" s="134" t="s">
        <v>968</v>
      </c>
      <c r="D7" s="157"/>
      <c r="E7" s="105" t="s">
        <v>93</v>
      </c>
      <c r="F7" s="105" t="s">
        <v>576</v>
      </c>
      <c r="G7" s="105" t="s">
        <v>578</v>
      </c>
    </row>
    <row r="8" spans="1:7" ht="16" x14ac:dyDescent="0.2">
      <c r="A8" s="105" t="s">
        <v>579</v>
      </c>
      <c r="B8" s="105" t="s">
        <v>315</v>
      </c>
      <c r="C8" s="133" t="s">
        <v>969</v>
      </c>
      <c r="D8" s="133"/>
      <c r="E8" s="105" t="s">
        <v>10</v>
      </c>
      <c r="F8" s="105" t="s">
        <v>580</v>
      </c>
      <c r="G8" s="105" t="s">
        <v>581</v>
      </c>
    </row>
    <row r="9" spans="1:7" ht="16" x14ac:dyDescent="0.2">
      <c r="A9" s="105" t="s">
        <v>582</v>
      </c>
      <c r="B9" s="105" t="s">
        <v>979</v>
      </c>
      <c r="C9" s="133" t="s">
        <v>970</v>
      </c>
      <c r="D9" s="133"/>
      <c r="E9" s="105" t="s">
        <v>95</v>
      </c>
      <c r="F9" s="105" t="s">
        <v>583</v>
      </c>
      <c r="G9" s="105" t="s">
        <v>584</v>
      </c>
    </row>
    <row r="10" spans="1:7" ht="16" x14ac:dyDescent="0.2">
      <c r="A10" s="105" t="s">
        <v>585</v>
      </c>
      <c r="B10" s="105" t="s">
        <v>978</v>
      </c>
      <c r="C10" s="133" t="s">
        <v>970</v>
      </c>
      <c r="D10" s="133"/>
      <c r="E10" s="105" t="s">
        <v>95</v>
      </c>
      <c r="F10" s="105" t="s">
        <v>587</v>
      </c>
      <c r="G10" s="105" t="s">
        <v>588</v>
      </c>
    </row>
    <row r="11" spans="1:7" ht="16" x14ac:dyDescent="0.2">
      <c r="A11" s="105" t="s">
        <v>589</v>
      </c>
      <c r="B11" s="105" t="s">
        <v>977</v>
      </c>
      <c r="C11" s="133" t="s">
        <v>970</v>
      </c>
      <c r="D11" s="133"/>
      <c r="E11" s="105" t="s">
        <v>95</v>
      </c>
      <c r="F11" s="105" t="s">
        <v>591</v>
      </c>
      <c r="G11" s="105" t="s">
        <v>592</v>
      </c>
    </row>
    <row r="12" spans="1:7" ht="16" x14ac:dyDescent="0.2">
      <c r="A12" s="105" t="s">
        <v>593</v>
      </c>
      <c r="B12" s="105" t="s">
        <v>527</v>
      </c>
      <c r="C12" s="133" t="s">
        <v>970</v>
      </c>
      <c r="D12" s="133"/>
      <c r="E12" s="105" t="s">
        <v>95</v>
      </c>
      <c r="F12" s="105" t="s">
        <v>594</v>
      </c>
      <c r="G12" s="105" t="s">
        <v>595</v>
      </c>
    </row>
    <row r="13" spans="1:7" ht="16" x14ac:dyDescent="0.2">
      <c r="A13" s="105" t="s">
        <v>596</v>
      </c>
      <c r="B13" s="105" t="s">
        <v>527</v>
      </c>
      <c r="C13" s="133" t="s">
        <v>970</v>
      </c>
      <c r="D13" s="133"/>
      <c r="E13" s="105" t="s">
        <v>95</v>
      </c>
      <c r="F13" s="105" t="s">
        <v>597</v>
      </c>
      <c r="G13" s="105" t="s">
        <v>598</v>
      </c>
    </row>
    <row r="14" spans="1:7" ht="16" x14ac:dyDescent="0.2">
      <c r="A14" s="12" t="s">
        <v>599</v>
      </c>
      <c r="B14" s="133" t="s">
        <v>981</v>
      </c>
      <c r="C14" s="133" t="s">
        <v>966</v>
      </c>
      <c r="D14" s="156"/>
      <c r="E14" s="12" t="s">
        <v>570</v>
      </c>
      <c r="F14" s="108" t="s">
        <v>601</v>
      </c>
      <c r="G14" s="108" t="s">
        <v>602</v>
      </c>
    </row>
    <row r="15" spans="1:7" ht="16" x14ac:dyDescent="0.2">
      <c r="A15" s="109" t="s">
        <v>604</v>
      </c>
      <c r="B15" s="110" t="s">
        <v>565</v>
      </c>
      <c r="C15" s="133" t="s">
        <v>565</v>
      </c>
      <c r="D15" s="156"/>
      <c r="E15" s="111" t="s">
        <v>93</v>
      </c>
      <c r="F15" s="111" t="s">
        <v>605</v>
      </c>
      <c r="G15" s="111" t="s">
        <v>606</v>
      </c>
    </row>
    <row r="16" spans="1:7" ht="16" x14ac:dyDescent="0.2">
      <c r="A16" s="105" t="s">
        <v>596</v>
      </c>
      <c r="B16" s="105" t="s">
        <v>527</v>
      </c>
      <c r="C16" s="133" t="s">
        <v>970</v>
      </c>
      <c r="D16" s="133"/>
      <c r="E16" s="112"/>
      <c r="F16" s="105" t="s">
        <v>597</v>
      </c>
      <c r="G16" s="105" t="s">
        <v>598</v>
      </c>
    </row>
    <row r="17" spans="1:7" ht="16" x14ac:dyDescent="0.2">
      <c r="A17" s="105" t="s">
        <v>395</v>
      </c>
      <c r="B17" s="105" t="s">
        <v>269</v>
      </c>
      <c r="C17" s="133" t="s">
        <v>968</v>
      </c>
      <c r="D17" s="133"/>
      <c r="E17" s="105" t="s">
        <v>93</v>
      </c>
      <c r="F17" s="105" t="s">
        <v>394</v>
      </c>
      <c r="G17" s="105" t="s">
        <v>393</v>
      </c>
    </row>
    <row r="18" spans="1:7" ht="17" x14ac:dyDescent="0.2">
      <c r="A18" s="105" t="s">
        <v>607</v>
      </c>
      <c r="B18" s="105" t="s">
        <v>608</v>
      </c>
      <c r="C18" s="134" t="s">
        <v>967</v>
      </c>
      <c r="D18" s="157"/>
      <c r="E18" s="105" t="s">
        <v>447</v>
      </c>
      <c r="F18" s="105" t="s">
        <v>609</v>
      </c>
      <c r="G18" s="105" t="s">
        <v>610</v>
      </c>
    </row>
    <row r="19" spans="1:7" ht="16" x14ac:dyDescent="0.2">
      <c r="A19" s="11" t="s">
        <v>810</v>
      </c>
      <c r="B19" s="11" t="s">
        <v>976</v>
      </c>
      <c r="C19" s="133" t="s">
        <v>971</v>
      </c>
      <c r="D19" s="133"/>
      <c r="E19" s="11" t="s">
        <v>451</v>
      </c>
      <c r="F19" s="11" t="s">
        <v>811</v>
      </c>
      <c r="G19" s="11" t="s">
        <v>812</v>
      </c>
    </row>
    <row r="20" spans="1:7" ht="16" x14ac:dyDescent="0.2">
      <c r="A20" t="s">
        <v>593</v>
      </c>
      <c r="B20" s="133" t="s">
        <v>972</v>
      </c>
      <c r="C20" s="133" t="s">
        <v>970</v>
      </c>
      <c r="D20" s="133"/>
      <c r="E20" s="102" t="s">
        <v>95</v>
      </c>
      <c r="F20" s="102" t="s">
        <v>594</v>
      </c>
      <c r="G20" s="102" t="s">
        <v>595</v>
      </c>
    </row>
    <row r="21" spans="1:7" ht="34" x14ac:dyDescent="0.2">
      <c r="A21" s="11" t="s">
        <v>823</v>
      </c>
      <c r="B21" s="105" t="s">
        <v>824</v>
      </c>
      <c r="C21" s="134" t="s">
        <v>968</v>
      </c>
      <c r="D21" s="157"/>
      <c r="E21" s="105" t="s">
        <v>824</v>
      </c>
      <c r="F21" s="11" t="s">
        <v>825</v>
      </c>
      <c r="G21" s="11" t="s">
        <v>826</v>
      </c>
    </row>
    <row r="22" spans="1:7" ht="16" x14ac:dyDescent="0.2">
      <c r="A22" s="11" t="s">
        <v>827</v>
      </c>
      <c r="B22" s="11" t="s">
        <v>975</v>
      </c>
      <c r="C22" s="133" t="s">
        <v>973</v>
      </c>
      <c r="D22" s="133"/>
      <c r="E22" s="11" t="s">
        <v>97</v>
      </c>
      <c r="F22" s="11" t="s">
        <v>828</v>
      </c>
      <c r="G22" s="11" t="s">
        <v>829</v>
      </c>
    </row>
    <row r="23" spans="1:7" ht="16" x14ac:dyDescent="0.2">
      <c r="A23" s="11" t="s">
        <v>851</v>
      </c>
      <c r="B23" s="11" t="s">
        <v>974</v>
      </c>
      <c r="C23" s="133" t="s">
        <v>970</v>
      </c>
      <c r="D23" s="133"/>
      <c r="E23" s="11" t="s">
        <v>95</v>
      </c>
      <c r="F23" s="11" t="s">
        <v>852</v>
      </c>
      <c r="G23" s="11" t="s">
        <v>853</v>
      </c>
    </row>
    <row r="24" spans="1:7" ht="16" x14ac:dyDescent="0.2">
      <c r="A24" s="125" t="s">
        <v>906</v>
      </c>
      <c r="B24" s="125" t="s">
        <v>271</v>
      </c>
      <c r="C24" s="133" t="s">
        <v>969</v>
      </c>
      <c r="D24" s="133"/>
      <c r="E24" s="125" t="s">
        <v>10</v>
      </c>
      <c r="F24" s="125" t="s">
        <v>907</v>
      </c>
      <c r="G24" s="125" t="s">
        <v>908</v>
      </c>
    </row>
    <row r="25" spans="1:7" ht="16" x14ac:dyDescent="0.2">
      <c r="A25" s="125" t="s">
        <v>920</v>
      </c>
      <c r="B25" s="125" t="s">
        <v>921</v>
      </c>
      <c r="C25" s="133" t="s">
        <v>968</v>
      </c>
      <c r="D25" s="133"/>
      <c r="E25" s="125" t="s">
        <v>93</v>
      </c>
      <c r="F25" s="125" t="s">
        <v>922</v>
      </c>
      <c r="G25" s="125" t="s">
        <v>923</v>
      </c>
    </row>
    <row r="26" spans="1:7" x14ac:dyDescent="0.2">
      <c r="E26" t="s">
        <v>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3CAD-8EBF-4906-BC41-829E5722388C}">
  <dimension ref="A3:G181"/>
  <sheetViews>
    <sheetView topLeftCell="A151" workbookViewId="0">
      <selection activeCell="A4" sqref="A4:XFD181"/>
    </sheetView>
  </sheetViews>
  <sheetFormatPr baseColWidth="10" defaultColWidth="8.83203125" defaultRowHeight="15" x14ac:dyDescent="0.2"/>
  <cols>
    <col min="1" max="1" width="32.5" customWidth="1"/>
    <col min="2" max="2" width="33" customWidth="1"/>
    <col min="3" max="3" width="52.5" customWidth="1"/>
    <col min="4" max="4" width="25.5" customWidth="1"/>
    <col min="5" max="5" width="15.83203125" customWidth="1"/>
    <col min="6" max="6" width="57.33203125" customWidth="1"/>
    <col min="7" max="7" width="77.5" customWidth="1"/>
  </cols>
  <sheetData>
    <row r="3" spans="1:7" ht="24" x14ac:dyDescent="0.2">
      <c r="A3" s="155" t="s">
        <v>1064</v>
      </c>
      <c r="B3" s="155" t="s">
        <v>1065</v>
      </c>
      <c r="C3" s="132" t="s">
        <v>965</v>
      </c>
      <c r="D3" s="95" t="s">
        <v>273</v>
      </c>
      <c r="E3" s="95" t="s">
        <v>164</v>
      </c>
      <c r="F3" s="96" t="s">
        <v>195</v>
      </c>
      <c r="G3" s="95" t="s">
        <v>146</v>
      </c>
    </row>
    <row r="4" spans="1:7" x14ac:dyDescent="0.2">
      <c r="A4" s="3" t="s">
        <v>403</v>
      </c>
      <c r="B4" s="3" t="s">
        <v>996</v>
      </c>
      <c r="C4" s="150" t="s">
        <v>970</v>
      </c>
      <c r="D4" s="3" t="s">
        <v>997</v>
      </c>
      <c r="E4" s="3" t="s">
        <v>997</v>
      </c>
      <c r="F4" s="3" t="s">
        <v>210</v>
      </c>
      <c r="G4" s="3" t="s">
        <v>402</v>
      </c>
    </row>
    <row r="5" spans="1:7" x14ac:dyDescent="0.2">
      <c r="A5" s="3" t="s">
        <v>20</v>
      </c>
      <c r="B5" s="3" t="s">
        <v>974</v>
      </c>
      <c r="C5" s="150" t="s">
        <v>970</v>
      </c>
      <c r="D5" s="3" t="s">
        <v>997</v>
      </c>
      <c r="E5" s="3" t="s">
        <v>997</v>
      </c>
      <c r="F5" s="3" t="s">
        <v>201</v>
      </c>
      <c r="G5" s="3" t="s">
        <v>266</v>
      </c>
    </row>
    <row r="6" spans="1:7" x14ac:dyDescent="0.2">
      <c r="A6" s="3" t="s">
        <v>7</v>
      </c>
      <c r="B6" s="3" t="s">
        <v>998</v>
      </c>
      <c r="C6" s="150" t="s">
        <v>970</v>
      </c>
      <c r="D6" s="3" t="s">
        <v>997</v>
      </c>
      <c r="E6" s="3" t="s">
        <v>997</v>
      </c>
      <c r="F6" s="3" t="s">
        <v>201</v>
      </c>
      <c r="G6" s="3" t="s">
        <v>167</v>
      </c>
    </row>
    <row r="7" spans="1:7" x14ac:dyDescent="0.2">
      <c r="A7" s="4" t="s">
        <v>552</v>
      </c>
      <c r="B7" s="4" t="s">
        <v>553</v>
      </c>
      <c r="C7" s="150" t="s">
        <v>970</v>
      </c>
      <c r="D7" s="3" t="s">
        <v>997</v>
      </c>
      <c r="E7" s="4" t="s">
        <v>472</v>
      </c>
      <c r="F7" s="9" t="s">
        <v>554</v>
      </c>
      <c r="G7" s="9" t="s">
        <v>555</v>
      </c>
    </row>
    <row r="8" spans="1:7" x14ac:dyDescent="0.2">
      <c r="A8" s="3" t="s">
        <v>542</v>
      </c>
      <c r="B8" s="3" t="s">
        <v>999</v>
      </c>
      <c r="C8" s="150" t="s">
        <v>970</v>
      </c>
      <c r="D8" s="3" t="s">
        <v>997</v>
      </c>
      <c r="E8" s="3" t="s">
        <v>997</v>
      </c>
      <c r="F8" s="3" t="s">
        <v>218</v>
      </c>
      <c r="G8" s="3" t="s">
        <v>190</v>
      </c>
    </row>
    <row r="9" spans="1:7" x14ac:dyDescent="0.2">
      <c r="A9" s="3" t="s">
        <v>485</v>
      </c>
      <c r="B9" s="3" t="s">
        <v>1000</v>
      </c>
      <c r="C9" s="150" t="s">
        <v>970</v>
      </c>
      <c r="D9" s="3" t="s">
        <v>997</v>
      </c>
      <c r="E9" s="3" t="s">
        <v>997</v>
      </c>
      <c r="F9" s="3" t="s">
        <v>228</v>
      </c>
      <c r="G9" s="3" t="s">
        <v>486</v>
      </c>
    </row>
    <row r="10" spans="1:7" x14ac:dyDescent="0.2">
      <c r="A10" s="3" t="s">
        <v>6</v>
      </c>
      <c r="B10" s="3" t="s">
        <v>1001</v>
      </c>
      <c r="C10" s="150" t="s">
        <v>970</v>
      </c>
      <c r="D10" s="3" t="s">
        <v>997</v>
      </c>
      <c r="E10" s="3" t="s">
        <v>997</v>
      </c>
      <c r="F10" s="3" t="s">
        <v>211</v>
      </c>
      <c r="G10" s="3" t="s">
        <v>212</v>
      </c>
    </row>
    <row r="11" spans="1:7" x14ac:dyDescent="0.2">
      <c r="A11" s="3" t="s">
        <v>406</v>
      </c>
      <c r="B11" s="3" t="s">
        <v>1002</v>
      </c>
      <c r="C11" s="150" t="s">
        <v>970</v>
      </c>
      <c r="D11" s="3" t="s">
        <v>997</v>
      </c>
      <c r="E11" s="3" t="s">
        <v>997</v>
      </c>
      <c r="F11" s="3" t="s">
        <v>405</v>
      </c>
      <c r="G11" s="3" t="s">
        <v>404</v>
      </c>
    </row>
    <row r="12" spans="1:7" x14ac:dyDescent="0.2">
      <c r="A12" s="3" t="s">
        <v>39</v>
      </c>
      <c r="B12" s="3" t="s">
        <v>272</v>
      </c>
      <c r="C12" s="150" t="s">
        <v>969</v>
      </c>
      <c r="D12" s="3" t="s">
        <v>272</v>
      </c>
      <c r="E12" s="3" t="s">
        <v>10</v>
      </c>
      <c r="F12" s="3" t="s">
        <v>199</v>
      </c>
      <c r="G12" s="3" t="s">
        <v>166</v>
      </c>
    </row>
    <row r="13" spans="1:7" ht="51" x14ac:dyDescent="0.2">
      <c r="A13" s="3" t="s">
        <v>433</v>
      </c>
      <c r="B13" s="3" t="s">
        <v>269</v>
      </c>
      <c r="C13" s="134" t="s">
        <v>968</v>
      </c>
      <c r="D13" s="3" t="s">
        <v>269</v>
      </c>
      <c r="E13" s="3" t="s">
        <v>93</v>
      </c>
      <c r="F13" s="3" t="s">
        <v>199</v>
      </c>
      <c r="G13" s="3" t="s">
        <v>434</v>
      </c>
    </row>
    <row r="14" spans="1:7" x14ac:dyDescent="0.2">
      <c r="A14" s="3" t="s">
        <v>35</v>
      </c>
      <c r="B14" s="150" t="s">
        <v>982</v>
      </c>
      <c r="C14" s="150" t="s">
        <v>982</v>
      </c>
      <c r="D14" s="150" t="s">
        <v>982</v>
      </c>
      <c r="E14" s="3" t="s">
        <v>98</v>
      </c>
      <c r="F14" s="3" t="s">
        <v>199</v>
      </c>
      <c r="G14" s="3" t="s">
        <v>171</v>
      </c>
    </row>
    <row r="15" spans="1:7" x14ac:dyDescent="0.2">
      <c r="A15" s="3" t="s">
        <v>460</v>
      </c>
      <c r="B15" s="3" t="s">
        <v>1003</v>
      </c>
      <c r="C15" s="150" t="s">
        <v>970</v>
      </c>
      <c r="D15" s="3" t="s">
        <v>997</v>
      </c>
      <c r="E15" s="3" t="s">
        <v>997</v>
      </c>
      <c r="F15" s="3" t="s">
        <v>199</v>
      </c>
      <c r="G15" s="3" t="s">
        <v>461</v>
      </c>
    </row>
    <row r="16" spans="1:7" x14ac:dyDescent="0.2">
      <c r="A16" s="3" t="s">
        <v>440</v>
      </c>
      <c r="B16" s="3" t="s">
        <v>1004</v>
      </c>
      <c r="C16" s="150" t="s">
        <v>970</v>
      </c>
      <c r="D16" s="3" t="s">
        <v>997</v>
      </c>
      <c r="E16" s="3" t="s">
        <v>997</v>
      </c>
      <c r="F16" s="3" t="s">
        <v>199</v>
      </c>
      <c r="G16" s="3" t="s">
        <v>441</v>
      </c>
    </row>
    <row r="17" spans="1:7" x14ac:dyDescent="0.2">
      <c r="A17" s="3" t="s">
        <v>40</v>
      </c>
      <c r="B17" s="3" t="s">
        <v>271</v>
      </c>
      <c r="C17" s="150" t="s">
        <v>969</v>
      </c>
      <c r="D17" s="3" t="s">
        <v>271</v>
      </c>
      <c r="E17" s="3" t="s">
        <v>10</v>
      </c>
      <c r="F17" s="3" t="s">
        <v>199</v>
      </c>
      <c r="G17" s="3" t="s">
        <v>183</v>
      </c>
    </row>
    <row r="18" spans="1:7" x14ac:dyDescent="0.2">
      <c r="A18" s="3" t="s">
        <v>135</v>
      </c>
      <c r="B18" s="150" t="s">
        <v>982</v>
      </c>
      <c r="C18" s="150" t="s">
        <v>982</v>
      </c>
      <c r="D18" s="150" t="s">
        <v>982</v>
      </c>
      <c r="E18" s="3" t="s">
        <v>98</v>
      </c>
      <c r="F18" s="3" t="s">
        <v>230</v>
      </c>
      <c r="G18" s="3" t="s">
        <v>179</v>
      </c>
    </row>
    <row r="19" spans="1:7" x14ac:dyDescent="0.2">
      <c r="A19" s="3" t="s">
        <v>275</v>
      </c>
      <c r="B19" s="3" t="s">
        <v>365</v>
      </c>
      <c r="C19" s="150" t="s">
        <v>969</v>
      </c>
      <c r="D19" s="3" t="s">
        <v>365</v>
      </c>
      <c r="E19" s="3" t="s">
        <v>10</v>
      </c>
      <c r="F19" s="3" t="s">
        <v>276</v>
      </c>
      <c r="G19" s="3" t="s">
        <v>277</v>
      </c>
    </row>
    <row r="20" spans="1:7" x14ac:dyDescent="0.2">
      <c r="A20" s="3" t="s">
        <v>278</v>
      </c>
      <c r="B20" s="3" t="s">
        <v>1004</v>
      </c>
      <c r="C20" s="150" t="s">
        <v>970</v>
      </c>
      <c r="D20" s="3" t="s">
        <v>997</v>
      </c>
      <c r="E20" s="3" t="s">
        <v>997</v>
      </c>
      <c r="F20" s="3" t="s">
        <v>279</v>
      </c>
      <c r="G20" s="3" t="s">
        <v>290</v>
      </c>
    </row>
    <row r="21" spans="1:7" x14ac:dyDescent="0.2">
      <c r="A21" s="3" t="s">
        <v>36</v>
      </c>
      <c r="B21" s="3" t="s">
        <v>198</v>
      </c>
      <c r="C21" s="150" t="s">
        <v>198</v>
      </c>
      <c r="D21" s="3" t="s">
        <v>198</v>
      </c>
      <c r="E21" s="3" t="s">
        <v>107</v>
      </c>
      <c r="F21" s="3" t="s">
        <v>226</v>
      </c>
      <c r="G21" s="3" t="s">
        <v>186</v>
      </c>
    </row>
    <row r="22" spans="1:7" x14ac:dyDescent="0.2">
      <c r="A22" s="3" t="s">
        <v>322</v>
      </c>
      <c r="B22" s="3" t="s">
        <v>1005</v>
      </c>
      <c r="C22" s="150" t="s">
        <v>970</v>
      </c>
      <c r="D22" s="3" t="s">
        <v>997</v>
      </c>
      <c r="E22" s="3" t="s">
        <v>997</v>
      </c>
      <c r="F22" s="3" t="s">
        <v>323</v>
      </c>
      <c r="G22" s="3" t="s">
        <v>353</v>
      </c>
    </row>
    <row r="23" spans="1:7" x14ac:dyDescent="0.2">
      <c r="A23" s="3" t="s">
        <v>354</v>
      </c>
      <c r="B23" s="150" t="s">
        <v>983</v>
      </c>
      <c r="C23" s="150" t="s">
        <v>973</v>
      </c>
      <c r="D23" s="150" t="s">
        <v>983</v>
      </c>
      <c r="E23" s="3" t="s">
        <v>97</v>
      </c>
      <c r="F23" s="3" t="s">
        <v>355</v>
      </c>
      <c r="G23" s="3" t="s">
        <v>356</v>
      </c>
    </row>
    <row r="24" spans="1:7" x14ac:dyDescent="0.2">
      <c r="A24" s="3" t="s">
        <v>133</v>
      </c>
      <c r="B24" s="3" t="s">
        <v>979</v>
      </c>
      <c r="C24" s="150" t="s">
        <v>970</v>
      </c>
      <c r="D24" s="3" t="s">
        <v>997</v>
      </c>
      <c r="E24" s="3" t="s">
        <v>997</v>
      </c>
      <c r="F24" s="3" t="s">
        <v>263</v>
      </c>
      <c r="G24" s="3" t="s">
        <v>182</v>
      </c>
    </row>
    <row r="25" spans="1:7" x14ac:dyDescent="0.2">
      <c r="A25" s="3" t="s">
        <v>448</v>
      </c>
      <c r="B25" s="3" t="s">
        <v>1006</v>
      </c>
      <c r="C25" s="150" t="s">
        <v>970</v>
      </c>
      <c r="D25" s="3" t="s">
        <v>997</v>
      </c>
      <c r="E25" s="3" t="s">
        <v>997</v>
      </c>
      <c r="F25" s="3" t="s">
        <v>358</v>
      </c>
      <c r="G25" s="3" t="s">
        <v>435</v>
      </c>
    </row>
    <row r="26" spans="1:7" x14ac:dyDescent="0.2">
      <c r="A26" s="3" t="s">
        <v>482</v>
      </c>
      <c r="B26" s="3" t="s">
        <v>527</v>
      </c>
      <c r="C26" s="150" t="s">
        <v>970</v>
      </c>
      <c r="D26" s="3" t="s">
        <v>997</v>
      </c>
      <c r="E26" s="3" t="s">
        <v>997</v>
      </c>
      <c r="F26" s="3" t="s">
        <v>483</v>
      </c>
      <c r="G26" s="3" t="s">
        <v>484</v>
      </c>
    </row>
    <row r="27" spans="1:7" x14ac:dyDescent="0.2">
      <c r="A27" s="3" t="s">
        <v>194</v>
      </c>
      <c r="B27" s="3" t="s">
        <v>979</v>
      </c>
      <c r="C27" s="150" t="s">
        <v>970</v>
      </c>
      <c r="D27" s="3" t="s">
        <v>997</v>
      </c>
      <c r="E27" s="3" t="s">
        <v>997</v>
      </c>
      <c r="F27" s="3" t="s">
        <v>363</v>
      </c>
      <c r="G27" s="3" t="s">
        <v>364</v>
      </c>
    </row>
    <row r="28" spans="1:7" x14ac:dyDescent="0.2">
      <c r="A28" s="3" t="s">
        <v>31</v>
      </c>
      <c r="B28" s="3" t="s">
        <v>1007</v>
      </c>
      <c r="C28" s="150" t="s">
        <v>970</v>
      </c>
      <c r="D28" s="3" t="s">
        <v>997</v>
      </c>
      <c r="E28" s="3" t="s">
        <v>997</v>
      </c>
      <c r="F28" s="3" t="s">
        <v>232</v>
      </c>
      <c r="G28" s="3" t="s">
        <v>192</v>
      </c>
    </row>
    <row r="29" spans="1:7" x14ac:dyDescent="0.2">
      <c r="A29" s="3" t="s">
        <v>397</v>
      </c>
      <c r="B29" s="3" t="s">
        <v>527</v>
      </c>
      <c r="C29" s="150" t="s">
        <v>970</v>
      </c>
      <c r="D29" s="3" t="s">
        <v>997</v>
      </c>
      <c r="E29" s="3" t="s">
        <v>997</v>
      </c>
      <c r="F29" s="3" t="s">
        <v>377</v>
      </c>
      <c r="G29" s="3" t="s">
        <v>396</v>
      </c>
    </row>
    <row r="30" spans="1:7" x14ac:dyDescent="0.2">
      <c r="A30" s="3" t="s">
        <v>281</v>
      </c>
      <c r="B30" s="3" t="s">
        <v>984</v>
      </c>
      <c r="C30" s="150" t="s">
        <v>973</v>
      </c>
      <c r="D30" s="3" t="s">
        <v>984</v>
      </c>
      <c r="E30" s="3" t="s">
        <v>97</v>
      </c>
      <c r="F30" s="3" t="s">
        <v>282</v>
      </c>
      <c r="G30" s="3" t="s">
        <v>283</v>
      </c>
    </row>
    <row r="31" spans="1:7" x14ac:dyDescent="0.2">
      <c r="A31" s="3" t="s">
        <v>288</v>
      </c>
      <c r="B31" s="3" t="s">
        <v>1005</v>
      </c>
      <c r="C31" s="150" t="s">
        <v>970</v>
      </c>
      <c r="D31" s="3" t="s">
        <v>997</v>
      </c>
      <c r="E31" s="3" t="s">
        <v>997</v>
      </c>
      <c r="F31" s="3" t="s">
        <v>213</v>
      </c>
      <c r="G31" s="3" t="s">
        <v>184</v>
      </c>
    </row>
    <row r="32" spans="1:7" x14ac:dyDescent="0.2">
      <c r="A32" s="3" t="s">
        <v>436</v>
      </c>
      <c r="B32" s="3" t="s">
        <v>553</v>
      </c>
      <c r="C32" s="150" t="s">
        <v>970</v>
      </c>
      <c r="D32" s="3" t="s">
        <v>997</v>
      </c>
      <c r="E32" s="3" t="s">
        <v>997</v>
      </c>
      <c r="F32" s="3" t="s">
        <v>197</v>
      </c>
      <c r="G32" s="3" t="s">
        <v>437</v>
      </c>
    </row>
    <row r="33" spans="1:7" x14ac:dyDescent="0.2">
      <c r="A33" s="3" t="s">
        <v>18</v>
      </c>
      <c r="B33" s="3" t="s">
        <v>1008</v>
      </c>
      <c r="C33" s="150" t="s">
        <v>970</v>
      </c>
      <c r="D33" s="3" t="s">
        <v>997</v>
      </c>
      <c r="E33" s="3" t="s">
        <v>997</v>
      </c>
      <c r="F33" s="3" t="s">
        <v>197</v>
      </c>
      <c r="G33" s="3" t="s">
        <v>262</v>
      </c>
    </row>
    <row r="34" spans="1:7" x14ac:dyDescent="0.2">
      <c r="A34" s="3" t="s">
        <v>774</v>
      </c>
      <c r="B34" s="3" t="s">
        <v>1009</v>
      </c>
      <c r="C34" s="150" t="s">
        <v>970</v>
      </c>
      <c r="D34" s="3" t="s">
        <v>997</v>
      </c>
      <c r="E34" s="3" t="s">
        <v>997</v>
      </c>
      <c r="F34" s="3" t="s">
        <v>197</v>
      </c>
      <c r="G34" s="11" t="s">
        <v>777</v>
      </c>
    </row>
    <row r="35" spans="1:7" x14ac:dyDescent="0.2">
      <c r="A35" s="3" t="s">
        <v>775</v>
      </c>
      <c r="B35" s="3" t="s">
        <v>1008</v>
      </c>
      <c r="C35" s="150" t="s">
        <v>970</v>
      </c>
      <c r="D35" s="3" t="s">
        <v>997</v>
      </c>
      <c r="E35" s="3" t="s">
        <v>997</v>
      </c>
      <c r="F35" s="3" t="s">
        <v>197</v>
      </c>
      <c r="G35" s="11" t="s">
        <v>776</v>
      </c>
    </row>
    <row r="36" spans="1:7" ht="51" x14ac:dyDescent="0.2">
      <c r="A36" s="3" t="s">
        <v>491</v>
      </c>
      <c r="B36" s="3" t="s">
        <v>492</v>
      </c>
      <c r="C36" s="134" t="s">
        <v>968</v>
      </c>
      <c r="D36" s="3" t="s">
        <v>492</v>
      </c>
      <c r="E36" s="3" t="s">
        <v>93</v>
      </c>
      <c r="F36" s="3" t="s">
        <v>197</v>
      </c>
      <c r="G36" s="3" t="s">
        <v>493</v>
      </c>
    </row>
    <row r="37" spans="1:7" x14ac:dyDescent="0.2">
      <c r="A37" s="3" t="s">
        <v>487</v>
      </c>
      <c r="B37" s="3" t="s">
        <v>1010</v>
      </c>
      <c r="C37" s="150" t="s">
        <v>970</v>
      </c>
      <c r="D37" s="8" t="s">
        <v>997</v>
      </c>
      <c r="E37" s="8" t="s">
        <v>997</v>
      </c>
      <c r="F37" s="3" t="s">
        <v>197</v>
      </c>
      <c r="G37" s="3" t="s">
        <v>488</v>
      </c>
    </row>
    <row r="38" spans="1:7" x14ac:dyDescent="0.2">
      <c r="A38" s="3" t="s">
        <v>13</v>
      </c>
      <c r="B38" s="3" t="s">
        <v>1011</v>
      </c>
      <c r="C38" s="150" t="s">
        <v>970</v>
      </c>
      <c r="D38" s="3" t="s">
        <v>997</v>
      </c>
      <c r="E38" s="3" t="s">
        <v>997</v>
      </c>
      <c r="F38" s="3" t="s">
        <v>197</v>
      </c>
      <c r="G38" s="3" t="s">
        <v>189</v>
      </c>
    </row>
    <row r="39" spans="1:7" x14ac:dyDescent="0.2">
      <c r="A39" s="3" t="s">
        <v>17</v>
      </c>
      <c r="B39" s="3" t="s">
        <v>996</v>
      </c>
      <c r="C39" s="150" t="s">
        <v>970</v>
      </c>
      <c r="D39" s="3" t="s">
        <v>997</v>
      </c>
      <c r="E39" s="3" t="s">
        <v>997</v>
      </c>
      <c r="F39" s="3" t="s">
        <v>197</v>
      </c>
      <c r="G39" s="3" t="s">
        <v>293</v>
      </c>
    </row>
    <row r="40" spans="1:7" x14ac:dyDescent="0.2">
      <c r="A40" s="102" t="s">
        <v>558</v>
      </c>
      <c r="B40" s="102" t="s">
        <v>1012</v>
      </c>
      <c r="C40" s="150" t="s">
        <v>970</v>
      </c>
      <c r="D40" s="102" t="s">
        <v>997</v>
      </c>
      <c r="E40" s="100" t="s">
        <v>997</v>
      </c>
      <c r="F40" s="100" t="s">
        <v>197</v>
      </c>
      <c r="G40" s="100" t="s">
        <v>559</v>
      </c>
    </row>
    <row r="41" spans="1:7" x14ac:dyDescent="0.2">
      <c r="A41" s="1" t="s">
        <v>510</v>
      </c>
      <c r="B41" s="1" t="s">
        <v>1013</v>
      </c>
      <c r="C41" s="150" t="s">
        <v>970</v>
      </c>
      <c r="D41" s="3" t="s">
        <v>997</v>
      </c>
      <c r="E41" s="1" t="s">
        <v>472</v>
      </c>
      <c r="F41" s="1" t="s">
        <v>508</v>
      </c>
      <c r="G41" s="1" t="s">
        <v>511</v>
      </c>
    </row>
    <row r="42" spans="1:7" x14ac:dyDescent="0.2">
      <c r="A42" s="1" t="s">
        <v>556</v>
      </c>
      <c r="B42" s="1" t="s">
        <v>1014</v>
      </c>
      <c r="C42" s="150" t="s">
        <v>970</v>
      </c>
      <c r="D42" s="3" t="s">
        <v>997</v>
      </c>
      <c r="E42" s="1" t="s">
        <v>472</v>
      </c>
      <c r="F42" s="1" t="s">
        <v>508</v>
      </c>
      <c r="G42" s="1" t="s">
        <v>557</v>
      </c>
    </row>
    <row r="43" spans="1:7" x14ac:dyDescent="0.2">
      <c r="A43" s="1" t="s">
        <v>507</v>
      </c>
      <c r="B43" s="1" t="s">
        <v>1008</v>
      </c>
      <c r="C43" s="150" t="s">
        <v>970</v>
      </c>
      <c r="D43" s="3" t="s">
        <v>997</v>
      </c>
      <c r="E43" s="1" t="s">
        <v>472</v>
      </c>
      <c r="F43" s="1" t="s">
        <v>508</v>
      </c>
      <c r="G43" s="1" t="s">
        <v>509</v>
      </c>
    </row>
    <row r="44" spans="1:7" x14ac:dyDescent="0.2">
      <c r="A44" s="3" t="s">
        <v>449</v>
      </c>
      <c r="B44" s="3" t="s">
        <v>1015</v>
      </c>
      <c r="C44" s="150" t="s">
        <v>970</v>
      </c>
      <c r="D44" s="3" t="s">
        <v>997</v>
      </c>
      <c r="E44" s="3" t="s">
        <v>997</v>
      </c>
      <c r="F44" s="3" t="s">
        <v>207</v>
      </c>
      <c r="G44" s="3" t="s">
        <v>450</v>
      </c>
    </row>
    <row r="45" spans="1:7" x14ac:dyDescent="0.2">
      <c r="A45" s="3" t="s">
        <v>368</v>
      </c>
      <c r="B45" s="3" t="s">
        <v>1016</v>
      </c>
      <c r="C45" s="150" t="s">
        <v>970</v>
      </c>
      <c r="D45" s="3" t="s">
        <v>997</v>
      </c>
      <c r="E45" s="3" t="s">
        <v>997</v>
      </c>
      <c r="F45" s="3" t="s">
        <v>369</v>
      </c>
      <c r="G45" s="3" t="s">
        <v>370</v>
      </c>
    </row>
    <row r="46" spans="1:7" x14ac:dyDescent="0.2">
      <c r="A46" s="3" t="s">
        <v>26</v>
      </c>
      <c r="B46" s="3" t="s">
        <v>1000</v>
      </c>
      <c r="C46" s="150" t="s">
        <v>970</v>
      </c>
      <c r="D46" s="3" t="s">
        <v>997</v>
      </c>
      <c r="E46" s="3" t="s">
        <v>997</v>
      </c>
      <c r="F46" s="3" t="s">
        <v>208</v>
      </c>
      <c r="G46" s="3" t="s">
        <v>177</v>
      </c>
    </row>
    <row r="47" spans="1:7" x14ac:dyDescent="0.2">
      <c r="A47" s="3" t="s">
        <v>468</v>
      </c>
      <c r="B47" s="3" t="s">
        <v>469</v>
      </c>
      <c r="C47" s="3"/>
      <c r="D47" s="3" t="s">
        <v>469</v>
      </c>
      <c r="E47" s="3" t="s">
        <v>447</v>
      </c>
      <c r="F47" s="3" t="s">
        <v>470</v>
      </c>
      <c r="G47" s="3" t="s">
        <v>471</v>
      </c>
    </row>
    <row r="48" spans="1:7" x14ac:dyDescent="0.2">
      <c r="A48" s="3" t="s">
        <v>379</v>
      </c>
      <c r="B48" s="3" t="s">
        <v>553</v>
      </c>
      <c r="C48" s="150" t="s">
        <v>970</v>
      </c>
      <c r="D48" s="3" t="s">
        <v>997</v>
      </c>
      <c r="E48" s="3" t="s">
        <v>997</v>
      </c>
      <c r="F48" s="3" t="s">
        <v>286</v>
      </c>
      <c r="G48" s="3" t="s">
        <v>287</v>
      </c>
    </row>
    <row r="49" spans="1:7" x14ac:dyDescent="0.2">
      <c r="A49" s="3" t="s">
        <v>32</v>
      </c>
      <c r="B49" s="3" t="s">
        <v>1005</v>
      </c>
      <c r="C49" s="150" t="s">
        <v>970</v>
      </c>
      <c r="D49" s="3" t="s">
        <v>997</v>
      </c>
      <c r="E49" s="3" t="s">
        <v>997</v>
      </c>
      <c r="F49" s="3" t="s">
        <v>267</v>
      </c>
      <c r="G49" s="3" t="s">
        <v>178</v>
      </c>
    </row>
    <row r="50" spans="1:7" x14ac:dyDescent="0.2">
      <c r="A50" s="3" t="s">
        <v>442</v>
      </c>
      <c r="B50" s="3" t="s">
        <v>1015</v>
      </c>
      <c r="C50" s="150" t="s">
        <v>970</v>
      </c>
      <c r="D50" s="3" t="s">
        <v>997</v>
      </c>
      <c r="E50" s="3" t="s">
        <v>997</v>
      </c>
      <c r="F50" s="3" t="s">
        <v>318</v>
      </c>
      <c r="G50" s="3" t="s">
        <v>319</v>
      </c>
    </row>
    <row r="51" spans="1:7" x14ac:dyDescent="0.2">
      <c r="A51" s="3" t="s">
        <v>366</v>
      </c>
      <c r="B51" s="3" t="s">
        <v>198</v>
      </c>
      <c r="C51" s="150" t="s">
        <v>198</v>
      </c>
      <c r="D51" s="3" t="s">
        <v>198</v>
      </c>
      <c r="E51" s="3" t="s">
        <v>107</v>
      </c>
      <c r="F51" s="3" t="s">
        <v>351</v>
      </c>
      <c r="G51" s="3" t="s">
        <v>352</v>
      </c>
    </row>
    <row r="52" spans="1:7" x14ac:dyDescent="0.2">
      <c r="A52" s="3" t="s">
        <v>367</v>
      </c>
      <c r="B52" s="3" t="s">
        <v>1014</v>
      </c>
      <c r="C52" s="150" t="s">
        <v>970</v>
      </c>
      <c r="D52" s="3" t="s">
        <v>997</v>
      </c>
      <c r="E52" s="3" t="s">
        <v>997</v>
      </c>
      <c r="F52" s="3" t="s">
        <v>206</v>
      </c>
      <c r="G52" s="3" t="s">
        <v>316</v>
      </c>
    </row>
    <row r="53" spans="1:7" x14ac:dyDescent="0.2">
      <c r="A53" s="3" t="s">
        <v>23</v>
      </c>
      <c r="B53" s="3" t="s">
        <v>553</v>
      </c>
      <c r="C53" s="150" t="s">
        <v>970</v>
      </c>
      <c r="D53" s="3" t="s">
        <v>997</v>
      </c>
      <c r="E53" s="3" t="s">
        <v>997</v>
      </c>
      <c r="F53" s="3" t="s">
        <v>241</v>
      </c>
      <c r="G53" s="3" t="s">
        <v>242</v>
      </c>
    </row>
    <row r="54" spans="1:7" x14ac:dyDescent="0.2">
      <c r="A54" s="3" t="s">
        <v>428</v>
      </c>
      <c r="B54" s="3" t="s">
        <v>527</v>
      </c>
      <c r="C54" s="150" t="s">
        <v>970</v>
      </c>
      <c r="D54" s="3" t="s">
        <v>997</v>
      </c>
      <c r="E54" s="3" t="s">
        <v>997</v>
      </c>
      <c r="F54" s="3" t="s">
        <v>429</v>
      </c>
      <c r="G54" s="3" t="s">
        <v>430</v>
      </c>
    </row>
    <row r="55" spans="1:7" x14ac:dyDescent="0.2">
      <c r="A55" s="3" t="s">
        <v>8</v>
      </c>
      <c r="B55" s="3" t="s">
        <v>1017</v>
      </c>
      <c r="C55" s="150" t="s">
        <v>970</v>
      </c>
      <c r="D55" s="3" t="s">
        <v>997</v>
      </c>
      <c r="E55" s="3" t="s">
        <v>997</v>
      </c>
      <c r="F55" s="3" t="s">
        <v>214</v>
      </c>
      <c r="G55" s="3" t="s">
        <v>175</v>
      </c>
    </row>
    <row r="56" spans="1:7" x14ac:dyDescent="0.2">
      <c r="A56" s="3" t="s">
        <v>467</v>
      </c>
      <c r="B56" s="3" t="s">
        <v>976</v>
      </c>
      <c r="C56" s="150" t="s">
        <v>971</v>
      </c>
      <c r="D56" s="3" t="s">
        <v>976</v>
      </c>
      <c r="E56" s="3" t="s">
        <v>452</v>
      </c>
      <c r="F56" s="3" t="s">
        <v>453</v>
      </c>
      <c r="G56" s="3" t="s">
        <v>454</v>
      </c>
    </row>
    <row r="57" spans="1:7" x14ac:dyDescent="0.2">
      <c r="A57" s="3" t="s">
        <v>11</v>
      </c>
      <c r="B57" s="3" t="s">
        <v>1018</v>
      </c>
      <c r="C57" s="150" t="s">
        <v>970</v>
      </c>
      <c r="D57" s="3" t="s">
        <v>997</v>
      </c>
      <c r="E57" s="3" t="s">
        <v>997</v>
      </c>
      <c r="F57" s="3" t="s">
        <v>227</v>
      </c>
      <c r="G57" s="3" t="s">
        <v>265</v>
      </c>
    </row>
    <row r="58" spans="1:7" x14ac:dyDescent="0.2">
      <c r="A58" s="3" t="s">
        <v>27</v>
      </c>
      <c r="B58" s="3" t="s">
        <v>1019</v>
      </c>
      <c r="C58" s="150" t="s">
        <v>970</v>
      </c>
      <c r="D58" s="3" t="s">
        <v>997</v>
      </c>
      <c r="E58" s="3" t="s">
        <v>997</v>
      </c>
      <c r="F58" s="3" t="s">
        <v>235</v>
      </c>
      <c r="G58" s="3" t="s">
        <v>236</v>
      </c>
    </row>
    <row r="59" spans="1:7" x14ac:dyDescent="0.2">
      <c r="A59" s="3" t="s">
        <v>438</v>
      </c>
      <c r="B59" s="3" t="s">
        <v>1020</v>
      </c>
      <c r="C59" s="150" t="s">
        <v>970</v>
      </c>
      <c r="D59" s="3" t="s">
        <v>997</v>
      </c>
      <c r="E59" s="3" t="s">
        <v>997</v>
      </c>
      <c r="F59" s="3" t="s">
        <v>310</v>
      </c>
      <c r="G59" s="3" t="s">
        <v>439</v>
      </c>
    </row>
    <row r="60" spans="1:7" x14ac:dyDescent="0.2">
      <c r="A60" s="1" t="s">
        <v>512</v>
      </c>
      <c r="B60" s="1" t="s">
        <v>1021</v>
      </c>
      <c r="C60" s="150" t="s">
        <v>970</v>
      </c>
      <c r="D60" s="3" t="s">
        <v>997</v>
      </c>
      <c r="E60" s="1" t="s">
        <v>472</v>
      </c>
      <c r="F60" s="1" t="s">
        <v>513</v>
      </c>
      <c r="G60" s="1" t="s">
        <v>514</v>
      </c>
    </row>
    <row r="61" spans="1:7" x14ac:dyDescent="0.2">
      <c r="A61" s="1" t="s">
        <v>499</v>
      </c>
      <c r="B61" s="1" t="s">
        <v>1000</v>
      </c>
      <c r="C61" s="150" t="s">
        <v>970</v>
      </c>
      <c r="D61" s="3" t="s">
        <v>997</v>
      </c>
      <c r="E61" s="1" t="s">
        <v>472</v>
      </c>
      <c r="F61" s="1" t="s">
        <v>500</v>
      </c>
      <c r="G61" s="1" t="s">
        <v>501</v>
      </c>
    </row>
    <row r="62" spans="1:7" x14ac:dyDescent="0.2">
      <c r="A62" s="1" t="s">
        <v>502</v>
      </c>
      <c r="B62" s="1" t="s">
        <v>1022</v>
      </c>
      <c r="C62" s="150" t="s">
        <v>970</v>
      </c>
      <c r="D62" s="3" t="s">
        <v>997</v>
      </c>
      <c r="E62" s="1" t="s">
        <v>472</v>
      </c>
      <c r="F62" s="1" t="s">
        <v>500</v>
      </c>
      <c r="G62" s="1" t="s">
        <v>503</v>
      </c>
    </row>
    <row r="63" spans="1:7" x14ac:dyDescent="0.2">
      <c r="A63" s="1" t="s">
        <v>504</v>
      </c>
      <c r="B63" s="1" t="s">
        <v>1023</v>
      </c>
      <c r="C63" s="150" t="s">
        <v>970</v>
      </c>
      <c r="D63" s="3" t="s">
        <v>997</v>
      </c>
      <c r="E63" s="1" t="s">
        <v>472</v>
      </c>
      <c r="F63" s="1" t="s">
        <v>505</v>
      </c>
      <c r="G63" s="1" t="s">
        <v>506</v>
      </c>
    </row>
    <row r="64" spans="1:7" x14ac:dyDescent="0.2">
      <c r="A64" s="3" t="s">
        <v>25</v>
      </c>
      <c r="B64" s="3" t="s">
        <v>1024</v>
      </c>
      <c r="C64" s="150" t="s">
        <v>970</v>
      </c>
      <c r="D64" s="3" t="s">
        <v>997</v>
      </c>
      <c r="E64" s="3" t="s">
        <v>997</v>
      </c>
      <c r="F64" s="3" t="s">
        <v>196</v>
      </c>
      <c r="G64" s="3" t="s">
        <v>261</v>
      </c>
    </row>
    <row r="65" spans="1:7" x14ac:dyDescent="0.2">
      <c r="A65" s="3" t="s">
        <v>92</v>
      </c>
      <c r="B65" s="3" t="s">
        <v>314</v>
      </c>
      <c r="C65" s="3"/>
      <c r="D65" s="3" t="s">
        <v>314</v>
      </c>
      <c r="E65" s="3" t="s">
        <v>93</v>
      </c>
      <c r="F65" s="3" t="s">
        <v>196</v>
      </c>
      <c r="G65" s="3" t="s">
        <v>169</v>
      </c>
    </row>
    <row r="66" spans="1:7" x14ac:dyDescent="0.2">
      <c r="A66" s="3" t="s">
        <v>14</v>
      </c>
      <c r="B66" s="3" t="s">
        <v>1020</v>
      </c>
      <c r="C66" s="150" t="s">
        <v>970</v>
      </c>
      <c r="D66" s="3" t="s">
        <v>997</v>
      </c>
      <c r="E66" s="3" t="s">
        <v>997</v>
      </c>
      <c r="F66" s="3" t="s">
        <v>196</v>
      </c>
      <c r="G66" s="3" t="s">
        <v>168</v>
      </c>
    </row>
    <row r="67" spans="1:7" x14ac:dyDescent="0.2">
      <c r="A67" s="3" t="s">
        <v>16</v>
      </c>
      <c r="B67" s="3" t="s">
        <v>1002</v>
      </c>
      <c r="C67" s="150" t="s">
        <v>970</v>
      </c>
      <c r="D67" s="3" t="s">
        <v>997</v>
      </c>
      <c r="E67" s="3" t="s">
        <v>997</v>
      </c>
      <c r="F67" s="3" t="s">
        <v>196</v>
      </c>
      <c r="G67" s="3" t="s">
        <v>185</v>
      </c>
    </row>
    <row r="68" spans="1:7" x14ac:dyDescent="0.2">
      <c r="A68" s="3" t="s">
        <v>422</v>
      </c>
      <c r="B68" s="3" t="s">
        <v>1002</v>
      </c>
      <c r="C68" s="150" t="s">
        <v>970</v>
      </c>
      <c r="D68" s="3" t="s">
        <v>997</v>
      </c>
      <c r="E68" s="3" t="s">
        <v>997</v>
      </c>
      <c r="F68" s="3" t="s">
        <v>196</v>
      </c>
      <c r="G68" s="3" t="s">
        <v>421</v>
      </c>
    </row>
    <row r="69" spans="1:7" x14ac:dyDescent="0.2">
      <c r="A69" s="3" t="s">
        <v>426</v>
      </c>
      <c r="B69" s="3" t="s">
        <v>1025</v>
      </c>
      <c r="C69" s="150" t="s">
        <v>970</v>
      </c>
      <c r="D69" s="3" t="s">
        <v>997</v>
      </c>
      <c r="E69" s="3" t="s">
        <v>997</v>
      </c>
      <c r="F69" s="3" t="s">
        <v>196</v>
      </c>
      <c r="G69" s="3" t="s">
        <v>427</v>
      </c>
    </row>
    <row r="70" spans="1:7" x14ac:dyDescent="0.2">
      <c r="A70" s="3" t="s">
        <v>145</v>
      </c>
      <c r="B70" s="3" t="s">
        <v>198</v>
      </c>
      <c r="C70" s="150" t="s">
        <v>198</v>
      </c>
      <c r="D70" s="3" t="s">
        <v>198</v>
      </c>
      <c r="E70" s="3" t="s">
        <v>107</v>
      </c>
      <c r="F70" s="3" t="s">
        <v>291</v>
      </c>
      <c r="G70" s="3" t="s">
        <v>292</v>
      </c>
    </row>
    <row r="71" spans="1:7" x14ac:dyDescent="0.2">
      <c r="A71" s="3" t="s">
        <v>215</v>
      </c>
      <c r="B71" s="3" t="s">
        <v>1004</v>
      </c>
      <c r="C71" s="150" t="s">
        <v>970</v>
      </c>
      <c r="D71" s="3" t="s">
        <v>997</v>
      </c>
      <c r="E71" s="3" t="s">
        <v>997</v>
      </c>
      <c r="F71" s="3" t="s">
        <v>216</v>
      </c>
      <c r="G71" s="3" t="s">
        <v>375</v>
      </c>
    </row>
    <row r="72" spans="1:7" s="98" customFormat="1" x14ac:dyDescent="0.2">
      <c r="A72" s="99" t="s">
        <v>22</v>
      </c>
      <c r="B72" s="99" t="s">
        <v>979</v>
      </c>
      <c r="C72" s="150" t="s">
        <v>970</v>
      </c>
      <c r="D72" s="99" t="s">
        <v>997</v>
      </c>
      <c r="E72" s="99" t="s">
        <v>997</v>
      </c>
      <c r="F72" s="99" t="s">
        <v>220</v>
      </c>
      <c r="G72" s="99" t="s">
        <v>181</v>
      </c>
    </row>
    <row r="73" spans="1:7" s="98" customFormat="1" x14ac:dyDescent="0.2">
      <c r="A73" s="99" t="s">
        <v>22</v>
      </c>
      <c r="B73" s="99" t="s">
        <v>1026</v>
      </c>
      <c r="C73" s="150" t="s">
        <v>970</v>
      </c>
      <c r="D73" s="99" t="s">
        <v>997</v>
      </c>
      <c r="E73" s="99" t="s">
        <v>997</v>
      </c>
      <c r="F73" s="99" t="s">
        <v>220</v>
      </c>
      <c r="G73" s="99" t="s">
        <v>181</v>
      </c>
    </row>
    <row r="74" spans="1:7" x14ac:dyDescent="0.2">
      <c r="A74" s="3" t="s">
        <v>326</v>
      </c>
      <c r="B74" s="3" t="s">
        <v>1027</v>
      </c>
      <c r="C74" s="150" t="s">
        <v>970</v>
      </c>
      <c r="D74" s="3" t="s">
        <v>997</v>
      </c>
      <c r="E74" s="3" t="s">
        <v>997</v>
      </c>
      <c r="F74" s="3" t="s">
        <v>327</v>
      </c>
      <c r="G74" s="3" t="s">
        <v>328</v>
      </c>
    </row>
    <row r="75" spans="1:7" x14ac:dyDescent="0.2">
      <c r="A75" s="3" t="s">
        <v>466</v>
      </c>
      <c r="B75" s="5" t="s">
        <v>546</v>
      </c>
      <c r="C75" s="150" t="s">
        <v>970</v>
      </c>
      <c r="D75" s="3" t="s">
        <v>997</v>
      </c>
      <c r="E75" s="3" t="s">
        <v>997</v>
      </c>
      <c r="F75" s="3" t="s">
        <v>223</v>
      </c>
      <c r="G75" s="3" t="s">
        <v>224</v>
      </c>
    </row>
    <row r="76" spans="1:7" x14ac:dyDescent="0.2">
      <c r="A76" s="3" t="s">
        <v>498</v>
      </c>
      <c r="B76" s="3" t="s">
        <v>1028</v>
      </c>
      <c r="C76" s="150" t="s">
        <v>970</v>
      </c>
      <c r="D76" s="3" t="s">
        <v>443</v>
      </c>
      <c r="E76" s="3" t="s">
        <v>97</v>
      </c>
      <c r="F76" s="3" t="s">
        <v>496</v>
      </c>
      <c r="G76" s="3" t="s">
        <v>497</v>
      </c>
    </row>
    <row r="77" spans="1:7" x14ac:dyDescent="0.2">
      <c r="A77" s="3" t="s">
        <v>550</v>
      </c>
      <c r="B77" s="3" t="s">
        <v>974</v>
      </c>
      <c r="C77" s="150" t="s">
        <v>970</v>
      </c>
      <c r="D77" s="3" t="s">
        <v>997</v>
      </c>
      <c r="E77" s="3" t="s">
        <v>997</v>
      </c>
      <c r="F77" s="3" t="s">
        <v>489</v>
      </c>
      <c r="G77" s="3" t="s">
        <v>490</v>
      </c>
    </row>
    <row r="78" spans="1:7" x14ac:dyDescent="0.2">
      <c r="A78" s="3" t="s">
        <v>38</v>
      </c>
      <c r="B78" s="3" t="s">
        <v>986</v>
      </c>
      <c r="C78" s="150" t="s">
        <v>971</v>
      </c>
      <c r="D78" s="3" t="s">
        <v>986</v>
      </c>
      <c r="E78" s="3" t="s">
        <v>96</v>
      </c>
      <c r="F78" s="3" t="s">
        <v>231</v>
      </c>
      <c r="G78" s="3" t="s">
        <v>413</v>
      </c>
    </row>
    <row r="79" spans="1:7" x14ac:dyDescent="0.2">
      <c r="A79" s="3" t="s">
        <v>3</v>
      </c>
      <c r="B79" s="3" t="s">
        <v>1006</v>
      </c>
      <c r="C79" s="150" t="s">
        <v>970</v>
      </c>
      <c r="D79" s="3" t="s">
        <v>997</v>
      </c>
      <c r="E79" s="3" t="s">
        <v>997</v>
      </c>
      <c r="F79" s="3" t="s">
        <v>219</v>
      </c>
      <c r="G79" s="3" t="s">
        <v>174</v>
      </c>
    </row>
    <row r="80" spans="1:7" s="98" customFormat="1" x14ac:dyDescent="0.2">
      <c r="A80" s="99" t="s">
        <v>9</v>
      </c>
      <c r="B80" s="99" t="s">
        <v>315</v>
      </c>
      <c r="C80" s="150" t="s">
        <v>969</v>
      </c>
      <c r="D80" s="99" t="s">
        <v>315</v>
      </c>
      <c r="E80" s="99" t="s">
        <v>10</v>
      </c>
      <c r="F80" s="99" t="s">
        <v>217</v>
      </c>
      <c r="G80" s="99" t="s">
        <v>420</v>
      </c>
    </row>
    <row r="81" spans="1:7" s="98" customFormat="1" x14ac:dyDescent="0.2">
      <c r="A81" s="99" t="s">
        <v>9</v>
      </c>
      <c r="B81" s="99" t="s">
        <v>1029</v>
      </c>
      <c r="C81" s="150" t="s">
        <v>970</v>
      </c>
      <c r="D81" s="99" t="s">
        <v>997</v>
      </c>
      <c r="E81" s="99" t="s">
        <v>997</v>
      </c>
      <c r="F81" s="99" t="s">
        <v>217</v>
      </c>
      <c r="G81" s="99" t="s">
        <v>274</v>
      </c>
    </row>
    <row r="82" spans="1:7" x14ac:dyDescent="0.2">
      <c r="A82" s="3" t="s">
        <v>30</v>
      </c>
      <c r="B82" s="3" t="s">
        <v>998</v>
      </c>
      <c r="C82" s="150" t="s">
        <v>970</v>
      </c>
      <c r="D82" s="3" t="s">
        <v>997</v>
      </c>
      <c r="E82" s="3" t="s">
        <v>997</v>
      </c>
      <c r="F82" s="3" t="s">
        <v>225</v>
      </c>
      <c r="G82" s="3" t="s">
        <v>180</v>
      </c>
    </row>
    <row r="83" spans="1:7" x14ac:dyDescent="0.2">
      <c r="A83" s="3" t="s">
        <v>463</v>
      </c>
      <c r="B83" s="150" t="s">
        <v>983</v>
      </c>
      <c r="C83" s="150" t="s">
        <v>973</v>
      </c>
      <c r="D83" s="150" t="s">
        <v>983</v>
      </c>
      <c r="E83" s="3" t="s">
        <v>97</v>
      </c>
      <c r="F83" s="3" t="s">
        <v>464</v>
      </c>
      <c r="G83" s="3" t="s">
        <v>465</v>
      </c>
    </row>
    <row r="84" spans="1:7" x14ac:dyDescent="0.2">
      <c r="A84" s="3" t="s">
        <v>494</v>
      </c>
      <c r="B84" s="3" t="s">
        <v>1004</v>
      </c>
      <c r="C84" s="150" t="s">
        <v>970</v>
      </c>
      <c r="D84" s="3" t="s">
        <v>997</v>
      </c>
      <c r="E84" s="3" t="s">
        <v>997</v>
      </c>
      <c r="F84" s="3" t="s">
        <v>324</v>
      </c>
      <c r="G84" s="3" t="s">
        <v>325</v>
      </c>
    </row>
    <row r="85" spans="1:7" s="98" customFormat="1" x14ac:dyDescent="0.2">
      <c r="A85" s="99" t="s">
        <v>5</v>
      </c>
      <c r="B85" s="99" t="s">
        <v>1029</v>
      </c>
      <c r="C85" s="150" t="s">
        <v>970</v>
      </c>
      <c r="D85" s="99" t="s">
        <v>997</v>
      </c>
      <c r="E85" s="99" t="s">
        <v>997</v>
      </c>
      <c r="F85" s="99" t="s">
        <v>204</v>
      </c>
      <c r="G85" s="99" t="s">
        <v>399</v>
      </c>
    </row>
    <row r="86" spans="1:7" s="98" customFormat="1" x14ac:dyDescent="0.2">
      <c r="A86" s="99" t="s">
        <v>5</v>
      </c>
      <c r="B86" s="99" t="s">
        <v>1021</v>
      </c>
      <c r="C86" s="150" t="s">
        <v>970</v>
      </c>
      <c r="D86" s="99" t="s">
        <v>997</v>
      </c>
      <c r="E86" s="99" t="s">
        <v>997</v>
      </c>
      <c r="F86" s="99" t="s">
        <v>204</v>
      </c>
      <c r="G86" s="99" t="s">
        <v>407</v>
      </c>
    </row>
    <row r="87" spans="1:7" x14ac:dyDescent="0.2">
      <c r="A87" s="3" t="s">
        <v>378</v>
      </c>
      <c r="B87" s="3" t="s">
        <v>974</v>
      </c>
      <c r="C87" s="150" t="s">
        <v>970</v>
      </c>
      <c r="D87" s="3" t="s">
        <v>997</v>
      </c>
      <c r="E87" s="3" t="s">
        <v>997</v>
      </c>
      <c r="F87" s="3" t="s">
        <v>371</v>
      </c>
      <c r="G87" s="3" t="s">
        <v>372</v>
      </c>
    </row>
    <row r="88" spans="1:7" x14ac:dyDescent="0.2">
      <c r="A88" s="102" t="s">
        <v>378</v>
      </c>
      <c r="B88" s="102" t="s">
        <v>1030</v>
      </c>
      <c r="C88" s="150" t="s">
        <v>970</v>
      </c>
      <c r="D88" s="102" t="s">
        <v>997</v>
      </c>
      <c r="E88" s="113" t="s">
        <v>997</v>
      </c>
      <c r="F88" s="113" t="s">
        <v>371</v>
      </c>
      <c r="G88" s="113" t="s">
        <v>726</v>
      </c>
    </row>
    <row r="89" spans="1:7" x14ac:dyDescent="0.2">
      <c r="A89" s="99" t="s">
        <v>423</v>
      </c>
      <c r="B89" s="99" t="s">
        <v>1031</v>
      </c>
      <c r="C89" s="150" t="s">
        <v>970</v>
      </c>
      <c r="D89" s="99" t="s">
        <v>997</v>
      </c>
      <c r="E89" s="99" t="s">
        <v>997</v>
      </c>
      <c r="F89" s="99" t="s">
        <v>317</v>
      </c>
      <c r="G89" s="99" t="s">
        <v>419</v>
      </c>
    </row>
    <row r="90" spans="1:7" x14ac:dyDescent="0.2">
      <c r="A90" s="99" t="s">
        <v>423</v>
      </c>
      <c r="B90" s="99" t="s">
        <v>1032</v>
      </c>
      <c r="C90" s="150" t="s">
        <v>970</v>
      </c>
      <c r="D90" s="99" t="s">
        <v>997</v>
      </c>
      <c r="E90" s="99" t="s">
        <v>997</v>
      </c>
      <c r="F90" s="99" t="s">
        <v>317</v>
      </c>
      <c r="G90" s="99" t="s">
        <v>874</v>
      </c>
    </row>
    <row r="91" spans="1:7" x14ac:dyDescent="0.2">
      <c r="A91" s="3" t="s">
        <v>359</v>
      </c>
      <c r="B91" s="3" t="s">
        <v>272</v>
      </c>
      <c r="C91" s="150" t="s">
        <v>969</v>
      </c>
      <c r="D91" s="3" t="s">
        <v>272</v>
      </c>
      <c r="E91" s="3" t="s">
        <v>10</v>
      </c>
      <c r="F91" s="3" t="s">
        <v>360</v>
      </c>
      <c r="G91" s="3" t="s">
        <v>361</v>
      </c>
    </row>
    <row r="92" spans="1:7" x14ac:dyDescent="0.2">
      <c r="A92" s="3" t="s">
        <v>12</v>
      </c>
      <c r="B92" s="3" t="s">
        <v>975</v>
      </c>
      <c r="C92" s="150" t="s">
        <v>973</v>
      </c>
      <c r="D92" s="3" t="s">
        <v>975</v>
      </c>
      <c r="E92" s="3" t="s">
        <v>97</v>
      </c>
      <c r="F92" s="3" t="s">
        <v>289</v>
      </c>
      <c r="G92" s="3" t="s">
        <v>191</v>
      </c>
    </row>
    <row r="93" spans="1:7" x14ac:dyDescent="0.2">
      <c r="A93" s="3" t="s">
        <v>309</v>
      </c>
      <c r="B93" s="3" t="s">
        <v>1033</v>
      </c>
      <c r="C93" s="150" t="s">
        <v>970</v>
      </c>
      <c r="D93" s="3" t="s">
        <v>997</v>
      </c>
      <c r="E93" s="3" t="s">
        <v>997</v>
      </c>
      <c r="F93" s="3" t="s">
        <v>203</v>
      </c>
      <c r="G93" s="3" t="s">
        <v>170</v>
      </c>
    </row>
    <row r="94" spans="1:7" x14ac:dyDescent="0.2">
      <c r="A94" s="3" t="s">
        <v>444</v>
      </c>
      <c r="B94" s="3" t="s">
        <v>1030</v>
      </c>
      <c r="C94" s="150" t="s">
        <v>970</v>
      </c>
      <c r="D94" s="3" t="s">
        <v>997</v>
      </c>
      <c r="E94" s="3" t="s">
        <v>997</v>
      </c>
      <c r="F94" s="3" t="s">
        <v>445</v>
      </c>
      <c r="G94" s="3" t="s">
        <v>446</v>
      </c>
    </row>
    <row r="95" spans="1:7" x14ac:dyDescent="0.2">
      <c r="A95" s="3" t="s">
        <v>425</v>
      </c>
      <c r="B95" s="3" t="s">
        <v>1019</v>
      </c>
      <c r="C95" s="150" t="s">
        <v>970</v>
      </c>
      <c r="D95" s="3" t="s">
        <v>997</v>
      </c>
      <c r="E95" s="3" t="s">
        <v>997</v>
      </c>
      <c r="F95" s="3" t="s">
        <v>415</v>
      </c>
      <c r="G95" s="3" t="s">
        <v>414</v>
      </c>
    </row>
    <row r="96" spans="1:7" x14ac:dyDescent="0.2">
      <c r="A96" s="3" t="s">
        <v>19</v>
      </c>
      <c r="B96" s="3" t="s">
        <v>1010</v>
      </c>
      <c r="C96" s="150" t="s">
        <v>970</v>
      </c>
      <c r="D96" s="3" t="s">
        <v>997</v>
      </c>
      <c r="E96" s="3" t="s">
        <v>997</v>
      </c>
      <c r="F96" s="3" t="s">
        <v>202</v>
      </c>
      <c r="G96" s="3" t="s">
        <v>165</v>
      </c>
    </row>
    <row r="97" spans="1:7" x14ac:dyDescent="0.2">
      <c r="A97" s="3" t="s">
        <v>94</v>
      </c>
      <c r="B97" s="3" t="s">
        <v>974</v>
      </c>
      <c r="C97" s="150" t="s">
        <v>970</v>
      </c>
      <c r="D97" s="3" t="s">
        <v>997</v>
      </c>
      <c r="E97" s="3" t="s">
        <v>997</v>
      </c>
      <c r="F97" s="3" t="s">
        <v>200</v>
      </c>
      <c r="G97" s="3" t="s">
        <v>176</v>
      </c>
    </row>
    <row r="98" spans="1:7" ht="51" x14ac:dyDescent="0.2">
      <c r="A98" s="3" t="s">
        <v>395</v>
      </c>
      <c r="B98" s="3" t="s">
        <v>269</v>
      </c>
      <c r="C98" s="134" t="s">
        <v>968</v>
      </c>
      <c r="D98" s="3" t="s">
        <v>269</v>
      </c>
      <c r="E98" s="3" t="s">
        <v>93</v>
      </c>
      <c r="F98" s="3" t="s">
        <v>394</v>
      </c>
      <c r="G98" s="3" t="s">
        <v>393</v>
      </c>
    </row>
    <row r="99" spans="1:7" x14ac:dyDescent="0.2">
      <c r="A99" s="3" t="s">
        <v>311</v>
      </c>
      <c r="B99" s="3" t="s">
        <v>1034</v>
      </c>
      <c r="C99" s="150" t="s">
        <v>970</v>
      </c>
      <c r="D99" s="3" t="s">
        <v>997</v>
      </c>
      <c r="E99" s="3" t="s">
        <v>997</v>
      </c>
      <c r="F99" s="3" t="s">
        <v>284</v>
      </c>
      <c r="G99" s="3" t="s">
        <v>285</v>
      </c>
    </row>
    <row r="100" spans="1:7" x14ac:dyDescent="0.2">
      <c r="A100" s="3" t="s">
        <v>410</v>
      </c>
      <c r="B100" s="3" t="s">
        <v>1002</v>
      </c>
      <c r="C100" s="150" t="s">
        <v>970</v>
      </c>
      <c r="D100" s="3" t="s">
        <v>997</v>
      </c>
      <c r="E100" s="3" t="s">
        <v>997</v>
      </c>
      <c r="F100" s="3" t="s">
        <v>409</v>
      </c>
      <c r="G100" s="3" t="s">
        <v>408</v>
      </c>
    </row>
    <row r="101" spans="1:7" x14ac:dyDescent="0.2">
      <c r="A101" s="3" t="s">
        <v>37</v>
      </c>
      <c r="B101" s="3" t="s">
        <v>1005</v>
      </c>
      <c r="C101" s="150" t="s">
        <v>970</v>
      </c>
      <c r="D101" s="3" t="s">
        <v>997</v>
      </c>
      <c r="E101" s="3" t="s">
        <v>997</v>
      </c>
      <c r="F101" s="3" t="s">
        <v>222</v>
      </c>
      <c r="G101" s="3" t="s">
        <v>178</v>
      </c>
    </row>
    <row r="102" spans="1:7" x14ac:dyDescent="0.2">
      <c r="A102" s="3" t="s">
        <v>21</v>
      </c>
      <c r="B102" s="150" t="s">
        <v>982</v>
      </c>
      <c r="C102" s="150" t="s">
        <v>982</v>
      </c>
      <c r="D102" s="150" t="s">
        <v>982</v>
      </c>
      <c r="E102" s="3" t="s">
        <v>98</v>
      </c>
      <c r="F102" s="3" t="s">
        <v>234</v>
      </c>
      <c r="G102" s="3" t="s">
        <v>172</v>
      </c>
    </row>
    <row r="103" spans="1:7" x14ac:dyDescent="0.2">
      <c r="A103" s="3" t="s">
        <v>233</v>
      </c>
      <c r="B103" s="3" t="s">
        <v>198</v>
      </c>
      <c r="C103" s="150" t="s">
        <v>198</v>
      </c>
      <c r="D103" s="3" t="s">
        <v>198</v>
      </c>
      <c r="E103" s="3" t="s">
        <v>107</v>
      </c>
      <c r="F103" s="3" t="s">
        <v>312</v>
      </c>
      <c r="G103" s="3" t="s">
        <v>313</v>
      </c>
    </row>
    <row r="104" spans="1:7" x14ac:dyDescent="0.2">
      <c r="A104" s="3" t="s">
        <v>398</v>
      </c>
      <c r="B104" s="3" t="s">
        <v>1035</v>
      </c>
      <c r="C104" s="150" t="s">
        <v>970</v>
      </c>
      <c r="D104" s="3" t="s">
        <v>997</v>
      </c>
      <c r="E104" s="3" t="s">
        <v>997</v>
      </c>
      <c r="F104" s="3" t="s">
        <v>205</v>
      </c>
      <c r="G104" s="3" t="s">
        <v>187</v>
      </c>
    </row>
    <row r="105" spans="1:7" x14ac:dyDescent="0.2">
      <c r="A105" s="3" t="s">
        <v>34</v>
      </c>
      <c r="B105" s="3" t="s">
        <v>1036</v>
      </c>
      <c r="C105" s="150" t="s">
        <v>970</v>
      </c>
      <c r="D105" s="3" t="s">
        <v>997</v>
      </c>
      <c r="E105" s="3" t="s">
        <v>997</v>
      </c>
      <c r="F105" s="3" t="s">
        <v>237</v>
      </c>
      <c r="G105" s="3" t="s">
        <v>238</v>
      </c>
    </row>
    <row r="106" spans="1:7" x14ac:dyDescent="0.2">
      <c r="A106" s="3" t="s">
        <v>495</v>
      </c>
      <c r="B106" s="3" t="s">
        <v>1007</v>
      </c>
      <c r="C106" s="150" t="s">
        <v>970</v>
      </c>
      <c r="D106" s="3" t="s">
        <v>198</v>
      </c>
      <c r="E106" s="3" t="s">
        <v>107</v>
      </c>
      <c r="F106" s="3" t="s">
        <v>373</v>
      </c>
      <c r="G106" s="3" t="s">
        <v>374</v>
      </c>
    </row>
    <row r="107" spans="1:7" x14ac:dyDescent="0.2">
      <c r="A107" s="102" t="s">
        <v>727</v>
      </c>
      <c r="B107" s="150" t="s">
        <v>982</v>
      </c>
      <c r="C107" s="150" t="s">
        <v>982</v>
      </c>
      <c r="D107" s="150" t="s">
        <v>982</v>
      </c>
      <c r="E107" s="113" t="s">
        <v>98</v>
      </c>
      <c r="F107" s="113" t="s">
        <v>728</v>
      </c>
      <c r="G107" s="113" t="s">
        <v>729</v>
      </c>
    </row>
    <row r="108" spans="1:7" x14ac:dyDescent="0.2">
      <c r="A108" s="3" t="s">
        <v>459</v>
      </c>
      <c r="B108" s="3" t="s">
        <v>553</v>
      </c>
      <c r="C108" s="150" t="s">
        <v>970</v>
      </c>
      <c r="D108" s="3" t="s">
        <v>997</v>
      </c>
      <c r="E108" s="3" t="s">
        <v>997</v>
      </c>
      <c r="F108" s="3" t="s">
        <v>320</v>
      </c>
      <c r="G108" s="3" t="s">
        <v>321</v>
      </c>
    </row>
    <row r="109" spans="1:7" x14ac:dyDescent="0.2">
      <c r="A109" s="3" t="s">
        <v>24</v>
      </c>
      <c r="B109" s="3" t="s">
        <v>1005</v>
      </c>
      <c r="C109" s="150" t="s">
        <v>970</v>
      </c>
      <c r="D109" s="3" t="s">
        <v>997</v>
      </c>
      <c r="E109" s="3" t="s">
        <v>997</v>
      </c>
      <c r="F109" s="3" t="s">
        <v>229</v>
      </c>
      <c r="G109" s="3" t="s">
        <v>308</v>
      </c>
    </row>
    <row r="110" spans="1:7" x14ac:dyDescent="0.2">
      <c r="A110" s="3" t="s">
        <v>455</v>
      </c>
      <c r="B110" s="3" t="s">
        <v>456</v>
      </c>
      <c r="C110" s="150" t="s">
        <v>969</v>
      </c>
      <c r="D110" s="3" t="s">
        <v>456</v>
      </c>
      <c r="E110" s="3" t="s">
        <v>10</v>
      </c>
      <c r="F110" s="3" t="s">
        <v>457</v>
      </c>
      <c r="G110" s="3" t="s">
        <v>458</v>
      </c>
    </row>
    <row r="111" spans="1:7" x14ac:dyDescent="0.2">
      <c r="A111" s="3" t="s">
        <v>418</v>
      </c>
      <c r="B111" s="3" t="s">
        <v>1029</v>
      </c>
      <c r="C111" s="150" t="s">
        <v>970</v>
      </c>
      <c r="D111" s="3" t="s">
        <v>997</v>
      </c>
      <c r="E111" s="3" t="s">
        <v>997</v>
      </c>
      <c r="F111" s="3" t="s">
        <v>417</v>
      </c>
      <c r="G111" s="3" t="s">
        <v>416</v>
      </c>
    </row>
    <row r="112" spans="1:7" x14ac:dyDescent="0.2">
      <c r="A112" s="3" t="s">
        <v>329</v>
      </c>
      <c r="B112" s="3" t="s">
        <v>330</v>
      </c>
      <c r="C112" s="150" t="s">
        <v>969</v>
      </c>
      <c r="D112" s="3" t="s">
        <v>330</v>
      </c>
      <c r="E112" s="3" t="s">
        <v>10</v>
      </c>
      <c r="F112" s="3" t="s">
        <v>331</v>
      </c>
      <c r="G112" s="3" t="s">
        <v>332</v>
      </c>
    </row>
    <row r="113" spans="1:7" x14ac:dyDescent="0.2">
      <c r="A113" s="3" t="s">
        <v>33</v>
      </c>
      <c r="B113" s="3" t="s">
        <v>1037</v>
      </c>
      <c r="C113" s="150" t="s">
        <v>970</v>
      </c>
      <c r="D113" s="3" t="s">
        <v>997</v>
      </c>
      <c r="E113" s="3" t="s">
        <v>997</v>
      </c>
    </row>
    <row r="114" spans="1:7" s="98" customFormat="1" ht="51" x14ac:dyDescent="0.2">
      <c r="A114" s="99" t="s">
        <v>28</v>
      </c>
      <c r="B114" s="99" t="s">
        <v>269</v>
      </c>
      <c r="C114" s="134" t="s">
        <v>968</v>
      </c>
      <c r="D114" s="99" t="s">
        <v>269</v>
      </c>
      <c r="E114" s="99" t="s">
        <v>93</v>
      </c>
      <c r="F114" s="101"/>
      <c r="G114" s="101"/>
    </row>
    <row r="115" spans="1:7" s="98" customFormat="1" x14ac:dyDescent="0.2">
      <c r="A115" s="99" t="s">
        <v>28</v>
      </c>
      <c r="B115" s="99" t="s">
        <v>988</v>
      </c>
      <c r="C115" s="150" t="s">
        <v>987</v>
      </c>
      <c r="D115" s="99" t="s">
        <v>988</v>
      </c>
      <c r="E115" s="99" t="s">
        <v>411</v>
      </c>
      <c r="F115" s="101"/>
      <c r="G115" s="101"/>
    </row>
    <row r="116" spans="1:7" s="98" customFormat="1" x14ac:dyDescent="0.2">
      <c r="A116" s="99" t="s">
        <v>28</v>
      </c>
      <c r="B116" s="99" t="s">
        <v>1015</v>
      </c>
      <c r="C116" s="150" t="s">
        <v>970</v>
      </c>
      <c r="D116" s="99" t="s">
        <v>997</v>
      </c>
      <c r="E116" s="99" t="s">
        <v>997</v>
      </c>
      <c r="F116" s="99" t="s">
        <v>209</v>
      </c>
      <c r="G116" s="99" t="s">
        <v>362</v>
      </c>
    </row>
    <row r="117" spans="1:7" x14ac:dyDescent="0.2">
      <c r="A117" s="3" t="s">
        <v>431</v>
      </c>
      <c r="B117" s="3" t="s">
        <v>1004</v>
      </c>
      <c r="C117" s="150" t="s">
        <v>970</v>
      </c>
      <c r="D117" s="3" t="s">
        <v>997</v>
      </c>
      <c r="E117" s="3" t="s">
        <v>997</v>
      </c>
      <c r="F117" s="3" t="s">
        <v>376</v>
      </c>
      <c r="G117" s="3" t="s">
        <v>432</v>
      </c>
    </row>
    <row r="118" spans="1:7" x14ac:dyDescent="0.2">
      <c r="A118" s="3" t="s">
        <v>424</v>
      </c>
      <c r="B118" s="3" t="s">
        <v>1016</v>
      </c>
      <c r="C118" s="150" t="s">
        <v>970</v>
      </c>
      <c r="D118" s="3" t="s">
        <v>997</v>
      </c>
      <c r="E118" s="3" t="s">
        <v>997</v>
      </c>
      <c r="F118" s="3" t="s">
        <v>401</v>
      </c>
      <c r="G118" s="3" t="s">
        <v>400</v>
      </c>
    </row>
    <row r="119" spans="1:7" s="98" customFormat="1" x14ac:dyDescent="0.2">
      <c r="A119" s="99" t="s">
        <v>29</v>
      </c>
      <c r="B119" s="99" t="s">
        <v>979</v>
      </c>
      <c r="C119" s="150" t="s">
        <v>970</v>
      </c>
      <c r="D119" s="99" t="s">
        <v>997</v>
      </c>
      <c r="E119" s="99" t="s">
        <v>997</v>
      </c>
      <c r="F119" s="99" t="s">
        <v>264</v>
      </c>
      <c r="G119" s="99" t="s">
        <v>193</v>
      </c>
    </row>
    <row r="120" spans="1:7" s="98" customFormat="1" x14ac:dyDescent="0.2">
      <c r="A120" s="99" t="s">
        <v>29</v>
      </c>
      <c r="B120" s="99" t="s">
        <v>1029</v>
      </c>
      <c r="C120" s="150" t="s">
        <v>970</v>
      </c>
      <c r="D120" s="99" t="s">
        <v>997</v>
      </c>
      <c r="E120" s="99" t="s">
        <v>997</v>
      </c>
      <c r="F120" s="99" t="s">
        <v>264</v>
      </c>
      <c r="G120" s="99" t="s">
        <v>280</v>
      </c>
    </row>
    <row r="121" spans="1:7" s="98" customFormat="1" x14ac:dyDescent="0.2">
      <c r="A121" s="99" t="s">
        <v>29</v>
      </c>
      <c r="B121" s="99" t="s">
        <v>1012</v>
      </c>
      <c r="C121" s="150" t="s">
        <v>970</v>
      </c>
      <c r="D121" s="99" t="s">
        <v>997</v>
      </c>
      <c r="E121" s="99" t="s">
        <v>997</v>
      </c>
      <c r="F121" s="99" t="s">
        <v>264</v>
      </c>
      <c r="G121" s="99" t="s">
        <v>188</v>
      </c>
    </row>
    <row r="122" spans="1:7" x14ac:dyDescent="0.2">
      <c r="A122" s="3" t="s">
        <v>462</v>
      </c>
      <c r="B122" s="5" t="s">
        <v>527</v>
      </c>
      <c r="C122" s="150" t="s">
        <v>970</v>
      </c>
      <c r="D122" s="3" t="s">
        <v>997</v>
      </c>
      <c r="E122" s="3" t="s">
        <v>997</v>
      </c>
      <c r="F122" s="3" t="s">
        <v>239</v>
      </c>
      <c r="G122" s="3" t="s">
        <v>240</v>
      </c>
    </row>
    <row r="123" spans="1:7" x14ac:dyDescent="0.2">
      <c r="A123" s="3" t="s">
        <v>479</v>
      </c>
      <c r="B123" s="3" t="s">
        <v>986</v>
      </c>
      <c r="C123" s="150" t="s">
        <v>971</v>
      </c>
      <c r="D123" s="3" t="s">
        <v>986</v>
      </c>
      <c r="E123" s="3" t="s">
        <v>96</v>
      </c>
      <c r="F123" s="3" t="s">
        <v>480</v>
      </c>
      <c r="G123" s="3" t="s">
        <v>481</v>
      </c>
    </row>
    <row r="124" spans="1:7" x14ac:dyDescent="0.2">
      <c r="A124" s="12" t="s">
        <v>15</v>
      </c>
      <c r="B124" s="12" t="s">
        <v>1038</v>
      </c>
      <c r="C124" s="150" t="s">
        <v>970</v>
      </c>
      <c r="D124" s="12" t="s">
        <v>997</v>
      </c>
      <c r="E124" t="s">
        <v>997</v>
      </c>
      <c r="F124" t="s">
        <v>221</v>
      </c>
      <c r="G124" t="s">
        <v>173</v>
      </c>
    </row>
    <row r="125" spans="1:7" x14ac:dyDescent="0.2">
      <c r="A125" s="102" t="s">
        <v>730</v>
      </c>
      <c r="B125" s="102" t="s">
        <v>985</v>
      </c>
      <c r="C125" s="150" t="s">
        <v>971</v>
      </c>
      <c r="D125" s="102" t="s">
        <v>985</v>
      </c>
      <c r="E125" s="113" t="s">
        <v>732</v>
      </c>
      <c r="F125" s="113" t="s">
        <v>733</v>
      </c>
      <c r="G125" s="113" t="s">
        <v>734</v>
      </c>
    </row>
    <row r="126" spans="1:7" x14ac:dyDescent="0.2">
      <c r="A126" s="102" t="s">
        <v>735</v>
      </c>
      <c r="B126" s="102" t="s">
        <v>1029</v>
      </c>
      <c r="C126" s="150" t="s">
        <v>970</v>
      </c>
      <c r="D126" s="102" t="s">
        <v>997</v>
      </c>
      <c r="E126" s="113" t="s">
        <v>997</v>
      </c>
      <c r="F126" s="113" t="s">
        <v>736</v>
      </c>
      <c r="G126" s="113" t="s">
        <v>737</v>
      </c>
    </row>
    <row r="127" spans="1:7" x14ac:dyDescent="0.2">
      <c r="A127" s="102" t="s">
        <v>738</v>
      </c>
      <c r="B127" s="102" t="s">
        <v>1002</v>
      </c>
      <c r="C127" s="150" t="s">
        <v>970</v>
      </c>
      <c r="D127" s="102" t="s">
        <v>997</v>
      </c>
      <c r="E127" s="113" t="s">
        <v>997</v>
      </c>
      <c r="F127" s="113" t="s">
        <v>739</v>
      </c>
      <c r="G127" s="113" t="s">
        <v>740</v>
      </c>
    </row>
    <row r="128" spans="1:7" ht="51" x14ac:dyDescent="0.2">
      <c r="A128" s="125" t="s">
        <v>914</v>
      </c>
      <c r="B128" s="125" t="s">
        <v>893</v>
      </c>
      <c r="C128" s="134" t="s">
        <v>968</v>
      </c>
      <c r="D128" s="125" t="s">
        <v>893</v>
      </c>
      <c r="E128" s="125" t="s">
        <v>870</v>
      </c>
      <c r="F128" s="125" t="s">
        <v>915</v>
      </c>
      <c r="G128" s="125" t="s">
        <v>916</v>
      </c>
    </row>
    <row r="129" spans="1:7" s="135" customFormat="1" ht="51" x14ac:dyDescent="0.2">
      <c r="A129" s="135" t="s">
        <v>962</v>
      </c>
      <c r="B129" s="135" t="s">
        <v>824</v>
      </c>
      <c r="C129" s="134" t="s">
        <v>968</v>
      </c>
      <c r="D129" s="135" t="s">
        <v>824</v>
      </c>
      <c r="E129" s="135" t="s">
        <v>824</v>
      </c>
      <c r="F129" s="135" t="s">
        <v>963</v>
      </c>
      <c r="G129" s="135" t="s">
        <v>964</v>
      </c>
    </row>
    <row r="130" spans="1:7" s="135" customFormat="1" x14ac:dyDescent="0.2">
      <c r="A130" s="149" t="s">
        <v>877</v>
      </c>
      <c r="B130" s="140" t="s">
        <v>1022</v>
      </c>
      <c r="C130" s="150" t="s">
        <v>970</v>
      </c>
      <c r="D130" s="140" t="s">
        <v>997</v>
      </c>
      <c r="E130" s="136" t="s">
        <v>997</v>
      </c>
      <c r="F130" s="135" t="s">
        <v>879</v>
      </c>
      <c r="G130" s="135" t="s">
        <v>961</v>
      </c>
    </row>
    <row r="131" spans="1:7" s="135" customFormat="1" x14ac:dyDescent="0.2">
      <c r="A131" s="149" t="s">
        <v>956</v>
      </c>
      <c r="B131" s="149" t="s">
        <v>990</v>
      </c>
      <c r="C131" s="150" t="s">
        <v>971</v>
      </c>
      <c r="D131" s="149" t="s">
        <v>990</v>
      </c>
      <c r="E131" s="135" t="s">
        <v>958</v>
      </c>
      <c r="F131" s="135" t="s">
        <v>959</v>
      </c>
      <c r="G131" s="135" t="s">
        <v>960</v>
      </c>
    </row>
    <row r="132" spans="1:7" s="135" customFormat="1" x14ac:dyDescent="0.2">
      <c r="A132" s="140" t="s">
        <v>753</v>
      </c>
      <c r="B132" s="140" t="s">
        <v>1001</v>
      </c>
      <c r="C132" s="150" t="s">
        <v>970</v>
      </c>
      <c r="D132" s="140" t="s">
        <v>997</v>
      </c>
      <c r="E132" s="136" t="s">
        <v>997</v>
      </c>
      <c r="F132" s="136" t="s">
        <v>754</v>
      </c>
      <c r="G132" s="136" t="s">
        <v>755</v>
      </c>
    </row>
    <row r="133" spans="1:7" s="135" customFormat="1" x14ac:dyDescent="0.2">
      <c r="A133" s="140" t="s">
        <v>756</v>
      </c>
      <c r="B133" s="140" t="s">
        <v>1039</v>
      </c>
      <c r="C133" s="150" t="s">
        <v>970</v>
      </c>
      <c r="D133" s="140" t="s">
        <v>997</v>
      </c>
      <c r="E133" s="136" t="s">
        <v>997</v>
      </c>
      <c r="F133" s="136" t="s">
        <v>197</v>
      </c>
      <c r="G133" s="136" t="s">
        <v>758</v>
      </c>
    </row>
    <row r="134" spans="1:7" s="135" customFormat="1" x14ac:dyDescent="0.2">
      <c r="A134" s="151" t="s">
        <v>596</v>
      </c>
      <c r="B134" s="151" t="s">
        <v>527</v>
      </c>
      <c r="C134" s="150" t="s">
        <v>970</v>
      </c>
      <c r="D134" s="151" t="s">
        <v>997</v>
      </c>
      <c r="E134" s="137" t="s">
        <v>997</v>
      </c>
      <c r="F134" s="137" t="s">
        <v>597</v>
      </c>
      <c r="G134" s="136" t="s">
        <v>598</v>
      </c>
    </row>
    <row r="135" spans="1:7" s="135" customFormat="1" x14ac:dyDescent="0.2">
      <c r="A135" s="153" t="s">
        <v>596</v>
      </c>
      <c r="B135" s="153" t="s">
        <v>315</v>
      </c>
      <c r="C135" s="150" t="s">
        <v>969</v>
      </c>
      <c r="D135" s="153" t="s">
        <v>315</v>
      </c>
      <c r="E135" s="138" t="s">
        <v>10</v>
      </c>
      <c r="F135" s="138" t="s">
        <v>597</v>
      </c>
      <c r="G135" s="135" t="s">
        <v>955</v>
      </c>
    </row>
    <row r="136" spans="1:7" s="135" customFormat="1" x14ac:dyDescent="0.2">
      <c r="A136" s="140" t="s">
        <v>767</v>
      </c>
      <c r="B136" s="140" t="s">
        <v>1001</v>
      </c>
      <c r="C136" s="150" t="s">
        <v>970</v>
      </c>
      <c r="D136" s="140" t="s">
        <v>997</v>
      </c>
      <c r="E136" s="123" t="s">
        <v>997</v>
      </c>
      <c r="F136" s="123" t="s">
        <v>768</v>
      </c>
      <c r="G136" s="123" t="s">
        <v>769</v>
      </c>
    </row>
    <row r="137" spans="1:7" s="135" customFormat="1" x14ac:dyDescent="0.2">
      <c r="A137" s="140" t="s">
        <v>770</v>
      </c>
      <c r="B137" s="140" t="s">
        <v>989</v>
      </c>
      <c r="C137" s="150" t="s">
        <v>987</v>
      </c>
      <c r="D137" s="140" t="s">
        <v>989</v>
      </c>
      <c r="E137" s="123" t="s">
        <v>411</v>
      </c>
      <c r="F137" s="123" t="s">
        <v>772</v>
      </c>
      <c r="G137" s="123" t="s">
        <v>773</v>
      </c>
    </row>
    <row r="138" spans="1:7" s="135" customFormat="1" x14ac:dyDescent="0.2">
      <c r="A138" s="140" t="s">
        <v>778</v>
      </c>
      <c r="B138" s="140" t="s">
        <v>1040</v>
      </c>
      <c r="C138" s="150" t="s">
        <v>970</v>
      </c>
      <c r="D138" s="140" t="s">
        <v>997</v>
      </c>
      <c r="E138" s="123" t="s">
        <v>997</v>
      </c>
      <c r="F138" s="123" t="s">
        <v>780</v>
      </c>
      <c r="G138" s="123" t="s">
        <v>781</v>
      </c>
    </row>
    <row r="139" spans="1:7" s="135" customFormat="1" x14ac:dyDescent="0.2">
      <c r="A139" s="140" t="s">
        <v>738</v>
      </c>
      <c r="B139" s="140" t="s">
        <v>1002</v>
      </c>
      <c r="C139" s="150" t="s">
        <v>970</v>
      </c>
      <c r="D139" s="140" t="s">
        <v>997</v>
      </c>
      <c r="E139" s="123" t="s">
        <v>997</v>
      </c>
      <c r="F139" s="123" t="s">
        <v>739</v>
      </c>
      <c r="G139" s="123" t="s">
        <v>740</v>
      </c>
    </row>
    <row r="140" spans="1:7" s="135" customFormat="1" x14ac:dyDescent="0.2">
      <c r="A140" s="140" t="s">
        <v>782</v>
      </c>
      <c r="B140" s="140" t="s">
        <v>198</v>
      </c>
      <c r="C140" s="150" t="s">
        <v>198</v>
      </c>
      <c r="D140" s="140" t="s">
        <v>198</v>
      </c>
      <c r="E140" s="140" t="s">
        <v>107</v>
      </c>
      <c r="F140" s="139" t="s">
        <v>351</v>
      </c>
      <c r="G140" s="139" t="s">
        <v>783</v>
      </c>
    </row>
    <row r="141" spans="1:7" s="135" customFormat="1" x14ac:dyDescent="0.2">
      <c r="A141" s="140" t="s">
        <v>784</v>
      </c>
      <c r="B141" s="140" t="s">
        <v>1041</v>
      </c>
      <c r="C141" s="150" t="s">
        <v>970</v>
      </c>
      <c r="D141" s="140" t="s">
        <v>997</v>
      </c>
      <c r="E141" s="139" t="s">
        <v>997</v>
      </c>
      <c r="F141" s="139" t="s">
        <v>786</v>
      </c>
      <c r="G141" s="139" t="s">
        <v>787</v>
      </c>
    </row>
    <row r="142" spans="1:7" s="135" customFormat="1" x14ac:dyDescent="0.2">
      <c r="A142" s="140" t="s">
        <v>789</v>
      </c>
      <c r="B142" s="3" t="s">
        <v>984</v>
      </c>
      <c r="C142" s="150" t="s">
        <v>973</v>
      </c>
      <c r="D142" s="3" t="s">
        <v>984</v>
      </c>
      <c r="E142" s="141" t="s">
        <v>97</v>
      </c>
      <c r="F142" s="141" t="s">
        <v>790</v>
      </c>
      <c r="G142" s="141" t="s">
        <v>791</v>
      </c>
    </row>
    <row r="143" spans="1:7" s="135" customFormat="1" x14ac:dyDescent="0.2">
      <c r="A143" s="140" t="s">
        <v>215</v>
      </c>
      <c r="B143" s="140" t="s">
        <v>1034</v>
      </c>
      <c r="C143" s="150" t="s">
        <v>970</v>
      </c>
      <c r="D143" s="140" t="s">
        <v>997</v>
      </c>
      <c r="E143" s="141" t="s">
        <v>997</v>
      </c>
      <c r="F143" s="141" t="s">
        <v>216</v>
      </c>
      <c r="G143" s="141" t="s">
        <v>792</v>
      </c>
    </row>
    <row r="144" spans="1:7" s="135" customFormat="1" x14ac:dyDescent="0.2">
      <c r="A144" s="142" t="s">
        <v>793</v>
      </c>
      <c r="B144" s="142" t="s">
        <v>527</v>
      </c>
      <c r="C144" s="150" t="s">
        <v>970</v>
      </c>
      <c r="D144" s="142" t="s">
        <v>997</v>
      </c>
      <c r="E144" s="142" t="s">
        <v>997</v>
      </c>
      <c r="F144" s="123" t="s">
        <v>794</v>
      </c>
      <c r="G144" s="123" t="s">
        <v>795</v>
      </c>
    </row>
    <row r="145" spans="1:7" s="135" customFormat="1" x14ac:dyDescent="0.2">
      <c r="A145" s="140" t="s">
        <v>796</v>
      </c>
      <c r="B145" s="3" t="s">
        <v>984</v>
      </c>
      <c r="C145" s="150" t="s">
        <v>973</v>
      </c>
      <c r="D145" s="3" t="s">
        <v>984</v>
      </c>
      <c r="E145" s="123" t="s">
        <v>97</v>
      </c>
      <c r="F145" s="123" t="s">
        <v>797</v>
      </c>
      <c r="G145" s="123" t="s">
        <v>798</v>
      </c>
    </row>
    <row r="146" spans="1:7" s="135" customFormat="1" x14ac:dyDescent="0.2">
      <c r="A146" s="140" t="s">
        <v>799</v>
      </c>
      <c r="B146" s="140" t="s">
        <v>800</v>
      </c>
      <c r="C146" s="150" t="s">
        <v>969</v>
      </c>
      <c r="D146" s="140" t="s">
        <v>800</v>
      </c>
      <c r="E146" s="123" t="s">
        <v>10</v>
      </c>
      <c r="F146" s="123" t="s">
        <v>801</v>
      </c>
      <c r="G146" s="123" t="s">
        <v>802</v>
      </c>
    </row>
    <row r="147" spans="1:7" s="135" customFormat="1" x14ac:dyDescent="0.2">
      <c r="A147" s="140" t="s">
        <v>803</v>
      </c>
      <c r="B147" s="142" t="s">
        <v>1042</v>
      </c>
      <c r="C147" s="150" t="s">
        <v>970</v>
      </c>
      <c r="D147" s="142" t="s">
        <v>997</v>
      </c>
      <c r="E147" s="142" t="s">
        <v>997</v>
      </c>
      <c r="F147" s="123" t="s">
        <v>804</v>
      </c>
      <c r="G147" s="123" t="s">
        <v>805</v>
      </c>
    </row>
    <row r="148" spans="1:7" s="135" customFormat="1" x14ac:dyDescent="0.2">
      <c r="A148" s="140" t="s">
        <v>806</v>
      </c>
      <c r="B148" s="140" t="s">
        <v>1003</v>
      </c>
      <c r="C148" s="150" t="s">
        <v>970</v>
      </c>
      <c r="D148" s="140" t="s">
        <v>997</v>
      </c>
      <c r="E148" s="123" t="s">
        <v>997</v>
      </c>
      <c r="F148" s="123" t="s">
        <v>807</v>
      </c>
      <c r="G148" s="123" t="s">
        <v>808</v>
      </c>
    </row>
    <row r="149" spans="1:7" s="135" customFormat="1" x14ac:dyDescent="0.2">
      <c r="A149" s="151" t="s">
        <v>813</v>
      </c>
      <c r="B149" s="140" t="s">
        <v>992</v>
      </c>
      <c r="C149" s="150" t="s">
        <v>971</v>
      </c>
      <c r="D149" s="140" t="s">
        <v>992</v>
      </c>
      <c r="E149" s="123" t="s">
        <v>452</v>
      </c>
      <c r="F149" s="123" t="s">
        <v>199</v>
      </c>
      <c r="G149" s="123" t="s">
        <v>815</v>
      </c>
    </row>
    <row r="150" spans="1:7" s="135" customFormat="1" x14ac:dyDescent="0.2">
      <c r="A150" s="140" t="s">
        <v>816</v>
      </c>
      <c r="B150" s="140" t="s">
        <v>1040</v>
      </c>
      <c r="C150" s="150" t="s">
        <v>970</v>
      </c>
      <c r="D150" s="140" t="s">
        <v>997</v>
      </c>
      <c r="E150" s="123" t="s">
        <v>997</v>
      </c>
      <c r="F150" s="123" t="s">
        <v>817</v>
      </c>
      <c r="G150" s="123" t="s">
        <v>818</v>
      </c>
    </row>
    <row r="151" spans="1:7" s="135" customFormat="1" x14ac:dyDescent="0.2">
      <c r="A151" s="149" t="s">
        <v>819</v>
      </c>
      <c r="B151" s="150" t="s">
        <v>982</v>
      </c>
      <c r="C151" s="150" t="s">
        <v>982</v>
      </c>
      <c r="D151" s="150" t="s">
        <v>982</v>
      </c>
      <c r="E151" s="135" t="s">
        <v>98</v>
      </c>
      <c r="F151" s="135" t="s">
        <v>820</v>
      </c>
      <c r="G151" s="135" t="s">
        <v>821</v>
      </c>
    </row>
    <row r="152" spans="1:7" s="135" customFormat="1" x14ac:dyDescent="0.2">
      <c r="A152" s="140" t="s">
        <v>368</v>
      </c>
      <c r="B152" s="140" t="s">
        <v>1043</v>
      </c>
      <c r="C152" s="150" t="s">
        <v>970</v>
      </c>
      <c r="D152" s="140" t="s">
        <v>997</v>
      </c>
      <c r="E152" s="123" t="s">
        <v>997</v>
      </c>
      <c r="F152" s="123" t="s">
        <v>369</v>
      </c>
      <c r="G152" s="123" t="s">
        <v>822</v>
      </c>
    </row>
    <row r="153" spans="1:7" s="135" customFormat="1" x14ac:dyDescent="0.2">
      <c r="A153" s="140" t="s">
        <v>835</v>
      </c>
      <c r="B153" s="140" t="s">
        <v>1044</v>
      </c>
      <c r="C153" s="150" t="s">
        <v>970</v>
      </c>
      <c r="D153" s="140" t="s">
        <v>997</v>
      </c>
      <c r="E153" s="123" t="s">
        <v>997</v>
      </c>
      <c r="F153" s="123" t="s">
        <v>836</v>
      </c>
      <c r="G153" s="123" t="s">
        <v>837</v>
      </c>
    </row>
    <row r="154" spans="1:7" s="135" customFormat="1" x14ac:dyDescent="0.2">
      <c r="A154" s="149" t="s">
        <v>839</v>
      </c>
      <c r="B154" s="149" t="s">
        <v>996</v>
      </c>
      <c r="C154" s="150" t="s">
        <v>970</v>
      </c>
      <c r="D154" s="149" t="s">
        <v>997</v>
      </c>
      <c r="E154" s="135" t="s">
        <v>997</v>
      </c>
      <c r="F154" s="135" t="s">
        <v>840</v>
      </c>
      <c r="G154" s="135" t="s">
        <v>841</v>
      </c>
    </row>
    <row r="155" spans="1:7" s="135" customFormat="1" x14ac:dyDescent="0.2">
      <c r="A155" s="140" t="s">
        <v>842</v>
      </c>
      <c r="B155" s="140" t="s">
        <v>1038</v>
      </c>
      <c r="C155" s="150" t="s">
        <v>970</v>
      </c>
      <c r="D155" s="140" t="s">
        <v>997</v>
      </c>
      <c r="E155" s="121" t="s">
        <v>997</v>
      </c>
      <c r="F155" s="121" t="s">
        <v>843</v>
      </c>
      <c r="G155" s="121" t="s">
        <v>844</v>
      </c>
    </row>
    <row r="156" spans="1:7" s="135" customFormat="1" x14ac:dyDescent="0.2">
      <c r="A156" s="140" t="s">
        <v>875</v>
      </c>
      <c r="B156" s="149" t="s">
        <v>1045</v>
      </c>
      <c r="C156" s="150" t="s">
        <v>970</v>
      </c>
      <c r="D156" s="149" t="s">
        <v>997</v>
      </c>
      <c r="E156" s="135" t="s">
        <v>997</v>
      </c>
      <c r="F156" s="121" t="s">
        <v>846</v>
      </c>
      <c r="G156" s="121" t="s">
        <v>847</v>
      </c>
    </row>
    <row r="157" spans="1:7" s="135" customFormat="1" x14ac:dyDescent="0.2">
      <c r="A157" s="140" t="s">
        <v>848</v>
      </c>
      <c r="B157" s="140" t="s">
        <v>1003</v>
      </c>
      <c r="C157" s="150" t="s">
        <v>970</v>
      </c>
      <c r="D157" s="140" t="s">
        <v>997</v>
      </c>
      <c r="E157" s="121" t="s">
        <v>997</v>
      </c>
      <c r="F157" s="121" t="s">
        <v>849</v>
      </c>
      <c r="G157" s="121" t="s">
        <v>850</v>
      </c>
    </row>
    <row r="158" spans="1:7" s="135" customFormat="1" x14ac:dyDescent="0.2">
      <c r="A158" s="140" t="s">
        <v>858</v>
      </c>
      <c r="B158" s="140" t="s">
        <v>546</v>
      </c>
      <c r="C158" s="150" t="s">
        <v>970</v>
      </c>
      <c r="D158" s="140" t="s">
        <v>997</v>
      </c>
      <c r="E158" s="143" t="s">
        <v>997</v>
      </c>
      <c r="F158" s="143" t="s">
        <v>859</v>
      </c>
      <c r="G158" s="143" t="s">
        <v>860</v>
      </c>
    </row>
    <row r="159" spans="1:7" s="135" customFormat="1" x14ac:dyDescent="0.2">
      <c r="A159" s="140" t="s">
        <v>861</v>
      </c>
      <c r="B159" s="140" t="s">
        <v>1029</v>
      </c>
      <c r="C159" s="150" t="s">
        <v>970</v>
      </c>
      <c r="D159" s="140" t="s">
        <v>997</v>
      </c>
      <c r="E159" s="143" t="s">
        <v>997</v>
      </c>
      <c r="F159" s="143" t="s">
        <v>862</v>
      </c>
      <c r="G159" s="143" t="s">
        <v>863</v>
      </c>
    </row>
    <row r="160" spans="1:7" s="135" customFormat="1" x14ac:dyDescent="0.2">
      <c r="A160" s="140" t="s">
        <v>864</v>
      </c>
      <c r="B160" s="140" t="s">
        <v>1043</v>
      </c>
      <c r="C160" s="150" t="s">
        <v>970</v>
      </c>
      <c r="D160" s="140" t="s">
        <v>997</v>
      </c>
      <c r="E160" s="143" t="s">
        <v>997</v>
      </c>
      <c r="F160" s="143" t="s">
        <v>866</v>
      </c>
      <c r="G160" s="143" t="s">
        <v>867</v>
      </c>
    </row>
    <row r="161" spans="1:7" s="135" customFormat="1" ht="51" x14ac:dyDescent="0.2">
      <c r="A161" s="143" t="s">
        <v>868</v>
      </c>
      <c r="B161" s="143" t="s">
        <v>869</v>
      </c>
      <c r="C161" s="134" t="s">
        <v>968</v>
      </c>
      <c r="D161" s="143" t="s">
        <v>869</v>
      </c>
      <c r="E161" s="143" t="s">
        <v>870</v>
      </c>
      <c r="F161" s="143" t="s">
        <v>871</v>
      </c>
      <c r="G161" s="143" t="s">
        <v>872</v>
      </c>
    </row>
    <row r="162" spans="1:7" s="135" customFormat="1" x14ac:dyDescent="0.2">
      <c r="A162" s="151" t="s">
        <v>877</v>
      </c>
      <c r="B162" s="151" t="s">
        <v>993</v>
      </c>
      <c r="C162" s="150" t="s">
        <v>987</v>
      </c>
      <c r="D162" s="151" t="s">
        <v>993</v>
      </c>
      <c r="E162" s="137" t="s">
        <v>411</v>
      </c>
      <c r="F162" s="123" t="s">
        <v>879</v>
      </c>
      <c r="G162" s="123" t="s">
        <v>880</v>
      </c>
    </row>
    <row r="163" spans="1:7" s="135" customFormat="1" x14ac:dyDescent="0.2">
      <c r="A163" s="140" t="s">
        <v>881</v>
      </c>
      <c r="B163" s="140" t="s">
        <v>994</v>
      </c>
      <c r="C163" s="150" t="s">
        <v>971</v>
      </c>
      <c r="D163" s="140" t="s">
        <v>994</v>
      </c>
      <c r="E163" s="123" t="s">
        <v>96</v>
      </c>
      <c r="F163" s="123" t="s">
        <v>883</v>
      </c>
      <c r="G163" s="123" t="s">
        <v>884</v>
      </c>
    </row>
    <row r="164" spans="1:7" s="135" customFormat="1" x14ac:dyDescent="0.2">
      <c r="A164" s="149" t="s">
        <v>885</v>
      </c>
      <c r="B164" s="152" t="s">
        <v>198</v>
      </c>
      <c r="C164" s="150" t="s">
        <v>198</v>
      </c>
      <c r="D164" s="152" t="s">
        <v>198</v>
      </c>
      <c r="E164" s="144" t="s">
        <v>107</v>
      </c>
      <c r="F164" s="144" t="s">
        <v>886</v>
      </c>
      <c r="G164" s="144" t="s">
        <v>887</v>
      </c>
    </row>
    <row r="165" spans="1:7" s="135" customFormat="1" x14ac:dyDescent="0.2">
      <c r="A165" s="144" t="s">
        <v>888</v>
      </c>
      <c r="B165" s="144" t="s">
        <v>889</v>
      </c>
      <c r="C165" s="144"/>
      <c r="D165" s="144" t="s">
        <v>889</v>
      </c>
      <c r="E165" s="144" t="s">
        <v>314</v>
      </c>
      <c r="F165" s="144" t="s">
        <v>890</v>
      </c>
      <c r="G165" s="144" t="s">
        <v>891</v>
      </c>
    </row>
    <row r="166" spans="1:7" s="135" customFormat="1" ht="51" x14ac:dyDescent="0.2">
      <c r="A166" s="144" t="s">
        <v>892</v>
      </c>
      <c r="B166" s="144" t="s">
        <v>893</v>
      </c>
      <c r="C166" s="134" t="s">
        <v>968</v>
      </c>
      <c r="D166" s="144" t="s">
        <v>893</v>
      </c>
      <c r="E166" s="144" t="s">
        <v>870</v>
      </c>
      <c r="F166" s="144" t="s">
        <v>894</v>
      </c>
      <c r="G166" s="144" t="s">
        <v>895</v>
      </c>
    </row>
    <row r="167" spans="1:7" s="135" customFormat="1" x14ac:dyDescent="0.2">
      <c r="A167" s="152" t="s">
        <v>896</v>
      </c>
      <c r="B167" s="152" t="s">
        <v>1034</v>
      </c>
      <c r="C167" s="150" t="s">
        <v>970</v>
      </c>
      <c r="D167" s="152" t="s">
        <v>997</v>
      </c>
      <c r="E167" s="144" t="s">
        <v>997</v>
      </c>
      <c r="F167" s="144" t="s">
        <v>897</v>
      </c>
      <c r="G167" s="144" t="s">
        <v>898</v>
      </c>
    </row>
    <row r="168" spans="1:7" s="135" customFormat="1" x14ac:dyDescent="0.2">
      <c r="A168" s="152" t="s">
        <v>899</v>
      </c>
      <c r="B168" s="152" t="s">
        <v>995</v>
      </c>
      <c r="C168" s="150" t="s">
        <v>973</v>
      </c>
      <c r="D168" s="152" t="s">
        <v>995</v>
      </c>
      <c r="E168" s="144" t="s">
        <v>97</v>
      </c>
      <c r="F168" s="144" t="s">
        <v>901</v>
      </c>
      <c r="G168" s="144" t="s">
        <v>902</v>
      </c>
    </row>
    <row r="169" spans="1:7" s="135" customFormat="1" x14ac:dyDescent="0.2">
      <c r="A169" s="154" t="s">
        <v>903</v>
      </c>
      <c r="B169" s="154" t="s">
        <v>1038</v>
      </c>
      <c r="C169" s="150" t="s">
        <v>970</v>
      </c>
      <c r="D169" s="154" t="s">
        <v>997</v>
      </c>
      <c r="E169" s="145" t="s">
        <v>997</v>
      </c>
      <c r="F169" s="144" t="s">
        <v>904</v>
      </c>
      <c r="G169" s="144" t="s">
        <v>905</v>
      </c>
    </row>
    <row r="170" spans="1:7" s="135" customFormat="1" x14ac:dyDescent="0.2">
      <c r="A170" s="154" t="s">
        <v>903</v>
      </c>
      <c r="B170" s="154" t="s">
        <v>1046</v>
      </c>
      <c r="C170" s="150" t="s">
        <v>970</v>
      </c>
      <c r="D170" s="154" t="s">
        <v>997</v>
      </c>
      <c r="E170" s="146" t="s">
        <v>997</v>
      </c>
      <c r="F170" s="147" t="s">
        <v>904</v>
      </c>
      <c r="G170" s="147" t="s">
        <v>940</v>
      </c>
    </row>
    <row r="171" spans="1:7" s="135" customFormat="1" ht="51" x14ac:dyDescent="0.2">
      <c r="A171" s="144" t="s">
        <v>888</v>
      </c>
      <c r="B171" s="144" t="s">
        <v>314</v>
      </c>
      <c r="C171" s="134" t="s">
        <v>968</v>
      </c>
      <c r="D171" s="144" t="s">
        <v>314</v>
      </c>
      <c r="E171" s="144" t="s">
        <v>314</v>
      </c>
      <c r="F171" s="144" t="s">
        <v>890</v>
      </c>
      <c r="G171" s="144" t="s">
        <v>891</v>
      </c>
    </row>
    <row r="172" spans="1:7" s="135" customFormat="1" x14ac:dyDescent="0.2">
      <c r="A172" s="152" t="s">
        <v>906</v>
      </c>
      <c r="B172" s="152" t="s">
        <v>271</v>
      </c>
      <c r="C172" s="150" t="s">
        <v>969</v>
      </c>
      <c r="D172" s="152" t="s">
        <v>271</v>
      </c>
      <c r="E172" s="144" t="s">
        <v>10</v>
      </c>
      <c r="F172" s="144" t="s">
        <v>907</v>
      </c>
      <c r="G172" s="144" t="s">
        <v>908</v>
      </c>
    </row>
    <row r="173" spans="1:7" s="135" customFormat="1" x14ac:dyDescent="0.2">
      <c r="A173" s="152" t="s">
        <v>909</v>
      </c>
      <c r="B173" s="140" t="s">
        <v>991</v>
      </c>
      <c r="C173" s="150" t="s">
        <v>987</v>
      </c>
      <c r="D173" s="140" t="s">
        <v>991</v>
      </c>
      <c r="E173" s="123" t="s">
        <v>911</v>
      </c>
      <c r="F173" s="144" t="s">
        <v>912</v>
      </c>
      <c r="G173" s="144" t="s">
        <v>913</v>
      </c>
    </row>
    <row r="174" spans="1:7" s="135" customFormat="1" x14ac:dyDescent="0.2">
      <c r="A174" s="152" t="s">
        <v>810</v>
      </c>
      <c r="B174" s="152" t="s">
        <v>976</v>
      </c>
      <c r="C174" s="150" t="s">
        <v>971</v>
      </c>
      <c r="D174" s="152" t="s">
        <v>976</v>
      </c>
      <c r="E174" s="144" t="s">
        <v>452</v>
      </c>
      <c r="F174" s="144" t="s">
        <v>811</v>
      </c>
      <c r="G174" s="144" t="s">
        <v>812</v>
      </c>
    </row>
    <row r="175" spans="1:7" s="135" customFormat="1" x14ac:dyDescent="0.2">
      <c r="A175" s="152" t="s">
        <v>917</v>
      </c>
      <c r="B175" s="152" t="s">
        <v>986</v>
      </c>
      <c r="C175" s="150" t="s">
        <v>971</v>
      </c>
      <c r="D175" s="152" t="s">
        <v>986</v>
      </c>
      <c r="E175" s="144" t="s">
        <v>96</v>
      </c>
      <c r="F175" s="144" t="s">
        <v>918</v>
      </c>
      <c r="G175" s="144" t="s">
        <v>919</v>
      </c>
    </row>
    <row r="176" spans="1:7" s="135" customFormat="1" x14ac:dyDescent="0.2">
      <c r="A176" s="152" t="s">
        <v>932</v>
      </c>
      <c r="B176" s="152" t="s">
        <v>1047</v>
      </c>
      <c r="C176" s="150" t="s">
        <v>970</v>
      </c>
      <c r="D176" s="152" t="s">
        <v>997</v>
      </c>
      <c r="E176" s="147" t="s">
        <v>997</v>
      </c>
      <c r="F176" s="147" t="s">
        <v>934</v>
      </c>
      <c r="G176" s="147" t="s">
        <v>935</v>
      </c>
    </row>
    <row r="177" spans="1:7" s="135" customFormat="1" x14ac:dyDescent="0.2">
      <c r="A177" s="149" t="s">
        <v>936</v>
      </c>
      <c r="B177" s="149" t="s">
        <v>999</v>
      </c>
      <c r="C177" s="150" t="s">
        <v>970</v>
      </c>
      <c r="D177" s="149" t="s">
        <v>997</v>
      </c>
      <c r="E177" s="135" t="s">
        <v>997</v>
      </c>
      <c r="F177" s="140" t="s">
        <v>937</v>
      </c>
      <c r="G177" s="140" t="s">
        <v>938</v>
      </c>
    </row>
    <row r="178" spans="1:7" s="135" customFormat="1" x14ac:dyDescent="0.2">
      <c r="A178" s="148" t="s">
        <v>585</v>
      </c>
      <c r="B178" s="152" t="s">
        <v>978</v>
      </c>
      <c r="C178" s="150" t="s">
        <v>970</v>
      </c>
      <c r="D178" s="152" t="s">
        <v>997</v>
      </c>
      <c r="E178" s="144" t="s">
        <v>997</v>
      </c>
      <c r="F178" s="147" t="s">
        <v>587</v>
      </c>
      <c r="G178" s="147" t="s">
        <v>588</v>
      </c>
    </row>
    <row r="179" spans="1:7" s="135" customFormat="1" x14ac:dyDescent="0.2">
      <c r="A179" s="152" t="s">
        <v>941</v>
      </c>
      <c r="B179" s="152" t="s">
        <v>1038</v>
      </c>
      <c r="C179" s="150" t="s">
        <v>970</v>
      </c>
      <c r="D179" s="152" t="s">
        <v>997</v>
      </c>
      <c r="E179" s="147" t="s">
        <v>997</v>
      </c>
      <c r="F179" s="147" t="s">
        <v>942</v>
      </c>
      <c r="G179" s="147" t="s">
        <v>943</v>
      </c>
    </row>
    <row r="180" spans="1:7" s="135" customFormat="1" x14ac:dyDescent="0.2">
      <c r="A180" s="149" t="s">
        <v>949</v>
      </c>
      <c r="B180" s="149" t="s">
        <v>553</v>
      </c>
      <c r="C180" s="150" t="s">
        <v>970</v>
      </c>
      <c r="D180" s="149" t="s">
        <v>997</v>
      </c>
      <c r="E180" s="135" t="s">
        <v>997</v>
      </c>
      <c r="F180" s="135" t="s">
        <v>950</v>
      </c>
      <c r="G180" s="135" t="s">
        <v>951</v>
      </c>
    </row>
    <row r="181" spans="1:7" s="135" customFormat="1" x14ac:dyDescent="0.2">
      <c r="A181" s="149" t="s">
        <v>952</v>
      </c>
      <c r="B181" s="149" t="s">
        <v>198</v>
      </c>
      <c r="C181" s="150" t="s">
        <v>198</v>
      </c>
      <c r="D181" s="149" t="s">
        <v>198</v>
      </c>
      <c r="E181" s="135" t="s">
        <v>107</v>
      </c>
      <c r="F181" s="135" t="s">
        <v>953</v>
      </c>
      <c r="G181" s="135" t="s">
        <v>954</v>
      </c>
    </row>
  </sheetData>
  <autoFilter ref="A3:G181" xr:uid="{2B217FE2-8073-42E9-A623-46911FB084C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0548B-724E-4D71-9753-0D1987174613}">
  <sheetPr>
    <tabColor rgb="FFC00000"/>
  </sheetPr>
  <dimension ref="A1:H277"/>
  <sheetViews>
    <sheetView tabSelected="1" zoomScale="115" zoomScaleNormal="115" workbookViewId="0">
      <pane xSplit="2" ySplit="15" topLeftCell="C23" activePane="bottomRight" state="frozen"/>
      <selection pane="topRight" activeCell="C1" sqref="C1"/>
      <selection pane="bottomLeft" activeCell="A4" sqref="A4"/>
      <selection pane="bottomRight" activeCell="A5" sqref="A5"/>
    </sheetView>
  </sheetViews>
  <sheetFormatPr baseColWidth="10" defaultColWidth="9.1640625" defaultRowHeight="14" x14ac:dyDescent="0.15"/>
  <cols>
    <col min="1" max="1" width="34.5" style="12" customWidth="1"/>
    <col min="2" max="2" width="47.5" style="12" customWidth="1"/>
    <col min="3" max="3" width="79.33203125" style="12" customWidth="1"/>
    <col min="4" max="4" width="11.5" style="12" customWidth="1"/>
    <col min="5" max="5" width="15.33203125" style="12" customWidth="1"/>
    <col min="6" max="6" width="28.33203125" style="12" customWidth="1"/>
    <col min="7" max="7" width="70.6640625" style="12" customWidth="1"/>
    <col min="8" max="16384" width="9.1640625" style="12"/>
  </cols>
  <sheetData>
    <row r="1" spans="1:7" ht="24" x14ac:dyDescent="0.15">
      <c r="A1" s="168" t="s">
        <v>1064</v>
      </c>
      <c r="B1" s="189" t="s">
        <v>1065</v>
      </c>
      <c r="C1" s="170" t="s">
        <v>965</v>
      </c>
      <c r="D1" s="169"/>
      <c r="E1" s="171" t="s">
        <v>164</v>
      </c>
      <c r="F1" s="172" t="s">
        <v>195</v>
      </c>
      <c r="G1" s="171" t="s">
        <v>146</v>
      </c>
    </row>
    <row r="2" spans="1:7" x14ac:dyDescent="0.15">
      <c r="A2" s="166" t="s">
        <v>2109</v>
      </c>
      <c r="B2" s="190"/>
    </row>
    <row r="3" spans="1:7" x14ac:dyDescent="0.15">
      <c r="A3" s="12" t="s">
        <v>593</v>
      </c>
      <c r="B3" s="190" t="s">
        <v>2114</v>
      </c>
      <c r="C3" s="12" t="s">
        <v>2107</v>
      </c>
      <c r="G3" s="12" t="s">
        <v>595</v>
      </c>
    </row>
    <row r="4" spans="1:7" x14ac:dyDescent="0.15">
      <c r="A4" s="12" t="s">
        <v>589</v>
      </c>
      <c r="B4" s="190" t="s">
        <v>2126</v>
      </c>
      <c r="C4" s="12" t="s">
        <v>2107</v>
      </c>
      <c r="G4" s="12" t="s">
        <v>592</v>
      </c>
    </row>
    <row r="5" spans="1:7" x14ac:dyDescent="0.15">
      <c r="A5" s="167" t="s">
        <v>568</v>
      </c>
      <c r="B5" s="190" t="s">
        <v>2111</v>
      </c>
      <c r="C5" s="12" t="s">
        <v>2108</v>
      </c>
      <c r="G5" s="158" t="s">
        <v>572</v>
      </c>
    </row>
    <row r="6" spans="1:7" x14ac:dyDescent="0.15">
      <c r="A6" s="12" t="s">
        <v>599</v>
      </c>
      <c r="B6" s="190" t="s">
        <v>2127</v>
      </c>
      <c r="C6" s="12" t="s">
        <v>2108</v>
      </c>
      <c r="G6" s="12" t="s">
        <v>602</v>
      </c>
    </row>
    <row r="7" spans="1:7" ht="6" customHeight="1" x14ac:dyDescent="0.15">
      <c r="B7" s="190"/>
    </row>
    <row r="8" spans="1:7" x14ac:dyDescent="0.15">
      <c r="A8" s="166" t="s">
        <v>2110</v>
      </c>
      <c r="B8" s="190"/>
    </row>
    <row r="9" spans="1:7" x14ac:dyDescent="0.15">
      <c r="A9" s="12" t="s">
        <v>593</v>
      </c>
      <c r="B9" s="190" t="s">
        <v>2112</v>
      </c>
      <c r="C9" s="12" t="s">
        <v>2107</v>
      </c>
      <c r="G9" s="12" t="s">
        <v>595</v>
      </c>
    </row>
    <row r="10" spans="1:7" x14ac:dyDescent="0.15">
      <c r="A10" s="12" t="s">
        <v>589</v>
      </c>
      <c r="B10" s="190" t="s">
        <v>2128</v>
      </c>
      <c r="C10" s="12" t="s">
        <v>2107</v>
      </c>
      <c r="G10" s="12" t="s">
        <v>592</v>
      </c>
    </row>
    <row r="11" spans="1:7" x14ac:dyDescent="0.15">
      <c r="A11" s="167" t="s">
        <v>568</v>
      </c>
      <c r="B11" s="190" t="s">
        <v>2113</v>
      </c>
      <c r="C11" s="12" t="s">
        <v>2108</v>
      </c>
      <c r="G11" s="158" t="s">
        <v>572</v>
      </c>
    </row>
    <row r="12" spans="1:7" x14ac:dyDescent="0.15">
      <c r="A12" s="12" t="s">
        <v>599</v>
      </c>
      <c r="B12" s="190" t="s">
        <v>2129</v>
      </c>
      <c r="C12" s="12" t="s">
        <v>2108</v>
      </c>
      <c r="G12" s="12" t="s">
        <v>602</v>
      </c>
    </row>
    <row r="13" spans="1:7" ht="5.25" customHeight="1" x14ac:dyDescent="0.15">
      <c r="B13" s="190"/>
    </row>
    <row r="14" spans="1:7" x14ac:dyDescent="0.15">
      <c r="A14" s="166" t="s">
        <v>0</v>
      </c>
      <c r="B14" s="190"/>
    </row>
    <row r="15" spans="1:7" ht="24" x14ac:dyDescent="0.15">
      <c r="A15" s="168" t="s">
        <v>1064</v>
      </c>
      <c r="B15" s="189" t="s">
        <v>1065</v>
      </c>
      <c r="C15" s="170" t="s">
        <v>965</v>
      </c>
      <c r="D15" s="169"/>
      <c r="E15" s="171" t="s">
        <v>164</v>
      </c>
      <c r="F15" s="172" t="s">
        <v>195</v>
      </c>
      <c r="G15" s="171" t="s">
        <v>146</v>
      </c>
    </row>
    <row r="16" spans="1:7" ht="16" x14ac:dyDescent="0.2">
      <c r="A16" s="167" t="s">
        <v>403</v>
      </c>
      <c r="B16" s="191" t="s">
        <v>996</v>
      </c>
      <c r="C16" s="173" t="s">
        <v>970</v>
      </c>
      <c r="D16" s="174" t="str">
        <f t="shared" ref="D16:D47" si="0">IF(COUNTIF($A$15:$A$1420, A16)&gt;1, "Trùng Đại Lý", "")</f>
        <v/>
      </c>
      <c r="E16" s="158" t="s">
        <v>997</v>
      </c>
      <c r="F16" s="158" t="s">
        <v>210</v>
      </c>
      <c r="G16" s="158" t="s">
        <v>402</v>
      </c>
    </row>
    <row r="17" spans="1:8" ht="16" x14ac:dyDescent="0.2">
      <c r="A17" s="167" t="s">
        <v>830</v>
      </c>
      <c r="B17" s="191" t="s">
        <v>742</v>
      </c>
      <c r="C17" s="173" t="s">
        <v>1059</v>
      </c>
      <c r="D17" s="174" t="str">
        <f t="shared" si="0"/>
        <v/>
      </c>
      <c r="E17" s="158" t="s">
        <v>691</v>
      </c>
      <c r="F17" s="158" t="s">
        <v>831</v>
      </c>
      <c r="G17" s="158" t="s">
        <v>832</v>
      </c>
      <c r="H17" s="158"/>
    </row>
    <row r="18" spans="1:8" ht="16" x14ac:dyDescent="0.2">
      <c r="A18" s="167" t="s">
        <v>956</v>
      </c>
      <c r="B18" s="191" t="s">
        <v>990</v>
      </c>
      <c r="C18" s="173" t="s">
        <v>971</v>
      </c>
      <c r="D18" s="174" t="str">
        <f t="shared" si="0"/>
        <v/>
      </c>
      <c r="E18" s="158" t="s">
        <v>958</v>
      </c>
      <c r="F18" s="158" t="s">
        <v>959</v>
      </c>
      <c r="G18" s="158" t="s">
        <v>960</v>
      </c>
    </row>
    <row r="19" spans="1:8" ht="16" x14ac:dyDescent="0.2">
      <c r="A19" s="167" t="s">
        <v>552</v>
      </c>
      <c r="B19" s="191" t="s">
        <v>553</v>
      </c>
      <c r="C19" s="173" t="s">
        <v>970</v>
      </c>
      <c r="D19" s="174" t="str">
        <f t="shared" si="0"/>
        <v/>
      </c>
      <c r="E19" s="158" t="s">
        <v>472</v>
      </c>
      <c r="F19" s="158" t="s">
        <v>554</v>
      </c>
      <c r="G19" s="158" t="s">
        <v>555</v>
      </c>
    </row>
    <row r="20" spans="1:8" ht="16" x14ac:dyDescent="0.2">
      <c r="A20" s="167" t="s">
        <v>20</v>
      </c>
      <c r="B20" s="191" t="s">
        <v>974</v>
      </c>
      <c r="C20" s="173" t="s">
        <v>970</v>
      </c>
      <c r="D20" s="174" t="str">
        <f t="shared" si="0"/>
        <v/>
      </c>
      <c r="E20" s="158" t="s">
        <v>997</v>
      </c>
      <c r="F20" s="158" t="s">
        <v>201</v>
      </c>
      <c r="G20" s="158" t="s">
        <v>266</v>
      </c>
    </row>
    <row r="21" spans="1:8" ht="16" x14ac:dyDescent="0.2">
      <c r="A21" s="167" t="s">
        <v>7</v>
      </c>
      <c r="B21" s="191" t="s">
        <v>998</v>
      </c>
      <c r="C21" s="173" t="s">
        <v>970</v>
      </c>
      <c r="D21" s="174" t="str">
        <f t="shared" si="0"/>
        <v/>
      </c>
      <c r="E21" s="158" t="s">
        <v>997</v>
      </c>
      <c r="F21" s="158" t="s">
        <v>201</v>
      </c>
      <c r="G21" s="158" t="s">
        <v>167</v>
      </c>
    </row>
    <row r="22" spans="1:8" ht="16" x14ac:dyDescent="0.2">
      <c r="A22" s="167" t="s">
        <v>542</v>
      </c>
      <c r="B22" s="191" t="s">
        <v>999</v>
      </c>
      <c r="C22" s="173" t="s">
        <v>970</v>
      </c>
      <c r="D22" s="174" t="str">
        <f t="shared" si="0"/>
        <v/>
      </c>
      <c r="E22" s="158" t="s">
        <v>997</v>
      </c>
      <c r="F22" s="158" t="s">
        <v>218</v>
      </c>
      <c r="G22" s="158" t="s">
        <v>190</v>
      </c>
    </row>
    <row r="23" spans="1:8" ht="16" x14ac:dyDescent="0.2">
      <c r="A23" s="167" t="s">
        <v>2172</v>
      </c>
      <c r="B23" s="191" t="s">
        <v>475</v>
      </c>
      <c r="C23" s="173" t="s">
        <v>2139</v>
      </c>
      <c r="D23" s="174" t="str">
        <f t="shared" si="0"/>
        <v/>
      </c>
      <c r="F23" s="158" t="s">
        <v>2173</v>
      </c>
      <c r="G23" s="158" t="s">
        <v>2174</v>
      </c>
    </row>
    <row r="24" spans="1:8" ht="16" x14ac:dyDescent="0.2">
      <c r="A24" s="167" t="s">
        <v>564</v>
      </c>
      <c r="B24" s="191" t="s">
        <v>565</v>
      </c>
      <c r="C24" s="173" t="s">
        <v>565</v>
      </c>
      <c r="D24" s="174" t="str">
        <f t="shared" si="0"/>
        <v/>
      </c>
      <c r="E24" s="175" t="s">
        <v>93</v>
      </c>
      <c r="F24" s="158" t="s">
        <v>566</v>
      </c>
      <c r="G24" s="158" t="s">
        <v>567</v>
      </c>
    </row>
    <row r="25" spans="1:8" ht="16" x14ac:dyDescent="0.2">
      <c r="A25" s="167" t="s">
        <v>485</v>
      </c>
      <c r="B25" s="191" t="s">
        <v>1000</v>
      </c>
      <c r="C25" s="173" t="s">
        <v>970</v>
      </c>
      <c r="D25" s="174" t="str">
        <f t="shared" si="0"/>
        <v/>
      </c>
      <c r="E25" s="158" t="s">
        <v>997</v>
      </c>
      <c r="F25" s="158" t="s">
        <v>228</v>
      </c>
      <c r="G25" s="12" t="s">
        <v>486</v>
      </c>
    </row>
    <row r="26" spans="1:8" ht="16" x14ac:dyDescent="0.2">
      <c r="A26" s="167" t="s">
        <v>6</v>
      </c>
      <c r="B26" s="191" t="s">
        <v>1001</v>
      </c>
      <c r="C26" s="173" t="s">
        <v>970</v>
      </c>
      <c r="D26" s="174" t="str">
        <f t="shared" si="0"/>
        <v/>
      </c>
      <c r="E26" s="158" t="s">
        <v>997</v>
      </c>
      <c r="F26" s="158" t="s">
        <v>211</v>
      </c>
      <c r="G26" s="158" t="s">
        <v>212</v>
      </c>
    </row>
    <row r="27" spans="1:8" ht="16" x14ac:dyDescent="0.2">
      <c r="A27" s="167" t="s">
        <v>568</v>
      </c>
      <c r="B27" s="191" t="s">
        <v>980</v>
      </c>
      <c r="C27" s="173" t="s">
        <v>966</v>
      </c>
      <c r="D27" s="174" t="str">
        <f t="shared" si="0"/>
        <v/>
      </c>
      <c r="E27" s="158" t="s">
        <v>570</v>
      </c>
      <c r="F27" s="158" t="s">
        <v>571</v>
      </c>
      <c r="G27" s="158" t="s">
        <v>572</v>
      </c>
    </row>
    <row r="28" spans="1:8" ht="16" x14ac:dyDescent="0.2">
      <c r="A28" s="167" t="s">
        <v>406</v>
      </c>
      <c r="B28" s="191" t="s">
        <v>1002</v>
      </c>
      <c r="C28" s="173" t="s">
        <v>970</v>
      </c>
      <c r="D28" s="174" t="str">
        <f t="shared" si="0"/>
        <v/>
      </c>
      <c r="E28" s="158" t="s">
        <v>997</v>
      </c>
      <c r="F28" s="158" t="s">
        <v>405</v>
      </c>
      <c r="G28" s="158" t="s">
        <v>404</v>
      </c>
    </row>
    <row r="29" spans="1:8" ht="16" x14ac:dyDescent="0.2">
      <c r="A29" s="176" t="s">
        <v>39</v>
      </c>
      <c r="B29" s="191" t="s">
        <v>272</v>
      </c>
      <c r="C29" s="173" t="s">
        <v>969</v>
      </c>
      <c r="D29" s="174" t="str">
        <f t="shared" si="0"/>
        <v/>
      </c>
      <c r="E29" s="12" t="s">
        <v>10</v>
      </c>
      <c r="F29" s="12" t="s">
        <v>199</v>
      </c>
      <c r="G29" s="12" t="s">
        <v>166</v>
      </c>
    </row>
    <row r="30" spans="1:8" ht="16" x14ac:dyDescent="0.2">
      <c r="A30" s="177" t="s">
        <v>611</v>
      </c>
      <c r="B30" s="192" t="s">
        <v>946</v>
      </c>
      <c r="C30" s="173" t="s">
        <v>1048</v>
      </c>
      <c r="D30" s="174" t="str">
        <f t="shared" si="0"/>
        <v/>
      </c>
      <c r="E30" s="177" t="s">
        <v>612</v>
      </c>
      <c r="F30" s="177" t="s">
        <v>199</v>
      </c>
      <c r="G30" s="177" t="s">
        <v>613</v>
      </c>
    </row>
    <row r="31" spans="1:8" ht="16" x14ac:dyDescent="0.2">
      <c r="A31" s="167" t="s">
        <v>433</v>
      </c>
      <c r="B31" s="191" t="s">
        <v>269</v>
      </c>
      <c r="C31" s="173" t="s">
        <v>968</v>
      </c>
      <c r="D31" s="174" t="str">
        <f t="shared" si="0"/>
        <v/>
      </c>
      <c r="E31" s="158" t="s">
        <v>93</v>
      </c>
      <c r="F31" s="158" t="s">
        <v>199</v>
      </c>
      <c r="G31" s="158" t="s">
        <v>434</v>
      </c>
    </row>
    <row r="32" spans="1:8" ht="16" x14ac:dyDescent="0.2">
      <c r="A32" s="167" t="s">
        <v>35</v>
      </c>
      <c r="B32" s="191" t="s">
        <v>1075</v>
      </c>
      <c r="C32" s="173" t="s">
        <v>982</v>
      </c>
      <c r="D32" s="174" t="str">
        <f t="shared" si="0"/>
        <v/>
      </c>
      <c r="E32" s="158" t="s">
        <v>98</v>
      </c>
      <c r="F32" s="158" t="s">
        <v>199</v>
      </c>
      <c r="G32" s="158" t="s">
        <v>171</v>
      </c>
    </row>
    <row r="33" spans="1:8" ht="16" x14ac:dyDescent="0.2">
      <c r="A33" s="167" t="s">
        <v>813</v>
      </c>
      <c r="B33" s="191" t="s">
        <v>992</v>
      </c>
      <c r="C33" s="173" t="s">
        <v>971</v>
      </c>
      <c r="D33" s="174" t="str">
        <f t="shared" si="0"/>
        <v/>
      </c>
      <c r="E33" s="158" t="s">
        <v>452</v>
      </c>
      <c r="F33" s="158" t="s">
        <v>199</v>
      </c>
      <c r="G33" s="158" t="s">
        <v>815</v>
      </c>
    </row>
    <row r="34" spans="1:8" ht="16" x14ac:dyDescent="0.2">
      <c r="A34" s="167" t="s">
        <v>460</v>
      </c>
      <c r="B34" s="191" t="s">
        <v>1003</v>
      </c>
      <c r="C34" s="173" t="s">
        <v>970</v>
      </c>
      <c r="D34" s="174" t="str">
        <f t="shared" si="0"/>
        <v/>
      </c>
      <c r="E34" s="158" t="s">
        <v>997</v>
      </c>
      <c r="F34" s="158" t="s">
        <v>199</v>
      </c>
      <c r="G34" s="158" t="s">
        <v>461</v>
      </c>
    </row>
    <row r="35" spans="1:8" ht="16" x14ac:dyDescent="0.2">
      <c r="A35" s="167" t="s">
        <v>440</v>
      </c>
      <c r="B35" s="191" t="s">
        <v>1004</v>
      </c>
      <c r="C35" s="173" t="s">
        <v>970</v>
      </c>
      <c r="D35" s="174" t="str">
        <f t="shared" si="0"/>
        <v/>
      </c>
      <c r="E35" s="158" t="s">
        <v>997</v>
      </c>
      <c r="F35" s="158" t="s">
        <v>199</v>
      </c>
      <c r="G35" s="158" t="s">
        <v>441</v>
      </c>
    </row>
    <row r="36" spans="1:8" ht="16" x14ac:dyDescent="0.2">
      <c r="A36" s="167" t="s">
        <v>40</v>
      </c>
      <c r="B36" s="191" t="s">
        <v>271</v>
      </c>
      <c r="C36" s="173" t="s">
        <v>969</v>
      </c>
      <c r="D36" s="174" t="str">
        <f t="shared" si="0"/>
        <v/>
      </c>
      <c r="E36" s="158" t="s">
        <v>10</v>
      </c>
      <c r="F36" s="158" t="s">
        <v>199</v>
      </c>
      <c r="G36" s="158" t="s">
        <v>183</v>
      </c>
      <c r="H36" s="158"/>
    </row>
    <row r="37" spans="1:8" ht="16" x14ac:dyDescent="0.2">
      <c r="A37" s="167" t="s">
        <v>614</v>
      </c>
      <c r="B37" s="191" t="s">
        <v>615</v>
      </c>
      <c r="C37" s="173" t="s">
        <v>615</v>
      </c>
      <c r="D37" s="174" t="str">
        <f t="shared" si="0"/>
        <v/>
      </c>
      <c r="E37" s="167" t="s">
        <v>615</v>
      </c>
      <c r="F37" s="167" t="s">
        <v>616</v>
      </c>
      <c r="G37" s="167" t="s">
        <v>617</v>
      </c>
      <c r="H37" s="178"/>
    </row>
    <row r="38" spans="1:8" ht="16" x14ac:dyDescent="0.2">
      <c r="A38" s="167" t="s">
        <v>949</v>
      </c>
      <c r="B38" s="191" t="s">
        <v>553</v>
      </c>
      <c r="C38" s="173" t="s">
        <v>970</v>
      </c>
      <c r="D38" s="174" t="str">
        <f t="shared" si="0"/>
        <v/>
      </c>
      <c r="E38" s="158" t="s">
        <v>997</v>
      </c>
      <c r="F38" s="158" t="s">
        <v>950</v>
      </c>
      <c r="G38" s="158" t="s">
        <v>951</v>
      </c>
    </row>
    <row r="39" spans="1:8" ht="16" x14ac:dyDescent="0.2">
      <c r="A39" s="176" t="s">
        <v>618</v>
      </c>
      <c r="B39" s="191" t="s">
        <v>619</v>
      </c>
      <c r="C39" s="173" t="s">
        <v>1048</v>
      </c>
      <c r="D39" s="174" t="str">
        <f t="shared" si="0"/>
        <v/>
      </c>
      <c r="E39" s="176" t="s">
        <v>612</v>
      </c>
      <c r="F39" s="176" t="s">
        <v>620</v>
      </c>
      <c r="G39" s="176" t="s">
        <v>621</v>
      </c>
      <c r="H39" s="124" t="s">
        <v>876</v>
      </c>
    </row>
    <row r="40" spans="1:8" ht="16" x14ac:dyDescent="0.2">
      <c r="A40" s="167" t="s">
        <v>135</v>
      </c>
      <c r="B40" s="191" t="s">
        <v>982</v>
      </c>
      <c r="C40" s="173" t="s">
        <v>982</v>
      </c>
      <c r="D40" s="174" t="str">
        <f t="shared" si="0"/>
        <v/>
      </c>
      <c r="E40" s="158" t="s">
        <v>98</v>
      </c>
      <c r="F40" s="158" t="s">
        <v>230</v>
      </c>
      <c r="G40" s="158" t="s">
        <v>179</v>
      </c>
    </row>
    <row r="41" spans="1:8" ht="16" x14ac:dyDescent="0.2">
      <c r="A41" s="167" t="s">
        <v>2138</v>
      </c>
      <c r="B41" s="191" t="s">
        <v>519</v>
      </c>
      <c r="C41" s="173" t="s">
        <v>2139</v>
      </c>
      <c r="D41" s="174" t="str">
        <f t="shared" si="0"/>
        <v/>
      </c>
      <c r="E41" s="158"/>
      <c r="F41" s="158"/>
      <c r="G41" s="158"/>
    </row>
    <row r="42" spans="1:8" ht="16" x14ac:dyDescent="0.2">
      <c r="A42" s="167" t="s">
        <v>730</v>
      </c>
      <c r="B42" s="191" t="s">
        <v>985</v>
      </c>
      <c r="C42" s="173" t="s">
        <v>971</v>
      </c>
      <c r="D42" s="174" t="str">
        <f t="shared" si="0"/>
        <v/>
      </c>
      <c r="E42" s="158" t="s">
        <v>732</v>
      </c>
      <c r="F42" s="158" t="s">
        <v>733</v>
      </c>
      <c r="G42" s="158" t="s">
        <v>734</v>
      </c>
    </row>
    <row r="43" spans="1:8" ht="16" x14ac:dyDescent="0.2">
      <c r="A43" s="167" t="s">
        <v>275</v>
      </c>
      <c r="B43" s="191" t="s">
        <v>365</v>
      </c>
      <c r="C43" s="173" t="s">
        <v>969</v>
      </c>
      <c r="D43" s="174" t="str">
        <f t="shared" si="0"/>
        <v/>
      </c>
      <c r="E43" s="158" t="s">
        <v>10</v>
      </c>
      <c r="F43" s="158" t="s">
        <v>276</v>
      </c>
      <c r="G43" s="158" t="s">
        <v>277</v>
      </c>
    </row>
    <row r="44" spans="1:8" ht="16" x14ac:dyDescent="0.2">
      <c r="A44" s="167" t="s">
        <v>278</v>
      </c>
      <c r="B44" s="191" t="s">
        <v>1004</v>
      </c>
      <c r="C44" s="173" t="s">
        <v>970</v>
      </c>
      <c r="D44" s="174" t="str">
        <f t="shared" si="0"/>
        <v/>
      </c>
      <c r="E44" s="158" t="s">
        <v>997</v>
      </c>
      <c r="F44" s="158" t="s">
        <v>279</v>
      </c>
      <c r="G44" s="158" t="s">
        <v>290</v>
      </c>
    </row>
    <row r="45" spans="1:8" ht="16" x14ac:dyDescent="0.2">
      <c r="A45" s="167" t="s">
        <v>896</v>
      </c>
      <c r="B45" s="191" t="s">
        <v>1034</v>
      </c>
      <c r="C45" s="173" t="s">
        <v>970</v>
      </c>
      <c r="D45" s="174" t="str">
        <f t="shared" si="0"/>
        <v/>
      </c>
      <c r="E45" s="158" t="s">
        <v>997</v>
      </c>
      <c r="F45" s="158" t="s">
        <v>897</v>
      </c>
      <c r="G45" s="158" t="s">
        <v>898</v>
      </c>
    </row>
    <row r="46" spans="1:8" ht="16" x14ac:dyDescent="0.2">
      <c r="A46" s="167" t="s">
        <v>36</v>
      </c>
      <c r="B46" s="191" t="s">
        <v>198</v>
      </c>
      <c r="C46" s="173" t="s">
        <v>198</v>
      </c>
      <c r="D46" s="174" t="str">
        <f t="shared" si="0"/>
        <v/>
      </c>
      <c r="E46" s="158" t="s">
        <v>107</v>
      </c>
      <c r="F46" s="158" t="s">
        <v>226</v>
      </c>
      <c r="G46" s="158" t="s">
        <v>186</v>
      </c>
    </row>
    <row r="47" spans="1:8" ht="16" x14ac:dyDescent="0.2">
      <c r="A47" s="167" t="s">
        <v>322</v>
      </c>
      <c r="B47" s="191" t="s">
        <v>1005</v>
      </c>
      <c r="C47" s="173" t="s">
        <v>970</v>
      </c>
      <c r="D47" s="174" t="str">
        <f t="shared" si="0"/>
        <v/>
      </c>
      <c r="E47" s="158" t="s">
        <v>997</v>
      </c>
      <c r="F47" s="158" t="s">
        <v>323</v>
      </c>
      <c r="G47" s="158" t="s">
        <v>353</v>
      </c>
    </row>
    <row r="48" spans="1:8" ht="16" x14ac:dyDescent="0.2">
      <c r="A48" s="167" t="s">
        <v>759</v>
      </c>
      <c r="B48" s="191" t="s">
        <v>742</v>
      </c>
      <c r="C48" s="173" t="s">
        <v>1059</v>
      </c>
      <c r="D48" s="174" t="str">
        <f t="shared" ref="D48:D79" si="1">IF(COUNTIF($A$15:$A$1420, A48)&gt;1, "Trùng Đại Lý", "")</f>
        <v/>
      </c>
      <c r="E48" s="179" t="s">
        <v>691</v>
      </c>
      <c r="F48" s="179" t="s">
        <v>760</v>
      </c>
      <c r="G48" s="179" t="s">
        <v>761</v>
      </c>
    </row>
    <row r="49" spans="1:7" ht="16" x14ac:dyDescent="0.2">
      <c r="A49" s="167" t="s">
        <v>354</v>
      </c>
      <c r="B49" s="191" t="s">
        <v>983</v>
      </c>
      <c r="C49" s="173" t="s">
        <v>973</v>
      </c>
      <c r="D49" s="174" t="str">
        <f t="shared" si="1"/>
        <v/>
      </c>
      <c r="E49" s="158" t="s">
        <v>97</v>
      </c>
      <c r="F49" s="158" t="s">
        <v>355</v>
      </c>
      <c r="G49" s="158" t="s">
        <v>356</v>
      </c>
    </row>
    <row r="50" spans="1:7" ht="16" x14ac:dyDescent="0.2">
      <c r="A50" s="180" t="s">
        <v>928</v>
      </c>
      <c r="B50" s="191" t="s">
        <v>929</v>
      </c>
      <c r="C50" s="173" t="s">
        <v>1077</v>
      </c>
      <c r="D50" s="174" t="str">
        <f t="shared" si="1"/>
        <v/>
      </c>
      <c r="E50" s="175" t="s">
        <v>929</v>
      </c>
      <c r="F50" s="158" t="s">
        <v>930</v>
      </c>
      <c r="G50" s="158" t="s">
        <v>931</v>
      </c>
    </row>
    <row r="51" spans="1:7" ht="16" x14ac:dyDescent="0.2">
      <c r="A51" s="176" t="s">
        <v>2167</v>
      </c>
      <c r="B51" s="191" t="s">
        <v>519</v>
      </c>
      <c r="C51" s="173" t="s">
        <v>2139</v>
      </c>
      <c r="D51" s="174" t="str">
        <f t="shared" si="1"/>
        <v/>
      </c>
      <c r="F51" s="12" t="s">
        <v>2168</v>
      </c>
      <c r="G51" s="12" t="s">
        <v>2169</v>
      </c>
    </row>
    <row r="52" spans="1:7" ht="16" x14ac:dyDescent="0.2">
      <c r="A52" s="167" t="s">
        <v>622</v>
      </c>
      <c r="B52" s="191" t="s">
        <v>623</v>
      </c>
      <c r="C52" s="173" t="s">
        <v>1049</v>
      </c>
      <c r="D52" s="174" t="str">
        <f t="shared" si="1"/>
        <v/>
      </c>
      <c r="E52" s="167" t="s">
        <v>624</v>
      </c>
      <c r="F52" s="176" t="s">
        <v>625</v>
      </c>
      <c r="G52" s="176" t="s">
        <v>626</v>
      </c>
    </row>
    <row r="53" spans="1:7" ht="16" x14ac:dyDescent="0.2">
      <c r="A53" s="167" t="s">
        <v>762</v>
      </c>
      <c r="B53" s="191" t="s">
        <v>745</v>
      </c>
      <c r="C53" s="173" t="s">
        <v>1063</v>
      </c>
      <c r="D53" s="174" t="str">
        <f t="shared" si="1"/>
        <v/>
      </c>
      <c r="E53" s="181" t="s">
        <v>746</v>
      </c>
      <c r="F53" s="181" t="s">
        <v>763</v>
      </c>
      <c r="G53" s="181" t="s">
        <v>764</v>
      </c>
    </row>
    <row r="54" spans="1:7" ht="16" x14ac:dyDescent="0.2">
      <c r="A54" s="167" t="s">
        <v>868</v>
      </c>
      <c r="B54" s="191" t="s">
        <v>869</v>
      </c>
      <c r="C54" s="173" t="s">
        <v>968</v>
      </c>
      <c r="D54" s="174" t="str">
        <f t="shared" si="1"/>
        <v/>
      </c>
      <c r="E54" s="158" t="s">
        <v>870</v>
      </c>
      <c r="F54" s="158" t="s">
        <v>871</v>
      </c>
      <c r="G54" s="158" t="s">
        <v>872</v>
      </c>
    </row>
    <row r="55" spans="1:7" ht="16" x14ac:dyDescent="0.2">
      <c r="A55" s="167" t="s">
        <v>133</v>
      </c>
      <c r="B55" s="191" t="s">
        <v>979</v>
      </c>
      <c r="C55" s="173" t="s">
        <v>970</v>
      </c>
      <c r="D55" s="174" t="str">
        <f t="shared" si="1"/>
        <v/>
      </c>
      <c r="E55" s="12" t="s">
        <v>997</v>
      </c>
      <c r="F55" s="12" t="s">
        <v>263</v>
      </c>
      <c r="G55" s="12" t="s">
        <v>182</v>
      </c>
    </row>
    <row r="56" spans="1:7" ht="16" x14ac:dyDescent="0.2">
      <c r="A56" s="167" t="s">
        <v>627</v>
      </c>
      <c r="B56" s="191" t="s">
        <v>628</v>
      </c>
      <c r="C56" s="173" t="s">
        <v>1050</v>
      </c>
      <c r="D56" s="174" t="str">
        <f t="shared" si="1"/>
        <v/>
      </c>
      <c r="E56" s="167" t="s">
        <v>629</v>
      </c>
      <c r="F56" s="167" t="s">
        <v>630</v>
      </c>
      <c r="G56" s="167" t="s">
        <v>631</v>
      </c>
    </row>
    <row r="57" spans="1:7" ht="16" x14ac:dyDescent="0.2">
      <c r="A57" s="167" t="s">
        <v>914</v>
      </c>
      <c r="B57" s="191" t="s">
        <v>893</v>
      </c>
      <c r="C57" s="173" t="s">
        <v>968</v>
      </c>
      <c r="D57" s="174" t="str">
        <f t="shared" si="1"/>
        <v/>
      </c>
      <c r="E57" s="158" t="s">
        <v>870</v>
      </c>
      <c r="F57" s="158" t="s">
        <v>915</v>
      </c>
      <c r="G57" s="158" t="s">
        <v>916</v>
      </c>
    </row>
    <row r="58" spans="1:7" ht="16" x14ac:dyDescent="0.2">
      <c r="A58" s="167" t="s">
        <v>448</v>
      </c>
      <c r="B58" s="191" t="s">
        <v>1006</v>
      </c>
      <c r="C58" s="173" t="s">
        <v>970</v>
      </c>
      <c r="D58" s="174" t="str">
        <f t="shared" si="1"/>
        <v/>
      </c>
      <c r="E58" s="158" t="s">
        <v>997</v>
      </c>
      <c r="F58" s="158" t="s">
        <v>358</v>
      </c>
      <c r="G58" s="158" t="s">
        <v>435</v>
      </c>
    </row>
    <row r="59" spans="1:7" ht="16" x14ac:dyDescent="0.2">
      <c r="A59" s="167" t="s">
        <v>194</v>
      </c>
      <c r="B59" s="191" t="s">
        <v>979</v>
      </c>
      <c r="C59" s="173" t="s">
        <v>970</v>
      </c>
      <c r="D59" s="174" t="str">
        <f t="shared" si="1"/>
        <v/>
      </c>
      <c r="E59" s="175" t="s">
        <v>997</v>
      </c>
      <c r="F59" s="158" t="s">
        <v>363</v>
      </c>
      <c r="G59" s="158" t="s">
        <v>364</v>
      </c>
    </row>
    <row r="60" spans="1:7" ht="16" x14ac:dyDescent="0.2">
      <c r="A60" s="167" t="s">
        <v>482</v>
      </c>
      <c r="B60" s="191" t="s">
        <v>527</v>
      </c>
      <c r="C60" s="173" t="s">
        <v>970</v>
      </c>
      <c r="D60" s="174" t="str">
        <f t="shared" si="1"/>
        <v/>
      </c>
      <c r="E60" s="158" t="s">
        <v>997</v>
      </c>
      <c r="F60" s="158" t="s">
        <v>483</v>
      </c>
      <c r="G60" s="158" t="s">
        <v>484</v>
      </c>
    </row>
    <row r="61" spans="1:7" ht="16" x14ac:dyDescent="0.2">
      <c r="A61" s="167" t="s">
        <v>397</v>
      </c>
      <c r="B61" s="191" t="s">
        <v>527</v>
      </c>
      <c r="C61" s="173" t="s">
        <v>970</v>
      </c>
      <c r="D61" s="174" t="str">
        <f t="shared" si="1"/>
        <v/>
      </c>
      <c r="E61" s="12" t="s">
        <v>997</v>
      </c>
      <c r="F61" s="12" t="s">
        <v>377</v>
      </c>
      <c r="G61" s="12" t="s">
        <v>396</v>
      </c>
    </row>
    <row r="62" spans="1:7" ht="16" x14ac:dyDescent="0.2">
      <c r="A62" s="167" t="s">
        <v>31</v>
      </c>
      <c r="B62" s="191" t="s">
        <v>1007</v>
      </c>
      <c r="C62" s="173" t="s">
        <v>970</v>
      </c>
      <c r="D62" s="174" t="str">
        <f t="shared" si="1"/>
        <v/>
      </c>
      <c r="E62" s="12" t="s">
        <v>997</v>
      </c>
      <c r="F62" s="12" t="s">
        <v>232</v>
      </c>
      <c r="G62" s="12" t="s">
        <v>192</v>
      </c>
    </row>
    <row r="63" spans="1:7" ht="16" x14ac:dyDescent="0.2">
      <c r="A63" s="167" t="s">
        <v>920</v>
      </c>
      <c r="B63" s="191" t="s">
        <v>921</v>
      </c>
      <c r="C63" s="173" t="s">
        <v>968</v>
      </c>
      <c r="D63" s="174" t="str">
        <f t="shared" si="1"/>
        <v/>
      </c>
      <c r="E63" s="12" t="s">
        <v>93</v>
      </c>
      <c r="F63" s="12" t="s">
        <v>922</v>
      </c>
      <c r="G63" s="12" t="s">
        <v>923</v>
      </c>
    </row>
    <row r="64" spans="1:7" ht="16" x14ac:dyDescent="0.2">
      <c r="A64" s="167" t="s">
        <v>753</v>
      </c>
      <c r="B64" s="191" t="s">
        <v>1001</v>
      </c>
      <c r="C64" s="173" t="s">
        <v>970</v>
      </c>
      <c r="D64" s="174" t="str">
        <f t="shared" si="1"/>
        <v/>
      </c>
      <c r="E64" s="12" t="s">
        <v>997</v>
      </c>
      <c r="F64" s="12" t="s">
        <v>754</v>
      </c>
      <c r="G64" s="12" t="s">
        <v>755</v>
      </c>
    </row>
    <row r="65" spans="1:7" ht="16" x14ac:dyDescent="0.2">
      <c r="A65" s="167" t="s">
        <v>784</v>
      </c>
      <c r="B65" s="191" t="s">
        <v>1041</v>
      </c>
      <c r="C65" s="173" t="s">
        <v>970</v>
      </c>
      <c r="D65" s="174" t="str">
        <f t="shared" si="1"/>
        <v/>
      </c>
      <c r="E65" s="12" t="s">
        <v>997</v>
      </c>
      <c r="F65" s="12" t="s">
        <v>786</v>
      </c>
      <c r="G65" s="12" t="s">
        <v>787</v>
      </c>
    </row>
    <row r="66" spans="1:7" ht="16" x14ac:dyDescent="0.2">
      <c r="A66" s="167" t="s">
        <v>281</v>
      </c>
      <c r="B66" s="191" t="s">
        <v>984</v>
      </c>
      <c r="C66" s="173" t="s">
        <v>973</v>
      </c>
      <c r="D66" s="174" t="str">
        <f t="shared" si="1"/>
        <v/>
      </c>
      <c r="E66" s="12" t="s">
        <v>97</v>
      </c>
      <c r="F66" s="12" t="s">
        <v>282</v>
      </c>
      <c r="G66" s="12" t="s">
        <v>283</v>
      </c>
    </row>
    <row r="67" spans="1:7" ht="16" x14ac:dyDescent="0.2">
      <c r="A67" s="167" t="s">
        <v>288</v>
      </c>
      <c r="B67" s="191" t="s">
        <v>1005</v>
      </c>
      <c r="C67" s="173" t="s">
        <v>970</v>
      </c>
      <c r="D67" s="174" t="str">
        <f t="shared" si="1"/>
        <v/>
      </c>
      <c r="E67" s="12" t="s">
        <v>997</v>
      </c>
      <c r="F67" s="12" t="s">
        <v>213</v>
      </c>
      <c r="G67" s="12" t="s">
        <v>184</v>
      </c>
    </row>
    <row r="68" spans="1:7" ht="16" x14ac:dyDescent="0.2">
      <c r="A68" s="167" t="s">
        <v>436</v>
      </c>
      <c r="B68" s="191" t="s">
        <v>553</v>
      </c>
      <c r="C68" s="173" t="s">
        <v>970</v>
      </c>
      <c r="D68" s="174" t="str">
        <f t="shared" si="1"/>
        <v/>
      </c>
      <c r="E68" s="12" t="s">
        <v>997</v>
      </c>
      <c r="F68" s="12" t="s">
        <v>197</v>
      </c>
      <c r="G68" s="12" t="s">
        <v>437</v>
      </c>
    </row>
    <row r="69" spans="1:7" ht="16" x14ac:dyDescent="0.2">
      <c r="A69" s="167" t="s">
        <v>18</v>
      </c>
      <c r="B69" s="191" t="s">
        <v>1008</v>
      </c>
      <c r="C69" s="173" t="s">
        <v>970</v>
      </c>
      <c r="D69" s="174" t="str">
        <f t="shared" si="1"/>
        <v/>
      </c>
      <c r="E69" s="12" t="s">
        <v>997</v>
      </c>
      <c r="F69" s="12" t="s">
        <v>197</v>
      </c>
      <c r="G69" s="12" t="s">
        <v>262</v>
      </c>
    </row>
    <row r="70" spans="1:7" ht="16" x14ac:dyDescent="0.2">
      <c r="A70" s="167" t="s">
        <v>774</v>
      </c>
      <c r="B70" s="191" t="s">
        <v>1009</v>
      </c>
      <c r="C70" s="173" t="s">
        <v>970</v>
      </c>
      <c r="D70" s="174" t="str">
        <f t="shared" si="1"/>
        <v/>
      </c>
      <c r="E70" s="12" t="s">
        <v>997</v>
      </c>
      <c r="F70" s="12" t="s">
        <v>197</v>
      </c>
      <c r="G70" s="12" t="s">
        <v>777</v>
      </c>
    </row>
    <row r="71" spans="1:7" ht="16" x14ac:dyDescent="0.2">
      <c r="A71" s="158" t="s">
        <v>857</v>
      </c>
      <c r="B71" s="191" t="s">
        <v>742</v>
      </c>
      <c r="C71" s="173" t="s">
        <v>1059</v>
      </c>
      <c r="D71" s="174" t="str">
        <f t="shared" si="1"/>
        <v/>
      </c>
      <c r="E71" s="12" t="s">
        <v>691</v>
      </c>
      <c r="F71" s="12" t="s">
        <v>197</v>
      </c>
      <c r="G71" s="12" t="s">
        <v>743</v>
      </c>
    </row>
    <row r="72" spans="1:7" ht="16" x14ac:dyDescent="0.2">
      <c r="A72" s="167" t="s">
        <v>491</v>
      </c>
      <c r="B72" s="191" t="s">
        <v>492</v>
      </c>
      <c r="C72" s="173" t="s">
        <v>968</v>
      </c>
      <c r="D72" s="174" t="str">
        <f t="shared" si="1"/>
        <v/>
      </c>
      <c r="E72" s="12" t="s">
        <v>93</v>
      </c>
      <c r="F72" s="12" t="s">
        <v>197</v>
      </c>
      <c r="G72" s="12" t="s">
        <v>493</v>
      </c>
    </row>
    <row r="73" spans="1:7" ht="16" x14ac:dyDescent="0.2">
      <c r="A73" s="182" t="s">
        <v>632</v>
      </c>
      <c r="B73" s="191" t="s">
        <v>633</v>
      </c>
      <c r="C73" s="173" t="s">
        <v>1051</v>
      </c>
      <c r="D73" s="174" t="str">
        <f t="shared" si="1"/>
        <v/>
      </c>
      <c r="E73" s="176" t="s">
        <v>634</v>
      </c>
      <c r="F73" s="176" t="s">
        <v>197</v>
      </c>
      <c r="G73" s="176" t="s">
        <v>635</v>
      </c>
    </row>
    <row r="74" spans="1:7" ht="16" x14ac:dyDescent="0.2">
      <c r="A74" s="167" t="s">
        <v>756</v>
      </c>
      <c r="B74" s="191" t="s">
        <v>1039</v>
      </c>
      <c r="C74" s="173" t="s">
        <v>970</v>
      </c>
      <c r="D74" s="174" t="str">
        <f t="shared" si="1"/>
        <v/>
      </c>
      <c r="E74" s="12" t="s">
        <v>997</v>
      </c>
      <c r="F74" s="12" t="s">
        <v>197</v>
      </c>
      <c r="G74" s="12" t="s">
        <v>758</v>
      </c>
    </row>
    <row r="75" spans="1:7" ht="16" x14ac:dyDescent="0.2">
      <c r="A75" s="167" t="s">
        <v>487</v>
      </c>
      <c r="B75" s="191" t="s">
        <v>1010</v>
      </c>
      <c r="C75" s="173" t="s">
        <v>970</v>
      </c>
      <c r="D75" s="174" t="str">
        <f t="shared" si="1"/>
        <v/>
      </c>
      <c r="E75" s="12" t="s">
        <v>997</v>
      </c>
      <c r="F75" s="12" t="s">
        <v>197</v>
      </c>
      <c r="G75" s="12" t="s">
        <v>488</v>
      </c>
    </row>
    <row r="76" spans="1:7" ht="16" x14ac:dyDescent="0.2">
      <c r="A76" s="167" t="s">
        <v>13</v>
      </c>
      <c r="B76" s="191" t="s">
        <v>1011</v>
      </c>
      <c r="C76" s="173" t="s">
        <v>970</v>
      </c>
      <c r="D76" s="174" t="str">
        <f t="shared" si="1"/>
        <v/>
      </c>
      <c r="E76" s="12" t="s">
        <v>997</v>
      </c>
      <c r="F76" s="12" t="s">
        <v>197</v>
      </c>
      <c r="G76" s="12" t="s">
        <v>189</v>
      </c>
    </row>
    <row r="77" spans="1:7" ht="16" x14ac:dyDescent="0.2">
      <c r="A77" s="167" t="s">
        <v>636</v>
      </c>
      <c r="B77" s="191" t="s">
        <v>637</v>
      </c>
      <c r="C77" s="173" t="s">
        <v>1048</v>
      </c>
      <c r="D77" s="174" t="str">
        <f t="shared" si="1"/>
        <v/>
      </c>
      <c r="E77" s="176" t="s">
        <v>612</v>
      </c>
      <c r="F77" s="176" t="s">
        <v>197</v>
      </c>
      <c r="G77" s="176" t="s">
        <v>638</v>
      </c>
    </row>
    <row r="78" spans="1:7" ht="16" x14ac:dyDescent="0.2">
      <c r="A78" s="167" t="s">
        <v>558</v>
      </c>
      <c r="B78" s="191" t="s">
        <v>1012</v>
      </c>
      <c r="C78" s="173" t="s">
        <v>970</v>
      </c>
      <c r="D78" s="174" t="str">
        <f t="shared" si="1"/>
        <v/>
      </c>
      <c r="E78" s="12" t="s">
        <v>997</v>
      </c>
      <c r="F78" s="12" t="s">
        <v>197</v>
      </c>
      <c r="G78" s="12" t="s">
        <v>559</v>
      </c>
    </row>
    <row r="79" spans="1:7" ht="16" x14ac:dyDescent="0.2">
      <c r="A79" s="167" t="s">
        <v>2093</v>
      </c>
      <c r="B79" s="191" t="s">
        <v>2095</v>
      </c>
      <c r="C79" s="173" t="s">
        <v>968</v>
      </c>
      <c r="D79" s="174" t="str">
        <f t="shared" si="1"/>
        <v/>
      </c>
      <c r="E79" s="12" t="s">
        <v>93</v>
      </c>
      <c r="F79" s="12" t="s">
        <v>197</v>
      </c>
      <c r="G79" s="12" t="s">
        <v>2094</v>
      </c>
    </row>
    <row r="80" spans="1:7" ht="16" x14ac:dyDescent="0.2">
      <c r="A80" s="167" t="s">
        <v>775</v>
      </c>
      <c r="B80" s="191" t="s">
        <v>1008</v>
      </c>
      <c r="C80" s="173" t="s">
        <v>970</v>
      </c>
      <c r="D80" s="174" t="str">
        <f t="shared" ref="D80:D111" si="2">IF(COUNTIF($A$15:$A$1420, A80)&gt;1, "Trùng Đại Lý", "")</f>
        <v/>
      </c>
      <c r="E80" s="12" t="s">
        <v>997</v>
      </c>
      <c r="F80" s="12" t="s">
        <v>197</v>
      </c>
      <c r="G80" s="12" t="s">
        <v>776</v>
      </c>
    </row>
    <row r="81" spans="1:8" ht="16" x14ac:dyDescent="0.2">
      <c r="A81" s="167" t="s">
        <v>17</v>
      </c>
      <c r="B81" s="191" t="s">
        <v>996</v>
      </c>
      <c r="C81" s="173" t="s">
        <v>970</v>
      </c>
      <c r="D81" s="174" t="str">
        <f t="shared" si="2"/>
        <v/>
      </c>
      <c r="E81" s="12" t="s">
        <v>997</v>
      </c>
      <c r="F81" s="12" t="s">
        <v>197</v>
      </c>
      <c r="G81" s="12" t="s">
        <v>293</v>
      </c>
    </row>
    <row r="82" spans="1:8" ht="16" x14ac:dyDescent="0.2">
      <c r="A82" s="167" t="s">
        <v>510</v>
      </c>
      <c r="B82" s="191" t="s">
        <v>1013</v>
      </c>
      <c r="C82" s="173" t="s">
        <v>970</v>
      </c>
      <c r="D82" s="174" t="str">
        <f t="shared" si="2"/>
        <v/>
      </c>
      <c r="E82" s="12" t="s">
        <v>472</v>
      </c>
      <c r="F82" s="12" t="s">
        <v>508</v>
      </c>
      <c r="G82" s="12" t="s">
        <v>511</v>
      </c>
    </row>
    <row r="83" spans="1:8" ht="16" x14ac:dyDescent="0.2">
      <c r="A83" s="167" t="s">
        <v>556</v>
      </c>
      <c r="B83" s="191" t="s">
        <v>1014</v>
      </c>
      <c r="C83" s="173" t="s">
        <v>970</v>
      </c>
      <c r="D83" s="174" t="str">
        <f t="shared" si="2"/>
        <v/>
      </c>
      <c r="E83" s="12" t="s">
        <v>472</v>
      </c>
      <c r="F83" s="12" t="s">
        <v>508</v>
      </c>
      <c r="G83" s="12" t="s">
        <v>557</v>
      </c>
    </row>
    <row r="84" spans="1:8" ht="16" x14ac:dyDescent="0.2">
      <c r="A84" s="167" t="s">
        <v>507</v>
      </c>
      <c r="B84" s="191" t="s">
        <v>1008</v>
      </c>
      <c r="C84" s="173" t="s">
        <v>970</v>
      </c>
      <c r="D84" s="174" t="str">
        <f t="shared" si="2"/>
        <v/>
      </c>
      <c r="E84" s="12" t="s">
        <v>472</v>
      </c>
      <c r="F84" s="12" t="s">
        <v>508</v>
      </c>
      <c r="G84" s="12" t="s">
        <v>509</v>
      </c>
    </row>
    <row r="85" spans="1:8" ht="16" x14ac:dyDescent="0.2">
      <c r="A85" s="167" t="s">
        <v>639</v>
      </c>
      <c r="B85" s="191" t="s">
        <v>633</v>
      </c>
      <c r="C85" s="173" t="s">
        <v>1051</v>
      </c>
      <c r="D85" s="174" t="str">
        <f t="shared" si="2"/>
        <v/>
      </c>
      <c r="E85" s="176" t="s">
        <v>634</v>
      </c>
      <c r="F85" s="176" t="s">
        <v>640</v>
      </c>
      <c r="G85" s="176" t="s">
        <v>641</v>
      </c>
    </row>
    <row r="86" spans="1:8" ht="16" x14ac:dyDescent="0.2">
      <c r="A86" s="167" t="s">
        <v>864</v>
      </c>
      <c r="B86" s="191" t="s">
        <v>1043</v>
      </c>
      <c r="C86" s="173" t="s">
        <v>970</v>
      </c>
      <c r="D86" s="174" t="str">
        <f t="shared" si="2"/>
        <v/>
      </c>
      <c r="E86" s="12" t="s">
        <v>997</v>
      </c>
      <c r="F86" s="12" t="s">
        <v>866</v>
      </c>
      <c r="G86" s="12" t="s">
        <v>867</v>
      </c>
    </row>
    <row r="87" spans="1:8" ht="16" x14ac:dyDescent="0.2">
      <c r="A87" s="167" t="s">
        <v>809</v>
      </c>
      <c r="B87" s="191" t="s">
        <v>742</v>
      </c>
      <c r="C87" s="173" t="s">
        <v>1059</v>
      </c>
      <c r="D87" s="174" t="str">
        <f t="shared" si="2"/>
        <v/>
      </c>
      <c r="E87" s="181" t="s">
        <v>691</v>
      </c>
      <c r="F87" s="12" t="s">
        <v>197</v>
      </c>
      <c r="G87" s="12" t="s">
        <v>743</v>
      </c>
      <c r="H87" s="181" t="s">
        <v>603</v>
      </c>
    </row>
    <row r="88" spans="1:8" ht="16" x14ac:dyDescent="0.2">
      <c r="A88" s="167" t="s">
        <v>816</v>
      </c>
      <c r="B88" s="191" t="s">
        <v>1040</v>
      </c>
      <c r="C88" s="173" t="s">
        <v>970</v>
      </c>
      <c r="D88" s="174" t="str">
        <f t="shared" si="2"/>
        <v/>
      </c>
      <c r="E88" s="12" t="s">
        <v>997</v>
      </c>
      <c r="F88" s="12" t="s">
        <v>817</v>
      </c>
      <c r="G88" s="12" t="s">
        <v>818</v>
      </c>
    </row>
    <row r="89" spans="1:8" ht="16" x14ac:dyDescent="0.2">
      <c r="A89" s="167" t="s">
        <v>642</v>
      </c>
      <c r="B89" s="191" t="s">
        <v>643</v>
      </c>
      <c r="C89" s="173" t="s">
        <v>1048</v>
      </c>
      <c r="D89" s="174" t="str">
        <f t="shared" si="2"/>
        <v/>
      </c>
      <c r="E89" s="176" t="s">
        <v>612</v>
      </c>
      <c r="F89" s="176" t="s">
        <v>644</v>
      </c>
      <c r="G89" s="176" t="s">
        <v>645</v>
      </c>
    </row>
    <row r="90" spans="1:8" ht="16" x14ac:dyDescent="0.2">
      <c r="A90" s="167" t="s">
        <v>819</v>
      </c>
      <c r="B90" s="191" t="s">
        <v>982</v>
      </c>
      <c r="C90" s="173" t="s">
        <v>982</v>
      </c>
      <c r="D90" s="174" t="str">
        <f t="shared" si="2"/>
        <v/>
      </c>
      <c r="E90" s="12" t="s">
        <v>98</v>
      </c>
      <c r="F90" s="12" t="s">
        <v>820</v>
      </c>
      <c r="G90" s="12" t="s">
        <v>821</v>
      </c>
    </row>
    <row r="91" spans="1:8" ht="16" x14ac:dyDescent="0.2">
      <c r="A91" s="167" t="s">
        <v>368</v>
      </c>
      <c r="B91" s="191" t="s">
        <v>1016</v>
      </c>
      <c r="C91" s="173" t="s">
        <v>970</v>
      </c>
      <c r="D91" s="174" t="str">
        <f t="shared" si="2"/>
        <v/>
      </c>
      <c r="E91" s="12" t="s">
        <v>997</v>
      </c>
      <c r="F91" s="12" t="s">
        <v>369</v>
      </c>
      <c r="G91" s="12" t="s">
        <v>370</v>
      </c>
    </row>
    <row r="92" spans="1:8" ht="16" x14ac:dyDescent="0.2">
      <c r="A92" s="167" t="s">
        <v>449</v>
      </c>
      <c r="B92" s="191" t="s">
        <v>1015</v>
      </c>
      <c r="C92" s="173" t="s">
        <v>970</v>
      </c>
      <c r="D92" s="174" t="str">
        <f t="shared" si="2"/>
        <v/>
      </c>
      <c r="E92" s="12" t="s">
        <v>997</v>
      </c>
      <c r="F92" s="12" t="s">
        <v>207</v>
      </c>
      <c r="G92" s="12" t="s">
        <v>450</v>
      </c>
    </row>
    <row r="93" spans="1:8" ht="16" x14ac:dyDescent="0.2">
      <c r="A93" s="167" t="s">
        <v>2134</v>
      </c>
      <c r="B93" s="191" t="s">
        <v>2135</v>
      </c>
      <c r="C93" s="173" t="s">
        <v>1061</v>
      </c>
      <c r="D93" s="174" t="str">
        <f t="shared" si="2"/>
        <v/>
      </c>
    </row>
    <row r="94" spans="1:8" ht="16" x14ac:dyDescent="0.2">
      <c r="A94" s="167" t="s">
        <v>748</v>
      </c>
      <c r="B94" s="191" t="s">
        <v>749</v>
      </c>
      <c r="C94" s="173" t="s">
        <v>1062</v>
      </c>
      <c r="D94" s="174" t="str">
        <f t="shared" si="2"/>
        <v/>
      </c>
      <c r="E94" s="181" t="s">
        <v>749</v>
      </c>
      <c r="F94" s="181" t="s">
        <v>750</v>
      </c>
      <c r="G94" s="181" t="s">
        <v>751</v>
      </c>
    </row>
    <row r="95" spans="1:8" ht="16" x14ac:dyDescent="0.2">
      <c r="A95" s="167" t="s">
        <v>468</v>
      </c>
      <c r="B95" s="191" t="s">
        <v>469</v>
      </c>
      <c r="C95" s="173" t="s">
        <v>967</v>
      </c>
      <c r="D95" s="174" t="str">
        <f t="shared" si="2"/>
        <v/>
      </c>
      <c r="E95" s="12" t="s">
        <v>447</v>
      </c>
      <c r="F95" s="12" t="s">
        <v>470</v>
      </c>
      <c r="G95" s="12" t="s">
        <v>471</v>
      </c>
    </row>
    <row r="96" spans="1:8" ht="16" x14ac:dyDescent="0.2">
      <c r="A96" s="167" t="s">
        <v>585</v>
      </c>
      <c r="B96" s="191" t="s">
        <v>978</v>
      </c>
      <c r="C96" s="173" t="s">
        <v>970</v>
      </c>
      <c r="D96" s="174" t="str">
        <f t="shared" si="2"/>
        <v/>
      </c>
      <c r="E96" s="12" t="s">
        <v>95</v>
      </c>
      <c r="F96" s="12" t="s">
        <v>587</v>
      </c>
      <c r="G96" s="12" t="s">
        <v>588</v>
      </c>
    </row>
    <row r="97" spans="1:7" ht="16" x14ac:dyDescent="0.2">
      <c r="A97" s="167" t="s">
        <v>767</v>
      </c>
      <c r="B97" s="191" t="s">
        <v>1001</v>
      </c>
      <c r="C97" s="173" t="s">
        <v>970</v>
      </c>
      <c r="D97" s="174" t="str">
        <f t="shared" si="2"/>
        <v/>
      </c>
      <c r="E97" s="12" t="s">
        <v>997</v>
      </c>
      <c r="F97" s="12" t="s">
        <v>768</v>
      </c>
      <c r="G97" s="12" t="s">
        <v>769</v>
      </c>
    </row>
    <row r="98" spans="1:7" ht="16" x14ac:dyDescent="0.2">
      <c r="A98" s="167" t="s">
        <v>2180</v>
      </c>
      <c r="B98" s="191" t="s">
        <v>2184</v>
      </c>
      <c r="C98" s="173" t="s">
        <v>2183</v>
      </c>
      <c r="D98" s="174" t="str">
        <f t="shared" si="2"/>
        <v/>
      </c>
      <c r="F98" s="12" t="s">
        <v>2181</v>
      </c>
      <c r="G98" s="12" t="s">
        <v>2182</v>
      </c>
    </row>
    <row r="99" spans="1:7" ht="16" x14ac:dyDescent="0.2">
      <c r="A99" s="167" t="s">
        <v>646</v>
      </c>
      <c r="B99" s="191" t="s">
        <v>647</v>
      </c>
      <c r="C99" s="173" t="s">
        <v>647</v>
      </c>
      <c r="D99" s="174" t="str">
        <f t="shared" si="2"/>
        <v/>
      </c>
      <c r="E99" s="176" t="s">
        <v>648</v>
      </c>
      <c r="F99" s="176" t="s">
        <v>649</v>
      </c>
    </row>
    <row r="100" spans="1:7" ht="16" x14ac:dyDescent="0.2">
      <c r="A100" s="167" t="s">
        <v>582</v>
      </c>
      <c r="B100" s="191" t="s">
        <v>979</v>
      </c>
      <c r="C100" s="173" t="s">
        <v>970</v>
      </c>
      <c r="D100" s="174" t="str">
        <f t="shared" si="2"/>
        <v/>
      </c>
      <c r="E100" s="12" t="s">
        <v>95</v>
      </c>
      <c r="F100" s="12" t="s">
        <v>583</v>
      </c>
      <c r="G100" s="12" t="s">
        <v>584</v>
      </c>
    </row>
    <row r="101" spans="1:7" ht="16" x14ac:dyDescent="0.2">
      <c r="A101" s="167" t="s">
        <v>26</v>
      </c>
      <c r="B101" s="191" t="s">
        <v>1000</v>
      </c>
      <c r="C101" s="173" t="s">
        <v>970</v>
      </c>
      <c r="D101" s="174" t="str">
        <f t="shared" si="2"/>
        <v/>
      </c>
      <c r="E101" s="12" t="s">
        <v>997</v>
      </c>
      <c r="F101" s="12" t="s">
        <v>208</v>
      </c>
      <c r="G101" s="12" t="s">
        <v>177</v>
      </c>
    </row>
    <row r="102" spans="1:7" ht="16" x14ac:dyDescent="0.2">
      <c r="A102" s="167" t="s">
        <v>379</v>
      </c>
      <c r="B102" s="191" t="s">
        <v>553</v>
      </c>
      <c r="C102" s="173" t="s">
        <v>970</v>
      </c>
      <c r="D102" s="174" t="str">
        <f t="shared" si="2"/>
        <v/>
      </c>
      <c r="E102" s="12" t="s">
        <v>997</v>
      </c>
      <c r="F102" s="12" t="s">
        <v>286</v>
      </c>
      <c r="G102" s="12" t="s">
        <v>287</v>
      </c>
    </row>
    <row r="103" spans="1:7" ht="16" x14ac:dyDescent="0.2">
      <c r="A103" s="167" t="s">
        <v>1070</v>
      </c>
      <c r="B103" s="191" t="s">
        <v>1074</v>
      </c>
      <c r="C103" s="173" t="s">
        <v>1073</v>
      </c>
      <c r="D103" s="174" t="str">
        <f t="shared" si="2"/>
        <v/>
      </c>
      <c r="F103" s="12" t="s">
        <v>1071</v>
      </c>
      <c r="G103" s="12" t="s">
        <v>1072</v>
      </c>
    </row>
    <row r="104" spans="1:7" ht="16" x14ac:dyDescent="0.2">
      <c r="A104" s="167" t="s">
        <v>32</v>
      </c>
      <c r="B104" s="191" t="s">
        <v>1005</v>
      </c>
      <c r="C104" s="173" t="s">
        <v>970</v>
      </c>
      <c r="D104" s="174" t="str">
        <f t="shared" si="2"/>
        <v/>
      </c>
      <c r="E104" s="12" t="s">
        <v>997</v>
      </c>
      <c r="F104" s="12" t="s">
        <v>267</v>
      </c>
      <c r="G104" s="12" t="s">
        <v>178</v>
      </c>
    </row>
    <row r="105" spans="1:7" ht="16" x14ac:dyDescent="0.2">
      <c r="A105" s="167" t="s">
        <v>442</v>
      </c>
      <c r="B105" s="191" t="s">
        <v>1015</v>
      </c>
      <c r="C105" s="173" t="s">
        <v>970</v>
      </c>
      <c r="D105" s="174" t="str">
        <f t="shared" si="2"/>
        <v/>
      </c>
      <c r="E105" s="12" t="s">
        <v>997</v>
      </c>
      <c r="F105" s="12" t="s">
        <v>318</v>
      </c>
      <c r="G105" s="12" t="s">
        <v>319</v>
      </c>
    </row>
    <row r="106" spans="1:7" ht="16" x14ac:dyDescent="0.2">
      <c r="A106" s="119" t="s">
        <v>650</v>
      </c>
      <c r="B106" s="191" t="s">
        <v>651</v>
      </c>
      <c r="C106" s="173" t="s">
        <v>1054</v>
      </c>
      <c r="D106" s="174" t="str">
        <f t="shared" si="2"/>
        <v>Trùng Đại Lý</v>
      </c>
      <c r="E106" s="124" t="s">
        <v>652</v>
      </c>
      <c r="F106" s="176" t="s">
        <v>653</v>
      </c>
      <c r="G106" s="176" t="s">
        <v>654</v>
      </c>
    </row>
    <row r="107" spans="1:7" ht="16" x14ac:dyDescent="0.2">
      <c r="A107" s="183" t="s">
        <v>650</v>
      </c>
      <c r="B107" s="191" t="s">
        <v>1053</v>
      </c>
      <c r="C107" s="173" t="s">
        <v>1052</v>
      </c>
      <c r="D107" s="174" t="str">
        <f t="shared" si="2"/>
        <v>Trùng Đại Lý</v>
      </c>
      <c r="E107" s="184" t="s">
        <v>944</v>
      </c>
      <c r="F107" s="185" t="s">
        <v>653</v>
      </c>
      <c r="G107" s="176" t="s">
        <v>945</v>
      </c>
    </row>
    <row r="108" spans="1:7" ht="16" x14ac:dyDescent="0.2">
      <c r="A108" s="167" t="s">
        <v>655</v>
      </c>
      <c r="B108" s="191" t="s">
        <v>656</v>
      </c>
      <c r="C108" s="173" t="s">
        <v>1055</v>
      </c>
      <c r="D108" s="174" t="str">
        <f t="shared" si="2"/>
        <v/>
      </c>
      <c r="E108" s="176" t="s">
        <v>656</v>
      </c>
      <c r="F108" s="176" t="s">
        <v>657</v>
      </c>
      <c r="G108" s="176" t="s">
        <v>658</v>
      </c>
    </row>
    <row r="109" spans="1:7" ht="16" x14ac:dyDescent="0.2">
      <c r="A109" s="167" t="s">
        <v>839</v>
      </c>
      <c r="B109" s="191" t="s">
        <v>996</v>
      </c>
      <c r="C109" s="173" t="s">
        <v>970</v>
      </c>
      <c r="D109" s="174" t="str">
        <f t="shared" si="2"/>
        <v/>
      </c>
      <c r="E109" s="12" t="s">
        <v>997</v>
      </c>
      <c r="F109" s="12" t="s">
        <v>840</v>
      </c>
      <c r="G109" s="12" t="s">
        <v>841</v>
      </c>
    </row>
    <row r="110" spans="1:7" ht="16" x14ac:dyDescent="0.2">
      <c r="A110" s="167" t="s">
        <v>366</v>
      </c>
      <c r="B110" s="191" t="s">
        <v>198</v>
      </c>
      <c r="C110" s="173" t="s">
        <v>198</v>
      </c>
      <c r="D110" s="174" t="str">
        <f t="shared" si="2"/>
        <v/>
      </c>
      <c r="E110" s="12" t="s">
        <v>107</v>
      </c>
      <c r="F110" s="12" t="s">
        <v>351</v>
      </c>
      <c r="G110" s="12" t="s">
        <v>352</v>
      </c>
    </row>
    <row r="111" spans="1:7" ht="16" x14ac:dyDescent="0.2">
      <c r="A111" s="167" t="s">
        <v>782</v>
      </c>
      <c r="B111" s="191" t="s">
        <v>198</v>
      </c>
      <c r="C111" s="173" t="s">
        <v>198</v>
      </c>
      <c r="D111" s="174" t="str">
        <f t="shared" si="2"/>
        <v/>
      </c>
      <c r="E111" s="12" t="s">
        <v>107</v>
      </c>
      <c r="F111" s="12" t="s">
        <v>351</v>
      </c>
      <c r="G111" s="12" t="s">
        <v>783</v>
      </c>
    </row>
    <row r="112" spans="1:7" ht="16" x14ac:dyDescent="0.2">
      <c r="A112" s="167" t="s">
        <v>367</v>
      </c>
      <c r="B112" s="191" t="s">
        <v>1014</v>
      </c>
      <c r="C112" s="173" t="s">
        <v>970</v>
      </c>
      <c r="D112" s="174" t="str">
        <f t="shared" ref="D112:D143" si="3">IF(COUNTIF($A$15:$A$1420, A112)&gt;1, "Trùng Đại Lý", "")</f>
        <v>Trùng Đại Lý</v>
      </c>
      <c r="E112" s="12" t="s">
        <v>997</v>
      </c>
      <c r="F112" s="12" t="s">
        <v>206</v>
      </c>
      <c r="G112" s="12" t="s">
        <v>316</v>
      </c>
    </row>
    <row r="113" spans="1:7" ht="16" x14ac:dyDescent="0.2">
      <c r="A113" s="167" t="s">
        <v>367</v>
      </c>
      <c r="B113" s="191" t="s">
        <v>1021</v>
      </c>
      <c r="C113" s="173" t="s">
        <v>970</v>
      </c>
      <c r="D113" s="174" t="str">
        <f t="shared" si="3"/>
        <v>Trùng Đại Lý</v>
      </c>
      <c r="E113" s="12" t="s">
        <v>997</v>
      </c>
      <c r="F113" s="12" t="s">
        <v>206</v>
      </c>
      <c r="G113" s="12" t="s">
        <v>1076</v>
      </c>
    </row>
    <row r="114" spans="1:7" ht="16" x14ac:dyDescent="0.2">
      <c r="A114" s="167" t="s">
        <v>23</v>
      </c>
      <c r="B114" s="191" t="s">
        <v>553</v>
      </c>
      <c r="C114" s="173" t="s">
        <v>970</v>
      </c>
      <c r="D114" s="174" t="str">
        <f t="shared" si="3"/>
        <v/>
      </c>
      <c r="E114" s="12" t="s">
        <v>997</v>
      </c>
      <c r="F114" s="12" t="s">
        <v>241</v>
      </c>
      <c r="G114" s="12" t="s">
        <v>242</v>
      </c>
    </row>
    <row r="115" spans="1:7" ht="16" x14ac:dyDescent="0.2">
      <c r="A115" s="158" t="s">
        <v>659</v>
      </c>
      <c r="B115" s="191" t="s">
        <v>660</v>
      </c>
      <c r="C115" s="173" t="s">
        <v>1056</v>
      </c>
      <c r="D115" s="174" t="str">
        <f t="shared" si="3"/>
        <v/>
      </c>
      <c r="E115" s="12" t="s">
        <v>661</v>
      </c>
      <c r="F115" s="12" t="s">
        <v>662</v>
      </c>
      <c r="G115" s="12" t="s">
        <v>663</v>
      </c>
    </row>
    <row r="116" spans="1:7" ht="16" x14ac:dyDescent="0.2">
      <c r="A116" s="167" t="s">
        <v>428</v>
      </c>
      <c r="B116" s="191" t="s">
        <v>527</v>
      </c>
      <c r="C116" s="173" t="s">
        <v>970</v>
      </c>
      <c r="D116" s="174" t="str">
        <f t="shared" si="3"/>
        <v/>
      </c>
      <c r="E116" s="12" t="s">
        <v>997</v>
      </c>
      <c r="F116" s="12" t="s">
        <v>429</v>
      </c>
      <c r="G116" s="12" t="s">
        <v>430</v>
      </c>
    </row>
    <row r="117" spans="1:7" ht="16" x14ac:dyDescent="0.2">
      <c r="A117" s="167" t="s">
        <v>962</v>
      </c>
      <c r="B117" s="191" t="s">
        <v>824</v>
      </c>
      <c r="C117" s="173" t="s">
        <v>968</v>
      </c>
      <c r="D117" s="174" t="str">
        <f t="shared" si="3"/>
        <v/>
      </c>
      <c r="E117" s="12" t="s">
        <v>824</v>
      </c>
      <c r="F117" s="12" t="s">
        <v>963</v>
      </c>
      <c r="G117" s="12" t="s">
        <v>964</v>
      </c>
    </row>
    <row r="118" spans="1:7" ht="16" x14ac:dyDescent="0.2">
      <c r="A118" s="167" t="s">
        <v>903</v>
      </c>
      <c r="B118" s="191" t="s">
        <v>1038</v>
      </c>
      <c r="C118" s="173" t="s">
        <v>970</v>
      </c>
      <c r="D118" s="174" t="str">
        <f t="shared" si="3"/>
        <v>Trùng Đại Lý</v>
      </c>
      <c r="E118" s="12" t="s">
        <v>997</v>
      </c>
      <c r="F118" s="12" t="s">
        <v>904</v>
      </c>
      <c r="G118" s="12" t="s">
        <v>905</v>
      </c>
    </row>
    <row r="119" spans="1:7" ht="16" x14ac:dyDescent="0.2">
      <c r="A119" s="167" t="s">
        <v>903</v>
      </c>
      <c r="B119" s="191" t="s">
        <v>1046</v>
      </c>
      <c r="C119" s="173" t="s">
        <v>970</v>
      </c>
      <c r="D119" s="174" t="str">
        <f t="shared" si="3"/>
        <v>Trùng Đại Lý</v>
      </c>
      <c r="E119" s="12" t="s">
        <v>997</v>
      </c>
      <c r="F119" s="12" t="s">
        <v>904</v>
      </c>
      <c r="G119" s="12" t="s">
        <v>940</v>
      </c>
    </row>
    <row r="120" spans="1:7" ht="16" x14ac:dyDescent="0.2">
      <c r="A120" s="167" t="s">
        <v>881</v>
      </c>
      <c r="B120" s="191" t="s">
        <v>994</v>
      </c>
      <c r="C120" s="173" t="s">
        <v>971</v>
      </c>
      <c r="D120" s="174" t="str">
        <f t="shared" si="3"/>
        <v/>
      </c>
      <c r="E120" s="12" t="s">
        <v>96</v>
      </c>
      <c r="F120" s="12" t="s">
        <v>883</v>
      </c>
      <c r="G120" s="12" t="s">
        <v>884</v>
      </c>
    </row>
    <row r="121" spans="1:7" ht="16" x14ac:dyDescent="0.2">
      <c r="A121" s="167" t="s">
        <v>1081</v>
      </c>
      <c r="B121" s="191" t="s">
        <v>2084</v>
      </c>
      <c r="C121" s="173" t="s">
        <v>987</v>
      </c>
      <c r="D121" s="174" t="str">
        <f t="shared" si="3"/>
        <v/>
      </c>
      <c r="F121" s="12" t="s">
        <v>1082</v>
      </c>
      <c r="G121" s="12" t="s">
        <v>1083</v>
      </c>
    </row>
    <row r="122" spans="1:7" ht="16" x14ac:dyDescent="0.2">
      <c r="A122" s="167" t="s">
        <v>1078</v>
      </c>
      <c r="B122" s="191" t="s">
        <v>447</v>
      </c>
      <c r="C122" s="173" t="s">
        <v>967</v>
      </c>
      <c r="D122" s="174" t="str">
        <f t="shared" si="3"/>
        <v/>
      </c>
      <c r="F122" s="12" t="s">
        <v>1079</v>
      </c>
      <c r="G122" s="12" t="s">
        <v>1080</v>
      </c>
    </row>
    <row r="123" spans="1:7" ht="16" x14ac:dyDescent="0.2">
      <c r="A123" s="167" t="s">
        <v>8</v>
      </c>
      <c r="B123" s="191" t="s">
        <v>1017</v>
      </c>
      <c r="C123" s="173" t="s">
        <v>970</v>
      </c>
      <c r="D123" s="174" t="str">
        <f t="shared" si="3"/>
        <v/>
      </c>
      <c r="E123" s="12" t="s">
        <v>997</v>
      </c>
      <c r="F123" s="12" t="s">
        <v>214</v>
      </c>
      <c r="G123" s="12" t="s">
        <v>175</v>
      </c>
    </row>
    <row r="124" spans="1:7" ht="16" x14ac:dyDescent="0.2">
      <c r="A124" s="167" t="s">
        <v>770</v>
      </c>
      <c r="B124" s="191" t="s">
        <v>989</v>
      </c>
      <c r="C124" s="173" t="s">
        <v>987</v>
      </c>
      <c r="D124" s="174" t="str">
        <f t="shared" si="3"/>
        <v/>
      </c>
      <c r="E124" s="12" t="s">
        <v>411</v>
      </c>
      <c r="F124" s="12" t="s">
        <v>772</v>
      </c>
      <c r="G124" s="12" t="s">
        <v>773</v>
      </c>
    </row>
    <row r="125" spans="1:7" ht="16" x14ac:dyDescent="0.2">
      <c r="A125" s="167" t="s">
        <v>11</v>
      </c>
      <c r="B125" s="191" t="s">
        <v>1018</v>
      </c>
      <c r="C125" s="173" t="s">
        <v>970</v>
      </c>
      <c r="D125" s="174" t="str">
        <f t="shared" si="3"/>
        <v/>
      </c>
      <c r="E125" s="12" t="s">
        <v>997</v>
      </c>
      <c r="F125" s="12" t="s">
        <v>227</v>
      </c>
      <c r="G125" s="12" t="s">
        <v>265</v>
      </c>
    </row>
    <row r="126" spans="1:7" ht="16" x14ac:dyDescent="0.2">
      <c r="A126" s="167" t="s">
        <v>467</v>
      </c>
      <c r="B126" s="191" t="s">
        <v>976</v>
      </c>
      <c r="C126" s="173" t="s">
        <v>971</v>
      </c>
      <c r="D126" s="174" t="str">
        <f t="shared" si="3"/>
        <v/>
      </c>
      <c r="E126" s="12" t="s">
        <v>452</v>
      </c>
      <c r="F126" s="12" t="s">
        <v>453</v>
      </c>
      <c r="G126" s="12" t="s">
        <v>454</v>
      </c>
    </row>
    <row r="127" spans="1:7" ht="16" x14ac:dyDescent="0.2">
      <c r="A127" s="167" t="s">
        <v>438</v>
      </c>
      <c r="B127" s="191" t="s">
        <v>1020</v>
      </c>
      <c r="C127" s="173" t="s">
        <v>970</v>
      </c>
      <c r="D127" s="174" t="str">
        <f t="shared" si="3"/>
        <v/>
      </c>
      <c r="E127" s="12" t="s">
        <v>997</v>
      </c>
      <c r="F127" s="12" t="s">
        <v>310</v>
      </c>
      <c r="G127" s="12" t="s">
        <v>439</v>
      </c>
    </row>
    <row r="128" spans="1:7" ht="16" x14ac:dyDescent="0.2">
      <c r="A128" s="167" t="s">
        <v>512</v>
      </c>
      <c r="B128" s="191" t="s">
        <v>1021</v>
      </c>
      <c r="C128" s="173" t="s">
        <v>970</v>
      </c>
      <c r="D128" s="174" t="str">
        <f t="shared" si="3"/>
        <v/>
      </c>
      <c r="E128" s="12" t="s">
        <v>472</v>
      </c>
      <c r="F128" s="12" t="s">
        <v>513</v>
      </c>
      <c r="G128" s="12" t="s">
        <v>514</v>
      </c>
    </row>
    <row r="129" spans="1:7" ht="16" x14ac:dyDescent="0.2">
      <c r="A129" s="167" t="s">
        <v>664</v>
      </c>
      <c r="B129" s="191" t="s">
        <v>643</v>
      </c>
      <c r="C129" s="173" t="s">
        <v>1048</v>
      </c>
      <c r="D129" s="174" t="str">
        <f t="shared" si="3"/>
        <v/>
      </c>
      <c r="E129" s="176" t="s">
        <v>612</v>
      </c>
      <c r="F129" s="176" t="s">
        <v>665</v>
      </c>
      <c r="G129" s="176" t="s">
        <v>666</v>
      </c>
    </row>
    <row r="130" spans="1:7" ht="16" x14ac:dyDescent="0.2">
      <c r="A130" s="167" t="s">
        <v>667</v>
      </c>
      <c r="B130" s="191" t="s">
        <v>637</v>
      </c>
      <c r="C130" s="173" t="s">
        <v>1048</v>
      </c>
      <c r="D130" s="174" t="str">
        <f t="shared" si="3"/>
        <v/>
      </c>
      <c r="E130" s="176" t="s">
        <v>612</v>
      </c>
      <c r="F130" s="176" t="s">
        <v>665</v>
      </c>
      <c r="G130" s="176" t="s">
        <v>668</v>
      </c>
    </row>
    <row r="131" spans="1:7" ht="16" x14ac:dyDescent="0.2">
      <c r="A131" s="167" t="s">
        <v>499</v>
      </c>
      <c r="B131" s="191" t="s">
        <v>1000</v>
      </c>
      <c r="C131" s="173" t="s">
        <v>970</v>
      </c>
      <c r="D131" s="174" t="str">
        <f t="shared" si="3"/>
        <v/>
      </c>
      <c r="E131" s="12" t="s">
        <v>472</v>
      </c>
      <c r="F131" s="12" t="s">
        <v>500</v>
      </c>
      <c r="G131" s="12" t="s">
        <v>501</v>
      </c>
    </row>
    <row r="132" spans="1:7" ht="16" x14ac:dyDescent="0.2">
      <c r="A132" s="167" t="s">
        <v>2089</v>
      </c>
      <c r="B132" s="191" t="s">
        <v>1022</v>
      </c>
      <c r="C132" s="173" t="s">
        <v>970</v>
      </c>
      <c r="D132" s="174" t="str">
        <f t="shared" si="3"/>
        <v/>
      </c>
      <c r="E132" s="12" t="s">
        <v>472</v>
      </c>
      <c r="F132" s="12" t="s">
        <v>500</v>
      </c>
      <c r="G132" s="12" t="s">
        <v>503</v>
      </c>
    </row>
    <row r="133" spans="1:7" ht="16" x14ac:dyDescent="0.2">
      <c r="A133" s="167" t="s">
        <v>504</v>
      </c>
      <c r="B133" s="191" t="s">
        <v>1023</v>
      </c>
      <c r="C133" s="173" t="s">
        <v>970</v>
      </c>
      <c r="D133" s="174" t="str">
        <f t="shared" si="3"/>
        <v/>
      </c>
      <c r="E133" s="12" t="s">
        <v>472</v>
      </c>
      <c r="F133" s="12" t="s">
        <v>505</v>
      </c>
      <c r="G133" s="12" t="s">
        <v>506</v>
      </c>
    </row>
    <row r="134" spans="1:7" ht="16" x14ac:dyDescent="0.2">
      <c r="A134" s="167" t="s">
        <v>27</v>
      </c>
      <c r="B134" s="191" t="s">
        <v>1019</v>
      </c>
      <c r="C134" s="173" t="s">
        <v>970</v>
      </c>
      <c r="D134" s="174" t="str">
        <f t="shared" si="3"/>
        <v/>
      </c>
      <c r="E134" s="12" t="s">
        <v>997</v>
      </c>
      <c r="F134" s="12" t="s">
        <v>235</v>
      </c>
      <c r="G134" s="12" t="s">
        <v>236</v>
      </c>
    </row>
    <row r="135" spans="1:7" ht="16" x14ac:dyDescent="0.2">
      <c r="A135" s="167" t="s">
        <v>669</v>
      </c>
      <c r="B135" s="191" t="s">
        <v>670</v>
      </c>
      <c r="C135" s="173" t="s">
        <v>1057</v>
      </c>
      <c r="D135" s="174" t="str">
        <f t="shared" si="3"/>
        <v/>
      </c>
      <c r="E135" s="176" t="s">
        <v>670</v>
      </c>
      <c r="F135" s="176" t="s">
        <v>671</v>
      </c>
      <c r="G135" s="176" t="s">
        <v>672</v>
      </c>
    </row>
    <row r="136" spans="1:7" ht="16" x14ac:dyDescent="0.2">
      <c r="A136" s="167" t="s">
        <v>673</v>
      </c>
      <c r="B136" s="191" t="s">
        <v>674</v>
      </c>
      <c r="C136" s="173" t="s">
        <v>1058</v>
      </c>
      <c r="D136" s="174" t="str">
        <f t="shared" si="3"/>
        <v/>
      </c>
      <c r="E136" s="176" t="s">
        <v>674</v>
      </c>
      <c r="F136" s="176" t="s">
        <v>675</v>
      </c>
      <c r="G136" s="176" t="s">
        <v>676</v>
      </c>
    </row>
    <row r="137" spans="1:7" ht="16" x14ac:dyDescent="0.2">
      <c r="A137" s="167" t="s">
        <v>861</v>
      </c>
      <c r="B137" s="191" t="s">
        <v>1029</v>
      </c>
      <c r="C137" s="173" t="s">
        <v>970</v>
      </c>
      <c r="D137" s="174" t="str">
        <f t="shared" si="3"/>
        <v/>
      </c>
      <c r="E137" s="12" t="s">
        <v>997</v>
      </c>
      <c r="F137" s="12" t="s">
        <v>862</v>
      </c>
      <c r="G137" s="12" t="s">
        <v>863</v>
      </c>
    </row>
    <row r="138" spans="1:7" ht="16" x14ac:dyDescent="0.2">
      <c r="A138" s="167" t="s">
        <v>25</v>
      </c>
      <c r="B138" s="191" t="s">
        <v>1024</v>
      </c>
      <c r="C138" s="173" t="s">
        <v>970</v>
      </c>
      <c r="D138" s="174" t="str">
        <f t="shared" si="3"/>
        <v/>
      </c>
      <c r="E138" s="12" t="s">
        <v>997</v>
      </c>
      <c r="F138" s="12" t="s">
        <v>196</v>
      </c>
      <c r="G138" s="12" t="s">
        <v>261</v>
      </c>
    </row>
    <row r="139" spans="1:7" ht="16" x14ac:dyDescent="0.2">
      <c r="A139" s="167" t="s">
        <v>92</v>
      </c>
      <c r="B139" s="191" t="s">
        <v>314</v>
      </c>
      <c r="C139" s="173" t="s">
        <v>968</v>
      </c>
      <c r="D139" s="174" t="str">
        <f t="shared" si="3"/>
        <v/>
      </c>
      <c r="E139" s="12" t="s">
        <v>93</v>
      </c>
      <c r="F139" s="12" t="s">
        <v>196</v>
      </c>
      <c r="G139" s="12" t="s">
        <v>169</v>
      </c>
    </row>
    <row r="140" spans="1:7" ht="16" x14ac:dyDescent="0.2">
      <c r="A140" s="167" t="s">
        <v>14</v>
      </c>
      <c r="B140" s="191" t="s">
        <v>1020</v>
      </c>
      <c r="C140" s="173" t="s">
        <v>970</v>
      </c>
      <c r="D140" s="174" t="str">
        <f t="shared" si="3"/>
        <v/>
      </c>
      <c r="E140" s="12" t="s">
        <v>997</v>
      </c>
      <c r="F140" s="12" t="s">
        <v>196</v>
      </c>
      <c r="G140" s="12" t="s">
        <v>168</v>
      </c>
    </row>
    <row r="141" spans="1:7" ht="16" x14ac:dyDescent="0.2">
      <c r="A141" s="167" t="s">
        <v>16</v>
      </c>
      <c r="B141" s="191" t="s">
        <v>1002</v>
      </c>
      <c r="C141" s="173" t="s">
        <v>970</v>
      </c>
      <c r="D141" s="174" t="str">
        <f t="shared" si="3"/>
        <v/>
      </c>
      <c r="E141" s="12" t="s">
        <v>997</v>
      </c>
      <c r="F141" s="12" t="s">
        <v>196</v>
      </c>
      <c r="G141" s="12" t="s">
        <v>185</v>
      </c>
    </row>
    <row r="142" spans="1:7" ht="16" x14ac:dyDescent="0.2">
      <c r="A142" s="167" t="s">
        <v>426</v>
      </c>
      <c r="B142" s="191" t="s">
        <v>2133</v>
      </c>
      <c r="C142" s="173" t="s">
        <v>970</v>
      </c>
      <c r="D142" s="174" t="str">
        <f t="shared" si="3"/>
        <v/>
      </c>
      <c r="E142" s="12" t="s">
        <v>997</v>
      </c>
      <c r="F142" s="12" t="s">
        <v>196</v>
      </c>
      <c r="G142" s="12" t="s">
        <v>427</v>
      </c>
    </row>
    <row r="143" spans="1:7" ht="16" x14ac:dyDescent="0.2">
      <c r="A143" s="167" t="s">
        <v>422</v>
      </c>
      <c r="B143" s="191" t="s">
        <v>1002</v>
      </c>
      <c r="C143" s="173" t="s">
        <v>970</v>
      </c>
      <c r="D143" s="174" t="str">
        <f t="shared" si="3"/>
        <v/>
      </c>
      <c r="E143" s="12" t="s">
        <v>997</v>
      </c>
      <c r="F143" s="12" t="s">
        <v>196</v>
      </c>
      <c r="G143" s="12" t="s">
        <v>421</v>
      </c>
    </row>
    <row r="144" spans="1:7" ht="16" x14ac:dyDescent="0.2">
      <c r="A144" s="167" t="s">
        <v>744</v>
      </c>
      <c r="B144" s="191" t="s">
        <v>745</v>
      </c>
      <c r="C144" s="173" t="s">
        <v>1063</v>
      </c>
      <c r="D144" s="174" t="str">
        <f t="shared" ref="D144:D175" si="4">IF(COUNTIF($A$15:$A$1420, A144)&gt;1, "Trùng Đại Lý", "")</f>
        <v/>
      </c>
      <c r="E144" s="12" t="s">
        <v>746</v>
      </c>
      <c r="F144" s="12" t="s">
        <v>196</v>
      </c>
      <c r="G144" s="12" t="s">
        <v>747</v>
      </c>
    </row>
    <row r="145" spans="1:8" ht="16" x14ac:dyDescent="0.2">
      <c r="A145" s="167" t="s">
        <v>677</v>
      </c>
      <c r="B145" s="191" t="s">
        <v>637</v>
      </c>
      <c r="C145" s="173" t="s">
        <v>1048</v>
      </c>
      <c r="D145" s="174" t="str">
        <f t="shared" si="4"/>
        <v/>
      </c>
      <c r="E145" s="176" t="s">
        <v>612</v>
      </c>
      <c r="F145" s="176" t="s">
        <v>196</v>
      </c>
      <c r="G145" s="176" t="s">
        <v>678</v>
      </c>
    </row>
    <row r="146" spans="1:8" ht="16" x14ac:dyDescent="0.2">
      <c r="A146" s="167" t="s">
        <v>679</v>
      </c>
      <c r="B146" s="191" t="s">
        <v>647</v>
      </c>
      <c r="C146" s="173" t="s">
        <v>647</v>
      </c>
      <c r="D146" s="174" t="str">
        <f t="shared" si="4"/>
        <v/>
      </c>
      <c r="E146" s="176" t="s">
        <v>648</v>
      </c>
      <c r="F146" s="176" t="s">
        <v>196</v>
      </c>
      <c r="G146" s="176" t="s">
        <v>680</v>
      </c>
    </row>
    <row r="147" spans="1:8" ht="16" x14ac:dyDescent="0.2">
      <c r="A147" s="167" t="s">
        <v>145</v>
      </c>
      <c r="B147" s="191" t="s">
        <v>198</v>
      </c>
      <c r="C147" s="173" t="s">
        <v>198</v>
      </c>
      <c r="D147" s="174" t="str">
        <f t="shared" si="4"/>
        <v/>
      </c>
      <c r="E147" s="12" t="s">
        <v>107</v>
      </c>
      <c r="F147" s="12" t="s">
        <v>291</v>
      </c>
      <c r="G147" s="12" t="s">
        <v>292</v>
      </c>
    </row>
    <row r="148" spans="1:8" ht="16" x14ac:dyDescent="0.2">
      <c r="A148" s="167" t="s">
        <v>596</v>
      </c>
      <c r="B148" s="191" t="s">
        <v>527</v>
      </c>
      <c r="C148" s="173" t="s">
        <v>970</v>
      </c>
      <c r="D148" s="174" t="str">
        <f t="shared" si="4"/>
        <v>Trùng Đại Lý</v>
      </c>
      <c r="E148" s="12" t="s">
        <v>997</v>
      </c>
      <c r="F148" s="12" t="s">
        <v>597</v>
      </c>
      <c r="G148" s="12" t="s">
        <v>598</v>
      </c>
    </row>
    <row r="149" spans="1:8" ht="16" x14ac:dyDescent="0.2">
      <c r="A149" s="167" t="s">
        <v>596</v>
      </c>
      <c r="B149" s="191" t="s">
        <v>315</v>
      </c>
      <c r="C149" s="173" t="s">
        <v>969</v>
      </c>
      <c r="D149" s="174" t="str">
        <f t="shared" si="4"/>
        <v>Trùng Đại Lý</v>
      </c>
      <c r="E149" s="12" t="s">
        <v>10</v>
      </c>
      <c r="F149" s="12" t="s">
        <v>597</v>
      </c>
      <c r="G149" s="12" t="s">
        <v>955</v>
      </c>
    </row>
    <row r="150" spans="1:8" ht="16" x14ac:dyDescent="0.2">
      <c r="A150" s="167" t="s">
        <v>681</v>
      </c>
      <c r="B150" s="191" t="s">
        <v>619</v>
      </c>
      <c r="C150" s="173" t="s">
        <v>1048</v>
      </c>
      <c r="D150" s="174" t="str">
        <f t="shared" si="4"/>
        <v/>
      </c>
      <c r="E150" s="176" t="s">
        <v>612</v>
      </c>
      <c r="F150" s="176" t="s">
        <v>682</v>
      </c>
      <c r="G150" s="176" t="s">
        <v>683</v>
      </c>
      <c r="H150" s="124" t="s">
        <v>834</v>
      </c>
    </row>
    <row r="151" spans="1:8" ht="16" x14ac:dyDescent="0.2">
      <c r="A151" s="167" t="s">
        <v>215</v>
      </c>
      <c r="B151" s="191" t="s">
        <v>1004</v>
      </c>
      <c r="C151" s="173" t="s">
        <v>970</v>
      </c>
      <c r="D151" s="174" t="str">
        <f t="shared" si="4"/>
        <v>Trùng Đại Lý</v>
      </c>
      <c r="E151" s="12" t="s">
        <v>997</v>
      </c>
      <c r="F151" s="12" t="s">
        <v>216</v>
      </c>
      <c r="G151" s="12" t="s">
        <v>375</v>
      </c>
    </row>
    <row r="152" spans="1:8" ht="16" x14ac:dyDescent="0.2">
      <c r="A152" s="167" t="s">
        <v>215</v>
      </c>
      <c r="B152" s="191" t="s">
        <v>1034</v>
      </c>
      <c r="C152" s="173" t="s">
        <v>970</v>
      </c>
      <c r="D152" s="174" t="str">
        <f t="shared" si="4"/>
        <v>Trùng Đại Lý</v>
      </c>
      <c r="E152" s="12" t="s">
        <v>997</v>
      </c>
      <c r="F152" s="12" t="s">
        <v>216</v>
      </c>
      <c r="G152" s="12" t="s">
        <v>792</v>
      </c>
    </row>
    <row r="153" spans="1:8" ht="16" x14ac:dyDescent="0.2">
      <c r="A153" s="167" t="s">
        <v>684</v>
      </c>
      <c r="B153" s="191" t="s">
        <v>685</v>
      </c>
      <c r="C153" s="173" t="s">
        <v>685</v>
      </c>
      <c r="D153" s="174" t="str">
        <f t="shared" si="4"/>
        <v/>
      </c>
      <c r="E153" s="176" t="s">
        <v>686</v>
      </c>
      <c r="F153" s="176" t="s">
        <v>687</v>
      </c>
      <c r="G153" s="176" t="s">
        <v>688</v>
      </c>
    </row>
    <row r="154" spans="1:8" ht="16" x14ac:dyDescent="0.2">
      <c r="A154" s="167" t="s">
        <v>823</v>
      </c>
      <c r="B154" s="191" t="s">
        <v>824</v>
      </c>
      <c r="C154" s="173" t="s">
        <v>968</v>
      </c>
      <c r="D154" s="174" t="str">
        <f t="shared" si="4"/>
        <v/>
      </c>
      <c r="E154" s="12" t="s">
        <v>824</v>
      </c>
      <c r="F154" s="12" t="s">
        <v>825</v>
      </c>
      <c r="G154" s="12" t="s">
        <v>826</v>
      </c>
    </row>
    <row r="155" spans="1:8" ht="16" x14ac:dyDescent="0.2">
      <c r="A155" s="167" t="s">
        <v>842</v>
      </c>
      <c r="B155" s="191" t="s">
        <v>1038</v>
      </c>
      <c r="C155" s="173" t="s">
        <v>970</v>
      </c>
      <c r="D155" s="174" t="str">
        <f t="shared" si="4"/>
        <v/>
      </c>
      <c r="E155" s="12" t="s">
        <v>997</v>
      </c>
      <c r="F155" s="12" t="s">
        <v>843</v>
      </c>
      <c r="G155" s="12" t="s">
        <v>844</v>
      </c>
    </row>
    <row r="156" spans="1:8" ht="16" x14ac:dyDescent="0.2">
      <c r="A156" s="167" t="s">
        <v>326</v>
      </c>
      <c r="B156" s="191" t="s">
        <v>1027</v>
      </c>
      <c r="C156" s="173" t="s">
        <v>970</v>
      </c>
      <c r="D156" s="174" t="str">
        <f t="shared" si="4"/>
        <v/>
      </c>
      <c r="E156" s="12" t="s">
        <v>997</v>
      </c>
      <c r="F156" s="12" t="s">
        <v>327</v>
      </c>
      <c r="G156" s="12" t="s">
        <v>328</v>
      </c>
    </row>
    <row r="157" spans="1:8" ht="16" x14ac:dyDescent="0.2">
      <c r="A157" s="167" t="s">
        <v>941</v>
      </c>
      <c r="B157" s="191" t="s">
        <v>1038</v>
      </c>
      <c r="C157" s="173" t="s">
        <v>970</v>
      </c>
      <c r="D157" s="174" t="str">
        <f t="shared" si="4"/>
        <v/>
      </c>
      <c r="E157" s="12" t="s">
        <v>997</v>
      </c>
      <c r="F157" s="12" t="s">
        <v>942</v>
      </c>
      <c r="G157" s="12" t="s">
        <v>943</v>
      </c>
    </row>
    <row r="158" spans="1:8" ht="16" x14ac:dyDescent="0.2">
      <c r="A158" s="167" t="s">
        <v>22</v>
      </c>
      <c r="B158" s="191" t="s">
        <v>979</v>
      </c>
      <c r="C158" s="173" t="s">
        <v>970</v>
      </c>
      <c r="D158" s="174" t="str">
        <f t="shared" si="4"/>
        <v>Trùng Đại Lý</v>
      </c>
      <c r="E158" s="12" t="s">
        <v>997</v>
      </c>
      <c r="F158" s="12" t="s">
        <v>220</v>
      </c>
      <c r="G158" s="12" t="s">
        <v>2090</v>
      </c>
    </row>
    <row r="159" spans="1:8" ht="16" x14ac:dyDescent="0.2">
      <c r="A159" s="167" t="s">
        <v>22</v>
      </c>
      <c r="B159" s="191" t="s">
        <v>1026</v>
      </c>
      <c r="C159" s="173" t="s">
        <v>970</v>
      </c>
      <c r="D159" s="174" t="str">
        <f t="shared" si="4"/>
        <v>Trùng Đại Lý</v>
      </c>
      <c r="E159" s="12" t="s">
        <v>997</v>
      </c>
      <c r="F159" s="12" t="s">
        <v>220</v>
      </c>
      <c r="G159" s="12" t="s">
        <v>181</v>
      </c>
    </row>
    <row r="160" spans="1:8" ht="16" x14ac:dyDescent="0.2">
      <c r="A160" s="167" t="s">
        <v>604</v>
      </c>
      <c r="B160" s="191" t="s">
        <v>565</v>
      </c>
      <c r="C160" s="173" t="s">
        <v>565</v>
      </c>
      <c r="D160" s="174" t="str">
        <f t="shared" si="4"/>
        <v/>
      </c>
      <c r="E160" s="12" t="s">
        <v>93</v>
      </c>
      <c r="F160" s="12" t="s">
        <v>605</v>
      </c>
      <c r="G160" s="12" t="s">
        <v>606</v>
      </c>
    </row>
    <row r="161" spans="1:7" ht="16" x14ac:dyDescent="0.2">
      <c r="A161" s="167" t="s">
        <v>466</v>
      </c>
      <c r="B161" s="191" t="s">
        <v>546</v>
      </c>
      <c r="C161" s="173" t="s">
        <v>970</v>
      </c>
      <c r="D161" s="174" t="str">
        <f t="shared" si="4"/>
        <v/>
      </c>
      <c r="E161" s="12" t="s">
        <v>997</v>
      </c>
      <c r="F161" s="12" t="s">
        <v>223</v>
      </c>
      <c r="G161" s="12" t="s">
        <v>224</v>
      </c>
    </row>
    <row r="162" spans="1:7" ht="16" x14ac:dyDescent="0.2">
      <c r="A162" s="167" t="s">
        <v>689</v>
      </c>
      <c r="B162" s="191" t="s">
        <v>690</v>
      </c>
      <c r="C162" s="173" t="s">
        <v>1059</v>
      </c>
      <c r="D162" s="174" t="str">
        <f t="shared" si="4"/>
        <v/>
      </c>
      <c r="E162" s="176" t="s">
        <v>691</v>
      </c>
      <c r="F162" s="176" t="s">
        <v>692</v>
      </c>
      <c r="G162" s="176" t="s">
        <v>693</v>
      </c>
    </row>
    <row r="163" spans="1:7" ht="16" x14ac:dyDescent="0.2">
      <c r="A163" s="167" t="s">
        <v>498</v>
      </c>
      <c r="B163" s="191" t="s">
        <v>1028</v>
      </c>
      <c r="C163" s="173" t="s">
        <v>970</v>
      </c>
      <c r="D163" s="174" t="str">
        <f t="shared" si="4"/>
        <v/>
      </c>
      <c r="E163" s="12" t="s">
        <v>97</v>
      </c>
      <c r="F163" s="12" t="s">
        <v>496</v>
      </c>
      <c r="G163" s="12" t="s">
        <v>497</v>
      </c>
    </row>
    <row r="164" spans="1:7" ht="16" x14ac:dyDescent="0.2">
      <c r="A164" s="167" t="s">
        <v>550</v>
      </c>
      <c r="B164" s="191" t="s">
        <v>974</v>
      </c>
      <c r="C164" s="173" t="s">
        <v>970</v>
      </c>
      <c r="D164" s="174" t="str">
        <f t="shared" si="4"/>
        <v/>
      </c>
      <c r="E164" s="12" t="s">
        <v>997</v>
      </c>
      <c r="F164" s="12" t="s">
        <v>489</v>
      </c>
      <c r="G164" s="12" t="s">
        <v>490</v>
      </c>
    </row>
    <row r="165" spans="1:7" ht="16" x14ac:dyDescent="0.2">
      <c r="A165" s="167" t="s">
        <v>2136</v>
      </c>
      <c r="B165" s="191" t="s">
        <v>315</v>
      </c>
      <c r="C165" s="173" t="s">
        <v>2137</v>
      </c>
      <c r="D165" s="174" t="str">
        <f t="shared" si="4"/>
        <v/>
      </c>
    </row>
    <row r="166" spans="1:7" ht="16" x14ac:dyDescent="0.2">
      <c r="A166" s="167" t="s">
        <v>854</v>
      </c>
      <c r="B166" s="191" t="s">
        <v>643</v>
      </c>
      <c r="C166" s="173" t="s">
        <v>1048</v>
      </c>
      <c r="D166" s="174" t="str">
        <f t="shared" si="4"/>
        <v/>
      </c>
      <c r="E166" s="181" t="s">
        <v>612</v>
      </c>
      <c r="F166" s="181" t="s">
        <v>855</v>
      </c>
      <c r="G166" s="181" t="s">
        <v>856</v>
      </c>
    </row>
    <row r="167" spans="1:7" ht="16" x14ac:dyDescent="0.2">
      <c r="A167" s="167" t="s">
        <v>799</v>
      </c>
      <c r="B167" s="191" t="s">
        <v>800</v>
      </c>
      <c r="C167" s="173" t="s">
        <v>969</v>
      </c>
      <c r="D167" s="174" t="str">
        <f t="shared" si="4"/>
        <v/>
      </c>
      <c r="E167" s="12" t="s">
        <v>10</v>
      </c>
      <c r="F167" s="12" t="s">
        <v>801</v>
      </c>
      <c r="G167" s="12" t="s">
        <v>802</v>
      </c>
    </row>
    <row r="168" spans="1:7" ht="16" x14ac:dyDescent="0.2">
      <c r="A168" s="167" t="s">
        <v>38</v>
      </c>
      <c r="B168" s="191" t="s">
        <v>986</v>
      </c>
      <c r="C168" s="173" t="s">
        <v>971</v>
      </c>
      <c r="D168" s="174" t="str">
        <f t="shared" si="4"/>
        <v/>
      </c>
      <c r="E168" s="12" t="s">
        <v>96</v>
      </c>
      <c r="F168" s="12" t="s">
        <v>231</v>
      </c>
      <c r="G168" s="12" t="s">
        <v>413</v>
      </c>
    </row>
    <row r="169" spans="1:7" ht="16" x14ac:dyDescent="0.2">
      <c r="A169" s="167" t="s">
        <v>3</v>
      </c>
      <c r="B169" s="191" t="s">
        <v>1006</v>
      </c>
      <c r="C169" s="173" t="s">
        <v>970</v>
      </c>
      <c r="D169" s="174" t="str">
        <f t="shared" si="4"/>
        <v/>
      </c>
      <c r="E169" s="12" t="s">
        <v>997</v>
      </c>
      <c r="F169" s="12" t="s">
        <v>219</v>
      </c>
      <c r="G169" s="12" t="s">
        <v>174</v>
      </c>
    </row>
    <row r="170" spans="1:7" ht="16" x14ac:dyDescent="0.2">
      <c r="A170" s="167" t="s">
        <v>607</v>
      </c>
      <c r="B170" s="191" t="s">
        <v>608</v>
      </c>
      <c r="C170" s="173" t="s">
        <v>967</v>
      </c>
      <c r="D170" s="174" t="str">
        <f t="shared" si="4"/>
        <v/>
      </c>
      <c r="E170" s="12" t="s">
        <v>447</v>
      </c>
      <c r="F170" s="12" t="s">
        <v>609</v>
      </c>
      <c r="G170" s="12" t="s">
        <v>610</v>
      </c>
    </row>
    <row r="171" spans="1:7" ht="16" x14ac:dyDescent="0.2">
      <c r="A171" s="167" t="s">
        <v>810</v>
      </c>
      <c r="B171" s="191" t="s">
        <v>976</v>
      </c>
      <c r="C171" s="173" t="s">
        <v>971</v>
      </c>
      <c r="D171" s="174" t="str">
        <f t="shared" si="4"/>
        <v/>
      </c>
      <c r="E171" s="12" t="s">
        <v>451</v>
      </c>
      <c r="F171" s="12" t="s">
        <v>811</v>
      </c>
      <c r="G171" s="12" t="s">
        <v>812</v>
      </c>
    </row>
    <row r="172" spans="1:7" ht="16" x14ac:dyDescent="0.2">
      <c r="A172" s="167" t="s">
        <v>888</v>
      </c>
      <c r="B172" s="191" t="s">
        <v>889</v>
      </c>
      <c r="C172" s="173" t="s">
        <v>968</v>
      </c>
      <c r="D172" s="174" t="str">
        <f t="shared" si="4"/>
        <v>Trùng Đại Lý</v>
      </c>
      <c r="E172" s="12" t="s">
        <v>314</v>
      </c>
      <c r="F172" s="12" t="s">
        <v>890</v>
      </c>
      <c r="G172" s="186" t="s">
        <v>891</v>
      </c>
    </row>
    <row r="173" spans="1:7" ht="16" x14ac:dyDescent="0.2">
      <c r="A173" s="167" t="s">
        <v>888</v>
      </c>
      <c r="B173" s="191" t="s">
        <v>314</v>
      </c>
      <c r="C173" s="173" t="s">
        <v>968</v>
      </c>
      <c r="D173" s="174" t="str">
        <f t="shared" si="4"/>
        <v>Trùng Đại Lý</v>
      </c>
      <c r="E173" s="12" t="s">
        <v>314</v>
      </c>
      <c r="F173" s="12" t="s">
        <v>890</v>
      </c>
      <c r="G173" s="186" t="s">
        <v>891</v>
      </c>
    </row>
    <row r="174" spans="1:7" ht="16" x14ac:dyDescent="0.2">
      <c r="A174" s="167" t="s">
        <v>932</v>
      </c>
      <c r="B174" s="191" t="s">
        <v>1047</v>
      </c>
      <c r="C174" s="173" t="s">
        <v>970</v>
      </c>
      <c r="D174" s="174" t="str">
        <f t="shared" si="4"/>
        <v/>
      </c>
      <c r="E174" s="12" t="s">
        <v>997</v>
      </c>
      <c r="F174" s="12" t="s">
        <v>934</v>
      </c>
      <c r="G174" s="12" t="s">
        <v>935</v>
      </c>
    </row>
    <row r="175" spans="1:7" ht="17" x14ac:dyDescent="0.2">
      <c r="A175" s="167" t="s">
        <v>924</v>
      </c>
      <c r="B175" s="191" t="s">
        <v>925</v>
      </c>
      <c r="C175" s="187" t="s">
        <v>2092</v>
      </c>
      <c r="D175" s="174" t="str">
        <f t="shared" si="4"/>
        <v/>
      </c>
      <c r="E175" s="12" t="s">
        <v>708</v>
      </c>
      <c r="F175" s="12" t="s">
        <v>926</v>
      </c>
      <c r="G175" s="12" t="s">
        <v>927</v>
      </c>
    </row>
    <row r="176" spans="1:7" ht="16" x14ac:dyDescent="0.2">
      <c r="A176" s="167" t="s">
        <v>30</v>
      </c>
      <c r="B176" s="191" t="s">
        <v>998</v>
      </c>
      <c r="C176" s="173" t="s">
        <v>970</v>
      </c>
      <c r="D176" s="174" t="str">
        <f t="shared" ref="D176:D184" si="5">IF(COUNTIF($A$15:$A$1420, A176)&gt;1, "Trùng Đại Lý", "")</f>
        <v/>
      </c>
      <c r="E176" s="12" t="s">
        <v>997</v>
      </c>
      <c r="F176" s="12" t="s">
        <v>225</v>
      </c>
      <c r="G176" s="12" t="s">
        <v>180</v>
      </c>
    </row>
    <row r="177" spans="1:7" ht="16" x14ac:dyDescent="0.2">
      <c r="A177" s="167" t="s">
        <v>593</v>
      </c>
      <c r="B177" s="191" t="s">
        <v>527</v>
      </c>
      <c r="C177" s="173" t="s">
        <v>970</v>
      </c>
      <c r="D177" s="174" t="str">
        <f t="shared" si="5"/>
        <v>Trùng Đại Lý</v>
      </c>
      <c r="E177" s="12" t="s">
        <v>95</v>
      </c>
      <c r="F177" s="12" t="s">
        <v>594</v>
      </c>
      <c r="G177" s="12" t="s">
        <v>595</v>
      </c>
    </row>
    <row r="178" spans="1:7" ht="16" x14ac:dyDescent="0.2">
      <c r="A178" s="167" t="s">
        <v>593</v>
      </c>
      <c r="B178" s="191" t="s">
        <v>1015</v>
      </c>
      <c r="C178" s="173" t="s">
        <v>970</v>
      </c>
      <c r="D178" s="174" t="str">
        <f t="shared" si="5"/>
        <v>Trùng Đại Lý</v>
      </c>
      <c r="F178" s="12" t="s">
        <v>594</v>
      </c>
      <c r="G178" s="12" t="s">
        <v>2085</v>
      </c>
    </row>
    <row r="179" spans="1:7" ht="16" x14ac:dyDescent="0.2">
      <c r="A179" s="167" t="s">
        <v>9</v>
      </c>
      <c r="B179" s="191" t="s">
        <v>315</v>
      </c>
      <c r="C179" s="173" t="s">
        <v>969</v>
      </c>
      <c r="D179" s="174" t="str">
        <f t="shared" si="5"/>
        <v>Trùng Đại Lý</v>
      </c>
      <c r="E179" s="12" t="s">
        <v>10</v>
      </c>
      <c r="F179" s="12" t="s">
        <v>217</v>
      </c>
      <c r="G179" s="12" t="s">
        <v>420</v>
      </c>
    </row>
    <row r="180" spans="1:7" ht="16" x14ac:dyDescent="0.2">
      <c r="A180" s="167" t="s">
        <v>9</v>
      </c>
      <c r="B180" s="191" t="s">
        <v>1029</v>
      </c>
      <c r="C180" s="173" t="s">
        <v>970</v>
      </c>
      <c r="D180" s="174" t="str">
        <f t="shared" si="5"/>
        <v>Trùng Đại Lý</v>
      </c>
      <c r="E180" s="12" t="s">
        <v>997</v>
      </c>
      <c r="F180" s="12" t="s">
        <v>217</v>
      </c>
      <c r="G180" s="12" t="s">
        <v>274</v>
      </c>
    </row>
    <row r="181" spans="1:7" ht="16" x14ac:dyDescent="0.2">
      <c r="A181" s="167" t="s">
        <v>463</v>
      </c>
      <c r="B181" s="191" t="s">
        <v>983</v>
      </c>
      <c r="C181" s="173" t="s">
        <v>973</v>
      </c>
      <c r="D181" s="174" t="str">
        <f t="shared" si="5"/>
        <v/>
      </c>
      <c r="E181" s="12" t="s">
        <v>97</v>
      </c>
      <c r="F181" s="12" t="s">
        <v>464</v>
      </c>
      <c r="G181" s="12" t="s">
        <v>465</v>
      </c>
    </row>
    <row r="182" spans="1:7" ht="16" x14ac:dyDescent="0.2">
      <c r="A182" s="167" t="s">
        <v>494</v>
      </c>
      <c r="B182" s="191" t="s">
        <v>1004</v>
      </c>
      <c r="C182" s="173" t="s">
        <v>970</v>
      </c>
      <c r="D182" s="174" t="str">
        <f t="shared" si="5"/>
        <v/>
      </c>
      <c r="E182" s="12" t="s">
        <v>997</v>
      </c>
      <c r="F182" s="12" t="s">
        <v>324</v>
      </c>
      <c r="G182" s="12" t="s">
        <v>325</v>
      </c>
    </row>
    <row r="183" spans="1:7" ht="16" x14ac:dyDescent="0.2">
      <c r="A183" s="167" t="s">
        <v>573</v>
      </c>
      <c r="B183" s="191" t="s">
        <v>574</v>
      </c>
      <c r="C183" s="173" t="s">
        <v>967</v>
      </c>
      <c r="D183" s="174" t="str">
        <f t="shared" si="5"/>
        <v>Trùng Đại Lý</v>
      </c>
      <c r="E183" s="12" t="s">
        <v>575</v>
      </c>
      <c r="F183" s="12" t="s">
        <v>576</v>
      </c>
      <c r="G183" s="12" t="s">
        <v>2091</v>
      </c>
    </row>
    <row r="184" spans="1:7" ht="16" x14ac:dyDescent="0.2">
      <c r="A184" s="167" t="s">
        <v>573</v>
      </c>
      <c r="B184" s="191" t="s">
        <v>577</v>
      </c>
      <c r="C184" s="173" t="s">
        <v>968</v>
      </c>
      <c r="D184" s="174" t="str">
        <f t="shared" si="5"/>
        <v>Trùng Đại Lý</v>
      </c>
      <c r="E184" s="12" t="s">
        <v>93</v>
      </c>
      <c r="F184" s="12" t="s">
        <v>576</v>
      </c>
      <c r="G184" s="12" t="s">
        <v>578</v>
      </c>
    </row>
    <row r="185" spans="1:7" ht="16" x14ac:dyDescent="0.2">
      <c r="A185" s="167" t="s">
        <v>2160</v>
      </c>
      <c r="B185" s="191" t="s">
        <v>539</v>
      </c>
      <c r="C185" s="173" t="s">
        <v>2139</v>
      </c>
      <c r="D185" s="174"/>
      <c r="F185" s="12" t="s">
        <v>2161</v>
      </c>
      <c r="G185" s="12" t="s">
        <v>2162</v>
      </c>
    </row>
    <row r="186" spans="1:7" ht="16" x14ac:dyDescent="0.2">
      <c r="A186" s="167" t="s">
        <v>803</v>
      </c>
      <c r="B186" s="191" t="s">
        <v>1042</v>
      </c>
      <c r="C186" s="173" t="s">
        <v>970</v>
      </c>
      <c r="D186" s="174" t="str">
        <f t="shared" ref="D186:D217" si="6">IF(COUNTIF($A$15:$A$1420, A186)&gt;1, "Trùng Đại Lý", "")</f>
        <v/>
      </c>
      <c r="E186" s="12" t="s">
        <v>997</v>
      </c>
      <c r="F186" s="12" t="s">
        <v>804</v>
      </c>
      <c r="G186" s="12" t="s">
        <v>805</v>
      </c>
    </row>
    <row r="187" spans="1:7" ht="16" x14ac:dyDescent="0.2">
      <c r="A187" s="167" t="s">
        <v>5</v>
      </c>
      <c r="B187" s="191" t="s">
        <v>1029</v>
      </c>
      <c r="C187" s="173" t="s">
        <v>970</v>
      </c>
      <c r="D187" s="174" t="str">
        <f t="shared" si="6"/>
        <v>Trùng Đại Lý</v>
      </c>
      <c r="E187" s="12" t="s">
        <v>997</v>
      </c>
      <c r="F187" s="12" t="s">
        <v>204</v>
      </c>
      <c r="G187" s="12" t="s">
        <v>399</v>
      </c>
    </row>
    <row r="188" spans="1:7" ht="16" x14ac:dyDescent="0.2">
      <c r="A188" s="167" t="s">
        <v>5</v>
      </c>
      <c r="B188" s="191" t="s">
        <v>1021</v>
      </c>
      <c r="C188" s="173" t="s">
        <v>970</v>
      </c>
      <c r="D188" s="174" t="str">
        <f t="shared" si="6"/>
        <v>Trùng Đại Lý</v>
      </c>
      <c r="E188" s="12" t="s">
        <v>997</v>
      </c>
      <c r="F188" s="12" t="s">
        <v>204</v>
      </c>
      <c r="G188" s="12" t="s">
        <v>407</v>
      </c>
    </row>
    <row r="189" spans="1:7" ht="16" x14ac:dyDescent="0.2">
      <c r="A189" s="167" t="s">
        <v>2140</v>
      </c>
      <c r="B189" s="191" t="s">
        <v>447</v>
      </c>
      <c r="C189" s="173" t="s">
        <v>967</v>
      </c>
      <c r="D189" s="174" t="str">
        <f t="shared" si="6"/>
        <v/>
      </c>
      <c r="F189" s="12" t="s">
        <v>2141</v>
      </c>
      <c r="G189" s="12" t="s">
        <v>2142</v>
      </c>
    </row>
    <row r="190" spans="1:7" ht="16" x14ac:dyDescent="0.2">
      <c r="A190" s="167" t="s">
        <v>2122</v>
      </c>
      <c r="B190" s="191" t="s">
        <v>2124</v>
      </c>
      <c r="C190" s="173" t="s">
        <v>971</v>
      </c>
      <c r="D190" s="174" t="str">
        <f t="shared" si="6"/>
        <v/>
      </c>
      <c r="E190" s="12" t="s">
        <v>96</v>
      </c>
      <c r="F190" s="12" t="s">
        <v>2125</v>
      </c>
      <c r="G190" s="12" t="s">
        <v>2123</v>
      </c>
    </row>
    <row r="191" spans="1:7" ht="16" x14ac:dyDescent="0.2">
      <c r="A191" s="167" t="s">
        <v>589</v>
      </c>
      <c r="B191" s="191" t="s">
        <v>977</v>
      </c>
      <c r="C191" s="173" t="s">
        <v>970</v>
      </c>
      <c r="D191" s="174" t="str">
        <f t="shared" si="6"/>
        <v/>
      </c>
      <c r="E191" s="12" t="s">
        <v>95</v>
      </c>
      <c r="F191" s="12" t="s">
        <v>591</v>
      </c>
      <c r="G191" s="12" t="s">
        <v>592</v>
      </c>
    </row>
    <row r="192" spans="1:7" ht="16" x14ac:dyDescent="0.2">
      <c r="A192" s="167" t="s">
        <v>378</v>
      </c>
      <c r="B192" s="191" t="s">
        <v>974</v>
      </c>
      <c r="C192" s="173" t="s">
        <v>970</v>
      </c>
      <c r="D192" s="174" t="str">
        <f t="shared" si="6"/>
        <v>Trùng Đại Lý</v>
      </c>
      <c r="E192" s="12" t="s">
        <v>997</v>
      </c>
      <c r="F192" s="12" t="s">
        <v>371</v>
      </c>
      <c r="G192" s="12" t="s">
        <v>372</v>
      </c>
    </row>
    <row r="193" spans="1:7" ht="16" x14ac:dyDescent="0.2">
      <c r="A193" s="167" t="s">
        <v>378</v>
      </c>
      <c r="B193" s="191" t="s">
        <v>1030</v>
      </c>
      <c r="C193" s="173" t="s">
        <v>970</v>
      </c>
      <c r="D193" s="174" t="str">
        <f t="shared" si="6"/>
        <v>Trùng Đại Lý</v>
      </c>
      <c r="E193" s="12" t="s">
        <v>997</v>
      </c>
      <c r="F193" s="12" t="s">
        <v>371</v>
      </c>
      <c r="G193" s="12" t="s">
        <v>726</v>
      </c>
    </row>
    <row r="194" spans="1:7" ht="16" x14ac:dyDescent="0.2">
      <c r="A194" s="167" t="s">
        <v>694</v>
      </c>
      <c r="B194" s="191" t="s">
        <v>695</v>
      </c>
      <c r="C194" s="173" t="s">
        <v>1060</v>
      </c>
      <c r="D194" s="174" t="str">
        <f t="shared" si="6"/>
        <v/>
      </c>
      <c r="E194" s="176" t="s">
        <v>696</v>
      </c>
      <c r="F194" s="176" t="s">
        <v>697</v>
      </c>
      <c r="G194" s="176" t="s">
        <v>698</v>
      </c>
    </row>
    <row r="195" spans="1:7" ht="16" x14ac:dyDescent="0.2">
      <c r="A195" s="167" t="s">
        <v>423</v>
      </c>
      <c r="B195" s="191" t="s">
        <v>1031</v>
      </c>
      <c r="C195" s="173" t="s">
        <v>970</v>
      </c>
      <c r="D195" s="174" t="str">
        <f t="shared" si="6"/>
        <v>Trùng Đại Lý</v>
      </c>
      <c r="E195" s="12" t="s">
        <v>997</v>
      </c>
      <c r="F195" s="12" t="s">
        <v>317</v>
      </c>
      <c r="G195" s="12" t="s">
        <v>419</v>
      </c>
    </row>
    <row r="196" spans="1:7" ht="16" x14ac:dyDescent="0.2">
      <c r="A196" s="167" t="s">
        <v>423</v>
      </c>
      <c r="B196" s="191" t="s">
        <v>1004</v>
      </c>
      <c r="C196" s="173" t="s">
        <v>970</v>
      </c>
      <c r="D196" s="174" t="str">
        <f t="shared" si="6"/>
        <v>Trùng Đại Lý</v>
      </c>
      <c r="E196" s="12" t="s">
        <v>997</v>
      </c>
      <c r="F196" s="12" t="s">
        <v>317</v>
      </c>
      <c r="G196" s="12" t="s">
        <v>874</v>
      </c>
    </row>
    <row r="197" spans="1:7" ht="16" x14ac:dyDescent="0.2">
      <c r="A197" s="167" t="s">
        <v>2175</v>
      </c>
      <c r="B197" s="191" t="s">
        <v>2178</v>
      </c>
      <c r="C197" s="173" t="s">
        <v>2179</v>
      </c>
      <c r="D197" s="174" t="str">
        <f t="shared" si="6"/>
        <v/>
      </c>
      <c r="F197" s="12" t="s">
        <v>2176</v>
      </c>
      <c r="G197" s="12" t="s">
        <v>2177</v>
      </c>
    </row>
    <row r="198" spans="1:7" ht="16" x14ac:dyDescent="0.2">
      <c r="A198" s="167" t="s">
        <v>699</v>
      </c>
      <c r="B198" s="191" t="s">
        <v>700</v>
      </c>
      <c r="C198" s="173" t="s">
        <v>1048</v>
      </c>
      <c r="D198" s="174" t="str">
        <f t="shared" si="6"/>
        <v>Trùng Đại Lý</v>
      </c>
      <c r="E198" s="176" t="s">
        <v>612</v>
      </c>
      <c r="F198" s="176" t="s">
        <v>701</v>
      </c>
      <c r="G198" s="176" t="s">
        <v>702</v>
      </c>
    </row>
    <row r="199" spans="1:7" ht="16" x14ac:dyDescent="0.2">
      <c r="A199" s="167" t="s">
        <v>699</v>
      </c>
      <c r="B199" s="191" t="s">
        <v>637</v>
      </c>
      <c r="C199" s="173" t="s">
        <v>1048</v>
      </c>
      <c r="D199" s="174" t="str">
        <f t="shared" si="6"/>
        <v>Trùng Đại Lý</v>
      </c>
      <c r="E199" s="176" t="s">
        <v>612</v>
      </c>
      <c r="F199" s="176" t="s">
        <v>701</v>
      </c>
      <c r="G199" s="176" t="s">
        <v>752</v>
      </c>
    </row>
    <row r="200" spans="1:7" ht="16" x14ac:dyDescent="0.2">
      <c r="A200" s="167" t="s">
        <v>851</v>
      </c>
      <c r="B200" s="191" t="s">
        <v>974</v>
      </c>
      <c r="C200" s="173" t="s">
        <v>970</v>
      </c>
      <c r="D200" s="174" t="str">
        <f t="shared" si="6"/>
        <v/>
      </c>
      <c r="E200" s="12" t="s">
        <v>95</v>
      </c>
      <c r="F200" s="12" t="s">
        <v>852</v>
      </c>
      <c r="G200" s="12" t="s">
        <v>853</v>
      </c>
    </row>
    <row r="201" spans="1:7" ht="16" x14ac:dyDescent="0.2">
      <c r="A201" s="167" t="s">
        <v>793</v>
      </c>
      <c r="B201" s="191" t="s">
        <v>527</v>
      </c>
      <c r="C201" s="173" t="s">
        <v>970</v>
      </c>
      <c r="D201" s="174" t="str">
        <f t="shared" si="6"/>
        <v/>
      </c>
      <c r="E201" s="12" t="s">
        <v>997</v>
      </c>
      <c r="F201" s="12" t="s">
        <v>794</v>
      </c>
      <c r="G201" s="12" t="s">
        <v>795</v>
      </c>
    </row>
    <row r="202" spans="1:7" ht="16" x14ac:dyDescent="0.2">
      <c r="A202" s="167" t="s">
        <v>359</v>
      </c>
      <c r="B202" s="191" t="s">
        <v>272</v>
      </c>
      <c r="C202" s="173" t="s">
        <v>969</v>
      </c>
      <c r="D202" s="174" t="str">
        <f t="shared" si="6"/>
        <v/>
      </c>
      <c r="E202" s="12" t="s">
        <v>10</v>
      </c>
      <c r="F202" s="12" t="s">
        <v>360</v>
      </c>
      <c r="G202" s="12" t="s">
        <v>361</v>
      </c>
    </row>
    <row r="203" spans="1:7" ht="16" x14ac:dyDescent="0.2">
      <c r="A203" s="167" t="s">
        <v>738</v>
      </c>
      <c r="B203" s="191" t="s">
        <v>1002</v>
      </c>
      <c r="C203" s="173" t="s">
        <v>970</v>
      </c>
      <c r="D203" s="174" t="str">
        <f t="shared" si="6"/>
        <v/>
      </c>
      <c r="E203" s="12" t="s">
        <v>997</v>
      </c>
      <c r="F203" s="12" t="s">
        <v>739</v>
      </c>
      <c r="G203" s="12" t="s">
        <v>740</v>
      </c>
    </row>
    <row r="204" spans="1:7" ht="16" x14ac:dyDescent="0.2">
      <c r="A204" s="167" t="s">
        <v>12</v>
      </c>
      <c r="B204" s="191" t="s">
        <v>975</v>
      </c>
      <c r="C204" s="173" t="s">
        <v>973</v>
      </c>
      <c r="D204" s="174" t="str">
        <f t="shared" si="6"/>
        <v/>
      </c>
      <c r="E204" s="12" t="s">
        <v>97</v>
      </c>
      <c r="F204" s="12" t="s">
        <v>289</v>
      </c>
      <c r="G204" s="12" t="s">
        <v>191</v>
      </c>
    </row>
    <row r="205" spans="1:7" ht="16" x14ac:dyDescent="0.2">
      <c r="A205" s="167" t="s">
        <v>309</v>
      </c>
      <c r="B205" s="191" t="s">
        <v>1033</v>
      </c>
      <c r="C205" s="173" t="s">
        <v>970</v>
      </c>
      <c r="D205" s="174" t="str">
        <f t="shared" si="6"/>
        <v/>
      </c>
      <c r="E205" s="12" t="s">
        <v>997</v>
      </c>
      <c r="F205" s="12" t="s">
        <v>203</v>
      </c>
      <c r="G205" s="12" t="s">
        <v>170</v>
      </c>
    </row>
    <row r="206" spans="1:7" ht="16" x14ac:dyDescent="0.2">
      <c r="A206" s="167" t="s">
        <v>444</v>
      </c>
      <c r="B206" s="191" t="s">
        <v>1030</v>
      </c>
      <c r="C206" s="173" t="s">
        <v>970</v>
      </c>
      <c r="D206" s="174" t="str">
        <f t="shared" si="6"/>
        <v/>
      </c>
      <c r="E206" s="12" t="s">
        <v>997</v>
      </c>
      <c r="F206" s="12" t="s">
        <v>445</v>
      </c>
      <c r="G206" s="12" t="s">
        <v>446</v>
      </c>
    </row>
    <row r="207" spans="1:7" ht="16" x14ac:dyDescent="0.2">
      <c r="A207" s="167" t="s">
        <v>425</v>
      </c>
      <c r="B207" s="191" t="s">
        <v>1019</v>
      </c>
      <c r="C207" s="173" t="s">
        <v>970</v>
      </c>
      <c r="D207" s="174" t="str">
        <f t="shared" si="6"/>
        <v/>
      </c>
      <c r="E207" s="12" t="s">
        <v>997</v>
      </c>
      <c r="F207" s="12" t="s">
        <v>415</v>
      </c>
      <c r="G207" s="12" t="s">
        <v>414</v>
      </c>
    </row>
    <row r="208" spans="1:7" ht="16" x14ac:dyDescent="0.2">
      <c r="A208" s="167" t="s">
        <v>94</v>
      </c>
      <c r="B208" s="191" t="s">
        <v>974</v>
      </c>
      <c r="C208" s="173" t="s">
        <v>970</v>
      </c>
      <c r="D208" s="174" t="str">
        <f t="shared" si="6"/>
        <v/>
      </c>
      <c r="E208" s="12" t="s">
        <v>997</v>
      </c>
      <c r="F208" s="12" t="s">
        <v>200</v>
      </c>
      <c r="G208" s="12" t="s">
        <v>176</v>
      </c>
    </row>
    <row r="209" spans="1:7" ht="16" x14ac:dyDescent="0.2">
      <c r="A209" s="167" t="s">
        <v>806</v>
      </c>
      <c r="B209" s="191" t="s">
        <v>1003</v>
      </c>
      <c r="C209" s="173" t="s">
        <v>970</v>
      </c>
      <c r="D209" s="174" t="str">
        <f t="shared" si="6"/>
        <v/>
      </c>
      <c r="E209" s="12" t="s">
        <v>997</v>
      </c>
      <c r="F209" s="12" t="s">
        <v>807</v>
      </c>
      <c r="G209" s="12" t="s">
        <v>808</v>
      </c>
    </row>
    <row r="210" spans="1:7" ht="16" x14ac:dyDescent="0.2">
      <c r="A210" s="167" t="s">
        <v>19</v>
      </c>
      <c r="B210" s="191" t="s">
        <v>1010</v>
      </c>
      <c r="C210" s="173" t="s">
        <v>970</v>
      </c>
      <c r="D210" s="174" t="str">
        <f t="shared" si="6"/>
        <v/>
      </c>
      <c r="E210" s="12" t="s">
        <v>997</v>
      </c>
      <c r="F210" s="12" t="s">
        <v>202</v>
      </c>
      <c r="G210" s="12" t="s">
        <v>165</v>
      </c>
    </row>
    <row r="211" spans="1:7" ht="16" x14ac:dyDescent="0.2">
      <c r="A211" s="167" t="s">
        <v>2147</v>
      </c>
      <c r="B211" s="191" t="s">
        <v>315</v>
      </c>
      <c r="C211" s="173" t="s">
        <v>2137</v>
      </c>
      <c r="D211" s="174" t="str">
        <f t="shared" si="6"/>
        <v/>
      </c>
      <c r="F211" s="12" t="s">
        <v>2148</v>
      </c>
      <c r="G211" s="12" t="s">
        <v>2149</v>
      </c>
    </row>
    <row r="212" spans="1:7" ht="16" x14ac:dyDescent="0.2">
      <c r="A212" s="167" t="s">
        <v>395</v>
      </c>
      <c r="B212" s="191" t="s">
        <v>269</v>
      </c>
      <c r="C212" s="173" t="s">
        <v>968</v>
      </c>
      <c r="D212" s="174" t="str">
        <f t="shared" si="6"/>
        <v/>
      </c>
      <c r="E212" s="12" t="s">
        <v>93</v>
      </c>
      <c r="F212" s="12" t="s">
        <v>394</v>
      </c>
      <c r="G212" s="12" t="s">
        <v>393</v>
      </c>
    </row>
    <row r="213" spans="1:7" ht="16" x14ac:dyDescent="0.2">
      <c r="A213" s="167" t="s">
        <v>703</v>
      </c>
      <c r="B213" s="191" t="s">
        <v>704</v>
      </c>
      <c r="C213" s="173" t="s">
        <v>1050</v>
      </c>
      <c r="D213" s="174" t="str">
        <f t="shared" si="6"/>
        <v/>
      </c>
      <c r="E213" s="176" t="s">
        <v>629</v>
      </c>
      <c r="F213" s="176" t="s">
        <v>705</v>
      </c>
      <c r="G213" s="176" t="s">
        <v>706</v>
      </c>
    </row>
    <row r="214" spans="1:7" ht="16" x14ac:dyDescent="0.2">
      <c r="A214" s="167" t="s">
        <v>311</v>
      </c>
      <c r="B214" s="191" t="s">
        <v>1034</v>
      </c>
      <c r="C214" s="173" t="s">
        <v>970</v>
      </c>
      <c r="D214" s="174" t="str">
        <f t="shared" si="6"/>
        <v/>
      </c>
      <c r="E214" s="12" t="s">
        <v>997</v>
      </c>
      <c r="F214" s="12" t="s">
        <v>284</v>
      </c>
      <c r="G214" s="12" t="s">
        <v>285</v>
      </c>
    </row>
    <row r="215" spans="1:7" ht="16" x14ac:dyDescent="0.2">
      <c r="A215" s="167" t="s">
        <v>707</v>
      </c>
      <c r="B215" s="191" t="s">
        <v>704</v>
      </c>
      <c r="C215" s="173" t="s">
        <v>1050</v>
      </c>
      <c r="D215" s="174" t="str">
        <f t="shared" si="6"/>
        <v/>
      </c>
      <c r="E215" s="176" t="s">
        <v>708</v>
      </c>
      <c r="F215" s="176" t="s">
        <v>709</v>
      </c>
      <c r="G215" s="176" t="s">
        <v>710</v>
      </c>
    </row>
    <row r="216" spans="1:7" ht="16" x14ac:dyDescent="0.2">
      <c r="A216" s="167" t="s">
        <v>579</v>
      </c>
      <c r="B216" s="191" t="s">
        <v>315</v>
      </c>
      <c r="C216" s="173" t="s">
        <v>969</v>
      </c>
      <c r="D216" s="174" t="str">
        <f t="shared" si="6"/>
        <v/>
      </c>
      <c r="E216" s="12" t="s">
        <v>10</v>
      </c>
      <c r="F216" s="12" t="s">
        <v>580</v>
      </c>
      <c r="G216" s="12" t="s">
        <v>581</v>
      </c>
    </row>
    <row r="217" spans="1:7" ht="16" x14ac:dyDescent="0.2">
      <c r="A217" s="167" t="s">
        <v>835</v>
      </c>
      <c r="B217" s="191" t="s">
        <v>1044</v>
      </c>
      <c r="C217" s="173" t="s">
        <v>970</v>
      </c>
      <c r="D217" s="174" t="str">
        <f t="shared" si="6"/>
        <v/>
      </c>
      <c r="E217" s="12" t="s">
        <v>997</v>
      </c>
      <c r="F217" s="12" t="s">
        <v>836</v>
      </c>
      <c r="G217" s="12" t="s">
        <v>837</v>
      </c>
    </row>
    <row r="218" spans="1:7" ht="16" x14ac:dyDescent="0.2">
      <c r="A218" s="167" t="s">
        <v>875</v>
      </c>
      <c r="B218" s="191" t="s">
        <v>1045</v>
      </c>
      <c r="C218" s="173" t="s">
        <v>970</v>
      </c>
      <c r="D218" s="174" t="str">
        <f t="shared" ref="D218:D249" si="7">IF(COUNTIF($A$15:$A$1420, A218)&gt;1, "Trùng Đại Lý", "")</f>
        <v/>
      </c>
      <c r="E218" s="12" t="s">
        <v>997</v>
      </c>
      <c r="F218" s="12" t="s">
        <v>846</v>
      </c>
      <c r="G218" s="12" t="s">
        <v>847</v>
      </c>
    </row>
    <row r="219" spans="1:7" ht="16" x14ac:dyDescent="0.2">
      <c r="A219" s="167" t="s">
        <v>711</v>
      </c>
      <c r="B219" s="191" t="s">
        <v>712</v>
      </c>
      <c r="C219" s="173" t="s">
        <v>712</v>
      </c>
      <c r="D219" s="174" t="str">
        <f t="shared" si="7"/>
        <v/>
      </c>
      <c r="E219" s="176" t="s">
        <v>713</v>
      </c>
      <c r="F219" s="176" t="s">
        <v>714</v>
      </c>
      <c r="G219" s="176" t="s">
        <v>715</v>
      </c>
    </row>
    <row r="220" spans="1:7" ht="16" x14ac:dyDescent="0.2">
      <c r="A220" s="167" t="s">
        <v>2088</v>
      </c>
      <c r="B220" s="191" t="s">
        <v>1006</v>
      </c>
      <c r="C220" s="173" t="s">
        <v>970</v>
      </c>
      <c r="D220" s="174" t="str">
        <f t="shared" si="7"/>
        <v/>
      </c>
      <c r="E220" s="176"/>
      <c r="F220" s="176" t="s">
        <v>2086</v>
      </c>
      <c r="G220" s="176" t="s">
        <v>2087</v>
      </c>
    </row>
    <row r="221" spans="1:7" ht="16" x14ac:dyDescent="0.2">
      <c r="A221" s="167" t="s">
        <v>410</v>
      </c>
      <c r="B221" s="191" t="s">
        <v>1002</v>
      </c>
      <c r="C221" s="173" t="s">
        <v>970</v>
      </c>
      <c r="D221" s="174" t="str">
        <f t="shared" si="7"/>
        <v/>
      </c>
      <c r="E221" s="12" t="s">
        <v>997</v>
      </c>
      <c r="F221" s="12" t="s">
        <v>409</v>
      </c>
      <c r="G221" s="12" t="s">
        <v>408</v>
      </c>
    </row>
    <row r="222" spans="1:7" ht="16" x14ac:dyDescent="0.2">
      <c r="A222" s="167" t="s">
        <v>599</v>
      </c>
      <c r="B222" s="191" t="s">
        <v>981</v>
      </c>
      <c r="C222" s="173" t="s">
        <v>966</v>
      </c>
      <c r="D222" s="174" t="str">
        <f t="shared" si="7"/>
        <v/>
      </c>
      <c r="E222" s="12" t="s">
        <v>570</v>
      </c>
      <c r="F222" s="12" t="s">
        <v>601</v>
      </c>
      <c r="G222" s="12" t="s">
        <v>602</v>
      </c>
    </row>
    <row r="223" spans="1:7" ht="16" x14ac:dyDescent="0.2">
      <c r="A223" s="167" t="s">
        <v>716</v>
      </c>
      <c r="B223" s="191" t="s">
        <v>717</v>
      </c>
      <c r="C223" s="173" t="s">
        <v>1061</v>
      </c>
      <c r="D223" s="174" t="str">
        <f t="shared" si="7"/>
        <v/>
      </c>
      <c r="E223" s="176" t="s">
        <v>717</v>
      </c>
      <c r="F223" s="176" t="s">
        <v>718</v>
      </c>
      <c r="G223" s="176" t="s">
        <v>719</v>
      </c>
    </row>
    <row r="224" spans="1:7" ht="16" x14ac:dyDescent="0.2">
      <c r="A224" s="167" t="s">
        <v>37</v>
      </c>
      <c r="B224" s="191" t="s">
        <v>1005</v>
      </c>
      <c r="C224" s="173" t="s">
        <v>970</v>
      </c>
      <c r="D224" s="174" t="str">
        <f t="shared" si="7"/>
        <v/>
      </c>
      <c r="E224" s="12" t="s">
        <v>997</v>
      </c>
      <c r="F224" s="12" t="s">
        <v>222</v>
      </c>
      <c r="G224" s="12" t="s">
        <v>178</v>
      </c>
    </row>
    <row r="225" spans="1:7" ht="16" x14ac:dyDescent="0.2">
      <c r="A225" s="167" t="s">
        <v>892</v>
      </c>
      <c r="B225" s="191" t="s">
        <v>893</v>
      </c>
      <c r="C225" s="173" t="s">
        <v>968</v>
      </c>
      <c r="D225" s="174" t="str">
        <f t="shared" si="7"/>
        <v/>
      </c>
      <c r="E225" s="12" t="s">
        <v>870</v>
      </c>
      <c r="F225" s="12" t="s">
        <v>894</v>
      </c>
      <c r="G225" s="12" t="s">
        <v>895</v>
      </c>
    </row>
    <row r="226" spans="1:7" ht="16" x14ac:dyDescent="0.2">
      <c r="A226" s="167" t="s">
        <v>21</v>
      </c>
      <c r="B226" s="191" t="s">
        <v>982</v>
      </c>
      <c r="C226" s="173" t="s">
        <v>982</v>
      </c>
      <c r="D226" s="174" t="str">
        <f t="shared" si="7"/>
        <v/>
      </c>
      <c r="E226" s="12" t="s">
        <v>98</v>
      </c>
      <c r="F226" s="12" t="s">
        <v>234</v>
      </c>
      <c r="G226" s="12" t="s">
        <v>172</v>
      </c>
    </row>
    <row r="227" spans="1:7" ht="16" x14ac:dyDescent="0.2">
      <c r="A227" s="167" t="s">
        <v>2170</v>
      </c>
      <c r="B227" s="191" t="s">
        <v>476</v>
      </c>
      <c r="C227" s="173" t="s">
        <v>2139</v>
      </c>
      <c r="D227" s="174" t="str">
        <f t="shared" si="7"/>
        <v/>
      </c>
      <c r="F227" s="12" t="s">
        <v>2170</v>
      </c>
      <c r="G227" s="12" t="s">
        <v>2171</v>
      </c>
    </row>
    <row r="228" spans="1:7" ht="16" x14ac:dyDescent="0.2">
      <c r="A228" s="167" t="s">
        <v>936</v>
      </c>
      <c r="B228" s="191" t="s">
        <v>999</v>
      </c>
      <c r="C228" s="173" t="s">
        <v>970</v>
      </c>
      <c r="D228" s="174" t="str">
        <f t="shared" si="7"/>
        <v/>
      </c>
      <c r="E228" s="12" t="s">
        <v>997</v>
      </c>
      <c r="F228" s="12" t="s">
        <v>937</v>
      </c>
      <c r="G228" s="12" t="s">
        <v>938</v>
      </c>
    </row>
    <row r="229" spans="1:7" ht="16" x14ac:dyDescent="0.2">
      <c r="A229" s="167" t="s">
        <v>398</v>
      </c>
      <c r="B229" s="191" t="s">
        <v>1035</v>
      </c>
      <c r="C229" s="173" t="s">
        <v>970</v>
      </c>
      <c r="D229" s="174" t="str">
        <f t="shared" si="7"/>
        <v/>
      </c>
      <c r="E229" s="12" t="s">
        <v>997</v>
      </c>
      <c r="F229" s="12" t="s">
        <v>205</v>
      </c>
      <c r="G229" s="12" t="s">
        <v>187</v>
      </c>
    </row>
    <row r="230" spans="1:7" ht="16" x14ac:dyDescent="0.2">
      <c r="A230" s="167" t="s">
        <v>727</v>
      </c>
      <c r="B230" s="191" t="s">
        <v>982</v>
      </c>
      <c r="C230" s="173" t="s">
        <v>982</v>
      </c>
      <c r="D230" s="174" t="str">
        <f t="shared" si="7"/>
        <v/>
      </c>
      <c r="E230" s="12" t="s">
        <v>98</v>
      </c>
      <c r="F230" s="12" t="s">
        <v>728</v>
      </c>
      <c r="G230" s="12" t="s">
        <v>729</v>
      </c>
    </row>
    <row r="231" spans="1:7" ht="16" x14ac:dyDescent="0.2">
      <c r="A231" s="167" t="s">
        <v>796</v>
      </c>
      <c r="B231" s="191" t="s">
        <v>984</v>
      </c>
      <c r="C231" s="173" t="s">
        <v>973</v>
      </c>
      <c r="D231" s="174" t="str">
        <f t="shared" si="7"/>
        <v/>
      </c>
      <c r="E231" s="12" t="s">
        <v>97</v>
      </c>
      <c r="F231" s="12" t="s">
        <v>797</v>
      </c>
      <c r="G231" s="12" t="s">
        <v>798</v>
      </c>
    </row>
    <row r="232" spans="1:7" ht="16" x14ac:dyDescent="0.2">
      <c r="A232" s="167" t="s">
        <v>233</v>
      </c>
      <c r="B232" s="191" t="s">
        <v>198</v>
      </c>
      <c r="C232" s="173" t="s">
        <v>198</v>
      </c>
      <c r="D232" s="174" t="str">
        <f t="shared" si="7"/>
        <v/>
      </c>
      <c r="E232" s="12" t="s">
        <v>107</v>
      </c>
      <c r="F232" s="12" t="s">
        <v>312</v>
      </c>
      <c r="G232" s="12" t="s">
        <v>313</v>
      </c>
    </row>
    <row r="233" spans="1:7" ht="16" x14ac:dyDescent="0.2">
      <c r="A233" s="167" t="s">
        <v>952</v>
      </c>
      <c r="B233" s="191" t="s">
        <v>198</v>
      </c>
      <c r="C233" s="173" t="s">
        <v>198</v>
      </c>
      <c r="D233" s="174" t="str">
        <f t="shared" si="7"/>
        <v/>
      </c>
      <c r="E233" s="12" t="s">
        <v>107</v>
      </c>
      <c r="F233" s="12" t="s">
        <v>953</v>
      </c>
      <c r="G233" s="12" t="s">
        <v>954</v>
      </c>
    </row>
    <row r="234" spans="1:7" ht="16" x14ac:dyDescent="0.2">
      <c r="A234" s="167" t="s">
        <v>495</v>
      </c>
      <c r="B234" s="191" t="s">
        <v>1007</v>
      </c>
      <c r="C234" s="173" t="s">
        <v>970</v>
      </c>
      <c r="D234" s="174" t="str">
        <f t="shared" si="7"/>
        <v/>
      </c>
      <c r="E234" s="12" t="s">
        <v>107</v>
      </c>
      <c r="F234" s="12" t="s">
        <v>373</v>
      </c>
      <c r="G234" s="12" t="s">
        <v>374</v>
      </c>
    </row>
    <row r="235" spans="1:7" ht="16" x14ac:dyDescent="0.2">
      <c r="A235" s="167" t="s">
        <v>2143</v>
      </c>
      <c r="B235" s="191" t="s">
        <v>910</v>
      </c>
      <c r="C235" s="173" t="s">
        <v>2144</v>
      </c>
      <c r="D235" s="174" t="str">
        <f t="shared" si="7"/>
        <v/>
      </c>
      <c r="F235" s="12" t="s">
        <v>2145</v>
      </c>
      <c r="G235" s="12" t="s">
        <v>2146</v>
      </c>
    </row>
    <row r="236" spans="1:7" ht="16" x14ac:dyDescent="0.2">
      <c r="A236" s="167" t="s">
        <v>34</v>
      </c>
      <c r="B236" s="191" t="s">
        <v>1036</v>
      </c>
      <c r="C236" s="173" t="s">
        <v>970</v>
      </c>
      <c r="D236" s="174" t="str">
        <f t="shared" si="7"/>
        <v/>
      </c>
      <c r="E236" s="12" t="s">
        <v>997</v>
      </c>
      <c r="F236" s="12" t="s">
        <v>237</v>
      </c>
      <c r="G236" s="12" t="s">
        <v>238</v>
      </c>
    </row>
    <row r="237" spans="1:7" ht="16" x14ac:dyDescent="0.2">
      <c r="A237" s="167" t="s">
        <v>735</v>
      </c>
      <c r="B237" s="191" t="s">
        <v>1029</v>
      </c>
      <c r="C237" s="173" t="s">
        <v>970</v>
      </c>
      <c r="D237" s="174" t="str">
        <f t="shared" si="7"/>
        <v/>
      </c>
      <c r="E237" s="12" t="s">
        <v>997</v>
      </c>
      <c r="F237" s="12" t="s">
        <v>736</v>
      </c>
      <c r="G237" s="12" t="s">
        <v>737</v>
      </c>
    </row>
    <row r="238" spans="1:7" ht="16" x14ac:dyDescent="0.2">
      <c r="A238" s="167" t="s">
        <v>2150</v>
      </c>
      <c r="B238" s="191" t="s">
        <v>315</v>
      </c>
      <c r="C238" s="173" t="s">
        <v>2137</v>
      </c>
      <c r="D238" s="174" t="str">
        <f t="shared" si="7"/>
        <v/>
      </c>
      <c r="F238" s="12" t="s">
        <v>2151</v>
      </c>
      <c r="G238" s="12" t="s">
        <v>2152</v>
      </c>
    </row>
    <row r="239" spans="1:7" ht="16" x14ac:dyDescent="0.2">
      <c r="A239" s="167" t="s">
        <v>459</v>
      </c>
      <c r="B239" s="191" t="s">
        <v>553</v>
      </c>
      <c r="C239" s="173" t="s">
        <v>970</v>
      </c>
      <c r="D239" s="174" t="str">
        <f t="shared" si="7"/>
        <v/>
      </c>
      <c r="E239" s="12" t="s">
        <v>997</v>
      </c>
      <c r="F239" s="12" t="s">
        <v>320</v>
      </c>
      <c r="G239" s="12" t="s">
        <v>321</v>
      </c>
    </row>
    <row r="240" spans="1:7" ht="16" x14ac:dyDescent="0.2">
      <c r="A240" s="167" t="s">
        <v>24</v>
      </c>
      <c r="B240" s="191" t="s">
        <v>1005</v>
      </c>
      <c r="C240" s="173" t="s">
        <v>970</v>
      </c>
      <c r="D240" s="174" t="str">
        <f t="shared" si="7"/>
        <v/>
      </c>
      <c r="E240" s="12" t="s">
        <v>997</v>
      </c>
      <c r="F240" s="12" t="s">
        <v>229</v>
      </c>
      <c r="G240" s="12" t="s">
        <v>308</v>
      </c>
    </row>
    <row r="241" spans="1:7" ht="16" x14ac:dyDescent="0.2">
      <c r="A241" s="167" t="s">
        <v>858</v>
      </c>
      <c r="B241" s="191" t="s">
        <v>546</v>
      </c>
      <c r="C241" s="173" t="s">
        <v>970</v>
      </c>
      <c r="D241" s="174" t="str">
        <f t="shared" si="7"/>
        <v/>
      </c>
      <c r="E241" s="12" t="s">
        <v>997</v>
      </c>
      <c r="F241" s="12" t="s">
        <v>859</v>
      </c>
      <c r="G241" s="12" t="s">
        <v>860</v>
      </c>
    </row>
    <row r="242" spans="1:7" ht="16" x14ac:dyDescent="0.2">
      <c r="A242" s="167" t="s">
        <v>455</v>
      </c>
      <c r="B242" s="191" t="s">
        <v>456</v>
      </c>
      <c r="C242" s="173" t="s">
        <v>969</v>
      </c>
      <c r="D242" s="174" t="str">
        <f t="shared" si="7"/>
        <v/>
      </c>
      <c r="E242" s="12" t="s">
        <v>10</v>
      </c>
      <c r="F242" s="12" t="s">
        <v>457</v>
      </c>
      <c r="G242" s="12" t="s">
        <v>458</v>
      </c>
    </row>
    <row r="243" spans="1:7" ht="16" x14ac:dyDescent="0.2">
      <c r="A243" s="167" t="s">
        <v>418</v>
      </c>
      <c r="B243" s="191" t="s">
        <v>1029</v>
      </c>
      <c r="C243" s="173" t="s">
        <v>970</v>
      </c>
      <c r="D243" s="174" t="str">
        <f t="shared" si="7"/>
        <v/>
      </c>
      <c r="E243" s="12" t="s">
        <v>997</v>
      </c>
      <c r="F243" s="12" t="s">
        <v>417</v>
      </c>
      <c r="G243" s="12" t="s">
        <v>416</v>
      </c>
    </row>
    <row r="244" spans="1:7" ht="16" x14ac:dyDescent="0.2">
      <c r="A244" s="167" t="s">
        <v>906</v>
      </c>
      <c r="B244" s="191" t="s">
        <v>271</v>
      </c>
      <c r="C244" s="173" t="s">
        <v>969</v>
      </c>
      <c r="D244" s="174" t="str">
        <f t="shared" si="7"/>
        <v/>
      </c>
      <c r="E244" s="12" t="s">
        <v>10</v>
      </c>
      <c r="F244" s="12" t="s">
        <v>907</v>
      </c>
      <c r="G244" s="12" t="s">
        <v>908</v>
      </c>
    </row>
    <row r="245" spans="1:7" ht="16" x14ac:dyDescent="0.2">
      <c r="A245" s="167" t="s">
        <v>720</v>
      </c>
      <c r="B245" s="191" t="s">
        <v>690</v>
      </c>
      <c r="C245" s="173" t="s">
        <v>1059</v>
      </c>
      <c r="D245" s="174" t="str">
        <f t="shared" si="7"/>
        <v/>
      </c>
      <c r="E245" s="176" t="s">
        <v>691</v>
      </c>
      <c r="F245" s="176" t="s">
        <v>721</v>
      </c>
      <c r="G245" s="176" t="s">
        <v>722</v>
      </c>
    </row>
    <row r="246" spans="1:7" ht="16" x14ac:dyDescent="0.2">
      <c r="A246" s="167" t="s">
        <v>2153</v>
      </c>
      <c r="B246" s="191" t="s">
        <v>586</v>
      </c>
      <c r="C246" s="173" t="s">
        <v>2139</v>
      </c>
      <c r="D246" s="174" t="str">
        <f t="shared" si="7"/>
        <v/>
      </c>
      <c r="E246" s="176"/>
      <c r="F246" s="176" t="s">
        <v>2154</v>
      </c>
      <c r="G246" s="176" t="s">
        <v>2155</v>
      </c>
    </row>
    <row r="247" spans="1:7" ht="16" x14ac:dyDescent="0.2">
      <c r="A247" s="167" t="s">
        <v>789</v>
      </c>
      <c r="B247" s="191" t="s">
        <v>984</v>
      </c>
      <c r="C247" s="173" t="s">
        <v>973</v>
      </c>
      <c r="D247" s="174" t="str">
        <f t="shared" si="7"/>
        <v/>
      </c>
      <c r="E247" s="12" t="s">
        <v>97</v>
      </c>
      <c r="F247" s="12" t="s">
        <v>790</v>
      </c>
      <c r="G247" s="12" t="s">
        <v>791</v>
      </c>
    </row>
    <row r="248" spans="1:7" ht="16" x14ac:dyDescent="0.2">
      <c r="A248" s="167" t="s">
        <v>329</v>
      </c>
      <c r="B248" s="191" t="s">
        <v>330</v>
      </c>
      <c r="C248" s="173" t="s">
        <v>969</v>
      </c>
      <c r="D248" s="174" t="str">
        <f t="shared" si="7"/>
        <v/>
      </c>
      <c r="E248" s="176" t="s">
        <v>10</v>
      </c>
      <c r="F248" s="176" t="s">
        <v>331</v>
      </c>
      <c r="G248" s="176" t="s">
        <v>332</v>
      </c>
    </row>
    <row r="249" spans="1:7" ht="16" x14ac:dyDescent="0.2">
      <c r="A249" s="167" t="s">
        <v>33</v>
      </c>
      <c r="B249" s="191" t="s">
        <v>1037</v>
      </c>
      <c r="C249" s="173" t="s">
        <v>970</v>
      </c>
      <c r="D249" s="174" t="str">
        <f t="shared" si="7"/>
        <v/>
      </c>
      <c r="E249" s="12" t="s">
        <v>997</v>
      </c>
      <c r="F249" s="12" t="s">
        <v>401</v>
      </c>
      <c r="G249" s="12" t="s">
        <v>400</v>
      </c>
    </row>
    <row r="250" spans="1:7" ht="16" x14ac:dyDescent="0.2">
      <c r="A250" s="167" t="s">
        <v>424</v>
      </c>
      <c r="B250" s="191" t="s">
        <v>1016</v>
      </c>
      <c r="C250" s="173" t="s">
        <v>970</v>
      </c>
      <c r="D250" s="174" t="str">
        <f t="shared" ref="D250:D275" si="8">IF(COUNTIF($A$15:$A$1420, A250)&gt;1, "Trùng Đại Lý", "")</f>
        <v/>
      </c>
      <c r="E250" s="12" t="s">
        <v>997</v>
      </c>
      <c r="F250" s="12" t="s">
        <v>401</v>
      </c>
      <c r="G250" s="12" t="s">
        <v>400</v>
      </c>
    </row>
    <row r="251" spans="1:7" ht="16" x14ac:dyDescent="0.2">
      <c r="A251" s="167" t="s">
        <v>28</v>
      </c>
      <c r="B251" s="191" t="s">
        <v>269</v>
      </c>
      <c r="C251" s="173" t="s">
        <v>968</v>
      </c>
      <c r="D251" s="174" t="str">
        <f t="shared" si="8"/>
        <v>Trùng Đại Lý</v>
      </c>
      <c r="E251" s="12" t="s">
        <v>93</v>
      </c>
      <c r="F251" s="12" t="s">
        <v>209</v>
      </c>
      <c r="G251" s="186" t="s">
        <v>362</v>
      </c>
    </row>
    <row r="252" spans="1:7" ht="16" x14ac:dyDescent="0.2">
      <c r="A252" s="167" t="s">
        <v>28</v>
      </c>
      <c r="B252" s="191" t="s">
        <v>988</v>
      </c>
      <c r="C252" s="173" t="s">
        <v>987</v>
      </c>
      <c r="D252" s="174" t="str">
        <f t="shared" si="8"/>
        <v>Trùng Đại Lý</v>
      </c>
      <c r="E252" s="12" t="s">
        <v>411</v>
      </c>
      <c r="F252" s="12" t="s">
        <v>209</v>
      </c>
      <c r="G252" s="186" t="s">
        <v>362</v>
      </c>
    </row>
    <row r="253" spans="1:7" ht="16" x14ac:dyDescent="0.2">
      <c r="A253" s="167" t="s">
        <v>28</v>
      </c>
      <c r="B253" s="191" t="s">
        <v>1015</v>
      </c>
      <c r="C253" s="173" t="s">
        <v>970</v>
      </c>
      <c r="D253" s="174" t="str">
        <f t="shared" si="8"/>
        <v>Trùng Đại Lý</v>
      </c>
      <c r="E253" s="12" t="s">
        <v>997</v>
      </c>
      <c r="F253" s="12" t="s">
        <v>209</v>
      </c>
      <c r="G253" s="186" t="s">
        <v>362</v>
      </c>
    </row>
    <row r="254" spans="1:7" ht="16" x14ac:dyDescent="0.2">
      <c r="A254" s="167" t="s">
        <v>28</v>
      </c>
      <c r="B254" s="191" t="s">
        <v>989</v>
      </c>
      <c r="C254" s="173" t="s">
        <v>987</v>
      </c>
      <c r="D254" s="174" t="str">
        <f t="shared" si="8"/>
        <v>Trùng Đại Lý</v>
      </c>
      <c r="E254" s="12" t="s">
        <v>411</v>
      </c>
      <c r="F254" s="12" t="s">
        <v>209</v>
      </c>
      <c r="G254" s="186" t="s">
        <v>2096</v>
      </c>
    </row>
    <row r="255" spans="1:7" ht="16" x14ac:dyDescent="0.2">
      <c r="A255" s="167" t="s">
        <v>909</v>
      </c>
      <c r="B255" s="191" t="s">
        <v>991</v>
      </c>
      <c r="C255" s="173" t="s">
        <v>987</v>
      </c>
      <c r="D255" s="174" t="str">
        <f t="shared" si="8"/>
        <v/>
      </c>
      <c r="E255" s="12" t="s">
        <v>911</v>
      </c>
      <c r="F255" s="12" t="s">
        <v>912</v>
      </c>
      <c r="G255" s="12" t="s">
        <v>913</v>
      </c>
    </row>
    <row r="256" spans="1:7" x14ac:dyDescent="0.15">
      <c r="A256" s="158" t="s">
        <v>1066</v>
      </c>
      <c r="B256" s="193" t="s">
        <v>1067</v>
      </c>
      <c r="C256" s="158" t="s">
        <v>971</v>
      </c>
      <c r="D256" s="174" t="str">
        <f t="shared" si="8"/>
        <v/>
      </c>
      <c r="E256" s="12" t="s">
        <v>96</v>
      </c>
      <c r="F256" s="158" t="s">
        <v>1068</v>
      </c>
      <c r="G256" s="158" t="s">
        <v>1069</v>
      </c>
    </row>
    <row r="257" spans="1:8" x14ac:dyDescent="0.15">
      <c r="A257" s="158" t="s">
        <v>2156</v>
      </c>
      <c r="B257" s="193" t="s">
        <v>2157</v>
      </c>
      <c r="C257" s="158" t="s">
        <v>2139</v>
      </c>
      <c r="D257" s="174" t="str">
        <f t="shared" si="8"/>
        <v/>
      </c>
      <c r="F257" s="12" t="s">
        <v>2158</v>
      </c>
      <c r="G257" s="12" t="s">
        <v>2159</v>
      </c>
    </row>
    <row r="258" spans="1:8" ht="16" x14ac:dyDescent="0.2">
      <c r="A258" s="167" t="s">
        <v>917</v>
      </c>
      <c r="B258" s="191" t="s">
        <v>986</v>
      </c>
      <c r="C258" s="173" t="s">
        <v>971</v>
      </c>
      <c r="D258" s="174" t="str">
        <f t="shared" si="8"/>
        <v/>
      </c>
      <c r="E258" s="12" t="s">
        <v>96</v>
      </c>
      <c r="F258" s="12" t="s">
        <v>918</v>
      </c>
      <c r="G258" s="12" t="s">
        <v>919</v>
      </c>
    </row>
    <row r="259" spans="1:8" ht="16" x14ac:dyDescent="0.2">
      <c r="A259" s="167" t="s">
        <v>431</v>
      </c>
      <c r="B259" s="191" t="s">
        <v>1004</v>
      </c>
      <c r="C259" s="173" t="s">
        <v>970</v>
      </c>
      <c r="D259" s="174" t="str">
        <f t="shared" si="8"/>
        <v/>
      </c>
      <c r="E259" s="12" t="s">
        <v>997</v>
      </c>
      <c r="F259" s="12" t="s">
        <v>376</v>
      </c>
      <c r="G259" s="12" t="s">
        <v>432</v>
      </c>
    </row>
    <row r="260" spans="1:8" ht="16" x14ac:dyDescent="0.2">
      <c r="A260" s="167" t="s">
        <v>827</v>
      </c>
      <c r="B260" s="191" t="s">
        <v>975</v>
      </c>
      <c r="C260" s="173" t="s">
        <v>973</v>
      </c>
      <c r="D260" s="174" t="str">
        <f t="shared" si="8"/>
        <v/>
      </c>
      <c r="E260" s="12" t="s">
        <v>97</v>
      </c>
      <c r="F260" s="12" t="s">
        <v>828</v>
      </c>
      <c r="G260" s="12" t="s">
        <v>829</v>
      </c>
    </row>
    <row r="261" spans="1:8" ht="16" x14ac:dyDescent="0.2">
      <c r="A261" s="167" t="s">
        <v>723</v>
      </c>
      <c r="B261" s="191" t="s">
        <v>643</v>
      </c>
      <c r="C261" s="173" t="s">
        <v>1048</v>
      </c>
      <c r="D261" s="174" t="str">
        <f t="shared" si="8"/>
        <v>Trùng Đại Lý</v>
      </c>
      <c r="E261" s="176" t="s">
        <v>612</v>
      </c>
      <c r="F261" s="176" t="s">
        <v>724</v>
      </c>
      <c r="G261" s="176" t="s">
        <v>725</v>
      </c>
    </row>
    <row r="262" spans="1:8" ht="16" x14ac:dyDescent="0.2">
      <c r="A262" s="167" t="s">
        <v>723</v>
      </c>
      <c r="B262" s="191" t="s">
        <v>765</v>
      </c>
      <c r="C262" s="173" t="s">
        <v>1048</v>
      </c>
      <c r="D262" s="174" t="str">
        <f t="shared" si="8"/>
        <v>Trùng Đại Lý</v>
      </c>
      <c r="E262" s="181" t="s">
        <v>612</v>
      </c>
      <c r="F262" s="176" t="s">
        <v>724</v>
      </c>
      <c r="G262" s="176" t="s">
        <v>766</v>
      </c>
      <c r="H262" s="188" t="s">
        <v>833</v>
      </c>
    </row>
    <row r="263" spans="1:8" ht="16" x14ac:dyDescent="0.2">
      <c r="A263" s="167" t="s">
        <v>885</v>
      </c>
      <c r="B263" s="191" t="s">
        <v>198</v>
      </c>
      <c r="C263" s="173" t="s">
        <v>198</v>
      </c>
      <c r="D263" s="174" t="str">
        <f t="shared" si="8"/>
        <v/>
      </c>
      <c r="E263" s="12" t="s">
        <v>107</v>
      </c>
      <c r="F263" s="12" t="s">
        <v>886</v>
      </c>
      <c r="G263" s="12" t="s">
        <v>887</v>
      </c>
    </row>
    <row r="264" spans="1:8" ht="16" x14ac:dyDescent="0.2">
      <c r="A264" s="167" t="s">
        <v>899</v>
      </c>
      <c r="B264" s="191" t="s">
        <v>995</v>
      </c>
      <c r="C264" s="173" t="s">
        <v>973</v>
      </c>
      <c r="D264" s="174" t="str">
        <f t="shared" si="8"/>
        <v/>
      </c>
      <c r="E264" s="12" t="s">
        <v>97</v>
      </c>
      <c r="F264" s="12" t="s">
        <v>901</v>
      </c>
      <c r="G264" s="12" t="s">
        <v>902</v>
      </c>
    </row>
    <row r="265" spans="1:8" ht="16" x14ac:dyDescent="0.2">
      <c r="A265" s="167" t="s">
        <v>462</v>
      </c>
      <c r="B265" s="191" t="s">
        <v>527</v>
      </c>
      <c r="C265" s="173" t="s">
        <v>970</v>
      </c>
      <c r="D265" s="174" t="str">
        <f t="shared" si="8"/>
        <v/>
      </c>
      <c r="E265" s="12" t="s">
        <v>997</v>
      </c>
      <c r="F265" s="12" t="s">
        <v>239</v>
      </c>
      <c r="G265" s="12" t="s">
        <v>240</v>
      </c>
    </row>
    <row r="266" spans="1:8" ht="16" x14ac:dyDescent="0.2">
      <c r="A266" s="167" t="s">
        <v>29</v>
      </c>
      <c r="B266" s="191" t="s">
        <v>979</v>
      </c>
      <c r="C266" s="173" t="s">
        <v>970</v>
      </c>
      <c r="D266" s="174" t="str">
        <f t="shared" si="8"/>
        <v>Trùng Đại Lý</v>
      </c>
      <c r="E266" s="12" t="s">
        <v>997</v>
      </c>
      <c r="F266" s="12" t="s">
        <v>264</v>
      </c>
      <c r="G266" s="12" t="s">
        <v>193</v>
      </c>
    </row>
    <row r="267" spans="1:8" ht="16" x14ac:dyDescent="0.2">
      <c r="A267" s="167" t="s">
        <v>29</v>
      </c>
      <c r="B267" s="191" t="s">
        <v>1029</v>
      </c>
      <c r="C267" s="173" t="s">
        <v>970</v>
      </c>
      <c r="D267" s="174" t="str">
        <f t="shared" si="8"/>
        <v>Trùng Đại Lý</v>
      </c>
      <c r="E267" s="12" t="s">
        <v>997</v>
      </c>
      <c r="F267" s="12" t="s">
        <v>264</v>
      </c>
      <c r="G267" s="12" t="s">
        <v>280</v>
      </c>
    </row>
    <row r="268" spans="1:8" ht="16" x14ac:dyDescent="0.2">
      <c r="A268" s="167" t="s">
        <v>29</v>
      </c>
      <c r="B268" s="191" t="s">
        <v>1012</v>
      </c>
      <c r="C268" s="173" t="s">
        <v>970</v>
      </c>
      <c r="D268" s="174" t="str">
        <f t="shared" si="8"/>
        <v>Trùng Đại Lý</v>
      </c>
      <c r="E268" s="12" t="s">
        <v>997</v>
      </c>
      <c r="F268" s="12" t="s">
        <v>264</v>
      </c>
      <c r="G268" s="12" t="s">
        <v>188</v>
      </c>
    </row>
    <row r="269" spans="1:8" ht="16" x14ac:dyDescent="0.2">
      <c r="A269" s="167" t="s">
        <v>877</v>
      </c>
      <c r="B269" s="191" t="s">
        <v>1022</v>
      </c>
      <c r="C269" s="173" t="s">
        <v>970</v>
      </c>
      <c r="D269" s="174" t="str">
        <f t="shared" si="8"/>
        <v>Trùng Đại Lý</v>
      </c>
      <c r="E269" s="12" t="s">
        <v>997</v>
      </c>
      <c r="F269" s="12" t="s">
        <v>879</v>
      </c>
      <c r="G269" s="12" t="s">
        <v>961</v>
      </c>
    </row>
    <row r="270" spans="1:8" ht="16" x14ac:dyDescent="0.2">
      <c r="A270" s="167" t="s">
        <v>877</v>
      </c>
      <c r="B270" s="191" t="s">
        <v>993</v>
      </c>
      <c r="C270" s="173" t="s">
        <v>987</v>
      </c>
      <c r="D270" s="174" t="str">
        <f t="shared" si="8"/>
        <v>Trùng Đại Lý</v>
      </c>
      <c r="E270" s="12" t="s">
        <v>411</v>
      </c>
      <c r="F270" s="12" t="s">
        <v>879</v>
      </c>
      <c r="G270" s="12" t="s">
        <v>880</v>
      </c>
    </row>
    <row r="271" spans="1:8" ht="16" x14ac:dyDescent="0.2">
      <c r="A271" s="167" t="s">
        <v>2163</v>
      </c>
      <c r="B271" s="191" t="s">
        <v>2164</v>
      </c>
      <c r="C271" s="173" t="s">
        <v>2139</v>
      </c>
      <c r="D271" s="174" t="str">
        <f t="shared" si="8"/>
        <v/>
      </c>
      <c r="F271" s="12" t="s">
        <v>2165</v>
      </c>
      <c r="G271" s="12" t="s">
        <v>2166</v>
      </c>
    </row>
    <row r="272" spans="1:8" ht="16" x14ac:dyDescent="0.2">
      <c r="A272" s="167" t="s">
        <v>778</v>
      </c>
      <c r="B272" s="191" t="s">
        <v>1040</v>
      </c>
      <c r="C272" s="173" t="s">
        <v>970</v>
      </c>
      <c r="D272" s="174" t="str">
        <f t="shared" si="8"/>
        <v/>
      </c>
      <c r="E272" s="12" t="s">
        <v>997</v>
      </c>
      <c r="F272" s="12" t="s">
        <v>780</v>
      </c>
      <c r="G272" s="12" t="s">
        <v>781</v>
      </c>
    </row>
    <row r="273" spans="1:7" ht="16" x14ac:dyDescent="0.2">
      <c r="A273" s="167" t="s">
        <v>15</v>
      </c>
      <c r="B273" s="191" t="s">
        <v>1038</v>
      </c>
      <c r="C273" s="173" t="s">
        <v>970</v>
      </c>
      <c r="D273" s="174" t="str">
        <f t="shared" si="8"/>
        <v/>
      </c>
      <c r="E273" s="12" t="s">
        <v>997</v>
      </c>
      <c r="F273" s="12" t="s">
        <v>221</v>
      </c>
      <c r="G273" s="12" t="s">
        <v>173</v>
      </c>
    </row>
    <row r="274" spans="1:7" ht="16" x14ac:dyDescent="0.2">
      <c r="A274" s="167" t="s">
        <v>479</v>
      </c>
      <c r="B274" s="191" t="s">
        <v>986</v>
      </c>
      <c r="C274" s="173" t="s">
        <v>971</v>
      </c>
      <c r="D274" s="174" t="str">
        <f t="shared" si="8"/>
        <v/>
      </c>
      <c r="E274" s="12" t="s">
        <v>96</v>
      </c>
      <c r="F274" s="12" t="s">
        <v>480</v>
      </c>
      <c r="G274" s="12" t="s">
        <v>481</v>
      </c>
    </row>
    <row r="275" spans="1:7" ht="16" x14ac:dyDescent="0.2">
      <c r="A275" s="167" t="s">
        <v>848</v>
      </c>
      <c r="B275" s="191" t="s">
        <v>1003</v>
      </c>
      <c r="C275" s="173" t="s">
        <v>970</v>
      </c>
      <c r="D275" s="174" t="str">
        <f t="shared" si="8"/>
        <v/>
      </c>
      <c r="E275" s="12" t="s">
        <v>997</v>
      </c>
      <c r="F275" s="12" t="s">
        <v>849</v>
      </c>
      <c r="G275" s="12" t="s">
        <v>850</v>
      </c>
    </row>
    <row r="276" spans="1:7" ht="16" x14ac:dyDescent="0.2">
      <c r="C276" s="173"/>
    </row>
    <row r="277" spans="1:7" ht="16" x14ac:dyDescent="0.2">
      <c r="C277" s="173"/>
    </row>
  </sheetData>
  <autoFilter ref="A15:H275" xr:uid="{8B00548B-724E-4D71-9753-0D1987174613}">
    <sortState xmlns:xlrd2="http://schemas.microsoft.com/office/spreadsheetml/2017/richdata2" ref="A16:H279">
      <sortCondition ref="A1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BE92-BF51-41D5-A1FB-0C15ADD5A11A}">
  <sheetPr>
    <tabColor rgb="FF00B0F0"/>
  </sheetPr>
  <dimension ref="A2:I362"/>
  <sheetViews>
    <sheetView zoomScale="130" zoomScaleNormal="130" workbookViewId="0">
      <pane xSplit="3" ySplit="2" topLeftCell="D342" activePane="bottomRight" state="frozen"/>
      <selection pane="topRight" activeCell="D1" sqref="D1"/>
      <selection pane="bottomLeft" activeCell="A3" sqref="A3"/>
      <selection pane="bottomRight" activeCell="A359" sqref="A359:A361"/>
    </sheetView>
  </sheetViews>
  <sheetFormatPr baseColWidth="10" defaultColWidth="8.83203125" defaultRowHeight="15" x14ac:dyDescent="0.2"/>
  <cols>
    <col min="2" max="2" width="14.5" bestFit="1" customWidth="1"/>
    <col min="3" max="3" width="18" bestFit="1" customWidth="1"/>
    <col min="4" max="4" width="38" customWidth="1"/>
    <col min="5" max="5" width="16.5" bestFit="1" customWidth="1"/>
    <col min="6" max="6" width="69.33203125" customWidth="1"/>
    <col min="7" max="7" width="17.6640625" bestFit="1" customWidth="1"/>
    <col min="8" max="8" width="14.5" bestFit="1" customWidth="1"/>
    <col min="9" max="9" width="18" style="165" customWidth="1"/>
  </cols>
  <sheetData>
    <row r="2" spans="1:9" ht="12.75" customHeight="1" x14ac:dyDescent="0.2">
      <c r="B2" s="160" t="s">
        <v>1084</v>
      </c>
      <c r="C2" s="160" t="s">
        <v>1085</v>
      </c>
      <c r="D2" s="160" t="s">
        <v>1087</v>
      </c>
      <c r="E2" s="160" t="s">
        <v>1088</v>
      </c>
      <c r="F2" s="160" t="s">
        <v>1086</v>
      </c>
      <c r="G2" s="160" t="s">
        <v>1089</v>
      </c>
      <c r="H2" s="160" t="s">
        <v>1084</v>
      </c>
      <c r="I2" s="161"/>
    </row>
    <row r="3" spans="1:9" ht="17.25" customHeight="1" x14ac:dyDescent="0.2">
      <c r="A3">
        <v>1</v>
      </c>
      <c r="B3" s="11" t="s">
        <v>1090</v>
      </c>
      <c r="C3" s="11" t="s">
        <v>1091</v>
      </c>
      <c r="D3" s="11" t="s">
        <v>1093</v>
      </c>
      <c r="E3" s="11" t="s">
        <v>1094</v>
      </c>
      <c r="F3" s="11" t="s">
        <v>1092</v>
      </c>
      <c r="G3" s="162">
        <v>18</v>
      </c>
      <c r="H3" s="11" t="s">
        <v>1090</v>
      </c>
      <c r="I3" s="159" t="str">
        <f t="shared" ref="I3:I66" si="0">IF(COUNTIF($C$3:$C$356, C3)&gt;1, "Trùng", "")</f>
        <v/>
      </c>
    </row>
    <row r="4" spans="1:9" ht="17.25" customHeight="1" x14ac:dyDescent="0.2">
      <c r="A4">
        <v>2</v>
      </c>
      <c r="B4" s="11" t="s">
        <v>1090</v>
      </c>
      <c r="C4" s="11" t="s">
        <v>1095</v>
      </c>
      <c r="D4" s="11" t="s">
        <v>1097</v>
      </c>
      <c r="E4" s="11" t="s">
        <v>1098</v>
      </c>
      <c r="F4" s="11" t="s">
        <v>1096</v>
      </c>
      <c r="G4" s="162">
        <v>10.92</v>
      </c>
      <c r="H4" s="11" t="s">
        <v>1090</v>
      </c>
      <c r="I4" s="159" t="str">
        <f t="shared" si="0"/>
        <v/>
      </c>
    </row>
    <row r="5" spans="1:9" ht="17.25" customHeight="1" x14ac:dyDescent="0.2">
      <c r="A5">
        <v>3</v>
      </c>
      <c r="B5" s="11" t="s">
        <v>1090</v>
      </c>
      <c r="C5" s="11" t="s">
        <v>1099</v>
      </c>
      <c r="D5" s="11" t="s">
        <v>1101</v>
      </c>
      <c r="E5" s="11" t="s">
        <v>1098</v>
      </c>
      <c r="F5" s="11" t="s">
        <v>1100</v>
      </c>
      <c r="G5" s="162">
        <v>18.2</v>
      </c>
      <c r="H5" s="11" t="s">
        <v>1090</v>
      </c>
      <c r="I5" s="159" t="str">
        <f t="shared" si="0"/>
        <v/>
      </c>
    </row>
    <row r="6" spans="1:9" ht="17.25" customHeight="1" x14ac:dyDescent="0.2">
      <c r="A6">
        <v>4</v>
      </c>
      <c r="B6" s="11" t="s">
        <v>1090</v>
      </c>
      <c r="C6" s="11" t="s">
        <v>1102</v>
      </c>
      <c r="D6" s="11" t="s">
        <v>1104</v>
      </c>
      <c r="E6" s="11" t="s">
        <v>1098</v>
      </c>
      <c r="F6" s="11" t="s">
        <v>1103</v>
      </c>
      <c r="G6" s="162">
        <v>9.6</v>
      </c>
      <c r="H6" s="11" t="s">
        <v>1090</v>
      </c>
      <c r="I6" s="159" t="str">
        <f t="shared" si="0"/>
        <v/>
      </c>
    </row>
    <row r="7" spans="1:9" ht="17.25" customHeight="1" x14ac:dyDescent="0.2">
      <c r="A7">
        <v>5</v>
      </c>
      <c r="B7" s="11" t="s">
        <v>1090</v>
      </c>
      <c r="C7" s="11" t="s">
        <v>1105</v>
      </c>
      <c r="D7" s="11" t="s">
        <v>1107</v>
      </c>
      <c r="E7" s="11" t="s">
        <v>1098</v>
      </c>
      <c r="F7" s="11" t="s">
        <v>1106</v>
      </c>
      <c r="G7" s="162">
        <v>10.92</v>
      </c>
      <c r="H7" s="11" t="s">
        <v>1090</v>
      </c>
      <c r="I7" s="159" t="str">
        <f t="shared" si="0"/>
        <v/>
      </c>
    </row>
    <row r="8" spans="1:9" ht="17.25" customHeight="1" x14ac:dyDescent="0.2">
      <c r="A8">
        <v>6</v>
      </c>
      <c r="B8" s="11" t="s">
        <v>1090</v>
      </c>
      <c r="C8" s="11" t="s">
        <v>1108</v>
      </c>
      <c r="D8" s="11" t="s">
        <v>1110</v>
      </c>
      <c r="E8" s="11" t="s">
        <v>1098</v>
      </c>
      <c r="F8" s="11" t="s">
        <v>1109</v>
      </c>
      <c r="G8" s="162">
        <v>10.92</v>
      </c>
      <c r="H8" s="11" t="s">
        <v>1090</v>
      </c>
      <c r="I8" s="159" t="str">
        <f t="shared" si="0"/>
        <v/>
      </c>
    </row>
    <row r="9" spans="1:9" ht="17.25" customHeight="1" x14ac:dyDescent="0.2">
      <c r="A9">
        <v>7</v>
      </c>
      <c r="B9" s="11" t="s">
        <v>1090</v>
      </c>
      <c r="C9" s="11" t="s">
        <v>1111</v>
      </c>
      <c r="D9" s="11" t="s">
        <v>1113</v>
      </c>
      <c r="E9" s="11" t="s">
        <v>1098</v>
      </c>
      <c r="F9" s="11" t="s">
        <v>1112</v>
      </c>
      <c r="G9" s="162">
        <v>10.92</v>
      </c>
      <c r="H9" s="11" t="s">
        <v>1090</v>
      </c>
      <c r="I9" s="159" t="str">
        <f t="shared" si="0"/>
        <v/>
      </c>
    </row>
    <row r="10" spans="1:9" ht="17.25" customHeight="1" x14ac:dyDescent="0.2">
      <c r="A10">
        <v>8</v>
      </c>
      <c r="B10" s="11" t="s">
        <v>1090</v>
      </c>
      <c r="C10" s="11" t="s">
        <v>1114</v>
      </c>
      <c r="D10" s="11" t="s">
        <v>1116</v>
      </c>
      <c r="E10" s="11" t="s">
        <v>1098</v>
      </c>
      <c r="F10" s="11" t="s">
        <v>1115</v>
      </c>
      <c r="G10" s="162">
        <v>18.2</v>
      </c>
      <c r="H10" s="11" t="s">
        <v>1090</v>
      </c>
      <c r="I10" s="159" t="str">
        <f t="shared" si="0"/>
        <v/>
      </c>
    </row>
    <row r="11" spans="1:9" ht="17.25" customHeight="1" x14ac:dyDescent="0.2">
      <c r="A11">
        <v>9</v>
      </c>
      <c r="B11" s="11" t="s">
        <v>1090</v>
      </c>
      <c r="C11" s="11" t="s">
        <v>1117</v>
      </c>
      <c r="D11" s="11" t="s">
        <v>1119</v>
      </c>
      <c r="E11" s="11" t="s">
        <v>1098</v>
      </c>
      <c r="F11" s="11" t="s">
        <v>1118</v>
      </c>
      <c r="G11" s="162">
        <v>16.38</v>
      </c>
      <c r="H11" s="11" t="s">
        <v>1090</v>
      </c>
      <c r="I11" s="159" t="str">
        <f t="shared" si="0"/>
        <v/>
      </c>
    </row>
    <row r="12" spans="1:9" ht="17.25" customHeight="1" x14ac:dyDescent="0.2">
      <c r="A12">
        <v>10</v>
      </c>
      <c r="B12" s="11" t="s">
        <v>1090</v>
      </c>
      <c r="C12" s="11" t="s">
        <v>1120</v>
      </c>
      <c r="D12" s="11" t="s">
        <v>1122</v>
      </c>
      <c r="E12" s="11" t="s">
        <v>1123</v>
      </c>
      <c r="F12" s="11" t="s">
        <v>1121</v>
      </c>
      <c r="G12" s="162">
        <v>25</v>
      </c>
      <c r="H12" s="11" t="s">
        <v>1090</v>
      </c>
      <c r="I12" s="159" t="str">
        <f t="shared" si="0"/>
        <v/>
      </c>
    </row>
    <row r="13" spans="1:9" ht="17.25" customHeight="1" x14ac:dyDescent="0.2">
      <c r="A13">
        <v>11</v>
      </c>
      <c r="B13" s="11" t="s">
        <v>1090</v>
      </c>
      <c r="C13" s="11" t="s">
        <v>1124</v>
      </c>
      <c r="D13" s="11" t="s">
        <v>1126</v>
      </c>
      <c r="E13" s="11" t="s">
        <v>1123</v>
      </c>
      <c r="F13" s="11" t="s">
        <v>1125</v>
      </c>
      <c r="G13" s="162">
        <v>25</v>
      </c>
      <c r="H13" s="11" t="s">
        <v>1090</v>
      </c>
      <c r="I13" s="159" t="str">
        <f t="shared" si="0"/>
        <v/>
      </c>
    </row>
    <row r="14" spans="1:9" ht="17.25" customHeight="1" x14ac:dyDescent="0.2">
      <c r="A14">
        <v>12</v>
      </c>
      <c r="B14" s="11" t="s">
        <v>1090</v>
      </c>
      <c r="C14" s="11" t="s">
        <v>1127</v>
      </c>
      <c r="D14" s="11" t="s">
        <v>1129</v>
      </c>
      <c r="E14" s="11" t="s">
        <v>1098</v>
      </c>
      <c r="F14" s="11" t="s">
        <v>1128</v>
      </c>
      <c r="G14" s="162">
        <v>10.92</v>
      </c>
      <c r="H14" s="11" t="s">
        <v>1090</v>
      </c>
      <c r="I14" s="159" t="str">
        <f t="shared" si="0"/>
        <v/>
      </c>
    </row>
    <row r="15" spans="1:9" ht="17.25" customHeight="1" x14ac:dyDescent="0.2">
      <c r="A15">
        <v>13</v>
      </c>
      <c r="B15" s="11" t="s">
        <v>1090</v>
      </c>
      <c r="C15" s="11" t="s">
        <v>1130</v>
      </c>
      <c r="D15" s="11" t="s">
        <v>1132</v>
      </c>
      <c r="E15" s="11" t="s">
        <v>1098</v>
      </c>
      <c r="F15" s="11" t="s">
        <v>1131</v>
      </c>
      <c r="G15" s="162">
        <v>10.92</v>
      </c>
      <c r="H15" s="11" t="s">
        <v>1090</v>
      </c>
      <c r="I15" s="159" t="str">
        <f t="shared" si="0"/>
        <v/>
      </c>
    </row>
    <row r="16" spans="1:9" ht="17.25" customHeight="1" x14ac:dyDescent="0.2">
      <c r="A16">
        <v>14</v>
      </c>
      <c r="B16" s="11" t="s">
        <v>1090</v>
      </c>
      <c r="C16" s="11" t="s">
        <v>1133</v>
      </c>
      <c r="D16" s="11" t="s">
        <v>1135</v>
      </c>
      <c r="E16" s="11" t="s">
        <v>1098</v>
      </c>
      <c r="F16" s="11" t="s">
        <v>1134</v>
      </c>
      <c r="G16" s="162">
        <v>2.1840000000000002</v>
      </c>
      <c r="H16" s="11" t="s">
        <v>1090</v>
      </c>
      <c r="I16" s="159" t="str">
        <f t="shared" si="0"/>
        <v/>
      </c>
    </row>
    <row r="17" spans="1:9" ht="17.25" customHeight="1" x14ac:dyDescent="0.2">
      <c r="A17">
        <v>15</v>
      </c>
      <c r="B17" s="11" t="s">
        <v>1090</v>
      </c>
      <c r="C17" s="11" t="s">
        <v>1136</v>
      </c>
      <c r="D17" s="11" t="s">
        <v>1138</v>
      </c>
      <c r="E17" s="11" t="s">
        <v>1098</v>
      </c>
      <c r="F17" s="11" t="s">
        <v>1137</v>
      </c>
      <c r="G17" s="162">
        <v>2.73</v>
      </c>
      <c r="H17" s="11" t="s">
        <v>1090</v>
      </c>
      <c r="I17" s="159" t="str">
        <f t="shared" si="0"/>
        <v/>
      </c>
    </row>
    <row r="18" spans="1:9" ht="17.25" customHeight="1" x14ac:dyDescent="0.2">
      <c r="A18">
        <v>16</v>
      </c>
      <c r="B18" s="11" t="s">
        <v>1090</v>
      </c>
      <c r="C18" s="11" t="s">
        <v>1139</v>
      </c>
      <c r="D18" s="11" t="s">
        <v>1141</v>
      </c>
      <c r="E18" s="11" t="s">
        <v>1098</v>
      </c>
      <c r="F18" s="11" t="s">
        <v>1140</v>
      </c>
      <c r="G18" s="162">
        <v>7.2</v>
      </c>
      <c r="H18" s="11" t="s">
        <v>1090</v>
      </c>
      <c r="I18" s="159" t="str">
        <f t="shared" si="0"/>
        <v/>
      </c>
    </row>
    <row r="19" spans="1:9" ht="17.25" customHeight="1" x14ac:dyDescent="0.2">
      <c r="A19">
        <v>17</v>
      </c>
      <c r="B19" s="11" t="s">
        <v>1090</v>
      </c>
      <c r="C19" s="11" t="s">
        <v>1142</v>
      </c>
      <c r="D19" s="11" t="s">
        <v>1144</v>
      </c>
      <c r="E19" s="11" t="s">
        <v>1098</v>
      </c>
      <c r="F19" s="11" t="s">
        <v>1143</v>
      </c>
      <c r="G19" s="162">
        <v>4.8</v>
      </c>
      <c r="H19" s="11" t="s">
        <v>1090</v>
      </c>
      <c r="I19" s="159" t="str">
        <f t="shared" si="0"/>
        <v/>
      </c>
    </row>
    <row r="20" spans="1:9" ht="17.25" customHeight="1" x14ac:dyDescent="0.2">
      <c r="A20">
        <v>18</v>
      </c>
      <c r="B20" s="11" t="s">
        <v>1090</v>
      </c>
      <c r="C20" s="11" t="s">
        <v>1145</v>
      </c>
      <c r="D20" s="11" t="s">
        <v>1147</v>
      </c>
      <c r="E20" s="11" t="s">
        <v>1098</v>
      </c>
      <c r="F20" s="11" t="s">
        <v>1146</v>
      </c>
      <c r="G20" s="162">
        <v>10.92</v>
      </c>
      <c r="H20" s="11" t="s">
        <v>1090</v>
      </c>
      <c r="I20" s="159" t="str">
        <f t="shared" si="0"/>
        <v/>
      </c>
    </row>
    <row r="21" spans="1:9" ht="17.25" customHeight="1" x14ac:dyDescent="0.2">
      <c r="A21">
        <v>19</v>
      </c>
      <c r="B21" s="11" t="s">
        <v>1090</v>
      </c>
      <c r="C21" s="11" t="s">
        <v>1148</v>
      </c>
      <c r="D21" s="11" t="s">
        <v>1150</v>
      </c>
      <c r="E21" s="11" t="s">
        <v>1098</v>
      </c>
      <c r="F21" s="11" t="s">
        <v>1149</v>
      </c>
      <c r="G21" s="162">
        <v>10.92</v>
      </c>
      <c r="H21" s="11" t="s">
        <v>1090</v>
      </c>
      <c r="I21" s="159" t="str">
        <f t="shared" si="0"/>
        <v/>
      </c>
    </row>
    <row r="22" spans="1:9" ht="17.25" customHeight="1" x14ac:dyDescent="0.2">
      <c r="A22">
        <v>20</v>
      </c>
      <c r="B22" s="11" t="s">
        <v>1090</v>
      </c>
      <c r="C22" s="11" t="s">
        <v>1151</v>
      </c>
      <c r="D22" s="11" t="s">
        <v>1153</v>
      </c>
      <c r="E22" s="11" t="s">
        <v>1098</v>
      </c>
      <c r="F22" s="11" t="s">
        <v>1152</v>
      </c>
      <c r="G22" s="162">
        <v>2.73</v>
      </c>
      <c r="H22" s="11" t="s">
        <v>1090</v>
      </c>
      <c r="I22" s="159" t="str">
        <f t="shared" si="0"/>
        <v/>
      </c>
    </row>
    <row r="23" spans="1:9" ht="17.25" customHeight="1" x14ac:dyDescent="0.2">
      <c r="A23">
        <v>21</v>
      </c>
      <c r="B23" s="11" t="s">
        <v>1090</v>
      </c>
      <c r="C23" s="11" t="s">
        <v>1154</v>
      </c>
      <c r="D23" s="11" t="s">
        <v>1156</v>
      </c>
      <c r="E23" s="11" t="s">
        <v>1098</v>
      </c>
      <c r="F23" s="11" t="s">
        <v>1155</v>
      </c>
      <c r="G23" s="162">
        <v>2.73</v>
      </c>
      <c r="H23" s="11" t="s">
        <v>1090</v>
      </c>
      <c r="I23" s="159" t="str">
        <f t="shared" si="0"/>
        <v/>
      </c>
    </row>
    <row r="24" spans="1:9" ht="17.25" customHeight="1" x14ac:dyDescent="0.2">
      <c r="A24">
        <v>22</v>
      </c>
      <c r="B24" s="11" t="s">
        <v>1090</v>
      </c>
      <c r="C24" s="11" t="s">
        <v>1157</v>
      </c>
      <c r="D24" s="11" t="s">
        <v>1159</v>
      </c>
      <c r="E24" s="11" t="s">
        <v>1098</v>
      </c>
      <c r="F24" s="11" t="s">
        <v>1158</v>
      </c>
      <c r="G24" s="162">
        <v>4.0949999999999998</v>
      </c>
      <c r="H24" s="11" t="s">
        <v>1090</v>
      </c>
      <c r="I24" s="159" t="str">
        <f t="shared" si="0"/>
        <v/>
      </c>
    </row>
    <row r="25" spans="1:9" ht="17.25" customHeight="1" x14ac:dyDescent="0.2">
      <c r="A25">
        <v>23</v>
      </c>
      <c r="B25" s="11" t="s">
        <v>1090</v>
      </c>
      <c r="C25" s="11" t="s">
        <v>1160</v>
      </c>
      <c r="D25" s="11" t="s">
        <v>1162</v>
      </c>
      <c r="E25" s="163" t="s">
        <v>1163</v>
      </c>
      <c r="F25" s="11" t="s">
        <v>1161</v>
      </c>
      <c r="G25" s="162">
        <v>18</v>
      </c>
      <c r="H25" s="11" t="s">
        <v>1090</v>
      </c>
      <c r="I25" s="159" t="str">
        <f t="shared" si="0"/>
        <v>Trùng</v>
      </c>
    </row>
    <row r="26" spans="1:9" ht="17.25" customHeight="1" x14ac:dyDescent="0.2">
      <c r="A26">
        <v>24</v>
      </c>
      <c r="B26" s="11" t="s">
        <v>1090</v>
      </c>
      <c r="C26" s="11" t="s">
        <v>1164</v>
      </c>
      <c r="D26" s="11" t="s">
        <v>1166</v>
      </c>
      <c r="E26" s="11" t="s">
        <v>1163</v>
      </c>
      <c r="F26" s="11" t="s">
        <v>1165</v>
      </c>
      <c r="G26" s="162">
        <v>18</v>
      </c>
      <c r="H26" s="11" t="s">
        <v>1090</v>
      </c>
      <c r="I26" s="159" t="str">
        <f t="shared" si="0"/>
        <v/>
      </c>
    </row>
    <row r="27" spans="1:9" ht="17.25" customHeight="1" x14ac:dyDescent="0.2">
      <c r="A27">
        <v>25</v>
      </c>
      <c r="B27" s="11" t="s">
        <v>1090</v>
      </c>
      <c r="C27" s="11" t="s">
        <v>1167</v>
      </c>
      <c r="D27" s="11" t="s">
        <v>1169</v>
      </c>
      <c r="E27" s="11" t="s">
        <v>1098</v>
      </c>
      <c r="F27" s="11" t="s">
        <v>1168</v>
      </c>
      <c r="G27" s="162">
        <v>12.8</v>
      </c>
      <c r="H27" s="11" t="s">
        <v>1090</v>
      </c>
      <c r="I27" s="159" t="str">
        <f t="shared" si="0"/>
        <v/>
      </c>
    </row>
    <row r="28" spans="1:9" ht="17.25" customHeight="1" x14ac:dyDescent="0.2">
      <c r="A28">
        <v>26</v>
      </c>
      <c r="B28" s="11" t="s">
        <v>1090</v>
      </c>
      <c r="C28" s="11" t="s">
        <v>1170</v>
      </c>
      <c r="D28" s="11" t="s">
        <v>1172</v>
      </c>
      <c r="E28" s="11" t="s">
        <v>1098</v>
      </c>
      <c r="F28" s="11" t="s">
        <v>1171</v>
      </c>
      <c r="G28" s="162">
        <v>14</v>
      </c>
      <c r="H28" s="11" t="s">
        <v>1090</v>
      </c>
      <c r="I28" s="159" t="str">
        <f t="shared" si="0"/>
        <v/>
      </c>
    </row>
    <row r="29" spans="1:9" ht="17.25" customHeight="1" x14ac:dyDescent="0.2">
      <c r="A29">
        <v>27</v>
      </c>
      <c r="B29" s="11" t="s">
        <v>1090</v>
      </c>
      <c r="C29" s="11" t="s">
        <v>1173</v>
      </c>
      <c r="D29" s="11" t="s">
        <v>1175</v>
      </c>
      <c r="E29" s="11" t="s">
        <v>1098</v>
      </c>
      <c r="F29" s="11" t="s">
        <v>1174</v>
      </c>
      <c r="G29" s="162">
        <v>14</v>
      </c>
      <c r="H29" s="11" t="s">
        <v>1090</v>
      </c>
      <c r="I29" s="159" t="str">
        <f t="shared" si="0"/>
        <v/>
      </c>
    </row>
    <row r="30" spans="1:9" ht="17.25" customHeight="1" x14ac:dyDescent="0.2">
      <c r="A30">
        <v>28</v>
      </c>
      <c r="B30" s="11" t="s">
        <v>1090</v>
      </c>
      <c r="C30" s="11" t="s">
        <v>1176</v>
      </c>
      <c r="D30" s="11" t="s">
        <v>1178</v>
      </c>
      <c r="E30" s="11" t="s">
        <v>1179</v>
      </c>
      <c r="F30" s="11" t="s">
        <v>1177</v>
      </c>
      <c r="G30" s="162">
        <v>9</v>
      </c>
      <c r="H30" s="11" t="s">
        <v>1090</v>
      </c>
      <c r="I30" s="159" t="str">
        <f t="shared" si="0"/>
        <v/>
      </c>
    </row>
    <row r="31" spans="1:9" ht="17.25" customHeight="1" x14ac:dyDescent="0.2">
      <c r="A31">
        <v>29</v>
      </c>
      <c r="B31" s="11" t="s">
        <v>1090</v>
      </c>
      <c r="C31" s="11" t="s">
        <v>1180</v>
      </c>
      <c r="D31" s="11" t="s">
        <v>1182</v>
      </c>
      <c r="E31" s="11" t="s">
        <v>1098</v>
      </c>
      <c r="F31" s="11" t="s">
        <v>1181</v>
      </c>
      <c r="G31" s="162">
        <v>12</v>
      </c>
      <c r="H31" s="11" t="s">
        <v>1090</v>
      </c>
      <c r="I31" s="159" t="str">
        <f t="shared" si="0"/>
        <v/>
      </c>
    </row>
    <row r="32" spans="1:9" ht="17.25" customHeight="1" x14ac:dyDescent="0.2">
      <c r="A32">
        <v>30</v>
      </c>
      <c r="B32" s="11" t="s">
        <v>1090</v>
      </c>
      <c r="C32" s="11" t="s">
        <v>1183</v>
      </c>
      <c r="D32" s="11" t="s">
        <v>1185</v>
      </c>
      <c r="E32" s="11" t="s">
        <v>1098</v>
      </c>
      <c r="F32" s="11" t="s">
        <v>1184</v>
      </c>
      <c r="G32" s="162">
        <v>12</v>
      </c>
      <c r="H32" s="11" t="s">
        <v>1090</v>
      </c>
      <c r="I32" s="159" t="str">
        <f t="shared" si="0"/>
        <v/>
      </c>
    </row>
    <row r="33" spans="1:9" ht="17.25" customHeight="1" x14ac:dyDescent="0.2">
      <c r="A33">
        <v>31</v>
      </c>
      <c r="B33" s="11" t="s">
        <v>1090</v>
      </c>
      <c r="C33" s="11" t="s">
        <v>1186</v>
      </c>
      <c r="D33" s="11" t="s">
        <v>1188</v>
      </c>
      <c r="E33" s="11" t="s">
        <v>1098</v>
      </c>
      <c r="F33" s="11" t="s">
        <v>1187</v>
      </c>
      <c r="G33" s="162">
        <v>11.555999999999999</v>
      </c>
      <c r="H33" s="11" t="s">
        <v>1090</v>
      </c>
      <c r="I33" s="159" t="str">
        <f t="shared" si="0"/>
        <v/>
      </c>
    </row>
    <row r="34" spans="1:9" ht="17.25" customHeight="1" x14ac:dyDescent="0.2">
      <c r="A34">
        <v>32</v>
      </c>
      <c r="B34" s="11" t="s">
        <v>1090</v>
      </c>
      <c r="C34" s="11" t="s">
        <v>1189</v>
      </c>
      <c r="D34" s="11" t="s">
        <v>1191</v>
      </c>
      <c r="E34" s="11" t="s">
        <v>1098</v>
      </c>
      <c r="F34" s="11" t="s">
        <v>1190</v>
      </c>
      <c r="G34" s="162">
        <v>14</v>
      </c>
      <c r="H34" s="11" t="s">
        <v>1090</v>
      </c>
      <c r="I34" s="159" t="str">
        <f t="shared" si="0"/>
        <v/>
      </c>
    </row>
    <row r="35" spans="1:9" ht="17.25" customHeight="1" x14ac:dyDescent="0.2">
      <c r="A35">
        <v>33</v>
      </c>
      <c r="B35" s="11" t="s">
        <v>1090</v>
      </c>
      <c r="C35" s="11" t="s">
        <v>1192</v>
      </c>
      <c r="D35" s="11" t="s">
        <v>1194</v>
      </c>
      <c r="E35" s="11" t="s">
        <v>1098</v>
      </c>
      <c r="F35" s="11" t="s">
        <v>1193</v>
      </c>
      <c r="G35" s="162">
        <v>12.8</v>
      </c>
      <c r="H35" s="11" t="s">
        <v>1090</v>
      </c>
      <c r="I35" s="159" t="str">
        <f t="shared" si="0"/>
        <v/>
      </c>
    </row>
    <row r="36" spans="1:9" ht="17.25" customHeight="1" x14ac:dyDescent="0.2">
      <c r="A36">
        <v>34</v>
      </c>
      <c r="B36" s="11" t="s">
        <v>1090</v>
      </c>
      <c r="C36" s="11" t="s">
        <v>1195</v>
      </c>
      <c r="D36" s="11" t="s">
        <v>1197</v>
      </c>
      <c r="E36" s="11" t="s">
        <v>1098</v>
      </c>
      <c r="F36" s="11" t="s">
        <v>1196</v>
      </c>
      <c r="G36" s="162">
        <v>18</v>
      </c>
      <c r="H36" s="11" t="s">
        <v>1090</v>
      </c>
      <c r="I36" s="159" t="str">
        <f t="shared" si="0"/>
        <v/>
      </c>
    </row>
    <row r="37" spans="1:9" ht="17.25" customHeight="1" x14ac:dyDescent="0.2">
      <c r="A37">
        <v>35</v>
      </c>
      <c r="B37" s="11" t="s">
        <v>1090</v>
      </c>
      <c r="C37" s="11" t="s">
        <v>1198</v>
      </c>
      <c r="D37" s="11" t="s">
        <v>1200</v>
      </c>
      <c r="E37" s="11" t="s">
        <v>1098</v>
      </c>
      <c r="F37" s="11" t="s">
        <v>1199</v>
      </c>
      <c r="G37" s="162">
        <v>12.8</v>
      </c>
      <c r="H37" s="11" t="s">
        <v>1090</v>
      </c>
      <c r="I37" s="159" t="str">
        <f t="shared" si="0"/>
        <v/>
      </c>
    </row>
    <row r="38" spans="1:9" ht="17.25" customHeight="1" x14ac:dyDescent="0.2">
      <c r="A38">
        <v>36</v>
      </c>
      <c r="B38" s="11" t="s">
        <v>1090</v>
      </c>
      <c r="C38" s="11" t="s">
        <v>1201</v>
      </c>
      <c r="D38" s="11" t="s">
        <v>1203</v>
      </c>
      <c r="E38" s="11" t="s">
        <v>1098</v>
      </c>
      <c r="F38" s="11" t="s">
        <v>1202</v>
      </c>
      <c r="G38" s="162">
        <v>13.6</v>
      </c>
      <c r="H38" s="11" t="s">
        <v>1090</v>
      </c>
      <c r="I38" s="159" t="str">
        <f t="shared" si="0"/>
        <v/>
      </c>
    </row>
    <row r="39" spans="1:9" ht="17.25" customHeight="1" x14ac:dyDescent="0.2">
      <c r="A39">
        <v>37</v>
      </c>
      <c r="B39" s="11" t="s">
        <v>1090</v>
      </c>
      <c r="C39" s="11" t="s">
        <v>1204</v>
      </c>
      <c r="D39" s="11" t="s">
        <v>1206</v>
      </c>
      <c r="E39" s="11" t="s">
        <v>1098</v>
      </c>
      <c r="F39" s="11" t="s">
        <v>1205</v>
      </c>
      <c r="G39" s="162">
        <v>15.9</v>
      </c>
      <c r="H39" s="11" t="s">
        <v>1090</v>
      </c>
      <c r="I39" s="159" t="str">
        <f t="shared" si="0"/>
        <v/>
      </c>
    </row>
    <row r="40" spans="1:9" ht="17.25" customHeight="1" x14ac:dyDescent="0.2">
      <c r="A40">
        <v>38</v>
      </c>
      <c r="B40" s="11" t="s">
        <v>1090</v>
      </c>
      <c r="C40" s="11" t="s">
        <v>1207</v>
      </c>
      <c r="D40" s="11" t="s">
        <v>1209</v>
      </c>
      <c r="E40" s="11" t="s">
        <v>1210</v>
      </c>
      <c r="F40" s="11" t="s">
        <v>1208</v>
      </c>
      <c r="G40" s="162">
        <v>15.3</v>
      </c>
      <c r="H40" s="11" t="s">
        <v>1090</v>
      </c>
      <c r="I40" s="159" t="str">
        <f t="shared" si="0"/>
        <v/>
      </c>
    </row>
    <row r="41" spans="1:9" ht="17.25" customHeight="1" x14ac:dyDescent="0.2">
      <c r="A41">
        <v>39</v>
      </c>
      <c r="B41" s="11" t="s">
        <v>1090</v>
      </c>
      <c r="C41" s="11" t="s">
        <v>1211</v>
      </c>
      <c r="D41" s="11" t="s">
        <v>1213</v>
      </c>
      <c r="E41" s="11" t="s">
        <v>1098</v>
      </c>
      <c r="F41" s="11" t="s">
        <v>1212</v>
      </c>
      <c r="G41" s="162">
        <v>18</v>
      </c>
      <c r="H41" s="11" t="s">
        <v>1090</v>
      </c>
      <c r="I41" s="159" t="str">
        <f t="shared" si="0"/>
        <v/>
      </c>
    </row>
    <row r="42" spans="1:9" ht="17.25" customHeight="1" x14ac:dyDescent="0.2">
      <c r="A42">
        <v>40</v>
      </c>
      <c r="B42" s="11" t="s">
        <v>1090</v>
      </c>
      <c r="C42" s="11" t="s">
        <v>1214</v>
      </c>
      <c r="D42" s="11" t="s">
        <v>1216</v>
      </c>
      <c r="E42" s="11" t="s">
        <v>1098</v>
      </c>
      <c r="F42" s="11" t="s">
        <v>1215</v>
      </c>
      <c r="G42" s="162">
        <v>11.2</v>
      </c>
      <c r="H42" s="11" t="s">
        <v>1090</v>
      </c>
      <c r="I42" s="159" t="str">
        <f t="shared" si="0"/>
        <v/>
      </c>
    </row>
    <row r="43" spans="1:9" ht="17.25" customHeight="1" x14ac:dyDescent="0.2">
      <c r="A43">
        <v>41</v>
      </c>
      <c r="B43" s="11" t="s">
        <v>1090</v>
      </c>
      <c r="C43" s="11" t="s">
        <v>1217</v>
      </c>
      <c r="D43" s="11" t="s">
        <v>1219</v>
      </c>
      <c r="E43" s="11" t="s">
        <v>1094</v>
      </c>
      <c r="F43" s="11" t="s">
        <v>1218</v>
      </c>
      <c r="G43" s="162">
        <v>20</v>
      </c>
      <c r="H43" s="11" t="s">
        <v>1090</v>
      </c>
      <c r="I43" s="159" t="str">
        <f t="shared" si="0"/>
        <v/>
      </c>
    </row>
    <row r="44" spans="1:9" ht="17.25" customHeight="1" x14ac:dyDescent="0.2">
      <c r="A44">
        <v>42</v>
      </c>
      <c r="B44" s="11" t="s">
        <v>1090</v>
      </c>
      <c r="C44" s="11" t="s">
        <v>1220</v>
      </c>
      <c r="D44" s="11" t="s">
        <v>1222</v>
      </c>
      <c r="E44" s="11" t="s">
        <v>1094</v>
      </c>
      <c r="F44" s="11" t="s">
        <v>1221</v>
      </c>
      <c r="G44" s="162">
        <v>25</v>
      </c>
      <c r="H44" s="11" t="s">
        <v>1090</v>
      </c>
      <c r="I44" s="159" t="str">
        <f t="shared" si="0"/>
        <v/>
      </c>
    </row>
    <row r="45" spans="1:9" ht="17.25" customHeight="1" x14ac:dyDescent="0.2">
      <c r="A45">
        <v>43</v>
      </c>
      <c r="B45" s="11" t="s">
        <v>1090</v>
      </c>
      <c r="C45" s="11" t="s">
        <v>1223</v>
      </c>
      <c r="D45" s="11" t="s">
        <v>1225</v>
      </c>
      <c r="E45" s="11" t="s">
        <v>1098</v>
      </c>
      <c r="F45" s="11" t="s">
        <v>1224</v>
      </c>
      <c r="G45" s="162">
        <v>12.8</v>
      </c>
      <c r="H45" s="11" t="s">
        <v>1090</v>
      </c>
      <c r="I45" s="159" t="str">
        <f t="shared" si="0"/>
        <v/>
      </c>
    </row>
    <row r="46" spans="1:9" ht="17.25" customHeight="1" x14ac:dyDescent="0.2">
      <c r="A46">
        <v>44</v>
      </c>
      <c r="B46" s="11" t="s">
        <v>1090</v>
      </c>
      <c r="C46" s="11" t="s">
        <v>1226</v>
      </c>
      <c r="D46" s="11" t="s">
        <v>1228</v>
      </c>
      <c r="E46" s="11" t="s">
        <v>1098</v>
      </c>
      <c r="F46" s="11" t="s">
        <v>1227</v>
      </c>
      <c r="G46" s="162">
        <v>18.2</v>
      </c>
      <c r="H46" s="11" t="s">
        <v>1090</v>
      </c>
      <c r="I46" s="159" t="str">
        <f t="shared" si="0"/>
        <v/>
      </c>
    </row>
    <row r="47" spans="1:9" ht="17.25" customHeight="1" x14ac:dyDescent="0.2">
      <c r="A47">
        <v>45</v>
      </c>
      <c r="B47" s="11" t="s">
        <v>1090</v>
      </c>
      <c r="C47" s="11" t="s">
        <v>1229</v>
      </c>
      <c r="D47" s="11" t="s">
        <v>1231</v>
      </c>
      <c r="E47" s="11" t="s">
        <v>1098</v>
      </c>
      <c r="F47" s="11" t="s">
        <v>1230</v>
      </c>
      <c r="G47" s="162">
        <v>8.7360000000000007</v>
      </c>
      <c r="H47" s="11" t="s">
        <v>1090</v>
      </c>
      <c r="I47" s="159" t="str">
        <f t="shared" si="0"/>
        <v/>
      </c>
    </row>
    <row r="48" spans="1:9" ht="17.25" customHeight="1" x14ac:dyDescent="0.2">
      <c r="A48">
        <v>46</v>
      </c>
      <c r="B48" s="11" t="s">
        <v>1090</v>
      </c>
      <c r="C48" s="11" t="s">
        <v>1232</v>
      </c>
      <c r="D48" s="11" t="s">
        <v>1234</v>
      </c>
      <c r="E48" s="11" t="s">
        <v>1098</v>
      </c>
      <c r="F48" s="11" t="s">
        <v>1233</v>
      </c>
      <c r="G48" s="162">
        <v>14</v>
      </c>
      <c r="H48" s="11" t="s">
        <v>1090</v>
      </c>
      <c r="I48" s="159" t="str">
        <f t="shared" si="0"/>
        <v/>
      </c>
    </row>
    <row r="49" spans="1:9" ht="17.25" customHeight="1" x14ac:dyDescent="0.2">
      <c r="A49">
        <v>47</v>
      </c>
      <c r="B49" s="11" t="s">
        <v>1090</v>
      </c>
      <c r="C49" s="11" t="s">
        <v>1235</v>
      </c>
      <c r="D49" s="11" t="s">
        <v>1237</v>
      </c>
      <c r="E49" s="11" t="s">
        <v>1098</v>
      </c>
      <c r="F49" s="11" t="s">
        <v>1236</v>
      </c>
      <c r="G49" s="162">
        <v>14</v>
      </c>
      <c r="H49" s="11" t="s">
        <v>1090</v>
      </c>
      <c r="I49" s="159" t="str">
        <f t="shared" si="0"/>
        <v/>
      </c>
    </row>
    <row r="50" spans="1:9" ht="17.25" customHeight="1" x14ac:dyDescent="0.2">
      <c r="A50">
        <v>48</v>
      </c>
      <c r="B50" s="11" t="s">
        <v>1090</v>
      </c>
      <c r="C50" s="11" t="s">
        <v>1238</v>
      </c>
      <c r="D50" s="11" t="s">
        <v>1240</v>
      </c>
      <c r="E50" s="11" t="s">
        <v>1094</v>
      </c>
      <c r="F50" s="11" t="s">
        <v>1239</v>
      </c>
      <c r="G50" s="162">
        <v>250</v>
      </c>
      <c r="H50" s="11" t="s">
        <v>1090</v>
      </c>
      <c r="I50" s="159" t="str">
        <f t="shared" si="0"/>
        <v/>
      </c>
    </row>
    <row r="51" spans="1:9" ht="17.25" customHeight="1" x14ac:dyDescent="0.2">
      <c r="A51">
        <v>49</v>
      </c>
      <c r="B51" s="11" t="s">
        <v>1090</v>
      </c>
      <c r="C51" s="11" t="s">
        <v>1160</v>
      </c>
      <c r="D51" s="11" t="s">
        <v>1162</v>
      </c>
      <c r="E51" s="163" t="s">
        <v>1094</v>
      </c>
      <c r="F51" s="11" t="s">
        <v>1161</v>
      </c>
      <c r="G51" s="162">
        <v>18</v>
      </c>
      <c r="H51" s="11" t="s">
        <v>1090</v>
      </c>
      <c r="I51" s="159" t="str">
        <f t="shared" si="0"/>
        <v>Trùng</v>
      </c>
    </row>
    <row r="52" spans="1:9" ht="17.25" customHeight="1" x14ac:dyDescent="0.2">
      <c r="A52">
        <v>50</v>
      </c>
      <c r="B52" s="11" t="s">
        <v>1090</v>
      </c>
      <c r="C52" s="11" t="s">
        <v>1241</v>
      </c>
      <c r="D52" s="11" t="s">
        <v>1243</v>
      </c>
      <c r="E52" s="11" t="s">
        <v>1094</v>
      </c>
      <c r="F52" s="11" t="s">
        <v>1242</v>
      </c>
      <c r="G52" s="162">
        <v>20</v>
      </c>
      <c r="H52" s="11" t="s">
        <v>1090</v>
      </c>
      <c r="I52" s="159" t="str">
        <f t="shared" si="0"/>
        <v/>
      </c>
    </row>
    <row r="53" spans="1:9" ht="17.25" customHeight="1" x14ac:dyDescent="0.2">
      <c r="A53">
        <v>51</v>
      </c>
      <c r="B53" s="11" t="s">
        <v>1090</v>
      </c>
      <c r="C53" s="11" t="s">
        <v>1244</v>
      </c>
      <c r="D53" s="11" t="s">
        <v>1246</v>
      </c>
      <c r="E53" s="11" t="s">
        <v>1094</v>
      </c>
      <c r="F53" s="11" t="s">
        <v>1245</v>
      </c>
      <c r="G53" s="162">
        <v>25</v>
      </c>
      <c r="H53" s="11" t="s">
        <v>1090</v>
      </c>
      <c r="I53" s="159" t="str">
        <f t="shared" si="0"/>
        <v/>
      </c>
    </row>
    <row r="54" spans="1:9" ht="17.25" customHeight="1" x14ac:dyDescent="0.2">
      <c r="A54">
        <v>52</v>
      </c>
      <c r="B54" s="11" t="s">
        <v>1090</v>
      </c>
      <c r="C54" s="11" t="s">
        <v>1247</v>
      </c>
      <c r="D54" s="11" t="s">
        <v>1249</v>
      </c>
      <c r="E54" s="11" t="s">
        <v>1098</v>
      </c>
      <c r="F54" s="11" t="s">
        <v>1248</v>
      </c>
      <c r="G54" s="162">
        <v>10.92</v>
      </c>
      <c r="H54" s="11" t="s">
        <v>1090</v>
      </c>
      <c r="I54" s="159" t="str">
        <f t="shared" si="0"/>
        <v/>
      </c>
    </row>
    <row r="55" spans="1:9" ht="17.25" customHeight="1" x14ac:dyDescent="0.2">
      <c r="A55">
        <v>53</v>
      </c>
      <c r="B55" s="11" t="s">
        <v>1090</v>
      </c>
      <c r="C55" s="11" t="s">
        <v>1250</v>
      </c>
      <c r="D55" s="11" t="s">
        <v>1252</v>
      </c>
      <c r="E55" s="11" t="s">
        <v>1094</v>
      </c>
      <c r="F55" s="11" t="s">
        <v>1251</v>
      </c>
      <c r="G55" s="162">
        <v>25</v>
      </c>
      <c r="H55" s="11" t="s">
        <v>1090</v>
      </c>
      <c r="I55" s="159" t="str">
        <f t="shared" si="0"/>
        <v/>
      </c>
    </row>
    <row r="56" spans="1:9" ht="17.25" customHeight="1" x14ac:dyDescent="0.2">
      <c r="A56">
        <v>54</v>
      </c>
      <c r="B56" s="11" t="s">
        <v>1090</v>
      </c>
      <c r="C56" s="11" t="s">
        <v>1253</v>
      </c>
      <c r="D56" s="11" t="s">
        <v>1255</v>
      </c>
      <c r="E56" s="11" t="s">
        <v>1094</v>
      </c>
      <c r="F56" s="11" t="s">
        <v>1254</v>
      </c>
      <c r="G56" s="162">
        <v>25</v>
      </c>
      <c r="H56" s="11" t="s">
        <v>1090</v>
      </c>
      <c r="I56" s="159" t="str">
        <f t="shared" si="0"/>
        <v/>
      </c>
    </row>
    <row r="57" spans="1:9" ht="17.25" customHeight="1" x14ac:dyDescent="0.2">
      <c r="A57">
        <v>55</v>
      </c>
      <c r="B57" s="11" t="s">
        <v>1090</v>
      </c>
      <c r="C57" s="11" t="s">
        <v>1256</v>
      </c>
      <c r="D57" s="11" t="s">
        <v>1258</v>
      </c>
      <c r="E57" s="11" t="s">
        <v>1098</v>
      </c>
      <c r="F57" s="11" t="s">
        <v>1257</v>
      </c>
      <c r="G57" s="162">
        <v>13</v>
      </c>
      <c r="H57" s="11" t="s">
        <v>1090</v>
      </c>
      <c r="I57" s="159" t="str">
        <f t="shared" si="0"/>
        <v/>
      </c>
    </row>
    <row r="58" spans="1:9" ht="17.25" customHeight="1" x14ac:dyDescent="0.2">
      <c r="A58">
        <v>56</v>
      </c>
      <c r="B58" s="11" t="s">
        <v>1090</v>
      </c>
      <c r="C58" s="11" t="s">
        <v>1259</v>
      </c>
      <c r="D58" s="11" t="s">
        <v>1261</v>
      </c>
      <c r="E58" s="11" t="s">
        <v>1098</v>
      </c>
      <c r="F58" s="11" t="s">
        <v>1260</v>
      </c>
      <c r="G58" s="162">
        <v>18.2</v>
      </c>
      <c r="H58" s="11" t="s">
        <v>1090</v>
      </c>
      <c r="I58" s="159" t="str">
        <f t="shared" si="0"/>
        <v/>
      </c>
    </row>
    <row r="59" spans="1:9" ht="17.25" customHeight="1" x14ac:dyDescent="0.2">
      <c r="A59">
        <v>57</v>
      </c>
      <c r="B59" s="11" t="s">
        <v>1090</v>
      </c>
      <c r="C59" s="11" t="s">
        <v>1262</v>
      </c>
      <c r="D59" s="11" t="s">
        <v>1264</v>
      </c>
      <c r="E59" s="11" t="s">
        <v>1123</v>
      </c>
      <c r="F59" s="11" t="s">
        <v>1263</v>
      </c>
      <c r="G59" s="162">
        <v>25</v>
      </c>
      <c r="H59" s="11" t="s">
        <v>1090</v>
      </c>
      <c r="I59" s="159" t="str">
        <f t="shared" si="0"/>
        <v/>
      </c>
    </row>
    <row r="60" spans="1:9" ht="17.25" customHeight="1" x14ac:dyDescent="0.2">
      <c r="A60">
        <v>58</v>
      </c>
      <c r="B60" s="11" t="s">
        <v>1090</v>
      </c>
      <c r="C60" s="11" t="s">
        <v>1265</v>
      </c>
      <c r="D60" s="11" t="s">
        <v>1267</v>
      </c>
      <c r="E60" s="11" t="s">
        <v>1098</v>
      </c>
      <c r="F60" s="11" t="s">
        <v>1266</v>
      </c>
      <c r="G60" s="162">
        <v>9.61</v>
      </c>
      <c r="H60" s="11" t="s">
        <v>1090</v>
      </c>
      <c r="I60" s="159" t="str">
        <f t="shared" si="0"/>
        <v/>
      </c>
    </row>
    <row r="61" spans="1:9" ht="17.25" customHeight="1" x14ac:dyDescent="0.2">
      <c r="A61">
        <v>59</v>
      </c>
      <c r="B61" s="11" t="s">
        <v>1090</v>
      </c>
      <c r="C61" s="11" t="s">
        <v>1268</v>
      </c>
      <c r="D61" s="11" t="s">
        <v>1270</v>
      </c>
      <c r="E61" s="11" t="s">
        <v>1098</v>
      </c>
      <c r="F61" s="11" t="s">
        <v>1269</v>
      </c>
      <c r="G61" s="162">
        <v>13.6</v>
      </c>
      <c r="H61" s="11" t="s">
        <v>1090</v>
      </c>
      <c r="I61" s="159" t="str">
        <f t="shared" si="0"/>
        <v/>
      </c>
    </row>
    <row r="62" spans="1:9" ht="17.25" customHeight="1" x14ac:dyDescent="0.2">
      <c r="A62">
        <v>60</v>
      </c>
      <c r="B62" s="11" t="s">
        <v>1090</v>
      </c>
      <c r="C62" s="11" t="s">
        <v>1271</v>
      </c>
      <c r="D62" s="11" t="s">
        <v>1273</v>
      </c>
      <c r="E62" s="11" t="s">
        <v>1098</v>
      </c>
      <c r="F62" s="11" t="s">
        <v>1272</v>
      </c>
      <c r="G62" s="162">
        <v>14</v>
      </c>
      <c r="H62" s="11" t="s">
        <v>1090</v>
      </c>
      <c r="I62" s="159" t="str">
        <f t="shared" si="0"/>
        <v/>
      </c>
    </row>
    <row r="63" spans="1:9" ht="17.25" customHeight="1" x14ac:dyDescent="0.2">
      <c r="A63">
        <v>61</v>
      </c>
      <c r="B63" s="11" t="s">
        <v>1090</v>
      </c>
      <c r="C63" s="11" t="s">
        <v>1274</v>
      </c>
      <c r="D63" s="11" t="s">
        <v>1276</v>
      </c>
      <c r="E63" s="11" t="s">
        <v>1094</v>
      </c>
      <c r="F63" s="11" t="s">
        <v>1275</v>
      </c>
      <c r="G63" s="162">
        <v>1</v>
      </c>
      <c r="H63" s="11" t="s">
        <v>1090</v>
      </c>
      <c r="I63" s="159" t="str">
        <f t="shared" si="0"/>
        <v/>
      </c>
    </row>
    <row r="64" spans="1:9" ht="17.25" customHeight="1" x14ac:dyDescent="0.2">
      <c r="A64">
        <v>62</v>
      </c>
      <c r="B64" s="11" t="s">
        <v>1090</v>
      </c>
      <c r="C64" s="11" t="s">
        <v>1277</v>
      </c>
      <c r="D64" s="11" t="s">
        <v>1279</v>
      </c>
      <c r="E64" s="11" t="s">
        <v>1179</v>
      </c>
      <c r="F64" s="11" t="s">
        <v>1278</v>
      </c>
      <c r="G64" s="162">
        <v>9</v>
      </c>
      <c r="H64" s="11" t="s">
        <v>1090</v>
      </c>
      <c r="I64" s="159" t="str">
        <f t="shared" si="0"/>
        <v/>
      </c>
    </row>
    <row r="65" spans="1:9" ht="17.25" customHeight="1" x14ac:dyDescent="0.2">
      <c r="A65">
        <v>63</v>
      </c>
      <c r="B65" s="11" t="s">
        <v>1090</v>
      </c>
      <c r="C65" s="11" t="s">
        <v>1280</v>
      </c>
      <c r="D65" s="11" t="s">
        <v>1282</v>
      </c>
      <c r="E65" s="11" t="s">
        <v>1098</v>
      </c>
      <c r="F65" s="11" t="s">
        <v>1281</v>
      </c>
      <c r="G65" s="162">
        <v>10.92</v>
      </c>
      <c r="H65" s="11" t="s">
        <v>1090</v>
      </c>
      <c r="I65" s="159" t="str">
        <f t="shared" si="0"/>
        <v/>
      </c>
    </row>
    <row r="66" spans="1:9" ht="17.25" customHeight="1" x14ac:dyDescent="0.2">
      <c r="A66">
        <v>64</v>
      </c>
      <c r="B66" s="11" t="s">
        <v>1090</v>
      </c>
      <c r="C66" s="11" t="s">
        <v>1283</v>
      </c>
      <c r="D66" s="11" t="s">
        <v>1285</v>
      </c>
      <c r="E66" s="11" t="s">
        <v>1098</v>
      </c>
      <c r="F66" s="11" t="s">
        <v>1284</v>
      </c>
      <c r="G66" s="162">
        <v>10.92</v>
      </c>
      <c r="H66" s="11" t="s">
        <v>1090</v>
      </c>
      <c r="I66" s="159" t="str">
        <f t="shared" si="0"/>
        <v/>
      </c>
    </row>
    <row r="67" spans="1:9" ht="17.25" customHeight="1" x14ac:dyDescent="0.2">
      <c r="A67">
        <v>65</v>
      </c>
      <c r="B67" s="11" t="s">
        <v>1090</v>
      </c>
      <c r="C67" s="11" t="s">
        <v>1286</v>
      </c>
      <c r="D67" s="11" t="s">
        <v>1288</v>
      </c>
      <c r="E67" s="11" t="s">
        <v>1098</v>
      </c>
      <c r="F67" s="11" t="s">
        <v>1287</v>
      </c>
      <c r="G67" s="162">
        <v>10.92</v>
      </c>
      <c r="H67" s="11" t="s">
        <v>1090</v>
      </c>
      <c r="I67" s="159" t="str">
        <f t="shared" ref="I67:I130" si="1">IF(COUNTIF($C$3:$C$356, C67)&gt;1, "Trùng", "")</f>
        <v/>
      </c>
    </row>
    <row r="68" spans="1:9" ht="17.25" customHeight="1" x14ac:dyDescent="0.2">
      <c r="A68">
        <v>66</v>
      </c>
      <c r="B68" s="11" t="s">
        <v>1090</v>
      </c>
      <c r="C68" s="11" t="s">
        <v>1289</v>
      </c>
      <c r="D68" s="11" t="s">
        <v>1290</v>
      </c>
      <c r="E68" s="11" t="s">
        <v>1123</v>
      </c>
      <c r="F68" s="11" t="s">
        <v>1121</v>
      </c>
      <c r="G68" s="162">
        <v>25</v>
      </c>
      <c r="H68" s="11" t="s">
        <v>1090</v>
      </c>
      <c r="I68" s="159" t="str">
        <f t="shared" si="1"/>
        <v/>
      </c>
    </row>
    <row r="69" spans="1:9" ht="17.25" customHeight="1" x14ac:dyDescent="0.2">
      <c r="A69">
        <v>67</v>
      </c>
      <c r="B69" s="11" t="s">
        <v>1090</v>
      </c>
      <c r="C69" s="11" t="s">
        <v>1291</v>
      </c>
      <c r="D69" s="11" t="s">
        <v>1293</v>
      </c>
      <c r="E69" s="11" t="s">
        <v>1098</v>
      </c>
      <c r="F69" s="11" t="s">
        <v>1292</v>
      </c>
      <c r="G69" s="162">
        <v>4.0949999999999998</v>
      </c>
      <c r="H69" s="11" t="s">
        <v>1090</v>
      </c>
      <c r="I69" s="159" t="str">
        <f t="shared" si="1"/>
        <v/>
      </c>
    </row>
    <row r="70" spans="1:9" ht="17.25" customHeight="1" x14ac:dyDescent="0.2">
      <c r="A70">
        <v>68</v>
      </c>
      <c r="B70" s="11" t="s">
        <v>1090</v>
      </c>
      <c r="C70" s="11" t="s">
        <v>1294</v>
      </c>
      <c r="D70" s="11" t="s">
        <v>1296</v>
      </c>
      <c r="E70" s="11" t="s">
        <v>1098</v>
      </c>
      <c r="F70" s="11" t="s">
        <v>1295</v>
      </c>
      <c r="G70" s="162">
        <v>12.8</v>
      </c>
      <c r="H70" s="11" t="s">
        <v>1090</v>
      </c>
      <c r="I70" s="159" t="str">
        <f t="shared" si="1"/>
        <v/>
      </c>
    </row>
    <row r="71" spans="1:9" ht="17.25" customHeight="1" x14ac:dyDescent="0.2">
      <c r="A71">
        <v>69</v>
      </c>
      <c r="B71" s="11" t="s">
        <v>1090</v>
      </c>
      <c r="C71" s="11" t="s">
        <v>1297</v>
      </c>
      <c r="D71" s="11" t="s">
        <v>1299</v>
      </c>
      <c r="E71" s="11" t="s">
        <v>1098</v>
      </c>
      <c r="F71" s="11" t="s">
        <v>1298</v>
      </c>
      <c r="G71" s="162">
        <v>10.92</v>
      </c>
      <c r="H71" s="11" t="s">
        <v>1090</v>
      </c>
      <c r="I71" s="159" t="str">
        <f t="shared" si="1"/>
        <v/>
      </c>
    </row>
    <row r="72" spans="1:9" ht="17.25" customHeight="1" x14ac:dyDescent="0.2">
      <c r="A72">
        <v>70</v>
      </c>
      <c r="B72" s="11" t="s">
        <v>1090</v>
      </c>
      <c r="C72" s="11" t="s">
        <v>1300</v>
      </c>
      <c r="D72" s="11" t="s">
        <v>1302</v>
      </c>
      <c r="E72" s="11" t="s">
        <v>1098</v>
      </c>
      <c r="F72" s="11" t="s">
        <v>1301</v>
      </c>
      <c r="G72" s="162">
        <v>12.24</v>
      </c>
      <c r="H72" s="11" t="s">
        <v>1090</v>
      </c>
      <c r="I72" s="159" t="str">
        <f t="shared" si="1"/>
        <v/>
      </c>
    </row>
    <row r="73" spans="1:9" ht="17.25" customHeight="1" x14ac:dyDescent="0.2">
      <c r="A73">
        <v>71</v>
      </c>
      <c r="B73" s="11" t="s">
        <v>1090</v>
      </c>
      <c r="C73" s="11" t="s">
        <v>1303</v>
      </c>
      <c r="D73" s="11" t="s">
        <v>1305</v>
      </c>
      <c r="E73" s="11" t="s">
        <v>1098</v>
      </c>
      <c r="F73" s="11" t="s">
        <v>1304</v>
      </c>
      <c r="G73" s="162">
        <v>7.3440000000000003</v>
      </c>
      <c r="H73" s="11" t="s">
        <v>1090</v>
      </c>
      <c r="I73" s="159" t="str">
        <f t="shared" si="1"/>
        <v/>
      </c>
    </row>
    <row r="74" spans="1:9" ht="17.25" customHeight="1" x14ac:dyDescent="0.2">
      <c r="A74">
        <v>72</v>
      </c>
      <c r="B74" s="11" t="s">
        <v>1090</v>
      </c>
      <c r="C74" s="11" t="s">
        <v>1306</v>
      </c>
      <c r="D74" s="11" t="s">
        <v>1308</v>
      </c>
      <c r="E74" s="11" t="s">
        <v>1098</v>
      </c>
      <c r="F74" s="11" t="s">
        <v>1307</v>
      </c>
      <c r="G74" s="162">
        <v>7.3440000000000003</v>
      </c>
      <c r="H74" s="11" t="s">
        <v>1090</v>
      </c>
      <c r="I74" s="159" t="str">
        <f t="shared" si="1"/>
        <v/>
      </c>
    </row>
    <row r="75" spans="1:9" ht="17.25" customHeight="1" x14ac:dyDescent="0.2">
      <c r="A75">
        <v>73</v>
      </c>
      <c r="B75" s="11" t="s">
        <v>1090</v>
      </c>
      <c r="C75" s="11" t="s">
        <v>1309</v>
      </c>
      <c r="D75" s="11" t="s">
        <v>1311</v>
      </c>
      <c r="E75" s="11" t="s">
        <v>1098</v>
      </c>
      <c r="F75" s="11" t="s">
        <v>1310</v>
      </c>
      <c r="G75" s="162">
        <v>10.199999999999999</v>
      </c>
      <c r="H75" s="11" t="s">
        <v>1090</v>
      </c>
      <c r="I75" s="159" t="str">
        <f t="shared" si="1"/>
        <v/>
      </c>
    </row>
    <row r="76" spans="1:9" ht="17.25" customHeight="1" x14ac:dyDescent="0.2">
      <c r="A76">
        <v>74</v>
      </c>
      <c r="B76" s="11" t="s">
        <v>1090</v>
      </c>
      <c r="C76" s="11" t="s">
        <v>1312</v>
      </c>
      <c r="D76" s="11" t="s">
        <v>1314</v>
      </c>
      <c r="E76" s="11" t="s">
        <v>1094</v>
      </c>
      <c r="F76" s="11" t="s">
        <v>1313</v>
      </c>
      <c r="G76" s="162">
        <v>20</v>
      </c>
      <c r="H76" s="11" t="s">
        <v>1090</v>
      </c>
      <c r="I76" s="159" t="str">
        <f t="shared" si="1"/>
        <v/>
      </c>
    </row>
    <row r="77" spans="1:9" ht="17.25" customHeight="1" x14ac:dyDescent="0.2">
      <c r="A77">
        <v>75</v>
      </c>
      <c r="B77" s="11" t="s">
        <v>1090</v>
      </c>
      <c r="C77" s="11" t="s">
        <v>1315</v>
      </c>
      <c r="D77" s="11" t="s">
        <v>1316</v>
      </c>
      <c r="E77" s="11" t="s">
        <v>1098</v>
      </c>
      <c r="F77" s="11" t="s">
        <v>1112</v>
      </c>
      <c r="G77" s="162">
        <v>10.92</v>
      </c>
      <c r="H77" s="11" t="s">
        <v>1090</v>
      </c>
      <c r="I77" s="159" t="str">
        <f t="shared" si="1"/>
        <v/>
      </c>
    </row>
    <row r="78" spans="1:9" ht="17.25" customHeight="1" x14ac:dyDescent="0.2">
      <c r="A78">
        <v>76</v>
      </c>
      <c r="B78" s="11" t="s">
        <v>1090</v>
      </c>
      <c r="C78" s="11" t="s">
        <v>1317</v>
      </c>
      <c r="D78" s="11" t="s">
        <v>1319</v>
      </c>
      <c r="E78" s="11" t="s">
        <v>1098</v>
      </c>
      <c r="F78" s="11" t="s">
        <v>1318</v>
      </c>
      <c r="G78" s="162">
        <v>10.92</v>
      </c>
      <c r="H78" s="11" t="s">
        <v>1090</v>
      </c>
      <c r="I78" s="159" t="str">
        <f t="shared" si="1"/>
        <v/>
      </c>
    </row>
    <row r="79" spans="1:9" ht="17.25" customHeight="1" x14ac:dyDescent="0.2">
      <c r="A79">
        <v>77</v>
      </c>
      <c r="B79" s="11" t="s">
        <v>1090</v>
      </c>
      <c r="C79" s="11" t="s">
        <v>1320</v>
      </c>
      <c r="D79" s="11" t="s">
        <v>1322</v>
      </c>
      <c r="E79" s="11" t="s">
        <v>1098</v>
      </c>
      <c r="F79" s="11" t="s">
        <v>1321</v>
      </c>
      <c r="G79" s="162">
        <v>14</v>
      </c>
      <c r="H79" s="11" t="s">
        <v>1090</v>
      </c>
      <c r="I79" s="159" t="str">
        <f t="shared" si="1"/>
        <v/>
      </c>
    </row>
    <row r="80" spans="1:9" ht="17.25" customHeight="1" x14ac:dyDescent="0.2">
      <c r="A80">
        <v>78</v>
      </c>
      <c r="B80" s="11" t="s">
        <v>1090</v>
      </c>
      <c r="C80" s="11" t="s">
        <v>1323</v>
      </c>
      <c r="D80" s="11" t="s">
        <v>1325</v>
      </c>
      <c r="E80" s="11" t="s">
        <v>1098</v>
      </c>
      <c r="F80" s="11" t="s">
        <v>1324</v>
      </c>
      <c r="G80" s="162">
        <v>11.88</v>
      </c>
      <c r="H80" s="11" t="s">
        <v>1090</v>
      </c>
      <c r="I80" s="159" t="str">
        <f t="shared" si="1"/>
        <v/>
      </c>
    </row>
    <row r="81" spans="1:9" ht="17.25" customHeight="1" x14ac:dyDescent="0.2">
      <c r="A81">
        <v>79</v>
      </c>
      <c r="B81" s="11" t="s">
        <v>1090</v>
      </c>
      <c r="C81" s="11" t="s">
        <v>1326</v>
      </c>
      <c r="D81" s="11" t="s">
        <v>1328</v>
      </c>
      <c r="E81" s="11" t="s">
        <v>1098</v>
      </c>
      <c r="F81" s="11" t="s">
        <v>1327</v>
      </c>
      <c r="G81" s="162">
        <v>12.24</v>
      </c>
      <c r="H81" s="11" t="s">
        <v>1090</v>
      </c>
      <c r="I81" s="159" t="str">
        <f t="shared" si="1"/>
        <v/>
      </c>
    </row>
    <row r="82" spans="1:9" ht="17.25" customHeight="1" x14ac:dyDescent="0.2">
      <c r="A82">
        <v>80</v>
      </c>
      <c r="B82" s="11" t="s">
        <v>1090</v>
      </c>
      <c r="C82" s="11" t="s">
        <v>1329</v>
      </c>
      <c r="D82" s="11" t="s">
        <v>1331</v>
      </c>
      <c r="E82" s="11" t="s">
        <v>1098</v>
      </c>
      <c r="F82" s="11" t="s">
        <v>1330</v>
      </c>
      <c r="G82" s="162">
        <v>10.92</v>
      </c>
      <c r="H82" s="11" t="s">
        <v>1090</v>
      </c>
      <c r="I82" s="159" t="str">
        <f t="shared" si="1"/>
        <v/>
      </c>
    </row>
    <row r="83" spans="1:9" ht="17.25" customHeight="1" x14ac:dyDescent="0.2">
      <c r="A83">
        <v>81</v>
      </c>
      <c r="B83" s="11" t="s">
        <v>1090</v>
      </c>
      <c r="C83" s="11" t="s">
        <v>1332</v>
      </c>
      <c r="D83" s="11" t="s">
        <v>1334</v>
      </c>
      <c r="E83" s="11" t="s">
        <v>1098</v>
      </c>
      <c r="F83" s="11" t="s">
        <v>1333</v>
      </c>
      <c r="G83" s="162">
        <v>10.92</v>
      </c>
      <c r="H83" s="11" t="s">
        <v>1090</v>
      </c>
      <c r="I83" s="159" t="str">
        <f t="shared" si="1"/>
        <v/>
      </c>
    </row>
    <row r="84" spans="1:9" ht="17.25" customHeight="1" x14ac:dyDescent="0.2">
      <c r="A84">
        <v>82</v>
      </c>
      <c r="B84" s="11" t="s">
        <v>1090</v>
      </c>
      <c r="C84" s="11" t="s">
        <v>1335</v>
      </c>
      <c r="D84" s="11" t="s">
        <v>1336</v>
      </c>
      <c r="E84" s="11" t="s">
        <v>1098</v>
      </c>
      <c r="F84" s="11" t="s">
        <v>1109</v>
      </c>
      <c r="G84" s="162">
        <v>10.92</v>
      </c>
      <c r="H84" s="11" t="s">
        <v>1090</v>
      </c>
      <c r="I84" s="159" t="str">
        <f t="shared" si="1"/>
        <v/>
      </c>
    </row>
    <row r="85" spans="1:9" ht="17.25" customHeight="1" x14ac:dyDescent="0.2">
      <c r="A85">
        <v>83</v>
      </c>
      <c r="B85" s="11" t="s">
        <v>1090</v>
      </c>
      <c r="C85" s="11" t="s">
        <v>1337</v>
      </c>
      <c r="D85" s="11" t="s">
        <v>1338</v>
      </c>
      <c r="E85" s="11" t="s">
        <v>1098</v>
      </c>
      <c r="F85" s="11" t="s">
        <v>1287</v>
      </c>
      <c r="G85" s="162">
        <v>10.92</v>
      </c>
      <c r="H85" s="11" t="s">
        <v>1090</v>
      </c>
      <c r="I85" s="159" t="str">
        <f t="shared" si="1"/>
        <v/>
      </c>
    </row>
    <row r="86" spans="1:9" ht="17.25" customHeight="1" x14ac:dyDescent="0.2">
      <c r="A86">
        <v>84</v>
      </c>
      <c r="B86" s="11" t="s">
        <v>1090</v>
      </c>
      <c r="C86" s="11" t="s">
        <v>1339</v>
      </c>
      <c r="D86" s="11" t="s">
        <v>1341</v>
      </c>
      <c r="E86" s="11" t="s">
        <v>1094</v>
      </c>
      <c r="F86" s="11" t="s">
        <v>1340</v>
      </c>
      <c r="G86" s="162">
        <v>25</v>
      </c>
      <c r="H86" s="11" t="s">
        <v>1090</v>
      </c>
      <c r="I86" s="159" t="str">
        <f t="shared" si="1"/>
        <v/>
      </c>
    </row>
    <row r="87" spans="1:9" ht="17.25" customHeight="1" x14ac:dyDescent="0.2">
      <c r="A87">
        <v>85</v>
      </c>
      <c r="B87" s="11" t="s">
        <v>1090</v>
      </c>
      <c r="C87" s="11" t="s">
        <v>1342</v>
      </c>
      <c r="D87" s="11" t="s">
        <v>1344</v>
      </c>
      <c r="E87" s="11" t="s">
        <v>1098</v>
      </c>
      <c r="F87" s="11" t="s">
        <v>1343</v>
      </c>
      <c r="G87" s="162">
        <v>11.904</v>
      </c>
      <c r="H87" s="11" t="s">
        <v>1090</v>
      </c>
      <c r="I87" s="159" t="str">
        <f t="shared" si="1"/>
        <v/>
      </c>
    </row>
    <row r="88" spans="1:9" ht="17.25" customHeight="1" x14ac:dyDescent="0.2">
      <c r="A88">
        <v>86</v>
      </c>
      <c r="B88" s="11" t="s">
        <v>1090</v>
      </c>
      <c r="C88" s="11" t="s">
        <v>1345</v>
      </c>
      <c r="D88" s="11" t="s">
        <v>1347</v>
      </c>
      <c r="E88" s="11" t="s">
        <v>1098</v>
      </c>
      <c r="F88" s="11" t="s">
        <v>1346</v>
      </c>
      <c r="G88" s="162">
        <v>10.92</v>
      </c>
      <c r="H88" s="11" t="s">
        <v>1090</v>
      </c>
      <c r="I88" s="159" t="str">
        <f t="shared" si="1"/>
        <v/>
      </c>
    </row>
    <row r="89" spans="1:9" ht="17.25" customHeight="1" x14ac:dyDescent="0.2">
      <c r="A89">
        <v>87</v>
      </c>
      <c r="B89" s="11" t="s">
        <v>1090</v>
      </c>
      <c r="C89" s="11" t="s">
        <v>1348</v>
      </c>
      <c r="D89" s="11" t="s">
        <v>1350</v>
      </c>
      <c r="E89" s="11" t="s">
        <v>1098</v>
      </c>
      <c r="F89" s="11" t="s">
        <v>1349</v>
      </c>
      <c r="G89" s="162">
        <v>18.2</v>
      </c>
      <c r="H89" s="11" t="s">
        <v>1090</v>
      </c>
      <c r="I89" s="159" t="str">
        <f t="shared" si="1"/>
        <v/>
      </c>
    </row>
    <row r="90" spans="1:9" ht="17.25" customHeight="1" x14ac:dyDescent="0.2">
      <c r="A90">
        <v>88</v>
      </c>
      <c r="B90" s="11" t="s">
        <v>1090</v>
      </c>
      <c r="C90" s="11" t="s">
        <v>1351</v>
      </c>
      <c r="D90" s="11" t="s">
        <v>1353</v>
      </c>
      <c r="E90" s="11" t="s">
        <v>1094</v>
      </c>
      <c r="F90" s="11" t="s">
        <v>1352</v>
      </c>
      <c r="G90" s="162">
        <v>1</v>
      </c>
      <c r="H90" s="11" t="s">
        <v>1090</v>
      </c>
      <c r="I90" s="159" t="str">
        <f t="shared" si="1"/>
        <v/>
      </c>
    </row>
    <row r="91" spans="1:9" ht="17.25" customHeight="1" x14ac:dyDescent="0.2">
      <c r="A91">
        <v>89</v>
      </c>
      <c r="B91" s="11" t="s">
        <v>1090</v>
      </c>
      <c r="C91" s="11" t="s">
        <v>1354</v>
      </c>
      <c r="D91" s="11" t="s">
        <v>1356</v>
      </c>
      <c r="E91" s="11" t="s">
        <v>1098</v>
      </c>
      <c r="F91" s="11" t="s">
        <v>1355</v>
      </c>
      <c r="G91" s="162">
        <v>10.92</v>
      </c>
      <c r="H91" s="11" t="s">
        <v>1090</v>
      </c>
      <c r="I91" s="159" t="str">
        <f t="shared" si="1"/>
        <v/>
      </c>
    </row>
    <row r="92" spans="1:9" ht="17.25" customHeight="1" x14ac:dyDescent="0.2">
      <c r="A92">
        <v>90</v>
      </c>
      <c r="B92" s="11" t="s">
        <v>1090</v>
      </c>
      <c r="C92" s="11" t="s">
        <v>1357</v>
      </c>
      <c r="D92" s="11" t="s">
        <v>1359</v>
      </c>
      <c r="E92" s="11" t="s">
        <v>1098</v>
      </c>
      <c r="F92" s="11" t="s">
        <v>1358</v>
      </c>
      <c r="G92" s="162">
        <v>10.92</v>
      </c>
      <c r="H92" s="11" t="s">
        <v>1090</v>
      </c>
      <c r="I92" s="159" t="str">
        <f t="shared" si="1"/>
        <v/>
      </c>
    </row>
    <row r="93" spans="1:9" ht="17.25" customHeight="1" x14ac:dyDescent="0.2">
      <c r="A93">
        <v>91</v>
      </c>
      <c r="B93" s="11" t="s">
        <v>1090</v>
      </c>
      <c r="C93" s="11" t="s">
        <v>1360</v>
      </c>
      <c r="D93" s="11" t="s">
        <v>1362</v>
      </c>
      <c r="E93" s="11" t="s">
        <v>1363</v>
      </c>
      <c r="F93" s="11" t="s">
        <v>1361</v>
      </c>
      <c r="G93" s="162">
        <v>0</v>
      </c>
      <c r="H93" s="11" t="s">
        <v>1090</v>
      </c>
      <c r="I93" s="159" t="str">
        <f t="shared" si="1"/>
        <v/>
      </c>
    </row>
    <row r="94" spans="1:9" ht="17.25" customHeight="1" x14ac:dyDescent="0.2">
      <c r="A94">
        <v>92</v>
      </c>
      <c r="B94" s="11" t="s">
        <v>1090</v>
      </c>
      <c r="C94" s="11" t="s">
        <v>1364</v>
      </c>
      <c r="D94" s="11" t="s">
        <v>1366</v>
      </c>
      <c r="E94" s="11" t="s">
        <v>1098</v>
      </c>
      <c r="F94" s="11" t="s">
        <v>1365</v>
      </c>
      <c r="G94" s="162">
        <v>10.92</v>
      </c>
      <c r="H94" s="11" t="s">
        <v>1090</v>
      </c>
      <c r="I94" s="159" t="str">
        <f t="shared" si="1"/>
        <v/>
      </c>
    </row>
    <row r="95" spans="1:9" ht="17.25" customHeight="1" x14ac:dyDescent="0.2">
      <c r="A95">
        <v>93</v>
      </c>
      <c r="B95" s="11" t="s">
        <v>1090</v>
      </c>
      <c r="C95" s="11" t="s">
        <v>1367</v>
      </c>
      <c r="D95" s="11" t="s">
        <v>1369</v>
      </c>
      <c r="E95" s="11" t="s">
        <v>1098</v>
      </c>
      <c r="F95" s="11" t="s">
        <v>1368</v>
      </c>
      <c r="G95" s="162">
        <v>10.92</v>
      </c>
      <c r="H95" s="11" t="s">
        <v>1090</v>
      </c>
      <c r="I95" s="159" t="str">
        <f t="shared" si="1"/>
        <v/>
      </c>
    </row>
    <row r="96" spans="1:9" ht="17.25" customHeight="1" x14ac:dyDescent="0.2">
      <c r="A96">
        <v>94</v>
      </c>
      <c r="B96" s="11" t="s">
        <v>1090</v>
      </c>
      <c r="C96" s="11" t="s">
        <v>1370</v>
      </c>
      <c r="D96" s="11" t="s">
        <v>1372</v>
      </c>
      <c r="E96" s="11" t="s">
        <v>1098</v>
      </c>
      <c r="F96" s="11" t="s">
        <v>1371</v>
      </c>
      <c r="G96" s="162">
        <v>18.2</v>
      </c>
      <c r="H96" s="11" t="s">
        <v>1090</v>
      </c>
      <c r="I96" s="159" t="str">
        <f t="shared" si="1"/>
        <v/>
      </c>
    </row>
    <row r="97" spans="1:9" ht="17.25" customHeight="1" x14ac:dyDescent="0.2">
      <c r="A97">
        <v>95</v>
      </c>
      <c r="B97" s="11" t="s">
        <v>1090</v>
      </c>
      <c r="C97" s="11" t="s">
        <v>1373</v>
      </c>
      <c r="D97" s="11" t="s">
        <v>1375</v>
      </c>
      <c r="E97" s="11" t="s">
        <v>1098</v>
      </c>
      <c r="F97" s="11" t="s">
        <v>1374</v>
      </c>
      <c r="G97" s="162">
        <v>8.7360000000000007</v>
      </c>
      <c r="H97" s="11" t="s">
        <v>1090</v>
      </c>
      <c r="I97" s="159" t="str">
        <f t="shared" si="1"/>
        <v/>
      </c>
    </row>
    <row r="98" spans="1:9" ht="17.25" customHeight="1" x14ac:dyDescent="0.2">
      <c r="A98">
        <v>96</v>
      </c>
      <c r="B98" s="11" t="s">
        <v>1090</v>
      </c>
      <c r="C98" s="11" t="s">
        <v>1376</v>
      </c>
      <c r="D98" s="11" t="s">
        <v>1377</v>
      </c>
      <c r="E98" s="11" t="s">
        <v>1098</v>
      </c>
      <c r="F98" s="11" t="s">
        <v>1115</v>
      </c>
      <c r="G98" s="162">
        <v>18.2</v>
      </c>
      <c r="H98" s="11" t="s">
        <v>1090</v>
      </c>
      <c r="I98" s="159" t="str">
        <f t="shared" si="1"/>
        <v/>
      </c>
    </row>
    <row r="99" spans="1:9" ht="17.25" customHeight="1" x14ac:dyDescent="0.2">
      <c r="A99">
        <v>97</v>
      </c>
      <c r="B99" s="11" t="s">
        <v>1090</v>
      </c>
      <c r="C99" s="11" t="s">
        <v>1378</v>
      </c>
      <c r="D99" s="11" t="s">
        <v>1379</v>
      </c>
      <c r="E99" s="11" t="s">
        <v>1123</v>
      </c>
      <c r="F99" s="11" t="s">
        <v>1125</v>
      </c>
      <c r="G99" s="162">
        <v>25</v>
      </c>
      <c r="H99" s="11" t="s">
        <v>1090</v>
      </c>
      <c r="I99" s="159" t="str">
        <f t="shared" si="1"/>
        <v/>
      </c>
    </row>
    <row r="100" spans="1:9" ht="17.25" customHeight="1" x14ac:dyDescent="0.2">
      <c r="A100">
        <v>98</v>
      </c>
      <c r="B100" s="11" t="s">
        <v>1090</v>
      </c>
      <c r="C100" s="11" t="s">
        <v>1380</v>
      </c>
      <c r="D100" s="11" t="s">
        <v>1382</v>
      </c>
      <c r="E100" s="11" t="s">
        <v>1094</v>
      </c>
      <c r="F100" s="11" t="s">
        <v>1381</v>
      </c>
      <c r="G100" s="162">
        <v>18</v>
      </c>
      <c r="H100" s="11" t="s">
        <v>1090</v>
      </c>
      <c r="I100" s="159" t="str">
        <f t="shared" si="1"/>
        <v/>
      </c>
    </row>
    <row r="101" spans="1:9" ht="17.25" customHeight="1" x14ac:dyDescent="0.2">
      <c r="A101">
        <v>99</v>
      </c>
      <c r="B101" s="11" t="s">
        <v>1090</v>
      </c>
      <c r="C101" s="11" t="s">
        <v>1383</v>
      </c>
      <c r="D101" s="11" t="s">
        <v>1385</v>
      </c>
      <c r="E101" s="11" t="s">
        <v>1094</v>
      </c>
      <c r="F101" s="11" t="s">
        <v>1384</v>
      </c>
      <c r="G101" s="162">
        <v>20</v>
      </c>
      <c r="H101" s="11" t="s">
        <v>1090</v>
      </c>
      <c r="I101" s="159" t="str">
        <f t="shared" si="1"/>
        <v/>
      </c>
    </row>
    <row r="102" spans="1:9" ht="17.25" customHeight="1" x14ac:dyDescent="0.2">
      <c r="A102">
        <v>100</v>
      </c>
      <c r="B102" s="11" t="s">
        <v>1090</v>
      </c>
      <c r="C102" s="11" t="s">
        <v>1386</v>
      </c>
      <c r="D102" s="11" t="s">
        <v>1388</v>
      </c>
      <c r="E102" s="11" t="s">
        <v>1098</v>
      </c>
      <c r="F102" s="11" t="s">
        <v>1387</v>
      </c>
      <c r="G102" s="162">
        <v>10</v>
      </c>
      <c r="H102" s="11" t="s">
        <v>1090</v>
      </c>
      <c r="I102" s="159" t="str">
        <f t="shared" si="1"/>
        <v/>
      </c>
    </row>
    <row r="103" spans="1:9" ht="17.25" customHeight="1" x14ac:dyDescent="0.2">
      <c r="A103">
        <v>101</v>
      </c>
      <c r="B103" s="11" t="s">
        <v>1090</v>
      </c>
      <c r="C103" s="11" t="s">
        <v>1389</v>
      </c>
      <c r="D103" s="11" t="s">
        <v>1391</v>
      </c>
      <c r="E103" s="11" t="s">
        <v>1098</v>
      </c>
      <c r="F103" s="11" t="s">
        <v>1390</v>
      </c>
      <c r="G103" s="162">
        <v>10</v>
      </c>
      <c r="H103" s="11" t="s">
        <v>1090</v>
      </c>
      <c r="I103" s="159" t="str">
        <f t="shared" si="1"/>
        <v/>
      </c>
    </row>
    <row r="104" spans="1:9" ht="17.25" customHeight="1" x14ac:dyDescent="0.2">
      <c r="A104">
        <v>102</v>
      </c>
      <c r="B104" s="11" t="s">
        <v>1090</v>
      </c>
      <c r="C104" s="11" t="s">
        <v>1392</v>
      </c>
      <c r="D104" s="11" t="s">
        <v>1394</v>
      </c>
      <c r="E104" s="11" t="s">
        <v>1094</v>
      </c>
      <c r="F104" s="11" t="s">
        <v>1393</v>
      </c>
      <c r="G104" s="162">
        <v>18</v>
      </c>
      <c r="H104" s="11" t="s">
        <v>1090</v>
      </c>
      <c r="I104" s="159" t="str">
        <f t="shared" si="1"/>
        <v/>
      </c>
    </row>
    <row r="105" spans="1:9" ht="17.25" customHeight="1" x14ac:dyDescent="0.2">
      <c r="A105">
        <v>103</v>
      </c>
      <c r="B105" s="11" t="s">
        <v>1090</v>
      </c>
      <c r="C105" s="11" t="s">
        <v>1395</v>
      </c>
      <c r="D105" s="11" t="s">
        <v>1397</v>
      </c>
      <c r="E105" s="11" t="s">
        <v>1094</v>
      </c>
      <c r="F105" s="11" t="s">
        <v>1396</v>
      </c>
      <c r="G105" s="162">
        <v>25</v>
      </c>
      <c r="H105" s="11" t="s">
        <v>1090</v>
      </c>
      <c r="I105" s="159" t="str">
        <f t="shared" si="1"/>
        <v/>
      </c>
    </row>
    <row r="106" spans="1:9" ht="17.25" customHeight="1" x14ac:dyDescent="0.2">
      <c r="A106">
        <v>104</v>
      </c>
      <c r="B106" s="11" t="s">
        <v>1090</v>
      </c>
      <c r="C106" s="11" t="s">
        <v>1398</v>
      </c>
      <c r="D106" s="11" t="s">
        <v>1400</v>
      </c>
      <c r="E106" s="11" t="s">
        <v>1098</v>
      </c>
      <c r="F106" s="11" t="s">
        <v>1399</v>
      </c>
      <c r="G106" s="162">
        <v>18</v>
      </c>
      <c r="H106" s="11" t="s">
        <v>1090</v>
      </c>
      <c r="I106" s="159" t="str">
        <f t="shared" si="1"/>
        <v/>
      </c>
    </row>
    <row r="107" spans="1:9" ht="17.25" customHeight="1" x14ac:dyDescent="0.2">
      <c r="A107">
        <v>105</v>
      </c>
      <c r="B107" s="11" t="s">
        <v>1090</v>
      </c>
      <c r="C107" s="11" t="s">
        <v>1401</v>
      </c>
      <c r="D107" s="11" t="s">
        <v>1403</v>
      </c>
      <c r="E107" s="11" t="s">
        <v>1098</v>
      </c>
      <c r="F107" s="11" t="s">
        <v>1402</v>
      </c>
      <c r="G107" s="162">
        <v>18</v>
      </c>
      <c r="H107" s="11" t="s">
        <v>1090</v>
      </c>
      <c r="I107" s="159" t="str">
        <f t="shared" si="1"/>
        <v/>
      </c>
    </row>
    <row r="108" spans="1:9" ht="17.25" customHeight="1" x14ac:dyDescent="0.2">
      <c r="A108">
        <v>106</v>
      </c>
      <c r="B108" s="11" t="s">
        <v>1090</v>
      </c>
      <c r="C108" s="11" t="s">
        <v>1404</v>
      </c>
      <c r="D108" s="11" t="s">
        <v>1406</v>
      </c>
      <c r="E108" s="11" t="s">
        <v>1098</v>
      </c>
      <c r="F108" s="11" t="s">
        <v>1405</v>
      </c>
      <c r="G108" s="162">
        <v>18</v>
      </c>
      <c r="H108" s="11" t="s">
        <v>1090</v>
      </c>
      <c r="I108" s="159" t="str">
        <f t="shared" si="1"/>
        <v/>
      </c>
    </row>
    <row r="109" spans="1:9" ht="17.25" customHeight="1" x14ac:dyDescent="0.2">
      <c r="A109">
        <v>107</v>
      </c>
      <c r="B109" s="11" t="s">
        <v>1090</v>
      </c>
      <c r="C109" s="11" t="s">
        <v>1407</v>
      </c>
      <c r="D109" s="11" t="s">
        <v>1409</v>
      </c>
      <c r="E109" s="11" t="s">
        <v>1098</v>
      </c>
      <c r="F109" s="11" t="s">
        <v>1408</v>
      </c>
      <c r="G109" s="162">
        <v>8.7360000000000007</v>
      </c>
      <c r="H109" s="11" t="s">
        <v>1090</v>
      </c>
      <c r="I109" s="159" t="str">
        <f t="shared" si="1"/>
        <v/>
      </c>
    </row>
    <row r="110" spans="1:9" ht="17.25" customHeight="1" x14ac:dyDescent="0.2">
      <c r="A110">
        <v>108</v>
      </c>
      <c r="B110" s="11" t="s">
        <v>1090</v>
      </c>
      <c r="C110" s="11" t="s">
        <v>1410</v>
      </c>
      <c r="D110" s="11" t="s">
        <v>1412</v>
      </c>
      <c r="E110" s="11" t="s">
        <v>1098</v>
      </c>
      <c r="F110" s="11" t="s">
        <v>1411</v>
      </c>
      <c r="G110" s="162">
        <v>20</v>
      </c>
      <c r="H110" s="11" t="s">
        <v>1090</v>
      </c>
      <c r="I110" s="159" t="str">
        <f t="shared" si="1"/>
        <v/>
      </c>
    </row>
    <row r="111" spans="1:9" ht="17.25" customHeight="1" x14ac:dyDescent="0.2">
      <c r="A111">
        <v>109</v>
      </c>
      <c r="B111" s="11" t="s">
        <v>1090</v>
      </c>
      <c r="C111" s="11" t="s">
        <v>1413</v>
      </c>
      <c r="D111" s="11" t="s">
        <v>1415</v>
      </c>
      <c r="E111" s="11" t="s">
        <v>1094</v>
      </c>
      <c r="F111" s="11" t="s">
        <v>1414</v>
      </c>
      <c r="G111" s="162">
        <v>15</v>
      </c>
      <c r="H111" s="11" t="s">
        <v>1090</v>
      </c>
      <c r="I111" s="159" t="str">
        <f t="shared" si="1"/>
        <v/>
      </c>
    </row>
    <row r="112" spans="1:9" ht="17.25" customHeight="1" x14ac:dyDescent="0.2">
      <c r="A112">
        <v>110</v>
      </c>
      <c r="B112" s="11" t="s">
        <v>1090</v>
      </c>
      <c r="C112" s="11" t="s">
        <v>1416</v>
      </c>
      <c r="D112" s="11" t="s">
        <v>1418</v>
      </c>
      <c r="E112" s="11" t="s">
        <v>1094</v>
      </c>
      <c r="F112" s="11" t="s">
        <v>1417</v>
      </c>
      <c r="G112" s="162">
        <v>18</v>
      </c>
      <c r="H112" s="11" t="s">
        <v>1090</v>
      </c>
      <c r="I112" s="159" t="str">
        <f t="shared" si="1"/>
        <v/>
      </c>
    </row>
    <row r="113" spans="1:9" ht="17.25" customHeight="1" x14ac:dyDescent="0.2">
      <c r="A113">
        <v>111</v>
      </c>
      <c r="B113" s="11" t="s">
        <v>1090</v>
      </c>
      <c r="C113" s="11" t="s">
        <v>1419</v>
      </c>
      <c r="D113" s="11" t="s">
        <v>1421</v>
      </c>
      <c r="E113" s="11" t="s">
        <v>1094</v>
      </c>
      <c r="F113" s="11" t="s">
        <v>1420</v>
      </c>
      <c r="G113" s="162">
        <v>250</v>
      </c>
      <c r="H113" s="11" t="s">
        <v>1090</v>
      </c>
      <c r="I113" s="159" t="str">
        <f t="shared" si="1"/>
        <v/>
      </c>
    </row>
    <row r="114" spans="1:9" ht="17.25" customHeight="1" x14ac:dyDescent="0.2">
      <c r="A114">
        <v>112</v>
      </c>
      <c r="B114" s="11" t="s">
        <v>1090</v>
      </c>
      <c r="C114" s="11" t="s">
        <v>1422</v>
      </c>
      <c r="D114" s="11" t="s">
        <v>1424</v>
      </c>
      <c r="E114" s="11" t="s">
        <v>1098</v>
      </c>
      <c r="F114" s="11" t="s">
        <v>1423</v>
      </c>
      <c r="G114" s="162">
        <v>18</v>
      </c>
      <c r="H114" s="11" t="s">
        <v>1090</v>
      </c>
      <c r="I114" s="159" t="str">
        <f t="shared" si="1"/>
        <v/>
      </c>
    </row>
    <row r="115" spans="1:9" ht="17.25" customHeight="1" x14ac:dyDescent="0.2">
      <c r="A115">
        <v>113</v>
      </c>
      <c r="B115" s="11" t="s">
        <v>1090</v>
      </c>
      <c r="C115" s="11" t="s">
        <v>1425</v>
      </c>
      <c r="D115" s="11" t="s">
        <v>1427</v>
      </c>
      <c r="E115" s="11" t="s">
        <v>1098</v>
      </c>
      <c r="F115" s="11" t="s">
        <v>1426</v>
      </c>
      <c r="G115" s="162">
        <v>18</v>
      </c>
      <c r="H115" s="11" t="s">
        <v>1090</v>
      </c>
      <c r="I115" s="159" t="str">
        <f t="shared" si="1"/>
        <v/>
      </c>
    </row>
    <row r="116" spans="1:9" ht="17.25" customHeight="1" x14ac:dyDescent="0.2">
      <c r="A116">
        <v>114</v>
      </c>
      <c r="B116" s="11" t="s">
        <v>1090</v>
      </c>
      <c r="C116" s="11" t="s">
        <v>1428</v>
      </c>
      <c r="D116" s="11" t="s">
        <v>1430</v>
      </c>
      <c r="E116" s="11" t="s">
        <v>1094</v>
      </c>
      <c r="F116" s="11" t="s">
        <v>1429</v>
      </c>
      <c r="G116" s="162">
        <v>20</v>
      </c>
      <c r="H116" s="11" t="s">
        <v>1090</v>
      </c>
      <c r="I116" s="159" t="str">
        <f t="shared" si="1"/>
        <v/>
      </c>
    </row>
    <row r="117" spans="1:9" ht="17.25" customHeight="1" x14ac:dyDescent="0.2">
      <c r="A117">
        <v>115</v>
      </c>
      <c r="B117" s="11" t="s">
        <v>1090</v>
      </c>
      <c r="C117" s="11" t="s">
        <v>1431</v>
      </c>
      <c r="D117" s="11" t="s">
        <v>1433</v>
      </c>
      <c r="E117" s="11" t="s">
        <v>1098</v>
      </c>
      <c r="F117" s="11" t="s">
        <v>1432</v>
      </c>
      <c r="G117" s="162">
        <v>12.8</v>
      </c>
      <c r="H117" s="11" t="s">
        <v>1090</v>
      </c>
      <c r="I117" s="159" t="str">
        <f t="shared" si="1"/>
        <v/>
      </c>
    </row>
    <row r="118" spans="1:9" ht="17.25" customHeight="1" x14ac:dyDescent="0.2">
      <c r="A118">
        <v>116</v>
      </c>
      <c r="B118" s="11" t="s">
        <v>1090</v>
      </c>
      <c r="C118" s="11" t="s">
        <v>1434</v>
      </c>
      <c r="D118" s="11" t="s">
        <v>1436</v>
      </c>
      <c r="E118" s="11" t="s">
        <v>1210</v>
      </c>
      <c r="F118" s="11" t="s">
        <v>1435</v>
      </c>
      <c r="G118" s="162">
        <v>12.6</v>
      </c>
      <c r="H118" s="11" t="s">
        <v>1090</v>
      </c>
      <c r="I118" s="159" t="str">
        <f t="shared" si="1"/>
        <v/>
      </c>
    </row>
    <row r="119" spans="1:9" ht="17.25" customHeight="1" x14ac:dyDescent="0.2">
      <c r="A119">
        <v>117</v>
      </c>
      <c r="B119" s="11" t="s">
        <v>1090</v>
      </c>
      <c r="C119" s="11" t="s">
        <v>1437</v>
      </c>
      <c r="D119" s="11" t="s">
        <v>1438</v>
      </c>
      <c r="E119" s="11" t="s">
        <v>1098</v>
      </c>
      <c r="F119" s="11" t="s">
        <v>1349</v>
      </c>
      <c r="G119" s="162">
        <v>18.2</v>
      </c>
      <c r="H119" s="11" t="s">
        <v>1090</v>
      </c>
      <c r="I119" s="159" t="str">
        <f t="shared" si="1"/>
        <v/>
      </c>
    </row>
    <row r="120" spans="1:9" ht="17.25" customHeight="1" x14ac:dyDescent="0.2">
      <c r="A120">
        <v>118</v>
      </c>
      <c r="B120" s="11" t="s">
        <v>1090</v>
      </c>
      <c r="C120" s="11" t="s">
        <v>1439</v>
      </c>
      <c r="D120" s="11" t="s">
        <v>1441</v>
      </c>
      <c r="E120" s="11" t="s">
        <v>1098</v>
      </c>
      <c r="F120" s="11" t="s">
        <v>1440</v>
      </c>
      <c r="G120" s="162">
        <v>18</v>
      </c>
      <c r="H120" s="11" t="s">
        <v>1090</v>
      </c>
      <c r="I120" s="159" t="str">
        <f t="shared" si="1"/>
        <v/>
      </c>
    </row>
    <row r="121" spans="1:9" ht="17.25" customHeight="1" x14ac:dyDescent="0.2">
      <c r="A121">
        <v>119</v>
      </c>
      <c r="B121" s="11" t="s">
        <v>1090</v>
      </c>
      <c r="C121" s="11" t="s">
        <v>1442</v>
      </c>
      <c r="D121" s="11" t="s">
        <v>1444</v>
      </c>
      <c r="E121" s="11" t="s">
        <v>1098</v>
      </c>
      <c r="F121" s="11" t="s">
        <v>1443</v>
      </c>
      <c r="G121" s="162">
        <v>18</v>
      </c>
      <c r="H121" s="11" t="s">
        <v>1090</v>
      </c>
      <c r="I121" s="159" t="str">
        <f t="shared" si="1"/>
        <v/>
      </c>
    </row>
    <row r="122" spans="1:9" ht="17.25" customHeight="1" x14ac:dyDescent="0.2">
      <c r="A122">
        <v>120</v>
      </c>
      <c r="B122" s="11" t="s">
        <v>1090</v>
      </c>
      <c r="C122" s="11" t="s">
        <v>1445</v>
      </c>
      <c r="D122" s="11" t="s">
        <v>1447</v>
      </c>
      <c r="E122" s="11" t="s">
        <v>1098</v>
      </c>
      <c r="F122" s="11" t="s">
        <v>1446</v>
      </c>
      <c r="G122" s="162">
        <v>14</v>
      </c>
      <c r="H122" s="11" t="s">
        <v>1090</v>
      </c>
      <c r="I122" s="159" t="str">
        <f t="shared" si="1"/>
        <v/>
      </c>
    </row>
    <row r="123" spans="1:9" ht="17.25" customHeight="1" x14ac:dyDescent="0.2">
      <c r="A123">
        <v>121</v>
      </c>
      <c r="B123" s="11" t="s">
        <v>1090</v>
      </c>
      <c r="C123" s="11" t="s">
        <v>1448</v>
      </c>
      <c r="D123" s="11" t="s">
        <v>1450</v>
      </c>
      <c r="E123" s="11" t="s">
        <v>1098</v>
      </c>
      <c r="F123" s="11" t="s">
        <v>1449</v>
      </c>
      <c r="G123" s="162">
        <v>11.2</v>
      </c>
      <c r="H123" s="11" t="s">
        <v>1090</v>
      </c>
      <c r="I123" s="159" t="str">
        <f t="shared" si="1"/>
        <v/>
      </c>
    </row>
    <row r="124" spans="1:9" ht="17.25" customHeight="1" x14ac:dyDescent="0.2">
      <c r="A124">
        <v>122</v>
      </c>
      <c r="B124" s="11" t="s">
        <v>1090</v>
      </c>
      <c r="C124" s="11" t="s">
        <v>1451</v>
      </c>
      <c r="D124" s="11" t="s">
        <v>1452</v>
      </c>
      <c r="E124" s="11" t="s">
        <v>1098</v>
      </c>
      <c r="F124" s="11" t="s">
        <v>1452</v>
      </c>
      <c r="G124" s="162">
        <v>9.6</v>
      </c>
      <c r="H124" s="11" t="s">
        <v>1090</v>
      </c>
      <c r="I124" s="159" t="str">
        <f t="shared" si="1"/>
        <v/>
      </c>
    </row>
    <row r="125" spans="1:9" ht="17.25" customHeight="1" x14ac:dyDescent="0.2">
      <c r="A125">
        <v>123</v>
      </c>
      <c r="B125" s="11" t="s">
        <v>1090</v>
      </c>
      <c r="C125" s="11" t="s">
        <v>1453</v>
      </c>
      <c r="D125" s="11" t="s">
        <v>1455</v>
      </c>
      <c r="E125" s="11" t="s">
        <v>1098</v>
      </c>
      <c r="F125" s="11" t="s">
        <v>1454</v>
      </c>
      <c r="G125" s="162">
        <v>10</v>
      </c>
      <c r="H125" s="11" t="s">
        <v>1090</v>
      </c>
      <c r="I125" s="159" t="str">
        <f t="shared" si="1"/>
        <v/>
      </c>
    </row>
    <row r="126" spans="1:9" ht="17.25" customHeight="1" x14ac:dyDescent="0.2">
      <c r="A126">
        <v>124</v>
      </c>
      <c r="B126" s="11" t="s">
        <v>1090</v>
      </c>
      <c r="C126" s="11" t="s">
        <v>1456</v>
      </c>
      <c r="D126" s="11" t="s">
        <v>1458</v>
      </c>
      <c r="E126" s="11" t="s">
        <v>1098</v>
      </c>
      <c r="F126" s="11" t="s">
        <v>1457</v>
      </c>
      <c r="G126" s="162">
        <v>20</v>
      </c>
      <c r="H126" s="11" t="s">
        <v>1090</v>
      </c>
      <c r="I126" s="159" t="str">
        <f t="shared" si="1"/>
        <v/>
      </c>
    </row>
    <row r="127" spans="1:9" ht="17.25" customHeight="1" x14ac:dyDescent="0.2">
      <c r="A127">
        <v>125</v>
      </c>
      <c r="B127" s="11" t="s">
        <v>1090</v>
      </c>
      <c r="C127" s="11" t="s">
        <v>1459</v>
      </c>
      <c r="D127" s="11" t="s">
        <v>1461</v>
      </c>
      <c r="E127" s="11" t="s">
        <v>1098</v>
      </c>
      <c r="F127" s="11" t="s">
        <v>1460</v>
      </c>
      <c r="G127" s="162">
        <v>12</v>
      </c>
      <c r="H127" s="11" t="s">
        <v>1090</v>
      </c>
      <c r="I127" s="159" t="str">
        <f t="shared" si="1"/>
        <v/>
      </c>
    </row>
    <row r="128" spans="1:9" ht="17.25" customHeight="1" x14ac:dyDescent="0.2">
      <c r="A128">
        <v>126</v>
      </c>
      <c r="B128" s="11" t="s">
        <v>1090</v>
      </c>
      <c r="C128" s="11" t="s">
        <v>1462</v>
      </c>
      <c r="D128" s="11" t="s">
        <v>1463</v>
      </c>
      <c r="E128" s="11" t="s">
        <v>1098</v>
      </c>
      <c r="F128" s="11" t="s">
        <v>1463</v>
      </c>
      <c r="G128" s="162">
        <v>13.65</v>
      </c>
      <c r="H128" s="11" t="s">
        <v>1090</v>
      </c>
      <c r="I128" s="159" t="str">
        <f t="shared" si="1"/>
        <v/>
      </c>
    </row>
    <row r="129" spans="1:9" ht="17.25" customHeight="1" x14ac:dyDescent="0.2">
      <c r="A129">
        <v>127</v>
      </c>
      <c r="B129" s="11" t="s">
        <v>1090</v>
      </c>
      <c r="C129" s="11" t="s">
        <v>1464</v>
      </c>
      <c r="D129" s="11" t="s">
        <v>1466</v>
      </c>
      <c r="E129" s="11" t="s">
        <v>1098</v>
      </c>
      <c r="F129" s="11" t="s">
        <v>1465</v>
      </c>
      <c r="G129" s="162">
        <v>8.7360000000000007</v>
      </c>
      <c r="H129" s="11" t="s">
        <v>1090</v>
      </c>
      <c r="I129" s="159" t="str">
        <f t="shared" si="1"/>
        <v/>
      </c>
    </row>
    <row r="130" spans="1:9" ht="17.25" customHeight="1" x14ac:dyDescent="0.2">
      <c r="A130">
        <v>128</v>
      </c>
      <c r="B130" s="11" t="s">
        <v>1090</v>
      </c>
      <c r="C130" s="11" t="s">
        <v>1467</v>
      </c>
      <c r="D130" s="11" t="s">
        <v>1469</v>
      </c>
      <c r="E130" s="11" t="s">
        <v>1098</v>
      </c>
      <c r="F130" s="11" t="s">
        <v>1468</v>
      </c>
      <c r="G130" s="162">
        <v>9.6</v>
      </c>
      <c r="H130" s="11" t="s">
        <v>1090</v>
      </c>
      <c r="I130" s="159" t="str">
        <f t="shared" si="1"/>
        <v/>
      </c>
    </row>
    <row r="131" spans="1:9" ht="17.25" customHeight="1" x14ac:dyDescent="0.2">
      <c r="A131">
        <v>129</v>
      </c>
      <c r="B131" s="11" t="s">
        <v>1090</v>
      </c>
      <c r="C131" s="11" t="s">
        <v>1470</v>
      </c>
      <c r="D131" s="11" t="s">
        <v>1472</v>
      </c>
      <c r="E131" s="11" t="s">
        <v>1098</v>
      </c>
      <c r="F131" s="11" t="s">
        <v>1471</v>
      </c>
      <c r="G131" s="162">
        <v>12</v>
      </c>
      <c r="H131" s="11" t="s">
        <v>1090</v>
      </c>
      <c r="I131" s="159" t="str">
        <f t="shared" ref="I131:I194" si="2">IF(COUNTIF($C$3:$C$356, C131)&gt;1, "Trùng", "")</f>
        <v/>
      </c>
    </row>
    <row r="132" spans="1:9" ht="17.25" customHeight="1" x14ac:dyDescent="0.2">
      <c r="A132">
        <v>130</v>
      </c>
      <c r="B132" s="11" t="s">
        <v>1090</v>
      </c>
      <c r="C132" s="11" t="s">
        <v>1473</v>
      </c>
      <c r="D132" s="11" t="s">
        <v>1474</v>
      </c>
      <c r="E132" s="11" t="s">
        <v>1179</v>
      </c>
      <c r="F132" s="11" t="s">
        <v>1474</v>
      </c>
      <c r="G132" s="162">
        <v>10.92</v>
      </c>
      <c r="H132" s="11" t="s">
        <v>1090</v>
      </c>
      <c r="I132" s="159" t="str">
        <f t="shared" si="2"/>
        <v>Trùng</v>
      </c>
    </row>
    <row r="133" spans="1:9" ht="17.25" customHeight="1" x14ac:dyDescent="0.2">
      <c r="A133">
        <v>131</v>
      </c>
      <c r="B133" s="11" t="s">
        <v>1090</v>
      </c>
      <c r="C133" s="11" t="s">
        <v>1475</v>
      </c>
      <c r="D133" s="11" t="s">
        <v>1476</v>
      </c>
      <c r="E133" s="11" t="s">
        <v>1098</v>
      </c>
      <c r="F133" s="11" t="s">
        <v>1476</v>
      </c>
      <c r="G133" s="162">
        <v>15.2</v>
      </c>
      <c r="H133" s="11" t="s">
        <v>1090</v>
      </c>
      <c r="I133" s="159" t="str">
        <f t="shared" si="2"/>
        <v/>
      </c>
    </row>
    <row r="134" spans="1:9" ht="17.25" customHeight="1" x14ac:dyDescent="0.2">
      <c r="A134">
        <v>132</v>
      </c>
      <c r="B134" s="11" t="s">
        <v>1090</v>
      </c>
      <c r="C134" s="11" t="s">
        <v>1477</v>
      </c>
      <c r="D134" s="11" t="s">
        <v>1478</v>
      </c>
      <c r="E134" s="11" t="s">
        <v>1098</v>
      </c>
      <c r="F134" s="11" t="s">
        <v>1478</v>
      </c>
      <c r="G134" s="162">
        <v>11.88</v>
      </c>
      <c r="H134" s="11" t="s">
        <v>1090</v>
      </c>
      <c r="I134" s="159" t="str">
        <f t="shared" si="2"/>
        <v/>
      </c>
    </row>
    <row r="135" spans="1:9" ht="17.25" customHeight="1" x14ac:dyDescent="0.2">
      <c r="A135">
        <v>133</v>
      </c>
      <c r="B135" s="11" t="s">
        <v>1090</v>
      </c>
      <c r="C135" s="11" t="s">
        <v>1479</v>
      </c>
      <c r="D135" s="11" t="s">
        <v>1481</v>
      </c>
      <c r="E135" s="11" t="s">
        <v>1098</v>
      </c>
      <c r="F135" s="11" t="s">
        <v>1480</v>
      </c>
      <c r="G135" s="162">
        <v>11.2</v>
      </c>
      <c r="H135" s="11" t="s">
        <v>1090</v>
      </c>
      <c r="I135" s="159" t="str">
        <f t="shared" si="2"/>
        <v/>
      </c>
    </row>
    <row r="136" spans="1:9" ht="17.25" customHeight="1" x14ac:dyDescent="0.2">
      <c r="A136">
        <v>134</v>
      </c>
      <c r="B136" s="11" t="s">
        <v>1090</v>
      </c>
      <c r="C136" s="11" t="s">
        <v>1482</v>
      </c>
      <c r="D136" s="11" t="s">
        <v>1484</v>
      </c>
      <c r="E136" s="11" t="s">
        <v>1098</v>
      </c>
      <c r="F136" s="11" t="s">
        <v>1483</v>
      </c>
      <c r="G136" s="162">
        <v>12</v>
      </c>
      <c r="H136" s="11" t="s">
        <v>1090</v>
      </c>
      <c r="I136" s="159" t="str">
        <f t="shared" si="2"/>
        <v/>
      </c>
    </row>
    <row r="137" spans="1:9" ht="17.25" customHeight="1" x14ac:dyDescent="0.2">
      <c r="A137">
        <v>135</v>
      </c>
      <c r="B137" s="11" t="s">
        <v>1090</v>
      </c>
      <c r="C137" s="11" t="s">
        <v>1485</v>
      </c>
      <c r="D137" s="11" t="s">
        <v>1487</v>
      </c>
      <c r="E137" s="11" t="s">
        <v>1098</v>
      </c>
      <c r="F137" s="11" t="s">
        <v>1486</v>
      </c>
      <c r="G137" s="162">
        <v>12</v>
      </c>
      <c r="H137" s="11" t="s">
        <v>1090</v>
      </c>
      <c r="I137" s="159" t="str">
        <f t="shared" si="2"/>
        <v/>
      </c>
    </row>
    <row r="138" spans="1:9" ht="17.25" customHeight="1" x14ac:dyDescent="0.2">
      <c r="A138">
        <v>136</v>
      </c>
      <c r="B138" s="11" t="s">
        <v>1090</v>
      </c>
      <c r="C138" s="163" t="s">
        <v>1488</v>
      </c>
      <c r="D138" s="11" t="s">
        <v>1490</v>
      </c>
      <c r="E138" s="11" t="s">
        <v>1094</v>
      </c>
      <c r="F138" s="11" t="s">
        <v>1489</v>
      </c>
      <c r="G138" s="162">
        <v>18</v>
      </c>
      <c r="H138" s="11" t="s">
        <v>1090</v>
      </c>
      <c r="I138" s="159" t="str">
        <f t="shared" si="2"/>
        <v/>
      </c>
    </row>
    <row r="139" spans="1:9" ht="17.25" customHeight="1" x14ac:dyDescent="0.2">
      <c r="A139">
        <v>137</v>
      </c>
      <c r="B139" s="11" t="s">
        <v>1090</v>
      </c>
      <c r="C139" s="11" t="s">
        <v>1491</v>
      </c>
      <c r="D139" s="11" t="s">
        <v>1492</v>
      </c>
      <c r="E139" s="11" t="s">
        <v>1179</v>
      </c>
      <c r="F139" s="11" t="s">
        <v>1374</v>
      </c>
      <c r="G139" s="162">
        <v>0.36399999999999999</v>
      </c>
      <c r="H139" s="11" t="s">
        <v>1090</v>
      </c>
      <c r="I139" s="159" t="str">
        <f t="shared" si="2"/>
        <v/>
      </c>
    </row>
    <row r="140" spans="1:9" ht="17.25" customHeight="1" x14ac:dyDescent="0.2">
      <c r="A140">
        <v>138</v>
      </c>
      <c r="B140" s="11" t="s">
        <v>1090</v>
      </c>
      <c r="C140" s="11" t="s">
        <v>1493</v>
      </c>
      <c r="D140" s="11" t="s">
        <v>1494</v>
      </c>
      <c r="E140" s="11" t="s">
        <v>1179</v>
      </c>
      <c r="F140" s="11" t="s">
        <v>1260</v>
      </c>
      <c r="G140" s="162">
        <v>4.55</v>
      </c>
      <c r="H140" s="11" t="s">
        <v>1090</v>
      </c>
      <c r="I140" s="159" t="str">
        <f t="shared" si="2"/>
        <v/>
      </c>
    </row>
    <row r="141" spans="1:9" ht="17.25" customHeight="1" x14ac:dyDescent="0.2">
      <c r="A141">
        <v>139</v>
      </c>
      <c r="B141" s="11" t="s">
        <v>1090</v>
      </c>
      <c r="C141" s="11" t="s">
        <v>1495</v>
      </c>
      <c r="D141" s="11" t="s">
        <v>1496</v>
      </c>
      <c r="E141" s="11" t="s">
        <v>1179</v>
      </c>
      <c r="F141" s="11" t="s">
        <v>1365</v>
      </c>
      <c r="G141" s="162">
        <v>0.91</v>
      </c>
      <c r="H141" s="11" t="s">
        <v>1090</v>
      </c>
      <c r="I141" s="159" t="str">
        <f t="shared" si="2"/>
        <v/>
      </c>
    </row>
    <row r="142" spans="1:9" ht="17.25" customHeight="1" x14ac:dyDescent="0.2">
      <c r="A142">
        <v>140</v>
      </c>
      <c r="B142" s="11" t="s">
        <v>1090</v>
      </c>
      <c r="C142" s="11" t="s">
        <v>1497</v>
      </c>
      <c r="D142" s="11" t="s">
        <v>1498</v>
      </c>
      <c r="E142" s="11" t="s">
        <v>1179</v>
      </c>
      <c r="F142" s="11" t="s">
        <v>1131</v>
      </c>
      <c r="G142" s="162">
        <v>1.82</v>
      </c>
      <c r="H142" s="11" t="s">
        <v>1090</v>
      </c>
      <c r="I142" s="159" t="str">
        <f t="shared" si="2"/>
        <v/>
      </c>
    </row>
    <row r="143" spans="1:9" ht="17.25" customHeight="1" x14ac:dyDescent="0.2">
      <c r="A143">
        <v>141</v>
      </c>
      <c r="B143" s="11" t="s">
        <v>1090</v>
      </c>
      <c r="C143" s="11" t="s">
        <v>1499</v>
      </c>
      <c r="D143" s="11" t="s">
        <v>1500</v>
      </c>
      <c r="E143" s="11" t="s">
        <v>1179</v>
      </c>
      <c r="F143" s="11" t="s">
        <v>1128</v>
      </c>
      <c r="G143" s="162">
        <v>0.91</v>
      </c>
      <c r="H143" s="11" t="s">
        <v>1090</v>
      </c>
      <c r="I143" s="159" t="str">
        <f t="shared" si="2"/>
        <v/>
      </c>
    </row>
    <row r="144" spans="1:9" ht="17.25" customHeight="1" x14ac:dyDescent="0.2">
      <c r="A144">
        <v>142</v>
      </c>
      <c r="B144" s="11" t="s">
        <v>1090</v>
      </c>
      <c r="C144" s="11" t="s">
        <v>1501</v>
      </c>
      <c r="D144" s="11" t="s">
        <v>1503</v>
      </c>
      <c r="E144" s="11" t="s">
        <v>1094</v>
      </c>
      <c r="F144" s="11" t="s">
        <v>1502</v>
      </c>
      <c r="G144" s="162">
        <v>18</v>
      </c>
      <c r="H144" s="11" t="s">
        <v>1090</v>
      </c>
      <c r="I144" s="159" t="str">
        <f t="shared" si="2"/>
        <v/>
      </c>
    </row>
    <row r="145" spans="1:9" ht="17.25" customHeight="1" x14ac:dyDescent="0.2">
      <c r="A145">
        <v>143</v>
      </c>
      <c r="B145" s="11" t="s">
        <v>1090</v>
      </c>
      <c r="C145" s="11" t="s">
        <v>1504</v>
      </c>
      <c r="D145" s="11" t="s">
        <v>1506</v>
      </c>
      <c r="E145" s="11" t="s">
        <v>1094</v>
      </c>
      <c r="F145" s="11" t="s">
        <v>1505</v>
      </c>
      <c r="G145" s="162">
        <v>25</v>
      </c>
      <c r="H145" s="11" t="s">
        <v>1090</v>
      </c>
      <c r="I145" s="159" t="str">
        <f t="shared" si="2"/>
        <v/>
      </c>
    </row>
    <row r="146" spans="1:9" ht="17.25" customHeight="1" x14ac:dyDescent="0.2">
      <c r="A146">
        <v>144</v>
      </c>
      <c r="B146" s="11" t="s">
        <v>1090</v>
      </c>
      <c r="C146" s="11" t="s">
        <v>1507</v>
      </c>
      <c r="D146" s="11" t="s">
        <v>1509</v>
      </c>
      <c r="E146" s="11" t="s">
        <v>1098</v>
      </c>
      <c r="F146" s="11" t="s">
        <v>1508</v>
      </c>
      <c r="G146" s="162">
        <v>9.6</v>
      </c>
      <c r="H146" s="11" t="s">
        <v>1090</v>
      </c>
      <c r="I146" s="159" t="str">
        <f t="shared" si="2"/>
        <v/>
      </c>
    </row>
    <row r="147" spans="1:9" ht="17.25" customHeight="1" x14ac:dyDescent="0.2">
      <c r="A147">
        <v>145</v>
      </c>
      <c r="B147" s="11" t="s">
        <v>1090</v>
      </c>
      <c r="C147" s="11" t="s">
        <v>1510</v>
      </c>
      <c r="D147" s="11" t="s">
        <v>1511</v>
      </c>
      <c r="E147" s="11" t="s">
        <v>1098</v>
      </c>
      <c r="F147" s="11" t="s">
        <v>1118</v>
      </c>
      <c r="G147" s="162">
        <v>16.38</v>
      </c>
      <c r="H147" s="11" t="s">
        <v>1090</v>
      </c>
      <c r="I147" s="159" t="str">
        <f t="shared" si="2"/>
        <v/>
      </c>
    </row>
    <row r="148" spans="1:9" ht="17.25" customHeight="1" x14ac:dyDescent="0.2">
      <c r="A148">
        <v>146</v>
      </c>
      <c r="B148" s="11" t="s">
        <v>1090</v>
      </c>
      <c r="C148" s="163" t="s">
        <v>1512</v>
      </c>
      <c r="D148" s="11" t="s">
        <v>1514</v>
      </c>
      <c r="E148" s="11" t="s">
        <v>1363</v>
      </c>
      <c r="F148" s="11" t="s">
        <v>1513</v>
      </c>
      <c r="G148" s="162">
        <v>0</v>
      </c>
      <c r="H148" s="11" t="s">
        <v>1090</v>
      </c>
      <c r="I148" s="159" t="str">
        <f t="shared" si="2"/>
        <v/>
      </c>
    </row>
    <row r="149" spans="1:9" ht="17.25" customHeight="1" x14ac:dyDescent="0.2">
      <c r="A149">
        <v>147</v>
      </c>
      <c r="B149" s="11" t="s">
        <v>1090</v>
      </c>
      <c r="C149" s="11" t="s">
        <v>1515</v>
      </c>
      <c r="D149" s="11" t="s">
        <v>1517</v>
      </c>
      <c r="E149" s="11" t="s">
        <v>1363</v>
      </c>
      <c r="F149" s="11" t="s">
        <v>1516</v>
      </c>
      <c r="G149" s="162">
        <v>0</v>
      </c>
      <c r="H149" s="11" t="s">
        <v>1090</v>
      </c>
      <c r="I149" s="159" t="str">
        <f t="shared" si="2"/>
        <v/>
      </c>
    </row>
    <row r="150" spans="1:9" ht="17.25" customHeight="1" x14ac:dyDescent="0.2">
      <c r="A150">
        <v>148</v>
      </c>
      <c r="B150" s="11" t="s">
        <v>1090</v>
      </c>
      <c r="C150" s="11" t="s">
        <v>1518</v>
      </c>
      <c r="D150" s="11" t="s">
        <v>1520</v>
      </c>
      <c r="E150" s="11" t="s">
        <v>1098</v>
      </c>
      <c r="F150" s="11" t="s">
        <v>1519</v>
      </c>
      <c r="G150" s="162">
        <v>5.0999999999999996</v>
      </c>
      <c r="H150" s="11" t="s">
        <v>1090</v>
      </c>
      <c r="I150" s="159" t="str">
        <f t="shared" si="2"/>
        <v/>
      </c>
    </row>
    <row r="151" spans="1:9" ht="17.25" customHeight="1" x14ac:dyDescent="0.2">
      <c r="A151">
        <v>149</v>
      </c>
      <c r="B151" s="11" t="s">
        <v>1090</v>
      </c>
      <c r="C151" s="11" t="s">
        <v>1524</v>
      </c>
      <c r="D151" s="11" t="s">
        <v>1526</v>
      </c>
      <c r="E151" s="11" t="s">
        <v>1094</v>
      </c>
      <c r="F151" s="11" t="s">
        <v>1525</v>
      </c>
      <c r="G151" s="162">
        <v>16</v>
      </c>
      <c r="H151" s="11" t="s">
        <v>1090</v>
      </c>
      <c r="I151" s="159" t="str">
        <f t="shared" si="2"/>
        <v/>
      </c>
    </row>
    <row r="152" spans="1:9" ht="17.25" customHeight="1" x14ac:dyDescent="0.2">
      <c r="A152">
        <v>150</v>
      </c>
      <c r="B152" s="11" t="s">
        <v>1090</v>
      </c>
      <c r="C152" s="11" t="s">
        <v>1527</v>
      </c>
      <c r="D152" s="11" t="s">
        <v>1529</v>
      </c>
      <c r="E152" s="11" t="s">
        <v>1094</v>
      </c>
      <c r="F152" s="11" t="s">
        <v>1528</v>
      </c>
      <c r="G152" s="162">
        <v>20</v>
      </c>
      <c r="H152" s="11" t="s">
        <v>1090</v>
      </c>
      <c r="I152" s="159" t="str">
        <f t="shared" si="2"/>
        <v/>
      </c>
    </row>
    <row r="153" spans="1:9" ht="17.25" customHeight="1" x14ac:dyDescent="0.2">
      <c r="A153">
        <v>151</v>
      </c>
      <c r="B153" s="11" t="s">
        <v>1090</v>
      </c>
      <c r="C153" s="11" t="s">
        <v>1530</v>
      </c>
      <c r="D153" s="11" t="s">
        <v>1532</v>
      </c>
      <c r="E153" s="11" t="s">
        <v>1094</v>
      </c>
      <c r="F153" s="11" t="s">
        <v>1531</v>
      </c>
      <c r="G153" s="162">
        <v>18</v>
      </c>
      <c r="H153" s="11" t="s">
        <v>1090</v>
      </c>
      <c r="I153" s="159" t="str">
        <f t="shared" si="2"/>
        <v/>
      </c>
    </row>
    <row r="154" spans="1:9" ht="17.25" customHeight="1" x14ac:dyDescent="0.2">
      <c r="A154">
        <v>152</v>
      </c>
      <c r="B154" s="11" t="s">
        <v>1090</v>
      </c>
      <c r="C154" s="11" t="s">
        <v>1533</v>
      </c>
      <c r="D154" s="11" t="s">
        <v>1535</v>
      </c>
      <c r="E154" s="11" t="s">
        <v>1094</v>
      </c>
      <c r="F154" s="11" t="s">
        <v>1534</v>
      </c>
      <c r="G154" s="162">
        <v>30</v>
      </c>
      <c r="H154" s="11" t="s">
        <v>1090</v>
      </c>
      <c r="I154" s="159" t="str">
        <f t="shared" si="2"/>
        <v/>
      </c>
    </row>
    <row r="155" spans="1:9" ht="17.25" customHeight="1" x14ac:dyDescent="0.2">
      <c r="A155">
        <v>153</v>
      </c>
      <c r="B155" s="11" t="s">
        <v>1090</v>
      </c>
      <c r="C155" s="11" t="s">
        <v>1536</v>
      </c>
      <c r="D155" s="11" t="s">
        <v>1537</v>
      </c>
      <c r="E155" s="11" t="s">
        <v>1098</v>
      </c>
      <c r="F155" s="11" t="s">
        <v>1143</v>
      </c>
      <c r="G155" s="162">
        <v>4.8</v>
      </c>
      <c r="H155" s="11" t="s">
        <v>1090</v>
      </c>
      <c r="I155" s="159" t="str">
        <f t="shared" si="2"/>
        <v/>
      </c>
    </row>
    <row r="156" spans="1:9" ht="17.25" customHeight="1" x14ac:dyDescent="0.2">
      <c r="A156">
        <v>154</v>
      </c>
      <c r="B156" s="11" t="s">
        <v>1090</v>
      </c>
      <c r="C156" s="11" t="s">
        <v>1538</v>
      </c>
      <c r="D156" s="11" t="s">
        <v>1540</v>
      </c>
      <c r="E156" s="11" t="s">
        <v>1094</v>
      </c>
      <c r="F156" s="11" t="s">
        <v>1539</v>
      </c>
      <c r="G156" s="162">
        <v>1</v>
      </c>
      <c r="H156" s="11" t="s">
        <v>1090</v>
      </c>
      <c r="I156" s="159" t="str">
        <f t="shared" si="2"/>
        <v/>
      </c>
    </row>
    <row r="157" spans="1:9" ht="17.25" customHeight="1" x14ac:dyDescent="0.2">
      <c r="A157">
        <v>155</v>
      </c>
      <c r="B157" s="11" t="s">
        <v>1090</v>
      </c>
      <c r="C157" s="11" t="s">
        <v>1541</v>
      </c>
      <c r="D157" s="11" t="s">
        <v>1543</v>
      </c>
      <c r="E157" s="11" t="s">
        <v>1094</v>
      </c>
      <c r="F157" s="11" t="s">
        <v>1542</v>
      </c>
      <c r="G157" s="162">
        <v>1</v>
      </c>
      <c r="H157" s="11" t="s">
        <v>1090</v>
      </c>
      <c r="I157" s="159" t="str">
        <f t="shared" si="2"/>
        <v/>
      </c>
    </row>
    <row r="158" spans="1:9" ht="17.25" customHeight="1" x14ac:dyDescent="0.2">
      <c r="A158">
        <v>156</v>
      </c>
      <c r="B158" s="11" t="s">
        <v>1090</v>
      </c>
      <c r="C158" s="11" t="s">
        <v>1544</v>
      </c>
      <c r="D158" s="11" t="s">
        <v>1546</v>
      </c>
      <c r="E158" s="11" t="s">
        <v>1098</v>
      </c>
      <c r="F158" s="11" t="s">
        <v>1545</v>
      </c>
      <c r="G158" s="162">
        <v>9</v>
      </c>
      <c r="H158" s="11" t="s">
        <v>1090</v>
      </c>
      <c r="I158" s="159" t="str">
        <f t="shared" si="2"/>
        <v/>
      </c>
    </row>
    <row r="159" spans="1:9" ht="17.25" customHeight="1" x14ac:dyDescent="0.2">
      <c r="A159">
        <v>157</v>
      </c>
      <c r="B159" s="11" t="s">
        <v>1090</v>
      </c>
      <c r="C159" s="11" t="s">
        <v>1547</v>
      </c>
      <c r="D159" s="11" t="s">
        <v>1549</v>
      </c>
      <c r="E159" s="11" t="s">
        <v>1094</v>
      </c>
      <c r="F159" s="11" t="s">
        <v>1548</v>
      </c>
      <c r="G159" s="162">
        <v>25</v>
      </c>
      <c r="H159" s="11" t="s">
        <v>1090</v>
      </c>
      <c r="I159" s="159" t="str">
        <f t="shared" si="2"/>
        <v/>
      </c>
    </row>
    <row r="160" spans="1:9" ht="17.25" customHeight="1" x14ac:dyDescent="0.2">
      <c r="A160">
        <v>158</v>
      </c>
      <c r="B160" s="11" t="s">
        <v>1090</v>
      </c>
      <c r="C160" s="11" t="s">
        <v>1550</v>
      </c>
      <c r="D160" s="11" t="s">
        <v>1552</v>
      </c>
      <c r="E160" s="11" t="s">
        <v>1094</v>
      </c>
      <c r="F160" s="11" t="s">
        <v>1551</v>
      </c>
      <c r="G160" s="162">
        <v>25</v>
      </c>
      <c r="H160" s="11" t="s">
        <v>1090</v>
      </c>
      <c r="I160" s="159" t="str">
        <f t="shared" si="2"/>
        <v/>
      </c>
    </row>
    <row r="161" spans="1:9" ht="17.25" customHeight="1" x14ac:dyDescent="0.2">
      <c r="A161">
        <v>159</v>
      </c>
      <c r="B161" s="11" t="s">
        <v>1090</v>
      </c>
      <c r="C161" s="11" t="s">
        <v>1553</v>
      </c>
      <c r="D161" s="11" t="s">
        <v>1555</v>
      </c>
      <c r="E161" s="11" t="s">
        <v>1094</v>
      </c>
      <c r="F161" s="11" t="s">
        <v>1554</v>
      </c>
      <c r="G161" s="162">
        <v>25</v>
      </c>
      <c r="H161" s="11" t="s">
        <v>1090</v>
      </c>
      <c r="I161" s="159" t="str">
        <f t="shared" si="2"/>
        <v/>
      </c>
    </row>
    <row r="162" spans="1:9" ht="17.25" customHeight="1" x14ac:dyDescent="0.2">
      <c r="A162">
        <v>160</v>
      </c>
      <c r="B162" s="11" t="s">
        <v>1090</v>
      </c>
      <c r="C162" s="11" t="s">
        <v>1556</v>
      </c>
      <c r="D162" s="11" t="s">
        <v>1558</v>
      </c>
      <c r="E162" s="11" t="s">
        <v>1098</v>
      </c>
      <c r="F162" s="11" t="s">
        <v>1557</v>
      </c>
      <c r="G162" s="162">
        <v>12</v>
      </c>
      <c r="H162" s="11" t="s">
        <v>1090</v>
      </c>
      <c r="I162" s="159" t="str">
        <f t="shared" si="2"/>
        <v/>
      </c>
    </row>
    <row r="163" spans="1:9" ht="17.25" customHeight="1" x14ac:dyDescent="0.2">
      <c r="A163">
        <v>161</v>
      </c>
      <c r="B163" s="11" t="s">
        <v>1090</v>
      </c>
      <c r="C163" s="11" t="s">
        <v>1559</v>
      </c>
      <c r="D163" s="11" t="s">
        <v>1561</v>
      </c>
      <c r="E163" s="11" t="s">
        <v>1098</v>
      </c>
      <c r="F163" s="11" t="s">
        <v>1560</v>
      </c>
      <c r="G163" s="162">
        <v>11.2</v>
      </c>
      <c r="H163" s="11" t="s">
        <v>1090</v>
      </c>
      <c r="I163" s="159" t="str">
        <f t="shared" si="2"/>
        <v/>
      </c>
    </row>
    <row r="164" spans="1:9" ht="16.5" customHeight="1" x14ac:dyDescent="0.2">
      <c r="A164">
        <v>162</v>
      </c>
      <c r="B164" s="11" t="s">
        <v>1090</v>
      </c>
      <c r="C164" s="11" t="s">
        <v>1562</v>
      </c>
      <c r="D164" s="11" t="s">
        <v>1564</v>
      </c>
      <c r="E164" s="11" t="s">
        <v>1094</v>
      </c>
      <c r="F164" s="11" t="s">
        <v>1563</v>
      </c>
      <c r="G164" s="162">
        <v>200</v>
      </c>
      <c r="H164" s="11" t="s">
        <v>1090</v>
      </c>
      <c r="I164" s="159" t="str">
        <f t="shared" si="2"/>
        <v/>
      </c>
    </row>
    <row r="165" spans="1:9" ht="17.25" customHeight="1" x14ac:dyDescent="0.2">
      <c r="A165">
        <v>163</v>
      </c>
      <c r="B165" s="11" t="s">
        <v>1090</v>
      </c>
      <c r="C165" s="11" t="s">
        <v>1521</v>
      </c>
      <c r="D165" s="11" t="s">
        <v>1523</v>
      </c>
      <c r="E165" s="11" t="s">
        <v>1098</v>
      </c>
      <c r="F165" s="11" t="s">
        <v>1522</v>
      </c>
      <c r="G165" s="162">
        <v>5.0999999999999996</v>
      </c>
      <c r="H165" s="11" t="s">
        <v>1090</v>
      </c>
      <c r="I165" s="159" t="str">
        <f t="shared" si="2"/>
        <v/>
      </c>
    </row>
    <row r="166" spans="1:9" ht="17.25" customHeight="1" x14ac:dyDescent="0.2">
      <c r="A166">
        <v>164</v>
      </c>
      <c r="B166" s="11" t="s">
        <v>1090</v>
      </c>
      <c r="C166" s="11" t="s">
        <v>1565</v>
      </c>
      <c r="D166" s="11" t="s">
        <v>1567</v>
      </c>
      <c r="E166" s="11" t="s">
        <v>1098</v>
      </c>
      <c r="F166" s="11" t="s">
        <v>1566</v>
      </c>
      <c r="G166" s="162">
        <v>11.2</v>
      </c>
      <c r="H166" s="11" t="s">
        <v>1090</v>
      </c>
      <c r="I166" s="159" t="str">
        <f t="shared" si="2"/>
        <v/>
      </c>
    </row>
    <row r="167" spans="1:9" ht="17.25" customHeight="1" x14ac:dyDescent="0.2">
      <c r="A167">
        <v>165</v>
      </c>
      <c r="B167" s="11" t="s">
        <v>1090</v>
      </c>
      <c r="C167" s="11" t="s">
        <v>1568</v>
      </c>
      <c r="D167" s="11" t="s">
        <v>1570</v>
      </c>
      <c r="E167" s="11" t="s">
        <v>1098</v>
      </c>
      <c r="F167" s="11" t="s">
        <v>1569</v>
      </c>
      <c r="G167" s="162">
        <v>11.2</v>
      </c>
      <c r="H167" s="11" t="s">
        <v>1090</v>
      </c>
      <c r="I167" s="159" t="str">
        <f t="shared" si="2"/>
        <v/>
      </c>
    </row>
    <row r="168" spans="1:9" ht="17.25" customHeight="1" x14ac:dyDescent="0.2">
      <c r="A168">
        <v>166</v>
      </c>
      <c r="B168" s="11" t="s">
        <v>1090</v>
      </c>
      <c r="C168" s="11" t="s">
        <v>1571</v>
      </c>
      <c r="D168" s="11" t="s">
        <v>1572</v>
      </c>
      <c r="E168" s="11" t="s">
        <v>1098</v>
      </c>
      <c r="F168" s="11" t="s">
        <v>1298</v>
      </c>
      <c r="G168" s="162">
        <v>10.92</v>
      </c>
      <c r="H168" s="11" t="s">
        <v>1090</v>
      </c>
      <c r="I168" s="159" t="str">
        <f t="shared" si="2"/>
        <v/>
      </c>
    </row>
    <row r="169" spans="1:9" ht="17.25" customHeight="1" x14ac:dyDescent="0.2">
      <c r="A169">
        <v>167</v>
      </c>
      <c r="B169" s="11" t="s">
        <v>1573</v>
      </c>
      <c r="C169" s="11" t="s">
        <v>1574</v>
      </c>
      <c r="D169" s="11" t="s">
        <v>1575</v>
      </c>
      <c r="E169" s="11" t="s">
        <v>1098</v>
      </c>
      <c r="F169" s="11" t="s">
        <v>1575</v>
      </c>
      <c r="G169" s="162">
        <v>8</v>
      </c>
      <c r="H169" s="11" t="s">
        <v>1573</v>
      </c>
      <c r="I169" s="159" t="str">
        <f t="shared" si="2"/>
        <v/>
      </c>
    </row>
    <row r="170" spans="1:9" ht="17.25" customHeight="1" x14ac:dyDescent="0.2">
      <c r="A170">
        <v>168</v>
      </c>
      <c r="B170" s="11" t="s">
        <v>1576</v>
      </c>
      <c r="C170" s="11" t="s">
        <v>1577</v>
      </c>
      <c r="D170" s="11" t="s">
        <v>1579</v>
      </c>
      <c r="E170" s="11" t="s">
        <v>1098</v>
      </c>
      <c r="F170" s="11" t="s">
        <v>1578</v>
      </c>
      <c r="G170" s="162">
        <v>9</v>
      </c>
      <c r="H170" s="11" t="s">
        <v>1576</v>
      </c>
      <c r="I170" s="159" t="str">
        <f t="shared" si="2"/>
        <v/>
      </c>
    </row>
    <row r="171" spans="1:9" ht="17.25" customHeight="1" x14ac:dyDescent="0.2">
      <c r="A171">
        <v>169</v>
      </c>
      <c r="B171" s="11" t="s">
        <v>1576</v>
      </c>
      <c r="C171" s="11" t="s">
        <v>1580</v>
      </c>
      <c r="D171" s="11" t="s">
        <v>1582</v>
      </c>
      <c r="E171" s="11" t="s">
        <v>1098</v>
      </c>
      <c r="F171" s="11" t="s">
        <v>1581</v>
      </c>
      <c r="G171" s="162">
        <v>4.8</v>
      </c>
      <c r="H171" s="11" t="s">
        <v>1576</v>
      </c>
      <c r="I171" s="159" t="str">
        <f t="shared" si="2"/>
        <v/>
      </c>
    </row>
    <row r="172" spans="1:9" ht="17.25" customHeight="1" x14ac:dyDescent="0.2">
      <c r="A172">
        <v>170</v>
      </c>
      <c r="B172" s="11" t="s">
        <v>1576</v>
      </c>
      <c r="C172" s="11" t="s">
        <v>1583</v>
      </c>
      <c r="D172" s="11" t="s">
        <v>1585</v>
      </c>
      <c r="E172" s="11" t="s">
        <v>1098</v>
      </c>
      <c r="F172" s="11" t="s">
        <v>1584</v>
      </c>
      <c r="G172" s="162">
        <v>10</v>
      </c>
      <c r="H172" s="11" t="s">
        <v>1576</v>
      </c>
      <c r="I172" s="159" t="str">
        <f t="shared" si="2"/>
        <v/>
      </c>
    </row>
    <row r="173" spans="1:9" ht="17.25" customHeight="1" x14ac:dyDescent="0.2">
      <c r="A173">
        <v>171</v>
      </c>
      <c r="B173" s="11" t="s">
        <v>1576</v>
      </c>
      <c r="C173" s="11" t="s">
        <v>1586</v>
      </c>
      <c r="D173" s="11" t="s">
        <v>1588</v>
      </c>
      <c r="E173" s="11" t="s">
        <v>1098</v>
      </c>
      <c r="F173" s="11" t="s">
        <v>1587</v>
      </c>
      <c r="G173" s="162">
        <v>4.8</v>
      </c>
      <c r="H173" s="11" t="s">
        <v>1576</v>
      </c>
      <c r="I173" s="159" t="str">
        <f t="shared" si="2"/>
        <v/>
      </c>
    </row>
    <row r="174" spans="1:9" ht="17.25" customHeight="1" x14ac:dyDescent="0.2">
      <c r="A174">
        <v>172</v>
      </c>
      <c r="B174" s="11" t="s">
        <v>1576</v>
      </c>
      <c r="C174" s="11" t="s">
        <v>1589</v>
      </c>
      <c r="D174" s="11" t="s">
        <v>1591</v>
      </c>
      <c r="E174" s="11" t="s">
        <v>1098</v>
      </c>
      <c r="F174" s="11" t="s">
        <v>1590</v>
      </c>
      <c r="G174" s="162">
        <v>10</v>
      </c>
      <c r="H174" s="11" t="s">
        <v>1576</v>
      </c>
      <c r="I174" s="159" t="str">
        <f t="shared" si="2"/>
        <v/>
      </c>
    </row>
    <row r="175" spans="1:9" ht="17.25" customHeight="1" x14ac:dyDescent="0.2">
      <c r="A175">
        <v>173</v>
      </c>
      <c r="B175" s="11" t="s">
        <v>1576</v>
      </c>
      <c r="C175" s="11" t="s">
        <v>1592</v>
      </c>
      <c r="D175" s="11" t="s">
        <v>1594</v>
      </c>
      <c r="E175" s="11" t="s">
        <v>1098</v>
      </c>
      <c r="F175" s="11" t="s">
        <v>1593</v>
      </c>
      <c r="G175" s="162">
        <v>6</v>
      </c>
      <c r="H175" s="11" t="s">
        <v>1576</v>
      </c>
      <c r="I175" s="159" t="str">
        <f t="shared" si="2"/>
        <v/>
      </c>
    </row>
    <row r="176" spans="1:9" ht="17.25" customHeight="1" x14ac:dyDescent="0.2">
      <c r="A176">
        <v>174</v>
      </c>
      <c r="B176" s="11" t="s">
        <v>1576</v>
      </c>
      <c r="C176" s="11" t="s">
        <v>1595</v>
      </c>
      <c r="D176" s="11" t="s">
        <v>1597</v>
      </c>
      <c r="E176" s="11" t="s">
        <v>1098</v>
      </c>
      <c r="F176" s="11" t="s">
        <v>1596</v>
      </c>
      <c r="G176" s="162">
        <v>3.6</v>
      </c>
      <c r="H176" s="11" t="s">
        <v>1576</v>
      </c>
      <c r="I176" s="159" t="str">
        <f t="shared" si="2"/>
        <v/>
      </c>
    </row>
    <row r="177" spans="1:9" ht="17.25" customHeight="1" x14ac:dyDescent="0.2">
      <c r="A177">
        <v>175</v>
      </c>
      <c r="B177" s="11" t="s">
        <v>1576</v>
      </c>
      <c r="C177" s="11" t="s">
        <v>1598</v>
      </c>
      <c r="D177" s="11" t="s">
        <v>1600</v>
      </c>
      <c r="E177" s="11" t="s">
        <v>1098</v>
      </c>
      <c r="F177" s="11" t="s">
        <v>1599</v>
      </c>
      <c r="G177" s="162">
        <v>4.8</v>
      </c>
      <c r="H177" s="11" t="s">
        <v>1576</v>
      </c>
      <c r="I177" s="159" t="str">
        <f t="shared" si="2"/>
        <v/>
      </c>
    </row>
    <row r="178" spans="1:9" ht="17.25" customHeight="1" x14ac:dyDescent="0.2">
      <c r="A178">
        <v>176</v>
      </c>
      <c r="B178" s="11" t="s">
        <v>1576</v>
      </c>
      <c r="C178" s="11" t="s">
        <v>1601</v>
      </c>
      <c r="D178" s="11" t="s">
        <v>1603</v>
      </c>
      <c r="E178" s="11" t="s">
        <v>1098</v>
      </c>
      <c r="F178" s="11" t="s">
        <v>1602</v>
      </c>
      <c r="G178" s="162">
        <v>3.3</v>
      </c>
      <c r="H178" s="11" t="s">
        <v>1576</v>
      </c>
      <c r="I178" s="159" t="str">
        <f t="shared" si="2"/>
        <v/>
      </c>
    </row>
    <row r="179" spans="1:9" ht="17.25" customHeight="1" x14ac:dyDescent="0.2">
      <c r="A179">
        <v>177</v>
      </c>
      <c r="B179" s="11" t="s">
        <v>1576</v>
      </c>
      <c r="C179" s="11" t="s">
        <v>1604</v>
      </c>
      <c r="D179" s="11" t="s">
        <v>1606</v>
      </c>
      <c r="E179" s="11" t="s">
        <v>1098</v>
      </c>
      <c r="F179" s="11" t="s">
        <v>1605</v>
      </c>
      <c r="G179" s="162">
        <v>4.8</v>
      </c>
      <c r="H179" s="11" t="s">
        <v>1576</v>
      </c>
      <c r="I179" s="159" t="str">
        <f t="shared" si="2"/>
        <v/>
      </c>
    </row>
    <row r="180" spans="1:9" ht="17.25" customHeight="1" x14ac:dyDescent="0.2">
      <c r="A180">
        <v>178</v>
      </c>
      <c r="B180" s="11" t="s">
        <v>1576</v>
      </c>
      <c r="C180" s="11" t="s">
        <v>1607</v>
      </c>
      <c r="D180" s="11" t="s">
        <v>1609</v>
      </c>
      <c r="E180" s="11" t="s">
        <v>1098</v>
      </c>
      <c r="F180" s="11" t="s">
        <v>1608</v>
      </c>
      <c r="G180" s="162">
        <v>10</v>
      </c>
      <c r="H180" s="11" t="s">
        <v>1576</v>
      </c>
      <c r="I180" s="159" t="str">
        <f t="shared" si="2"/>
        <v/>
      </c>
    </row>
    <row r="181" spans="1:9" ht="17.25" customHeight="1" x14ac:dyDescent="0.2">
      <c r="A181">
        <v>179</v>
      </c>
      <c r="B181" s="11" t="s">
        <v>1576</v>
      </c>
      <c r="C181" s="11" t="s">
        <v>1610</v>
      </c>
      <c r="D181" s="11" t="s">
        <v>1612</v>
      </c>
      <c r="E181" s="11" t="s">
        <v>1098</v>
      </c>
      <c r="F181" s="11" t="s">
        <v>1611</v>
      </c>
      <c r="G181" s="162">
        <v>6</v>
      </c>
      <c r="H181" s="11" t="s">
        <v>1576</v>
      </c>
      <c r="I181" s="159" t="str">
        <f t="shared" si="2"/>
        <v/>
      </c>
    </row>
    <row r="182" spans="1:9" ht="17.25" customHeight="1" x14ac:dyDescent="0.2">
      <c r="A182">
        <v>180</v>
      </c>
      <c r="B182" s="11" t="s">
        <v>1576</v>
      </c>
      <c r="C182" s="11" t="s">
        <v>1613</v>
      </c>
      <c r="D182" s="11" t="s">
        <v>1615</v>
      </c>
      <c r="E182" s="11" t="s">
        <v>1098</v>
      </c>
      <c r="F182" s="11" t="s">
        <v>1614</v>
      </c>
      <c r="G182" s="162">
        <v>4.8</v>
      </c>
      <c r="H182" s="11" t="s">
        <v>1576</v>
      </c>
      <c r="I182" s="159" t="str">
        <f t="shared" si="2"/>
        <v/>
      </c>
    </row>
    <row r="183" spans="1:9" ht="17.25" customHeight="1" x14ac:dyDescent="0.2">
      <c r="A183">
        <v>181</v>
      </c>
      <c r="B183" s="11" t="s">
        <v>1576</v>
      </c>
      <c r="C183" s="11" t="s">
        <v>1616</v>
      </c>
      <c r="D183" s="11" t="s">
        <v>1618</v>
      </c>
      <c r="E183" s="11" t="s">
        <v>1098</v>
      </c>
      <c r="F183" s="11" t="s">
        <v>1617</v>
      </c>
      <c r="G183" s="162">
        <v>4.8</v>
      </c>
      <c r="H183" s="11" t="s">
        <v>1576</v>
      </c>
      <c r="I183" s="159" t="str">
        <f t="shared" si="2"/>
        <v/>
      </c>
    </row>
    <row r="184" spans="1:9" ht="17.25" customHeight="1" x14ac:dyDescent="0.2">
      <c r="A184">
        <v>182</v>
      </c>
      <c r="B184" s="11" t="s">
        <v>1576</v>
      </c>
      <c r="C184" s="11" t="s">
        <v>1619</v>
      </c>
      <c r="D184" s="11" t="s">
        <v>1621</v>
      </c>
      <c r="E184" s="11" t="s">
        <v>1098</v>
      </c>
      <c r="F184" s="11" t="s">
        <v>1620</v>
      </c>
      <c r="G184" s="162">
        <v>3.6</v>
      </c>
      <c r="H184" s="11" t="s">
        <v>1576</v>
      </c>
      <c r="I184" s="159" t="str">
        <f t="shared" si="2"/>
        <v/>
      </c>
    </row>
    <row r="185" spans="1:9" ht="17.25" customHeight="1" x14ac:dyDescent="0.2">
      <c r="A185">
        <v>183</v>
      </c>
      <c r="B185" s="11" t="s">
        <v>1576</v>
      </c>
      <c r="C185" s="11" t="s">
        <v>1622</v>
      </c>
      <c r="D185" s="11" t="s">
        <v>1624</v>
      </c>
      <c r="E185" s="11" t="s">
        <v>1098</v>
      </c>
      <c r="F185" s="11" t="s">
        <v>1623</v>
      </c>
      <c r="G185" s="162">
        <v>6</v>
      </c>
      <c r="H185" s="11" t="s">
        <v>1576</v>
      </c>
      <c r="I185" s="159" t="str">
        <f t="shared" si="2"/>
        <v/>
      </c>
    </row>
    <row r="186" spans="1:9" ht="17.25" customHeight="1" x14ac:dyDescent="0.2">
      <c r="A186">
        <v>184</v>
      </c>
      <c r="B186" s="11" t="s">
        <v>1576</v>
      </c>
      <c r="C186" s="11" t="s">
        <v>1625</v>
      </c>
      <c r="D186" s="11" t="s">
        <v>1627</v>
      </c>
      <c r="E186" s="11" t="s">
        <v>1098</v>
      </c>
      <c r="F186" s="11" t="s">
        <v>1626</v>
      </c>
      <c r="G186" s="162">
        <v>4.8</v>
      </c>
      <c r="H186" s="11" t="s">
        <v>1576</v>
      </c>
      <c r="I186" s="159" t="str">
        <f t="shared" si="2"/>
        <v>Trùng</v>
      </c>
    </row>
    <row r="187" spans="1:9" ht="17.25" customHeight="1" x14ac:dyDescent="0.2">
      <c r="A187">
        <v>185</v>
      </c>
      <c r="B187" s="11" t="s">
        <v>1576</v>
      </c>
      <c r="C187" s="11" t="s">
        <v>1628</v>
      </c>
      <c r="D187" s="11" t="s">
        <v>1630</v>
      </c>
      <c r="E187" s="11" t="s">
        <v>1098</v>
      </c>
      <c r="F187" s="11" t="s">
        <v>1629</v>
      </c>
      <c r="G187" s="162">
        <v>4.8</v>
      </c>
      <c r="H187" s="11" t="s">
        <v>1576</v>
      </c>
      <c r="I187" s="159" t="str">
        <f t="shared" si="2"/>
        <v/>
      </c>
    </row>
    <row r="188" spans="1:9" ht="17.25" customHeight="1" x14ac:dyDescent="0.2">
      <c r="A188">
        <v>186</v>
      </c>
      <c r="B188" s="11" t="s">
        <v>1576</v>
      </c>
      <c r="C188" s="11" t="s">
        <v>1631</v>
      </c>
      <c r="D188" s="11" t="s">
        <v>1633</v>
      </c>
      <c r="E188" s="11" t="s">
        <v>1098</v>
      </c>
      <c r="F188" s="11" t="s">
        <v>1632</v>
      </c>
      <c r="G188" s="162">
        <v>4.8</v>
      </c>
      <c r="H188" s="11" t="s">
        <v>1576</v>
      </c>
      <c r="I188" s="159" t="str">
        <f t="shared" si="2"/>
        <v/>
      </c>
    </row>
    <row r="189" spans="1:9" ht="17.25" customHeight="1" x14ac:dyDescent="0.2">
      <c r="A189">
        <v>187</v>
      </c>
      <c r="B189" s="11" t="s">
        <v>1576</v>
      </c>
      <c r="C189" s="11" t="s">
        <v>1634</v>
      </c>
      <c r="D189" s="11" t="s">
        <v>1636</v>
      </c>
      <c r="E189" s="11" t="s">
        <v>1098</v>
      </c>
      <c r="F189" s="11" t="s">
        <v>1635</v>
      </c>
      <c r="G189" s="162">
        <v>3.6</v>
      </c>
      <c r="H189" s="11" t="s">
        <v>1576</v>
      </c>
      <c r="I189" s="159" t="str">
        <f t="shared" si="2"/>
        <v/>
      </c>
    </row>
    <row r="190" spans="1:9" ht="17.25" customHeight="1" x14ac:dyDescent="0.2">
      <c r="A190">
        <v>188</v>
      </c>
      <c r="B190" s="11" t="s">
        <v>1576</v>
      </c>
      <c r="C190" s="11" t="s">
        <v>1637</v>
      </c>
      <c r="D190" s="11" t="s">
        <v>1639</v>
      </c>
      <c r="E190" s="11" t="s">
        <v>1098</v>
      </c>
      <c r="F190" s="11" t="s">
        <v>1638</v>
      </c>
      <c r="G190" s="162">
        <v>12</v>
      </c>
      <c r="H190" s="11" t="s">
        <v>1576</v>
      </c>
      <c r="I190" s="159" t="str">
        <f t="shared" si="2"/>
        <v/>
      </c>
    </row>
    <row r="191" spans="1:9" ht="17.25" customHeight="1" x14ac:dyDescent="0.2">
      <c r="A191">
        <v>189</v>
      </c>
      <c r="B191" s="11" t="s">
        <v>1576</v>
      </c>
      <c r="C191" s="11" t="s">
        <v>1640</v>
      </c>
      <c r="D191" s="11" t="s">
        <v>1642</v>
      </c>
      <c r="E191" s="11" t="s">
        <v>1098</v>
      </c>
      <c r="F191" s="11" t="s">
        <v>1641</v>
      </c>
      <c r="G191" s="162">
        <v>9</v>
      </c>
      <c r="H191" s="11" t="s">
        <v>1576</v>
      </c>
      <c r="I191" s="159" t="str">
        <f t="shared" si="2"/>
        <v/>
      </c>
    </row>
    <row r="192" spans="1:9" ht="17.25" customHeight="1" x14ac:dyDescent="0.2">
      <c r="A192">
        <v>190</v>
      </c>
      <c r="B192" s="11" t="s">
        <v>1576</v>
      </c>
      <c r="C192" s="11" t="s">
        <v>1643</v>
      </c>
      <c r="D192" s="11" t="s">
        <v>1645</v>
      </c>
      <c r="E192" s="11" t="s">
        <v>1098</v>
      </c>
      <c r="F192" s="11" t="s">
        <v>1644</v>
      </c>
      <c r="G192" s="162">
        <v>4.8</v>
      </c>
      <c r="H192" s="11" t="s">
        <v>1576</v>
      </c>
      <c r="I192" s="159" t="str">
        <f t="shared" si="2"/>
        <v/>
      </c>
    </row>
    <row r="193" spans="1:9" ht="17.25" customHeight="1" x14ac:dyDescent="0.2">
      <c r="A193">
        <v>191</v>
      </c>
      <c r="B193" s="11" t="s">
        <v>1576</v>
      </c>
      <c r="C193" s="11" t="s">
        <v>1646</v>
      </c>
      <c r="D193" s="11" t="s">
        <v>1648</v>
      </c>
      <c r="E193" s="11" t="s">
        <v>1098</v>
      </c>
      <c r="F193" s="11" t="s">
        <v>1647</v>
      </c>
      <c r="G193" s="162">
        <v>4.8</v>
      </c>
      <c r="H193" s="11" t="s">
        <v>1576</v>
      </c>
      <c r="I193" s="159" t="str">
        <f t="shared" si="2"/>
        <v/>
      </c>
    </row>
    <row r="194" spans="1:9" ht="17.25" customHeight="1" x14ac:dyDescent="0.2">
      <c r="A194">
        <v>192</v>
      </c>
      <c r="B194" s="11" t="s">
        <v>1576</v>
      </c>
      <c r="C194" s="11" t="s">
        <v>1649</v>
      </c>
      <c r="D194" s="11" t="s">
        <v>1651</v>
      </c>
      <c r="E194" s="11" t="s">
        <v>1652</v>
      </c>
      <c r="F194" s="11" t="s">
        <v>1650</v>
      </c>
      <c r="G194" s="162">
        <v>10</v>
      </c>
      <c r="H194" s="11" t="s">
        <v>1576</v>
      </c>
      <c r="I194" s="159" t="str">
        <f t="shared" si="2"/>
        <v/>
      </c>
    </row>
    <row r="195" spans="1:9" ht="17.25" customHeight="1" x14ac:dyDescent="0.2">
      <c r="A195">
        <v>193</v>
      </c>
      <c r="B195" s="11" t="s">
        <v>1576</v>
      </c>
      <c r="C195" s="11" t="s">
        <v>1653</v>
      </c>
      <c r="D195" s="11" t="s">
        <v>1655</v>
      </c>
      <c r="E195" s="11" t="s">
        <v>1652</v>
      </c>
      <c r="F195" s="11" t="s">
        <v>1654</v>
      </c>
      <c r="G195" s="162">
        <v>10</v>
      </c>
      <c r="H195" s="11" t="s">
        <v>1576</v>
      </c>
      <c r="I195" s="159" t="str">
        <f t="shared" ref="I195:I258" si="3">IF(COUNTIF($C$3:$C$356, C195)&gt;1, "Trùng", "")</f>
        <v/>
      </c>
    </row>
    <row r="196" spans="1:9" ht="17.25" customHeight="1" x14ac:dyDescent="0.2">
      <c r="A196">
        <v>194</v>
      </c>
      <c r="B196" s="11" t="s">
        <v>1576</v>
      </c>
      <c r="C196" s="11" t="s">
        <v>1656</v>
      </c>
      <c r="D196" s="11" t="s">
        <v>1658</v>
      </c>
      <c r="E196" s="11" t="s">
        <v>1098</v>
      </c>
      <c r="F196" s="11" t="s">
        <v>1657</v>
      </c>
      <c r="G196" s="162">
        <v>7.2</v>
      </c>
      <c r="H196" s="11" t="s">
        <v>1576</v>
      </c>
      <c r="I196" s="159" t="str">
        <f t="shared" si="3"/>
        <v/>
      </c>
    </row>
    <row r="197" spans="1:9" ht="17.25" customHeight="1" x14ac:dyDescent="0.2">
      <c r="A197">
        <v>195</v>
      </c>
      <c r="B197" s="11" t="s">
        <v>1576</v>
      </c>
      <c r="C197" s="11" t="s">
        <v>1659</v>
      </c>
      <c r="D197" s="11" t="s">
        <v>1661</v>
      </c>
      <c r="E197" s="11" t="s">
        <v>1098</v>
      </c>
      <c r="F197" s="11" t="s">
        <v>1660</v>
      </c>
      <c r="G197" s="162">
        <v>4.8</v>
      </c>
      <c r="H197" s="11" t="s">
        <v>1576</v>
      </c>
      <c r="I197" s="159" t="str">
        <f t="shared" si="3"/>
        <v/>
      </c>
    </row>
    <row r="198" spans="1:9" ht="17.25" customHeight="1" x14ac:dyDescent="0.2">
      <c r="A198">
        <v>196</v>
      </c>
      <c r="B198" s="11" t="s">
        <v>1576</v>
      </c>
      <c r="C198" s="11" t="s">
        <v>1662</v>
      </c>
      <c r="D198" s="11" t="s">
        <v>1664</v>
      </c>
      <c r="E198" s="11" t="s">
        <v>1098</v>
      </c>
      <c r="F198" s="11" t="s">
        <v>1663</v>
      </c>
      <c r="G198" s="162">
        <v>9</v>
      </c>
      <c r="H198" s="11" t="s">
        <v>1576</v>
      </c>
      <c r="I198" s="159" t="str">
        <f t="shared" si="3"/>
        <v/>
      </c>
    </row>
    <row r="199" spans="1:9" ht="17.25" customHeight="1" x14ac:dyDescent="0.2">
      <c r="A199">
        <v>197</v>
      </c>
      <c r="B199" s="11" t="s">
        <v>1576</v>
      </c>
      <c r="C199" s="11" t="s">
        <v>1665</v>
      </c>
      <c r="D199" s="11" t="s">
        <v>1667</v>
      </c>
      <c r="E199" s="11" t="s">
        <v>1652</v>
      </c>
      <c r="F199" s="11" t="s">
        <v>1666</v>
      </c>
      <c r="G199" s="162">
        <v>10</v>
      </c>
      <c r="H199" s="11" t="s">
        <v>1576</v>
      </c>
      <c r="I199" s="159" t="str">
        <f t="shared" si="3"/>
        <v/>
      </c>
    </row>
    <row r="200" spans="1:9" ht="17.25" customHeight="1" x14ac:dyDescent="0.2">
      <c r="A200">
        <v>198</v>
      </c>
      <c r="B200" s="11" t="s">
        <v>1576</v>
      </c>
      <c r="C200" s="11" t="s">
        <v>1668</v>
      </c>
      <c r="D200" s="11" t="s">
        <v>1670</v>
      </c>
      <c r="E200" s="11" t="s">
        <v>1098</v>
      </c>
      <c r="F200" s="11" t="s">
        <v>1669</v>
      </c>
      <c r="G200" s="162">
        <v>6</v>
      </c>
      <c r="H200" s="11" t="s">
        <v>1576</v>
      </c>
      <c r="I200" s="159" t="str">
        <f t="shared" si="3"/>
        <v/>
      </c>
    </row>
    <row r="201" spans="1:9" ht="17.25" customHeight="1" x14ac:dyDescent="0.2">
      <c r="A201">
        <v>199</v>
      </c>
      <c r="B201" s="11" t="s">
        <v>1576</v>
      </c>
      <c r="C201" s="11" t="s">
        <v>1671</v>
      </c>
      <c r="D201" s="11" t="s">
        <v>1673</v>
      </c>
      <c r="E201" s="11" t="s">
        <v>1098</v>
      </c>
      <c r="F201" s="11" t="s">
        <v>1672</v>
      </c>
      <c r="G201" s="162">
        <v>3</v>
      </c>
      <c r="H201" s="11" t="s">
        <v>1576</v>
      </c>
      <c r="I201" s="159" t="str">
        <f t="shared" si="3"/>
        <v/>
      </c>
    </row>
    <row r="202" spans="1:9" ht="17.25" customHeight="1" x14ac:dyDescent="0.2">
      <c r="A202">
        <v>200</v>
      </c>
      <c r="B202" s="11" t="s">
        <v>1576</v>
      </c>
      <c r="C202" s="11" t="s">
        <v>1674</v>
      </c>
      <c r="D202" s="11" t="s">
        <v>1676</v>
      </c>
      <c r="E202" s="11" t="s">
        <v>1098</v>
      </c>
      <c r="F202" s="11" t="s">
        <v>1675</v>
      </c>
      <c r="G202" s="162">
        <v>9</v>
      </c>
      <c r="H202" s="11" t="s">
        <v>1576</v>
      </c>
      <c r="I202" s="159" t="str">
        <f t="shared" si="3"/>
        <v/>
      </c>
    </row>
    <row r="203" spans="1:9" ht="17.25" customHeight="1" x14ac:dyDescent="0.2">
      <c r="A203">
        <v>201</v>
      </c>
      <c r="B203" s="11" t="s">
        <v>1576</v>
      </c>
      <c r="C203" s="11" t="s">
        <v>1677</v>
      </c>
      <c r="D203" s="11" t="s">
        <v>1679</v>
      </c>
      <c r="E203" s="11" t="s">
        <v>1098</v>
      </c>
      <c r="F203" s="11" t="s">
        <v>1678</v>
      </c>
      <c r="G203" s="162">
        <v>5</v>
      </c>
      <c r="H203" s="11" t="s">
        <v>1576</v>
      </c>
      <c r="I203" s="159" t="str">
        <f t="shared" si="3"/>
        <v/>
      </c>
    </row>
    <row r="204" spans="1:9" ht="17.25" customHeight="1" x14ac:dyDescent="0.2">
      <c r="A204">
        <v>202</v>
      </c>
      <c r="B204" s="11" t="s">
        <v>1576</v>
      </c>
      <c r="C204" s="11" t="s">
        <v>1680</v>
      </c>
      <c r="D204" s="11" t="s">
        <v>1682</v>
      </c>
      <c r="E204" s="11" t="s">
        <v>1098</v>
      </c>
      <c r="F204" s="11" t="s">
        <v>1681</v>
      </c>
      <c r="G204" s="162">
        <v>10</v>
      </c>
      <c r="H204" s="11" t="s">
        <v>1576</v>
      </c>
      <c r="I204" s="159" t="str">
        <f t="shared" si="3"/>
        <v>Trùng</v>
      </c>
    </row>
    <row r="205" spans="1:9" ht="17.25" customHeight="1" x14ac:dyDescent="0.2">
      <c r="A205">
        <v>203</v>
      </c>
      <c r="B205" s="11" t="s">
        <v>1576</v>
      </c>
      <c r="C205" s="11" t="s">
        <v>1683</v>
      </c>
      <c r="D205" s="11" t="s">
        <v>1685</v>
      </c>
      <c r="E205" s="11" t="s">
        <v>1098</v>
      </c>
      <c r="F205" s="11" t="s">
        <v>1684</v>
      </c>
      <c r="G205" s="162">
        <v>4.8</v>
      </c>
      <c r="H205" s="11" t="s">
        <v>1576</v>
      </c>
      <c r="I205" s="159" t="str">
        <f t="shared" si="3"/>
        <v/>
      </c>
    </row>
    <row r="206" spans="1:9" ht="17.25" customHeight="1" x14ac:dyDescent="0.2">
      <c r="A206">
        <v>204</v>
      </c>
      <c r="B206" s="11" t="s">
        <v>1576</v>
      </c>
      <c r="C206" s="11" t="s">
        <v>1686</v>
      </c>
      <c r="D206" s="11" t="s">
        <v>1682</v>
      </c>
      <c r="E206" s="11" t="s">
        <v>1098</v>
      </c>
      <c r="F206" s="11" t="s">
        <v>1681</v>
      </c>
      <c r="G206" s="162">
        <v>10</v>
      </c>
      <c r="H206" s="11" t="s">
        <v>1576</v>
      </c>
      <c r="I206" s="159" t="str">
        <f t="shared" si="3"/>
        <v>Trùng</v>
      </c>
    </row>
    <row r="207" spans="1:9" ht="17.25" customHeight="1" x14ac:dyDescent="0.2">
      <c r="A207">
        <v>205</v>
      </c>
      <c r="B207" s="11" t="s">
        <v>1576</v>
      </c>
      <c r="C207" s="11" t="s">
        <v>1687</v>
      </c>
      <c r="D207" s="11" t="s">
        <v>1627</v>
      </c>
      <c r="E207" s="11" t="s">
        <v>1098</v>
      </c>
      <c r="F207" s="11" t="s">
        <v>1626</v>
      </c>
      <c r="G207" s="162">
        <v>4.8</v>
      </c>
      <c r="H207" s="11" t="s">
        <v>1576</v>
      </c>
      <c r="I207" s="159" t="str">
        <f t="shared" si="3"/>
        <v>Trùng</v>
      </c>
    </row>
    <row r="208" spans="1:9" ht="17.25" customHeight="1" x14ac:dyDescent="0.2">
      <c r="A208">
        <v>206</v>
      </c>
      <c r="B208" s="11" t="s">
        <v>1576</v>
      </c>
      <c r="C208" s="11" t="s">
        <v>1688</v>
      </c>
      <c r="D208" s="11" t="s">
        <v>1689</v>
      </c>
      <c r="E208" s="11" t="s">
        <v>1652</v>
      </c>
      <c r="F208" s="11" t="s">
        <v>1689</v>
      </c>
      <c r="G208" s="162">
        <v>10</v>
      </c>
      <c r="H208" s="11" t="s">
        <v>1576</v>
      </c>
      <c r="I208" s="159" t="str">
        <f t="shared" si="3"/>
        <v/>
      </c>
    </row>
    <row r="209" spans="1:9" ht="17.25" customHeight="1" x14ac:dyDescent="0.2">
      <c r="A209">
        <v>207</v>
      </c>
      <c r="B209" s="11" t="s">
        <v>1576</v>
      </c>
      <c r="C209" s="11" t="s">
        <v>1690</v>
      </c>
      <c r="D209" s="11" t="s">
        <v>1692</v>
      </c>
      <c r="E209" s="11" t="s">
        <v>1652</v>
      </c>
      <c r="F209" s="11" t="s">
        <v>1691</v>
      </c>
      <c r="G209" s="162">
        <v>10</v>
      </c>
      <c r="H209" s="11" t="s">
        <v>1576</v>
      </c>
      <c r="I209" s="159" t="str">
        <f t="shared" si="3"/>
        <v/>
      </c>
    </row>
    <row r="210" spans="1:9" ht="17.25" customHeight="1" x14ac:dyDescent="0.2">
      <c r="A210">
        <v>208</v>
      </c>
      <c r="B210" s="11" t="s">
        <v>1576</v>
      </c>
      <c r="C210" s="11" t="s">
        <v>1693</v>
      </c>
      <c r="D210" s="11" t="s">
        <v>1695</v>
      </c>
      <c r="E210" s="11" t="s">
        <v>1652</v>
      </c>
      <c r="F210" s="11" t="s">
        <v>1694</v>
      </c>
      <c r="G210" s="162">
        <v>10</v>
      </c>
      <c r="H210" s="11" t="s">
        <v>1576</v>
      </c>
      <c r="I210" s="159" t="str">
        <f t="shared" si="3"/>
        <v/>
      </c>
    </row>
    <row r="211" spans="1:9" ht="17.25" customHeight="1" x14ac:dyDescent="0.2">
      <c r="A211">
        <v>209</v>
      </c>
      <c r="B211" s="11" t="s">
        <v>1576</v>
      </c>
      <c r="C211" s="11" t="s">
        <v>1696</v>
      </c>
      <c r="D211" s="11" t="s">
        <v>1698</v>
      </c>
      <c r="E211" s="11" t="s">
        <v>1652</v>
      </c>
      <c r="F211" s="11" t="s">
        <v>1697</v>
      </c>
      <c r="G211" s="162">
        <v>10</v>
      </c>
      <c r="H211" s="11" t="s">
        <v>1576</v>
      </c>
      <c r="I211" s="159" t="str">
        <f t="shared" si="3"/>
        <v/>
      </c>
    </row>
    <row r="212" spans="1:9" ht="17.25" customHeight="1" x14ac:dyDescent="0.2">
      <c r="A212">
        <v>210</v>
      </c>
      <c r="B212" s="11" t="s">
        <v>1576</v>
      </c>
      <c r="C212" s="11" t="s">
        <v>1699</v>
      </c>
      <c r="D212" s="11" t="s">
        <v>1701</v>
      </c>
      <c r="E212" s="11" t="s">
        <v>1098</v>
      </c>
      <c r="F212" s="11" t="s">
        <v>1700</v>
      </c>
      <c r="G212" s="162">
        <v>6.5</v>
      </c>
      <c r="H212" s="11" t="s">
        <v>1576</v>
      </c>
      <c r="I212" s="159" t="str">
        <f t="shared" si="3"/>
        <v/>
      </c>
    </row>
    <row r="213" spans="1:9" ht="17.25" customHeight="1" x14ac:dyDescent="0.2">
      <c r="A213">
        <v>211</v>
      </c>
      <c r="B213" s="11" t="s">
        <v>1702</v>
      </c>
      <c r="C213" s="11" t="s">
        <v>1703</v>
      </c>
      <c r="D213" s="11" t="s">
        <v>1705</v>
      </c>
      <c r="E213" s="11" t="s">
        <v>1098</v>
      </c>
      <c r="F213" s="11" t="s">
        <v>1704</v>
      </c>
      <c r="G213" s="162">
        <v>13.095599999999999</v>
      </c>
      <c r="H213" s="11" t="s">
        <v>1702</v>
      </c>
      <c r="I213" s="159" t="str">
        <f t="shared" si="3"/>
        <v/>
      </c>
    </row>
    <row r="214" spans="1:9" ht="17.25" customHeight="1" x14ac:dyDescent="0.2">
      <c r="A214">
        <v>212</v>
      </c>
      <c r="B214" s="11" t="s">
        <v>1702</v>
      </c>
      <c r="C214" s="11" t="s">
        <v>1706</v>
      </c>
      <c r="D214" s="11" t="s">
        <v>1708</v>
      </c>
      <c r="E214" s="11" t="s">
        <v>1098</v>
      </c>
      <c r="F214" s="11" t="s">
        <v>1707</v>
      </c>
      <c r="G214" s="162">
        <v>13.096</v>
      </c>
      <c r="H214" s="11" t="s">
        <v>1702</v>
      </c>
      <c r="I214" s="159" t="str">
        <f t="shared" si="3"/>
        <v/>
      </c>
    </row>
    <row r="215" spans="1:9" ht="17.25" customHeight="1" x14ac:dyDescent="0.2">
      <c r="A215">
        <v>213</v>
      </c>
      <c r="B215" s="11" t="s">
        <v>1702</v>
      </c>
      <c r="C215" s="11" t="s">
        <v>1709</v>
      </c>
      <c r="D215" s="11" t="s">
        <v>1711</v>
      </c>
      <c r="E215" s="11" t="s">
        <v>1098</v>
      </c>
      <c r="F215" s="11" t="s">
        <v>1710</v>
      </c>
      <c r="G215" s="162">
        <v>17.088000000000001</v>
      </c>
      <c r="H215" s="11" t="s">
        <v>1702</v>
      </c>
      <c r="I215" s="159" t="str">
        <f t="shared" si="3"/>
        <v/>
      </c>
    </row>
    <row r="216" spans="1:9" ht="17.25" customHeight="1" x14ac:dyDescent="0.2">
      <c r="A216">
        <v>214</v>
      </c>
      <c r="B216" s="11" t="s">
        <v>1702</v>
      </c>
      <c r="C216" s="11" t="s">
        <v>1712</v>
      </c>
      <c r="D216" s="11" t="s">
        <v>1714</v>
      </c>
      <c r="E216" s="11" t="s">
        <v>1098</v>
      </c>
      <c r="F216" s="11" t="s">
        <v>1713</v>
      </c>
      <c r="G216" s="162">
        <v>10.8</v>
      </c>
      <c r="H216" s="11" t="s">
        <v>1702</v>
      </c>
      <c r="I216" s="159" t="str">
        <f t="shared" si="3"/>
        <v>Trùng</v>
      </c>
    </row>
    <row r="217" spans="1:9" ht="17.25" customHeight="1" x14ac:dyDescent="0.2">
      <c r="A217">
        <v>215</v>
      </c>
      <c r="B217" s="11" t="s">
        <v>1702</v>
      </c>
      <c r="C217" s="11" t="s">
        <v>1715</v>
      </c>
      <c r="D217" s="11" t="s">
        <v>1717</v>
      </c>
      <c r="E217" s="11" t="s">
        <v>1098</v>
      </c>
      <c r="F217" s="11" t="s">
        <v>1716</v>
      </c>
      <c r="G217" s="162">
        <v>5.52</v>
      </c>
      <c r="H217" s="11" t="s">
        <v>1702</v>
      </c>
      <c r="I217" s="159" t="str">
        <f t="shared" si="3"/>
        <v/>
      </c>
    </row>
    <row r="218" spans="1:9" ht="17.25" customHeight="1" x14ac:dyDescent="0.2">
      <c r="A218">
        <v>216</v>
      </c>
      <c r="B218" s="11" t="s">
        <v>1702</v>
      </c>
      <c r="C218" s="11" t="s">
        <v>1718</v>
      </c>
      <c r="D218" s="11" t="s">
        <v>1720</v>
      </c>
      <c r="E218" s="11" t="s">
        <v>1098</v>
      </c>
      <c r="F218" s="11" t="s">
        <v>1719</v>
      </c>
      <c r="G218" s="162">
        <v>5.52</v>
      </c>
      <c r="H218" s="11" t="s">
        <v>1702</v>
      </c>
      <c r="I218" s="159" t="str">
        <f t="shared" si="3"/>
        <v/>
      </c>
    </row>
    <row r="219" spans="1:9" ht="17.25" customHeight="1" x14ac:dyDescent="0.2">
      <c r="A219">
        <v>217</v>
      </c>
      <c r="B219" s="11" t="s">
        <v>1702</v>
      </c>
      <c r="C219" s="11" t="s">
        <v>1721</v>
      </c>
      <c r="D219" s="11" t="s">
        <v>1723</v>
      </c>
      <c r="E219" s="11" t="s">
        <v>1098</v>
      </c>
      <c r="F219" s="11" t="s">
        <v>1722</v>
      </c>
      <c r="G219" s="162">
        <v>6.12</v>
      </c>
      <c r="H219" s="11" t="s">
        <v>1702</v>
      </c>
      <c r="I219" s="159" t="str">
        <f t="shared" si="3"/>
        <v/>
      </c>
    </row>
    <row r="220" spans="1:9" ht="17.25" customHeight="1" x14ac:dyDescent="0.2">
      <c r="A220">
        <v>218</v>
      </c>
      <c r="B220" s="11" t="s">
        <v>1702</v>
      </c>
      <c r="C220" s="11" t="s">
        <v>1724</v>
      </c>
      <c r="D220" s="11" t="s">
        <v>1726</v>
      </c>
      <c r="E220" s="11" t="s">
        <v>1098</v>
      </c>
      <c r="F220" s="11" t="s">
        <v>1725</v>
      </c>
      <c r="G220" s="162">
        <v>6.12</v>
      </c>
      <c r="H220" s="11" t="s">
        <v>1702</v>
      </c>
      <c r="I220" s="159" t="str">
        <f t="shared" si="3"/>
        <v>Trùng</v>
      </c>
    </row>
    <row r="221" spans="1:9" ht="17.25" customHeight="1" x14ac:dyDescent="0.2">
      <c r="A221">
        <v>219</v>
      </c>
      <c r="B221" s="11" t="s">
        <v>1702</v>
      </c>
      <c r="C221" s="11" t="s">
        <v>1727</v>
      </c>
      <c r="D221" s="11" t="s">
        <v>1729</v>
      </c>
      <c r="E221" s="11" t="s">
        <v>1098</v>
      </c>
      <c r="F221" s="11" t="s">
        <v>1728</v>
      </c>
      <c r="G221" s="162">
        <v>6</v>
      </c>
      <c r="H221" s="11" t="s">
        <v>1702</v>
      </c>
      <c r="I221" s="159" t="str">
        <f t="shared" si="3"/>
        <v/>
      </c>
    </row>
    <row r="222" spans="1:9" ht="17.25" customHeight="1" x14ac:dyDescent="0.2">
      <c r="A222">
        <v>220</v>
      </c>
      <c r="B222" s="11" t="s">
        <v>1702</v>
      </c>
      <c r="C222" s="11" t="s">
        <v>1730</v>
      </c>
      <c r="D222" s="11" t="s">
        <v>1732</v>
      </c>
      <c r="E222" s="11" t="s">
        <v>1098</v>
      </c>
      <c r="F222" s="11" t="s">
        <v>1731</v>
      </c>
      <c r="G222" s="162">
        <v>8.5</v>
      </c>
      <c r="H222" s="11" t="s">
        <v>1702</v>
      </c>
      <c r="I222" s="159" t="str">
        <f t="shared" si="3"/>
        <v/>
      </c>
    </row>
    <row r="223" spans="1:9" ht="17.25" customHeight="1" x14ac:dyDescent="0.2">
      <c r="A223">
        <v>221</v>
      </c>
      <c r="B223" s="11" t="s">
        <v>1702</v>
      </c>
      <c r="C223" s="11" t="s">
        <v>1733</v>
      </c>
      <c r="D223" s="11" t="s">
        <v>1735</v>
      </c>
      <c r="E223" s="11" t="s">
        <v>1098</v>
      </c>
      <c r="F223" s="11" t="s">
        <v>1734</v>
      </c>
      <c r="G223" s="162">
        <v>7.6</v>
      </c>
      <c r="H223" s="11" t="s">
        <v>1702</v>
      </c>
      <c r="I223" s="159" t="str">
        <f t="shared" si="3"/>
        <v>Trùng</v>
      </c>
    </row>
    <row r="224" spans="1:9" ht="17.25" customHeight="1" x14ac:dyDescent="0.2">
      <c r="A224">
        <v>222</v>
      </c>
      <c r="B224" s="11" t="s">
        <v>1702</v>
      </c>
      <c r="C224" s="11" t="s">
        <v>1736</v>
      </c>
      <c r="D224" s="11" t="s">
        <v>1738</v>
      </c>
      <c r="E224" s="11" t="s">
        <v>1098</v>
      </c>
      <c r="F224" s="11" t="s">
        <v>1737</v>
      </c>
      <c r="G224" s="162">
        <v>13.385999999999999</v>
      </c>
      <c r="H224" s="11" t="s">
        <v>1702</v>
      </c>
      <c r="I224" s="159" t="str">
        <f t="shared" si="3"/>
        <v/>
      </c>
    </row>
    <row r="225" spans="1:9" ht="17.25" customHeight="1" x14ac:dyDescent="0.2">
      <c r="A225">
        <v>223</v>
      </c>
      <c r="B225" s="11" t="s">
        <v>1702</v>
      </c>
      <c r="C225" s="11" t="s">
        <v>1739</v>
      </c>
      <c r="D225" s="11" t="s">
        <v>1741</v>
      </c>
      <c r="E225" s="11" t="s">
        <v>1098</v>
      </c>
      <c r="F225" s="11" t="s">
        <v>1740</v>
      </c>
      <c r="G225" s="162">
        <v>7.68</v>
      </c>
      <c r="H225" s="11" t="s">
        <v>1702</v>
      </c>
      <c r="I225" s="159" t="str">
        <f t="shared" si="3"/>
        <v/>
      </c>
    </row>
    <row r="226" spans="1:9" ht="17.25" customHeight="1" x14ac:dyDescent="0.2">
      <c r="A226">
        <v>224</v>
      </c>
      <c r="B226" s="11" t="s">
        <v>1702</v>
      </c>
      <c r="C226" s="11" t="s">
        <v>1742</v>
      </c>
      <c r="D226" s="11" t="s">
        <v>1744</v>
      </c>
      <c r="E226" s="11" t="s">
        <v>1098</v>
      </c>
      <c r="F226" s="11" t="s">
        <v>1743</v>
      </c>
      <c r="G226" s="162">
        <v>9.7200000000000006</v>
      </c>
      <c r="H226" s="11" t="s">
        <v>1702</v>
      </c>
      <c r="I226" s="159" t="str">
        <f t="shared" si="3"/>
        <v/>
      </c>
    </row>
    <row r="227" spans="1:9" ht="17.25" customHeight="1" x14ac:dyDescent="0.2">
      <c r="A227">
        <v>225</v>
      </c>
      <c r="B227" s="11" t="s">
        <v>1702</v>
      </c>
      <c r="C227" s="11" t="s">
        <v>1745</v>
      </c>
      <c r="D227" s="11" t="s">
        <v>1747</v>
      </c>
      <c r="E227" s="11" t="s">
        <v>1210</v>
      </c>
      <c r="F227" s="11" t="s">
        <v>1746</v>
      </c>
      <c r="G227" s="162">
        <v>20</v>
      </c>
      <c r="H227" s="11" t="s">
        <v>1702</v>
      </c>
      <c r="I227" s="159" t="str">
        <f t="shared" si="3"/>
        <v/>
      </c>
    </row>
    <row r="228" spans="1:9" ht="17.25" customHeight="1" x14ac:dyDescent="0.2">
      <c r="A228">
        <v>226</v>
      </c>
      <c r="B228" s="11" t="s">
        <v>1702</v>
      </c>
      <c r="C228" s="11" t="s">
        <v>1748</v>
      </c>
      <c r="D228" s="11" t="s">
        <v>1750</v>
      </c>
      <c r="E228" s="11" t="s">
        <v>1098</v>
      </c>
      <c r="F228" s="11" t="s">
        <v>1749</v>
      </c>
      <c r="G228" s="162">
        <v>5.6219999999999999</v>
      </c>
      <c r="H228" s="11" t="s">
        <v>1702</v>
      </c>
      <c r="I228" s="159" t="str">
        <f t="shared" si="3"/>
        <v/>
      </c>
    </row>
    <row r="229" spans="1:9" ht="17.25" customHeight="1" x14ac:dyDescent="0.2">
      <c r="A229">
        <v>227</v>
      </c>
      <c r="B229" s="11" t="s">
        <v>1702</v>
      </c>
      <c r="C229" s="11" t="s">
        <v>1751</v>
      </c>
      <c r="D229" s="11" t="s">
        <v>1753</v>
      </c>
      <c r="E229" s="11" t="s">
        <v>1098</v>
      </c>
      <c r="F229" s="11" t="s">
        <v>1752</v>
      </c>
      <c r="G229" s="162">
        <v>7.5359999999999996</v>
      </c>
      <c r="H229" s="11" t="s">
        <v>1702</v>
      </c>
      <c r="I229" s="159" t="str">
        <f t="shared" si="3"/>
        <v/>
      </c>
    </row>
    <row r="230" spans="1:9" ht="17.25" customHeight="1" x14ac:dyDescent="0.2">
      <c r="A230">
        <v>228</v>
      </c>
      <c r="B230" s="11" t="s">
        <v>1702</v>
      </c>
      <c r="C230" s="11" t="s">
        <v>1754</v>
      </c>
      <c r="D230" s="11" t="s">
        <v>1756</v>
      </c>
      <c r="E230" s="11" t="s">
        <v>1098</v>
      </c>
      <c r="F230" s="11" t="s">
        <v>1755</v>
      </c>
      <c r="G230" s="162">
        <v>16.8</v>
      </c>
      <c r="H230" s="11" t="s">
        <v>1702</v>
      </c>
      <c r="I230" s="159" t="str">
        <f t="shared" si="3"/>
        <v>Trùng</v>
      </c>
    </row>
    <row r="231" spans="1:9" ht="17.25" customHeight="1" x14ac:dyDescent="0.2">
      <c r="A231">
        <v>229</v>
      </c>
      <c r="B231" s="11" t="s">
        <v>1702</v>
      </c>
      <c r="C231" s="11" t="s">
        <v>1757</v>
      </c>
      <c r="D231" s="11" t="s">
        <v>1759</v>
      </c>
      <c r="E231" s="11" t="s">
        <v>1098</v>
      </c>
      <c r="F231" s="11" t="s">
        <v>1758</v>
      </c>
      <c r="G231" s="162">
        <v>12.3</v>
      </c>
      <c r="H231" s="11" t="s">
        <v>1702</v>
      </c>
      <c r="I231" s="159" t="str">
        <f t="shared" si="3"/>
        <v/>
      </c>
    </row>
    <row r="232" spans="1:9" ht="17.25" customHeight="1" x14ac:dyDescent="0.2">
      <c r="A232">
        <v>230</v>
      </c>
      <c r="B232" s="11" t="s">
        <v>1702</v>
      </c>
      <c r="C232" s="11" t="s">
        <v>1760</v>
      </c>
      <c r="D232" s="11" t="s">
        <v>1762</v>
      </c>
      <c r="E232" s="11" t="s">
        <v>1098</v>
      </c>
      <c r="F232" s="11" t="s">
        <v>1761</v>
      </c>
      <c r="G232" s="162">
        <v>12</v>
      </c>
      <c r="H232" s="11" t="s">
        <v>1702</v>
      </c>
      <c r="I232" s="159" t="str">
        <f t="shared" si="3"/>
        <v>Trùng</v>
      </c>
    </row>
    <row r="233" spans="1:9" ht="17.25" customHeight="1" x14ac:dyDescent="0.2">
      <c r="A233">
        <v>231</v>
      </c>
      <c r="B233" s="11" t="s">
        <v>1702</v>
      </c>
      <c r="C233" s="11" t="s">
        <v>1763</v>
      </c>
      <c r="D233" s="11" t="s">
        <v>1765</v>
      </c>
      <c r="E233" s="11" t="s">
        <v>1098</v>
      </c>
      <c r="F233" s="11" t="s">
        <v>1764</v>
      </c>
      <c r="G233" s="162">
        <v>12</v>
      </c>
      <c r="H233" s="11" t="s">
        <v>1702</v>
      </c>
      <c r="I233" s="159" t="str">
        <f t="shared" si="3"/>
        <v/>
      </c>
    </row>
    <row r="234" spans="1:9" ht="17.25" customHeight="1" x14ac:dyDescent="0.2">
      <c r="A234">
        <v>232</v>
      </c>
      <c r="B234" s="11" t="s">
        <v>1702</v>
      </c>
      <c r="C234" s="11" t="s">
        <v>1766</v>
      </c>
      <c r="D234" s="11" t="s">
        <v>1768</v>
      </c>
      <c r="E234" s="11" t="s">
        <v>1098</v>
      </c>
      <c r="F234" s="11" t="s">
        <v>1767</v>
      </c>
      <c r="G234" s="162">
        <v>12</v>
      </c>
      <c r="H234" s="11" t="s">
        <v>1702</v>
      </c>
      <c r="I234" s="159" t="str">
        <f t="shared" si="3"/>
        <v>Trùng</v>
      </c>
    </row>
    <row r="235" spans="1:9" ht="17.25" customHeight="1" x14ac:dyDescent="0.2">
      <c r="A235">
        <v>233</v>
      </c>
      <c r="B235" s="11" t="s">
        <v>1702</v>
      </c>
      <c r="C235" s="11" t="s">
        <v>1769</v>
      </c>
      <c r="D235" s="11" t="s">
        <v>1771</v>
      </c>
      <c r="E235" s="11" t="s">
        <v>1098</v>
      </c>
      <c r="F235" s="11" t="s">
        <v>1770</v>
      </c>
      <c r="G235" s="162">
        <v>12</v>
      </c>
      <c r="H235" s="11" t="s">
        <v>1702</v>
      </c>
      <c r="I235" s="159" t="str">
        <f t="shared" si="3"/>
        <v>Trùng</v>
      </c>
    </row>
    <row r="236" spans="1:9" ht="17.25" customHeight="1" x14ac:dyDescent="0.2">
      <c r="A236">
        <v>234</v>
      </c>
      <c r="B236" s="11" t="s">
        <v>1702</v>
      </c>
      <c r="C236" s="11" t="s">
        <v>1772</v>
      </c>
      <c r="D236" s="11" t="s">
        <v>1774</v>
      </c>
      <c r="E236" s="11" t="s">
        <v>1098</v>
      </c>
      <c r="F236" s="11" t="s">
        <v>1773</v>
      </c>
      <c r="G236" s="162">
        <v>9.7792999999999992</v>
      </c>
      <c r="H236" s="11" t="s">
        <v>1702</v>
      </c>
      <c r="I236" s="159" t="str">
        <f t="shared" si="3"/>
        <v/>
      </c>
    </row>
    <row r="237" spans="1:9" ht="17.25" customHeight="1" x14ac:dyDescent="0.2">
      <c r="A237">
        <v>235</v>
      </c>
      <c r="B237" s="11" t="s">
        <v>1702</v>
      </c>
      <c r="C237" s="11" t="s">
        <v>1775</v>
      </c>
      <c r="D237" s="11" t="s">
        <v>1777</v>
      </c>
      <c r="E237" s="11" t="s">
        <v>1098</v>
      </c>
      <c r="F237" s="11" t="s">
        <v>1776</v>
      </c>
      <c r="G237" s="162">
        <v>6.48</v>
      </c>
      <c r="H237" s="11" t="s">
        <v>1702</v>
      </c>
      <c r="I237" s="159" t="str">
        <f t="shared" si="3"/>
        <v/>
      </c>
    </row>
    <row r="238" spans="1:9" ht="17.25" customHeight="1" x14ac:dyDescent="0.2">
      <c r="A238">
        <v>236</v>
      </c>
      <c r="B238" s="11" t="s">
        <v>1702</v>
      </c>
      <c r="C238" s="11" t="s">
        <v>1778</v>
      </c>
      <c r="D238" s="11" t="s">
        <v>1780</v>
      </c>
      <c r="E238" s="11" t="s">
        <v>1098</v>
      </c>
      <c r="F238" s="11" t="s">
        <v>1779</v>
      </c>
      <c r="G238" s="162">
        <v>9.6</v>
      </c>
      <c r="H238" s="11" t="s">
        <v>1702</v>
      </c>
      <c r="I238" s="159" t="str">
        <f t="shared" si="3"/>
        <v>Trùng</v>
      </c>
    </row>
    <row r="239" spans="1:9" ht="17.25" customHeight="1" x14ac:dyDescent="0.2">
      <c r="A239">
        <v>237</v>
      </c>
      <c r="B239" s="11" t="s">
        <v>1702</v>
      </c>
      <c r="C239" s="11" t="s">
        <v>1781</v>
      </c>
      <c r="D239" s="11" t="s">
        <v>1783</v>
      </c>
      <c r="E239" s="11" t="s">
        <v>1098</v>
      </c>
      <c r="F239" s="11" t="s">
        <v>1782</v>
      </c>
      <c r="G239" s="162">
        <v>5.64</v>
      </c>
      <c r="H239" s="11" t="s">
        <v>1702</v>
      </c>
      <c r="I239" s="159" t="str">
        <f t="shared" si="3"/>
        <v/>
      </c>
    </row>
    <row r="240" spans="1:9" ht="17.25" customHeight="1" x14ac:dyDescent="0.2">
      <c r="A240">
        <v>238</v>
      </c>
      <c r="B240" s="11" t="s">
        <v>1702</v>
      </c>
      <c r="C240" s="11" t="s">
        <v>1784</v>
      </c>
      <c r="D240" s="11" t="s">
        <v>1786</v>
      </c>
      <c r="E240" s="11" t="s">
        <v>1098</v>
      </c>
      <c r="F240" s="11" t="s">
        <v>1785</v>
      </c>
      <c r="G240" s="162">
        <v>6</v>
      </c>
      <c r="H240" s="11" t="s">
        <v>1702</v>
      </c>
      <c r="I240" s="159" t="str">
        <f t="shared" si="3"/>
        <v>Trùng</v>
      </c>
    </row>
    <row r="241" spans="1:9" ht="17.25" customHeight="1" x14ac:dyDescent="0.2">
      <c r="A241">
        <v>239</v>
      </c>
      <c r="B241" s="11" t="s">
        <v>1702</v>
      </c>
      <c r="C241" s="11" t="s">
        <v>1787</v>
      </c>
      <c r="D241" s="11" t="s">
        <v>1789</v>
      </c>
      <c r="E241" s="11" t="s">
        <v>1098</v>
      </c>
      <c r="F241" s="11" t="s">
        <v>1788</v>
      </c>
      <c r="G241" s="162">
        <v>12</v>
      </c>
      <c r="H241" s="11" t="s">
        <v>1702</v>
      </c>
      <c r="I241" s="159" t="str">
        <f t="shared" si="3"/>
        <v/>
      </c>
    </row>
    <row r="242" spans="1:9" ht="17.25" customHeight="1" x14ac:dyDescent="0.2">
      <c r="A242">
        <v>240</v>
      </c>
      <c r="B242" s="11" t="s">
        <v>1702</v>
      </c>
      <c r="C242" s="11" t="s">
        <v>1790</v>
      </c>
      <c r="D242" s="11" t="s">
        <v>1792</v>
      </c>
      <c r="E242" s="11" t="s">
        <v>1098</v>
      </c>
      <c r="F242" s="11" t="s">
        <v>1791</v>
      </c>
      <c r="G242" s="162">
        <v>6.12</v>
      </c>
      <c r="H242" s="11" t="s">
        <v>1702</v>
      </c>
      <c r="I242" s="159" t="str">
        <f t="shared" si="3"/>
        <v>Trùng</v>
      </c>
    </row>
    <row r="243" spans="1:9" ht="17.25" customHeight="1" x14ac:dyDescent="0.2">
      <c r="A243">
        <v>241</v>
      </c>
      <c r="B243" s="11" t="s">
        <v>1702</v>
      </c>
      <c r="C243" s="11" t="s">
        <v>1793</v>
      </c>
      <c r="D243" s="11" t="s">
        <v>1795</v>
      </c>
      <c r="E243" s="11" t="s">
        <v>1098</v>
      </c>
      <c r="F243" s="11" t="s">
        <v>1794</v>
      </c>
      <c r="G243" s="162">
        <v>10</v>
      </c>
      <c r="H243" s="11" t="s">
        <v>1702</v>
      </c>
      <c r="I243" s="159" t="str">
        <f t="shared" si="3"/>
        <v/>
      </c>
    </row>
    <row r="244" spans="1:9" ht="17.25" customHeight="1" x14ac:dyDescent="0.2">
      <c r="A244">
        <v>242</v>
      </c>
      <c r="B244" s="11" t="s">
        <v>1702</v>
      </c>
      <c r="C244" s="11" t="s">
        <v>1796</v>
      </c>
      <c r="D244" s="11" t="s">
        <v>1798</v>
      </c>
      <c r="E244" s="11" t="s">
        <v>1098</v>
      </c>
      <c r="F244" s="11" t="s">
        <v>1797</v>
      </c>
      <c r="G244" s="162">
        <v>6.12</v>
      </c>
      <c r="H244" s="11" t="s">
        <v>1702</v>
      </c>
      <c r="I244" s="159" t="str">
        <f t="shared" si="3"/>
        <v>Trùng</v>
      </c>
    </row>
    <row r="245" spans="1:9" ht="17.25" customHeight="1" x14ac:dyDescent="0.2">
      <c r="A245">
        <v>243</v>
      </c>
      <c r="B245" s="11" t="s">
        <v>1702</v>
      </c>
      <c r="C245" s="11" t="s">
        <v>1799</v>
      </c>
      <c r="D245" s="11" t="s">
        <v>1801</v>
      </c>
      <c r="E245" s="11" t="s">
        <v>1098</v>
      </c>
      <c r="F245" s="11" t="s">
        <v>1800</v>
      </c>
      <c r="G245" s="162">
        <v>13.2</v>
      </c>
      <c r="H245" s="11" t="s">
        <v>1702</v>
      </c>
      <c r="I245" s="159" t="str">
        <f t="shared" si="3"/>
        <v/>
      </c>
    </row>
    <row r="246" spans="1:9" ht="17.25" customHeight="1" x14ac:dyDescent="0.2">
      <c r="A246">
        <v>244</v>
      </c>
      <c r="B246" s="11" t="s">
        <v>1702</v>
      </c>
      <c r="C246" s="11" t="s">
        <v>1802</v>
      </c>
      <c r="D246" s="11" t="s">
        <v>1804</v>
      </c>
      <c r="E246" s="11" t="s">
        <v>1098</v>
      </c>
      <c r="F246" s="11" t="s">
        <v>1803</v>
      </c>
      <c r="G246" s="162">
        <v>9.6</v>
      </c>
      <c r="H246" s="11" t="s">
        <v>1702</v>
      </c>
      <c r="I246" s="159" t="str">
        <f t="shared" si="3"/>
        <v/>
      </c>
    </row>
    <row r="247" spans="1:9" ht="17.25" customHeight="1" x14ac:dyDescent="0.2">
      <c r="A247">
        <v>245</v>
      </c>
      <c r="B247" s="11" t="s">
        <v>1702</v>
      </c>
      <c r="C247" s="11" t="s">
        <v>1805</v>
      </c>
      <c r="D247" s="11" t="s">
        <v>1807</v>
      </c>
      <c r="E247" s="11" t="s">
        <v>1098</v>
      </c>
      <c r="F247" s="11" t="s">
        <v>1806</v>
      </c>
      <c r="G247" s="162">
        <v>9.6</v>
      </c>
      <c r="H247" s="11" t="s">
        <v>1702</v>
      </c>
      <c r="I247" s="159" t="str">
        <f t="shared" si="3"/>
        <v>Trùng</v>
      </c>
    </row>
    <row r="248" spans="1:9" ht="17.25" customHeight="1" x14ac:dyDescent="0.2">
      <c r="A248">
        <v>246</v>
      </c>
      <c r="B248" s="11" t="s">
        <v>1702</v>
      </c>
      <c r="C248" s="11" t="s">
        <v>1808</v>
      </c>
      <c r="D248" s="11" t="s">
        <v>1810</v>
      </c>
      <c r="E248" s="11" t="s">
        <v>1098</v>
      </c>
      <c r="F248" s="11" t="s">
        <v>1809</v>
      </c>
      <c r="G248" s="162">
        <v>15</v>
      </c>
      <c r="H248" s="11" t="s">
        <v>1702</v>
      </c>
      <c r="I248" s="159" t="str">
        <f t="shared" si="3"/>
        <v/>
      </c>
    </row>
    <row r="249" spans="1:9" ht="17.25" customHeight="1" x14ac:dyDescent="0.2">
      <c r="A249">
        <v>247</v>
      </c>
      <c r="B249" s="11" t="s">
        <v>1702</v>
      </c>
      <c r="C249" s="11" t="s">
        <v>1811</v>
      </c>
      <c r="D249" s="11" t="s">
        <v>1813</v>
      </c>
      <c r="E249" s="11" t="s">
        <v>1652</v>
      </c>
      <c r="F249" s="11" t="s">
        <v>1812</v>
      </c>
      <c r="G249" s="162">
        <v>25</v>
      </c>
      <c r="H249" s="11" t="s">
        <v>1702</v>
      </c>
      <c r="I249" s="159" t="str">
        <f t="shared" si="3"/>
        <v/>
      </c>
    </row>
    <row r="250" spans="1:9" ht="17.25" customHeight="1" x14ac:dyDescent="0.2">
      <c r="A250">
        <v>248</v>
      </c>
      <c r="B250" s="11" t="s">
        <v>1702</v>
      </c>
      <c r="C250" s="11" t="s">
        <v>1814</v>
      </c>
      <c r="D250" s="11" t="s">
        <v>1816</v>
      </c>
      <c r="E250" s="11" t="s">
        <v>1098</v>
      </c>
      <c r="F250" s="11" t="s">
        <v>1815</v>
      </c>
      <c r="G250" s="162">
        <v>13.458</v>
      </c>
      <c r="H250" s="11" t="s">
        <v>1702</v>
      </c>
      <c r="I250" s="159" t="str">
        <f t="shared" si="3"/>
        <v/>
      </c>
    </row>
    <row r="251" spans="1:9" ht="17.25" customHeight="1" x14ac:dyDescent="0.2">
      <c r="A251">
        <v>249</v>
      </c>
      <c r="B251" s="11" t="s">
        <v>1702</v>
      </c>
      <c r="C251" s="11" t="s">
        <v>1817</v>
      </c>
      <c r="D251" s="11" t="s">
        <v>1819</v>
      </c>
      <c r="E251" s="11" t="s">
        <v>1098</v>
      </c>
      <c r="F251" s="11" t="s">
        <v>1818</v>
      </c>
      <c r="G251" s="162">
        <v>7.6</v>
      </c>
      <c r="H251" s="11" t="s">
        <v>1702</v>
      </c>
      <c r="I251" s="159" t="str">
        <f t="shared" si="3"/>
        <v/>
      </c>
    </row>
    <row r="252" spans="1:9" ht="17.25" customHeight="1" x14ac:dyDescent="0.2">
      <c r="A252">
        <v>250</v>
      </c>
      <c r="B252" s="11" t="s">
        <v>1702</v>
      </c>
      <c r="C252" s="11" t="s">
        <v>1820</v>
      </c>
      <c r="D252" s="11" t="s">
        <v>1822</v>
      </c>
      <c r="E252" s="11" t="s">
        <v>1098</v>
      </c>
      <c r="F252" s="11" t="s">
        <v>1821</v>
      </c>
      <c r="G252" s="162">
        <v>13.7736</v>
      </c>
      <c r="H252" s="11" t="s">
        <v>1702</v>
      </c>
      <c r="I252" s="159" t="str">
        <f t="shared" si="3"/>
        <v/>
      </c>
    </row>
    <row r="253" spans="1:9" ht="17.25" customHeight="1" x14ac:dyDescent="0.2">
      <c r="A253">
        <v>251</v>
      </c>
      <c r="B253" s="11" t="s">
        <v>1702</v>
      </c>
      <c r="C253" s="11" t="s">
        <v>1823</v>
      </c>
      <c r="D253" s="11" t="s">
        <v>1825</v>
      </c>
      <c r="E253" s="11" t="s">
        <v>1098</v>
      </c>
      <c r="F253" s="11" t="s">
        <v>1824</v>
      </c>
      <c r="G253" s="162">
        <v>12</v>
      </c>
      <c r="H253" s="11" t="s">
        <v>1702</v>
      </c>
      <c r="I253" s="159" t="str">
        <f t="shared" si="3"/>
        <v/>
      </c>
    </row>
    <row r="254" spans="1:9" ht="17.25" customHeight="1" x14ac:dyDescent="0.2">
      <c r="A254">
        <v>252</v>
      </c>
      <c r="B254" s="11" t="s">
        <v>1702</v>
      </c>
      <c r="C254" s="11" t="s">
        <v>1826</v>
      </c>
      <c r="D254" s="11" t="s">
        <v>1828</v>
      </c>
      <c r="E254" s="11" t="s">
        <v>1098</v>
      </c>
      <c r="F254" s="11" t="s">
        <v>1827</v>
      </c>
      <c r="G254" s="162">
        <v>15</v>
      </c>
      <c r="H254" s="11" t="s">
        <v>1702</v>
      </c>
      <c r="I254" s="159" t="str">
        <f t="shared" si="3"/>
        <v>Trùng</v>
      </c>
    </row>
    <row r="255" spans="1:9" ht="17.25" customHeight="1" x14ac:dyDescent="0.2">
      <c r="A255">
        <v>253</v>
      </c>
      <c r="B255" s="11" t="s">
        <v>1702</v>
      </c>
      <c r="C255" s="11" t="s">
        <v>1829</v>
      </c>
      <c r="D255" s="11" t="s">
        <v>1831</v>
      </c>
      <c r="E255" s="11" t="s">
        <v>1098</v>
      </c>
      <c r="F255" s="11" t="s">
        <v>1830</v>
      </c>
      <c r="G255" s="162">
        <v>6</v>
      </c>
      <c r="H255" s="11" t="s">
        <v>1702</v>
      </c>
      <c r="I255" s="159" t="str">
        <f t="shared" si="3"/>
        <v/>
      </c>
    </row>
    <row r="256" spans="1:9" ht="17.25" customHeight="1" x14ac:dyDescent="0.2">
      <c r="A256">
        <v>254</v>
      </c>
      <c r="B256" s="11" t="s">
        <v>1702</v>
      </c>
      <c r="C256" s="11" t="s">
        <v>1832</v>
      </c>
      <c r="D256" s="11" t="s">
        <v>1834</v>
      </c>
      <c r="E256" s="11" t="s">
        <v>1098</v>
      </c>
      <c r="F256" s="11" t="s">
        <v>1833</v>
      </c>
      <c r="G256" s="162">
        <v>12.6</v>
      </c>
      <c r="H256" s="11" t="s">
        <v>1702</v>
      </c>
      <c r="I256" s="159" t="str">
        <f t="shared" si="3"/>
        <v>Trùng</v>
      </c>
    </row>
    <row r="257" spans="1:9" ht="17.25" customHeight="1" x14ac:dyDescent="0.2">
      <c r="A257">
        <v>255</v>
      </c>
      <c r="B257" s="11" t="s">
        <v>1702</v>
      </c>
      <c r="C257" s="11" t="s">
        <v>1835</v>
      </c>
      <c r="D257" s="11" t="s">
        <v>1837</v>
      </c>
      <c r="E257" s="11" t="s">
        <v>1098</v>
      </c>
      <c r="F257" s="11" t="s">
        <v>1836</v>
      </c>
      <c r="G257" s="162">
        <v>12</v>
      </c>
      <c r="H257" s="11" t="s">
        <v>1702</v>
      </c>
      <c r="I257" s="159" t="str">
        <f t="shared" si="3"/>
        <v/>
      </c>
    </row>
    <row r="258" spans="1:9" ht="17.25" customHeight="1" x14ac:dyDescent="0.2">
      <c r="A258">
        <v>256</v>
      </c>
      <c r="B258" s="11" t="s">
        <v>1702</v>
      </c>
      <c r="C258" s="11" t="s">
        <v>1838</v>
      </c>
      <c r="D258" s="11" t="s">
        <v>1840</v>
      </c>
      <c r="E258" s="11" t="s">
        <v>1098</v>
      </c>
      <c r="F258" s="11" t="s">
        <v>1839</v>
      </c>
      <c r="G258" s="162">
        <v>12</v>
      </c>
      <c r="H258" s="11" t="s">
        <v>1702</v>
      </c>
      <c r="I258" s="159" t="str">
        <f t="shared" si="3"/>
        <v/>
      </c>
    </row>
    <row r="259" spans="1:9" ht="17.25" customHeight="1" x14ac:dyDescent="0.2">
      <c r="A259">
        <v>257</v>
      </c>
      <c r="B259" s="11" t="s">
        <v>1702</v>
      </c>
      <c r="C259" s="11" t="s">
        <v>1841</v>
      </c>
      <c r="D259" s="11" t="s">
        <v>1842</v>
      </c>
      <c r="E259" s="11" t="s">
        <v>1098</v>
      </c>
      <c r="F259" s="11" t="s">
        <v>1749</v>
      </c>
      <c r="G259" s="162">
        <v>5.6219999999999999</v>
      </c>
      <c r="H259" s="11" t="s">
        <v>1702</v>
      </c>
      <c r="I259" s="159" t="str">
        <f t="shared" ref="I259:I322" si="4">IF(COUNTIF($C$3:$C$356, C259)&gt;1, "Trùng", "")</f>
        <v/>
      </c>
    </row>
    <row r="260" spans="1:9" ht="17.25" customHeight="1" x14ac:dyDescent="0.2">
      <c r="A260">
        <v>258</v>
      </c>
      <c r="B260" s="11" t="s">
        <v>1702</v>
      </c>
      <c r="C260" s="11" t="s">
        <v>1843</v>
      </c>
      <c r="D260" s="11" t="s">
        <v>1845</v>
      </c>
      <c r="E260" s="11" t="s">
        <v>1098</v>
      </c>
      <c r="F260" s="11" t="s">
        <v>1844</v>
      </c>
      <c r="G260" s="162">
        <v>6.12</v>
      </c>
      <c r="H260" s="11" t="s">
        <v>1702</v>
      </c>
      <c r="I260" s="159" t="str">
        <f t="shared" si="4"/>
        <v/>
      </c>
    </row>
    <row r="261" spans="1:9" ht="17.25" customHeight="1" x14ac:dyDescent="0.2">
      <c r="A261">
        <v>259</v>
      </c>
      <c r="B261" s="11" t="s">
        <v>1702</v>
      </c>
      <c r="C261" s="11" t="s">
        <v>1846</v>
      </c>
      <c r="D261" s="11" t="s">
        <v>1848</v>
      </c>
      <c r="E261" s="11" t="s">
        <v>1098</v>
      </c>
      <c r="F261" s="11" t="s">
        <v>1847</v>
      </c>
      <c r="G261" s="162">
        <v>12</v>
      </c>
      <c r="H261" s="11" t="s">
        <v>1702</v>
      </c>
      <c r="I261" s="159" t="str">
        <f t="shared" si="4"/>
        <v/>
      </c>
    </row>
    <row r="262" spans="1:9" ht="17.25" customHeight="1" x14ac:dyDescent="0.2">
      <c r="A262">
        <v>260</v>
      </c>
      <c r="B262" s="11" t="s">
        <v>1702</v>
      </c>
      <c r="C262" s="11" t="s">
        <v>1849</v>
      </c>
      <c r="D262" s="11" t="s">
        <v>1851</v>
      </c>
      <c r="E262" s="11" t="s">
        <v>1098</v>
      </c>
      <c r="F262" s="11" t="s">
        <v>1850</v>
      </c>
      <c r="G262" s="162">
        <v>6</v>
      </c>
      <c r="H262" s="11" t="s">
        <v>1702</v>
      </c>
      <c r="I262" s="159" t="str">
        <f t="shared" si="4"/>
        <v/>
      </c>
    </row>
    <row r="263" spans="1:9" ht="17.25" customHeight="1" x14ac:dyDescent="0.2">
      <c r="A263">
        <v>261</v>
      </c>
      <c r="B263" s="11" t="s">
        <v>1702</v>
      </c>
      <c r="C263" s="11" t="s">
        <v>1852</v>
      </c>
      <c r="D263" s="11" t="s">
        <v>1854</v>
      </c>
      <c r="E263" s="11" t="s">
        <v>1098</v>
      </c>
      <c r="F263" s="11" t="s">
        <v>1853</v>
      </c>
      <c r="G263" s="162">
        <v>12.6</v>
      </c>
      <c r="H263" s="11" t="s">
        <v>1702</v>
      </c>
      <c r="I263" s="159" t="str">
        <f t="shared" si="4"/>
        <v>Trùng</v>
      </c>
    </row>
    <row r="264" spans="1:9" ht="17.25" customHeight="1" x14ac:dyDescent="0.2">
      <c r="A264">
        <v>262</v>
      </c>
      <c r="B264" s="11" t="s">
        <v>1702</v>
      </c>
      <c r="C264" s="11" t="s">
        <v>1855</v>
      </c>
      <c r="D264" s="11" t="s">
        <v>1857</v>
      </c>
      <c r="E264" s="11" t="s">
        <v>1098</v>
      </c>
      <c r="F264" s="11" t="s">
        <v>1856</v>
      </c>
      <c r="G264" s="162">
        <v>8</v>
      </c>
      <c r="H264" s="11" t="s">
        <v>1702</v>
      </c>
      <c r="I264" s="159" t="str">
        <f t="shared" si="4"/>
        <v/>
      </c>
    </row>
    <row r="265" spans="1:9" ht="17.25" customHeight="1" x14ac:dyDescent="0.2">
      <c r="A265">
        <v>263</v>
      </c>
      <c r="B265" s="11" t="s">
        <v>1702</v>
      </c>
      <c r="C265" s="11" t="s">
        <v>1858</v>
      </c>
      <c r="D265" s="11" t="s">
        <v>1860</v>
      </c>
      <c r="E265" s="11" t="s">
        <v>1098</v>
      </c>
      <c r="F265" s="11" t="s">
        <v>1859</v>
      </c>
      <c r="G265" s="162">
        <v>8</v>
      </c>
      <c r="H265" s="11" t="s">
        <v>1702</v>
      </c>
      <c r="I265" s="159" t="str">
        <f t="shared" si="4"/>
        <v/>
      </c>
    </row>
    <row r="266" spans="1:9" ht="17.25" customHeight="1" x14ac:dyDescent="0.2">
      <c r="A266">
        <v>264</v>
      </c>
      <c r="B266" s="11" t="s">
        <v>1702</v>
      </c>
      <c r="C266" s="11" t="s">
        <v>1861</v>
      </c>
      <c r="D266" s="11" t="s">
        <v>1863</v>
      </c>
      <c r="E266" s="11" t="s">
        <v>1098</v>
      </c>
      <c r="F266" s="11" t="s">
        <v>1862</v>
      </c>
      <c r="G266" s="162">
        <v>10</v>
      </c>
      <c r="H266" s="11" t="s">
        <v>1702</v>
      </c>
      <c r="I266" s="159" t="str">
        <f t="shared" si="4"/>
        <v>Trùng</v>
      </c>
    </row>
    <row r="267" spans="1:9" ht="17.25" customHeight="1" x14ac:dyDescent="0.2">
      <c r="A267">
        <v>265</v>
      </c>
      <c r="B267" s="11" t="s">
        <v>1702</v>
      </c>
      <c r="C267" s="11" t="s">
        <v>1864</v>
      </c>
      <c r="D267" s="11" t="s">
        <v>1866</v>
      </c>
      <c r="E267" s="11" t="s">
        <v>1098</v>
      </c>
      <c r="F267" s="11" t="s">
        <v>1865</v>
      </c>
      <c r="G267" s="162">
        <v>23.05</v>
      </c>
      <c r="H267" s="11" t="s">
        <v>1702</v>
      </c>
      <c r="I267" s="159" t="str">
        <f t="shared" si="4"/>
        <v/>
      </c>
    </row>
    <row r="268" spans="1:9" ht="17.25" customHeight="1" x14ac:dyDescent="0.2">
      <c r="A268">
        <v>266</v>
      </c>
      <c r="B268" s="11" t="s">
        <v>1702</v>
      </c>
      <c r="C268" s="11" t="s">
        <v>1473</v>
      </c>
      <c r="D268" s="164" t="s">
        <v>1474</v>
      </c>
      <c r="E268" s="11" t="s">
        <v>1098</v>
      </c>
      <c r="F268" s="11" t="s">
        <v>1474</v>
      </c>
      <c r="G268" s="162">
        <v>10.92</v>
      </c>
      <c r="H268" s="11" t="s">
        <v>1702</v>
      </c>
      <c r="I268" s="159" t="str">
        <f t="shared" si="4"/>
        <v>Trùng</v>
      </c>
    </row>
    <row r="269" spans="1:9" ht="17.25" customHeight="1" x14ac:dyDescent="0.2">
      <c r="A269">
        <v>267</v>
      </c>
      <c r="B269" s="11" t="s">
        <v>1702</v>
      </c>
      <c r="C269" s="11" t="s">
        <v>1867</v>
      </c>
      <c r="D269" s="11" t="s">
        <v>1828</v>
      </c>
      <c r="E269" s="11" t="s">
        <v>1098</v>
      </c>
      <c r="F269" s="11" t="s">
        <v>1827</v>
      </c>
      <c r="G269" s="162">
        <v>15</v>
      </c>
      <c r="H269" s="11" t="s">
        <v>1702</v>
      </c>
      <c r="I269" s="159" t="str">
        <f t="shared" si="4"/>
        <v>Trùng</v>
      </c>
    </row>
    <row r="270" spans="1:9" ht="17.25" customHeight="1" x14ac:dyDescent="0.2">
      <c r="A270">
        <v>268</v>
      </c>
      <c r="B270" s="11" t="s">
        <v>1702</v>
      </c>
      <c r="C270" s="11" t="s">
        <v>1868</v>
      </c>
      <c r="D270" s="11" t="s">
        <v>1771</v>
      </c>
      <c r="E270" s="11" t="s">
        <v>1098</v>
      </c>
      <c r="F270" s="11" t="s">
        <v>1770</v>
      </c>
      <c r="G270" s="162">
        <v>12</v>
      </c>
      <c r="H270" s="11" t="s">
        <v>1702</v>
      </c>
      <c r="I270" s="159" t="str">
        <f t="shared" si="4"/>
        <v>Trùng</v>
      </c>
    </row>
    <row r="271" spans="1:9" ht="17.25" customHeight="1" x14ac:dyDescent="0.2">
      <c r="A271">
        <v>269</v>
      </c>
      <c r="B271" s="11" t="s">
        <v>1702</v>
      </c>
      <c r="C271" s="11" t="s">
        <v>1869</v>
      </c>
      <c r="D271" s="11" t="s">
        <v>1871</v>
      </c>
      <c r="E271" s="11" t="s">
        <v>1098</v>
      </c>
      <c r="F271" s="11" t="s">
        <v>1870</v>
      </c>
      <c r="G271" s="162">
        <v>13.5</v>
      </c>
      <c r="H271" s="11" t="s">
        <v>1702</v>
      </c>
      <c r="I271" s="159" t="str">
        <f t="shared" si="4"/>
        <v/>
      </c>
    </row>
    <row r="272" spans="1:9" ht="17.25" customHeight="1" x14ac:dyDescent="0.2">
      <c r="A272">
        <v>270</v>
      </c>
      <c r="B272" s="11" t="s">
        <v>1702</v>
      </c>
      <c r="C272" s="11" t="s">
        <v>1872</v>
      </c>
      <c r="D272" s="11" t="s">
        <v>1714</v>
      </c>
      <c r="E272" s="11" t="s">
        <v>1098</v>
      </c>
      <c r="F272" s="11" t="s">
        <v>1713</v>
      </c>
      <c r="G272" s="162">
        <v>10.8</v>
      </c>
      <c r="H272" s="11" t="s">
        <v>1702</v>
      </c>
      <c r="I272" s="159" t="str">
        <f t="shared" si="4"/>
        <v>Trùng</v>
      </c>
    </row>
    <row r="273" spans="1:9" ht="17.25" customHeight="1" x14ac:dyDescent="0.2">
      <c r="A273">
        <v>271</v>
      </c>
      <c r="B273" s="11" t="s">
        <v>1702</v>
      </c>
      <c r="C273" s="11" t="s">
        <v>1873</v>
      </c>
      <c r="D273" s="11" t="s">
        <v>1863</v>
      </c>
      <c r="E273" s="11" t="s">
        <v>1098</v>
      </c>
      <c r="F273" s="11" t="s">
        <v>1862</v>
      </c>
      <c r="G273" s="162">
        <v>10</v>
      </c>
      <c r="H273" s="11" t="s">
        <v>1702</v>
      </c>
      <c r="I273" s="159" t="str">
        <f t="shared" si="4"/>
        <v>Trùng</v>
      </c>
    </row>
    <row r="274" spans="1:9" ht="17.25" customHeight="1" x14ac:dyDescent="0.2">
      <c r="A274">
        <v>272</v>
      </c>
      <c r="B274" s="11" t="s">
        <v>1702</v>
      </c>
      <c r="C274" s="11" t="s">
        <v>1874</v>
      </c>
      <c r="D274" s="11" t="s">
        <v>1735</v>
      </c>
      <c r="E274" s="11" t="s">
        <v>1098</v>
      </c>
      <c r="F274" s="11" t="s">
        <v>1734</v>
      </c>
      <c r="G274" s="162">
        <v>7.6</v>
      </c>
      <c r="H274" s="11" t="s">
        <v>1702</v>
      </c>
      <c r="I274" s="159" t="str">
        <f t="shared" si="4"/>
        <v>Trùng</v>
      </c>
    </row>
    <row r="275" spans="1:9" ht="17.25" customHeight="1" x14ac:dyDescent="0.2">
      <c r="A275">
        <v>273</v>
      </c>
      <c r="B275" s="11" t="s">
        <v>1702</v>
      </c>
      <c r="C275" s="11" t="s">
        <v>1875</v>
      </c>
      <c r="D275" s="11" t="s">
        <v>1768</v>
      </c>
      <c r="E275" s="11" t="s">
        <v>1098</v>
      </c>
      <c r="F275" s="11" t="s">
        <v>1767</v>
      </c>
      <c r="G275" s="162">
        <v>12</v>
      </c>
      <c r="H275" s="11" t="s">
        <v>1702</v>
      </c>
      <c r="I275" s="159" t="str">
        <f t="shared" si="4"/>
        <v>Trùng</v>
      </c>
    </row>
    <row r="276" spans="1:9" ht="17.25" customHeight="1" x14ac:dyDescent="0.2">
      <c r="A276">
        <v>274</v>
      </c>
      <c r="B276" s="11" t="s">
        <v>1702</v>
      </c>
      <c r="C276" s="11" t="s">
        <v>1876</v>
      </c>
      <c r="D276" s="11" t="s">
        <v>1877</v>
      </c>
      <c r="E276" s="11" t="s">
        <v>1098</v>
      </c>
      <c r="F276" s="11" t="s">
        <v>1877</v>
      </c>
      <c r="G276" s="162">
        <v>13.096</v>
      </c>
      <c r="H276" s="11" t="s">
        <v>1702</v>
      </c>
      <c r="I276" s="159" t="str">
        <f t="shared" si="4"/>
        <v/>
      </c>
    </row>
    <row r="277" spans="1:9" ht="17.25" customHeight="1" x14ac:dyDescent="0.2">
      <c r="A277">
        <v>275</v>
      </c>
      <c r="B277" s="11" t="s">
        <v>1702</v>
      </c>
      <c r="C277" s="11" t="s">
        <v>1878</v>
      </c>
      <c r="D277" s="11" t="s">
        <v>1798</v>
      </c>
      <c r="E277" s="11" t="s">
        <v>1098</v>
      </c>
      <c r="F277" s="11" t="s">
        <v>1797</v>
      </c>
      <c r="G277" s="162">
        <v>6.12</v>
      </c>
      <c r="H277" s="11" t="s">
        <v>1702</v>
      </c>
      <c r="I277" s="159" t="str">
        <f t="shared" si="4"/>
        <v>Trùng</v>
      </c>
    </row>
    <row r="278" spans="1:9" ht="17.25" customHeight="1" x14ac:dyDescent="0.2">
      <c r="A278">
        <v>276</v>
      </c>
      <c r="B278" s="11" t="s">
        <v>1702</v>
      </c>
      <c r="C278" s="11" t="s">
        <v>1879</v>
      </c>
      <c r="D278" s="11" t="s">
        <v>1726</v>
      </c>
      <c r="E278" s="11" t="s">
        <v>1098</v>
      </c>
      <c r="F278" s="11" t="s">
        <v>1725</v>
      </c>
      <c r="G278" s="162">
        <v>6.12</v>
      </c>
      <c r="H278" s="11" t="s">
        <v>1702</v>
      </c>
      <c r="I278" s="159" t="str">
        <f t="shared" si="4"/>
        <v>Trùng</v>
      </c>
    </row>
    <row r="279" spans="1:9" ht="17.25" customHeight="1" x14ac:dyDescent="0.2">
      <c r="A279">
        <v>277</v>
      </c>
      <c r="B279" s="11" t="s">
        <v>1702</v>
      </c>
      <c r="C279" s="11" t="s">
        <v>1880</v>
      </c>
      <c r="D279" s="11" t="s">
        <v>1780</v>
      </c>
      <c r="E279" s="11" t="s">
        <v>1098</v>
      </c>
      <c r="F279" s="11" t="s">
        <v>1779</v>
      </c>
      <c r="G279" s="162">
        <v>9.6</v>
      </c>
      <c r="H279" s="11" t="s">
        <v>1702</v>
      </c>
      <c r="I279" s="159" t="str">
        <f t="shared" si="4"/>
        <v>Trùng</v>
      </c>
    </row>
    <row r="280" spans="1:9" ht="17.25" customHeight="1" x14ac:dyDescent="0.2">
      <c r="A280">
        <v>278</v>
      </c>
      <c r="B280" s="11" t="s">
        <v>1702</v>
      </c>
      <c r="C280" s="11" t="s">
        <v>1881</v>
      </c>
      <c r="D280" s="11" t="s">
        <v>1762</v>
      </c>
      <c r="E280" s="11" t="s">
        <v>1098</v>
      </c>
      <c r="F280" s="11" t="s">
        <v>1761</v>
      </c>
      <c r="G280" s="162">
        <v>12</v>
      </c>
      <c r="H280" s="11" t="s">
        <v>1702</v>
      </c>
      <c r="I280" s="159" t="str">
        <f t="shared" si="4"/>
        <v>Trùng</v>
      </c>
    </row>
    <row r="281" spans="1:9" ht="17.25" customHeight="1" x14ac:dyDescent="0.2">
      <c r="A281">
        <v>279</v>
      </c>
      <c r="B281" s="11" t="s">
        <v>1702</v>
      </c>
      <c r="C281" s="11" t="s">
        <v>1882</v>
      </c>
      <c r="D281" s="11" t="s">
        <v>1786</v>
      </c>
      <c r="E281" s="11" t="s">
        <v>1098</v>
      </c>
      <c r="F281" s="11" t="s">
        <v>1785</v>
      </c>
      <c r="G281" s="162">
        <v>6</v>
      </c>
      <c r="H281" s="11" t="s">
        <v>1702</v>
      </c>
      <c r="I281" s="159" t="str">
        <f t="shared" si="4"/>
        <v>Trùng</v>
      </c>
    </row>
    <row r="282" spans="1:9" ht="17.25" customHeight="1" x14ac:dyDescent="0.2">
      <c r="A282">
        <v>280</v>
      </c>
      <c r="B282" s="11" t="s">
        <v>1702</v>
      </c>
      <c r="C282" s="11" t="s">
        <v>1883</v>
      </c>
      <c r="D282" s="11" t="s">
        <v>1807</v>
      </c>
      <c r="E282" s="11" t="s">
        <v>1098</v>
      </c>
      <c r="F282" s="11" t="s">
        <v>1806</v>
      </c>
      <c r="G282" s="162">
        <v>9.6</v>
      </c>
      <c r="H282" s="11" t="s">
        <v>1702</v>
      </c>
      <c r="I282" s="159" t="str">
        <f t="shared" si="4"/>
        <v>Trùng</v>
      </c>
    </row>
    <row r="283" spans="1:9" ht="17.25" customHeight="1" x14ac:dyDescent="0.2">
      <c r="A283">
        <v>281</v>
      </c>
      <c r="B283" s="11" t="s">
        <v>1702</v>
      </c>
      <c r="C283" s="11" t="s">
        <v>1884</v>
      </c>
      <c r="D283" s="11" t="s">
        <v>1854</v>
      </c>
      <c r="E283" s="11" t="s">
        <v>1098</v>
      </c>
      <c r="F283" s="11" t="s">
        <v>1853</v>
      </c>
      <c r="G283" s="162">
        <v>12.6</v>
      </c>
      <c r="H283" s="11" t="s">
        <v>1702</v>
      </c>
      <c r="I283" s="159" t="str">
        <f t="shared" si="4"/>
        <v>Trùng</v>
      </c>
    </row>
    <row r="284" spans="1:9" ht="17.25" customHeight="1" x14ac:dyDescent="0.2">
      <c r="A284">
        <v>282</v>
      </c>
      <c r="B284" s="11" t="s">
        <v>1702</v>
      </c>
      <c r="C284" s="11" t="s">
        <v>1885</v>
      </c>
      <c r="D284" s="11" t="s">
        <v>1756</v>
      </c>
      <c r="E284" s="11" t="s">
        <v>1098</v>
      </c>
      <c r="F284" s="11" t="s">
        <v>1755</v>
      </c>
      <c r="G284" s="162">
        <v>16.8</v>
      </c>
      <c r="H284" s="11" t="s">
        <v>1702</v>
      </c>
      <c r="I284" s="159" t="str">
        <f t="shared" si="4"/>
        <v>Trùng</v>
      </c>
    </row>
    <row r="285" spans="1:9" ht="17.25" customHeight="1" x14ac:dyDescent="0.2">
      <c r="A285">
        <v>283</v>
      </c>
      <c r="B285" s="11" t="s">
        <v>1702</v>
      </c>
      <c r="C285" s="11" t="s">
        <v>1886</v>
      </c>
      <c r="D285" s="11" t="s">
        <v>1888</v>
      </c>
      <c r="E285" s="11" t="s">
        <v>1098</v>
      </c>
      <c r="F285" s="11" t="s">
        <v>1887</v>
      </c>
      <c r="G285" s="162">
        <v>12.6</v>
      </c>
      <c r="H285" s="11" t="s">
        <v>1702</v>
      </c>
      <c r="I285" s="159" t="str">
        <f t="shared" si="4"/>
        <v>Trùng</v>
      </c>
    </row>
    <row r="286" spans="1:9" ht="17.25" customHeight="1" x14ac:dyDescent="0.2">
      <c r="A286">
        <v>284</v>
      </c>
      <c r="B286" s="11" t="s">
        <v>1702</v>
      </c>
      <c r="C286" s="11" t="s">
        <v>1889</v>
      </c>
      <c r="D286" s="11" t="s">
        <v>1792</v>
      </c>
      <c r="E286" s="11" t="s">
        <v>1098</v>
      </c>
      <c r="F286" s="11" t="s">
        <v>1791</v>
      </c>
      <c r="G286" s="162">
        <v>6.12</v>
      </c>
      <c r="H286" s="11" t="s">
        <v>1702</v>
      </c>
      <c r="I286" s="159" t="str">
        <f t="shared" si="4"/>
        <v>Trùng</v>
      </c>
    </row>
    <row r="287" spans="1:9" ht="17.25" customHeight="1" x14ac:dyDescent="0.2">
      <c r="A287">
        <v>285</v>
      </c>
      <c r="B287" s="11" t="s">
        <v>1702</v>
      </c>
      <c r="C287" s="11" t="s">
        <v>1890</v>
      </c>
      <c r="D287" s="11" t="s">
        <v>1891</v>
      </c>
      <c r="E287" s="11" t="s">
        <v>1098</v>
      </c>
      <c r="F287" s="11" t="s">
        <v>1891</v>
      </c>
      <c r="G287" s="162">
        <v>6.12</v>
      </c>
      <c r="H287" s="11" t="s">
        <v>1702</v>
      </c>
      <c r="I287" s="159" t="str">
        <f t="shared" si="4"/>
        <v/>
      </c>
    </row>
    <row r="288" spans="1:9" ht="17.25" customHeight="1" x14ac:dyDescent="0.2">
      <c r="A288">
        <v>286</v>
      </c>
      <c r="B288" s="11" t="s">
        <v>1702</v>
      </c>
      <c r="C288" s="11" t="s">
        <v>1892</v>
      </c>
      <c r="D288" s="11" t="s">
        <v>1893</v>
      </c>
      <c r="E288" s="11" t="s">
        <v>1098</v>
      </c>
      <c r="F288" s="11" t="s">
        <v>1893</v>
      </c>
      <c r="G288" s="162">
        <v>12</v>
      </c>
      <c r="H288" s="11" t="s">
        <v>1702</v>
      </c>
      <c r="I288" s="159" t="str">
        <f t="shared" si="4"/>
        <v/>
      </c>
    </row>
    <row r="289" spans="1:9" ht="17.25" customHeight="1" x14ac:dyDescent="0.2">
      <c r="A289">
        <v>287</v>
      </c>
      <c r="B289" s="11" t="s">
        <v>1702</v>
      </c>
      <c r="C289" s="11" t="s">
        <v>1894</v>
      </c>
      <c r="D289" s="11" t="s">
        <v>1705</v>
      </c>
      <c r="E289" s="11" t="s">
        <v>1098</v>
      </c>
      <c r="F289" s="11" t="s">
        <v>1704</v>
      </c>
      <c r="G289" s="162">
        <v>13.095599999999999</v>
      </c>
      <c r="H289" s="11" t="s">
        <v>1702</v>
      </c>
      <c r="I289" s="159" t="str">
        <f t="shared" si="4"/>
        <v/>
      </c>
    </row>
    <row r="290" spans="1:9" ht="17.25" customHeight="1" x14ac:dyDescent="0.2">
      <c r="A290">
        <v>288</v>
      </c>
      <c r="B290" s="11" t="s">
        <v>1702</v>
      </c>
      <c r="C290" s="11" t="s">
        <v>1895</v>
      </c>
      <c r="D290" s="11" t="s">
        <v>1897</v>
      </c>
      <c r="E290" s="11" t="s">
        <v>1098</v>
      </c>
      <c r="F290" s="11" t="s">
        <v>1896</v>
      </c>
      <c r="G290" s="162">
        <v>7.44</v>
      </c>
      <c r="H290" s="11" t="s">
        <v>1702</v>
      </c>
      <c r="I290" s="159" t="str">
        <f t="shared" si="4"/>
        <v/>
      </c>
    </row>
    <row r="291" spans="1:9" ht="17.25" customHeight="1" x14ac:dyDescent="0.2">
      <c r="A291">
        <v>289</v>
      </c>
      <c r="B291" s="11" t="s">
        <v>1702</v>
      </c>
      <c r="C291" s="11" t="s">
        <v>1898</v>
      </c>
      <c r="D291" s="11" t="s">
        <v>1900</v>
      </c>
      <c r="E291" s="11" t="s">
        <v>1098</v>
      </c>
      <c r="F291" s="11" t="s">
        <v>1899</v>
      </c>
      <c r="G291" s="162">
        <v>7.7131999999999996</v>
      </c>
      <c r="H291" s="11" t="s">
        <v>1702</v>
      </c>
      <c r="I291" s="159" t="str">
        <f t="shared" si="4"/>
        <v/>
      </c>
    </row>
    <row r="292" spans="1:9" ht="17.25" customHeight="1" x14ac:dyDescent="0.2">
      <c r="A292">
        <v>290</v>
      </c>
      <c r="B292" s="11" t="s">
        <v>1901</v>
      </c>
      <c r="C292" s="11" t="s">
        <v>1902</v>
      </c>
      <c r="D292" s="11" t="s">
        <v>1904</v>
      </c>
      <c r="E292" s="11" t="s">
        <v>1098</v>
      </c>
      <c r="F292" s="11" t="s">
        <v>1903</v>
      </c>
      <c r="G292" s="162">
        <v>10</v>
      </c>
      <c r="H292" s="11" t="s">
        <v>1901</v>
      </c>
      <c r="I292" s="159" t="str">
        <f t="shared" si="4"/>
        <v/>
      </c>
    </row>
    <row r="293" spans="1:9" ht="17.25" customHeight="1" x14ac:dyDescent="0.2">
      <c r="A293">
        <v>291</v>
      </c>
      <c r="B293" s="11" t="s">
        <v>1901</v>
      </c>
      <c r="C293" s="11" t="s">
        <v>1905</v>
      </c>
      <c r="D293" s="11" t="s">
        <v>1907</v>
      </c>
      <c r="E293" s="11" t="s">
        <v>1098</v>
      </c>
      <c r="F293" s="11" t="s">
        <v>1906</v>
      </c>
      <c r="G293" s="162">
        <v>10</v>
      </c>
      <c r="H293" s="11" t="s">
        <v>1901</v>
      </c>
      <c r="I293" s="159" t="str">
        <f t="shared" si="4"/>
        <v/>
      </c>
    </row>
    <row r="294" spans="1:9" ht="17.25" customHeight="1" x14ac:dyDescent="0.2">
      <c r="A294">
        <v>292</v>
      </c>
      <c r="B294" s="11" t="s">
        <v>1901</v>
      </c>
      <c r="C294" s="11" t="s">
        <v>1908</v>
      </c>
      <c r="D294" s="11" t="s">
        <v>1910</v>
      </c>
      <c r="E294" s="11" t="s">
        <v>1098</v>
      </c>
      <c r="F294" s="11" t="s">
        <v>1909</v>
      </c>
      <c r="G294" s="162">
        <v>10</v>
      </c>
      <c r="H294" s="11" t="s">
        <v>1901</v>
      </c>
      <c r="I294" s="159" t="str">
        <f t="shared" si="4"/>
        <v/>
      </c>
    </row>
    <row r="295" spans="1:9" ht="17.25" customHeight="1" x14ac:dyDescent="0.2">
      <c r="A295">
        <v>293</v>
      </c>
      <c r="B295" s="11" t="s">
        <v>1901</v>
      </c>
      <c r="C295" s="11" t="s">
        <v>1911</v>
      </c>
      <c r="D295" s="11" t="s">
        <v>1913</v>
      </c>
      <c r="E295" s="11" t="s">
        <v>1098</v>
      </c>
      <c r="F295" s="11" t="s">
        <v>1912</v>
      </c>
      <c r="G295" s="162">
        <v>10</v>
      </c>
      <c r="H295" s="11" t="s">
        <v>1901</v>
      </c>
      <c r="I295" s="159" t="str">
        <f t="shared" si="4"/>
        <v/>
      </c>
    </row>
    <row r="296" spans="1:9" ht="17.25" customHeight="1" x14ac:dyDescent="0.2">
      <c r="A296">
        <v>294</v>
      </c>
      <c r="B296" s="11" t="s">
        <v>1901</v>
      </c>
      <c r="C296" s="11" t="s">
        <v>1914</v>
      </c>
      <c r="D296" s="11" t="s">
        <v>1916</v>
      </c>
      <c r="E296" s="11" t="s">
        <v>1098</v>
      </c>
      <c r="F296" s="11" t="s">
        <v>1915</v>
      </c>
      <c r="G296" s="162">
        <v>10</v>
      </c>
      <c r="H296" s="11" t="s">
        <v>1901</v>
      </c>
      <c r="I296" s="159" t="str">
        <f t="shared" si="4"/>
        <v/>
      </c>
    </row>
    <row r="297" spans="1:9" ht="17.25" customHeight="1" x14ac:dyDescent="0.2">
      <c r="A297">
        <v>295</v>
      </c>
      <c r="B297" s="11" t="s">
        <v>1901</v>
      </c>
      <c r="C297" s="11" t="s">
        <v>1917</v>
      </c>
      <c r="D297" s="11" t="s">
        <v>1919</v>
      </c>
      <c r="E297" s="11" t="s">
        <v>1098</v>
      </c>
      <c r="F297" s="11" t="s">
        <v>1918</v>
      </c>
      <c r="G297" s="162">
        <v>10</v>
      </c>
      <c r="H297" s="11" t="s">
        <v>1901</v>
      </c>
      <c r="I297" s="159" t="str">
        <f t="shared" si="4"/>
        <v/>
      </c>
    </row>
    <row r="298" spans="1:9" ht="17.25" customHeight="1" x14ac:dyDescent="0.2">
      <c r="A298">
        <v>296</v>
      </c>
      <c r="B298" s="11" t="s">
        <v>1901</v>
      </c>
      <c r="C298" s="11" t="s">
        <v>1920</v>
      </c>
      <c r="D298" s="11" t="s">
        <v>1922</v>
      </c>
      <c r="E298" s="11" t="s">
        <v>1098</v>
      </c>
      <c r="F298" s="11" t="s">
        <v>1921</v>
      </c>
      <c r="G298" s="162">
        <v>10</v>
      </c>
      <c r="H298" s="11" t="s">
        <v>1901</v>
      </c>
      <c r="I298" s="159" t="str">
        <f t="shared" si="4"/>
        <v/>
      </c>
    </row>
    <row r="299" spans="1:9" ht="17.25" customHeight="1" x14ac:dyDescent="0.2">
      <c r="A299">
        <v>297</v>
      </c>
      <c r="B299" s="11" t="s">
        <v>1901</v>
      </c>
      <c r="C299" s="11" t="s">
        <v>1923</v>
      </c>
      <c r="D299" s="11" t="s">
        <v>1925</v>
      </c>
      <c r="E299" s="11" t="s">
        <v>1098</v>
      </c>
      <c r="F299" s="11" t="s">
        <v>1924</v>
      </c>
      <c r="G299" s="162">
        <v>10</v>
      </c>
      <c r="H299" s="11" t="s">
        <v>1901</v>
      </c>
      <c r="I299" s="159" t="str">
        <f t="shared" si="4"/>
        <v/>
      </c>
    </row>
    <row r="300" spans="1:9" ht="17.25" customHeight="1" x14ac:dyDescent="0.2">
      <c r="A300">
        <v>298</v>
      </c>
      <c r="B300" s="11" t="s">
        <v>1901</v>
      </c>
      <c r="C300" s="11" t="s">
        <v>1926</v>
      </c>
      <c r="D300" s="11" t="s">
        <v>1928</v>
      </c>
      <c r="E300" s="11" t="s">
        <v>1098</v>
      </c>
      <c r="F300" s="11" t="s">
        <v>1927</v>
      </c>
      <c r="G300" s="162">
        <v>10</v>
      </c>
      <c r="H300" s="11" t="s">
        <v>1901</v>
      </c>
      <c r="I300" s="159" t="str">
        <f t="shared" si="4"/>
        <v/>
      </c>
    </row>
    <row r="301" spans="1:9" ht="17.25" customHeight="1" x14ac:dyDescent="0.2">
      <c r="A301">
        <v>299</v>
      </c>
      <c r="B301" s="11" t="s">
        <v>1901</v>
      </c>
      <c r="C301" s="11" t="s">
        <v>1929</v>
      </c>
      <c r="D301" s="11" t="s">
        <v>1931</v>
      </c>
      <c r="E301" s="11" t="s">
        <v>1098</v>
      </c>
      <c r="F301" s="11" t="s">
        <v>1930</v>
      </c>
      <c r="G301" s="162">
        <v>10</v>
      </c>
      <c r="H301" s="11" t="s">
        <v>1901</v>
      </c>
      <c r="I301" s="159" t="str">
        <f t="shared" si="4"/>
        <v/>
      </c>
    </row>
    <row r="302" spans="1:9" ht="17.25" customHeight="1" x14ac:dyDescent="0.2">
      <c r="A302">
        <v>300</v>
      </c>
      <c r="B302" s="11" t="s">
        <v>0</v>
      </c>
      <c r="C302" s="11" t="s">
        <v>1932</v>
      </c>
      <c r="D302" s="11" t="s">
        <v>158</v>
      </c>
      <c r="E302" s="11" t="s">
        <v>1098</v>
      </c>
      <c r="F302" s="11" t="s">
        <v>1933</v>
      </c>
      <c r="G302" s="162">
        <v>5.0199999999999996</v>
      </c>
      <c r="H302" s="11" t="s">
        <v>0</v>
      </c>
      <c r="I302" s="159" t="str">
        <f t="shared" si="4"/>
        <v/>
      </c>
    </row>
    <row r="303" spans="1:9" ht="17.25" customHeight="1" x14ac:dyDescent="0.2">
      <c r="A303">
        <v>301</v>
      </c>
      <c r="B303" s="11" t="s">
        <v>0</v>
      </c>
      <c r="C303" s="11" t="s">
        <v>1934</v>
      </c>
      <c r="D303" s="11" t="s">
        <v>1936</v>
      </c>
      <c r="E303" s="11" t="s">
        <v>1098</v>
      </c>
      <c r="F303" s="11" t="s">
        <v>1935</v>
      </c>
      <c r="G303" s="162">
        <v>5.04</v>
      </c>
      <c r="H303" s="11" t="s">
        <v>0</v>
      </c>
      <c r="I303" s="159" t="str">
        <f t="shared" si="4"/>
        <v/>
      </c>
    </row>
    <row r="304" spans="1:9" ht="17.25" customHeight="1" x14ac:dyDescent="0.2">
      <c r="A304">
        <v>302</v>
      </c>
      <c r="B304" s="11" t="s">
        <v>0</v>
      </c>
      <c r="C304" s="11" t="s">
        <v>1937</v>
      </c>
      <c r="D304" s="11" t="s">
        <v>90</v>
      </c>
      <c r="E304" s="11" t="s">
        <v>1098</v>
      </c>
      <c r="F304" s="11" t="s">
        <v>1938</v>
      </c>
      <c r="G304" s="162">
        <v>12.336</v>
      </c>
      <c r="H304" s="11" t="s">
        <v>0</v>
      </c>
      <c r="I304" s="159" t="str">
        <f t="shared" si="4"/>
        <v/>
      </c>
    </row>
    <row r="305" spans="1:9" ht="17.25" customHeight="1" x14ac:dyDescent="0.2">
      <c r="A305">
        <v>303</v>
      </c>
      <c r="B305" s="11" t="s">
        <v>0</v>
      </c>
      <c r="C305" s="11" t="s">
        <v>1939</v>
      </c>
      <c r="D305" s="11" t="s">
        <v>1941</v>
      </c>
      <c r="E305" s="11" t="s">
        <v>1098</v>
      </c>
      <c r="F305" s="11" t="s">
        <v>1940</v>
      </c>
      <c r="G305" s="162">
        <v>23.52</v>
      </c>
      <c r="H305" s="11" t="s">
        <v>0</v>
      </c>
      <c r="I305" s="159" t="str">
        <f t="shared" si="4"/>
        <v/>
      </c>
    </row>
    <row r="306" spans="1:9" ht="17.25" customHeight="1" x14ac:dyDescent="0.2">
      <c r="A306">
        <v>304</v>
      </c>
      <c r="B306" s="11" t="s">
        <v>0</v>
      </c>
      <c r="C306" s="11" t="s">
        <v>1942</v>
      </c>
      <c r="D306" s="11" t="s">
        <v>88</v>
      </c>
      <c r="E306" s="11" t="s">
        <v>1098</v>
      </c>
      <c r="F306" s="11" t="s">
        <v>1943</v>
      </c>
      <c r="G306" s="162">
        <v>12.336</v>
      </c>
      <c r="H306" s="11" t="s">
        <v>0</v>
      </c>
      <c r="I306" s="159" t="str">
        <f t="shared" si="4"/>
        <v/>
      </c>
    </row>
    <row r="307" spans="1:9" ht="17.25" customHeight="1" x14ac:dyDescent="0.2">
      <c r="A307">
        <v>305</v>
      </c>
      <c r="B307" s="11" t="s">
        <v>0</v>
      </c>
      <c r="C307" s="11" t="s">
        <v>1944</v>
      </c>
      <c r="D307" s="11" t="s">
        <v>1946</v>
      </c>
      <c r="E307" s="11" t="s">
        <v>1098</v>
      </c>
      <c r="F307" s="11" t="s">
        <v>1945</v>
      </c>
      <c r="G307" s="162">
        <v>12.336</v>
      </c>
      <c r="H307" s="11" t="s">
        <v>0</v>
      </c>
      <c r="I307" s="159" t="str">
        <f t="shared" si="4"/>
        <v/>
      </c>
    </row>
    <row r="308" spans="1:9" ht="17.25" customHeight="1" x14ac:dyDescent="0.2">
      <c r="A308">
        <v>306</v>
      </c>
      <c r="B308" s="11" t="s">
        <v>0</v>
      </c>
      <c r="C308" s="11" t="s">
        <v>1947</v>
      </c>
      <c r="D308" s="11" t="s">
        <v>156</v>
      </c>
      <c r="E308" s="11" t="s">
        <v>1098</v>
      </c>
      <c r="F308" s="11" t="s">
        <v>1948</v>
      </c>
      <c r="G308" s="162">
        <v>12.336</v>
      </c>
      <c r="H308" s="11" t="s">
        <v>0</v>
      </c>
      <c r="I308" s="159" t="str">
        <f t="shared" si="4"/>
        <v/>
      </c>
    </row>
    <row r="309" spans="1:9" ht="17.25" customHeight="1" x14ac:dyDescent="0.2">
      <c r="A309">
        <v>307</v>
      </c>
      <c r="B309" s="11" t="s">
        <v>0</v>
      </c>
      <c r="C309" s="11" t="s">
        <v>1949</v>
      </c>
      <c r="D309" s="11" t="s">
        <v>1951</v>
      </c>
      <c r="E309" s="11" t="s">
        <v>1098</v>
      </c>
      <c r="F309" s="11" t="s">
        <v>1950</v>
      </c>
      <c r="G309" s="162">
        <v>4.93</v>
      </c>
      <c r="H309" s="11" t="s">
        <v>0</v>
      </c>
      <c r="I309" s="159" t="str">
        <f t="shared" si="4"/>
        <v/>
      </c>
    </row>
    <row r="310" spans="1:9" ht="17.25" customHeight="1" x14ac:dyDescent="0.2">
      <c r="A310">
        <v>308</v>
      </c>
      <c r="B310" s="11" t="s">
        <v>0</v>
      </c>
      <c r="C310" s="11" t="s">
        <v>1952</v>
      </c>
      <c r="D310" s="11" t="s">
        <v>1954</v>
      </c>
      <c r="E310" s="11" t="s">
        <v>1098</v>
      </c>
      <c r="F310" s="11" t="s">
        <v>1953</v>
      </c>
      <c r="G310" s="162">
        <v>4</v>
      </c>
      <c r="H310" s="11" t="s">
        <v>0</v>
      </c>
      <c r="I310" s="159" t="str">
        <f t="shared" si="4"/>
        <v/>
      </c>
    </row>
    <row r="311" spans="1:9" ht="17.25" customHeight="1" x14ac:dyDescent="0.2">
      <c r="A311">
        <v>309</v>
      </c>
      <c r="B311" s="11" t="s">
        <v>0</v>
      </c>
      <c r="C311" s="11" t="s">
        <v>1955</v>
      </c>
      <c r="D311" s="11" t="s">
        <v>1957</v>
      </c>
      <c r="E311" s="11" t="s">
        <v>1210</v>
      </c>
      <c r="F311" s="11" t="s">
        <v>1956</v>
      </c>
      <c r="G311" s="162">
        <v>25</v>
      </c>
      <c r="H311" s="11" t="s">
        <v>0</v>
      </c>
      <c r="I311" s="159" t="str">
        <f t="shared" si="4"/>
        <v/>
      </c>
    </row>
    <row r="312" spans="1:9" ht="17.25" customHeight="1" x14ac:dyDescent="0.2">
      <c r="A312">
        <v>310</v>
      </c>
      <c r="B312" s="11" t="s">
        <v>0</v>
      </c>
      <c r="C312" s="11" t="s">
        <v>1958</v>
      </c>
      <c r="D312" s="11" t="s">
        <v>1960</v>
      </c>
      <c r="E312" s="11" t="s">
        <v>1098</v>
      </c>
      <c r="F312" s="11" t="s">
        <v>1959</v>
      </c>
      <c r="G312" s="162">
        <v>0.96</v>
      </c>
      <c r="H312" s="11" t="s">
        <v>0</v>
      </c>
      <c r="I312" s="159" t="str">
        <f t="shared" si="4"/>
        <v/>
      </c>
    </row>
    <row r="313" spans="1:9" ht="17.25" customHeight="1" x14ac:dyDescent="0.2">
      <c r="A313">
        <v>311</v>
      </c>
      <c r="B313" s="11" t="s">
        <v>0</v>
      </c>
      <c r="C313" s="11" t="s">
        <v>1961</v>
      </c>
      <c r="D313" s="11" t="s">
        <v>1963</v>
      </c>
      <c r="E313" s="11" t="s">
        <v>1098</v>
      </c>
      <c r="F313" s="11" t="s">
        <v>1962</v>
      </c>
      <c r="G313" s="162">
        <v>3.2</v>
      </c>
      <c r="H313" s="11" t="s">
        <v>0</v>
      </c>
      <c r="I313" s="159" t="str">
        <f t="shared" si="4"/>
        <v/>
      </c>
    </row>
    <row r="314" spans="1:9" ht="17.25" customHeight="1" x14ac:dyDescent="0.2">
      <c r="A314">
        <v>312</v>
      </c>
      <c r="B314" s="11" t="s">
        <v>0</v>
      </c>
      <c r="C314" s="11" t="s">
        <v>1964</v>
      </c>
      <c r="D314" s="11" t="s">
        <v>1966</v>
      </c>
      <c r="E314" s="11" t="s">
        <v>1098</v>
      </c>
      <c r="F314" s="11" t="s">
        <v>1965</v>
      </c>
      <c r="G314" s="162">
        <v>10</v>
      </c>
      <c r="H314" s="11" t="s">
        <v>0</v>
      </c>
      <c r="I314" s="159" t="str">
        <f t="shared" si="4"/>
        <v/>
      </c>
    </row>
    <row r="315" spans="1:9" ht="17.25" customHeight="1" x14ac:dyDescent="0.2">
      <c r="A315">
        <v>313</v>
      </c>
      <c r="B315" s="11" t="s">
        <v>0</v>
      </c>
      <c r="C315" s="11" t="s">
        <v>1967</v>
      </c>
      <c r="D315" s="11" t="s">
        <v>1969</v>
      </c>
      <c r="E315" s="11" t="s">
        <v>1098</v>
      </c>
      <c r="F315" s="11" t="s">
        <v>1968</v>
      </c>
      <c r="G315" s="162">
        <v>10</v>
      </c>
      <c r="H315" s="11" t="s">
        <v>0</v>
      </c>
      <c r="I315" s="159" t="str">
        <f t="shared" si="4"/>
        <v/>
      </c>
    </row>
    <row r="316" spans="1:9" ht="17.25" customHeight="1" x14ac:dyDescent="0.2">
      <c r="A316">
        <v>314</v>
      </c>
      <c r="B316" s="11" t="s">
        <v>0</v>
      </c>
      <c r="C316" s="11" t="s">
        <v>1970</v>
      </c>
      <c r="D316" s="11" t="s">
        <v>1972</v>
      </c>
      <c r="E316" s="11" t="s">
        <v>1098</v>
      </c>
      <c r="F316" s="11" t="s">
        <v>1971</v>
      </c>
      <c r="G316" s="162">
        <v>10</v>
      </c>
      <c r="H316" s="11" t="s">
        <v>0</v>
      </c>
      <c r="I316" s="159" t="str">
        <f t="shared" si="4"/>
        <v/>
      </c>
    </row>
    <row r="317" spans="1:9" ht="17.25" customHeight="1" x14ac:dyDescent="0.2">
      <c r="A317">
        <v>315</v>
      </c>
      <c r="B317" s="11" t="s">
        <v>0</v>
      </c>
      <c r="C317" s="11" t="s">
        <v>1973</v>
      </c>
      <c r="D317" s="11" t="s">
        <v>1975</v>
      </c>
      <c r="E317" s="11" t="s">
        <v>1098</v>
      </c>
      <c r="F317" s="11" t="s">
        <v>1974</v>
      </c>
      <c r="G317" s="162">
        <v>4.95</v>
      </c>
      <c r="H317" s="11" t="s">
        <v>0</v>
      </c>
      <c r="I317" s="159" t="str">
        <f t="shared" si="4"/>
        <v/>
      </c>
    </row>
    <row r="318" spans="1:9" ht="17.25" customHeight="1" x14ac:dyDescent="0.2">
      <c r="A318">
        <v>316</v>
      </c>
      <c r="B318" s="11" t="s">
        <v>0</v>
      </c>
      <c r="C318" s="11" t="s">
        <v>1976</v>
      </c>
      <c r="D318" s="11" t="s">
        <v>85</v>
      </c>
      <c r="E318" s="11" t="s">
        <v>1098</v>
      </c>
      <c r="F318" s="11" t="s">
        <v>1977</v>
      </c>
      <c r="G318" s="162">
        <v>12</v>
      </c>
      <c r="H318" s="11" t="s">
        <v>0</v>
      </c>
      <c r="I318" s="159" t="str">
        <f t="shared" si="4"/>
        <v/>
      </c>
    </row>
    <row r="319" spans="1:9" ht="17.25" customHeight="1" x14ac:dyDescent="0.2">
      <c r="A319">
        <v>317</v>
      </c>
      <c r="B319" s="11" t="s">
        <v>0</v>
      </c>
      <c r="C319" s="11" t="s">
        <v>1978</v>
      </c>
      <c r="D319" s="11" t="s">
        <v>1980</v>
      </c>
      <c r="E319" s="11" t="s">
        <v>1094</v>
      </c>
      <c r="F319" s="11" t="s">
        <v>1979</v>
      </c>
      <c r="G319" s="162">
        <v>25</v>
      </c>
      <c r="H319" s="11" t="s">
        <v>0</v>
      </c>
      <c r="I319" s="159" t="str">
        <f t="shared" si="4"/>
        <v/>
      </c>
    </row>
    <row r="320" spans="1:9" ht="17.25" customHeight="1" x14ac:dyDescent="0.2">
      <c r="A320">
        <v>318</v>
      </c>
      <c r="B320" s="11" t="s">
        <v>0</v>
      </c>
      <c r="C320" s="11" t="s">
        <v>1981</v>
      </c>
      <c r="D320" s="11" t="s">
        <v>1983</v>
      </c>
      <c r="E320" s="11" t="s">
        <v>1098</v>
      </c>
      <c r="F320" s="11" t="s">
        <v>1982</v>
      </c>
      <c r="G320" s="162">
        <v>3.5</v>
      </c>
      <c r="H320" s="11" t="s">
        <v>0</v>
      </c>
      <c r="I320" s="159" t="str">
        <f t="shared" si="4"/>
        <v/>
      </c>
    </row>
    <row r="321" spans="1:9" ht="17.25" customHeight="1" x14ac:dyDescent="0.2">
      <c r="A321">
        <v>319</v>
      </c>
      <c r="B321" s="11" t="s">
        <v>0</v>
      </c>
      <c r="C321" s="11" t="s">
        <v>1984</v>
      </c>
      <c r="D321" s="11" t="s">
        <v>1986</v>
      </c>
      <c r="E321" s="11" t="s">
        <v>1098</v>
      </c>
      <c r="F321" s="11" t="s">
        <v>1985</v>
      </c>
      <c r="G321" s="162">
        <v>9.6</v>
      </c>
      <c r="H321" s="11" t="s">
        <v>0</v>
      </c>
      <c r="I321" s="159" t="str">
        <f t="shared" si="4"/>
        <v/>
      </c>
    </row>
    <row r="322" spans="1:9" ht="17.25" customHeight="1" x14ac:dyDescent="0.2">
      <c r="A322">
        <v>320</v>
      </c>
      <c r="B322" s="11" t="s">
        <v>0</v>
      </c>
      <c r="C322" s="11" t="s">
        <v>1987</v>
      </c>
      <c r="D322" s="11" t="s">
        <v>1989</v>
      </c>
      <c r="E322" s="11" t="s">
        <v>1098</v>
      </c>
      <c r="F322" s="11" t="s">
        <v>1988</v>
      </c>
      <c r="G322" s="162">
        <v>9.6</v>
      </c>
      <c r="H322" s="11" t="s">
        <v>0</v>
      </c>
      <c r="I322" s="159" t="str">
        <f t="shared" si="4"/>
        <v/>
      </c>
    </row>
    <row r="323" spans="1:9" ht="17.25" customHeight="1" x14ac:dyDescent="0.2">
      <c r="A323">
        <v>321</v>
      </c>
      <c r="B323" s="11" t="s">
        <v>0</v>
      </c>
      <c r="C323" s="11" t="s">
        <v>1990</v>
      </c>
      <c r="D323" s="11" t="s">
        <v>1992</v>
      </c>
      <c r="E323" s="11" t="s">
        <v>1098</v>
      </c>
      <c r="F323" s="11" t="s">
        <v>1991</v>
      </c>
      <c r="G323" s="162">
        <v>9.6</v>
      </c>
      <c r="H323" s="11" t="s">
        <v>0</v>
      </c>
      <c r="I323" s="159" t="str">
        <f t="shared" ref="I323:I356" si="5">IF(COUNTIF($C$3:$C$356, C323)&gt;1, "Trùng", "")</f>
        <v/>
      </c>
    </row>
    <row r="324" spans="1:9" ht="17.25" customHeight="1" x14ac:dyDescent="0.2">
      <c r="A324">
        <v>322</v>
      </c>
      <c r="B324" s="11" t="s">
        <v>0</v>
      </c>
      <c r="C324" s="11" t="s">
        <v>1993</v>
      </c>
      <c r="D324" s="11" t="s">
        <v>1995</v>
      </c>
      <c r="E324" s="11" t="s">
        <v>1098</v>
      </c>
      <c r="F324" s="11" t="s">
        <v>1994</v>
      </c>
      <c r="G324" s="162">
        <v>2.4</v>
      </c>
      <c r="H324" s="11" t="s">
        <v>0</v>
      </c>
      <c r="I324" s="159" t="str">
        <f t="shared" si="5"/>
        <v/>
      </c>
    </row>
    <row r="325" spans="1:9" ht="17.25" customHeight="1" x14ac:dyDescent="0.2">
      <c r="A325">
        <v>323</v>
      </c>
      <c r="B325" s="11" t="s">
        <v>0</v>
      </c>
      <c r="C325" s="11" t="s">
        <v>1996</v>
      </c>
      <c r="D325" s="11" t="s">
        <v>1998</v>
      </c>
      <c r="E325" s="11" t="s">
        <v>1098</v>
      </c>
      <c r="F325" s="11" t="s">
        <v>1997</v>
      </c>
      <c r="G325" s="162">
        <v>4.8</v>
      </c>
      <c r="H325" s="11" t="s">
        <v>0</v>
      </c>
      <c r="I325" s="159" t="str">
        <f t="shared" si="5"/>
        <v/>
      </c>
    </row>
    <row r="326" spans="1:9" ht="17.25" customHeight="1" x14ac:dyDescent="0.2">
      <c r="A326">
        <v>324</v>
      </c>
      <c r="B326" s="11" t="s">
        <v>0</v>
      </c>
      <c r="C326" s="11" t="s">
        <v>1999</v>
      </c>
      <c r="D326" s="11" t="s">
        <v>2001</v>
      </c>
      <c r="E326" s="11" t="s">
        <v>1098</v>
      </c>
      <c r="F326" s="11" t="s">
        <v>2000</v>
      </c>
      <c r="G326" s="162">
        <v>9.6</v>
      </c>
      <c r="H326" s="11" t="s">
        <v>0</v>
      </c>
      <c r="I326" s="159" t="str">
        <f t="shared" si="5"/>
        <v/>
      </c>
    </row>
    <row r="327" spans="1:9" ht="17.25" customHeight="1" x14ac:dyDescent="0.2">
      <c r="A327">
        <v>325</v>
      </c>
      <c r="B327" s="11" t="s">
        <v>0</v>
      </c>
      <c r="C327" s="11" t="s">
        <v>2002</v>
      </c>
      <c r="D327" s="11" t="s">
        <v>2004</v>
      </c>
      <c r="E327" s="11" t="s">
        <v>1098</v>
      </c>
      <c r="F327" s="11" t="s">
        <v>2003</v>
      </c>
      <c r="G327" s="162">
        <v>2.88</v>
      </c>
      <c r="H327" s="11" t="s">
        <v>0</v>
      </c>
      <c r="I327" s="159" t="str">
        <f t="shared" si="5"/>
        <v/>
      </c>
    </row>
    <row r="328" spans="1:9" ht="17.25" customHeight="1" x14ac:dyDescent="0.2">
      <c r="A328">
        <v>326</v>
      </c>
      <c r="B328" s="11" t="s">
        <v>0</v>
      </c>
      <c r="C328" s="11" t="s">
        <v>2005</v>
      </c>
      <c r="D328" s="11" t="s">
        <v>2007</v>
      </c>
      <c r="E328" s="11" t="s">
        <v>1098</v>
      </c>
      <c r="F328" s="11" t="s">
        <v>2006</v>
      </c>
      <c r="G328" s="162">
        <v>2.64</v>
      </c>
      <c r="H328" s="11" t="s">
        <v>0</v>
      </c>
      <c r="I328" s="159" t="str">
        <f t="shared" si="5"/>
        <v/>
      </c>
    </row>
    <row r="329" spans="1:9" ht="17.25" customHeight="1" x14ac:dyDescent="0.2">
      <c r="A329">
        <v>327</v>
      </c>
      <c r="B329" s="11" t="s">
        <v>0</v>
      </c>
      <c r="C329" s="11" t="s">
        <v>2008</v>
      </c>
      <c r="D329" s="11" t="s">
        <v>2010</v>
      </c>
      <c r="E329" s="11" t="s">
        <v>1098</v>
      </c>
      <c r="F329" s="11" t="s">
        <v>2009</v>
      </c>
      <c r="G329" s="162">
        <v>2.4</v>
      </c>
      <c r="H329" s="11" t="s">
        <v>0</v>
      </c>
      <c r="I329" s="159" t="str">
        <f t="shared" si="5"/>
        <v/>
      </c>
    </row>
    <row r="330" spans="1:9" ht="17.25" customHeight="1" x14ac:dyDescent="0.2">
      <c r="A330">
        <v>328</v>
      </c>
      <c r="B330" s="11" t="s">
        <v>0</v>
      </c>
      <c r="C330" s="11" t="s">
        <v>2011</v>
      </c>
      <c r="D330" s="11" t="s">
        <v>2013</v>
      </c>
      <c r="E330" s="11" t="s">
        <v>1098</v>
      </c>
      <c r="F330" s="11" t="s">
        <v>2012</v>
      </c>
      <c r="G330" s="162">
        <v>3.12</v>
      </c>
      <c r="H330" s="11" t="s">
        <v>0</v>
      </c>
      <c r="I330" s="159" t="str">
        <f t="shared" si="5"/>
        <v/>
      </c>
    </row>
    <row r="331" spans="1:9" ht="17.25" customHeight="1" x14ac:dyDescent="0.2">
      <c r="A331">
        <v>329</v>
      </c>
      <c r="B331" s="11" t="s">
        <v>0</v>
      </c>
      <c r="C331" s="11" t="s">
        <v>2014</v>
      </c>
      <c r="D331" s="11" t="s">
        <v>2016</v>
      </c>
      <c r="E331" s="11" t="s">
        <v>1098</v>
      </c>
      <c r="F331" s="11" t="s">
        <v>2015</v>
      </c>
      <c r="G331" s="162">
        <v>11.98</v>
      </c>
      <c r="H331" s="11" t="s">
        <v>0</v>
      </c>
      <c r="I331" s="159" t="str">
        <f t="shared" si="5"/>
        <v/>
      </c>
    </row>
    <row r="332" spans="1:9" ht="17.25" customHeight="1" x14ac:dyDescent="0.2">
      <c r="A332">
        <v>330</v>
      </c>
      <c r="B332" s="11" t="s">
        <v>0</v>
      </c>
      <c r="C332" s="11" t="s">
        <v>2017</v>
      </c>
      <c r="D332" s="11" t="s">
        <v>2019</v>
      </c>
      <c r="E332" s="11" t="s">
        <v>1098</v>
      </c>
      <c r="F332" s="11" t="s">
        <v>2018</v>
      </c>
      <c r="G332" s="162">
        <v>3.66</v>
      </c>
      <c r="H332" s="11" t="s">
        <v>0</v>
      </c>
      <c r="I332" s="159" t="str">
        <f t="shared" si="5"/>
        <v/>
      </c>
    </row>
    <row r="333" spans="1:9" ht="17.25" customHeight="1" x14ac:dyDescent="0.2">
      <c r="A333">
        <v>331</v>
      </c>
      <c r="B333" s="11" t="s">
        <v>0</v>
      </c>
      <c r="C333" s="11" t="s">
        <v>2020</v>
      </c>
      <c r="D333" s="11" t="s">
        <v>2022</v>
      </c>
      <c r="E333" s="11" t="s">
        <v>1098</v>
      </c>
      <c r="F333" s="11" t="s">
        <v>2021</v>
      </c>
      <c r="G333" s="162">
        <v>2.4</v>
      </c>
      <c r="H333" s="11" t="s">
        <v>0</v>
      </c>
      <c r="I333" s="159" t="str">
        <f t="shared" si="5"/>
        <v/>
      </c>
    </row>
    <row r="334" spans="1:9" ht="17.25" customHeight="1" x14ac:dyDescent="0.2">
      <c r="A334">
        <v>332</v>
      </c>
      <c r="B334" s="11" t="s">
        <v>0</v>
      </c>
      <c r="C334" s="11" t="s">
        <v>2023</v>
      </c>
      <c r="D334" s="11" t="s">
        <v>2025</v>
      </c>
      <c r="E334" s="11" t="s">
        <v>1098</v>
      </c>
      <c r="F334" s="11" t="s">
        <v>2024</v>
      </c>
      <c r="G334" s="162">
        <v>14.58</v>
      </c>
      <c r="H334" s="11" t="s">
        <v>0</v>
      </c>
      <c r="I334" s="159" t="str">
        <f t="shared" si="5"/>
        <v/>
      </c>
    </row>
    <row r="335" spans="1:9" ht="17.25" customHeight="1" x14ac:dyDescent="0.2">
      <c r="A335">
        <v>333</v>
      </c>
      <c r="B335" s="11" t="s">
        <v>0</v>
      </c>
      <c r="C335" s="11" t="s">
        <v>2026</v>
      </c>
      <c r="D335" s="11" t="s">
        <v>2028</v>
      </c>
      <c r="E335" s="11" t="s">
        <v>1098</v>
      </c>
      <c r="F335" s="11" t="s">
        <v>2027</v>
      </c>
      <c r="G335" s="162">
        <v>7.36</v>
      </c>
      <c r="H335" s="11" t="s">
        <v>0</v>
      </c>
      <c r="I335" s="159" t="str">
        <f t="shared" si="5"/>
        <v/>
      </c>
    </row>
    <row r="336" spans="1:9" ht="17.25" customHeight="1" x14ac:dyDescent="0.2">
      <c r="A336">
        <v>334</v>
      </c>
      <c r="B336" s="11" t="s">
        <v>0</v>
      </c>
      <c r="C336" s="11" t="s">
        <v>2029</v>
      </c>
      <c r="D336" s="11" t="s">
        <v>2031</v>
      </c>
      <c r="E336" s="11" t="s">
        <v>1098</v>
      </c>
      <c r="F336" s="11" t="s">
        <v>2030</v>
      </c>
      <c r="G336" s="162">
        <v>7.39</v>
      </c>
      <c r="H336" s="11" t="s">
        <v>0</v>
      </c>
      <c r="I336" s="159" t="str">
        <f t="shared" si="5"/>
        <v/>
      </c>
    </row>
    <row r="337" spans="1:9" ht="17.25" customHeight="1" x14ac:dyDescent="0.2">
      <c r="A337">
        <v>335</v>
      </c>
      <c r="B337" s="11" t="s">
        <v>0</v>
      </c>
      <c r="C337" s="11" t="s">
        <v>2032</v>
      </c>
      <c r="D337" s="11" t="s">
        <v>2034</v>
      </c>
      <c r="E337" s="11" t="s">
        <v>1098</v>
      </c>
      <c r="F337" s="11" t="s">
        <v>2033</v>
      </c>
      <c r="G337" s="162">
        <v>1.2</v>
      </c>
      <c r="H337" s="11" t="s">
        <v>0</v>
      </c>
      <c r="I337" s="159" t="str">
        <f t="shared" si="5"/>
        <v/>
      </c>
    </row>
    <row r="338" spans="1:9" ht="17.25" customHeight="1" x14ac:dyDescent="0.2">
      <c r="A338">
        <v>336</v>
      </c>
      <c r="B338" s="11" t="s">
        <v>0</v>
      </c>
      <c r="C338" s="11" t="s">
        <v>2035</v>
      </c>
      <c r="D338" s="11" t="s">
        <v>2037</v>
      </c>
      <c r="E338" s="11" t="s">
        <v>1098</v>
      </c>
      <c r="F338" s="11" t="s">
        <v>2036</v>
      </c>
      <c r="G338" s="162">
        <v>4.8</v>
      </c>
      <c r="H338" s="11" t="s">
        <v>0</v>
      </c>
      <c r="I338" s="159" t="str">
        <f t="shared" si="5"/>
        <v/>
      </c>
    </row>
    <row r="339" spans="1:9" ht="17.25" customHeight="1" x14ac:dyDescent="0.2">
      <c r="A339">
        <v>337</v>
      </c>
      <c r="B339" s="11" t="s">
        <v>0</v>
      </c>
      <c r="C339" s="11" t="s">
        <v>2038</v>
      </c>
      <c r="D339" s="11" t="s">
        <v>2040</v>
      </c>
      <c r="E339" s="11" t="s">
        <v>1098</v>
      </c>
      <c r="F339" s="11" t="s">
        <v>2039</v>
      </c>
      <c r="G339" s="162">
        <v>14.183</v>
      </c>
      <c r="H339" s="11" t="s">
        <v>0</v>
      </c>
      <c r="I339" s="159" t="str">
        <f t="shared" si="5"/>
        <v/>
      </c>
    </row>
    <row r="340" spans="1:9" ht="17.25" customHeight="1" x14ac:dyDescent="0.2">
      <c r="A340">
        <v>338</v>
      </c>
      <c r="B340" s="11" t="s">
        <v>0</v>
      </c>
      <c r="C340" s="11" t="s">
        <v>2041</v>
      </c>
      <c r="D340" s="11" t="s">
        <v>2121</v>
      </c>
      <c r="E340" s="11" t="s">
        <v>1098</v>
      </c>
      <c r="F340" s="11" t="s">
        <v>2042</v>
      </c>
      <c r="G340" s="162">
        <v>4.8</v>
      </c>
      <c r="H340" s="11" t="s">
        <v>0</v>
      </c>
      <c r="I340" s="159" t="str">
        <f t="shared" si="5"/>
        <v/>
      </c>
    </row>
    <row r="341" spans="1:9" ht="17.25" customHeight="1" x14ac:dyDescent="0.2">
      <c r="A341">
        <v>339</v>
      </c>
      <c r="B341" s="11" t="s">
        <v>0</v>
      </c>
      <c r="C341" s="11" t="s">
        <v>2043</v>
      </c>
      <c r="D341" s="11" t="s">
        <v>2120</v>
      </c>
      <c r="E341" s="11" t="s">
        <v>1098</v>
      </c>
      <c r="F341" s="11" t="s">
        <v>2044</v>
      </c>
      <c r="G341" s="162">
        <v>23.64</v>
      </c>
      <c r="H341" s="11" t="s">
        <v>0</v>
      </c>
      <c r="I341" s="159" t="str">
        <f t="shared" si="5"/>
        <v/>
      </c>
    </row>
    <row r="342" spans="1:9" ht="17.25" customHeight="1" x14ac:dyDescent="0.2">
      <c r="A342">
        <v>340</v>
      </c>
      <c r="B342" s="11" t="s">
        <v>0</v>
      </c>
      <c r="C342" s="11" t="s">
        <v>2045</v>
      </c>
      <c r="D342" s="11" t="s">
        <v>2118</v>
      </c>
      <c r="E342" s="11" t="s">
        <v>1098</v>
      </c>
      <c r="F342" s="11" t="s">
        <v>2119</v>
      </c>
      <c r="G342" s="162">
        <v>0.432</v>
      </c>
      <c r="H342" s="11" t="s">
        <v>0</v>
      </c>
      <c r="I342" s="159" t="str">
        <f t="shared" si="5"/>
        <v/>
      </c>
    </row>
    <row r="343" spans="1:9" ht="17.25" customHeight="1" x14ac:dyDescent="0.2">
      <c r="A343">
        <v>341</v>
      </c>
      <c r="B343" s="11" t="s">
        <v>0</v>
      </c>
      <c r="C343" s="11" t="s">
        <v>2046</v>
      </c>
      <c r="D343" s="11" t="s">
        <v>2047</v>
      </c>
      <c r="E343" s="11" t="s">
        <v>1098</v>
      </c>
      <c r="F343" s="11" t="s">
        <v>2047</v>
      </c>
      <c r="G343" s="162">
        <v>10</v>
      </c>
      <c r="H343" s="11" t="s">
        <v>0</v>
      </c>
      <c r="I343" s="159" t="str">
        <f t="shared" si="5"/>
        <v/>
      </c>
    </row>
    <row r="344" spans="1:9" ht="17.25" customHeight="1" x14ac:dyDescent="0.2">
      <c r="A344">
        <v>342</v>
      </c>
      <c r="B344" s="11" t="s">
        <v>0</v>
      </c>
      <c r="C344" s="11" t="s">
        <v>2048</v>
      </c>
      <c r="D344" s="11" t="s">
        <v>2049</v>
      </c>
      <c r="E344" s="11" t="s">
        <v>1098</v>
      </c>
      <c r="F344" s="11" t="s">
        <v>2049</v>
      </c>
      <c r="G344" s="162">
        <v>10</v>
      </c>
      <c r="H344" s="11" t="s">
        <v>0</v>
      </c>
      <c r="I344" s="159" t="str">
        <f t="shared" si="5"/>
        <v/>
      </c>
    </row>
    <row r="345" spans="1:9" ht="17.25" customHeight="1" x14ac:dyDescent="0.2">
      <c r="A345">
        <v>343</v>
      </c>
      <c r="B345" s="11" t="s">
        <v>0</v>
      </c>
      <c r="C345" s="11" t="s">
        <v>2050</v>
      </c>
      <c r="D345" s="11" t="s">
        <v>2052</v>
      </c>
      <c r="E345" s="11" t="s">
        <v>1652</v>
      </c>
      <c r="F345" s="11" t="s">
        <v>2051</v>
      </c>
      <c r="G345" s="162">
        <v>25</v>
      </c>
      <c r="H345" s="11" t="s">
        <v>0</v>
      </c>
      <c r="I345" s="159" t="str">
        <f t="shared" si="5"/>
        <v/>
      </c>
    </row>
    <row r="346" spans="1:9" ht="17.25" customHeight="1" x14ac:dyDescent="0.2">
      <c r="A346">
        <v>344</v>
      </c>
      <c r="B346" s="11" t="s">
        <v>0</v>
      </c>
      <c r="C346" s="11" t="s">
        <v>2053</v>
      </c>
      <c r="D346" s="11" t="s">
        <v>2117</v>
      </c>
      <c r="E346" s="11" t="s">
        <v>1098</v>
      </c>
      <c r="F346" s="11" t="s">
        <v>2054</v>
      </c>
      <c r="G346" s="162">
        <v>9.6</v>
      </c>
      <c r="H346" s="11" t="s">
        <v>0</v>
      </c>
      <c r="I346" s="159" t="str">
        <f t="shared" si="5"/>
        <v/>
      </c>
    </row>
    <row r="347" spans="1:9" ht="17.25" customHeight="1" x14ac:dyDescent="0.2">
      <c r="A347">
        <v>345</v>
      </c>
      <c r="B347" s="11" t="s">
        <v>0</v>
      </c>
      <c r="C347" s="11" t="s">
        <v>2055</v>
      </c>
      <c r="D347" s="11" t="s">
        <v>2057</v>
      </c>
      <c r="E347" s="11" t="s">
        <v>1098</v>
      </c>
      <c r="F347" s="11" t="s">
        <v>2056</v>
      </c>
      <c r="G347" s="162">
        <v>10</v>
      </c>
      <c r="H347" s="11" t="s">
        <v>0</v>
      </c>
      <c r="I347" s="159" t="str">
        <f t="shared" si="5"/>
        <v/>
      </c>
    </row>
    <row r="348" spans="1:9" ht="17.25" customHeight="1" x14ac:dyDescent="0.2">
      <c r="A348">
        <v>346</v>
      </c>
      <c r="B348" s="11" t="s">
        <v>0</v>
      </c>
      <c r="C348" s="11" t="s">
        <v>2058</v>
      </c>
      <c r="D348" s="11" t="s">
        <v>2060</v>
      </c>
      <c r="E348" s="11" t="s">
        <v>1098</v>
      </c>
      <c r="F348" s="11" t="s">
        <v>2059</v>
      </c>
      <c r="G348" s="162">
        <v>14.423</v>
      </c>
      <c r="H348" s="11" t="s">
        <v>0</v>
      </c>
      <c r="I348" s="159" t="str">
        <f t="shared" si="5"/>
        <v/>
      </c>
    </row>
    <row r="349" spans="1:9" ht="17.25" customHeight="1" x14ac:dyDescent="0.2">
      <c r="A349">
        <v>347</v>
      </c>
      <c r="B349" s="11" t="s">
        <v>0</v>
      </c>
      <c r="C349" s="11" t="s">
        <v>2061</v>
      </c>
      <c r="D349" s="11" t="s">
        <v>2063</v>
      </c>
      <c r="E349" s="11" t="s">
        <v>1094</v>
      </c>
      <c r="F349" s="11" t="s">
        <v>2062</v>
      </c>
      <c r="G349" s="162">
        <v>18</v>
      </c>
      <c r="H349" s="11" t="s">
        <v>0</v>
      </c>
      <c r="I349" s="159" t="str">
        <f t="shared" si="5"/>
        <v/>
      </c>
    </row>
    <row r="350" spans="1:9" ht="17.25" customHeight="1" x14ac:dyDescent="0.2">
      <c r="A350">
        <v>348</v>
      </c>
      <c r="B350" s="11" t="s">
        <v>0</v>
      </c>
      <c r="C350" s="11" t="s">
        <v>2064</v>
      </c>
      <c r="D350" s="11" t="s">
        <v>2066</v>
      </c>
      <c r="E350" s="11" t="s">
        <v>1098</v>
      </c>
      <c r="F350" s="11" t="s">
        <v>2065</v>
      </c>
      <c r="G350" s="162">
        <v>5.04</v>
      </c>
      <c r="H350" s="11" t="s">
        <v>0</v>
      </c>
      <c r="I350" s="159" t="str">
        <f t="shared" si="5"/>
        <v/>
      </c>
    </row>
    <row r="351" spans="1:9" ht="17.25" customHeight="1" x14ac:dyDescent="0.2">
      <c r="A351">
        <v>349</v>
      </c>
      <c r="B351" s="11" t="s">
        <v>0</v>
      </c>
      <c r="C351" s="11" t="s">
        <v>2067</v>
      </c>
      <c r="D351" s="11" t="s">
        <v>2069</v>
      </c>
      <c r="E351" s="11" t="s">
        <v>1098</v>
      </c>
      <c r="F351" s="11" t="s">
        <v>2068</v>
      </c>
      <c r="G351" s="162">
        <v>4.8</v>
      </c>
      <c r="H351" s="11" t="s">
        <v>0</v>
      </c>
      <c r="I351" s="159" t="str">
        <f t="shared" si="5"/>
        <v/>
      </c>
    </row>
    <row r="352" spans="1:9" ht="17.25" customHeight="1" x14ac:dyDescent="0.2">
      <c r="A352">
        <v>350</v>
      </c>
      <c r="B352" s="11" t="s">
        <v>0</v>
      </c>
      <c r="C352" s="11" t="s">
        <v>2070</v>
      </c>
      <c r="D352" s="11" t="s">
        <v>90</v>
      </c>
      <c r="E352" s="11" t="s">
        <v>1098</v>
      </c>
      <c r="F352" s="11" t="s">
        <v>2071</v>
      </c>
      <c r="G352" s="162">
        <v>12.34</v>
      </c>
      <c r="H352" s="11" t="s">
        <v>0</v>
      </c>
      <c r="I352" s="159" t="str">
        <f t="shared" si="5"/>
        <v/>
      </c>
    </row>
    <row r="353" spans="1:9" ht="17.25" customHeight="1" x14ac:dyDescent="0.2">
      <c r="A353">
        <v>351</v>
      </c>
      <c r="B353" s="11" t="s">
        <v>0</v>
      </c>
      <c r="C353" s="11" t="s">
        <v>2072</v>
      </c>
      <c r="D353" s="11" t="s">
        <v>2074</v>
      </c>
      <c r="E353" s="11" t="s">
        <v>1098</v>
      </c>
      <c r="F353" s="11" t="s">
        <v>2073</v>
      </c>
      <c r="G353" s="162">
        <v>5</v>
      </c>
      <c r="H353" s="11" t="s">
        <v>0</v>
      </c>
      <c r="I353" s="159" t="str">
        <f t="shared" si="5"/>
        <v/>
      </c>
    </row>
    <row r="354" spans="1:9" ht="17.25" customHeight="1" x14ac:dyDescent="0.2">
      <c r="A354">
        <v>352</v>
      </c>
      <c r="B354" s="11" t="s">
        <v>0</v>
      </c>
      <c r="C354" s="11" t="s">
        <v>2075</v>
      </c>
      <c r="D354" s="11" t="s">
        <v>2077</v>
      </c>
      <c r="E354" s="11" t="s">
        <v>1098</v>
      </c>
      <c r="F354" s="11" t="s">
        <v>2076</v>
      </c>
      <c r="G354" s="162">
        <v>9.6</v>
      </c>
      <c r="H354" s="11" t="s">
        <v>0</v>
      </c>
      <c r="I354" s="159" t="str">
        <f t="shared" si="5"/>
        <v/>
      </c>
    </row>
    <row r="355" spans="1:9" ht="17.25" customHeight="1" x14ac:dyDescent="0.2">
      <c r="A355">
        <v>353</v>
      </c>
      <c r="B355" s="11" t="s">
        <v>0</v>
      </c>
      <c r="C355" s="11" t="s">
        <v>2078</v>
      </c>
      <c r="D355" s="11" t="s">
        <v>2080</v>
      </c>
      <c r="E355" s="11" t="s">
        <v>1098</v>
      </c>
      <c r="F355" s="11" t="s">
        <v>2079</v>
      </c>
      <c r="G355" s="162">
        <v>9.0299999999999994</v>
      </c>
      <c r="H355" s="11" t="s">
        <v>0</v>
      </c>
      <c r="I355" s="159" t="str">
        <f t="shared" si="5"/>
        <v/>
      </c>
    </row>
    <row r="356" spans="1:9" ht="17.25" customHeight="1" x14ac:dyDescent="0.2">
      <c r="A356">
        <v>354</v>
      </c>
      <c r="B356" s="11" t="s">
        <v>0</v>
      </c>
      <c r="C356" s="11" t="s">
        <v>2081</v>
      </c>
      <c r="D356" s="11" t="s">
        <v>2083</v>
      </c>
      <c r="E356" s="11" t="s">
        <v>1098</v>
      </c>
      <c r="F356" s="11" t="s">
        <v>2082</v>
      </c>
      <c r="G356" s="162">
        <v>4.8</v>
      </c>
      <c r="H356" s="11" t="s">
        <v>0</v>
      </c>
      <c r="I356" s="159" t="str">
        <f t="shared" si="5"/>
        <v/>
      </c>
    </row>
    <row r="357" spans="1:9" ht="17.25" customHeight="1" x14ac:dyDescent="0.2">
      <c r="A357">
        <v>355</v>
      </c>
      <c r="B357" s="11" t="s">
        <v>0</v>
      </c>
      <c r="C357" s="11" t="s">
        <v>2097</v>
      </c>
      <c r="D357" s="11" t="s">
        <v>2116</v>
      </c>
      <c r="E357" s="11" t="s">
        <v>1098</v>
      </c>
      <c r="F357" s="11" t="s">
        <v>2098</v>
      </c>
      <c r="G357" s="162">
        <v>0.432</v>
      </c>
      <c r="H357" s="11" t="s">
        <v>0</v>
      </c>
      <c r="I357" s="159"/>
    </row>
    <row r="358" spans="1:9" ht="17.25" customHeight="1" x14ac:dyDescent="0.2">
      <c r="A358">
        <v>356</v>
      </c>
      <c r="B358" s="11" t="s">
        <v>0</v>
      </c>
      <c r="C358" s="11" t="s">
        <v>2099</v>
      </c>
      <c r="D358" s="11" t="s">
        <v>2115</v>
      </c>
      <c r="E358" s="11" t="s">
        <v>1098</v>
      </c>
      <c r="F358" s="11" t="s">
        <v>2100</v>
      </c>
      <c r="G358" s="162">
        <v>9.6</v>
      </c>
      <c r="H358" s="11" t="s">
        <v>0</v>
      </c>
      <c r="I358" s="159"/>
    </row>
    <row r="359" spans="1:9" ht="17.25" customHeight="1" x14ac:dyDescent="0.2">
      <c r="A359">
        <v>357</v>
      </c>
      <c r="B359" s="11" t="s">
        <v>0</v>
      </c>
      <c r="C359" s="11" t="s">
        <v>2101</v>
      </c>
      <c r="D359" s="11" t="s">
        <v>2102</v>
      </c>
      <c r="E359" s="11" t="s">
        <v>1179</v>
      </c>
      <c r="F359" s="11" t="s">
        <v>2105</v>
      </c>
      <c r="G359" s="162">
        <v>0.91</v>
      </c>
      <c r="H359" s="11" t="s">
        <v>0</v>
      </c>
      <c r="I359" s="159"/>
    </row>
    <row r="360" spans="1:9" ht="17.25" customHeight="1" x14ac:dyDescent="0.2">
      <c r="A360">
        <v>358</v>
      </c>
      <c r="B360" s="11" t="s">
        <v>0</v>
      </c>
      <c r="C360" s="11" t="s">
        <v>2103</v>
      </c>
      <c r="D360" s="11" t="s">
        <v>2104</v>
      </c>
      <c r="E360" s="11" t="s">
        <v>1179</v>
      </c>
      <c r="F360" s="11" t="s">
        <v>2106</v>
      </c>
      <c r="G360" s="162">
        <v>1.82</v>
      </c>
      <c r="H360" s="11" t="s">
        <v>0</v>
      </c>
      <c r="I360" s="159"/>
    </row>
    <row r="361" spans="1:9" ht="17.25" customHeight="1" x14ac:dyDescent="0.2">
      <c r="A361">
        <v>359</v>
      </c>
      <c r="B361" s="11" t="s">
        <v>1090</v>
      </c>
      <c r="C361" s="11" t="s">
        <v>2130</v>
      </c>
      <c r="D361" s="11" t="s">
        <v>2131</v>
      </c>
      <c r="E361" s="11" t="s">
        <v>1098</v>
      </c>
      <c r="F361" s="11" t="s">
        <v>2132</v>
      </c>
      <c r="G361" s="162">
        <v>10.199999999999999</v>
      </c>
      <c r="H361" s="11" t="s">
        <v>1090</v>
      </c>
      <c r="I361" s="159"/>
    </row>
    <row r="362" spans="1:9" x14ac:dyDescent="0.2">
      <c r="D362" s="11"/>
    </row>
  </sheetData>
  <autoFilter ref="A2:I360" xr:uid="{D6D5BE92-BF51-41D5-A1FB-0C15ADD5A1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GP NVC</vt:lpstr>
      <vt:lpstr>siêu thị</vt:lpstr>
      <vt:lpstr>npp</vt:lpstr>
      <vt:lpstr>tỉnh</vt:lpstr>
      <vt:lpstr>npp (clv)</vt:lpstr>
      <vt:lpstr>siêu thị (clv)</vt:lpstr>
      <vt:lpstr>TONG HOP cap nhat T5-26</vt:lpstr>
      <vt:lpstr>MÃ HÀNG 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cp:lastPrinted>2026-01-31T12:16:20Z</cp:lastPrinted>
  <dcterms:created xsi:type="dcterms:W3CDTF">2024-06-04T00:45:50Z</dcterms:created>
  <dcterms:modified xsi:type="dcterms:W3CDTF">2026-06-17T07:55:39Z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15.2.7.0</vt:lpwstr>
  </property>
</Properties>
</file>