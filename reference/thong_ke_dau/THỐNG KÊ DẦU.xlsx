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52026" sheetId="1" r:id="rId5"/>
    <sheet state="visible" name="62026" sheetId="2" r:id="rId6"/>
    <sheet state="hidden" name="42026" sheetId="3" r:id="rId7"/>
    <sheet state="hidden" name="32026" sheetId="4" r:id="rId8"/>
    <sheet state="hidden" name="022026" sheetId="5" r:id="rId9"/>
    <sheet state="hidden" name="01-2026" sheetId="6" r:id="rId10"/>
    <sheet state="hidden" name="12-2025" sheetId="7" r:id="rId11"/>
    <sheet state="hidden" name="11-2025" sheetId="8" r:id="rId12"/>
    <sheet state="hidden" name="10-2025" sheetId="9" r:id="rId13"/>
    <sheet state="hidden" name="09-2025" sheetId="10" r:id="rId14"/>
    <sheet state="hidden" name="08-2025" sheetId="11" r:id="rId15"/>
    <sheet state="hidden" name="07-2025" sheetId="12" r:id="rId16"/>
    <sheet state="hidden" name="06-2025" sheetId="13" r:id="rId17"/>
    <sheet state="hidden" name="05-2025" sheetId="14" r:id="rId18"/>
    <sheet state="hidden" name="04-2025" sheetId="15" r:id="rId19"/>
    <sheet state="hidden" name="03-2025" sheetId="16" r:id="rId20"/>
    <sheet state="hidden" name="02-2025" sheetId="17" r:id="rId21"/>
    <sheet state="hidden" name="01-2025" sheetId="18" r:id="rId22"/>
    <sheet state="hidden" name="thang 12" sheetId="19" r:id="rId23"/>
    <sheet state="hidden" name="112024" sheetId="20" r:id="rId24"/>
  </sheets>
  <definedNames/>
  <calcPr/>
</workbook>
</file>

<file path=xl/sharedStrings.xml><?xml version="1.0" encoding="utf-8"?>
<sst xmlns="http://schemas.openxmlformats.org/spreadsheetml/2006/main" count="5096" uniqueCount="117">
  <si>
    <t>THỐNG KÊ DẦU / 100 KM tháng 05/2026</t>
  </si>
  <si>
    <t>NGÀY</t>
  </si>
  <si>
    <t>SỐ XE</t>
  </si>
  <si>
    <t>SỐ KM CŨ</t>
  </si>
  <si>
    <t>SỐ KM ĐỔ</t>
  </si>
  <si>
    <t>T.CỘNG</t>
  </si>
  <si>
    <t>LÍT</t>
  </si>
  <si>
    <t>L/100 KM</t>
  </si>
  <si>
    <t>định vị</t>
  </si>
  <si>
    <t>ĐƠN GIÁ</t>
  </si>
  <si>
    <t>THÀNH TIỀN</t>
  </si>
  <si>
    <t>50H-55443</t>
  </si>
  <si>
    <t>50H-55161</t>
  </si>
  <si>
    <t>50H-64470</t>
  </si>
  <si>
    <t>50H-64316</t>
  </si>
  <si>
    <t>50H-54580</t>
  </si>
  <si>
    <t>50H-66445</t>
  </si>
  <si>
    <t>50H55443</t>
  </si>
  <si>
    <t>50H-63174</t>
  </si>
  <si>
    <t>TC</t>
  </si>
  <si>
    <t>50H-55116</t>
  </si>
  <si>
    <t>50H-50999</t>
  </si>
  <si>
    <t>50H-88294</t>
  </si>
  <si>
    <t>50H-69501</t>
  </si>
  <si>
    <t>50H-74619</t>
  </si>
  <si>
    <t>50H-70216</t>
  </si>
  <si>
    <t>50H-87442</t>
  </si>
  <si>
    <t>47H-02023</t>
  </si>
  <si>
    <t>50H-92136</t>
  </si>
  <si>
    <t>62H  01887</t>
  </si>
  <si>
    <t>51D-38021</t>
  </si>
  <si>
    <t>51D -55829</t>
  </si>
  <si>
    <t>50H-60635</t>
  </si>
  <si>
    <t>50H-86564</t>
  </si>
  <si>
    <t>50H-44024</t>
  </si>
  <si>
    <t>50E-164,61</t>
  </si>
  <si>
    <t xml:space="preserve"> 50H-44328</t>
  </si>
  <si>
    <t>50H 50999</t>
  </si>
  <si>
    <t>50H 69501</t>
  </si>
  <si>
    <t>50H 746.19</t>
  </si>
  <si>
    <t>50H 70216</t>
  </si>
  <si>
    <t>50H 87442</t>
  </si>
  <si>
    <t xml:space="preserve"> 50E 16461</t>
  </si>
  <si>
    <t>62H-01887</t>
  </si>
  <si>
    <t>51D 55829</t>
  </si>
  <si>
    <t>XE LỚN  CÂY XĂNG HIỆP TÂN</t>
  </si>
  <si>
    <t>50H-66347</t>
  </si>
  <si>
    <t>50H-87055</t>
  </si>
  <si>
    <t>50H-55129</t>
  </si>
  <si>
    <t>50H-55294</t>
  </si>
  <si>
    <t>50H-69717</t>
  </si>
  <si>
    <t>50H-75206</t>
  </si>
  <si>
    <t>50E-324,01</t>
  </si>
  <si>
    <t>50H 87055</t>
  </si>
  <si>
    <t>95G-00283</t>
  </si>
  <si>
    <t xml:space="preserve"> 50E-660.82</t>
  </si>
  <si>
    <t>50E-407,46</t>
  </si>
  <si>
    <t>50E-64873</t>
  </si>
  <si>
    <t xml:space="preserve"> 50E-654.34</t>
  </si>
  <si>
    <t>50H-17010</t>
  </si>
  <si>
    <t>50E 75774</t>
  </si>
  <si>
    <t>50E 75873</t>
  </si>
  <si>
    <t>50E-407.46</t>
  </si>
  <si>
    <t>50E-32401</t>
  </si>
  <si>
    <t>TỔNG CỘNG</t>
  </si>
  <si>
    <t>THỐNG KÊ DẦU / 100 KM tháng 06/2026</t>
  </si>
  <si>
    <t>50H-44328</t>
  </si>
  <si>
    <t>71H-03356</t>
  </si>
  <si>
    <t>50E-565,21</t>
  </si>
  <si>
    <t>60C-27211</t>
  </si>
  <si>
    <t xml:space="preserve"> 51L-89217</t>
  </si>
  <si>
    <t>THỐNG KÊ DẦU / 100 KM tháng 04/2026</t>
  </si>
  <si>
    <t>51D-95538</t>
  </si>
  <si>
    <t>THỐNG KÊ DẦU / 100 KM tháng 03/2026</t>
  </si>
  <si>
    <t>THỐNG KÊ DẦU / 100 KM tháng 02/2026</t>
  </si>
  <si>
    <t>THỐNG KÊ DẦU / 100 KM tháng 01/2026</t>
  </si>
  <si>
    <t>,</t>
  </si>
  <si>
    <t>THỐNG KÊ DẦU / 100 KM tháng 12/2025</t>
  </si>
  <si>
    <t>01./12/2025</t>
  </si>
  <si>
    <t>THỐNG KÊ DẦU / 100 KM tháng 11/2025</t>
  </si>
  <si>
    <t>50H-00945</t>
  </si>
  <si>
    <t>60H-45050</t>
  </si>
  <si>
    <t>THỐNG KÊ DẦU / 100 KM tháng 10/2025</t>
  </si>
  <si>
    <t>66G-00403</t>
  </si>
  <si>
    <t>CRB5L</t>
  </si>
  <si>
    <t>nhớt</t>
  </si>
  <si>
    <t>THỐNG KÊ DẦU / 100 KM tháng 09/2025</t>
  </si>
  <si>
    <t>50H-54581</t>
  </si>
  <si>
    <t>50H-66446</t>
  </si>
  <si>
    <t>03-09/2025</t>
  </si>
  <si>
    <t>50H-32401</t>
  </si>
  <si>
    <t>60C-45050</t>
  </si>
  <si>
    <t>THỐNG KÊ DẦU / 100 KM tháng 08/2025</t>
  </si>
  <si>
    <t>50E-324,04</t>
  </si>
  <si>
    <t>THỐNG KÊ DẦU / 100 KM tháng 07/2025</t>
  </si>
  <si>
    <t>3107/2025</t>
  </si>
  <si>
    <t>THỐNG KÊ DẦU / 100 KM tháng 06/2025</t>
  </si>
  <si>
    <t xml:space="preserve">  </t>
  </si>
  <si>
    <t>THỐNG KÊ DẦU / 100 KM tháng 05/2025</t>
  </si>
  <si>
    <t>phiếu bảng kê tính 16,800</t>
  </si>
  <si>
    <t>51C-89727</t>
  </si>
  <si>
    <t>THỐNG KÊ DẦU / 100 KM tháng 04/2025</t>
  </si>
  <si>
    <t>17/047/2025</t>
  </si>
  <si>
    <t>0204/2025</t>
  </si>
  <si>
    <t>THỐNG KÊ DẦU / 100 KM tháng 03/2025</t>
  </si>
  <si>
    <t>15/013/2025</t>
  </si>
  <si>
    <t>04-03/2025</t>
  </si>
  <si>
    <t>51C-65297</t>
  </si>
  <si>
    <t>THỐNG KÊ DẦU / 100 KM tháng 01/2025</t>
  </si>
  <si>
    <t>26/02.2026</t>
  </si>
  <si>
    <t>19/02./2052</t>
  </si>
  <si>
    <t>6,953,955</t>
  </si>
  <si>
    <t>60C-4500</t>
  </si>
  <si>
    <t>14-1/2025</t>
  </si>
  <si>
    <t>THỐNG KÊ DẦU / 100 KM tháng 12/2024</t>
  </si>
  <si>
    <t>50H-136.46</t>
  </si>
  <si>
    <t>51D-26552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</si>
</sst>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/m/yyyy"/>
    <numFmt numFmtId="165" formatCode="dd/mm/yyyy"/>
    <numFmt numFmtId="166" formatCode="yyyy/m"/>
    <numFmt numFmtId="167" formatCode="dd/MM/yyyy"/>
    <numFmt numFmtId="168" formatCode="dd-mm"/>
    <numFmt numFmtId="169" formatCode="d-m"/>
    <numFmt numFmtId="170" formatCode="d/m"/>
  </numFmts>
  <fonts count="24">
    <font>
      <sz val="10.0"/>
      <color rgb="FF000000"/>
      <name val="Arial"/>
      <scheme val="minor"/>
    </font>
    <font>
      <b/>
      <sz val="14.0"/>
      <color rgb="FF000000"/>
      <name val="Arial"/>
    </font>
    <font>
      <b/>
      <sz val="12.0"/>
      <color rgb="FF000000"/>
      <name val="Arial"/>
    </font>
    <font>
      <sz val="11.0"/>
      <color rgb="FF000000"/>
      <name val="Arial"/>
    </font>
    <font>
      <sz val="12.0"/>
      <color rgb="FF000000"/>
      <name val="Arial"/>
    </font>
    <font>
      <sz val="11.0"/>
      <color theme="1"/>
      <name val="Arial"/>
    </font>
    <font>
      <sz val="12.0"/>
      <color theme="1"/>
      <name val="Arial"/>
    </font>
    <font>
      <sz val="11.0"/>
      <color rgb="FF081B3A"/>
      <name val="Arial"/>
    </font>
    <font>
      <b/>
      <sz val="11.0"/>
      <color rgb="FF000000"/>
      <name val="Arial"/>
    </font>
    <font>
      <color theme="1"/>
      <name val="Arial"/>
      <scheme val="minor"/>
    </font>
    <font>
      <b/>
      <sz val="11.0"/>
      <color theme="1"/>
      <name val="Arial"/>
    </font>
    <font>
      <b/>
      <sz val="14.0"/>
      <color rgb="FF000000"/>
      <name val="Arial"/>
      <scheme val="minor"/>
    </font>
    <font>
      <color rgb="FF000000"/>
      <name val="Arial"/>
      <scheme val="minor"/>
    </font>
    <font>
      <b/>
      <sz val="16.0"/>
      <color theme="1"/>
      <name val="Arial"/>
      <scheme val="minor"/>
    </font>
    <font>
      <sz val="16.0"/>
      <color theme="1"/>
      <name val="Arial"/>
      <scheme val="minor"/>
    </font>
    <font/>
    <font>
      <b/>
      <sz val="12.0"/>
      <color theme="1"/>
      <name val="Arial"/>
    </font>
    <font>
      <color theme="1"/>
      <name val="Arial"/>
    </font>
    <font>
      <sz val="11.0"/>
      <color rgb="FF081B3A"/>
      <name val="SegoeuiPc"/>
    </font>
    <font>
      <sz val="11.0"/>
      <color rgb="FFFF0000"/>
      <name val="Arial"/>
    </font>
    <font>
      <sz val="13.0"/>
      <color theme="1"/>
      <name val="Arial"/>
      <scheme val="minor"/>
    </font>
    <font>
      <b/>
      <sz val="14.0"/>
      <color theme="1"/>
      <name val="Arial"/>
      <scheme val="minor"/>
    </font>
    <font>
      <b/>
      <sz val="11.0"/>
      <color rgb="FFFF0000"/>
      <name val="Arial"/>
    </font>
    <font>
      <sz val="12.0"/>
      <color rgb="FFFF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</fills>
  <borders count="56">
    <border/>
    <border>
      <left style="medium">
        <color rgb="FF000000"/>
      </left>
      <right style="thin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hair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hair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hair">
        <color rgb="FF000000"/>
      </bottom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</border>
    <border>
      <right style="thin">
        <color rgb="FF000000"/>
      </right>
      <top style="hair">
        <color rgb="FF000000"/>
      </top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3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wrapText="0"/>
    </xf>
    <xf borderId="1" fillId="2" fontId="2" numFmtId="0" xfId="0" applyAlignment="1" applyBorder="1" applyFont="1">
      <alignment horizontal="center" readingOrder="0" shrinkToFit="0" wrapText="0"/>
    </xf>
    <xf borderId="2" fillId="2" fontId="2" numFmtId="0" xfId="0" applyAlignment="1" applyBorder="1" applyFont="1">
      <alignment horizontal="center" readingOrder="0" shrinkToFit="0" wrapText="0"/>
    </xf>
    <xf borderId="2" fillId="2" fontId="2" numFmtId="4" xfId="0" applyAlignment="1" applyBorder="1" applyFont="1" applyNumberFormat="1">
      <alignment horizontal="center" readingOrder="0" shrinkToFit="0" wrapText="0"/>
    </xf>
    <xf borderId="3" fillId="2" fontId="2" numFmtId="0" xfId="0" applyAlignment="1" applyBorder="1" applyFont="1">
      <alignment horizontal="center" readingOrder="0" shrinkToFit="0" wrapText="0"/>
    </xf>
    <xf borderId="2" fillId="0" fontId="2" numFmtId="0" xfId="0" applyAlignment="1" applyBorder="1" applyFont="1">
      <alignment horizontal="center" readingOrder="0" shrinkToFit="0" wrapText="0"/>
    </xf>
    <xf borderId="4" fillId="2" fontId="2" numFmtId="0" xfId="0" applyAlignment="1" applyBorder="1" applyFont="1">
      <alignment horizontal="center" readingOrder="0" shrinkToFit="0" wrapText="0"/>
    </xf>
    <xf borderId="5" fillId="2" fontId="3" numFmtId="164" xfId="0" applyAlignment="1" applyBorder="1" applyFont="1" applyNumberFormat="1">
      <alignment horizontal="center" readingOrder="0" shrinkToFit="0" wrapText="0"/>
    </xf>
    <xf borderId="5" fillId="2" fontId="4" numFmtId="0" xfId="0" applyAlignment="1" applyBorder="1" applyFont="1">
      <alignment horizontal="center" readingOrder="0" shrinkToFit="0" wrapText="0"/>
    </xf>
    <xf borderId="6" fillId="3" fontId="3" numFmtId="0" xfId="0" applyAlignment="1" applyBorder="1" applyFill="1" applyFont="1">
      <alignment horizontal="center" readingOrder="0" shrinkToFit="0" wrapText="0"/>
    </xf>
    <xf borderId="5" fillId="3" fontId="3" numFmtId="0" xfId="0" applyAlignment="1" applyBorder="1" applyFont="1">
      <alignment horizontal="center" readingOrder="0" shrinkToFit="0" wrapText="0"/>
    </xf>
    <xf borderId="5" fillId="2" fontId="5" numFmtId="0" xfId="0" applyAlignment="1" applyBorder="1" applyFont="1">
      <alignment horizontal="center" readingOrder="0" shrinkToFit="0" wrapText="0"/>
    </xf>
    <xf borderId="5" fillId="2" fontId="3" numFmtId="0" xfId="0" applyAlignment="1" applyBorder="1" applyFont="1">
      <alignment horizontal="center" readingOrder="0" shrinkToFit="0" wrapText="0"/>
    </xf>
    <xf borderId="5" fillId="2" fontId="5" numFmtId="4" xfId="0" applyAlignment="1" applyBorder="1" applyFont="1" applyNumberFormat="1">
      <alignment horizontal="center" readingOrder="0" shrinkToFit="0" wrapText="0"/>
    </xf>
    <xf borderId="6" fillId="0" fontId="3" numFmtId="0" xfId="0" applyAlignment="1" applyBorder="1" applyFont="1">
      <alignment horizontal="center" readingOrder="0" shrinkToFit="0" wrapText="0"/>
    </xf>
    <xf borderId="5" fillId="0" fontId="3" numFmtId="0" xfId="0" applyAlignment="1" applyBorder="1" applyFont="1">
      <alignment horizontal="center" readingOrder="0" shrinkToFit="0" wrapText="0"/>
    </xf>
    <xf borderId="5" fillId="2" fontId="3" numFmtId="4" xfId="0" applyAlignment="1" applyBorder="1" applyFont="1" applyNumberFormat="1">
      <alignment horizontal="center" readingOrder="0" shrinkToFit="0" wrapText="0"/>
    </xf>
    <xf borderId="5" fillId="2" fontId="3" numFmtId="3" xfId="0" applyAlignment="1" applyBorder="1" applyFont="1" applyNumberFormat="1">
      <alignment horizontal="center" readingOrder="0" shrinkToFit="0" wrapText="0"/>
    </xf>
    <xf borderId="0" fillId="0" fontId="6" numFmtId="0" xfId="0" applyAlignment="1" applyFont="1">
      <alignment readingOrder="0"/>
    </xf>
    <xf borderId="0" fillId="2" fontId="6" numFmtId="0" xfId="0" applyAlignment="1" applyFont="1">
      <alignment readingOrder="0"/>
    </xf>
    <xf borderId="0" fillId="0" fontId="6" numFmtId="3" xfId="0" applyFont="1" applyNumberFormat="1"/>
    <xf borderId="5" fillId="3" fontId="3" numFmtId="3" xfId="0" applyAlignment="1" applyBorder="1" applyFont="1" applyNumberFormat="1">
      <alignment horizontal="center" readingOrder="0" shrinkToFit="0" wrapText="0"/>
    </xf>
    <xf borderId="6" fillId="2" fontId="3" numFmtId="164" xfId="0" applyAlignment="1" applyBorder="1" applyFont="1" applyNumberFormat="1">
      <alignment horizontal="center" readingOrder="0" shrinkToFit="0" wrapText="0"/>
    </xf>
    <xf borderId="6" fillId="2" fontId="4" numFmtId="0" xfId="0" applyAlignment="1" applyBorder="1" applyFont="1">
      <alignment horizontal="center" readingOrder="0" shrinkToFit="0" wrapText="0"/>
    </xf>
    <xf borderId="6" fillId="2" fontId="5" numFmtId="0" xfId="0" applyAlignment="1" applyBorder="1" applyFont="1">
      <alignment horizontal="center" readingOrder="0" shrinkToFit="0" wrapText="0"/>
    </xf>
    <xf borderId="6" fillId="2" fontId="3" numFmtId="0" xfId="0" applyAlignment="1" applyBorder="1" applyFont="1">
      <alignment horizontal="center" readingOrder="0" shrinkToFit="0" wrapText="0"/>
    </xf>
    <xf borderId="6" fillId="2" fontId="3" numFmtId="4" xfId="0" applyAlignment="1" applyBorder="1" applyFont="1" applyNumberFormat="1">
      <alignment horizontal="center" readingOrder="0" shrinkToFit="0" wrapText="0"/>
    </xf>
    <xf borderId="6" fillId="2" fontId="3" numFmtId="3" xfId="0" applyAlignment="1" applyBorder="1" applyFont="1" applyNumberFormat="1">
      <alignment horizontal="center" readingOrder="0" shrinkToFit="0" wrapText="0"/>
    </xf>
    <xf borderId="7" fillId="2" fontId="2" numFmtId="0" xfId="0" applyAlignment="1" applyBorder="1" applyFont="1">
      <alignment horizontal="center" shrinkToFit="0" wrapText="0"/>
    </xf>
    <xf borderId="7" fillId="2" fontId="2" numFmtId="0" xfId="0" applyAlignment="1" applyBorder="1" applyFont="1">
      <alignment horizontal="center" readingOrder="0" shrinkToFit="0" wrapText="0"/>
    </xf>
    <xf borderId="7" fillId="2" fontId="2" numFmtId="4" xfId="0" applyAlignment="1" applyBorder="1" applyFont="1" applyNumberFormat="1">
      <alignment horizontal="center" readingOrder="0" shrinkToFit="0" wrapText="0"/>
    </xf>
    <xf borderId="7" fillId="0" fontId="2" numFmtId="0" xfId="0" applyAlignment="1" applyBorder="1" applyFont="1">
      <alignment horizontal="center" shrinkToFit="0" wrapText="0"/>
    </xf>
    <xf borderId="8" fillId="2" fontId="2" numFmtId="0" xfId="0" applyAlignment="1" applyBorder="1" applyFont="1">
      <alignment horizontal="center" readingOrder="0" shrinkToFit="0" wrapText="0"/>
    </xf>
    <xf borderId="7" fillId="2" fontId="2" numFmtId="3" xfId="0" applyAlignment="1" applyBorder="1" applyFont="1" applyNumberFormat="1">
      <alignment horizontal="center" readingOrder="0" shrinkToFit="0" wrapText="0"/>
    </xf>
    <xf borderId="9" fillId="2" fontId="3" numFmtId="164" xfId="0" applyAlignment="1" applyBorder="1" applyFont="1" applyNumberFormat="1">
      <alignment horizontal="center" readingOrder="0" shrinkToFit="0" wrapText="0"/>
    </xf>
    <xf borderId="10" fillId="2" fontId="4" numFmtId="0" xfId="0" applyAlignment="1" applyBorder="1" applyFont="1">
      <alignment horizontal="center" readingOrder="0" shrinkToFit="0" wrapText="0"/>
    </xf>
    <xf borderId="11" fillId="2" fontId="3" numFmtId="0" xfId="0" applyAlignment="1" applyBorder="1" applyFont="1">
      <alignment horizontal="center" readingOrder="0" shrinkToFit="0" wrapText="0"/>
    </xf>
    <xf borderId="12" fillId="2" fontId="5" numFmtId="0" xfId="0" applyAlignment="1" applyBorder="1" applyFont="1">
      <alignment horizontal="center" readingOrder="0" shrinkToFit="0" wrapText="0"/>
    </xf>
    <xf borderId="13" fillId="2" fontId="3" numFmtId="0" xfId="0" applyAlignment="1" applyBorder="1" applyFont="1">
      <alignment horizontal="center" readingOrder="0" shrinkToFit="0" wrapText="0"/>
    </xf>
    <xf borderId="11" fillId="0" fontId="3" numFmtId="0" xfId="0" applyAlignment="1" applyBorder="1" applyFont="1">
      <alignment horizontal="center" readingOrder="0" shrinkToFit="0" wrapText="0"/>
    </xf>
    <xf borderId="10" fillId="2" fontId="3" numFmtId="0" xfId="0" applyAlignment="1" applyBorder="1" applyFont="1">
      <alignment horizontal="center" readingOrder="0" shrinkToFit="0" wrapText="0"/>
    </xf>
    <xf borderId="10" fillId="2" fontId="3" numFmtId="4" xfId="0" applyAlignment="1" applyBorder="1" applyFont="1" applyNumberFormat="1">
      <alignment horizontal="center" readingOrder="0" shrinkToFit="0" wrapText="0"/>
    </xf>
    <xf borderId="14" fillId="2" fontId="7" numFmtId="3" xfId="0" applyAlignment="1" applyBorder="1" applyFont="1" applyNumberFormat="1">
      <alignment horizontal="center" readingOrder="0"/>
    </xf>
    <xf borderId="15" fillId="2" fontId="3" numFmtId="3" xfId="0" applyAlignment="1" applyBorder="1" applyFont="1" applyNumberFormat="1">
      <alignment horizontal="center" readingOrder="0" shrinkToFit="0" wrapText="0"/>
    </xf>
    <xf borderId="9" fillId="3" fontId="3" numFmtId="164" xfId="0" applyAlignment="1" applyBorder="1" applyFont="1" applyNumberFormat="1">
      <alignment horizontal="center" readingOrder="0" shrinkToFit="0" wrapText="0"/>
    </xf>
    <xf borderId="11" fillId="2" fontId="4" numFmtId="0" xfId="0" applyAlignment="1" applyBorder="1" applyFont="1">
      <alignment horizontal="center" readingOrder="0" shrinkToFit="0" wrapText="0"/>
    </xf>
    <xf borderId="16" fillId="2" fontId="3" numFmtId="0" xfId="0" applyAlignment="1" applyBorder="1" applyFont="1">
      <alignment horizontal="center" readingOrder="0" shrinkToFit="0" wrapText="0"/>
    </xf>
    <xf borderId="11" fillId="2" fontId="3" numFmtId="4" xfId="0" applyAlignment="1" applyBorder="1" applyFont="1" applyNumberFormat="1">
      <alignment horizontal="center" readingOrder="0" shrinkToFit="0" wrapText="0"/>
    </xf>
    <xf borderId="17" fillId="2" fontId="3" numFmtId="3" xfId="0" applyAlignment="1" applyBorder="1" applyFont="1" applyNumberFormat="1">
      <alignment horizontal="center" readingOrder="0" shrinkToFit="0" wrapText="0"/>
    </xf>
    <xf borderId="11" fillId="2" fontId="3" numFmtId="3" xfId="0" applyAlignment="1" applyBorder="1" applyFont="1" applyNumberFormat="1">
      <alignment horizontal="center" readingOrder="0" shrinkToFit="0" wrapText="0"/>
    </xf>
    <xf borderId="11" fillId="3" fontId="4" numFmtId="0" xfId="0" applyAlignment="1" applyBorder="1" applyFont="1">
      <alignment horizontal="center" readingOrder="0" shrinkToFit="0" wrapText="0"/>
    </xf>
    <xf borderId="11" fillId="3" fontId="3" numFmtId="0" xfId="0" applyAlignment="1" applyBorder="1" applyFont="1">
      <alignment horizontal="center" readingOrder="0" shrinkToFit="0" wrapText="0"/>
    </xf>
    <xf borderId="5" fillId="3" fontId="5" numFmtId="0" xfId="0" applyAlignment="1" applyBorder="1" applyFont="1">
      <alignment horizontal="center" readingOrder="0" shrinkToFit="0" wrapText="0"/>
    </xf>
    <xf borderId="16" fillId="3" fontId="3" numFmtId="0" xfId="0" applyAlignment="1" applyBorder="1" applyFont="1">
      <alignment horizontal="center" readingOrder="0" shrinkToFit="0" wrapText="0"/>
    </xf>
    <xf borderId="18" fillId="2" fontId="3" numFmtId="0" xfId="0" applyAlignment="1" applyBorder="1" applyFont="1">
      <alignment horizontal="center" readingOrder="0" shrinkToFit="0" wrapText="0"/>
    </xf>
    <xf borderId="6" fillId="2" fontId="5" numFmtId="4" xfId="0" applyAlignment="1" applyBorder="1" applyFont="1" applyNumberFormat="1">
      <alignment horizontal="center" readingOrder="0" shrinkToFit="0" wrapText="0"/>
    </xf>
    <xf borderId="18" fillId="0" fontId="3" numFmtId="0" xfId="0" applyAlignment="1" applyBorder="1" applyFont="1">
      <alignment horizontal="center" readingOrder="0" shrinkToFit="0" wrapText="0"/>
    </xf>
    <xf borderId="18" fillId="2" fontId="3" numFmtId="3" xfId="0" applyAlignment="1" applyBorder="1" applyFont="1" applyNumberFormat="1">
      <alignment horizontal="center" readingOrder="0" shrinkToFit="0" wrapText="0"/>
    </xf>
    <xf borderId="19" fillId="2" fontId="3" numFmtId="3" xfId="0" applyAlignment="1" applyBorder="1" applyFont="1" applyNumberFormat="1">
      <alignment horizontal="center" readingOrder="0" shrinkToFit="0" wrapText="0"/>
    </xf>
    <xf borderId="0" fillId="0" fontId="6" numFmtId="0" xfId="0" applyFont="1"/>
    <xf borderId="0" fillId="4" fontId="6" numFmtId="0" xfId="0" applyAlignment="1" applyFill="1" applyFont="1">
      <alignment readingOrder="0"/>
    </xf>
    <xf borderId="7" fillId="2" fontId="8" numFmtId="0" xfId="0" applyAlignment="1" applyBorder="1" applyFont="1">
      <alignment horizontal="center" shrinkToFit="0" wrapText="0"/>
    </xf>
    <xf borderId="7" fillId="2" fontId="4" numFmtId="0" xfId="0" applyAlignment="1" applyBorder="1" applyFont="1">
      <alignment horizontal="center" shrinkToFit="0" wrapText="0"/>
    </xf>
    <xf borderId="7" fillId="2" fontId="8" numFmtId="0" xfId="0" applyAlignment="1" applyBorder="1" applyFont="1">
      <alignment horizontal="center" readingOrder="0" shrinkToFit="0" wrapText="0"/>
    </xf>
    <xf borderId="7" fillId="2" fontId="8" numFmtId="4" xfId="0" applyAlignment="1" applyBorder="1" applyFont="1" applyNumberFormat="1">
      <alignment horizontal="center" readingOrder="0" shrinkToFit="0" wrapText="0"/>
    </xf>
    <xf borderId="7" fillId="0" fontId="8" numFmtId="0" xfId="0" applyAlignment="1" applyBorder="1" applyFont="1">
      <alignment horizontal="center" shrinkToFit="0" wrapText="0"/>
    </xf>
    <xf borderId="20" fillId="2" fontId="8" numFmtId="0" xfId="0" applyAlignment="1" applyBorder="1" applyFont="1">
      <alignment horizontal="center" readingOrder="0" shrinkToFit="0" wrapText="0"/>
    </xf>
    <xf borderId="7" fillId="2" fontId="3" numFmtId="0" xfId="0" applyAlignment="1" applyBorder="1" applyFont="1">
      <alignment horizontal="center" shrinkToFit="0" wrapText="0"/>
    </xf>
    <xf borderId="7" fillId="2" fontId="8" numFmtId="3" xfId="0" applyAlignment="1" applyBorder="1" applyFont="1" applyNumberFormat="1">
      <alignment horizontal="center" readingOrder="0" shrinkToFit="0" wrapText="0"/>
    </xf>
    <xf borderId="21" fillId="2" fontId="3" numFmtId="164" xfId="0" applyAlignment="1" applyBorder="1" applyFont="1" applyNumberFormat="1">
      <alignment horizontal="center" readingOrder="0" shrinkToFit="0" wrapText="0"/>
    </xf>
    <xf borderId="22" fillId="2" fontId="3" numFmtId="4" xfId="0" applyAlignment="1" applyBorder="1" applyFont="1" applyNumberFormat="1">
      <alignment horizontal="center" readingOrder="0" shrinkToFit="0" wrapText="0"/>
    </xf>
    <xf borderId="10" fillId="2" fontId="3" numFmtId="3" xfId="0" applyAlignment="1" applyBorder="1" applyFont="1" applyNumberFormat="1">
      <alignment horizontal="center" readingOrder="0" shrinkToFit="0" wrapText="0"/>
    </xf>
    <xf borderId="0" fillId="2" fontId="4" numFmtId="0" xfId="0" applyAlignment="1" applyFont="1">
      <alignment horizontal="left" readingOrder="0" shrinkToFit="0" wrapText="0"/>
    </xf>
    <xf borderId="23" fillId="2" fontId="8" numFmtId="165" xfId="0" applyAlignment="1" applyBorder="1" applyFont="1" applyNumberFormat="1">
      <alignment horizontal="center" readingOrder="0" shrinkToFit="0" wrapText="0"/>
    </xf>
    <xf borderId="24" fillId="2" fontId="8" numFmtId="0" xfId="0" applyAlignment="1" applyBorder="1" applyFont="1">
      <alignment horizontal="center" readingOrder="0" shrinkToFit="0" wrapText="0"/>
    </xf>
    <xf borderId="24" fillId="0" fontId="8" numFmtId="0" xfId="0" applyAlignment="1" applyBorder="1" applyFont="1">
      <alignment horizontal="center" readingOrder="0" shrinkToFit="0" wrapText="0"/>
    </xf>
    <xf borderId="25" fillId="2" fontId="3" numFmtId="4" xfId="0" applyAlignment="1" applyBorder="1" applyFont="1" applyNumberFormat="1">
      <alignment horizontal="center" readingOrder="0" shrinkToFit="0" wrapText="0"/>
    </xf>
    <xf borderId="24" fillId="2" fontId="3" numFmtId="0" xfId="0" applyAlignment="1" applyBorder="1" applyFont="1">
      <alignment horizontal="center" readingOrder="0" shrinkToFit="0" wrapText="0"/>
    </xf>
    <xf borderId="0" fillId="0" fontId="6" numFmtId="0" xfId="0" applyAlignment="1" applyFont="1">
      <alignment horizontal="right" readingOrder="0"/>
    </xf>
    <xf borderId="0" fillId="0" fontId="9" numFmtId="0" xfId="0" applyFont="1"/>
    <xf borderId="10" fillId="3" fontId="3" numFmtId="0" xfId="0" applyAlignment="1" applyBorder="1" applyFont="1">
      <alignment horizontal="center" readingOrder="0" shrinkToFit="0" wrapText="0"/>
    </xf>
    <xf borderId="0" fillId="0" fontId="9" numFmtId="166" xfId="0" applyAlignment="1" applyFont="1" applyNumberFormat="1">
      <alignment readingOrder="0"/>
    </xf>
    <xf borderId="25" fillId="2" fontId="4" numFmtId="0" xfId="0" applyAlignment="1" applyBorder="1" applyFont="1">
      <alignment horizontal="center" readingOrder="0" shrinkToFit="0" wrapText="0"/>
    </xf>
    <xf borderId="9" fillId="3" fontId="3" numFmtId="167" xfId="0" applyAlignment="1" applyBorder="1" applyFont="1" applyNumberFormat="1">
      <alignment horizontal="center" readingOrder="0" shrinkToFit="0" wrapText="0"/>
    </xf>
    <xf borderId="18" fillId="0" fontId="3" numFmtId="0" xfId="0" applyAlignment="1" applyBorder="1" applyFont="1">
      <alignment horizontal="center" shrinkToFit="0" wrapText="0"/>
    </xf>
    <xf borderId="8" fillId="2" fontId="8" numFmtId="0" xfId="0" applyAlignment="1" applyBorder="1" applyFont="1">
      <alignment horizontal="center" shrinkToFit="0" wrapText="0"/>
    </xf>
    <xf borderId="10" fillId="3" fontId="4" numFmtId="0" xfId="0" applyAlignment="1" applyBorder="1" applyFont="1">
      <alignment horizontal="center" readingOrder="0" shrinkToFit="0" wrapText="0"/>
    </xf>
    <xf borderId="20" fillId="2" fontId="8" numFmtId="0" xfId="0" applyAlignment="1" applyBorder="1" applyFont="1">
      <alignment horizontal="center" shrinkToFit="0" wrapText="0"/>
    </xf>
    <xf borderId="26" fillId="2" fontId="3" numFmtId="0" xfId="0" applyAlignment="1" applyBorder="1" applyFont="1">
      <alignment horizontal="center" readingOrder="0" shrinkToFit="0" wrapText="0"/>
    </xf>
    <xf borderId="16" fillId="2" fontId="8" numFmtId="0" xfId="0" applyAlignment="1" applyBorder="1" applyFont="1">
      <alignment horizontal="center" readingOrder="0" shrinkToFit="0" wrapText="0"/>
    </xf>
    <xf borderId="21" fillId="2" fontId="3" numFmtId="165" xfId="0" applyAlignment="1" applyBorder="1" applyFont="1" applyNumberFormat="1">
      <alignment horizontal="center" readingOrder="0" shrinkToFit="0" wrapText="0"/>
    </xf>
    <xf borderId="9" fillId="2" fontId="3" numFmtId="165" xfId="0" applyAlignment="1" applyBorder="1" applyFont="1" applyNumberFormat="1">
      <alignment horizontal="center" readingOrder="0" shrinkToFit="0" wrapText="0"/>
    </xf>
    <xf borderId="11" fillId="0" fontId="3" numFmtId="0" xfId="0" applyAlignment="1" applyBorder="1" applyFont="1">
      <alignment horizontal="center" shrinkToFit="0" wrapText="0"/>
    </xf>
    <xf borderId="27" fillId="2" fontId="3" numFmtId="0" xfId="0" applyAlignment="1" applyBorder="1" applyFont="1">
      <alignment horizontal="center" shrinkToFit="0" wrapText="0"/>
    </xf>
    <xf borderId="18" fillId="2" fontId="3" numFmtId="0" xfId="0" applyAlignment="1" applyBorder="1" applyFont="1">
      <alignment horizontal="center" shrinkToFit="0" wrapText="0"/>
    </xf>
    <xf borderId="18" fillId="2" fontId="3" numFmtId="3" xfId="0" applyAlignment="1" applyBorder="1" applyFont="1" applyNumberFormat="1">
      <alignment horizontal="center" shrinkToFit="0" wrapText="0"/>
    </xf>
    <xf borderId="27" fillId="2" fontId="3" numFmtId="165" xfId="0" applyAlignment="1" applyBorder="1" applyFont="1" applyNumberFormat="1">
      <alignment horizontal="center" readingOrder="0" shrinkToFit="0" wrapText="0"/>
    </xf>
    <xf borderId="21" fillId="3" fontId="3" numFmtId="165" xfId="0" applyAlignment="1" applyBorder="1" applyFont="1" applyNumberFormat="1">
      <alignment horizontal="center" readingOrder="0" shrinkToFit="0" wrapText="0"/>
    </xf>
    <xf borderId="22" fillId="2" fontId="4" numFmtId="0" xfId="0" applyAlignment="1" applyBorder="1" applyFont="1">
      <alignment horizontal="center" readingOrder="0" shrinkToFit="0" wrapText="0"/>
    </xf>
    <xf borderId="16" fillId="0" fontId="9" numFmtId="0" xfId="0" applyAlignment="1" applyBorder="1" applyFont="1">
      <alignment horizontal="center" readingOrder="0"/>
    </xf>
    <xf borderId="9" fillId="3" fontId="3" numFmtId="165" xfId="0" applyAlignment="1" applyBorder="1" applyFont="1" applyNumberFormat="1">
      <alignment horizontal="center" readingOrder="0" shrinkToFit="0" wrapText="0"/>
    </xf>
    <xf borderId="28" fillId="2" fontId="3" numFmtId="164" xfId="0" applyAlignment="1" applyBorder="1" applyFont="1" applyNumberFormat="1">
      <alignment horizontal="center" readingOrder="0" shrinkToFit="0" wrapText="0"/>
    </xf>
    <xf borderId="29" fillId="2" fontId="4" numFmtId="0" xfId="0" applyAlignment="1" applyBorder="1" applyFont="1">
      <alignment horizontal="center" readingOrder="0" shrinkToFit="0" wrapText="0"/>
    </xf>
    <xf borderId="30" fillId="2" fontId="7" numFmtId="0" xfId="0" applyAlignment="1" applyBorder="1" applyFont="1">
      <alignment readingOrder="0"/>
    </xf>
    <xf borderId="5" fillId="2" fontId="7" numFmtId="0" xfId="0" applyAlignment="1" applyBorder="1" applyFont="1">
      <alignment readingOrder="0"/>
    </xf>
    <xf borderId="30" fillId="2" fontId="5" numFmtId="4" xfId="0" applyAlignment="1" applyBorder="1" applyFont="1" applyNumberFormat="1">
      <alignment horizontal="center" readingOrder="0" shrinkToFit="0" wrapText="0"/>
    </xf>
    <xf borderId="29" fillId="2" fontId="3" numFmtId="0" xfId="0" applyAlignment="1" applyBorder="1" applyFont="1">
      <alignment horizontal="center" readingOrder="0" shrinkToFit="0" wrapText="0"/>
    </xf>
    <xf borderId="29" fillId="0" fontId="3" numFmtId="0" xfId="0" applyAlignment="1" applyBorder="1" applyFont="1">
      <alignment horizontal="center" readingOrder="0" shrinkToFit="0" wrapText="0"/>
    </xf>
    <xf borderId="29" fillId="2" fontId="3" numFmtId="4" xfId="0" applyAlignment="1" applyBorder="1" applyFont="1" applyNumberFormat="1">
      <alignment horizontal="center" readingOrder="0" shrinkToFit="0" wrapText="0"/>
    </xf>
    <xf borderId="29" fillId="2" fontId="3" numFmtId="3" xfId="0" applyAlignment="1" applyBorder="1" applyFont="1" applyNumberFormat="1">
      <alignment horizontal="center" readingOrder="0" shrinkToFit="0" wrapText="0"/>
    </xf>
    <xf borderId="31" fillId="2" fontId="3" numFmtId="3" xfId="0" applyAlignment="1" applyBorder="1" applyFont="1" applyNumberFormat="1">
      <alignment horizontal="center" readingOrder="0" shrinkToFit="0" wrapText="0"/>
    </xf>
    <xf borderId="32" fillId="2" fontId="3" numFmtId="164" xfId="0" applyAlignment="1" applyBorder="1" applyFont="1" applyNumberFormat="1">
      <alignment horizontal="center" readingOrder="0" shrinkToFit="0" wrapText="0"/>
    </xf>
    <xf borderId="12" fillId="2" fontId="4" numFmtId="0" xfId="0" applyAlignment="1" applyBorder="1" applyFont="1">
      <alignment horizontal="center" readingOrder="0" shrinkToFit="0" wrapText="0"/>
    </xf>
    <xf borderId="32" fillId="2" fontId="3" numFmtId="0" xfId="0" applyAlignment="1" applyBorder="1" applyFont="1">
      <alignment horizontal="center" readingOrder="0" shrinkToFit="0" wrapText="0"/>
    </xf>
    <xf borderId="32" fillId="2" fontId="8" numFmtId="0" xfId="0" applyAlignment="1" applyBorder="1" applyFont="1">
      <alignment horizontal="center" readingOrder="0" shrinkToFit="0" wrapText="0"/>
    </xf>
    <xf borderId="32" fillId="2" fontId="10" numFmtId="0" xfId="0" applyAlignment="1" applyBorder="1" applyFont="1">
      <alignment horizontal="center" readingOrder="0" shrinkToFit="0" wrapText="0"/>
    </xf>
    <xf borderId="32" fillId="2" fontId="10" numFmtId="4" xfId="0" applyAlignment="1" applyBorder="1" applyFont="1" applyNumberFormat="1">
      <alignment horizontal="center" readingOrder="0" shrinkToFit="0" wrapText="0"/>
    </xf>
    <xf borderId="32" fillId="0" fontId="3" numFmtId="0" xfId="0" applyAlignment="1" applyBorder="1" applyFont="1">
      <alignment horizontal="center" readingOrder="0" shrinkToFit="0" wrapText="0"/>
    </xf>
    <xf borderId="32" fillId="2" fontId="8" numFmtId="4" xfId="0" applyAlignment="1" applyBorder="1" applyFont="1" applyNumberFormat="1">
      <alignment horizontal="center" readingOrder="0" shrinkToFit="0" wrapText="0"/>
    </xf>
    <xf borderId="32" fillId="2" fontId="3" numFmtId="3" xfId="0" applyAlignment="1" applyBorder="1" applyFont="1" applyNumberFormat="1">
      <alignment horizontal="center" readingOrder="0" shrinkToFit="0" wrapText="0"/>
    </xf>
    <xf borderId="33" fillId="2" fontId="8" numFmtId="3" xfId="0" applyAlignment="1" applyBorder="1" applyFont="1" applyNumberFormat="1">
      <alignment horizontal="center" readingOrder="0" shrinkToFit="0" wrapText="0"/>
    </xf>
    <xf borderId="26" fillId="2" fontId="3" numFmtId="164" xfId="0" applyAlignment="1" applyBorder="1" applyFont="1" applyNumberFormat="1">
      <alignment horizontal="center" readingOrder="0" shrinkToFit="0" wrapText="0"/>
    </xf>
    <xf borderId="26" fillId="2" fontId="4" numFmtId="0" xfId="0" applyAlignment="1" applyBorder="1" applyFont="1">
      <alignment horizontal="center" readingOrder="0" shrinkToFit="0" wrapText="0"/>
    </xf>
    <xf borderId="12" fillId="2" fontId="5" numFmtId="4" xfId="0" applyAlignment="1" applyBorder="1" applyFont="1" applyNumberFormat="1">
      <alignment horizontal="center" readingOrder="0" shrinkToFit="0" wrapText="0"/>
    </xf>
    <xf borderId="26" fillId="2" fontId="3" numFmtId="4" xfId="0" applyAlignment="1" applyBorder="1" applyFont="1" applyNumberFormat="1">
      <alignment horizontal="center" readingOrder="0" shrinkToFit="0" wrapText="0"/>
    </xf>
    <xf borderId="26" fillId="2" fontId="3" numFmtId="3" xfId="0" applyAlignment="1" applyBorder="1" applyFont="1" applyNumberFormat="1">
      <alignment horizontal="center" readingOrder="0" shrinkToFit="0" wrapText="0"/>
    </xf>
    <xf borderId="11" fillId="2" fontId="3" numFmtId="164" xfId="0" applyAlignment="1" applyBorder="1" applyFont="1" applyNumberFormat="1">
      <alignment horizontal="center" readingOrder="0" shrinkToFit="0" wrapText="0"/>
    </xf>
    <xf borderId="9" fillId="3" fontId="5" numFmtId="164" xfId="0" applyAlignment="1" applyBorder="1" applyFont="1" applyNumberFormat="1">
      <alignment horizontal="center" readingOrder="0" shrinkToFit="0" wrapText="0"/>
    </xf>
    <xf borderId="11" fillId="3" fontId="6" numFmtId="0" xfId="0" applyAlignment="1" applyBorder="1" applyFont="1">
      <alignment horizontal="center" readingOrder="0" shrinkToFit="0" wrapText="0"/>
    </xf>
    <xf borderId="16" fillId="3" fontId="5" numFmtId="0" xfId="0" applyAlignment="1" applyBorder="1" applyFont="1">
      <alignment horizontal="center" readingOrder="0" shrinkToFit="0" wrapText="0"/>
    </xf>
    <xf borderId="34" fillId="2" fontId="3" numFmtId="3" xfId="0" applyAlignment="1" applyBorder="1" applyFont="1" applyNumberFormat="1">
      <alignment horizontal="center" readingOrder="0" shrinkToFit="0" wrapText="0"/>
    </xf>
    <xf borderId="9" fillId="2" fontId="3" numFmtId="168" xfId="0" applyAlignment="1" applyBorder="1" applyFont="1" applyNumberFormat="1">
      <alignment horizontal="center" readingOrder="0" shrinkToFit="0" wrapText="0"/>
    </xf>
    <xf borderId="11" fillId="2" fontId="3" numFmtId="0" xfId="0" applyAlignment="1" applyBorder="1" applyFont="1">
      <alignment horizontal="center" shrinkToFit="0" wrapText="0"/>
    </xf>
    <xf borderId="11" fillId="2" fontId="3" numFmtId="3" xfId="0" applyAlignment="1" applyBorder="1" applyFont="1" applyNumberFormat="1">
      <alignment horizontal="center" shrinkToFit="0" wrapText="0"/>
    </xf>
    <xf borderId="35" fillId="2" fontId="3" numFmtId="3" xfId="0" applyAlignment="1" applyBorder="1" applyFont="1" applyNumberFormat="1">
      <alignment horizontal="center" readingOrder="0" shrinkToFit="0" wrapText="0"/>
    </xf>
    <xf borderId="9" fillId="3" fontId="3" numFmtId="168" xfId="0" applyAlignment="1" applyBorder="1" applyFont="1" applyNumberFormat="1">
      <alignment horizontal="center" readingOrder="0" shrinkToFit="0" wrapText="0"/>
    </xf>
    <xf borderId="26" fillId="0" fontId="3" numFmtId="0" xfId="0" applyAlignment="1" applyBorder="1" applyFont="1">
      <alignment horizontal="center" readingOrder="0" shrinkToFit="0" wrapText="0"/>
    </xf>
    <xf borderId="10" fillId="0" fontId="3" numFmtId="0" xfId="0" applyAlignment="1" applyBorder="1" applyFont="1">
      <alignment horizontal="center" readingOrder="0" shrinkToFit="0" wrapText="0"/>
    </xf>
    <xf borderId="5" fillId="2" fontId="3" numFmtId="0" xfId="0" applyAlignment="1" applyBorder="1" applyFont="1">
      <alignment horizontal="center" shrinkToFit="0" wrapText="0"/>
    </xf>
    <xf borderId="5" fillId="0" fontId="3" numFmtId="0" xfId="0" applyAlignment="1" applyBorder="1" applyFont="1">
      <alignment horizontal="center" shrinkToFit="0" wrapText="0"/>
    </xf>
    <xf borderId="20" fillId="2" fontId="4" numFmtId="0" xfId="0" applyAlignment="1" applyBorder="1" applyFont="1">
      <alignment horizontal="center" shrinkToFit="0" wrapText="0"/>
    </xf>
    <xf borderId="20" fillId="2" fontId="8" numFmtId="4" xfId="0" applyAlignment="1" applyBorder="1" applyFont="1" applyNumberFormat="1">
      <alignment horizontal="center" readingOrder="0" shrinkToFit="0" wrapText="0"/>
    </xf>
    <xf borderId="20" fillId="0" fontId="8" numFmtId="0" xfId="0" applyAlignment="1" applyBorder="1" applyFont="1">
      <alignment horizontal="center" shrinkToFit="0" wrapText="0"/>
    </xf>
    <xf borderId="20" fillId="2" fontId="3" numFmtId="0" xfId="0" applyAlignment="1" applyBorder="1" applyFont="1">
      <alignment horizontal="center" shrinkToFit="0" wrapText="0"/>
    </xf>
    <xf borderId="36" fillId="2" fontId="8" numFmtId="3" xfId="0" applyAlignment="1" applyBorder="1" applyFont="1" applyNumberFormat="1">
      <alignment horizontal="center" readingOrder="0" shrinkToFit="0" wrapText="0"/>
    </xf>
    <xf borderId="27" fillId="2" fontId="3" numFmtId="167" xfId="0" applyAlignment="1" applyBorder="1" applyFont="1" applyNumberFormat="1">
      <alignment horizontal="center" readingOrder="0" shrinkToFit="0" wrapText="0"/>
    </xf>
    <xf borderId="8" fillId="2" fontId="8" numFmtId="3" xfId="0" applyAlignment="1" applyBorder="1" applyFont="1" applyNumberFormat="1">
      <alignment horizontal="center" readingOrder="0" shrinkToFit="0" wrapText="0"/>
    </xf>
    <xf borderId="37" fillId="2" fontId="3" numFmtId="167" xfId="0" applyAlignment="1" applyBorder="1" applyFont="1" applyNumberFormat="1">
      <alignment horizontal="center" readingOrder="0" shrinkToFit="0" wrapText="0"/>
    </xf>
    <xf borderId="38" fillId="2" fontId="3" numFmtId="0" xfId="0" applyAlignment="1" applyBorder="1" applyFont="1">
      <alignment horizontal="center" readingOrder="0" shrinkToFit="0" wrapText="0"/>
    </xf>
    <xf borderId="38" fillId="2" fontId="3" numFmtId="0" xfId="0" applyAlignment="1" applyBorder="1" applyFont="1">
      <alignment horizontal="center" shrinkToFit="0" wrapText="0"/>
    </xf>
    <xf borderId="38" fillId="0" fontId="3" numFmtId="0" xfId="0" applyAlignment="1" applyBorder="1" applyFont="1">
      <alignment horizontal="center" shrinkToFit="0" wrapText="0"/>
    </xf>
    <xf borderId="39" fillId="2" fontId="3" numFmtId="4" xfId="0" applyAlignment="1" applyBorder="1" applyFont="1" applyNumberFormat="1">
      <alignment horizontal="center" readingOrder="0" shrinkToFit="0" wrapText="0"/>
    </xf>
    <xf borderId="38" fillId="2" fontId="3" numFmtId="3" xfId="0" applyAlignment="1" applyBorder="1" applyFont="1" applyNumberFormat="1">
      <alignment horizontal="center" readingOrder="0" shrinkToFit="0" wrapText="0"/>
    </xf>
    <xf borderId="40" fillId="2" fontId="3" numFmtId="164" xfId="0" applyAlignment="1" applyBorder="1" applyFont="1" applyNumberFormat="1">
      <alignment horizontal="center" readingOrder="0" shrinkToFit="0" wrapText="0"/>
    </xf>
    <xf borderId="40" fillId="2" fontId="3" numFmtId="165" xfId="0" applyAlignment="1" applyBorder="1" applyFont="1" applyNumberFormat="1">
      <alignment horizontal="center" readingOrder="0" shrinkToFit="0" wrapText="0"/>
    </xf>
    <xf borderId="39" fillId="2" fontId="4" numFmtId="0" xfId="0" applyAlignment="1" applyBorder="1" applyFont="1">
      <alignment horizontal="center" readingOrder="0" shrinkToFit="0" wrapText="0"/>
    </xf>
    <xf borderId="14" fillId="2" fontId="3" numFmtId="0" xfId="0" applyAlignment="1" applyBorder="1" applyFont="1">
      <alignment horizontal="center" readingOrder="0" shrinkToFit="0" wrapText="0"/>
    </xf>
    <xf borderId="26" fillId="2" fontId="3" numFmtId="0" xfId="0" applyAlignment="1" applyBorder="1" applyFont="1">
      <alignment horizontal="center" shrinkToFit="0" wrapText="0"/>
    </xf>
    <xf borderId="26" fillId="0" fontId="3" numFmtId="0" xfId="0" applyAlignment="1" applyBorder="1" applyFont="1">
      <alignment horizontal="center" shrinkToFit="0" wrapText="0"/>
    </xf>
    <xf borderId="41" fillId="2" fontId="3" numFmtId="164" xfId="0" applyAlignment="1" applyBorder="1" applyFont="1" applyNumberFormat="1">
      <alignment horizontal="center" readingOrder="0" shrinkToFit="0" wrapText="0"/>
    </xf>
    <xf borderId="0" fillId="2" fontId="3" numFmtId="0" xfId="0" applyAlignment="1" applyFont="1">
      <alignment horizontal="center" readingOrder="0" shrinkToFit="0" wrapText="0"/>
    </xf>
    <xf borderId="42" fillId="2" fontId="4" numFmtId="0" xfId="0" applyAlignment="1" applyBorder="1" applyFont="1">
      <alignment horizontal="center" readingOrder="0" shrinkToFit="0" wrapText="0"/>
    </xf>
    <xf borderId="12" fillId="2" fontId="3" numFmtId="0" xfId="0" applyAlignment="1" applyBorder="1" applyFont="1">
      <alignment horizontal="center" readingOrder="0" shrinkToFit="0" wrapText="0"/>
    </xf>
    <xf borderId="42" fillId="2" fontId="3" numFmtId="4" xfId="0" applyAlignment="1" applyBorder="1" applyFont="1" applyNumberFormat="1">
      <alignment horizontal="center" readingOrder="0" shrinkToFit="0" wrapText="0"/>
    </xf>
    <xf borderId="43" fillId="2" fontId="8" numFmtId="0" xfId="0" applyAlignment="1" applyBorder="1" applyFont="1">
      <alignment horizontal="center" readingOrder="0" shrinkToFit="0" wrapText="0"/>
    </xf>
    <xf borderId="44" fillId="2" fontId="8" numFmtId="0" xfId="0" applyAlignment="1" applyBorder="1" applyFont="1">
      <alignment horizontal="center" readingOrder="0" shrinkToFit="0" wrapText="0"/>
    </xf>
    <xf borderId="45" fillId="2" fontId="11" numFmtId="3" xfId="0" applyBorder="1" applyFont="1" applyNumberFormat="1"/>
    <xf borderId="0" fillId="0" fontId="9" numFmtId="4" xfId="0" applyFont="1" applyNumberFormat="1"/>
    <xf borderId="0" fillId="2" fontId="12" numFmtId="0" xfId="0" applyFont="1"/>
    <xf borderId="0" fillId="0" fontId="13" numFmtId="0" xfId="0" applyAlignment="1" applyFont="1">
      <alignment readingOrder="0"/>
    </xf>
    <xf borderId="0" fillId="0" fontId="14" numFmtId="0" xfId="0" applyFont="1"/>
    <xf borderId="44" fillId="2" fontId="4" numFmtId="0" xfId="0" applyAlignment="1" applyBorder="1" applyFont="1">
      <alignment horizontal="center" readingOrder="0" shrinkToFit="0" wrapText="0"/>
    </xf>
    <xf borderId="44" fillId="2" fontId="8" numFmtId="4" xfId="0" applyAlignment="1" applyBorder="1" applyFont="1" applyNumberFormat="1">
      <alignment horizontal="center" readingOrder="0" shrinkToFit="0" wrapText="0"/>
    </xf>
    <xf borderId="46" fillId="2" fontId="3" numFmtId="0" xfId="0" applyAlignment="1" applyBorder="1" applyFont="1">
      <alignment horizontal="center" readingOrder="0" shrinkToFit="0" wrapText="0"/>
    </xf>
    <xf borderId="44" fillId="0" fontId="3" numFmtId="0" xfId="0" applyAlignment="1" applyBorder="1" applyFont="1">
      <alignment horizontal="center" readingOrder="0" shrinkToFit="0" wrapText="0"/>
    </xf>
    <xf borderId="45" fillId="2" fontId="8" numFmtId="0" xfId="0" applyAlignment="1" applyBorder="1" applyFont="1">
      <alignment horizontal="center" readingOrder="0" shrinkToFit="0" wrapText="0"/>
    </xf>
    <xf borderId="0" fillId="2" fontId="6" numFmtId="0" xfId="0" applyAlignment="1" applyFont="1">
      <alignment horizontal="left" readingOrder="0"/>
    </xf>
    <xf borderId="0" fillId="2" fontId="6" numFmtId="3" xfId="0" applyAlignment="1" applyFont="1" applyNumberFormat="1">
      <alignment horizontal="right"/>
    </xf>
    <xf borderId="22" fillId="4" fontId="4" numFmtId="0" xfId="0" applyAlignment="1" applyBorder="1" applyFont="1">
      <alignment horizontal="center" readingOrder="0" shrinkToFit="0" wrapText="0"/>
    </xf>
    <xf borderId="11" fillId="4" fontId="4" numFmtId="0" xfId="0" applyAlignment="1" applyBorder="1" applyFont="1">
      <alignment horizontal="center" readingOrder="0" shrinkToFit="0" wrapText="0"/>
    </xf>
    <xf borderId="0" fillId="2" fontId="6" numFmtId="11" xfId="0" applyAlignment="1" applyFont="1" applyNumberFormat="1">
      <alignment horizontal="left" readingOrder="0"/>
    </xf>
    <xf borderId="39" fillId="4" fontId="4" numFmtId="0" xfId="0" applyAlignment="1" applyBorder="1" applyFont="1">
      <alignment horizontal="center" readingOrder="0" shrinkToFit="0" wrapText="0"/>
    </xf>
    <xf borderId="0" fillId="4" fontId="6" numFmtId="0" xfId="0" applyAlignment="1" applyFont="1">
      <alignment horizontal="left" readingOrder="0"/>
    </xf>
    <xf borderId="47" fillId="4" fontId="5" numFmtId="0" xfId="0" applyAlignment="1" applyBorder="1" applyFont="1">
      <alignment horizontal="center" readingOrder="0" vertical="bottom"/>
    </xf>
    <xf borderId="0" fillId="4" fontId="6" numFmtId="11" xfId="0" applyAlignment="1" applyFont="1" applyNumberFormat="1">
      <alignment horizontal="left" readingOrder="0"/>
    </xf>
    <xf borderId="0" fillId="2" fontId="4" numFmtId="49" xfId="0" applyAlignment="1" applyFont="1" applyNumberFormat="1">
      <alignment horizontal="left" readingOrder="0" shrinkToFit="0" wrapText="0"/>
    </xf>
    <xf borderId="0" fillId="0" fontId="6" numFmtId="3" xfId="0" applyAlignment="1" applyFont="1" applyNumberFormat="1">
      <alignment horizontal="right"/>
    </xf>
    <xf borderId="0" fillId="4" fontId="4" numFmtId="49" xfId="0" applyAlignment="1" applyFont="1" applyNumberFormat="1">
      <alignment horizontal="left" readingOrder="0" shrinkToFit="0" wrapText="0"/>
    </xf>
    <xf borderId="0" fillId="0" fontId="6" numFmtId="0" xfId="0" applyAlignment="1" applyFont="1">
      <alignment horizontal="left" readingOrder="0"/>
    </xf>
    <xf borderId="39" fillId="2" fontId="4" numFmtId="11" xfId="0" applyAlignment="1" applyBorder="1" applyFont="1" applyNumberFormat="1">
      <alignment horizontal="center" readingOrder="0" shrinkToFit="0" wrapText="0"/>
    </xf>
    <xf borderId="47" fillId="2" fontId="5" numFmtId="0" xfId="0" applyAlignment="1" applyBorder="1" applyFont="1">
      <alignment horizontal="center" readingOrder="0" vertical="bottom"/>
    </xf>
    <xf borderId="22" fillId="4" fontId="4" numFmtId="49" xfId="0" applyAlignment="1" applyBorder="1" applyFont="1" applyNumberFormat="1">
      <alignment horizontal="center" readingOrder="0" shrinkToFit="0" wrapText="0"/>
    </xf>
    <xf borderId="12" fillId="2" fontId="4" numFmtId="49" xfId="0" applyAlignment="1" applyBorder="1" applyFont="1" applyNumberFormat="1">
      <alignment horizontal="left" readingOrder="0" shrinkToFit="0" wrapText="0"/>
    </xf>
    <xf borderId="5" fillId="2" fontId="4" numFmtId="49" xfId="0" applyAlignment="1" applyBorder="1" applyFont="1" applyNumberFormat="1">
      <alignment horizontal="left" readingOrder="0" shrinkToFit="0" wrapText="0"/>
    </xf>
    <xf borderId="30" fillId="2" fontId="4" numFmtId="49" xfId="0" applyAlignment="1" applyBorder="1" applyFont="1" applyNumberFormat="1">
      <alignment horizontal="left" readingOrder="0" shrinkToFit="0" wrapText="0"/>
    </xf>
    <xf borderId="5" fillId="2" fontId="5" numFmtId="3" xfId="0" applyAlignment="1" applyBorder="1" applyFont="1" applyNumberFormat="1">
      <alignment horizontal="center" readingOrder="0" shrinkToFit="0" wrapText="0"/>
    </xf>
    <xf borderId="0" fillId="0" fontId="9" numFmtId="0" xfId="0" applyAlignment="1" applyFont="1">
      <alignment readingOrder="0"/>
    </xf>
    <xf borderId="48" fillId="2" fontId="8" numFmtId="0" xfId="0" applyAlignment="1" applyBorder="1" applyFont="1">
      <alignment horizontal="center" readingOrder="0" shrinkToFit="0" wrapText="0"/>
    </xf>
    <xf borderId="43" fillId="0" fontId="15" numFmtId="0" xfId="0" applyBorder="1" applyFont="1"/>
    <xf borderId="45" fillId="0" fontId="15" numFmtId="0" xfId="0" applyBorder="1" applyFont="1"/>
    <xf borderId="39" fillId="4" fontId="4" numFmtId="0" xfId="0" applyAlignment="1" applyBorder="1" applyFont="1">
      <alignment horizontal="left" readingOrder="0" shrinkToFit="0" wrapText="0"/>
    </xf>
    <xf borderId="0" fillId="0" fontId="16" numFmtId="3" xfId="0" applyFont="1" applyNumberFormat="1"/>
    <xf borderId="40" fillId="2" fontId="17" numFmtId="164" xfId="0" applyAlignment="1" applyBorder="1" applyFont="1" applyNumberFormat="1">
      <alignment vertical="bottom"/>
    </xf>
    <xf borderId="39" fillId="2" fontId="6" numFmtId="0" xfId="0" applyAlignment="1" applyBorder="1" applyFont="1">
      <alignment horizontal="center" readingOrder="0" vertical="bottom"/>
    </xf>
    <xf borderId="26" fillId="2" fontId="17" numFmtId="0" xfId="0" applyAlignment="1" applyBorder="1" applyFont="1">
      <alignment vertical="bottom"/>
    </xf>
    <xf borderId="12" fillId="2" fontId="17" numFmtId="0" xfId="0" applyAlignment="1" applyBorder="1" applyFont="1">
      <alignment vertical="bottom"/>
    </xf>
    <xf borderId="12" fillId="2" fontId="5" numFmtId="0" xfId="0" applyAlignment="1" applyBorder="1" applyFont="1">
      <alignment horizontal="center" vertical="bottom"/>
    </xf>
    <xf borderId="13" fillId="2" fontId="17" numFmtId="0" xfId="0" applyAlignment="1" applyBorder="1" applyFont="1">
      <alignment vertical="bottom"/>
    </xf>
    <xf borderId="12" fillId="2" fontId="5" numFmtId="4" xfId="0" applyAlignment="1" applyBorder="1" applyFont="1" applyNumberFormat="1">
      <alignment horizontal="center" vertical="bottom"/>
    </xf>
    <xf borderId="26" fillId="0" fontId="17" numFmtId="0" xfId="0" applyAlignment="1" applyBorder="1" applyFont="1">
      <alignment vertical="bottom"/>
    </xf>
    <xf borderId="10" fillId="0" fontId="17" numFmtId="0" xfId="0" applyAlignment="1" applyBorder="1" applyFont="1">
      <alignment vertical="bottom"/>
    </xf>
    <xf borderId="10" fillId="2" fontId="5" numFmtId="0" xfId="0" applyAlignment="1" applyBorder="1" applyFont="1">
      <alignment horizontal="center" vertical="bottom"/>
    </xf>
    <xf borderId="11" fillId="2" fontId="17" numFmtId="0" xfId="0" applyAlignment="1" applyBorder="1" applyFont="1">
      <alignment vertical="bottom"/>
    </xf>
    <xf borderId="42" fillId="2" fontId="5" numFmtId="4" xfId="0" applyAlignment="1" applyBorder="1" applyFont="1" applyNumberFormat="1">
      <alignment horizontal="center" vertical="bottom"/>
    </xf>
    <xf borderId="10" fillId="2" fontId="17" numFmtId="3" xfId="0" applyAlignment="1" applyBorder="1" applyFont="1" applyNumberFormat="1">
      <alignment vertical="bottom"/>
    </xf>
    <xf borderId="17" fillId="2" fontId="5" numFmtId="3" xfId="0" applyAlignment="1" applyBorder="1" applyFont="1" applyNumberFormat="1">
      <alignment horizontal="center" vertical="bottom"/>
    </xf>
    <xf borderId="5" fillId="2" fontId="17" numFmtId="0" xfId="0" applyAlignment="1" applyBorder="1" applyFont="1">
      <alignment vertical="bottom"/>
    </xf>
    <xf borderId="16" fillId="2" fontId="17" numFmtId="0" xfId="0" applyAlignment="1" applyBorder="1" applyFont="1">
      <alignment vertical="bottom"/>
    </xf>
    <xf borderId="5" fillId="2" fontId="5" numFmtId="4" xfId="0" applyAlignment="1" applyBorder="1" applyFont="1" applyNumberFormat="1">
      <alignment horizontal="center" vertical="bottom"/>
    </xf>
    <xf borderId="11" fillId="0" fontId="17" numFmtId="0" xfId="0" applyAlignment="1" applyBorder="1" applyFont="1">
      <alignment vertical="bottom"/>
    </xf>
    <xf borderId="11" fillId="2" fontId="5" numFmtId="0" xfId="0" applyAlignment="1" applyBorder="1" applyFont="1">
      <alignment horizontal="center" vertical="bottom"/>
    </xf>
    <xf borderId="39" fillId="2" fontId="5" numFmtId="4" xfId="0" applyAlignment="1" applyBorder="1" applyFont="1" applyNumberFormat="1">
      <alignment horizontal="center" vertical="bottom"/>
    </xf>
    <xf borderId="26" fillId="2" fontId="17" numFmtId="3" xfId="0" applyAlignment="1" applyBorder="1" applyFont="1" applyNumberFormat="1">
      <alignment vertical="bottom"/>
    </xf>
    <xf borderId="26" fillId="2" fontId="17" numFmtId="0" xfId="0" applyAlignment="1" applyBorder="1" applyFont="1">
      <alignment vertical="bottom"/>
    </xf>
    <xf borderId="5" fillId="2" fontId="5" numFmtId="0" xfId="0" applyAlignment="1" applyBorder="1" applyFont="1">
      <alignment horizontal="center" vertical="bottom"/>
    </xf>
    <xf borderId="14" fillId="2" fontId="17" numFmtId="0" xfId="0" applyAlignment="1" applyBorder="1" applyFont="1">
      <alignment vertical="bottom"/>
    </xf>
    <xf borderId="11" fillId="2" fontId="17" numFmtId="0" xfId="0" applyAlignment="1" applyBorder="1" applyFont="1">
      <alignment vertical="bottom"/>
    </xf>
    <xf borderId="34" fillId="2" fontId="5" numFmtId="3" xfId="0" applyAlignment="1" applyBorder="1" applyFont="1" applyNumberFormat="1">
      <alignment horizontal="center" vertical="bottom"/>
    </xf>
    <xf borderId="26" fillId="2" fontId="5" numFmtId="0" xfId="0" applyAlignment="1" applyBorder="1" applyFont="1">
      <alignment horizontal="center" vertical="bottom"/>
    </xf>
    <xf borderId="7" fillId="2" fontId="17" numFmtId="0" xfId="0" applyAlignment="1" applyBorder="1" applyFont="1">
      <alignment vertical="bottom"/>
    </xf>
    <xf borderId="7" fillId="2" fontId="10" numFmtId="0" xfId="0" applyAlignment="1" applyBorder="1" applyFont="1">
      <alignment horizontal="center" vertical="bottom"/>
    </xf>
    <xf borderId="7" fillId="2" fontId="10" numFmtId="4" xfId="0" applyAlignment="1" applyBorder="1" applyFont="1" applyNumberFormat="1">
      <alignment horizontal="center" vertical="bottom"/>
    </xf>
    <xf borderId="7" fillId="0" fontId="17" numFmtId="0" xfId="0" applyAlignment="1" applyBorder="1" applyFont="1">
      <alignment vertical="bottom"/>
    </xf>
    <xf borderId="22" fillId="2" fontId="4" numFmtId="49" xfId="0" applyAlignment="1" applyBorder="1" applyFont="1" applyNumberFormat="1">
      <alignment horizontal="center" readingOrder="0" shrinkToFit="0" wrapText="0"/>
    </xf>
    <xf borderId="6" fillId="3" fontId="3" numFmtId="3" xfId="0" applyAlignment="1" applyBorder="1" applyFont="1" applyNumberFormat="1">
      <alignment horizontal="center" readingOrder="0" shrinkToFit="0" wrapText="0"/>
    </xf>
    <xf borderId="27" fillId="2" fontId="3" numFmtId="164" xfId="0" applyAlignment="1" applyBorder="1" applyFont="1" applyNumberFormat="1">
      <alignment horizontal="center" readingOrder="0" shrinkToFit="0" wrapText="0"/>
    </xf>
    <xf borderId="49" fillId="2" fontId="3" numFmtId="164" xfId="0" applyAlignment="1" applyBorder="1" applyFont="1" applyNumberFormat="1">
      <alignment horizontal="center" readingOrder="0" shrinkToFit="0" wrapText="0"/>
    </xf>
    <xf borderId="0" fillId="0" fontId="6" numFmtId="0" xfId="0" applyAlignment="1" applyFont="1">
      <alignment horizontal="right"/>
    </xf>
    <xf borderId="9" fillId="4" fontId="3" numFmtId="164" xfId="0" applyAlignment="1" applyBorder="1" applyFont="1" applyNumberFormat="1">
      <alignment horizontal="center" readingOrder="0" shrinkToFit="0" wrapText="0"/>
    </xf>
    <xf borderId="26" fillId="4" fontId="3" numFmtId="0" xfId="0" applyAlignment="1" applyBorder="1" applyFont="1">
      <alignment horizontal="center" readingOrder="0" shrinkToFit="0" wrapText="0"/>
    </xf>
    <xf borderId="5" fillId="4" fontId="5" numFmtId="0" xfId="0" applyAlignment="1" applyBorder="1" applyFont="1">
      <alignment horizontal="center" readingOrder="0" shrinkToFit="0" wrapText="0"/>
    </xf>
    <xf borderId="14" fillId="4" fontId="3" numFmtId="0" xfId="0" applyAlignment="1" applyBorder="1" applyFont="1">
      <alignment horizontal="center" readingOrder="0" shrinkToFit="0" wrapText="0"/>
    </xf>
    <xf borderId="5" fillId="4" fontId="5" numFmtId="4" xfId="0" applyAlignment="1" applyBorder="1" applyFont="1" applyNumberFormat="1">
      <alignment horizontal="center" readingOrder="0" shrinkToFit="0" wrapText="0"/>
    </xf>
    <xf borderId="11" fillId="4" fontId="3" numFmtId="0" xfId="0" applyAlignment="1" applyBorder="1" applyFont="1">
      <alignment horizontal="center" readingOrder="0" shrinkToFit="0" wrapText="0"/>
    </xf>
    <xf borderId="39" fillId="4" fontId="3" numFmtId="4" xfId="0" applyAlignment="1" applyBorder="1" applyFont="1" applyNumberFormat="1">
      <alignment horizontal="center" readingOrder="0" shrinkToFit="0" wrapText="0"/>
    </xf>
    <xf borderId="26" fillId="4" fontId="3" numFmtId="3" xfId="0" applyAlignment="1" applyBorder="1" applyFont="1" applyNumberFormat="1">
      <alignment horizontal="center" readingOrder="0" shrinkToFit="0" wrapText="0"/>
    </xf>
    <xf borderId="17" fillId="4" fontId="3" numFmtId="3" xfId="0" applyAlignment="1" applyBorder="1" applyFont="1" applyNumberFormat="1">
      <alignment horizontal="center" readingOrder="0" shrinkToFit="0" wrapText="0"/>
    </xf>
    <xf borderId="50" fillId="2" fontId="8" numFmtId="0" xfId="0" applyAlignment="1" applyBorder="1" applyFont="1">
      <alignment horizontal="center" readingOrder="0" shrinkToFit="0" wrapText="0"/>
    </xf>
    <xf borderId="18" fillId="3" fontId="3" numFmtId="0" xfId="0" applyAlignment="1" applyBorder="1" applyFont="1">
      <alignment horizontal="center" readingOrder="0" shrinkToFit="0" wrapText="0"/>
    </xf>
    <xf borderId="0" fillId="2" fontId="9" numFmtId="0" xfId="0" applyAlignment="1" applyFont="1">
      <alignment readingOrder="0"/>
    </xf>
    <xf borderId="0" fillId="0" fontId="9" numFmtId="3" xfId="0" applyFont="1" applyNumberFormat="1"/>
    <xf borderId="11" fillId="3" fontId="3" numFmtId="3" xfId="0" applyAlignment="1" applyBorder="1" applyFont="1" applyNumberFormat="1">
      <alignment horizontal="center" readingOrder="0" shrinkToFit="0" wrapText="0"/>
    </xf>
    <xf borderId="24" fillId="3" fontId="3" numFmtId="0" xfId="0" applyAlignment="1" applyBorder="1" applyFont="1">
      <alignment horizontal="center" readingOrder="0" shrinkToFit="0" wrapText="0"/>
    </xf>
    <xf borderId="18" fillId="3" fontId="3" numFmtId="3" xfId="0" applyAlignment="1" applyBorder="1" applyFont="1" applyNumberFormat="1">
      <alignment horizontal="center" readingOrder="0" shrinkToFit="0" wrapText="0"/>
    </xf>
    <xf borderId="0" fillId="4" fontId="9" numFmtId="0" xfId="0" applyAlignment="1" applyFont="1">
      <alignment readingOrder="0"/>
    </xf>
    <xf borderId="0" fillId="0" fontId="9" numFmtId="0" xfId="0" applyAlignment="1" applyFont="1">
      <alignment horizontal="right" readingOrder="0"/>
    </xf>
    <xf borderId="5" fillId="0" fontId="9" numFmtId="0" xfId="0" applyBorder="1" applyFont="1"/>
    <xf borderId="9" fillId="2" fontId="3" numFmtId="0" xfId="0" applyAlignment="1" applyBorder="1" applyFont="1">
      <alignment horizontal="center" shrinkToFit="0" wrapText="0"/>
    </xf>
    <xf borderId="0" fillId="2" fontId="9" numFmtId="3" xfId="0" applyFont="1" applyNumberFormat="1"/>
    <xf borderId="0" fillId="2" fontId="9" numFmtId="11" xfId="0" applyAlignment="1" applyFont="1" applyNumberFormat="1">
      <alignment readingOrder="0"/>
    </xf>
    <xf borderId="21" fillId="3" fontId="3" numFmtId="0" xfId="0" applyAlignment="1" applyBorder="1" applyFont="1">
      <alignment horizontal="center" readingOrder="0" shrinkToFit="0" wrapText="0"/>
    </xf>
    <xf borderId="11" fillId="5" fontId="3" numFmtId="0" xfId="0" applyAlignment="1" applyBorder="1" applyFill="1" applyFont="1">
      <alignment horizontal="center" readingOrder="0" shrinkToFit="0" wrapText="0"/>
    </xf>
    <xf borderId="5" fillId="5" fontId="3" numFmtId="0" xfId="0" applyAlignment="1" applyBorder="1" applyFont="1">
      <alignment horizontal="center" readingOrder="0" shrinkToFit="0" wrapText="0"/>
    </xf>
    <xf borderId="21" fillId="3" fontId="3" numFmtId="164" xfId="0" applyAlignment="1" applyBorder="1" applyFont="1" applyNumberFormat="1">
      <alignment horizontal="center" readingOrder="0" shrinkToFit="0" wrapText="0"/>
    </xf>
    <xf borderId="11" fillId="6" fontId="3" numFmtId="3" xfId="0" applyAlignment="1" applyBorder="1" applyFill="1" applyFont="1" applyNumberFormat="1">
      <alignment horizontal="center" readingOrder="0" shrinkToFit="0" wrapText="0"/>
    </xf>
    <xf borderId="27" fillId="2" fontId="3" numFmtId="169" xfId="0" applyAlignment="1" applyBorder="1" applyFont="1" applyNumberFormat="1">
      <alignment horizontal="center" readingOrder="0" shrinkToFit="0" wrapText="0"/>
    </xf>
    <xf borderId="18" fillId="2" fontId="4" numFmtId="0" xfId="0" applyAlignment="1" applyBorder="1" applyFont="1">
      <alignment horizontal="center" readingOrder="0" shrinkToFit="0" wrapText="0"/>
    </xf>
    <xf borderId="26" fillId="3" fontId="3" numFmtId="0" xfId="0" applyAlignment="1" applyBorder="1" applyFont="1">
      <alignment horizontal="center" readingOrder="0" shrinkToFit="0" wrapText="0"/>
    </xf>
    <xf borderId="32" fillId="2" fontId="8" numFmtId="3" xfId="0" applyAlignment="1" applyBorder="1" applyFont="1" applyNumberFormat="1">
      <alignment horizontal="center" readingOrder="0" shrinkToFit="0" wrapText="0"/>
    </xf>
    <xf borderId="16" fillId="2" fontId="3" numFmtId="3" xfId="0" applyAlignment="1" applyBorder="1" applyFont="1" applyNumberFormat="1">
      <alignment horizontal="center" readingOrder="0" shrinkToFit="0" wrapText="0"/>
    </xf>
    <xf borderId="26" fillId="5" fontId="3" numFmtId="0" xfId="0" applyAlignment="1" applyBorder="1" applyFont="1">
      <alignment horizontal="center" readingOrder="0" shrinkToFit="0" wrapText="0"/>
    </xf>
    <xf borderId="40" fillId="2" fontId="3" numFmtId="0" xfId="0" applyAlignment="1" applyBorder="1" applyFont="1">
      <alignment horizontal="center" readingOrder="0" shrinkToFit="0" wrapText="0"/>
    </xf>
    <xf borderId="0" fillId="4" fontId="9" numFmtId="11" xfId="0" applyAlignment="1" applyFont="1" applyNumberFormat="1">
      <alignment readingOrder="0"/>
    </xf>
    <xf borderId="0" fillId="2" fontId="12" numFmtId="0" xfId="0" applyAlignment="1" applyFont="1">
      <alignment readingOrder="0"/>
    </xf>
    <xf borderId="10" fillId="5" fontId="3" numFmtId="0" xfId="0" applyAlignment="1" applyBorder="1" applyFont="1">
      <alignment horizontal="center" readingOrder="0" shrinkToFit="0" wrapText="0"/>
    </xf>
    <xf borderId="0" fillId="5" fontId="9" numFmtId="0" xfId="0" applyAlignment="1" applyFont="1">
      <alignment readingOrder="0"/>
    </xf>
    <xf borderId="24" fillId="0" fontId="8" numFmtId="0" xfId="0" applyAlignment="1" applyBorder="1" applyFont="1">
      <alignment horizontal="center" shrinkToFit="0" wrapText="0"/>
    </xf>
    <xf borderId="5" fillId="2" fontId="7" numFmtId="0" xfId="0" applyAlignment="1" applyBorder="1" applyFont="1">
      <alignment horizontal="center" readingOrder="0"/>
    </xf>
    <xf borderId="40" fillId="6" fontId="3" numFmtId="164" xfId="0" applyAlignment="1" applyBorder="1" applyFont="1" applyNumberFormat="1">
      <alignment horizontal="center" readingOrder="0" shrinkToFit="0" wrapText="0"/>
    </xf>
    <xf borderId="39" fillId="6" fontId="4" numFmtId="0" xfId="0" applyAlignment="1" applyBorder="1" applyFont="1">
      <alignment horizontal="center" readingOrder="0" shrinkToFit="0" wrapText="0"/>
    </xf>
    <xf borderId="5" fillId="6" fontId="3" numFmtId="0" xfId="0" applyAlignment="1" applyBorder="1" applyFont="1">
      <alignment horizontal="center" readingOrder="0" shrinkToFit="0" wrapText="0"/>
    </xf>
    <xf borderId="26" fillId="6" fontId="3" numFmtId="0" xfId="0" applyAlignment="1" applyBorder="1" applyFont="1">
      <alignment horizontal="center" readingOrder="0" shrinkToFit="0" wrapText="0"/>
    </xf>
    <xf borderId="5" fillId="6" fontId="5" numFmtId="0" xfId="0" applyAlignment="1" applyBorder="1" applyFont="1">
      <alignment horizontal="center" readingOrder="0" shrinkToFit="0" wrapText="0"/>
    </xf>
    <xf borderId="14" fillId="6" fontId="3" numFmtId="0" xfId="0" applyAlignment="1" applyBorder="1" applyFont="1">
      <alignment horizontal="center" readingOrder="0" shrinkToFit="0" wrapText="0"/>
    </xf>
    <xf borderId="9" fillId="2" fontId="3" numFmtId="169" xfId="0" applyAlignment="1" applyBorder="1" applyFont="1" applyNumberFormat="1">
      <alignment horizontal="center" readingOrder="0" shrinkToFit="0" wrapText="0"/>
    </xf>
    <xf borderId="17" fillId="6" fontId="3" numFmtId="3" xfId="0" applyAlignment="1" applyBorder="1" applyFont="1" applyNumberFormat="1">
      <alignment horizontal="center" readingOrder="0" shrinkToFit="0" wrapText="0"/>
    </xf>
    <xf borderId="14" fillId="2" fontId="8" numFmtId="3" xfId="0" applyAlignment="1" applyBorder="1" applyFont="1" applyNumberFormat="1">
      <alignment horizontal="center" readingOrder="0" shrinkToFit="0" wrapText="0"/>
    </xf>
    <xf borderId="11" fillId="6" fontId="3" numFmtId="0" xfId="0" applyAlignment="1" applyBorder="1" applyFont="1">
      <alignment horizontal="center" readingOrder="0" shrinkToFit="0" wrapText="0"/>
    </xf>
    <xf borderId="14" fillId="2" fontId="7" numFmtId="3" xfId="0" applyAlignment="1" applyBorder="1" applyFont="1" applyNumberFormat="1">
      <alignment readingOrder="0"/>
    </xf>
    <xf borderId="0" fillId="2" fontId="7" numFmtId="3" xfId="0" applyAlignment="1" applyFont="1" applyNumberFormat="1">
      <alignment readingOrder="0"/>
    </xf>
    <xf borderId="10" fillId="6" fontId="3" numFmtId="3" xfId="0" applyAlignment="1" applyBorder="1" applyFont="1" applyNumberFormat="1">
      <alignment horizontal="center" readingOrder="0" shrinkToFit="0" wrapText="0"/>
    </xf>
    <xf borderId="34" fillId="6" fontId="3" numFmtId="3" xfId="0" applyAlignment="1" applyBorder="1" applyFont="1" applyNumberFormat="1">
      <alignment horizontal="center" readingOrder="0" shrinkToFit="0" wrapText="0"/>
    </xf>
    <xf borderId="21" fillId="3" fontId="3" numFmtId="167" xfId="0" applyAlignment="1" applyBorder="1" applyFont="1" applyNumberFormat="1">
      <alignment horizontal="center" readingOrder="0" shrinkToFit="0" wrapText="0"/>
    </xf>
    <xf borderId="9" fillId="6" fontId="3" numFmtId="167" xfId="0" applyAlignment="1" applyBorder="1" applyFont="1" applyNumberFormat="1">
      <alignment horizontal="center" readingOrder="0" shrinkToFit="0" wrapText="0"/>
    </xf>
    <xf borderId="14" fillId="0" fontId="6" numFmtId="0" xfId="0" applyAlignment="1" applyBorder="1" applyFont="1">
      <alignment horizontal="center" readingOrder="0"/>
    </xf>
    <xf borderId="14" fillId="2" fontId="18" numFmtId="3" xfId="0" applyAlignment="1" applyBorder="1" applyFont="1" applyNumberFormat="1">
      <alignment readingOrder="0"/>
    </xf>
    <xf borderId="11" fillId="3" fontId="5" numFmtId="0" xfId="0" applyAlignment="1" applyBorder="1" applyFont="1">
      <alignment horizontal="center" readingOrder="0" shrinkToFit="0" wrapText="0"/>
    </xf>
    <xf borderId="11" fillId="6" fontId="4" numFmtId="0" xfId="0" applyAlignment="1" applyBorder="1" applyFont="1">
      <alignment horizontal="center" readingOrder="0" shrinkToFit="0" wrapText="0"/>
    </xf>
    <xf borderId="27" fillId="2" fontId="3" numFmtId="0" xfId="0" applyAlignment="1" applyBorder="1" applyFont="1">
      <alignment horizontal="center" readingOrder="0" shrinkToFit="0" wrapText="0"/>
    </xf>
    <xf borderId="21" fillId="2" fontId="3" numFmtId="0" xfId="0" applyAlignment="1" applyBorder="1" applyFont="1">
      <alignment horizontal="center" readingOrder="0" shrinkToFit="0" wrapText="0"/>
    </xf>
    <xf borderId="0" fillId="2" fontId="18" numFmtId="0" xfId="0" applyAlignment="1" applyFont="1">
      <alignment readingOrder="0"/>
    </xf>
    <xf borderId="51" fillId="2" fontId="4" numFmtId="0" xfId="0" applyAlignment="1" applyBorder="1" applyFont="1">
      <alignment horizontal="center" readingOrder="0" shrinkToFit="0" wrapText="0"/>
    </xf>
    <xf borderId="51" fillId="2" fontId="3" numFmtId="4" xfId="0" applyAlignment="1" applyBorder="1" applyFont="1" applyNumberFormat="1">
      <alignment horizontal="center" readingOrder="0" shrinkToFit="0" wrapText="0"/>
    </xf>
    <xf borderId="37" fillId="2" fontId="3" numFmtId="165" xfId="0" applyAlignment="1" applyBorder="1" applyFont="1" applyNumberFormat="1">
      <alignment horizontal="center" readingOrder="0" shrinkToFit="0" wrapText="0"/>
    </xf>
    <xf borderId="37" fillId="2" fontId="3" numFmtId="0" xfId="0" applyAlignment="1" applyBorder="1" applyFont="1">
      <alignment horizontal="center" shrinkToFit="0" wrapText="0"/>
    </xf>
    <xf borderId="52" fillId="2" fontId="4" numFmtId="0" xfId="0" applyAlignment="1" applyBorder="1" applyFont="1">
      <alignment horizontal="center" readingOrder="0" shrinkToFit="0" wrapText="0"/>
    </xf>
    <xf borderId="0" fillId="2" fontId="3" numFmtId="0" xfId="0" applyAlignment="1" applyFont="1">
      <alignment horizontal="center" shrinkToFit="0" wrapText="0"/>
    </xf>
    <xf borderId="38" fillId="2" fontId="3" numFmtId="3" xfId="0" applyAlignment="1" applyBorder="1" applyFont="1" applyNumberFormat="1">
      <alignment horizontal="center" shrinkToFit="0" wrapText="0"/>
    </xf>
    <xf borderId="0" fillId="2" fontId="8" numFmtId="0" xfId="0" applyAlignment="1" applyFont="1">
      <alignment horizontal="center" readingOrder="0" shrinkToFit="0" wrapText="0"/>
    </xf>
    <xf borderId="37" fillId="2" fontId="3" numFmtId="169" xfId="0" applyAlignment="1" applyBorder="1" applyFont="1" applyNumberFormat="1">
      <alignment horizontal="center" readingOrder="0" shrinkToFit="0" wrapText="0"/>
    </xf>
    <xf borderId="26" fillId="3" fontId="3" numFmtId="3" xfId="0" applyAlignment="1" applyBorder="1" applyFont="1" applyNumberFormat="1">
      <alignment horizontal="center" readingOrder="0" shrinkToFit="0" wrapText="0"/>
    </xf>
    <xf borderId="40" fillId="2" fontId="3" numFmtId="170" xfId="0" applyAlignment="1" applyBorder="1" applyFont="1" applyNumberFormat="1">
      <alignment horizontal="center" readingOrder="0" shrinkToFit="0" wrapText="0"/>
    </xf>
    <xf borderId="14" fillId="2" fontId="19" numFmtId="0" xfId="0" applyAlignment="1" applyBorder="1" applyFont="1">
      <alignment horizontal="center" readingOrder="0" shrinkToFit="0" wrapText="0"/>
    </xf>
    <xf borderId="51" fillId="3" fontId="4" numFmtId="0" xfId="0" applyAlignment="1" applyBorder="1" applyFont="1">
      <alignment horizontal="center" readingOrder="0" shrinkToFit="0" wrapText="0"/>
    </xf>
    <xf borderId="38" fillId="0" fontId="3" numFmtId="0" xfId="0" applyAlignment="1" applyBorder="1" applyFont="1">
      <alignment horizontal="center" readingOrder="0" shrinkToFit="0" wrapText="0"/>
    </xf>
    <xf borderId="37" fillId="2" fontId="3" numFmtId="170" xfId="0" applyAlignment="1" applyBorder="1" applyFont="1" applyNumberFormat="1">
      <alignment horizontal="center" readingOrder="0" shrinkToFit="0" wrapText="0"/>
    </xf>
    <xf borderId="37" fillId="6" fontId="3" numFmtId="170" xfId="0" applyAlignment="1" applyBorder="1" applyFont="1" applyNumberFormat="1">
      <alignment horizontal="center" readingOrder="0" shrinkToFit="0" wrapText="0"/>
    </xf>
    <xf borderId="22" fillId="6" fontId="4" numFmtId="0" xfId="0" applyAlignment="1" applyBorder="1" applyFont="1">
      <alignment horizontal="center" readingOrder="0" shrinkToFit="0" wrapText="0"/>
    </xf>
    <xf borderId="38" fillId="6" fontId="3" numFmtId="0" xfId="0" applyAlignment="1" applyBorder="1" applyFont="1">
      <alignment horizontal="center" readingOrder="0" shrinkToFit="0" wrapText="0"/>
    </xf>
    <xf borderId="40" fillId="2" fontId="3" numFmtId="0" xfId="0" applyAlignment="1" applyBorder="1" applyFont="1">
      <alignment horizontal="center" shrinkToFit="0" wrapText="0"/>
    </xf>
    <xf borderId="14" fillId="2" fontId="3" numFmtId="0" xfId="0" applyAlignment="1" applyBorder="1" applyFont="1">
      <alignment horizontal="center" shrinkToFit="0" wrapText="0"/>
    </xf>
    <xf borderId="26" fillId="2" fontId="3" numFmtId="3" xfId="0" applyAlignment="1" applyBorder="1" applyFont="1" applyNumberFormat="1">
      <alignment horizontal="center" shrinkToFit="0" wrapText="0"/>
    </xf>
    <xf borderId="38" fillId="2" fontId="4" numFmtId="0" xfId="0" applyAlignment="1" applyBorder="1" applyFont="1">
      <alignment horizontal="center" readingOrder="0" shrinkToFit="0" wrapText="0"/>
    </xf>
    <xf borderId="40" fillId="3" fontId="3" numFmtId="164" xfId="0" applyAlignment="1" applyBorder="1" applyFont="1" applyNumberFormat="1">
      <alignment horizontal="center" readingOrder="0" shrinkToFit="0" wrapText="0"/>
    </xf>
    <xf borderId="53" fillId="2" fontId="4" numFmtId="0" xfId="0" applyAlignment="1" applyBorder="1" applyFont="1">
      <alignment horizontal="center" readingOrder="0" shrinkToFit="0" wrapText="0"/>
    </xf>
    <xf borderId="54" fillId="2" fontId="3" numFmtId="0" xfId="0" applyAlignment="1" applyBorder="1" applyFont="1">
      <alignment horizontal="center" readingOrder="0" shrinkToFit="0" wrapText="0"/>
    </xf>
    <xf borderId="55" fillId="2" fontId="3" numFmtId="0" xfId="0" applyAlignment="1" applyBorder="1" applyFont="1">
      <alignment horizontal="center" readingOrder="0" shrinkToFit="0" wrapText="0"/>
    </xf>
    <xf borderId="55" fillId="0" fontId="3" numFmtId="0" xfId="0" applyAlignment="1" applyBorder="1" applyFont="1">
      <alignment horizontal="center" readingOrder="0" shrinkToFit="0" wrapText="0"/>
    </xf>
    <xf borderId="53" fillId="2" fontId="3" numFmtId="4" xfId="0" applyAlignment="1" applyBorder="1" applyFont="1" applyNumberFormat="1">
      <alignment horizontal="center" readingOrder="0" shrinkToFit="0" wrapText="0"/>
    </xf>
    <xf borderId="38" fillId="2" fontId="3" numFmtId="4" xfId="0" applyAlignment="1" applyBorder="1" applyFont="1" applyNumberFormat="1">
      <alignment horizontal="center" readingOrder="0" shrinkToFit="0" wrapText="0"/>
    </xf>
    <xf borderId="14" fillId="2" fontId="3" numFmtId="3" xfId="0" applyAlignment="1" applyBorder="1" applyFont="1" applyNumberFormat="1">
      <alignment horizontal="center" readingOrder="0" shrinkToFit="0" wrapText="0"/>
    </xf>
    <xf borderId="40" fillId="2" fontId="3" numFmtId="168" xfId="0" applyAlignment="1" applyBorder="1" applyFont="1" applyNumberFormat="1">
      <alignment horizontal="center" readingOrder="0" shrinkToFit="0" wrapText="0"/>
    </xf>
    <xf borderId="37" fillId="2" fontId="3" numFmtId="0" xfId="0" applyAlignment="1" applyBorder="1" applyFont="1">
      <alignment horizontal="center" readingOrder="0" shrinkToFit="0" wrapText="0"/>
    </xf>
    <xf borderId="44" fillId="0" fontId="15" numFmtId="0" xfId="0" applyBorder="1" applyFont="1"/>
    <xf borderId="7" fillId="2" fontId="11" numFmtId="3" xfId="0" applyBorder="1" applyFont="1" applyNumberFormat="1"/>
    <xf borderId="15" fillId="6" fontId="19" numFmtId="3" xfId="0" applyAlignment="1" applyBorder="1" applyFont="1" applyNumberFormat="1">
      <alignment horizontal="center" readingOrder="0" shrinkToFit="0" wrapText="0"/>
    </xf>
    <xf borderId="0" fillId="0" fontId="20" numFmtId="3" xfId="0" applyFont="1" applyNumberFormat="1"/>
    <xf borderId="34" fillId="6" fontId="19" numFmtId="3" xfId="0" applyAlignment="1" applyBorder="1" applyFont="1" applyNumberFormat="1">
      <alignment horizontal="center" readingOrder="0" shrinkToFit="0" wrapText="0"/>
    </xf>
    <xf borderId="34" fillId="6" fontId="5" numFmtId="3" xfId="0" applyAlignment="1" applyBorder="1" applyFont="1" applyNumberFormat="1">
      <alignment horizontal="center" readingOrder="0" shrinkToFit="0" wrapText="0"/>
    </xf>
    <xf borderId="35" fillId="3" fontId="5" numFmtId="3" xfId="0" applyAlignment="1" applyBorder="1" applyFont="1" applyNumberFormat="1">
      <alignment horizontal="center" readingOrder="0" shrinkToFit="0" wrapText="0"/>
    </xf>
    <xf borderId="7" fillId="3" fontId="10" numFmtId="3" xfId="0" applyAlignment="1" applyBorder="1" applyFont="1" applyNumberFormat="1">
      <alignment horizontal="center" readingOrder="0" shrinkToFit="0" wrapText="0"/>
    </xf>
    <xf borderId="34" fillId="3" fontId="5" numFmtId="3" xfId="0" applyAlignment="1" applyBorder="1" applyFont="1" applyNumberFormat="1">
      <alignment horizontal="center" readingOrder="0" shrinkToFit="0" wrapText="0"/>
    </xf>
    <xf borderId="34" fillId="7" fontId="19" numFmtId="3" xfId="0" applyAlignment="1" applyBorder="1" applyFill="1" applyFont="1" applyNumberFormat="1">
      <alignment horizontal="center" readingOrder="0" shrinkToFit="0" wrapText="0"/>
    </xf>
    <xf borderId="35" fillId="6" fontId="5" numFmtId="3" xfId="0" applyAlignment="1" applyBorder="1" applyFont="1" applyNumberFormat="1">
      <alignment horizontal="center" readingOrder="0" shrinkToFit="0" wrapText="0"/>
    </xf>
    <xf borderId="49" fillId="2" fontId="8" numFmtId="165" xfId="0" applyAlignment="1" applyBorder="1" applyFont="1" applyNumberFormat="1">
      <alignment horizontal="center" readingOrder="0" shrinkToFit="0" wrapText="0"/>
    </xf>
    <xf borderId="0" fillId="0" fontId="8" numFmtId="0" xfId="0" applyAlignment="1" applyFont="1">
      <alignment horizontal="center" shrinkToFit="0" wrapText="0"/>
    </xf>
    <xf borderId="15" fillId="7" fontId="19" numFmtId="3" xfId="0" applyAlignment="1" applyBorder="1" applyFont="1" applyNumberFormat="1">
      <alignment horizontal="center" readingOrder="0" shrinkToFit="0" wrapText="0"/>
    </xf>
    <xf borderId="34" fillId="3" fontId="19" numFmtId="3" xfId="0" applyAlignment="1" applyBorder="1" applyFont="1" applyNumberFormat="1">
      <alignment horizontal="center" readingOrder="0" shrinkToFit="0" wrapText="0"/>
    </xf>
    <xf borderId="15" fillId="6" fontId="5" numFmtId="3" xfId="0" applyAlignment="1" applyBorder="1" applyFont="1" applyNumberFormat="1">
      <alignment horizontal="center" readingOrder="0" shrinkToFit="0" wrapText="0"/>
    </xf>
    <xf borderId="15" fillId="3" fontId="5" numFmtId="3" xfId="0" applyAlignment="1" applyBorder="1" applyFont="1" applyNumberFormat="1">
      <alignment horizontal="center" readingOrder="0" shrinkToFit="0" wrapText="0"/>
    </xf>
    <xf borderId="52" fillId="2" fontId="3" numFmtId="4" xfId="0" applyAlignment="1" applyBorder="1" applyFont="1" applyNumberFormat="1">
      <alignment horizontal="center" readingOrder="0" shrinkToFit="0" wrapText="0"/>
    </xf>
    <xf borderId="30" fillId="2" fontId="3" numFmtId="164" xfId="0" applyAlignment="1" applyBorder="1" applyFont="1" applyNumberFormat="1">
      <alignment horizontal="center" readingOrder="0" shrinkToFit="0" wrapText="0"/>
    </xf>
    <xf borderId="30" fillId="2" fontId="3" numFmtId="0" xfId="0" applyAlignment="1" applyBorder="1" applyFont="1">
      <alignment horizontal="center" readingOrder="0" shrinkToFit="0" wrapText="0"/>
    </xf>
    <xf borderId="30" fillId="2" fontId="8" numFmtId="0" xfId="0" applyAlignment="1" applyBorder="1" applyFont="1">
      <alignment horizontal="center" readingOrder="0" shrinkToFit="0" wrapText="0"/>
    </xf>
    <xf borderId="30" fillId="2" fontId="10" numFmtId="0" xfId="0" applyAlignment="1" applyBorder="1" applyFont="1">
      <alignment horizontal="center" readingOrder="0" shrinkToFit="0" wrapText="0"/>
    </xf>
    <xf borderId="30" fillId="2" fontId="10" numFmtId="4" xfId="0" applyAlignment="1" applyBorder="1" applyFont="1" applyNumberFormat="1">
      <alignment horizontal="center" readingOrder="0" shrinkToFit="0" wrapText="0"/>
    </xf>
    <xf borderId="30" fillId="0" fontId="3" numFmtId="0" xfId="0" applyAlignment="1" applyBorder="1" applyFont="1">
      <alignment horizontal="center" readingOrder="0" shrinkToFit="0" wrapText="0"/>
    </xf>
    <xf borderId="30" fillId="2" fontId="8" numFmtId="4" xfId="0" applyAlignment="1" applyBorder="1" applyFont="1" applyNumberFormat="1">
      <alignment horizontal="center" readingOrder="0" shrinkToFit="0" wrapText="0"/>
    </xf>
    <xf borderId="30" fillId="2" fontId="3" numFmtId="3" xfId="0" applyAlignment="1" applyBorder="1" applyFont="1" applyNumberFormat="1">
      <alignment horizontal="center" readingOrder="0" shrinkToFit="0" wrapText="0"/>
    </xf>
    <xf borderId="30" fillId="3" fontId="10" numFmtId="3" xfId="0" applyAlignment="1" applyBorder="1" applyFont="1" applyNumberFormat="1">
      <alignment horizontal="center" readingOrder="0" shrinkToFit="0" wrapText="0"/>
    </xf>
    <xf borderId="14" fillId="6" fontId="10" numFmtId="3" xfId="0" applyAlignment="1" applyBorder="1" applyFont="1" applyNumberFormat="1">
      <alignment horizontal="center" readingOrder="0" shrinkToFit="0" wrapText="0"/>
    </xf>
    <xf borderId="14" fillId="6" fontId="5" numFmtId="3" xfId="0" applyAlignment="1" applyBorder="1" applyFont="1" applyNumberFormat="1">
      <alignment horizontal="center" readingOrder="0" shrinkToFit="0" wrapText="0"/>
    </xf>
    <xf borderId="17" fillId="6" fontId="19" numFmtId="3" xfId="0" applyAlignment="1" applyBorder="1" applyFont="1" applyNumberFormat="1">
      <alignment horizontal="center" readingOrder="0" shrinkToFit="0" wrapText="0"/>
    </xf>
    <xf borderId="8" fillId="2" fontId="10" numFmtId="3" xfId="0" applyAlignment="1" applyBorder="1" applyFont="1" applyNumberFormat="1">
      <alignment horizontal="center" readingOrder="0" shrinkToFit="0" wrapText="0"/>
    </xf>
    <xf borderId="5" fillId="0" fontId="21" numFmtId="3" xfId="0" applyBorder="1" applyFont="1" applyNumberFormat="1"/>
    <xf borderId="15" fillId="2" fontId="19" numFmtId="3" xfId="0" applyAlignment="1" applyBorder="1" applyFont="1" applyNumberFormat="1">
      <alignment horizontal="center" readingOrder="0" shrinkToFit="0" wrapText="0"/>
    </xf>
    <xf borderId="34" fillId="2" fontId="5" numFmtId="3" xfId="0" applyAlignment="1" applyBorder="1" applyFont="1" applyNumberFormat="1">
      <alignment horizontal="center" readingOrder="0" shrinkToFit="0" wrapText="0"/>
    </xf>
    <xf borderId="7" fillId="2" fontId="10" numFmtId="3" xfId="0" applyAlignment="1" applyBorder="1" applyFont="1" applyNumberFormat="1">
      <alignment horizontal="center" readingOrder="0" shrinkToFit="0" wrapText="0"/>
    </xf>
    <xf borderId="34" fillId="5" fontId="5" numFmtId="3" xfId="0" applyAlignment="1" applyBorder="1" applyFont="1" applyNumberFormat="1">
      <alignment horizontal="center" readingOrder="0" shrinkToFit="0" wrapText="0"/>
    </xf>
    <xf borderId="34" fillId="5" fontId="19" numFmtId="3" xfId="0" applyAlignment="1" applyBorder="1" applyFont="1" applyNumberFormat="1">
      <alignment horizontal="center" readingOrder="0" shrinkToFit="0" wrapText="0"/>
    </xf>
    <xf borderId="15" fillId="3" fontId="19" numFmtId="3" xfId="0" applyAlignment="1" applyBorder="1" applyFont="1" applyNumberFormat="1">
      <alignment horizontal="center" readingOrder="0" shrinkToFit="0" wrapText="0"/>
    </xf>
    <xf borderId="34" fillId="2" fontId="19" numFmtId="3" xfId="0" applyAlignment="1" applyBorder="1" applyFont="1" applyNumberFormat="1">
      <alignment horizontal="center" readingOrder="0" shrinkToFit="0" wrapText="0"/>
    </xf>
    <xf borderId="5" fillId="4" fontId="7" numFmtId="0" xfId="0" applyAlignment="1" applyBorder="1" applyFont="1">
      <alignment readingOrder="0"/>
    </xf>
    <xf borderId="26" fillId="8" fontId="3" numFmtId="3" xfId="0" applyAlignment="1" applyBorder="1" applyFill="1" applyFont="1" applyNumberFormat="1">
      <alignment horizontal="center" readingOrder="0" shrinkToFit="0" wrapText="0"/>
    </xf>
    <xf borderId="30" fillId="2" fontId="4" numFmtId="0" xfId="0" applyAlignment="1" applyBorder="1" applyFont="1">
      <alignment horizontal="center" readingOrder="0" shrinkToFit="0" wrapText="0"/>
    </xf>
    <xf borderId="0" fillId="2" fontId="7" numFmtId="0" xfId="0" applyAlignment="1" applyFont="1">
      <alignment readingOrder="0"/>
    </xf>
    <xf borderId="5" fillId="0" fontId="21" numFmtId="0" xfId="0" applyBorder="1" applyFont="1"/>
    <xf borderId="40" fillId="2" fontId="3" numFmtId="167" xfId="0" applyAlignment="1" applyBorder="1" applyFont="1" applyNumberFormat="1">
      <alignment horizontal="center" readingOrder="0" shrinkToFit="0" wrapText="0"/>
    </xf>
    <xf borderId="17" fillId="3" fontId="19" numFmtId="3" xfId="0" applyAlignment="1" applyBorder="1" applyFont="1" applyNumberFormat="1">
      <alignment horizontal="center" readingOrder="0" shrinkToFit="0" wrapText="0"/>
    </xf>
    <xf borderId="35" fillId="2" fontId="5" numFmtId="3" xfId="0" applyAlignment="1" applyBorder="1" applyFont="1" applyNumberFormat="1">
      <alignment horizontal="center" readingOrder="0" shrinkToFit="0" wrapText="0"/>
    </xf>
    <xf borderId="21" fillId="3" fontId="3" numFmtId="170" xfId="0" applyAlignment="1" applyBorder="1" applyFont="1" applyNumberFormat="1">
      <alignment horizontal="center" readingOrder="0" shrinkToFit="0" wrapText="0"/>
    </xf>
    <xf borderId="21" fillId="8" fontId="3" numFmtId="164" xfId="0" applyAlignment="1" applyBorder="1" applyFont="1" applyNumberFormat="1">
      <alignment horizontal="center" readingOrder="0" shrinkToFit="0" wrapText="0"/>
    </xf>
    <xf borderId="30" fillId="2" fontId="10" numFmtId="3" xfId="0" applyAlignment="1" applyBorder="1" applyFont="1" applyNumberFormat="1">
      <alignment horizontal="center" readingOrder="0" shrinkToFit="0" wrapText="0"/>
    </xf>
    <xf borderId="45" fillId="2" fontId="8" numFmtId="3" xfId="0" applyAlignment="1" applyBorder="1" applyFont="1" applyNumberFormat="1">
      <alignment horizontal="center" readingOrder="0" shrinkToFit="0" wrapText="0"/>
    </xf>
    <xf borderId="15" fillId="2" fontId="5" numFmtId="3" xfId="0" applyAlignment="1" applyBorder="1" applyFont="1" applyNumberFormat="1">
      <alignment horizontal="center" readingOrder="0" shrinkToFit="0" wrapText="0"/>
    </xf>
    <xf borderId="14" fillId="2" fontId="22" numFmtId="3" xfId="0" applyAlignment="1" applyBorder="1" applyFont="1" applyNumberFormat="1">
      <alignment horizontal="center" readingOrder="0" shrinkToFit="0" wrapText="0"/>
    </xf>
    <xf borderId="14" fillId="2" fontId="19" numFmtId="3" xfId="0" applyAlignment="1" applyBorder="1" applyFont="1" applyNumberFormat="1">
      <alignment horizontal="center" readingOrder="0" shrinkToFit="0" wrapText="0"/>
    </xf>
    <xf borderId="14" fillId="2" fontId="5" numFmtId="3" xfId="0" applyAlignment="1" applyBorder="1" applyFont="1" applyNumberFormat="1">
      <alignment horizontal="center" readingOrder="0" shrinkToFit="0" wrapText="0"/>
    </xf>
    <xf borderId="7" fillId="2" fontId="5" numFmtId="3" xfId="0" applyAlignment="1" applyBorder="1" applyFont="1" applyNumberFormat="1">
      <alignment horizontal="center" readingOrder="0" shrinkToFit="0" wrapText="0"/>
    </xf>
    <xf borderId="21" fillId="8" fontId="3" numFmtId="170" xfId="0" applyAlignment="1" applyBorder="1" applyFont="1" applyNumberFormat="1">
      <alignment horizontal="center" readingOrder="0" shrinkToFit="0" wrapText="0"/>
    </xf>
    <xf borderId="51" fillId="2" fontId="23" numFmtId="0" xfId="0" applyAlignment="1" applyBorder="1" applyFont="1">
      <alignment horizontal="center" readingOrder="0" shrinkToFit="0" wrapText="0"/>
    </xf>
    <xf borderId="15" fillId="5" fontId="5" numFmtId="3" xfId="0" applyAlignment="1" applyBorder="1" applyFont="1" applyNumberFormat="1">
      <alignment horizontal="center" readingOrder="0" shrinkToFit="0" wrapText="0"/>
    </xf>
    <xf borderId="26" fillId="6" fontId="3" numFmtId="3" xfId="0" applyAlignment="1" applyBorder="1" applyFont="1" applyNumberFormat="1">
      <alignment horizontal="center" readingOrder="0" shrinkToFit="0" wrapText="0"/>
    </xf>
    <xf borderId="21" fillId="2" fontId="19" numFmtId="164" xfId="0" applyAlignment="1" applyBorder="1" applyFont="1" applyNumberFormat="1">
      <alignment horizontal="center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4" t="s">
        <v>7</v>
      </c>
      <c r="H2" s="5" t="s">
        <v>8</v>
      </c>
      <c r="I2" s="6" t="s">
        <v>8</v>
      </c>
      <c r="J2" s="3" t="s">
        <v>5</v>
      </c>
      <c r="K2" s="3" t="s">
        <v>6</v>
      </c>
      <c r="L2" s="4" t="s">
        <v>7</v>
      </c>
      <c r="M2" s="3" t="s">
        <v>9</v>
      </c>
      <c r="N2" s="7" t="s">
        <v>10</v>
      </c>
    </row>
    <row r="3">
      <c r="A3" s="8">
        <v>46148.0</v>
      </c>
      <c r="B3" s="9" t="s">
        <v>11</v>
      </c>
      <c r="C3" s="10">
        <v>206058.0</v>
      </c>
      <c r="D3" s="11">
        <v>206377.0</v>
      </c>
      <c r="E3" s="12">
        <f t="shared" ref="E3:E10" si="1">D3-C3</f>
        <v>319</v>
      </c>
      <c r="F3" s="13">
        <v>40.0</v>
      </c>
      <c r="G3" s="14">
        <f t="shared" ref="G3:G10" si="2">(F3/E3)*100</f>
        <v>12.53918495</v>
      </c>
      <c r="H3" s="15">
        <v>35966.0</v>
      </c>
      <c r="I3" s="16">
        <v>36318.0</v>
      </c>
      <c r="J3" s="13">
        <f t="shared" ref="J3:J10" si="3">I3-H3</f>
        <v>352</v>
      </c>
      <c r="K3" s="11">
        <f t="shared" ref="K3:K10" si="4">F3</f>
        <v>40</v>
      </c>
      <c r="L3" s="17">
        <f t="shared" ref="L3:L10" si="5">(K3/J3)*100</f>
        <v>11.36363636</v>
      </c>
      <c r="M3" s="18">
        <v>28170.0</v>
      </c>
      <c r="N3" s="18">
        <f t="shared" ref="N3:N10" si="6">F3*M3</f>
        <v>1126800</v>
      </c>
    </row>
    <row r="4">
      <c r="A4" s="8">
        <v>46153.0</v>
      </c>
      <c r="B4" s="9" t="s">
        <v>11</v>
      </c>
      <c r="C4" s="11">
        <v>206377.0</v>
      </c>
      <c r="D4" s="11">
        <v>206660.0</v>
      </c>
      <c r="E4" s="12">
        <f t="shared" si="1"/>
        <v>283</v>
      </c>
      <c r="F4" s="13">
        <v>40.0</v>
      </c>
      <c r="G4" s="14">
        <f t="shared" si="2"/>
        <v>14.13427562</v>
      </c>
      <c r="H4" s="16">
        <v>36318.0</v>
      </c>
      <c r="I4" s="16">
        <v>36602.0</v>
      </c>
      <c r="J4" s="13">
        <f t="shared" si="3"/>
        <v>284</v>
      </c>
      <c r="K4" s="11">
        <f t="shared" si="4"/>
        <v>40</v>
      </c>
      <c r="L4" s="17">
        <f t="shared" si="5"/>
        <v>14.08450704</v>
      </c>
      <c r="M4" s="18">
        <v>27490.0</v>
      </c>
      <c r="N4" s="18">
        <f t="shared" si="6"/>
        <v>1099600</v>
      </c>
      <c r="O4" s="19">
        <v>1.0</v>
      </c>
      <c r="P4" s="20" t="s">
        <v>12</v>
      </c>
      <c r="Q4" s="21">
        <f>N19</f>
        <v>7219060</v>
      </c>
      <c r="R4" s="21">
        <f t="shared" ref="R4:R15" si="7">Q4</f>
        <v>7219060</v>
      </c>
    </row>
    <row r="5">
      <c r="A5" s="8">
        <v>46156.0</v>
      </c>
      <c r="B5" s="9" t="s">
        <v>11</v>
      </c>
      <c r="C5" s="11">
        <v>206660.0</v>
      </c>
      <c r="D5" s="11">
        <v>207013.0</v>
      </c>
      <c r="E5" s="12">
        <f t="shared" si="1"/>
        <v>353</v>
      </c>
      <c r="F5" s="11">
        <v>45.0</v>
      </c>
      <c r="G5" s="14">
        <f t="shared" si="2"/>
        <v>12.74787535</v>
      </c>
      <c r="H5" s="16">
        <v>36602.0</v>
      </c>
      <c r="I5" s="16">
        <v>37001.0</v>
      </c>
      <c r="J5" s="13">
        <f t="shared" si="3"/>
        <v>399</v>
      </c>
      <c r="K5" s="11">
        <f t="shared" si="4"/>
        <v>45</v>
      </c>
      <c r="L5" s="17">
        <f t="shared" si="5"/>
        <v>11.27819549</v>
      </c>
      <c r="M5" s="18">
        <v>27490.0</v>
      </c>
      <c r="N5" s="18">
        <f t="shared" si="6"/>
        <v>1237050</v>
      </c>
      <c r="O5" s="19">
        <v>2.0</v>
      </c>
      <c r="P5" s="20" t="s">
        <v>13</v>
      </c>
      <c r="Q5" s="21">
        <f>N29</f>
        <v>7782100</v>
      </c>
      <c r="R5" s="21">
        <f t="shared" si="7"/>
        <v>7782100</v>
      </c>
    </row>
    <row r="6">
      <c r="A6" s="8">
        <v>46161.0</v>
      </c>
      <c r="B6" s="9" t="s">
        <v>11</v>
      </c>
      <c r="C6" s="11">
        <v>207013.0</v>
      </c>
      <c r="D6" s="11">
        <v>207257.0</v>
      </c>
      <c r="E6" s="12">
        <f t="shared" si="1"/>
        <v>244</v>
      </c>
      <c r="F6" s="11">
        <v>30.0</v>
      </c>
      <c r="G6" s="14">
        <f t="shared" si="2"/>
        <v>12.29508197</v>
      </c>
      <c r="H6" s="16">
        <v>37001.0</v>
      </c>
      <c r="I6" s="16">
        <v>37266.0</v>
      </c>
      <c r="J6" s="13">
        <f t="shared" si="3"/>
        <v>265</v>
      </c>
      <c r="K6" s="11">
        <f t="shared" si="4"/>
        <v>30</v>
      </c>
      <c r="L6" s="17">
        <f t="shared" si="5"/>
        <v>11.32075472</v>
      </c>
      <c r="M6" s="18">
        <v>27220.0</v>
      </c>
      <c r="N6" s="18">
        <f t="shared" si="6"/>
        <v>816600</v>
      </c>
      <c r="O6" s="19">
        <v>3.0</v>
      </c>
      <c r="P6" s="20" t="s">
        <v>14</v>
      </c>
      <c r="Q6" s="21">
        <f>N38</f>
        <v>6653600</v>
      </c>
      <c r="R6" s="21">
        <f t="shared" si="7"/>
        <v>6653600</v>
      </c>
    </row>
    <row r="7">
      <c r="A7" s="8">
        <v>46164.0</v>
      </c>
      <c r="B7" s="9" t="s">
        <v>11</v>
      </c>
      <c r="C7" s="11">
        <v>207257.0</v>
      </c>
      <c r="D7" s="11">
        <v>207542.0</v>
      </c>
      <c r="E7" s="12">
        <f t="shared" si="1"/>
        <v>285</v>
      </c>
      <c r="F7" s="11">
        <v>40.0</v>
      </c>
      <c r="G7" s="14">
        <f t="shared" si="2"/>
        <v>14.03508772</v>
      </c>
      <c r="H7" s="16">
        <v>37266.0</v>
      </c>
      <c r="I7" s="16">
        <v>37611.0</v>
      </c>
      <c r="J7" s="13">
        <f t="shared" si="3"/>
        <v>345</v>
      </c>
      <c r="K7" s="11">
        <f t="shared" si="4"/>
        <v>40</v>
      </c>
      <c r="L7" s="17">
        <f t="shared" si="5"/>
        <v>11.5942029</v>
      </c>
      <c r="M7" s="22">
        <v>28760.0</v>
      </c>
      <c r="N7" s="18">
        <f t="shared" si="6"/>
        <v>1150400</v>
      </c>
      <c r="O7" s="19">
        <v>4.0</v>
      </c>
      <c r="P7" s="20" t="s">
        <v>15</v>
      </c>
      <c r="Q7" s="21">
        <f>N49</f>
        <v>7510170</v>
      </c>
      <c r="R7" s="21">
        <f t="shared" si="7"/>
        <v>7510170</v>
      </c>
    </row>
    <row r="8">
      <c r="A8" s="8">
        <v>46169.0</v>
      </c>
      <c r="B8" s="9" t="s">
        <v>11</v>
      </c>
      <c r="C8" s="11">
        <v>207542.0</v>
      </c>
      <c r="D8" s="11">
        <v>207818.0</v>
      </c>
      <c r="E8" s="12">
        <f t="shared" si="1"/>
        <v>276</v>
      </c>
      <c r="F8" s="11">
        <v>40.0</v>
      </c>
      <c r="G8" s="14">
        <f t="shared" si="2"/>
        <v>14.49275362</v>
      </c>
      <c r="H8" s="16">
        <v>37611.0</v>
      </c>
      <c r="I8" s="16">
        <v>37899.0</v>
      </c>
      <c r="J8" s="13">
        <f t="shared" si="3"/>
        <v>288</v>
      </c>
      <c r="K8" s="11">
        <f t="shared" si="4"/>
        <v>40</v>
      </c>
      <c r="L8" s="17">
        <f t="shared" si="5"/>
        <v>13.88888889</v>
      </c>
      <c r="M8" s="22">
        <v>28760.0</v>
      </c>
      <c r="N8" s="18">
        <f t="shared" si="6"/>
        <v>1150400</v>
      </c>
      <c r="O8" s="19">
        <v>5.0</v>
      </c>
      <c r="P8" s="20" t="s">
        <v>16</v>
      </c>
      <c r="Q8" s="21">
        <f>N61</f>
        <v>7562088.52</v>
      </c>
      <c r="R8" s="21">
        <f t="shared" si="7"/>
        <v>7562088.52</v>
      </c>
    </row>
    <row r="9">
      <c r="A9" s="8"/>
      <c r="B9" s="9" t="s">
        <v>11</v>
      </c>
      <c r="C9" s="11"/>
      <c r="D9" s="11"/>
      <c r="E9" s="12">
        <f t="shared" si="1"/>
        <v>0</v>
      </c>
      <c r="F9" s="11"/>
      <c r="G9" s="14" t="str">
        <f t="shared" si="2"/>
        <v>#DIV/0!</v>
      </c>
      <c r="H9" s="16"/>
      <c r="I9" s="16"/>
      <c r="J9" s="13">
        <f t="shared" si="3"/>
        <v>0</v>
      </c>
      <c r="K9" s="11" t="str">
        <f t="shared" si="4"/>
        <v/>
      </c>
      <c r="L9" s="17" t="str">
        <f t="shared" si="5"/>
        <v>#DIV/0!</v>
      </c>
      <c r="M9" s="22"/>
      <c r="N9" s="18">
        <f t="shared" si="6"/>
        <v>0</v>
      </c>
      <c r="O9" s="19">
        <v>6.0</v>
      </c>
      <c r="P9" s="20" t="s">
        <v>17</v>
      </c>
      <c r="Q9" s="21">
        <f>N11</f>
        <v>6580850</v>
      </c>
      <c r="R9" s="21">
        <f t="shared" si="7"/>
        <v>6580850</v>
      </c>
    </row>
    <row r="10">
      <c r="A10" s="23"/>
      <c r="B10" s="24" t="s">
        <v>11</v>
      </c>
      <c r="C10" s="11"/>
      <c r="D10" s="10"/>
      <c r="E10" s="25">
        <f t="shared" si="1"/>
        <v>0</v>
      </c>
      <c r="F10" s="10"/>
      <c r="G10" s="14" t="str">
        <f t="shared" si="2"/>
        <v>#DIV/0!</v>
      </c>
      <c r="H10" s="16"/>
      <c r="I10" s="15"/>
      <c r="J10" s="26">
        <f t="shared" si="3"/>
        <v>0</v>
      </c>
      <c r="K10" s="10" t="str">
        <f t="shared" si="4"/>
        <v/>
      </c>
      <c r="L10" s="27" t="str">
        <f t="shared" si="5"/>
        <v>#DIV/0!</v>
      </c>
      <c r="M10" s="22"/>
      <c r="N10" s="28">
        <f t="shared" si="6"/>
        <v>0</v>
      </c>
      <c r="O10" s="19">
        <v>7.0</v>
      </c>
      <c r="P10" s="20" t="s">
        <v>18</v>
      </c>
      <c r="Q10" s="21">
        <f>N71</f>
        <v>7517850</v>
      </c>
      <c r="R10" s="21">
        <f t="shared" si="7"/>
        <v>7517850</v>
      </c>
    </row>
    <row r="11">
      <c r="A11" s="29"/>
      <c r="B11" s="29"/>
      <c r="C11" s="29"/>
      <c r="D11" s="30" t="s">
        <v>19</v>
      </c>
      <c r="E11" s="30">
        <f t="shared" ref="E11:F11" si="8">sum(E3:E10)</f>
        <v>1760</v>
      </c>
      <c r="F11" s="30">
        <f t="shared" si="8"/>
        <v>235</v>
      </c>
      <c r="G11" s="31" t="str">
        <f>G3:G10</f>
        <v>#VALUE!</v>
      </c>
      <c r="H11" s="29"/>
      <c r="I11" s="32"/>
      <c r="J11" s="30">
        <f t="shared" ref="J11:K11" si="9">sum(J3:J10)</f>
        <v>1933</v>
      </c>
      <c r="K11" s="33">
        <f t="shared" si="9"/>
        <v>235</v>
      </c>
      <c r="L11" s="31" t="str">
        <f>average(L3:L10)</f>
        <v>#DIV/0!</v>
      </c>
      <c r="M11" s="29"/>
      <c r="N11" s="34">
        <f>sum(N3:N10)</f>
        <v>6580850</v>
      </c>
      <c r="O11" s="19">
        <v>8.0</v>
      </c>
      <c r="P11" s="20" t="s">
        <v>20</v>
      </c>
      <c r="Q11" s="21">
        <f>N80</f>
        <v>7081690</v>
      </c>
      <c r="R11" s="21">
        <f t="shared" si="7"/>
        <v>7081690</v>
      </c>
    </row>
    <row r="12">
      <c r="A12" s="35">
        <v>46146.0</v>
      </c>
      <c r="B12" s="36" t="s">
        <v>12</v>
      </c>
      <c r="C12" s="37">
        <v>168088.0</v>
      </c>
      <c r="D12" s="37">
        <v>168406.0</v>
      </c>
      <c r="E12" s="38">
        <f t="shared" ref="E12:E18" si="10">D12-C12</f>
        <v>318</v>
      </c>
      <c r="F12" s="39">
        <v>44.0</v>
      </c>
      <c r="G12" s="14">
        <f t="shared" ref="G12:G18" si="11">(F12/E12)*100</f>
        <v>13.83647799</v>
      </c>
      <c r="H12" s="40">
        <v>35596.0</v>
      </c>
      <c r="I12" s="40">
        <v>36031.0</v>
      </c>
      <c r="J12" s="41">
        <f t="shared" ref="J12:J18" si="12">I12-H12</f>
        <v>435</v>
      </c>
      <c r="K12" s="11">
        <f t="shared" ref="K12:K18" si="13">F12</f>
        <v>44</v>
      </c>
      <c r="L12" s="42">
        <f t="shared" ref="L12:L18" si="14">(K12/J12)*100</f>
        <v>10.11494253</v>
      </c>
      <c r="M12" s="43">
        <v>28170.0</v>
      </c>
      <c r="N12" s="44">
        <f t="shared" ref="N12:N18" si="15">F12*M12</f>
        <v>1239480</v>
      </c>
      <c r="O12" s="19">
        <v>9.0</v>
      </c>
      <c r="P12" s="20" t="s">
        <v>21</v>
      </c>
      <c r="Q12" s="21">
        <f>N88</f>
        <v>8442050</v>
      </c>
      <c r="R12" s="21">
        <f t="shared" si="7"/>
        <v>8442050</v>
      </c>
    </row>
    <row r="13">
      <c r="A13" s="45">
        <v>46149.0</v>
      </c>
      <c r="B13" s="46" t="s">
        <v>12</v>
      </c>
      <c r="C13" s="37">
        <v>168406.0</v>
      </c>
      <c r="D13" s="37">
        <v>168765.0</v>
      </c>
      <c r="E13" s="12">
        <f t="shared" si="10"/>
        <v>359</v>
      </c>
      <c r="F13" s="47">
        <v>45.0</v>
      </c>
      <c r="G13" s="14">
        <f t="shared" si="11"/>
        <v>12.53481894</v>
      </c>
      <c r="H13" s="40">
        <v>36031.0</v>
      </c>
      <c r="I13" s="40">
        <v>36344.0</v>
      </c>
      <c r="J13" s="37">
        <f t="shared" si="12"/>
        <v>313</v>
      </c>
      <c r="K13" s="11">
        <f t="shared" si="13"/>
        <v>45</v>
      </c>
      <c r="L13" s="48">
        <f t="shared" si="14"/>
        <v>14.37699681</v>
      </c>
      <c r="M13" s="43">
        <v>28170.0</v>
      </c>
      <c r="N13" s="49">
        <f t="shared" si="15"/>
        <v>1267650</v>
      </c>
      <c r="O13" s="19">
        <v>10.0</v>
      </c>
      <c r="P13" s="20" t="s">
        <v>22</v>
      </c>
      <c r="Q13" s="21">
        <f>N97</f>
        <v>8658400</v>
      </c>
      <c r="R13" s="21">
        <f t="shared" si="7"/>
        <v>8658400</v>
      </c>
    </row>
    <row r="14">
      <c r="A14" s="45">
        <v>46154.0</v>
      </c>
      <c r="B14" s="46" t="s">
        <v>12</v>
      </c>
      <c r="C14" s="37">
        <v>168765.0</v>
      </c>
      <c r="D14" s="37">
        <v>169110.0</v>
      </c>
      <c r="E14" s="12">
        <f t="shared" si="10"/>
        <v>345</v>
      </c>
      <c r="F14" s="47">
        <v>45.0</v>
      </c>
      <c r="G14" s="14">
        <f t="shared" si="11"/>
        <v>13.04347826</v>
      </c>
      <c r="H14" s="40">
        <v>36344.0</v>
      </c>
      <c r="I14" s="40">
        <v>36743.0</v>
      </c>
      <c r="J14" s="37">
        <f t="shared" si="12"/>
        <v>399</v>
      </c>
      <c r="K14" s="11">
        <f t="shared" si="13"/>
        <v>45</v>
      </c>
      <c r="L14" s="48">
        <f t="shared" si="14"/>
        <v>11.27819549</v>
      </c>
      <c r="M14" s="50">
        <v>27490.0</v>
      </c>
      <c r="N14" s="49">
        <f t="shared" si="15"/>
        <v>1237050</v>
      </c>
      <c r="O14" s="19">
        <v>11.0</v>
      </c>
      <c r="P14" s="20" t="s">
        <v>23</v>
      </c>
      <c r="Q14" s="21">
        <f>N104</f>
        <v>7318200</v>
      </c>
      <c r="R14" s="21">
        <f t="shared" si="7"/>
        <v>7318200</v>
      </c>
    </row>
    <row r="15">
      <c r="A15" s="45">
        <v>46160.0</v>
      </c>
      <c r="B15" s="51" t="s">
        <v>12</v>
      </c>
      <c r="C15" s="37">
        <v>169110.0</v>
      </c>
      <c r="D15" s="52">
        <v>169491.0</v>
      </c>
      <c r="E15" s="53">
        <f t="shared" si="10"/>
        <v>381</v>
      </c>
      <c r="F15" s="54">
        <v>49.0</v>
      </c>
      <c r="G15" s="14">
        <f t="shared" si="11"/>
        <v>12.86089239</v>
      </c>
      <c r="H15" s="40">
        <v>36743.0</v>
      </c>
      <c r="I15" s="40">
        <v>37193.0</v>
      </c>
      <c r="J15" s="37">
        <f t="shared" si="12"/>
        <v>450</v>
      </c>
      <c r="K15" s="11">
        <f t="shared" si="13"/>
        <v>49</v>
      </c>
      <c r="L15" s="48">
        <f t="shared" si="14"/>
        <v>10.88888889</v>
      </c>
      <c r="M15" s="50">
        <v>27220.0</v>
      </c>
      <c r="N15" s="49">
        <f t="shared" si="15"/>
        <v>1333780</v>
      </c>
      <c r="O15" s="19">
        <v>12.0</v>
      </c>
      <c r="P15" s="20" t="s">
        <v>24</v>
      </c>
      <c r="Q15" s="21">
        <f>N112</f>
        <v>8132720</v>
      </c>
      <c r="R15" s="21">
        <f t="shared" si="7"/>
        <v>8132720</v>
      </c>
    </row>
    <row r="16">
      <c r="A16" s="45">
        <v>46163.0</v>
      </c>
      <c r="B16" s="46" t="s">
        <v>12</v>
      </c>
      <c r="C16" s="52">
        <v>169491.0</v>
      </c>
      <c r="D16" s="37">
        <v>169736.0</v>
      </c>
      <c r="E16" s="12">
        <f t="shared" si="10"/>
        <v>245</v>
      </c>
      <c r="F16" s="47">
        <v>29.0</v>
      </c>
      <c r="G16" s="14">
        <f t="shared" si="11"/>
        <v>11.83673469</v>
      </c>
      <c r="H16" s="40">
        <v>37193.0</v>
      </c>
      <c r="I16" s="40">
        <v>37439.0</v>
      </c>
      <c r="J16" s="37">
        <f t="shared" si="12"/>
        <v>246</v>
      </c>
      <c r="K16" s="11">
        <f t="shared" si="13"/>
        <v>29</v>
      </c>
      <c r="L16" s="48">
        <f t="shared" si="14"/>
        <v>11.78861789</v>
      </c>
      <c r="M16" s="50">
        <v>27220.0</v>
      </c>
      <c r="N16" s="49">
        <f t="shared" si="15"/>
        <v>789380</v>
      </c>
      <c r="O16" s="19">
        <v>13.0</v>
      </c>
      <c r="P16" s="20" t="s">
        <v>25</v>
      </c>
      <c r="Q16" s="21">
        <f>N120</f>
        <v>7796770</v>
      </c>
      <c r="R16" s="21">
        <f>N120</f>
        <v>7796770</v>
      </c>
    </row>
    <row r="17">
      <c r="A17" s="45">
        <v>46170.0</v>
      </c>
      <c r="B17" s="46" t="s">
        <v>12</v>
      </c>
      <c r="C17" s="37">
        <v>169736.0</v>
      </c>
      <c r="D17" s="37">
        <v>170073.0</v>
      </c>
      <c r="E17" s="12">
        <f t="shared" si="10"/>
        <v>337</v>
      </c>
      <c r="F17" s="47">
        <v>47.0</v>
      </c>
      <c r="G17" s="14">
        <f t="shared" si="11"/>
        <v>13.94658754</v>
      </c>
      <c r="H17" s="40">
        <v>37439.0</v>
      </c>
      <c r="I17" s="40">
        <v>37845.0</v>
      </c>
      <c r="J17" s="37">
        <f t="shared" si="12"/>
        <v>406</v>
      </c>
      <c r="K17" s="11">
        <f t="shared" si="13"/>
        <v>47</v>
      </c>
      <c r="L17" s="48">
        <f t="shared" si="14"/>
        <v>11.57635468</v>
      </c>
      <c r="M17" s="50">
        <v>28760.0</v>
      </c>
      <c r="N17" s="49">
        <f t="shared" si="15"/>
        <v>1351720</v>
      </c>
      <c r="O17" s="19">
        <v>14.0</v>
      </c>
      <c r="P17" s="20" t="s">
        <v>26</v>
      </c>
      <c r="Q17" s="21">
        <f>N128</f>
        <v>7554030</v>
      </c>
      <c r="R17" s="21">
        <f t="shared" ref="R17:R28" si="16">Q17</f>
        <v>7554030</v>
      </c>
    </row>
    <row r="18">
      <c r="A18" s="45"/>
      <c r="B18" s="46" t="s">
        <v>12</v>
      </c>
      <c r="C18" s="37"/>
      <c r="D18" s="55"/>
      <c r="E18" s="25">
        <f t="shared" si="10"/>
        <v>0</v>
      </c>
      <c r="F18" s="47"/>
      <c r="G18" s="56" t="str">
        <f t="shared" si="11"/>
        <v>#DIV/0!</v>
      </c>
      <c r="H18" s="40"/>
      <c r="I18" s="57"/>
      <c r="J18" s="55">
        <f t="shared" si="12"/>
        <v>0</v>
      </c>
      <c r="K18" s="11" t="str">
        <f t="shared" si="13"/>
        <v/>
      </c>
      <c r="L18" s="48" t="str">
        <f t="shared" si="14"/>
        <v>#DIV/0!</v>
      </c>
      <c r="M18" s="58"/>
      <c r="N18" s="59">
        <f t="shared" si="15"/>
        <v>0</v>
      </c>
      <c r="O18" s="60">
        <f t="shared" ref="O18:O27" si="18">O17+1</f>
        <v>15</v>
      </c>
      <c r="P18" s="61" t="s">
        <v>27</v>
      </c>
      <c r="Q18" s="21">
        <f>N148</f>
        <v>9134170</v>
      </c>
      <c r="R18" s="21">
        <f t="shared" si="16"/>
        <v>9134170</v>
      </c>
    </row>
    <row r="19">
      <c r="A19" s="62"/>
      <c r="B19" s="63"/>
      <c r="C19" s="62"/>
      <c r="D19" s="64" t="s">
        <v>19</v>
      </c>
      <c r="E19" s="64">
        <f>sum(E12:E18)</f>
        <v>1985</v>
      </c>
      <c r="F19" s="64">
        <f>sum(F11:F18)</f>
        <v>494</v>
      </c>
      <c r="G19" s="65" t="str">
        <f>average(G12:G18)</f>
        <v>#DIV/0!</v>
      </c>
      <c r="H19" s="62"/>
      <c r="I19" s="66"/>
      <c r="J19" s="64">
        <f t="shared" ref="J19:K19" si="17">sum(J12:J18)</f>
        <v>2249</v>
      </c>
      <c r="K19" s="67">
        <f t="shared" si="17"/>
        <v>259</v>
      </c>
      <c r="L19" s="65" t="str">
        <f>average(L12:L18)</f>
        <v>#DIV/0!</v>
      </c>
      <c r="M19" s="68"/>
      <c r="N19" s="69">
        <f>sum(N12:N18)</f>
        <v>7219060</v>
      </c>
      <c r="O19" s="60">
        <f t="shared" si="18"/>
        <v>16</v>
      </c>
      <c r="P19" s="61" t="s">
        <v>28</v>
      </c>
      <c r="Q19" s="21">
        <f>N157</f>
        <v>5352600</v>
      </c>
      <c r="R19" s="21">
        <f t="shared" si="16"/>
        <v>5352600</v>
      </c>
    </row>
    <row r="20">
      <c r="A20" s="70">
        <v>46148.0</v>
      </c>
      <c r="B20" s="36" t="s">
        <v>13</v>
      </c>
      <c r="C20" s="37">
        <v>186603.0</v>
      </c>
      <c r="D20" s="37">
        <v>186900.0</v>
      </c>
      <c r="E20" s="12">
        <f t="shared" ref="E20:E28" si="19">D20-C20</f>
        <v>297</v>
      </c>
      <c r="F20" s="39">
        <v>39.0</v>
      </c>
      <c r="G20" s="14">
        <f t="shared" ref="G20:G28" si="20">(F20/E20)*100</f>
        <v>13.13131313</v>
      </c>
      <c r="H20" s="37">
        <v>38726.0</v>
      </c>
      <c r="I20" s="37">
        <v>39143.0</v>
      </c>
      <c r="J20" s="41">
        <f t="shared" ref="J20:J28" si="21">I20-H20</f>
        <v>417</v>
      </c>
      <c r="K20" s="41">
        <f t="shared" ref="K20:K28" si="22">F20</f>
        <v>39</v>
      </c>
      <c r="L20" s="71">
        <f t="shared" ref="L20:L28" si="23">(K20/J20)*100</f>
        <v>9.352517986</v>
      </c>
      <c r="M20" s="72">
        <v>28170.0</v>
      </c>
      <c r="N20" s="44">
        <f t="shared" ref="N20:N28" si="24">F20*M20</f>
        <v>1098630</v>
      </c>
      <c r="O20" s="60">
        <f t="shared" si="18"/>
        <v>17</v>
      </c>
      <c r="P20" s="61" t="s">
        <v>29</v>
      </c>
      <c r="Q20" s="21">
        <f>N166</f>
        <v>0</v>
      </c>
      <c r="R20" s="21">
        <f t="shared" si="16"/>
        <v>0</v>
      </c>
    </row>
    <row r="21">
      <c r="A21" s="70">
        <v>46151.0</v>
      </c>
      <c r="B21" s="46" t="s">
        <v>13</v>
      </c>
      <c r="C21" s="37">
        <v>186900.0</v>
      </c>
      <c r="D21" s="37">
        <v>187195.0</v>
      </c>
      <c r="E21" s="12">
        <f t="shared" si="19"/>
        <v>295</v>
      </c>
      <c r="F21" s="39">
        <v>44.0</v>
      </c>
      <c r="G21" s="14">
        <f t="shared" si="20"/>
        <v>14.91525424</v>
      </c>
      <c r="H21" s="37">
        <v>39143.0</v>
      </c>
      <c r="I21" s="37">
        <v>39385.0</v>
      </c>
      <c r="J21" s="37">
        <f t="shared" si="21"/>
        <v>242</v>
      </c>
      <c r="K21" s="37">
        <f t="shared" si="22"/>
        <v>44</v>
      </c>
      <c r="L21" s="48">
        <f t="shared" si="23"/>
        <v>18.18181818</v>
      </c>
      <c r="M21" s="72">
        <v>27490.0</v>
      </c>
      <c r="N21" s="49">
        <f t="shared" si="24"/>
        <v>1209560</v>
      </c>
      <c r="O21" s="60">
        <f t="shared" si="18"/>
        <v>18</v>
      </c>
      <c r="P21" s="61" t="s">
        <v>30</v>
      </c>
      <c r="Q21" s="21">
        <f>N175</f>
        <v>6373210</v>
      </c>
      <c r="R21" s="21">
        <f t="shared" si="16"/>
        <v>6373210</v>
      </c>
    </row>
    <row r="22">
      <c r="A22" s="35">
        <v>46157.0</v>
      </c>
      <c r="B22" s="46" t="s">
        <v>13</v>
      </c>
      <c r="C22" s="37">
        <v>187195.0</v>
      </c>
      <c r="D22" s="37">
        <v>187546.0</v>
      </c>
      <c r="E22" s="12">
        <f t="shared" si="19"/>
        <v>351</v>
      </c>
      <c r="F22" s="47">
        <v>45.0</v>
      </c>
      <c r="G22" s="14">
        <f t="shared" si="20"/>
        <v>12.82051282</v>
      </c>
      <c r="H22" s="37">
        <v>39385.0</v>
      </c>
      <c r="I22" s="37">
        <v>39769.0</v>
      </c>
      <c r="J22" s="37">
        <f t="shared" si="21"/>
        <v>384</v>
      </c>
      <c r="K22" s="37">
        <f t="shared" si="22"/>
        <v>45</v>
      </c>
      <c r="L22" s="48">
        <f t="shared" si="23"/>
        <v>11.71875</v>
      </c>
      <c r="M22" s="72">
        <v>27220.0</v>
      </c>
      <c r="N22" s="49">
        <f t="shared" si="24"/>
        <v>1224900</v>
      </c>
      <c r="O22" s="60">
        <f t="shared" si="18"/>
        <v>19</v>
      </c>
      <c r="P22" s="61" t="s">
        <v>31</v>
      </c>
      <c r="Q22" s="21">
        <f>N184</f>
        <v>8521550</v>
      </c>
      <c r="R22" s="21">
        <f t="shared" si="16"/>
        <v>8521550</v>
      </c>
    </row>
    <row r="23">
      <c r="A23" s="35">
        <v>46161.0</v>
      </c>
      <c r="B23" s="46" t="s">
        <v>13</v>
      </c>
      <c r="C23" s="37">
        <v>187546.0</v>
      </c>
      <c r="D23" s="37">
        <v>187819.0</v>
      </c>
      <c r="E23" s="12">
        <f t="shared" si="19"/>
        <v>273</v>
      </c>
      <c r="F23" s="47">
        <v>38.0</v>
      </c>
      <c r="G23" s="14">
        <f t="shared" si="20"/>
        <v>13.91941392</v>
      </c>
      <c r="H23" s="37">
        <v>39769.0</v>
      </c>
      <c r="I23" s="37">
        <v>40066.0</v>
      </c>
      <c r="J23" s="37">
        <f t="shared" si="21"/>
        <v>297</v>
      </c>
      <c r="K23" s="52">
        <f t="shared" si="22"/>
        <v>38</v>
      </c>
      <c r="L23" s="48">
        <f t="shared" si="23"/>
        <v>12.79461279</v>
      </c>
      <c r="M23" s="50">
        <v>27220.0</v>
      </c>
      <c r="N23" s="49">
        <f t="shared" si="24"/>
        <v>1034360</v>
      </c>
      <c r="O23" s="60">
        <f t="shared" si="18"/>
        <v>20</v>
      </c>
      <c r="P23" s="61" t="s">
        <v>32</v>
      </c>
      <c r="Q23" s="21">
        <f>N193</f>
        <v>8594210</v>
      </c>
      <c r="R23" s="21">
        <f t="shared" si="16"/>
        <v>8594210</v>
      </c>
    </row>
    <row r="24">
      <c r="A24" s="35">
        <v>46163.0</v>
      </c>
      <c r="B24" s="46" t="s">
        <v>13</v>
      </c>
      <c r="C24" s="37">
        <v>187819.0</v>
      </c>
      <c r="D24" s="37">
        <v>188065.0</v>
      </c>
      <c r="E24" s="12">
        <f t="shared" si="19"/>
        <v>246</v>
      </c>
      <c r="F24" s="47">
        <v>35.0</v>
      </c>
      <c r="G24" s="14">
        <f t="shared" si="20"/>
        <v>14.22764228</v>
      </c>
      <c r="H24" s="37">
        <v>40066.0</v>
      </c>
      <c r="I24" s="37">
        <v>40330.0</v>
      </c>
      <c r="J24" s="37">
        <f t="shared" si="21"/>
        <v>264</v>
      </c>
      <c r="K24" s="52">
        <f t="shared" si="22"/>
        <v>35</v>
      </c>
      <c r="L24" s="48">
        <f t="shared" si="23"/>
        <v>13.25757576</v>
      </c>
      <c r="M24" s="50">
        <v>27220.0</v>
      </c>
      <c r="N24" s="49">
        <f t="shared" si="24"/>
        <v>952700</v>
      </c>
      <c r="O24" s="60">
        <f t="shared" si="18"/>
        <v>21</v>
      </c>
      <c r="P24" s="61" t="s">
        <v>33</v>
      </c>
      <c r="Q24" s="21">
        <f>N201</f>
        <v>5986700</v>
      </c>
      <c r="R24" s="21">
        <f t="shared" si="16"/>
        <v>5986700</v>
      </c>
    </row>
    <row r="25">
      <c r="A25" s="35">
        <v>46169.0</v>
      </c>
      <c r="B25" s="46" t="s">
        <v>13</v>
      </c>
      <c r="C25" s="37">
        <v>188065.0</v>
      </c>
      <c r="D25" s="37">
        <v>188412.0</v>
      </c>
      <c r="E25" s="12">
        <f t="shared" si="19"/>
        <v>347</v>
      </c>
      <c r="F25" s="47">
        <v>45.0</v>
      </c>
      <c r="G25" s="14">
        <f t="shared" si="20"/>
        <v>12.96829971</v>
      </c>
      <c r="H25" s="37">
        <v>40330.0</v>
      </c>
      <c r="I25" s="37">
        <v>40772.0</v>
      </c>
      <c r="J25" s="37">
        <f t="shared" si="21"/>
        <v>442</v>
      </c>
      <c r="K25" s="52">
        <f t="shared" si="22"/>
        <v>45</v>
      </c>
      <c r="L25" s="48">
        <f t="shared" si="23"/>
        <v>10.18099548</v>
      </c>
      <c r="M25" s="50">
        <v>28760.0</v>
      </c>
      <c r="N25" s="49">
        <f t="shared" si="24"/>
        <v>1294200</v>
      </c>
      <c r="O25" s="60">
        <f t="shared" si="18"/>
        <v>22</v>
      </c>
      <c r="P25" s="61" t="s">
        <v>34</v>
      </c>
      <c r="Q25" s="21">
        <f>N209</f>
        <v>4727150</v>
      </c>
      <c r="R25" s="21">
        <f t="shared" si="16"/>
        <v>4727150</v>
      </c>
    </row>
    <row r="26">
      <c r="A26" s="35">
        <v>46172.0</v>
      </c>
      <c r="B26" s="46" t="s">
        <v>13</v>
      </c>
      <c r="C26" s="37">
        <v>188412.0</v>
      </c>
      <c r="D26" s="37">
        <v>188668.0</v>
      </c>
      <c r="E26" s="12">
        <f t="shared" si="19"/>
        <v>256</v>
      </c>
      <c r="F26" s="47">
        <v>35.0</v>
      </c>
      <c r="G26" s="14">
        <f t="shared" si="20"/>
        <v>13.671875</v>
      </c>
      <c r="H26" s="37">
        <v>40772.0</v>
      </c>
      <c r="I26" s="37">
        <v>40983.0</v>
      </c>
      <c r="J26" s="37">
        <f t="shared" si="21"/>
        <v>211</v>
      </c>
      <c r="K26" s="52">
        <f t="shared" si="22"/>
        <v>35</v>
      </c>
      <c r="L26" s="48">
        <f t="shared" si="23"/>
        <v>16.58767773</v>
      </c>
      <c r="M26" s="50">
        <v>27650.0</v>
      </c>
      <c r="N26" s="49">
        <f t="shared" si="24"/>
        <v>967750</v>
      </c>
      <c r="O26" s="60">
        <f t="shared" si="18"/>
        <v>23</v>
      </c>
      <c r="P26" s="73" t="s">
        <v>35</v>
      </c>
      <c r="Q26" s="21">
        <f>N136</f>
        <v>7030800</v>
      </c>
      <c r="R26" s="21">
        <f t="shared" si="16"/>
        <v>7030800</v>
      </c>
    </row>
    <row r="27">
      <c r="A27" s="35"/>
      <c r="B27" s="46" t="s">
        <v>13</v>
      </c>
      <c r="C27" s="37"/>
      <c r="D27" s="37"/>
      <c r="E27" s="12">
        <f t="shared" si="19"/>
        <v>0</v>
      </c>
      <c r="F27" s="47"/>
      <c r="G27" s="14" t="str">
        <f t="shared" si="20"/>
        <v>#DIV/0!</v>
      </c>
      <c r="H27" s="37"/>
      <c r="I27" s="37"/>
      <c r="J27" s="37">
        <f t="shared" si="21"/>
        <v>0</v>
      </c>
      <c r="K27" s="52" t="str">
        <f t="shared" si="22"/>
        <v/>
      </c>
      <c r="L27" s="48" t="str">
        <f t="shared" si="23"/>
        <v>#DIV/0!</v>
      </c>
      <c r="M27" s="50"/>
      <c r="N27" s="49">
        <f t="shared" si="24"/>
        <v>0</v>
      </c>
      <c r="O27" s="60">
        <f t="shared" si="18"/>
        <v>24</v>
      </c>
      <c r="P27" s="61" t="s">
        <v>36</v>
      </c>
      <c r="Q27" s="21">
        <f>N217</f>
        <v>5795870</v>
      </c>
      <c r="R27" s="21">
        <f t="shared" si="16"/>
        <v>5795870</v>
      </c>
    </row>
    <row r="28">
      <c r="A28" s="74"/>
      <c r="B28" s="46" t="s">
        <v>13</v>
      </c>
      <c r="C28" s="37"/>
      <c r="D28" s="75"/>
      <c r="E28" s="12">
        <f t="shared" si="19"/>
        <v>0</v>
      </c>
      <c r="F28" s="47"/>
      <c r="G28" s="56" t="str">
        <f t="shared" si="20"/>
        <v>#DIV/0!</v>
      </c>
      <c r="H28" s="40"/>
      <c r="I28" s="76"/>
      <c r="J28" s="55">
        <f t="shared" si="21"/>
        <v>0</v>
      </c>
      <c r="K28" s="52" t="str">
        <f t="shared" si="22"/>
        <v/>
      </c>
      <c r="L28" s="77" t="str">
        <f t="shared" si="23"/>
        <v>#DIV/0!</v>
      </c>
      <c r="M28" s="78"/>
      <c r="N28" s="59">
        <f t="shared" si="24"/>
        <v>0</v>
      </c>
      <c r="O28" s="60">
        <f>O26+1</f>
        <v>24</v>
      </c>
      <c r="P28" s="60"/>
      <c r="Q28" s="60"/>
      <c r="R28" s="60" t="str">
        <f t="shared" si="16"/>
        <v/>
      </c>
    </row>
    <row r="29">
      <c r="A29" s="62"/>
      <c r="B29" s="63"/>
      <c r="C29" s="62"/>
      <c r="D29" s="64" t="s">
        <v>19</v>
      </c>
      <c r="E29" s="64">
        <f>sum(E20:E26)</f>
        <v>2065</v>
      </c>
      <c r="F29" s="64">
        <f>sum(F20:F28)</f>
        <v>281</v>
      </c>
      <c r="G29" s="65">
        <f>average(G20:G26)</f>
        <v>13.66490159</v>
      </c>
      <c r="H29" s="62"/>
      <c r="I29" s="66"/>
      <c r="J29" s="64">
        <f t="shared" ref="J29:K29" si="25">sum(J20:J26)</f>
        <v>2257</v>
      </c>
      <c r="K29" s="64">
        <f t="shared" si="25"/>
        <v>281</v>
      </c>
      <c r="L29" s="65">
        <f>average(L20:L26)</f>
        <v>13.15342113</v>
      </c>
      <c r="M29" s="68"/>
      <c r="N29" s="69">
        <f>sum(N20:N28)</f>
        <v>7782100</v>
      </c>
      <c r="O29" s="60"/>
      <c r="P29" s="79" t="s">
        <v>19</v>
      </c>
      <c r="Q29" s="21">
        <f>SUM(Q4:Q27)</f>
        <v>167325838.5</v>
      </c>
      <c r="R29" s="21"/>
    </row>
    <row r="30">
      <c r="A30" s="70">
        <v>46148.0</v>
      </c>
      <c r="B30" s="36" t="s">
        <v>14</v>
      </c>
      <c r="C30" s="37">
        <v>189686.0</v>
      </c>
      <c r="D30" s="55">
        <v>189951.0</v>
      </c>
      <c r="E30" s="38">
        <f t="shared" ref="E30:E37" si="26">D30-C30</f>
        <v>265</v>
      </c>
      <c r="F30" s="39">
        <v>30.0</v>
      </c>
      <c r="G30" s="14">
        <f t="shared" ref="G30:G37" si="27">(F30/E30)*100</f>
        <v>11.32075472</v>
      </c>
      <c r="H30" s="40">
        <v>30592.0</v>
      </c>
      <c r="I30" s="57">
        <v>30880.0</v>
      </c>
      <c r="J30" s="41">
        <f t="shared" ref="J30:J37" si="28">I30-H30</f>
        <v>288</v>
      </c>
      <c r="K30" s="52">
        <f t="shared" ref="K30:K37" si="29">F30</f>
        <v>30</v>
      </c>
      <c r="L30" s="71">
        <f t="shared" ref="L30:L37" si="30">(K30/J30)*100</f>
        <v>10.41666667</v>
      </c>
      <c r="M30" s="72">
        <v>28170.0</v>
      </c>
      <c r="N30" s="44">
        <f t="shared" ref="N30:N37" si="31">F30*M30</f>
        <v>845100</v>
      </c>
      <c r="R30" s="80" t="str">
        <f t="shared" ref="R30:R44" si="32">Q30</f>
        <v/>
      </c>
    </row>
    <row r="31">
      <c r="A31" s="35">
        <v>46150.0</v>
      </c>
      <c r="B31" s="46" t="s">
        <v>14</v>
      </c>
      <c r="C31" s="55">
        <v>189951.0</v>
      </c>
      <c r="D31" s="37">
        <v>190298.0</v>
      </c>
      <c r="E31" s="12">
        <f t="shared" si="26"/>
        <v>347</v>
      </c>
      <c r="F31" s="47">
        <v>50.0</v>
      </c>
      <c r="G31" s="14">
        <f t="shared" si="27"/>
        <v>14.4092219</v>
      </c>
      <c r="H31" s="57">
        <v>30880.0</v>
      </c>
      <c r="I31" s="40">
        <v>31273.0</v>
      </c>
      <c r="J31" s="37">
        <f t="shared" si="28"/>
        <v>393</v>
      </c>
      <c r="K31" s="52">
        <f t="shared" si="29"/>
        <v>50</v>
      </c>
      <c r="L31" s="48">
        <f t="shared" si="30"/>
        <v>12.72264631</v>
      </c>
      <c r="M31" s="72">
        <v>27490.0</v>
      </c>
      <c r="N31" s="49">
        <f t="shared" si="31"/>
        <v>1374500</v>
      </c>
      <c r="R31" s="80" t="str">
        <f t="shared" si="32"/>
        <v/>
      </c>
    </row>
    <row r="32">
      <c r="A32" s="35">
        <v>46156.0</v>
      </c>
      <c r="B32" s="36" t="s">
        <v>14</v>
      </c>
      <c r="C32" s="37">
        <v>190298.0</v>
      </c>
      <c r="D32" s="37">
        <v>190677.0</v>
      </c>
      <c r="E32" s="12">
        <f t="shared" si="26"/>
        <v>379</v>
      </c>
      <c r="F32" s="47">
        <v>40.0</v>
      </c>
      <c r="G32" s="14">
        <f t="shared" si="27"/>
        <v>10.55408971</v>
      </c>
      <c r="H32" s="40">
        <v>31273.0</v>
      </c>
      <c r="I32" s="40">
        <v>31696.0</v>
      </c>
      <c r="J32" s="37">
        <f t="shared" si="28"/>
        <v>423</v>
      </c>
      <c r="K32" s="52">
        <f t="shared" si="29"/>
        <v>40</v>
      </c>
      <c r="L32" s="48">
        <f t="shared" si="30"/>
        <v>9.456264775</v>
      </c>
      <c r="M32" s="72">
        <v>27220.0</v>
      </c>
      <c r="N32" s="49">
        <f t="shared" si="31"/>
        <v>1088800</v>
      </c>
      <c r="R32" s="80" t="str">
        <f t="shared" si="32"/>
        <v/>
      </c>
    </row>
    <row r="33">
      <c r="A33" s="35">
        <v>46162.0</v>
      </c>
      <c r="B33" s="46" t="s">
        <v>14</v>
      </c>
      <c r="C33" s="37">
        <v>190677.0</v>
      </c>
      <c r="D33" s="37">
        <v>190973.0</v>
      </c>
      <c r="E33" s="12">
        <f t="shared" si="26"/>
        <v>296</v>
      </c>
      <c r="F33" s="47">
        <v>40.0</v>
      </c>
      <c r="G33" s="14">
        <f t="shared" si="27"/>
        <v>13.51351351</v>
      </c>
      <c r="H33" s="40">
        <v>31696.0</v>
      </c>
      <c r="I33" s="40">
        <v>32022.0</v>
      </c>
      <c r="J33" s="37">
        <f t="shared" si="28"/>
        <v>326</v>
      </c>
      <c r="K33" s="52">
        <f t="shared" si="29"/>
        <v>40</v>
      </c>
      <c r="L33" s="48">
        <f t="shared" si="30"/>
        <v>12.26993865</v>
      </c>
      <c r="M33" s="72">
        <v>27220.0</v>
      </c>
      <c r="N33" s="49">
        <f t="shared" si="31"/>
        <v>1088800</v>
      </c>
      <c r="R33" s="80" t="str">
        <f t="shared" si="32"/>
        <v/>
      </c>
    </row>
    <row r="34">
      <c r="A34" s="35">
        <v>46167.0</v>
      </c>
      <c r="B34" s="46" t="s">
        <v>14</v>
      </c>
      <c r="C34" s="37">
        <v>190973.0</v>
      </c>
      <c r="D34" s="37">
        <v>191254.0</v>
      </c>
      <c r="E34" s="12">
        <f t="shared" si="26"/>
        <v>281</v>
      </c>
      <c r="F34" s="47">
        <v>40.0</v>
      </c>
      <c r="G34" s="14">
        <f t="shared" si="27"/>
        <v>14.23487544</v>
      </c>
      <c r="H34" s="40">
        <v>32022.0</v>
      </c>
      <c r="I34" s="40">
        <v>32335.0</v>
      </c>
      <c r="J34" s="37">
        <f t="shared" si="28"/>
        <v>313</v>
      </c>
      <c r="K34" s="52">
        <f t="shared" si="29"/>
        <v>40</v>
      </c>
      <c r="L34" s="48">
        <f t="shared" si="30"/>
        <v>12.77955272</v>
      </c>
      <c r="M34" s="72">
        <v>28760.0</v>
      </c>
      <c r="N34" s="49">
        <f t="shared" si="31"/>
        <v>1150400</v>
      </c>
      <c r="R34" s="80" t="str">
        <f t="shared" si="32"/>
        <v/>
      </c>
    </row>
    <row r="35">
      <c r="A35" s="35">
        <v>46172.0</v>
      </c>
      <c r="B35" s="46" t="s">
        <v>14</v>
      </c>
      <c r="C35" s="37">
        <v>191254.0</v>
      </c>
      <c r="D35" s="37">
        <v>191607.0</v>
      </c>
      <c r="E35" s="12">
        <f t="shared" si="26"/>
        <v>353</v>
      </c>
      <c r="F35" s="47">
        <v>40.0</v>
      </c>
      <c r="G35" s="14">
        <f t="shared" si="27"/>
        <v>11.33144476</v>
      </c>
      <c r="H35" s="40">
        <v>32335.0</v>
      </c>
      <c r="I35" s="40">
        <v>32732.0</v>
      </c>
      <c r="J35" s="37">
        <f t="shared" si="28"/>
        <v>397</v>
      </c>
      <c r="K35" s="52">
        <f t="shared" si="29"/>
        <v>40</v>
      </c>
      <c r="L35" s="48">
        <f t="shared" si="30"/>
        <v>10.07556675</v>
      </c>
      <c r="M35" s="50">
        <v>27650.0</v>
      </c>
      <c r="N35" s="49">
        <f t="shared" si="31"/>
        <v>1106000</v>
      </c>
      <c r="R35" s="80" t="str">
        <f t="shared" si="32"/>
        <v/>
      </c>
    </row>
    <row r="36">
      <c r="A36" s="35"/>
      <c r="B36" s="46" t="s">
        <v>14</v>
      </c>
      <c r="C36" s="37"/>
      <c r="D36" s="37"/>
      <c r="E36" s="12">
        <f t="shared" si="26"/>
        <v>0</v>
      </c>
      <c r="F36" s="47"/>
      <c r="G36" s="14" t="str">
        <f t="shared" si="27"/>
        <v>#DIV/0!</v>
      </c>
      <c r="H36" s="40"/>
      <c r="I36" s="40"/>
      <c r="J36" s="37">
        <f t="shared" si="28"/>
        <v>0</v>
      </c>
      <c r="K36" s="52" t="str">
        <f t="shared" si="29"/>
        <v/>
      </c>
      <c r="L36" s="48" t="str">
        <f t="shared" si="30"/>
        <v>#DIV/0!</v>
      </c>
      <c r="M36" s="50"/>
      <c r="N36" s="49">
        <f t="shared" si="31"/>
        <v>0</v>
      </c>
      <c r="R36" s="80" t="str">
        <f t="shared" si="32"/>
        <v/>
      </c>
    </row>
    <row r="37">
      <c r="A37" s="35"/>
      <c r="B37" s="46" t="s">
        <v>14</v>
      </c>
      <c r="C37" s="37"/>
      <c r="D37" s="55"/>
      <c r="E37" s="12">
        <f t="shared" si="26"/>
        <v>0</v>
      </c>
      <c r="F37" s="47"/>
      <c r="G37" s="56" t="str">
        <f t="shared" si="27"/>
        <v>#DIV/0!</v>
      </c>
      <c r="H37" s="40"/>
      <c r="I37" s="57"/>
      <c r="J37" s="55">
        <f t="shared" si="28"/>
        <v>0</v>
      </c>
      <c r="K37" s="52" t="str">
        <f t="shared" si="29"/>
        <v/>
      </c>
      <c r="L37" s="77" t="str">
        <f t="shared" si="30"/>
        <v>#DIV/0!</v>
      </c>
      <c r="M37" s="50"/>
      <c r="N37" s="59">
        <f t="shared" si="31"/>
        <v>0</v>
      </c>
      <c r="R37" s="80" t="str">
        <f t="shared" si="32"/>
        <v/>
      </c>
    </row>
    <row r="38">
      <c r="A38" s="62"/>
      <c r="B38" s="63"/>
      <c r="C38" s="62"/>
      <c r="D38" s="64" t="s">
        <v>19</v>
      </c>
      <c r="E38" s="64">
        <f>sum(E30:E37)</f>
        <v>1921</v>
      </c>
      <c r="F38" s="39"/>
      <c r="G38" s="65" t="str">
        <f>average(G30:G37)</f>
        <v>#DIV/0!</v>
      </c>
      <c r="H38" s="62"/>
      <c r="I38" s="66"/>
      <c r="J38" s="64">
        <f t="shared" ref="J38:K38" si="33">sum(J30:J37)</f>
        <v>2140</v>
      </c>
      <c r="K38" s="64">
        <f t="shared" si="33"/>
        <v>240</v>
      </c>
      <c r="L38" s="65" t="str">
        <f>average(L30:L37)</f>
        <v>#DIV/0!</v>
      </c>
      <c r="M38" s="68"/>
      <c r="N38" s="69">
        <f>sum(N30:N37)</f>
        <v>6653600</v>
      </c>
      <c r="R38" s="80" t="str">
        <f t="shared" si="32"/>
        <v/>
      </c>
    </row>
    <row r="39">
      <c r="A39" s="70">
        <v>46150.0</v>
      </c>
      <c r="B39" s="36" t="s">
        <v>15</v>
      </c>
      <c r="C39" s="37">
        <v>178214.0</v>
      </c>
      <c r="D39" s="37">
        <v>178566.0</v>
      </c>
      <c r="E39" s="38">
        <f t="shared" ref="E39:E48" si="34">D39-C39</f>
        <v>352</v>
      </c>
      <c r="F39" s="39">
        <v>43.0</v>
      </c>
      <c r="G39" s="14">
        <f t="shared" ref="G39:G48" si="35">(F39/E39)*100</f>
        <v>12.21590909</v>
      </c>
      <c r="H39" s="40">
        <v>37292.0</v>
      </c>
      <c r="I39" s="40">
        <v>37748.0</v>
      </c>
      <c r="J39" s="41">
        <f t="shared" ref="J39:J48" si="36">I39-H39</f>
        <v>456</v>
      </c>
      <c r="K39" s="81">
        <f t="shared" ref="K39:K48" si="37">F39</f>
        <v>43</v>
      </c>
      <c r="L39" s="71">
        <f t="shared" ref="L39:L48" si="38">(K39/J39)*100</f>
        <v>9.429824561</v>
      </c>
      <c r="M39" s="55">
        <v>27490.0</v>
      </c>
      <c r="N39" s="44">
        <f t="shared" ref="N39:N48" si="39">F39*M39</f>
        <v>1182070</v>
      </c>
      <c r="R39" s="80" t="str">
        <f t="shared" si="32"/>
        <v/>
      </c>
    </row>
    <row r="40">
      <c r="A40" s="35">
        <v>46155.0</v>
      </c>
      <c r="B40" s="46" t="s">
        <v>15</v>
      </c>
      <c r="C40" s="37">
        <v>178566.0</v>
      </c>
      <c r="D40" s="37">
        <v>178872.0</v>
      </c>
      <c r="E40" s="12">
        <f t="shared" si="34"/>
        <v>306</v>
      </c>
      <c r="F40" s="47">
        <v>53.0</v>
      </c>
      <c r="G40" s="14">
        <f t="shared" si="35"/>
        <v>17.32026144</v>
      </c>
      <c r="H40" s="40">
        <v>37748.0</v>
      </c>
      <c r="I40" s="40">
        <v>38064.0</v>
      </c>
      <c r="J40" s="37">
        <f t="shared" si="36"/>
        <v>316</v>
      </c>
      <c r="K40" s="52">
        <f t="shared" si="37"/>
        <v>53</v>
      </c>
      <c r="L40" s="48">
        <f t="shared" si="38"/>
        <v>16.7721519</v>
      </c>
      <c r="M40" s="55">
        <v>27490.0</v>
      </c>
      <c r="N40" s="49">
        <f t="shared" si="39"/>
        <v>1456970</v>
      </c>
      <c r="P40" s="82"/>
      <c r="R40" s="80" t="str">
        <f t="shared" si="32"/>
        <v/>
      </c>
    </row>
    <row r="41">
      <c r="A41" s="35">
        <v>46161.0</v>
      </c>
      <c r="B41" s="46" t="s">
        <v>15</v>
      </c>
      <c r="C41" s="37">
        <v>178872.0</v>
      </c>
      <c r="D41" s="37">
        <v>179412.0</v>
      </c>
      <c r="E41" s="12">
        <f t="shared" si="34"/>
        <v>540</v>
      </c>
      <c r="F41" s="47">
        <v>54.0</v>
      </c>
      <c r="G41" s="14">
        <f t="shared" si="35"/>
        <v>10</v>
      </c>
      <c r="H41" s="40">
        <v>38064.0</v>
      </c>
      <c r="I41" s="37">
        <v>38503.0</v>
      </c>
      <c r="J41" s="37">
        <f t="shared" si="36"/>
        <v>439</v>
      </c>
      <c r="K41" s="37">
        <f t="shared" si="37"/>
        <v>54</v>
      </c>
      <c r="L41" s="48">
        <f t="shared" si="38"/>
        <v>12.30068337</v>
      </c>
      <c r="M41" s="55">
        <v>27220.0</v>
      </c>
      <c r="N41" s="49">
        <f t="shared" si="39"/>
        <v>1469880</v>
      </c>
      <c r="R41" s="80" t="str">
        <f t="shared" si="32"/>
        <v/>
      </c>
    </row>
    <row r="42">
      <c r="A42" s="35">
        <v>46163.0</v>
      </c>
      <c r="B42" s="46" t="s">
        <v>15</v>
      </c>
      <c r="C42" s="37">
        <v>179412.0</v>
      </c>
      <c r="D42" s="37">
        <v>179731.0</v>
      </c>
      <c r="E42" s="12">
        <f t="shared" si="34"/>
        <v>319</v>
      </c>
      <c r="F42" s="47">
        <v>39.0</v>
      </c>
      <c r="G42" s="14">
        <f t="shared" si="35"/>
        <v>12.22570533</v>
      </c>
      <c r="H42" s="37">
        <v>38503.0</v>
      </c>
      <c r="I42" s="40">
        <v>38831.0</v>
      </c>
      <c r="J42" s="37">
        <f t="shared" si="36"/>
        <v>328</v>
      </c>
      <c r="K42" s="52">
        <f t="shared" si="37"/>
        <v>39</v>
      </c>
      <c r="L42" s="48">
        <f t="shared" si="38"/>
        <v>11.8902439</v>
      </c>
      <c r="M42" s="55">
        <v>28760.0</v>
      </c>
      <c r="N42" s="49">
        <f t="shared" si="39"/>
        <v>1121640</v>
      </c>
      <c r="R42" s="80" t="str">
        <f t="shared" si="32"/>
        <v/>
      </c>
    </row>
    <row r="43">
      <c r="A43" s="35">
        <v>46169.0</v>
      </c>
      <c r="B43" s="46" t="s">
        <v>15</v>
      </c>
      <c r="C43" s="37">
        <v>179731.0</v>
      </c>
      <c r="D43" s="37">
        <v>180142.0</v>
      </c>
      <c r="E43" s="12">
        <f t="shared" si="34"/>
        <v>411</v>
      </c>
      <c r="F43" s="47">
        <v>36.0</v>
      </c>
      <c r="G43" s="14">
        <f t="shared" si="35"/>
        <v>8.759124088</v>
      </c>
      <c r="H43" s="40">
        <v>38831.0</v>
      </c>
      <c r="I43" s="40">
        <v>39296.0</v>
      </c>
      <c r="J43" s="37">
        <f t="shared" si="36"/>
        <v>465</v>
      </c>
      <c r="K43" s="52">
        <f t="shared" si="37"/>
        <v>36</v>
      </c>
      <c r="L43" s="48">
        <f t="shared" si="38"/>
        <v>7.741935484</v>
      </c>
      <c r="M43" s="55">
        <v>28760.0</v>
      </c>
      <c r="N43" s="49">
        <f t="shared" si="39"/>
        <v>1035360</v>
      </c>
      <c r="R43" s="80" t="str">
        <f t="shared" si="32"/>
        <v/>
      </c>
    </row>
    <row r="44">
      <c r="A44" s="35">
        <v>46172.0</v>
      </c>
      <c r="B44" s="46" t="s">
        <v>15</v>
      </c>
      <c r="C44" s="37">
        <v>180142.0</v>
      </c>
      <c r="D44" s="37">
        <v>180475.0</v>
      </c>
      <c r="E44" s="12">
        <f t="shared" si="34"/>
        <v>333</v>
      </c>
      <c r="F44" s="47">
        <v>45.0</v>
      </c>
      <c r="G44" s="14">
        <f t="shared" si="35"/>
        <v>13.51351351</v>
      </c>
      <c r="H44" s="40">
        <v>39296.0</v>
      </c>
      <c r="I44" s="40">
        <v>39584.0</v>
      </c>
      <c r="J44" s="37">
        <f t="shared" si="36"/>
        <v>288</v>
      </c>
      <c r="K44" s="52">
        <f t="shared" si="37"/>
        <v>45</v>
      </c>
      <c r="L44" s="48">
        <f t="shared" si="38"/>
        <v>15.625</v>
      </c>
      <c r="M44" s="50">
        <v>27650.0</v>
      </c>
      <c r="N44" s="49">
        <f t="shared" si="39"/>
        <v>1244250</v>
      </c>
      <c r="R44" s="80" t="str">
        <f t="shared" si="32"/>
        <v/>
      </c>
    </row>
    <row r="45">
      <c r="A45" s="35"/>
      <c r="B45" s="46" t="s">
        <v>15</v>
      </c>
      <c r="C45" s="37"/>
      <c r="D45" s="37"/>
      <c r="E45" s="12">
        <f t="shared" si="34"/>
        <v>0</v>
      </c>
      <c r="F45" s="47"/>
      <c r="G45" s="14" t="str">
        <f t="shared" si="35"/>
        <v>#DIV/0!</v>
      </c>
      <c r="H45" s="40"/>
      <c r="I45" s="40"/>
      <c r="J45" s="37">
        <f t="shared" si="36"/>
        <v>0</v>
      </c>
      <c r="K45" s="52" t="str">
        <f t="shared" si="37"/>
        <v/>
      </c>
      <c r="L45" s="48" t="str">
        <f t="shared" si="38"/>
        <v>#DIV/0!</v>
      </c>
      <c r="M45" s="50"/>
      <c r="N45" s="49">
        <f t="shared" si="39"/>
        <v>0</v>
      </c>
    </row>
    <row r="46">
      <c r="A46" s="35"/>
      <c r="B46" s="46" t="s">
        <v>15</v>
      </c>
      <c r="C46" s="37"/>
      <c r="D46" s="37"/>
      <c r="E46" s="12">
        <f t="shared" si="34"/>
        <v>0</v>
      </c>
      <c r="F46" s="47"/>
      <c r="G46" s="14" t="str">
        <f t="shared" si="35"/>
        <v>#DIV/0!</v>
      </c>
      <c r="H46" s="40"/>
      <c r="I46" s="40"/>
      <c r="J46" s="37">
        <f t="shared" si="36"/>
        <v>0</v>
      </c>
      <c r="K46" s="52" t="str">
        <f t="shared" si="37"/>
        <v/>
      </c>
      <c r="L46" s="48" t="str">
        <f t="shared" si="38"/>
        <v>#DIV/0!</v>
      </c>
      <c r="M46" s="50"/>
      <c r="N46" s="49">
        <f t="shared" si="39"/>
        <v>0</v>
      </c>
    </row>
    <row r="47">
      <c r="A47" s="35"/>
      <c r="B47" s="83" t="s">
        <v>15</v>
      </c>
      <c r="C47" s="37"/>
      <c r="D47" s="55"/>
      <c r="E47" s="25">
        <f t="shared" si="34"/>
        <v>0</v>
      </c>
      <c r="F47" s="47"/>
      <c r="G47" s="56" t="str">
        <f t="shared" si="35"/>
        <v>#DIV/0!</v>
      </c>
      <c r="H47" s="40"/>
      <c r="I47" s="57"/>
      <c r="J47" s="55">
        <f t="shared" si="36"/>
        <v>0</v>
      </c>
      <c r="K47" s="52" t="str">
        <f t="shared" si="37"/>
        <v/>
      </c>
      <c r="L47" s="77" t="str">
        <f t="shared" si="38"/>
        <v>#DIV/0!</v>
      </c>
      <c r="M47" s="50"/>
      <c r="N47" s="59">
        <f t="shared" si="39"/>
        <v>0</v>
      </c>
      <c r="R47" s="80" t="str">
        <f t="shared" ref="R47:R57" si="40">Q47</f>
        <v/>
      </c>
    </row>
    <row r="48">
      <c r="A48" s="35"/>
      <c r="B48" s="83" t="s">
        <v>15</v>
      </c>
      <c r="C48" s="55"/>
      <c r="D48" s="55"/>
      <c r="E48" s="25">
        <f t="shared" si="34"/>
        <v>0</v>
      </c>
      <c r="F48" s="47"/>
      <c r="G48" s="56" t="str">
        <f t="shared" si="35"/>
        <v>#DIV/0!</v>
      </c>
      <c r="H48" s="57"/>
      <c r="I48" s="57"/>
      <c r="J48" s="55">
        <f t="shared" si="36"/>
        <v>0</v>
      </c>
      <c r="K48" s="52" t="str">
        <f t="shared" si="37"/>
        <v/>
      </c>
      <c r="L48" s="77" t="str">
        <f t="shared" si="38"/>
        <v>#DIV/0!</v>
      </c>
      <c r="M48" s="50"/>
      <c r="N48" s="59">
        <f t="shared" si="39"/>
        <v>0</v>
      </c>
      <c r="R48" s="80" t="str">
        <f t="shared" si="40"/>
        <v/>
      </c>
    </row>
    <row r="49">
      <c r="A49" s="62"/>
      <c r="B49" s="63"/>
      <c r="C49" s="62"/>
      <c r="D49" s="64" t="s">
        <v>19</v>
      </c>
      <c r="E49" s="64">
        <f>sum(E39:E47)</f>
        <v>2261</v>
      </c>
      <c r="F49" s="64">
        <f>sum(F39:F48)</f>
        <v>270</v>
      </c>
      <c r="G49" s="65" t="str">
        <f>average(G39:G47)</f>
        <v>#DIV/0!</v>
      </c>
      <c r="H49" s="62"/>
      <c r="I49" s="66"/>
      <c r="J49" s="64">
        <f t="shared" ref="J49:K49" si="41">sum(J39:J47)</f>
        <v>2292</v>
      </c>
      <c r="K49" s="64">
        <f t="shared" si="41"/>
        <v>270</v>
      </c>
      <c r="L49" s="65" t="str">
        <f>average(L39:L47)</f>
        <v>#DIV/0!</v>
      </c>
      <c r="M49" s="68"/>
      <c r="N49" s="69">
        <f>sum(N39:N48)</f>
        <v>7510170</v>
      </c>
      <c r="R49" s="80" t="str">
        <f t="shared" si="40"/>
        <v/>
      </c>
    </row>
    <row r="50">
      <c r="A50" s="70">
        <v>46149.0</v>
      </c>
      <c r="B50" s="36" t="s">
        <v>16</v>
      </c>
      <c r="C50" s="37">
        <v>155596.0</v>
      </c>
      <c r="D50" s="37">
        <v>156619.0</v>
      </c>
      <c r="E50" s="38">
        <f t="shared" ref="E50:E60" si="42">D50-C50</f>
        <v>1023</v>
      </c>
      <c r="F50" s="39">
        <v>55.0</v>
      </c>
      <c r="G50" s="14">
        <f t="shared" ref="G50:G60" si="43">(F50/E50)*100</f>
        <v>5.376344086</v>
      </c>
      <c r="H50" s="40">
        <v>41052.0</v>
      </c>
      <c r="I50" s="40">
        <v>42165.0</v>
      </c>
      <c r="J50" s="41">
        <f t="shared" ref="J50:J60" si="44">I50-H50</f>
        <v>1113</v>
      </c>
      <c r="K50" s="81">
        <f t="shared" ref="K50:K60" si="45">F50</f>
        <v>55</v>
      </c>
      <c r="L50" s="71">
        <f t="shared" ref="L50:L60" si="46">(K50/J50)*100</f>
        <v>4.941599281</v>
      </c>
      <c r="M50" s="72">
        <v>27490.0</v>
      </c>
      <c r="N50" s="44">
        <f t="shared" ref="N50:N60" si="47">F50*M50</f>
        <v>1511950</v>
      </c>
      <c r="R50" s="80" t="str">
        <f t="shared" si="40"/>
        <v/>
      </c>
    </row>
    <row r="51">
      <c r="A51" s="70">
        <v>46154.0</v>
      </c>
      <c r="B51" s="46" t="s">
        <v>16</v>
      </c>
      <c r="C51" s="37">
        <v>156619.0</v>
      </c>
      <c r="D51" s="37">
        <v>156907.0</v>
      </c>
      <c r="E51" s="12">
        <f t="shared" si="42"/>
        <v>288</v>
      </c>
      <c r="F51" s="47">
        <v>40.0</v>
      </c>
      <c r="G51" s="14">
        <f t="shared" si="43"/>
        <v>13.88888889</v>
      </c>
      <c r="H51" s="40">
        <v>42165.0</v>
      </c>
      <c r="I51" s="40">
        <v>42506.0</v>
      </c>
      <c r="J51" s="37">
        <f t="shared" si="44"/>
        <v>341</v>
      </c>
      <c r="K51" s="52">
        <f t="shared" si="45"/>
        <v>40</v>
      </c>
      <c r="L51" s="48">
        <f t="shared" si="46"/>
        <v>11.73020528</v>
      </c>
      <c r="M51" s="50">
        <v>27490.0</v>
      </c>
      <c r="N51" s="49">
        <f t="shared" si="47"/>
        <v>1099600</v>
      </c>
      <c r="R51" s="80" t="str">
        <f t="shared" si="40"/>
        <v/>
      </c>
    </row>
    <row r="52">
      <c r="A52" s="84">
        <v>46161.0</v>
      </c>
      <c r="B52" s="46" t="s">
        <v>16</v>
      </c>
      <c r="C52" s="37">
        <v>156907.0</v>
      </c>
      <c r="D52" s="37">
        <v>157258.0</v>
      </c>
      <c r="E52" s="12">
        <f t="shared" si="42"/>
        <v>351</v>
      </c>
      <c r="F52" s="47">
        <v>58.0</v>
      </c>
      <c r="G52" s="14">
        <f t="shared" si="43"/>
        <v>16.52421652</v>
      </c>
      <c r="H52" s="40">
        <v>42506.0</v>
      </c>
      <c r="I52" s="40">
        <v>42869.0</v>
      </c>
      <c r="J52" s="37">
        <f t="shared" si="44"/>
        <v>363</v>
      </c>
      <c r="K52" s="52">
        <f t="shared" si="45"/>
        <v>58</v>
      </c>
      <c r="L52" s="48">
        <f t="shared" si="46"/>
        <v>15.97796143</v>
      </c>
      <c r="M52" s="50">
        <v>27220.0</v>
      </c>
      <c r="N52" s="49">
        <f t="shared" si="47"/>
        <v>1578760</v>
      </c>
      <c r="R52" s="80" t="str">
        <f t="shared" si="40"/>
        <v/>
      </c>
    </row>
    <row r="53">
      <c r="A53" s="84">
        <v>46168.0</v>
      </c>
      <c r="B53" s="46" t="s">
        <v>16</v>
      </c>
      <c r="C53" s="37">
        <v>157258.0</v>
      </c>
      <c r="D53" s="37"/>
      <c r="E53" s="12">
        <f t="shared" si="42"/>
        <v>-157258</v>
      </c>
      <c r="F53" s="47">
        <v>3.477</v>
      </c>
      <c r="G53" s="14">
        <f t="shared" si="43"/>
        <v>-0.002211016292</v>
      </c>
      <c r="H53" s="40">
        <v>42869.0</v>
      </c>
      <c r="I53" s="40"/>
      <c r="J53" s="37">
        <f t="shared" si="44"/>
        <v>-42869</v>
      </c>
      <c r="K53" s="52">
        <f t="shared" si="45"/>
        <v>3.477</v>
      </c>
      <c r="L53" s="48">
        <f t="shared" si="46"/>
        <v>-0.008110756024</v>
      </c>
      <c r="M53" s="50">
        <v>28760.0</v>
      </c>
      <c r="N53" s="49">
        <f t="shared" si="47"/>
        <v>99998.52</v>
      </c>
      <c r="R53" s="80" t="str">
        <f t="shared" si="40"/>
        <v/>
      </c>
    </row>
    <row r="54">
      <c r="A54" s="84">
        <v>46168.0</v>
      </c>
      <c r="B54" s="46" t="s">
        <v>16</v>
      </c>
      <c r="C54" s="37">
        <v>157258.0</v>
      </c>
      <c r="D54" s="37">
        <v>157683.0</v>
      </c>
      <c r="E54" s="12">
        <f t="shared" si="42"/>
        <v>425</v>
      </c>
      <c r="F54" s="47">
        <v>58.0</v>
      </c>
      <c r="G54" s="14">
        <f t="shared" si="43"/>
        <v>13.64705882</v>
      </c>
      <c r="H54" s="40">
        <v>42869.0</v>
      </c>
      <c r="I54" s="40">
        <v>43339.0</v>
      </c>
      <c r="J54" s="37">
        <f t="shared" si="44"/>
        <v>470</v>
      </c>
      <c r="K54" s="52">
        <f t="shared" si="45"/>
        <v>58</v>
      </c>
      <c r="L54" s="48">
        <f t="shared" si="46"/>
        <v>12.34042553</v>
      </c>
      <c r="M54" s="50">
        <v>28760.0</v>
      </c>
      <c r="N54" s="49">
        <f t="shared" si="47"/>
        <v>1668080</v>
      </c>
      <c r="P54" s="82"/>
      <c r="R54" s="80" t="str">
        <f t="shared" si="40"/>
        <v/>
      </c>
    </row>
    <row r="55">
      <c r="A55" s="84">
        <v>46172.0</v>
      </c>
      <c r="B55" s="46" t="s">
        <v>16</v>
      </c>
      <c r="C55" s="37">
        <v>157683.0</v>
      </c>
      <c r="D55" s="37">
        <v>158072.0</v>
      </c>
      <c r="E55" s="12">
        <f t="shared" si="42"/>
        <v>389</v>
      </c>
      <c r="F55" s="47">
        <v>58.0</v>
      </c>
      <c r="G55" s="14">
        <f t="shared" si="43"/>
        <v>14.91002571</v>
      </c>
      <c r="H55" s="40">
        <v>43339.0</v>
      </c>
      <c r="I55" s="40">
        <v>43816.0</v>
      </c>
      <c r="J55" s="37">
        <f t="shared" si="44"/>
        <v>477</v>
      </c>
      <c r="K55" s="52">
        <f t="shared" si="45"/>
        <v>58</v>
      </c>
      <c r="L55" s="48">
        <f t="shared" si="46"/>
        <v>12.15932914</v>
      </c>
      <c r="M55" s="50">
        <v>27650.0</v>
      </c>
      <c r="N55" s="49">
        <f t="shared" si="47"/>
        <v>1603700</v>
      </c>
      <c r="R55" s="80" t="str">
        <f t="shared" si="40"/>
        <v/>
      </c>
    </row>
    <row r="56">
      <c r="A56" s="84"/>
      <c r="B56" s="46" t="s">
        <v>16</v>
      </c>
      <c r="C56" s="37"/>
      <c r="D56" s="37"/>
      <c r="E56" s="12">
        <f t="shared" si="42"/>
        <v>0</v>
      </c>
      <c r="F56" s="47"/>
      <c r="G56" s="14" t="str">
        <f t="shared" si="43"/>
        <v>#DIV/0!</v>
      </c>
      <c r="H56" s="40"/>
      <c r="I56" s="40"/>
      <c r="J56" s="37">
        <f t="shared" si="44"/>
        <v>0</v>
      </c>
      <c r="K56" s="52" t="str">
        <f t="shared" si="45"/>
        <v/>
      </c>
      <c r="L56" s="48" t="str">
        <f t="shared" si="46"/>
        <v>#DIV/0!</v>
      </c>
      <c r="M56" s="50"/>
      <c r="N56" s="49">
        <f t="shared" si="47"/>
        <v>0</v>
      </c>
      <c r="R56" s="80" t="str">
        <f t="shared" si="40"/>
        <v/>
      </c>
    </row>
    <row r="57">
      <c r="A57" s="84"/>
      <c r="B57" s="46" t="s">
        <v>16</v>
      </c>
      <c r="C57" s="37"/>
      <c r="D57" s="37"/>
      <c r="E57" s="12">
        <f t="shared" si="42"/>
        <v>0</v>
      </c>
      <c r="F57" s="47"/>
      <c r="G57" s="14" t="str">
        <f t="shared" si="43"/>
        <v>#DIV/0!</v>
      </c>
      <c r="H57" s="40"/>
      <c r="I57" s="40"/>
      <c r="J57" s="37">
        <f t="shared" si="44"/>
        <v>0</v>
      </c>
      <c r="K57" s="52" t="str">
        <f t="shared" si="45"/>
        <v/>
      </c>
      <c r="L57" s="48" t="str">
        <f t="shared" si="46"/>
        <v>#DIV/0!</v>
      </c>
      <c r="M57" s="50"/>
      <c r="N57" s="49">
        <f t="shared" si="47"/>
        <v>0</v>
      </c>
      <c r="R57" s="80" t="str">
        <f t="shared" si="40"/>
        <v/>
      </c>
    </row>
    <row r="58">
      <c r="A58" s="84"/>
      <c r="B58" s="46" t="s">
        <v>16</v>
      </c>
      <c r="C58" s="37"/>
      <c r="D58" s="37"/>
      <c r="E58" s="12">
        <f t="shared" si="42"/>
        <v>0</v>
      </c>
      <c r="F58" s="47"/>
      <c r="G58" s="14" t="str">
        <f t="shared" si="43"/>
        <v>#DIV/0!</v>
      </c>
      <c r="H58" s="40"/>
      <c r="I58" s="40"/>
      <c r="J58" s="37">
        <f t="shared" si="44"/>
        <v>0</v>
      </c>
      <c r="K58" s="52" t="str">
        <f t="shared" si="45"/>
        <v/>
      </c>
      <c r="L58" s="48" t="str">
        <f t="shared" si="46"/>
        <v>#DIV/0!</v>
      </c>
      <c r="M58" s="50"/>
      <c r="N58" s="49">
        <f t="shared" si="47"/>
        <v>0</v>
      </c>
    </row>
    <row r="59">
      <c r="A59" s="84"/>
      <c r="B59" s="46" t="s">
        <v>16</v>
      </c>
      <c r="C59" s="37"/>
      <c r="D59" s="37"/>
      <c r="E59" s="12">
        <f t="shared" si="42"/>
        <v>0</v>
      </c>
      <c r="F59" s="47"/>
      <c r="G59" s="14" t="str">
        <f t="shared" si="43"/>
        <v>#DIV/0!</v>
      </c>
      <c r="H59" s="40"/>
      <c r="I59" s="40"/>
      <c r="J59" s="37">
        <f t="shared" si="44"/>
        <v>0</v>
      </c>
      <c r="K59" s="52" t="str">
        <f t="shared" si="45"/>
        <v/>
      </c>
      <c r="L59" s="48" t="str">
        <f t="shared" si="46"/>
        <v>#DIV/0!</v>
      </c>
      <c r="M59" s="50"/>
      <c r="N59" s="49">
        <f t="shared" si="47"/>
        <v>0</v>
      </c>
      <c r="R59" s="80" t="str">
        <f t="shared" ref="R59:R64" si="48">Q59</f>
        <v/>
      </c>
    </row>
    <row r="60">
      <c r="A60" s="84"/>
      <c r="B60" s="46" t="s">
        <v>16</v>
      </c>
      <c r="C60" s="55"/>
      <c r="D60" s="55"/>
      <c r="E60" s="25">
        <f t="shared" si="42"/>
        <v>0</v>
      </c>
      <c r="F60" s="47"/>
      <c r="G60" s="56" t="str">
        <f t="shared" si="43"/>
        <v>#DIV/0!</v>
      </c>
      <c r="H60" s="55"/>
      <c r="I60" s="85"/>
      <c r="J60" s="55">
        <f t="shared" si="44"/>
        <v>0</v>
      </c>
      <c r="K60" s="52" t="str">
        <f t="shared" si="45"/>
        <v/>
      </c>
      <c r="L60" s="77" t="str">
        <f t="shared" si="46"/>
        <v>#DIV/0!</v>
      </c>
      <c r="M60" s="50"/>
      <c r="N60" s="59">
        <f t="shared" si="47"/>
        <v>0</v>
      </c>
      <c r="R60" s="80" t="str">
        <f t="shared" si="48"/>
        <v/>
      </c>
    </row>
    <row r="61">
      <c r="A61" s="62"/>
      <c r="B61" s="63"/>
      <c r="C61" s="86"/>
      <c r="D61" s="64" t="s">
        <v>19</v>
      </c>
      <c r="E61" s="64">
        <f>sum(E50:E60)</f>
        <v>-154782</v>
      </c>
      <c r="F61" s="39"/>
      <c r="G61" s="65" t="str">
        <f>average(G50:G60)</f>
        <v>#DIV/0!</v>
      </c>
      <c r="H61" s="62"/>
      <c r="I61" s="66"/>
      <c r="J61" s="64">
        <f t="shared" ref="J61:K61" si="49">sum(J50:J60)</f>
        <v>-40105</v>
      </c>
      <c r="K61" s="64">
        <f t="shared" si="49"/>
        <v>272.477</v>
      </c>
      <c r="L61" s="65" t="str">
        <f>average(L50:L60)</f>
        <v>#DIV/0!</v>
      </c>
      <c r="M61" s="68"/>
      <c r="N61" s="69">
        <f>sum(N50:N60)</f>
        <v>7562088.52</v>
      </c>
      <c r="R61" s="80" t="str">
        <f t="shared" si="48"/>
        <v/>
      </c>
    </row>
    <row r="62">
      <c r="A62" s="70">
        <v>46149.0</v>
      </c>
      <c r="B62" s="87" t="s">
        <v>18</v>
      </c>
      <c r="C62" s="52">
        <v>158736.0</v>
      </c>
      <c r="D62" s="52">
        <v>159007.0</v>
      </c>
      <c r="E62" s="38">
        <f t="shared" ref="E62:E70" si="50">D62-C62</f>
        <v>271</v>
      </c>
      <c r="F62" s="39">
        <v>47.0</v>
      </c>
      <c r="G62" s="14">
        <f t="shared" ref="G62:G70" si="51">(F62/E62)*100</f>
        <v>17.34317343</v>
      </c>
      <c r="H62" s="40">
        <v>31609.0</v>
      </c>
      <c r="I62" s="40">
        <v>31907.0</v>
      </c>
      <c r="J62" s="41">
        <f t="shared" ref="J62:J70" si="52">I62-H62</f>
        <v>298</v>
      </c>
      <c r="K62" s="81">
        <f t="shared" ref="K62:K70" si="53">F62</f>
        <v>47</v>
      </c>
      <c r="L62" s="71">
        <f t="shared" ref="L62:L70" si="54">(K62/J62)*100</f>
        <v>15.77181208</v>
      </c>
      <c r="M62" s="72">
        <v>28170.0</v>
      </c>
      <c r="N62" s="44">
        <f t="shared" ref="N62:N70" si="55">F62*M62</f>
        <v>1323990</v>
      </c>
      <c r="R62" s="80" t="str">
        <f t="shared" si="48"/>
        <v/>
      </c>
    </row>
    <row r="63">
      <c r="A63" s="35">
        <v>46154.0</v>
      </c>
      <c r="B63" s="46" t="s">
        <v>18</v>
      </c>
      <c r="C63" s="52">
        <v>159007.0</v>
      </c>
      <c r="D63" s="37">
        <v>159332.0</v>
      </c>
      <c r="E63" s="12">
        <f t="shared" si="50"/>
        <v>325</v>
      </c>
      <c r="F63" s="47">
        <v>46.0</v>
      </c>
      <c r="G63" s="14">
        <f t="shared" si="51"/>
        <v>14.15384615</v>
      </c>
      <c r="H63" s="40">
        <v>31907.0</v>
      </c>
      <c r="I63" s="40">
        <v>32266.0</v>
      </c>
      <c r="J63" s="37">
        <f t="shared" si="52"/>
        <v>359</v>
      </c>
      <c r="K63" s="52">
        <f t="shared" si="53"/>
        <v>46</v>
      </c>
      <c r="L63" s="48">
        <f t="shared" si="54"/>
        <v>12.81337047</v>
      </c>
      <c r="M63" s="50">
        <v>27490.0</v>
      </c>
      <c r="N63" s="49">
        <f t="shared" si="55"/>
        <v>1264540</v>
      </c>
      <c r="R63" s="80" t="str">
        <f t="shared" si="48"/>
        <v/>
      </c>
    </row>
    <row r="64">
      <c r="A64" s="35">
        <v>46159.0</v>
      </c>
      <c r="B64" s="46" t="s">
        <v>18</v>
      </c>
      <c r="C64" s="37">
        <v>159332.0</v>
      </c>
      <c r="D64" s="37">
        <v>159628.0</v>
      </c>
      <c r="E64" s="12">
        <f t="shared" si="50"/>
        <v>296</v>
      </c>
      <c r="F64" s="47">
        <v>40.0</v>
      </c>
      <c r="G64" s="14">
        <f t="shared" si="51"/>
        <v>13.51351351</v>
      </c>
      <c r="H64" s="40">
        <v>32266.0</v>
      </c>
      <c r="I64" s="40">
        <v>32673.0</v>
      </c>
      <c r="J64" s="37">
        <f t="shared" si="52"/>
        <v>407</v>
      </c>
      <c r="K64" s="52">
        <f t="shared" si="53"/>
        <v>40</v>
      </c>
      <c r="L64" s="48">
        <f t="shared" si="54"/>
        <v>9.828009828</v>
      </c>
      <c r="M64" s="50">
        <v>27220.0</v>
      </c>
      <c r="N64" s="49">
        <f t="shared" si="55"/>
        <v>1088800</v>
      </c>
      <c r="R64" s="80" t="str">
        <f t="shared" si="48"/>
        <v/>
      </c>
    </row>
    <row r="65">
      <c r="A65" s="35">
        <v>46162.0</v>
      </c>
      <c r="B65" s="46" t="s">
        <v>18</v>
      </c>
      <c r="C65" s="37">
        <v>159628.0</v>
      </c>
      <c r="D65" s="37">
        <v>159958.0</v>
      </c>
      <c r="E65" s="12">
        <f t="shared" si="50"/>
        <v>330</v>
      </c>
      <c r="F65" s="47">
        <v>46.0</v>
      </c>
      <c r="G65" s="14">
        <f t="shared" si="51"/>
        <v>13.93939394</v>
      </c>
      <c r="H65" s="40">
        <v>32673.0</v>
      </c>
      <c r="I65" s="40">
        <v>32952.0</v>
      </c>
      <c r="J65" s="37">
        <f t="shared" si="52"/>
        <v>279</v>
      </c>
      <c r="K65" s="52">
        <f t="shared" si="53"/>
        <v>46</v>
      </c>
      <c r="L65" s="48">
        <f t="shared" si="54"/>
        <v>16.4874552</v>
      </c>
      <c r="M65" s="50">
        <v>27220.0</v>
      </c>
      <c r="N65" s="49">
        <f t="shared" si="55"/>
        <v>1252120</v>
      </c>
    </row>
    <row r="66">
      <c r="A66" s="35">
        <v>46167.0</v>
      </c>
      <c r="B66" s="46" t="s">
        <v>18</v>
      </c>
      <c r="C66" s="37">
        <v>159958.0</v>
      </c>
      <c r="D66" s="37">
        <v>160214.0</v>
      </c>
      <c r="E66" s="12">
        <f t="shared" si="50"/>
        <v>256</v>
      </c>
      <c r="F66" s="47">
        <v>40.0</v>
      </c>
      <c r="G66" s="14">
        <f t="shared" si="51"/>
        <v>15.625</v>
      </c>
      <c r="H66" s="40">
        <v>32952.0</v>
      </c>
      <c r="I66" s="40">
        <v>33247.0</v>
      </c>
      <c r="J66" s="37">
        <f t="shared" si="52"/>
        <v>295</v>
      </c>
      <c r="K66" s="52">
        <f t="shared" si="53"/>
        <v>40</v>
      </c>
      <c r="L66" s="48">
        <f t="shared" si="54"/>
        <v>13.55932203</v>
      </c>
      <c r="M66" s="50">
        <v>28760.0</v>
      </c>
      <c r="N66" s="49">
        <f t="shared" si="55"/>
        <v>1150400</v>
      </c>
      <c r="R66" s="80" t="str">
        <f t="shared" ref="R66:R128" si="56">Q66</f>
        <v/>
      </c>
    </row>
    <row r="67">
      <c r="A67" s="35">
        <v>46170.0</v>
      </c>
      <c r="B67" s="46" t="s">
        <v>18</v>
      </c>
      <c r="C67" s="37">
        <v>160214.0</v>
      </c>
      <c r="D67" s="37">
        <v>160559.0</v>
      </c>
      <c r="E67" s="12">
        <f t="shared" si="50"/>
        <v>345</v>
      </c>
      <c r="F67" s="47">
        <v>50.0</v>
      </c>
      <c r="G67" s="14">
        <f t="shared" si="51"/>
        <v>14.49275362</v>
      </c>
      <c r="H67" s="40">
        <v>33247.0</v>
      </c>
      <c r="I67" s="40">
        <v>33654.0</v>
      </c>
      <c r="J67" s="37">
        <f t="shared" si="52"/>
        <v>407</v>
      </c>
      <c r="K67" s="52">
        <f t="shared" si="53"/>
        <v>50</v>
      </c>
      <c r="L67" s="48">
        <f t="shared" si="54"/>
        <v>12.28501229</v>
      </c>
      <c r="M67" s="50">
        <v>28760.0</v>
      </c>
      <c r="N67" s="49">
        <f t="shared" si="55"/>
        <v>1438000</v>
      </c>
      <c r="R67" s="80" t="str">
        <f t="shared" si="56"/>
        <v/>
      </c>
    </row>
    <row r="68">
      <c r="A68" s="35"/>
      <c r="B68" s="46" t="s">
        <v>18</v>
      </c>
      <c r="C68" s="37"/>
      <c r="D68" s="37"/>
      <c r="E68" s="53">
        <f t="shared" si="50"/>
        <v>0</v>
      </c>
      <c r="F68" s="47"/>
      <c r="G68" s="14" t="str">
        <f t="shared" si="51"/>
        <v>#DIV/0!</v>
      </c>
      <c r="H68" s="40"/>
      <c r="I68" s="40"/>
      <c r="J68" s="37">
        <f t="shared" si="52"/>
        <v>0</v>
      </c>
      <c r="K68" s="52" t="str">
        <f t="shared" si="53"/>
        <v/>
      </c>
      <c r="L68" s="48" t="str">
        <f t="shared" si="54"/>
        <v>#DIV/0!</v>
      </c>
      <c r="M68" s="50"/>
      <c r="N68" s="49">
        <f t="shared" si="55"/>
        <v>0</v>
      </c>
      <c r="R68" s="80" t="str">
        <f t="shared" si="56"/>
        <v/>
      </c>
    </row>
    <row r="69">
      <c r="A69" s="45"/>
      <c r="B69" s="51" t="s">
        <v>18</v>
      </c>
      <c r="C69" s="37"/>
      <c r="D69" s="52"/>
      <c r="E69" s="53">
        <f t="shared" si="50"/>
        <v>0</v>
      </c>
      <c r="F69" s="47"/>
      <c r="G69" s="14" t="str">
        <f t="shared" si="51"/>
        <v>#DIV/0!</v>
      </c>
      <c r="H69" s="40"/>
      <c r="I69" s="40"/>
      <c r="J69" s="37">
        <f t="shared" si="52"/>
        <v>0</v>
      </c>
      <c r="K69" s="52" t="str">
        <f t="shared" si="53"/>
        <v/>
      </c>
      <c r="L69" s="48" t="str">
        <f t="shared" si="54"/>
        <v>#DIV/0!</v>
      </c>
      <c r="M69" s="50"/>
      <c r="N69" s="49">
        <f t="shared" si="55"/>
        <v>0</v>
      </c>
      <c r="R69" s="80" t="str">
        <f t="shared" si="56"/>
        <v/>
      </c>
    </row>
    <row r="70">
      <c r="A70" s="35"/>
      <c r="B70" s="46" t="s">
        <v>18</v>
      </c>
      <c r="C70" s="13"/>
      <c r="D70" s="55"/>
      <c r="E70" s="25">
        <f t="shared" si="50"/>
        <v>0</v>
      </c>
      <c r="F70" s="47"/>
      <c r="G70" s="56" t="str">
        <f t="shared" si="51"/>
        <v>#DIV/0!</v>
      </c>
      <c r="H70" s="55"/>
      <c r="I70" s="57"/>
      <c r="J70" s="55">
        <f t="shared" si="52"/>
        <v>0</v>
      </c>
      <c r="K70" s="52" t="str">
        <f t="shared" si="53"/>
        <v/>
      </c>
      <c r="L70" s="77" t="str">
        <f t="shared" si="54"/>
        <v>#DIV/0!</v>
      </c>
      <c r="M70" s="50"/>
      <c r="N70" s="59">
        <f t="shared" si="55"/>
        <v>0</v>
      </c>
      <c r="R70" s="80" t="str">
        <f t="shared" si="56"/>
        <v/>
      </c>
    </row>
    <row r="71">
      <c r="A71" s="62"/>
      <c r="B71" s="63"/>
      <c r="C71" s="88"/>
      <c r="D71" s="64" t="s">
        <v>19</v>
      </c>
      <c r="E71" s="64">
        <f t="shared" ref="E71:F71" si="57">sum(E62:E70)</f>
        <v>1823</v>
      </c>
      <c r="F71" s="64">
        <f t="shared" si="57"/>
        <v>269</v>
      </c>
      <c r="G71" s="65" t="str">
        <f>average(G62:G70)</f>
        <v>#DIV/0!</v>
      </c>
      <c r="H71" s="62"/>
      <c r="I71" s="66"/>
      <c r="J71" s="64">
        <f t="shared" ref="J71:K71" si="58">sum(J62:J70)</f>
        <v>2045</v>
      </c>
      <c r="K71" s="64">
        <f t="shared" si="58"/>
        <v>269</v>
      </c>
      <c r="L71" s="65" t="str">
        <f>average(L62:L70)</f>
        <v>#DIV/0!</v>
      </c>
      <c r="M71" s="68"/>
      <c r="N71" s="69">
        <f>sum(N62:N70)</f>
        <v>7517850</v>
      </c>
      <c r="R71" s="80" t="str">
        <f t="shared" si="56"/>
        <v/>
      </c>
    </row>
    <row r="72">
      <c r="A72" s="70">
        <v>46149.0</v>
      </c>
      <c r="B72" s="36" t="s">
        <v>20</v>
      </c>
      <c r="C72" s="55">
        <v>405391.0</v>
      </c>
      <c r="D72" s="37">
        <v>405946.0</v>
      </c>
      <c r="E72" s="38">
        <f t="shared" ref="E72:E79" si="59">D72-C72</f>
        <v>555</v>
      </c>
      <c r="F72" s="39">
        <v>65.0</v>
      </c>
      <c r="G72" s="14">
        <f t="shared" ref="G72:G79" si="60">(F72/E72)*100</f>
        <v>11.71171171</v>
      </c>
      <c r="H72" s="57">
        <v>37340.0</v>
      </c>
      <c r="I72" s="40">
        <v>37889.0</v>
      </c>
      <c r="J72" s="41">
        <f t="shared" ref="J72:J79" si="61">I72-H72</f>
        <v>549</v>
      </c>
      <c r="K72" s="81">
        <f t="shared" ref="K72:K79" si="62">F72</f>
        <v>65</v>
      </c>
      <c r="L72" s="71">
        <f t="shared" ref="L72:L79" si="63">(K72/J72)*100</f>
        <v>11.83970856</v>
      </c>
      <c r="M72" s="72">
        <v>28170.0</v>
      </c>
      <c r="N72" s="44">
        <f t="shared" ref="N72:N79" si="64">F72*M72</f>
        <v>1831050</v>
      </c>
      <c r="R72" s="80" t="str">
        <f t="shared" si="56"/>
        <v/>
      </c>
    </row>
    <row r="73">
      <c r="A73" s="35">
        <v>46154.0</v>
      </c>
      <c r="B73" s="46" t="s">
        <v>20</v>
      </c>
      <c r="C73" s="37">
        <v>405946.0</v>
      </c>
      <c r="D73" s="37">
        <v>406467.0</v>
      </c>
      <c r="E73" s="12">
        <f t="shared" si="59"/>
        <v>521</v>
      </c>
      <c r="F73" s="47">
        <v>62.0</v>
      </c>
      <c r="G73" s="14">
        <f t="shared" si="60"/>
        <v>11.90019194</v>
      </c>
      <c r="H73" s="40">
        <v>37889.0</v>
      </c>
      <c r="I73" s="89">
        <v>38401.0</v>
      </c>
      <c r="J73" s="37">
        <f t="shared" si="61"/>
        <v>512</v>
      </c>
      <c r="K73" s="52">
        <f t="shared" si="62"/>
        <v>62</v>
      </c>
      <c r="L73" s="48">
        <f t="shared" si="63"/>
        <v>12.109375</v>
      </c>
      <c r="M73" s="50">
        <v>27490.0</v>
      </c>
      <c r="N73" s="49">
        <f t="shared" si="64"/>
        <v>1704380</v>
      </c>
      <c r="R73" s="80" t="str">
        <f t="shared" si="56"/>
        <v/>
      </c>
    </row>
    <row r="74">
      <c r="A74" s="35">
        <v>46161.0</v>
      </c>
      <c r="B74" s="46" t="s">
        <v>20</v>
      </c>
      <c r="C74" s="37">
        <v>406467.0</v>
      </c>
      <c r="D74" s="37">
        <v>407067.0</v>
      </c>
      <c r="E74" s="12">
        <f t="shared" si="59"/>
        <v>600</v>
      </c>
      <c r="F74" s="47">
        <v>69.0</v>
      </c>
      <c r="G74" s="14">
        <f t="shared" si="60"/>
        <v>11.5</v>
      </c>
      <c r="H74" s="89">
        <v>38401.0</v>
      </c>
      <c r="I74" s="40">
        <v>38991.0</v>
      </c>
      <c r="J74" s="37">
        <f t="shared" si="61"/>
        <v>590</v>
      </c>
      <c r="K74" s="52">
        <f t="shared" si="62"/>
        <v>69</v>
      </c>
      <c r="L74" s="48">
        <f t="shared" si="63"/>
        <v>11.69491525</v>
      </c>
      <c r="M74" s="50">
        <v>27220.0</v>
      </c>
      <c r="N74" s="49">
        <f t="shared" si="64"/>
        <v>1878180</v>
      </c>
      <c r="R74" s="80" t="str">
        <f t="shared" si="56"/>
        <v/>
      </c>
    </row>
    <row r="75">
      <c r="A75" s="35">
        <v>46168.0</v>
      </c>
      <c r="B75" s="46" t="s">
        <v>20</v>
      </c>
      <c r="C75" s="37">
        <v>407067.0</v>
      </c>
      <c r="D75" s="37">
        <v>407538.0</v>
      </c>
      <c r="E75" s="12">
        <f t="shared" si="59"/>
        <v>471</v>
      </c>
      <c r="F75" s="47">
        <v>58.0</v>
      </c>
      <c r="G75" s="14">
        <f t="shared" si="60"/>
        <v>12.31422505</v>
      </c>
      <c r="H75" s="40">
        <v>38991.0</v>
      </c>
      <c r="I75" s="40">
        <v>39450.0</v>
      </c>
      <c r="J75" s="37">
        <f t="shared" si="61"/>
        <v>459</v>
      </c>
      <c r="K75" s="52">
        <f t="shared" si="62"/>
        <v>58</v>
      </c>
      <c r="L75" s="48">
        <f t="shared" si="63"/>
        <v>12.63616558</v>
      </c>
      <c r="M75" s="50">
        <v>28760.0</v>
      </c>
      <c r="N75" s="49">
        <f t="shared" si="64"/>
        <v>1668080</v>
      </c>
      <c r="R75" s="80" t="str">
        <f t="shared" si="56"/>
        <v/>
      </c>
    </row>
    <row r="76">
      <c r="A76" s="35"/>
      <c r="B76" s="46" t="s">
        <v>20</v>
      </c>
      <c r="C76" s="37"/>
      <c r="D76" s="37"/>
      <c r="E76" s="12">
        <f t="shared" si="59"/>
        <v>0</v>
      </c>
      <c r="F76" s="47"/>
      <c r="G76" s="14" t="str">
        <f t="shared" si="60"/>
        <v>#DIV/0!</v>
      </c>
      <c r="H76" s="40"/>
      <c r="I76" s="40"/>
      <c r="J76" s="37">
        <f t="shared" si="61"/>
        <v>0</v>
      </c>
      <c r="K76" s="52" t="str">
        <f t="shared" si="62"/>
        <v/>
      </c>
      <c r="L76" s="48" t="str">
        <f t="shared" si="63"/>
        <v>#DIV/0!</v>
      </c>
      <c r="M76" s="50"/>
      <c r="N76" s="49">
        <f t="shared" si="64"/>
        <v>0</v>
      </c>
      <c r="R76" s="80" t="str">
        <f t="shared" si="56"/>
        <v/>
      </c>
    </row>
    <row r="77">
      <c r="A77" s="35"/>
      <c r="B77" s="46" t="s">
        <v>20</v>
      </c>
      <c r="C77" s="37"/>
      <c r="D77" s="37"/>
      <c r="E77" s="12">
        <f t="shared" si="59"/>
        <v>0</v>
      </c>
      <c r="F77" s="90"/>
      <c r="G77" s="14" t="str">
        <f t="shared" si="60"/>
        <v>#DIV/0!</v>
      </c>
      <c r="H77" s="40"/>
      <c r="I77" s="40"/>
      <c r="J77" s="37">
        <f t="shared" si="61"/>
        <v>0</v>
      </c>
      <c r="K77" s="52" t="str">
        <f t="shared" si="62"/>
        <v/>
      </c>
      <c r="L77" s="48" t="str">
        <f t="shared" si="63"/>
        <v>#DIV/0!</v>
      </c>
      <c r="M77" s="50"/>
      <c r="N77" s="49">
        <f t="shared" si="64"/>
        <v>0</v>
      </c>
      <c r="R77" s="80" t="str">
        <f t="shared" si="56"/>
        <v/>
      </c>
    </row>
    <row r="78">
      <c r="A78" s="35"/>
      <c r="B78" s="46" t="s">
        <v>20</v>
      </c>
      <c r="C78" s="37"/>
      <c r="D78" s="55"/>
      <c r="E78" s="25">
        <f t="shared" si="59"/>
        <v>0</v>
      </c>
      <c r="F78" s="47"/>
      <c r="G78" s="56" t="str">
        <f t="shared" si="60"/>
        <v>#DIV/0!</v>
      </c>
      <c r="H78" s="40"/>
      <c r="I78" s="57"/>
      <c r="J78" s="55">
        <f t="shared" si="61"/>
        <v>0</v>
      </c>
      <c r="K78" s="52" t="str">
        <f t="shared" si="62"/>
        <v/>
      </c>
      <c r="L78" s="77" t="str">
        <f t="shared" si="63"/>
        <v>#DIV/0!</v>
      </c>
      <c r="M78" s="58"/>
      <c r="N78" s="59">
        <f t="shared" si="64"/>
        <v>0</v>
      </c>
      <c r="R78" s="80" t="str">
        <f t="shared" si="56"/>
        <v/>
      </c>
    </row>
    <row r="79">
      <c r="A79" s="35"/>
      <c r="B79" s="46" t="s">
        <v>20</v>
      </c>
      <c r="C79" s="55"/>
      <c r="D79" s="55"/>
      <c r="E79" s="25">
        <f t="shared" si="59"/>
        <v>0</v>
      </c>
      <c r="F79" s="47"/>
      <c r="G79" s="56" t="str">
        <f t="shared" si="60"/>
        <v>#DIV/0!</v>
      </c>
      <c r="H79" s="57"/>
      <c r="I79" s="57"/>
      <c r="J79" s="55">
        <f t="shared" si="61"/>
        <v>0</v>
      </c>
      <c r="K79" s="52" t="str">
        <f t="shared" si="62"/>
        <v/>
      </c>
      <c r="L79" s="77" t="str">
        <f t="shared" si="63"/>
        <v>#DIV/0!</v>
      </c>
      <c r="M79" s="58"/>
      <c r="N79" s="59">
        <f t="shared" si="64"/>
        <v>0</v>
      </c>
      <c r="R79" s="80" t="str">
        <f t="shared" si="56"/>
        <v/>
      </c>
    </row>
    <row r="80">
      <c r="A80" s="62"/>
      <c r="B80" s="63"/>
      <c r="C80" s="62"/>
      <c r="D80" s="64" t="s">
        <v>19</v>
      </c>
      <c r="E80" s="64">
        <f>sum(E72:E78)</f>
        <v>2147</v>
      </c>
      <c r="F80" s="39"/>
      <c r="G80" s="65" t="str">
        <f>average(G72:G78)</f>
        <v>#DIV/0!</v>
      </c>
      <c r="H80" s="62"/>
      <c r="I80" s="66"/>
      <c r="J80" s="64">
        <f>sum(J72:J78)</f>
        <v>2110</v>
      </c>
      <c r="K80" s="64">
        <f>sum(K73:K78)</f>
        <v>189</v>
      </c>
      <c r="L80" s="65" t="str">
        <f>average(L72:L78)</f>
        <v>#DIV/0!</v>
      </c>
      <c r="M80" s="68"/>
      <c r="N80" s="69">
        <f>sum(N72:N79)</f>
        <v>7081690</v>
      </c>
      <c r="R80" s="80" t="str">
        <f t="shared" si="56"/>
        <v/>
      </c>
    </row>
    <row r="81">
      <c r="A81" s="91">
        <v>46146.0</v>
      </c>
      <c r="B81" s="36" t="s">
        <v>21</v>
      </c>
      <c r="C81" s="37">
        <v>387477.0</v>
      </c>
      <c r="D81" s="37">
        <v>387916.0</v>
      </c>
      <c r="E81" s="38">
        <f t="shared" ref="E81:E87" si="65">D81-C81</f>
        <v>439</v>
      </c>
      <c r="F81" s="39">
        <v>66.0</v>
      </c>
      <c r="G81" s="14">
        <f t="shared" ref="G81:G87" si="66">(F81/E81)*100</f>
        <v>15.03416856</v>
      </c>
      <c r="H81" s="40">
        <v>30778.0</v>
      </c>
      <c r="I81" s="40">
        <v>31191.0</v>
      </c>
      <c r="J81" s="41">
        <f t="shared" ref="J81:J87" si="67">I81-H81</f>
        <v>413</v>
      </c>
      <c r="K81" s="81">
        <f t="shared" ref="K81:K87" si="68">F81</f>
        <v>66</v>
      </c>
      <c r="L81" s="71">
        <f t="shared" ref="L81:L87" si="69">(K81/J81)*100</f>
        <v>15.98062954</v>
      </c>
      <c r="M81" s="72">
        <v>28170.0</v>
      </c>
      <c r="N81" s="44">
        <f t="shared" ref="N81:N87" si="70">F81*M81</f>
        <v>1859220</v>
      </c>
      <c r="R81" s="80" t="str">
        <f t="shared" si="56"/>
        <v/>
      </c>
    </row>
    <row r="82">
      <c r="A82" s="92">
        <v>46150.0</v>
      </c>
      <c r="B82" s="46" t="s">
        <v>21</v>
      </c>
      <c r="C82" s="37">
        <v>387916.0</v>
      </c>
      <c r="D82" s="37">
        <v>388303.0</v>
      </c>
      <c r="E82" s="12">
        <f t="shared" si="65"/>
        <v>387</v>
      </c>
      <c r="F82" s="47">
        <v>55.0</v>
      </c>
      <c r="G82" s="14">
        <f t="shared" si="66"/>
        <v>14.2118863</v>
      </c>
      <c r="H82" s="40">
        <v>31191.0</v>
      </c>
      <c r="I82" s="40">
        <v>31583.0</v>
      </c>
      <c r="J82" s="37">
        <f t="shared" si="67"/>
        <v>392</v>
      </c>
      <c r="K82" s="52">
        <f t="shared" si="68"/>
        <v>55</v>
      </c>
      <c r="L82" s="48">
        <f t="shared" si="69"/>
        <v>14.03061224</v>
      </c>
      <c r="M82" s="72">
        <v>27490.0</v>
      </c>
      <c r="N82" s="49">
        <f t="shared" si="70"/>
        <v>1511950</v>
      </c>
      <c r="R82" s="80" t="str">
        <f t="shared" si="56"/>
        <v/>
      </c>
    </row>
    <row r="83">
      <c r="A83" s="92">
        <v>46155.0</v>
      </c>
      <c r="B83" s="46" t="s">
        <v>21</v>
      </c>
      <c r="C83" s="37">
        <v>388303.0</v>
      </c>
      <c r="D83" s="37">
        <v>388752.0</v>
      </c>
      <c r="E83" s="12">
        <f t="shared" si="65"/>
        <v>449</v>
      </c>
      <c r="F83" s="47">
        <v>62.0</v>
      </c>
      <c r="G83" s="14">
        <f t="shared" si="66"/>
        <v>13.80846325</v>
      </c>
      <c r="H83" s="40">
        <v>31583.0</v>
      </c>
      <c r="I83" s="40">
        <v>32030.0</v>
      </c>
      <c r="J83" s="37">
        <f t="shared" si="67"/>
        <v>447</v>
      </c>
      <c r="K83" s="52">
        <f t="shared" si="68"/>
        <v>62</v>
      </c>
      <c r="L83" s="48">
        <f t="shared" si="69"/>
        <v>13.87024609</v>
      </c>
      <c r="M83" s="72">
        <v>27490.0</v>
      </c>
      <c r="N83" s="49">
        <f t="shared" si="70"/>
        <v>1704380</v>
      </c>
      <c r="R83" s="80" t="str">
        <f t="shared" si="56"/>
        <v/>
      </c>
    </row>
    <row r="84">
      <c r="A84" s="92">
        <v>46162.0</v>
      </c>
      <c r="B84" s="46" t="s">
        <v>21</v>
      </c>
      <c r="C84" s="37">
        <v>388752.0</v>
      </c>
      <c r="D84" s="37">
        <v>389088.0</v>
      </c>
      <c r="E84" s="12">
        <f t="shared" si="65"/>
        <v>336</v>
      </c>
      <c r="F84" s="47">
        <v>55.0</v>
      </c>
      <c r="G84" s="14">
        <f t="shared" si="66"/>
        <v>16.36904762</v>
      </c>
      <c r="H84" s="40">
        <v>32030.0</v>
      </c>
      <c r="I84" s="40">
        <v>32398.0</v>
      </c>
      <c r="J84" s="37">
        <f t="shared" si="67"/>
        <v>368</v>
      </c>
      <c r="K84" s="52">
        <f t="shared" si="68"/>
        <v>55</v>
      </c>
      <c r="L84" s="48">
        <f t="shared" si="69"/>
        <v>14.94565217</v>
      </c>
      <c r="M84" s="50">
        <v>27220.0</v>
      </c>
      <c r="N84" s="49">
        <f t="shared" si="70"/>
        <v>1497100</v>
      </c>
      <c r="R84" s="80" t="str">
        <f t="shared" si="56"/>
        <v/>
      </c>
    </row>
    <row r="85">
      <c r="A85" s="35">
        <v>46169.0</v>
      </c>
      <c r="B85" s="46" t="s">
        <v>21</v>
      </c>
      <c r="C85" s="37">
        <v>389088.0</v>
      </c>
      <c r="D85" s="37">
        <v>389494.0</v>
      </c>
      <c r="E85" s="12">
        <f t="shared" si="65"/>
        <v>406</v>
      </c>
      <c r="F85" s="47">
        <v>65.0</v>
      </c>
      <c r="G85" s="14">
        <f t="shared" si="66"/>
        <v>16.00985222</v>
      </c>
      <c r="H85" s="40">
        <v>32398.0</v>
      </c>
      <c r="I85" s="40">
        <v>32800.0</v>
      </c>
      <c r="J85" s="37">
        <f t="shared" si="67"/>
        <v>402</v>
      </c>
      <c r="K85" s="52">
        <f t="shared" si="68"/>
        <v>65</v>
      </c>
      <c r="L85" s="48">
        <f t="shared" si="69"/>
        <v>16.16915423</v>
      </c>
      <c r="M85" s="50">
        <v>28760.0</v>
      </c>
      <c r="N85" s="49">
        <f t="shared" si="70"/>
        <v>1869400</v>
      </c>
      <c r="R85" s="80" t="str">
        <f t="shared" si="56"/>
        <v/>
      </c>
    </row>
    <row r="86">
      <c r="A86" s="92"/>
      <c r="B86" s="46" t="s">
        <v>37</v>
      </c>
      <c r="C86" s="37"/>
      <c r="D86" s="37"/>
      <c r="E86" s="12">
        <f t="shared" si="65"/>
        <v>0</v>
      </c>
      <c r="F86" s="47"/>
      <c r="G86" s="14" t="str">
        <f t="shared" si="66"/>
        <v>#DIV/0!</v>
      </c>
      <c r="H86" s="37"/>
      <c r="I86" s="93"/>
      <c r="J86" s="37">
        <f t="shared" si="67"/>
        <v>0</v>
      </c>
      <c r="K86" s="52" t="str">
        <f t="shared" si="68"/>
        <v/>
      </c>
      <c r="L86" s="48" t="str">
        <f t="shared" si="69"/>
        <v>#DIV/0!</v>
      </c>
      <c r="M86" s="50"/>
      <c r="N86" s="49">
        <f t="shared" si="70"/>
        <v>0</v>
      </c>
      <c r="R86" s="80" t="str">
        <f t="shared" si="56"/>
        <v/>
      </c>
    </row>
    <row r="87">
      <c r="A87" s="94"/>
      <c r="B87" s="46" t="s">
        <v>37</v>
      </c>
      <c r="C87" s="55"/>
      <c r="D87" s="95"/>
      <c r="E87" s="25">
        <f t="shared" si="65"/>
        <v>0</v>
      </c>
      <c r="F87" s="47"/>
      <c r="G87" s="56" t="str">
        <f t="shared" si="66"/>
        <v>#DIV/0!</v>
      </c>
      <c r="H87" s="55"/>
      <c r="I87" s="85"/>
      <c r="J87" s="55">
        <f t="shared" si="67"/>
        <v>0</v>
      </c>
      <c r="K87" s="52" t="str">
        <f t="shared" si="68"/>
        <v/>
      </c>
      <c r="L87" s="77" t="str">
        <f t="shared" si="69"/>
        <v>#DIV/0!</v>
      </c>
      <c r="M87" s="96"/>
      <c r="N87" s="59">
        <f t="shared" si="70"/>
        <v>0</v>
      </c>
      <c r="R87" s="80" t="str">
        <f t="shared" si="56"/>
        <v/>
      </c>
    </row>
    <row r="88">
      <c r="A88" s="62"/>
      <c r="B88" s="63"/>
      <c r="C88" s="62"/>
      <c r="D88" s="64" t="s">
        <v>19</v>
      </c>
      <c r="E88" s="64">
        <f>sum(E81:E87)</f>
        <v>2017</v>
      </c>
      <c r="F88" s="39"/>
      <c r="G88" s="65" t="str">
        <f>average(G81:G87)</f>
        <v>#DIV/0!</v>
      </c>
      <c r="H88" s="62"/>
      <c r="I88" s="66"/>
      <c r="J88" s="64">
        <f t="shared" ref="J88:K88" si="71">sum(J81:J87)</f>
        <v>2022</v>
      </c>
      <c r="K88" s="64">
        <f t="shared" si="71"/>
        <v>303</v>
      </c>
      <c r="L88" s="65" t="str">
        <f>average(L81:L87)</f>
        <v>#DIV/0!</v>
      </c>
      <c r="M88" s="68"/>
      <c r="N88" s="69">
        <f>sum(N81:N87)</f>
        <v>8442050</v>
      </c>
      <c r="R88" s="80" t="str">
        <f t="shared" si="56"/>
        <v/>
      </c>
    </row>
    <row r="89">
      <c r="A89" s="35">
        <v>46147.0</v>
      </c>
      <c r="B89" s="87" t="s">
        <v>22</v>
      </c>
      <c r="C89" s="37">
        <v>221408.0</v>
      </c>
      <c r="D89" s="37">
        <v>221848.0</v>
      </c>
      <c r="E89" s="38">
        <f t="shared" ref="E89:E96" si="72">D89-C89</f>
        <v>440</v>
      </c>
      <c r="F89" s="39">
        <v>50.0</v>
      </c>
      <c r="G89" s="14">
        <f t="shared" ref="G89:G96" si="73">(F89/E89)*100</f>
        <v>11.36363636</v>
      </c>
      <c r="H89" s="40">
        <v>30506.0</v>
      </c>
      <c r="I89" s="40">
        <v>30890.0</v>
      </c>
      <c r="J89" s="41">
        <f t="shared" ref="J89:J96" si="74">I89-H89</f>
        <v>384</v>
      </c>
      <c r="K89" s="81">
        <f t="shared" ref="K89:K96" si="75">F89</f>
        <v>50</v>
      </c>
      <c r="L89" s="71">
        <f t="shared" ref="L89:L96" si="76">(K89/J89)*100</f>
        <v>13.02083333</v>
      </c>
      <c r="M89" s="72">
        <v>28170.0</v>
      </c>
      <c r="N89" s="44">
        <f t="shared" ref="N89:N96" si="77">F89*M89</f>
        <v>1408500</v>
      </c>
      <c r="R89" s="80" t="str">
        <f t="shared" si="56"/>
        <v/>
      </c>
    </row>
    <row r="90">
      <c r="A90" s="35">
        <v>46153.0</v>
      </c>
      <c r="B90" s="46" t="s">
        <v>22</v>
      </c>
      <c r="C90" s="37">
        <v>221848.0</v>
      </c>
      <c r="D90" s="37">
        <v>222357.0</v>
      </c>
      <c r="E90" s="12">
        <f t="shared" si="72"/>
        <v>509</v>
      </c>
      <c r="F90" s="47">
        <v>68.0</v>
      </c>
      <c r="G90" s="14">
        <f t="shared" si="73"/>
        <v>13.35952849</v>
      </c>
      <c r="H90" s="40">
        <v>30890.0</v>
      </c>
      <c r="I90" s="40">
        <v>31341.0</v>
      </c>
      <c r="J90" s="37">
        <f t="shared" si="74"/>
        <v>451</v>
      </c>
      <c r="K90" s="52">
        <f t="shared" si="75"/>
        <v>68</v>
      </c>
      <c r="L90" s="48">
        <f t="shared" si="76"/>
        <v>15.07760532</v>
      </c>
      <c r="M90" s="50">
        <v>27490.0</v>
      </c>
      <c r="N90" s="49">
        <f t="shared" si="77"/>
        <v>1869320</v>
      </c>
      <c r="R90" s="80" t="str">
        <f t="shared" si="56"/>
        <v/>
      </c>
    </row>
    <row r="91">
      <c r="A91" s="35">
        <v>46161.0</v>
      </c>
      <c r="B91" s="46" t="s">
        <v>22</v>
      </c>
      <c r="C91" s="37">
        <v>222357.0</v>
      </c>
      <c r="D91" s="37">
        <v>222822.0</v>
      </c>
      <c r="E91" s="12">
        <f t="shared" si="72"/>
        <v>465</v>
      </c>
      <c r="F91" s="47">
        <v>60.0</v>
      </c>
      <c r="G91" s="14">
        <f t="shared" si="73"/>
        <v>12.90322581</v>
      </c>
      <c r="H91" s="40">
        <v>31341.0</v>
      </c>
      <c r="I91" s="40">
        <v>31871.0</v>
      </c>
      <c r="J91" s="37">
        <f t="shared" si="74"/>
        <v>530</v>
      </c>
      <c r="K91" s="52">
        <f t="shared" si="75"/>
        <v>60</v>
      </c>
      <c r="L91" s="48">
        <f t="shared" si="76"/>
        <v>11.32075472</v>
      </c>
      <c r="M91" s="50">
        <v>27220.0</v>
      </c>
      <c r="N91" s="49">
        <f t="shared" si="77"/>
        <v>1633200</v>
      </c>
      <c r="R91" s="80" t="str">
        <f t="shared" si="56"/>
        <v/>
      </c>
    </row>
    <row r="92">
      <c r="A92" s="35">
        <v>46167.0</v>
      </c>
      <c r="B92" s="46" t="s">
        <v>22</v>
      </c>
      <c r="C92" s="37">
        <v>222822.0</v>
      </c>
      <c r="D92" s="37">
        <v>223297.0</v>
      </c>
      <c r="E92" s="12">
        <f t="shared" si="72"/>
        <v>475</v>
      </c>
      <c r="F92" s="47">
        <v>63.0</v>
      </c>
      <c r="G92" s="14">
        <f t="shared" si="73"/>
        <v>13.26315789</v>
      </c>
      <c r="H92" s="40">
        <v>31871.0</v>
      </c>
      <c r="I92" s="40">
        <v>32316.0</v>
      </c>
      <c r="J92" s="37">
        <f t="shared" si="74"/>
        <v>445</v>
      </c>
      <c r="K92" s="52">
        <f t="shared" si="75"/>
        <v>63</v>
      </c>
      <c r="L92" s="48">
        <f t="shared" si="76"/>
        <v>14.15730337</v>
      </c>
      <c r="M92" s="50">
        <v>28760.0</v>
      </c>
      <c r="N92" s="49">
        <f t="shared" si="77"/>
        <v>1811880</v>
      </c>
      <c r="R92" s="80" t="str">
        <f t="shared" si="56"/>
        <v/>
      </c>
    </row>
    <row r="93">
      <c r="A93" s="35">
        <v>46172.0</v>
      </c>
      <c r="B93" s="46" t="s">
        <v>22</v>
      </c>
      <c r="C93" s="37">
        <v>223297.0</v>
      </c>
      <c r="D93" s="37">
        <v>223828.0</v>
      </c>
      <c r="E93" s="12">
        <f t="shared" si="72"/>
        <v>531</v>
      </c>
      <c r="F93" s="47">
        <v>70.0</v>
      </c>
      <c r="G93" s="14">
        <f t="shared" si="73"/>
        <v>13.1826742</v>
      </c>
      <c r="H93" s="40">
        <v>32316.0</v>
      </c>
      <c r="I93" s="40">
        <v>32775.0</v>
      </c>
      <c r="J93" s="37">
        <f t="shared" si="74"/>
        <v>459</v>
      </c>
      <c r="K93" s="52">
        <f t="shared" si="75"/>
        <v>70</v>
      </c>
      <c r="L93" s="48">
        <f t="shared" si="76"/>
        <v>15.25054466</v>
      </c>
      <c r="M93" s="50">
        <v>27650.0</v>
      </c>
      <c r="N93" s="49">
        <f t="shared" si="77"/>
        <v>1935500</v>
      </c>
      <c r="R93" s="80" t="str">
        <f t="shared" si="56"/>
        <v/>
      </c>
    </row>
    <row r="94">
      <c r="A94" s="92"/>
      <c r="B94" s="46" t="s">
        <v>22</v>
      </c>
      <c r="C94" s="37"/>
      <c r="D94" s="37"/>
      <c r="E94" s="12">
        <f t="shared" si="72"/>
        <v>0</v>
      </c>
      <c r="F94" s="47"/>
      <c r="G94" s="14" t="str">
        <f t="shared" si="73"/>
        <v>#DIV/0!</v>
      </c>
      <c r="H94" s="40"/>
      <c r="I94" s="40"/>
      <c r="J94" s="37">
        <f t="shared" si="74"/>
        <v>0</v>
      </c>
      <c r="K94" s="52" t="str">
        <f t="shared" si="75"/>
        <v/>
      </c>
      <c r="L94" s="48" t="str">
        <f t="shared" si="76"/>
        <v>#DIV/0!</v>
      </c>
      <c r="M94" s="50"/>
      <c r="N94" s="49">
        <f t="shared" si="77"/>
        <v>0</v>
      </c>
      <c r="R94" s="80" t="str">
        <f t="shared" si="56"/>
        <v/>
      </c>
    </row>
    <row r="95">
      <c r="A95" s="97"/>
      <c r="B95" s="46" t="s">
        <v>22</v>
      </c>
      <c r="C95" s="37"/>
      <c r="D95" s="55"/>
      <c r="E95" s="25">
        <f t="shared" si="72"/>
        <v>0</v>
      </c>
      <c r="F95" s="47"/>
      <c r="G95" s="56" t="str">
        <f t="shared" si="73"/>
        <v>#DIV/0!</v>
      </c>
      <c r="H95" s="40"/>
      <c r="I95" s="57"/>
      <c r="J95" s="55">
        <f t="shared" si="74"/>
        <v>0</v>
      </c>
      <c r="K95" s="52" t="str">
        <f t="shared" si="75"/>
        <v/>
      </c>
      <c r="L95" s="77" t="str">
        <f t="shared" si="76"/>
        <v>#DIV/0!</v>
      </c>
      <c r="M95" s="58"/>
      <c r="N95" s="59">
        <f t="shared" si="77"/>
        <v>0</v>
      </c>
      <c r="R95" s="80" t="str">
        <f t="shared" si="56"/>
        <v/>
      </c>
    </row>
    <row r="96">
      <c r="A96" s="97"/>
      <c r="B96" s="46" t="s">
        <v>22</v>
      </c>
      <c r="C96" s="55"/>
      <c r="D96" s="55"/>
      <c r="E96" s="25">
        <f t="shared" si="72"/>
        <v>0</v>
      </c>
      <c r="F96" s="47"/>
      <c r="G96" s="56" t="str">
        <f t="shared" si="73"/>
        <v>#DIV/0!</v>
      </c>
      <c r="H96" s="57"/>
      <c r="I96" s="57"/>
      <c r="J96" s="55">
        <f t="shared" si="74"/>
        <v>0</v>
      </c>
      <c r="K96" s="52" t="str">
        <f t="shared" si="75"/>
        <v/>
      </c>
      <c r="L96" s="77" t="str">
        <f t="shared" si="76"/>
        <v>#DIV/0!</v>
      </c>
      <c r="M96" s="58"/>
      <c r="N96" s="59">
        <f t="shared" si="77"/>
        <v>0</v>
      </c>
      <c r="R96" s="80" t="str">
        <f t="shared" si="56"/>
        <v/>
      </c>
    </row>
    <row r="97">
      <c r="A97" s="62"/>
      <c r="B97" s="63"/>
      <c r="C97" s="62"/>
      <c r="D97" s="64" t="s">
        <v>19</v>
      </c>
      <c r="E97" s="64">
        <f>sum(E89:E95)</f>
        <v>2420</v>
      </c>
      <c r="F97" s="64">
        <f>sum(F88:F95)</f>
        <v>311</v>
      </c>
      <c r="G97" s="65" t="str">
        <f>average(G89:G95)</f>
        <v>#DIV/0!</v>
      </c>
      <c r="H97" s="62"/>
      <c r="I97" s="66"/>
      <c r="J97" s="64">
        <f t="shared" ref="J97:K97" si="78">sum(J89:J95)</f>
        <v>2269</v>
      </c>
      <c r="K97" s="64">
        <f t="shared" si="78"/>
        <v>311</v>
      </c>
      <c r="L97" s="65" t="str">
        <f>average(L89:L95)</f>
        <v>#DIV/0!</v>
      </c>
      <c r="M97" s="68"/>
      <c r="N97" s="69">
        <f>sum(N89:N96)</f>
        <v>8658400</v>
      </c>
      <c r="R97" s="80" t="str">
        <f t="shared" si="56"/>
        <v/>
      </c>
    </row>
    <row r="98">
      <c r="A98" s="98">
        <v>46149.0</v>
      </c>
      <c r="B98" s="99" t="s">
        <v>38</v>
      </c>
      <c r="C98" s="100">
        <v>177438.0</v>
      </c>
      <c r="D98" s="37">
        <v>177965.0</v>
      </c>
      <c r="E98" s="38">
        <f t="shared" ref="E98:E103" si="79">D98-C98</f>
        <v>527</v>
      </c>
      <c r="F98" s="39">
        <v>64.0</v>
      </c>
      <c r="G98" s="14">
        <f t="shared" ref="G98:G103" si="80">(F98/E98)*100</f>
        <v>12.14421252</v>
      </c>
      <c r="H98" s="40">
        <v>32807.0</v>
      </c>
      <c r="I98" s="40">
        <v>33311.0</v>
      </c>
      <c r="J98" s="41">
        <f t="shared" ref="J98:J103" si="81">I98-H98</f>
        <v>504</v>
      </c>
      <c r="K98" s="81">
        <f t="shared" ref="K98:K103" si="82">F98</f>
        <v>64</v>
      </c>
      <c r="L98" s="71">
        <f t="shared" ref="L98:L103" si="83">(K98/J98)*100</f>
        <v>12.6984127</v>
      </c>
      <c r="M98" s="72">
        <v>27490.0</v>
      </c>
      <c r="N98" s="44">
        <f t="shared" ref="N98:N103" si="84">F98*M98</f>
        <v>1759360</v>
      </c>
      <c r="R98" s="80" t="str">
        <f t="shared" si="56"/>
        <v/>
      </c>
    </row>
    <row r="99">
      <c r="A99" s="101">
        <v>46155.0</v>
      </c>
      <c r="B99" s="46" t="s">
        <v>38</v>
      </c>
      <c r="C99" s="37">
        <v>177965.0</v>
      </c>
      <c r="D99" s="37">
        <v>178500.0</v>
      </c>
      <c r="E99" s="12">
        <f t="shared" si="79"/>
        <v>535</v>
      </c>
      <c r="F99" s="47">
        <v>66.0</v>
      </c>
      <c r="G99" s="14">
        <f t="shared" si="80"/>
        <v>12.3364486</v>
      </c>
      <c r="H99" s="40">
        <v>33311.0</v>
      </c>
      <c r="I99" s="40">
        <v>33863.0</v>
      </c>
      <c r="J99" s="37">
        <f t="shared" si="81"/>
        <v>552</v>
      </c>
      <c r="K99" s="52">
        <f t="shared" si="82"/>
        <v>66</v>
      </c>
      <c r="L99" s="48">
        <f t="shared" si="83"/>
        <v>11.95652174</v>
      </c>
      <c r="M99" s="72">
        <v>27490.0</v>
      </c>
      <c r="N99" s="49">
        <f t="shared" si="84"/>
        <v>1814340</v>
      </c>
      <c r="R99" s="80" t="str">
        <f t="shared" si="56"/>
        <v/>
      </c>
    </row>
    <row r="100">
      <c r="A100" s="101">
        <v>46162.0</v>
      </c>
      <c r="B100" s="46" t="s">
        <v>38</v>
      </c>
      <c r="C100" s="37">
        <v>178500.0</v>
      </c>
      <c r="D100" s="37">
        <v>179010.0</v>
      </c>
      <c r="E100" s="12">
        <f t="shared" si="79"/>
        <v>510</v>
      </c>
      <c r="F100" s="47">
        <v>71.0</v>
      </c>
      <c r="G100" s="14">
        <f t="shared" si="80"/>
        <v>13.92156863</v>
      </c>
      <c r="H100" s="40">
        <v>33863.0</v>
      </c>
      <c r="I100" s="40">
        <v>34400.0</v>
      </c>
      <c r="J100" s="37">
        <f t="shared" si="81"/>
        <v>537</v>
      </c>
      <c r="K100" s="52">
        <f t="shared" si="82"/>
        <v>71</v>
      </c>
      <c r="L100" s="48">
        <f t="shared" si="83"/>
        <v>13.22160149</v>
      </c>
      <c r="M100" s="50">
        <v>27220.0</v>
      </c>
      <c r="N100" s="49">
        <f t="shared" si="84"/>
        <v>1932620</v>
      </c>
      <c r="R100" s="80" t="str">
        <f t="shared" si="56"/>
        <v/>
      </c>
    </row>
    <row r="101">
      <c r="A101" s="101">
        <v>46170.0</v>
      </c>
      <c r="B101" s="46" t="s">
        <v>38</v>
      </c>
      <c r="C101" s="37">
        <v>179010.0</v>
      </c>
      <c r="D101" s="37">
        <v>179531.0</v>
      </c>
      <c r="E101" s="12">
        <f t="shared" si="79"/>
        <v>521</v>
      </c>
      <c r="F101" s="47">
        <v>63.0</v>
      </c>
      <c r="G101" s="14">
        <f t="shared" si="80"/>
        <v>12.09213052</v>
      </c>
      <c r="H101" s="40">
        <v>34400.0</v>
      </c>
      <c r="I101" s="40">
        <v>34892.0</v>
      </c>
      <c r="J101" s="37">
        <f t="shared" si="81"/>
        <v>492</v>
      </c>
      <c r="K101" s="52">
        <f t="shared" si="82"/>
        <v>63</v>
      </c>
      <c r="L101" s="48">
        <f t="shared" si="83"/>
        <v>12.80487805</v>
      </c>
      <c r="M101" s="50">
        <v>28760.0</v>
      </c>
      <c r="N101" s="49">
        <f t="shared" si="84"/>
        <v>1811880</v>
      </c>
      <c r="R101" s="80" t="str">
        <f t="shared" si="56"/>
        <v/>
      </c>
    </row>
    <row r="102">
      <c r="A102" s="101"/>
      <c r="B102" s="46" t="s">
        <v>38</v>
      </c>
      <c r="C102" s="37"/>
      <c r="D102" s="100"/>
      <c r="E102" s="12">
        <f t="shared" si="79"/>
        <v>0</v>
      </c>
      <c r="F102" s="47"/>
      <c r="G102" s="14" t="str">
        <f t="shared" si="80"/>
        <v>#DIV/0!</v>
      </c>
      <c r="H102" s="40"/>
      <c r="I102" s="40"/>
      <c r="J102" s="37">
        <f t="shared" si="81"/>
        <v>0</v>
      </c>
      <c r="K102" s="52" t="str">
        <f t="shared" si="82"/>
        <v/>
      </c>
      <c r="L102" s="48" t="str">
        <f t="shared" si="83"/>
        <v>#DIV/0!</v>
      </c>
      <c r="M102" s="50"/>
      <c r="N102" s="49">
        <f t="shared" si="84"/>
        <v>0</v>
      </c>
      <c r="R102" s="80" t="str">
        <f t="shared" si="56"/>
        <v/>
      </c>
    </row>
    <row r="103">
      <c r="A103" s="102"/>
      <c r="B103" s="103" t="s">
        <v>38</v>
      </c>
      <c r="C103" s="104"/>
      <c r="D103" s="105"/>
      <c r="E103" s="12">
        <f t="shared" si="79"/>
        <v>0</v>
      </c>
      <c r="F103" s="47"/>
      <c r="G103" s="106" t="str">
        <f t="shared" si="80"/>
        <v>#DIV/0!</v>
      </c>
      <c r="H103" s="107"/>
      <c r="I103" s="108"/>
      <c r="J103" s="107">
        <f t="shared" si="81"/>
        <v>0</v>
      </c>
      <c r="K103" s="52" t="str">
        <f t="shared" si="82"/>
        <v/>
      </c>
      <c r="L103" s="109" t="str">
        <f t="shared" si="83"/>
        <v>#DIV/0!</v>
      </c>
      <c r="M103" s="110"/>
      <c r="N103" s="111">
        <f t="shared" si="84"/>
        <v>0</v>
      </c>
      <c r="R103" s="80" t="str">
        <f t="shared" si="56"/>
        <v/>
      </c>
    </row>
    <row r="104">
      <c r="A104" s="112"/>
      <c r="B104" s="113"/>
      <c r="C104" s="114"/>
      <c r="D104" s="115" t="s">
        <v>19</v>
      </c>
      <c r="E104" s="116">
        <f>SUM(E98:E103)</f>
        <v>2093</v>
      </c>
      <c r="F104" s="64">
        <f>sum(F95:F103)</f>
        <v>575</v>
      </c>
      <c r="G104" s="117" t="str">
        <f>average(G98:G103)</f>
        <v>#DIV/0!</v>
      </c>
      <c r="H104" s="114"/>
      <c r="I104" s="118"/>
      <c r="J104" s="115">
        <f t="shared" ref="J104:K104" si="85">sum(J98:J103)</f>
        <v>2085</v>
      </c>
      <c r="K104" s="115">
        <f t="shared" si="85"/>
        <v>264</v>
      </c>
      <c r="L104" s="119" t="str">
        <f>average(L98:L103)</f>
        <v>#DIV/0!</v>
      </c>
      <c r="M104" s="120"/>
      <c r="N104" s="121">
        <f>sum(N98:N103)</f>
        <v>7318200</v>
      </c>
      <c r="R104" s="80" t="str">
        <f t="shared" si="56"/>
        <v/>
      </c>
    </row>
    <row r="105">
      <c r="A105" s="122">
        <v>46149.0</v>
      </c>
      <c r="B105" s="123" t="s">
        <v>39</v>
      </c>
      <c r="C105" s="37">
        <v>130976.0</v>
      </c>
      <c r="D105" s="37">
        <v>131531.0</v>
      </c>
      <c r="E105" s="38">
        <f t="shared" ref="E105:E111" si="86">D105-C105</f>
        <v>555</v>
      </c>
      <c r="F105" s="39">
        <v>67.0</v>
      </c>
      <c r="G105" s="124">
        <f t="shared" ref="G105:G111" si="87">(F105/E105)*100</f>
        <v>12.07207207</v>
      </c>
      <c r="H105" s="40">
        <v>35213.0</v>
      </c>
      <c r="I105" s="37">
        <v>35665.0</v>
      </c>
      <c r="J105" s="89">
        <f t="shared" ref="J105:J111" si="88">I105-H105</f>
        <v>452</v>
      </c>
      <c r="K105" s="81">
        <f t="shared" ref="K105:K111" si="89">F105</f>
        <v>67</v>
      </c>
      <c r="L105" s="125">
        <f t="shared" ref="L105:L111" si="90">(K105/J105)*100</f>
        <v>14.82300885</v>
      </c>
      <c r="M105" s="126">
        <v>28170.0</v>
      </c>
      <c r="N105" s="49">
        <f t="shared" ref="N105:N111" si="91">F105*M105</f>
        <v>1887390</v>
      </c>
      <c r="R105" s="80" t="str">
        <f t="shared" si="56"/>
        <v/>
      </c>
    </row>
    <row r="106">
      <c r="A106" s="127">
        <v>46155.0</v>
      </c>
      <c r="B106" s="46" t="s">
        <v>39</v>
      </c>
      <c r="C106" s="37">
        <v>131531.0</v>
      </c>
      <c r="D106" s="37">
        <v>132056.0</v>
      </c>
      <c r="E106" s="12">
        <f t="shared" si="86"/>
        <v>525</v>
      </c>
      <c r="F106" s="47">
        <v>62.0</v>
      </c>
      <c r="G106" s="14">
        <f t="shared" si="87"/>
        <v>11.80952381</v>
      </c>
      <c r="H106" s="37">
        <v>35665.0</v>
      </c>
      <c r="I106" s="13">
        <v>36329.0</v>
      </c>
      <c r="J106" s="37">
        <f t="shared" si="88"/>
        <v>664</v>
      </c>
      <c r="K106" s="81">
        <f t="shared" si="89"/>
        <v>62</v>
      </c>
      <c r="L106" s="48">
        <f t="shared" si="90"/>
        <v>9.337349398</v>
      </c>
      <c r="M106" s="50">
        <v>27490.0</v>
      </c>
      <c r="N106" s="49">
        <f t="shared" si="91"/>
        <v>1704380</v>
      </c>
      <c r="R106" s="80" t="str">
        <f t="shared" si="56"/>
        <v/>
      </c>
    </row>
    <row r="107">
      <c r="A107" s="127">
        <v>46160.0</v>
      </c>
      <c r="B107" s="46" t="s">
        <v>39</v>
      </c>
      <c r="C107" s="37">
        <v>132056.0</v>
      </c>
      <c r="D107" s="37">
        <v>132500.0</v>
      </c>
      <c r="E107" s="12">
        <f t="shared" si="86"/>
        <v>444</v>
      </c>
      <c r="F107" s="47">
        <v>50.0</v>
      </c>
      <c r="G107" s="14">
        <f t="shared" si="87"/>
        <v>11.26126126</v>
      </c>
      <c r="H107" s="13">
        <v>36329.0</v>
      </c>
      <c r="I107" s="37">
        <v>36622.0</v>
      </c>
      <c r="J107" s="37">
        <f t="shared" si="88"/>
        <v>293</v>
      </c>
      <c r="K107" s="81">
        <f t="shared" si="89"/>
        <v>50</v>
      </c>
      <c r="L107" s="48">
        <f t="shared" si="90"/>
        <v>17.06484642</v>
      </c>
      <c r="M107" s="50">
        <v>27220.0</v>
      </c>
      <c r="N107" s="49">
        <f t="shared" si="91"/>
        <v>1361000</v>
      </c>
      <c r="P107" s="82"/>
      <c r="R107" s="80" t="str">
        <f t="shared" si="56"/>
        <v/>
      </c>
    </row>
    <row r="108">
      <c r="A108" s="127">
        <v>46167.0</v>
      </c>
      <c r="B108" s="46" t="s">
        <v>39</v>
      </c>
      <c r="C108" s="37">
        <v>132500.0</v>
      </c>
      <c r="D108" s="37">
        <v>132971.0</v>
      </c>
      <c r="E108" s="12">
        <f t="shared" si="86"/>
        <v>471</v>
      </c>
      <c r="F108" s="47">
        <v>50.0</v>
      </c>
      <c r="G108" s="14">
        <f t="shared" si="87"/>
        <v>10.61571125</v>
      </c>
      <c r="H108" s="37">
        <v>36622.0</v>
      </c>
      <c r="I108" s="37">
        <v>37127.0</v>
      </c>
      <c r="J108" s="37">
        <f t="shared" si="88"/>
        <v>505</v>
      </c>
      <c r="K108" s="52">
        <f t="shared" si="89"/>
        <v>50</v>
      </c>
      <c r="L108" s="48">
        <f t="shared" si="90"/>
        <v>9.900990099</v>
      </c>
      <c r="M108" s="50">
        <v>28760.0</v>
      </c>
      <c r="N108" s="49">
        <f t="shared" si="91"/>
        <v>1438000</v>
      </c>
      <c r="R108" s="80" t="str">
        <f t="shared" si="56"/>
        <v/>
      </c>
    </row>
    <row r="109">
      <c r="A109" s="35">
        <v>46172.0</v>
      </c>
      <c r="B109" s="46" t="s">
        <v>39</v>
      </c>
      <c r="C109" s="37">
        <v>132971.0</v>
      </c>
      <c r="D109" s="37">
        <v>133547.0</v>
      </c>
      <c r="E109" s="12">
        <f t="shared" si="86"/>
        <v>576</v>
      </c>
      <c r="F109" s="47">
        <v>63.0</v>
      </c>
      <c r="G109" s="14">
        <f t="shared" si="87"/>
        <v>10.9375</v>
      </c>
      <c r="H109" s="37">
        <v>37127.0</v>
      </c>
      <c r="I109" s="40">
        <v>37622.0</v>
      </c>
      <c r="J109" s="37">
        <f t="shared" si="88"/>
        <v>495</v>
      </c>
      <c r="K109" s="52">
        <f t="shared" si="89"/>
        <v>63</v>
      </c>
      <c r="L109" s="48">
        <f t="shared" si="90"/>
        <v>12.72727273</v>
      </c>
      <c r="M109" s="50">
        <v>27650.0</v>
      </c>
      <c r="N109" s="49">
        <f t="shared" si="91"/>
        <v>1741950</v>
      </c>
      <c r="R109" s="80" t="str">
        <f t="shared" si="56"/>
        <v/>
      </c>
    </row>
    <row r="110">
      <c r="A110" s="35"/>
      <c r="B110" s="46" t="s">
        <v>39</v>
      </c>
      <c r="C110" s="37"/>
      <c r="D110" s="37"/>
      <c r="E110" s="12">
        <f t="shared" si="86"/>
        <v>0</v>
      </c>
      <c r="F110" s="47"/>
      <c r="G110" s="14" t="str">
        <f t="shared" si="87"/>
        <v>#DIV/0!</v>
      </c>
      <c r="H110" s="40"/>
      <c r="I110" s="40"/>
      <c r="J110" s="37">
        <f t="shared" si="88"/>
        <v>0</v>
      </c>
      <c r="K110" s="52" t="str">
        <f t="shared" si="89"/>
        <v/>
      </c>
      <c r="L110" s="48" t="str">
        <f t="shared" si="90"/>
        <v>#DIV/0!</v>
      </c>
      <c r="M110" s="50"/>
      <c r="N110" s="49">
        <f t="shared" si="91"/>
        <v>0</v>
      </c>
      <c r="R110" s="80" t="str">
        <f t="shared" si="56"/>
        <v/>
      </c>
    </row>
    <row r="111">
      <c r="A111" s="35"/>
      <c r="B111" s="46" t="s">
        <v>39</v>
      </c>
      <c r="C111" s="37"/>
      <c r="D111" s="55"/>
      <c r="E111" s="25">
        <f t="shared" si="86"/>
        <v>0</v>
      </c>
      <c r="F111" s="47"/>
      <c r="G111" s="56" t="str">
        <f t="shared" si="87"/>
        <v>#DIV/0!</v>
      </c>
      <c r="H111" s="40"/>
      <c r="I111" s="57"/>
      <c r="J111" s="55">
        <f t="shared" si="88"/>
        <v>0</v>
      </c>
      <c r="K111" s="52" t="str">
        <f t="shared" si="89"/>
        <v/>
      </c>
      <c r="L111" s="77" t="str">
        <f t="shared" si="90"/>
        <v>#DIV/0!</v>
      </c>
      <c r="M111" s="58"/>
      <c r="N111" s="49">
        <f t="shared" si="91"/>
        <v>0</v>
      </c>
      <c r="R111" s="80" t="str">
        <f t="shared" si="56"/>
        <v/>
      </c>
    </row>
    <row r="112">
      <c r="A112" s="62"/>
      <c r="B112" s="63"/>
      <c r="C112" s="62"/>
      <c r="D112" s="64" t="s">
        <v>19</v>
      </c>
      <c r="E112" s="64">
        <f>sum(E98:E111)</f>
        <v>6757</v>
      </c>
      <c r="F112" s="64">
        <f>sum(F104:F111)</f>
        <v>867</v>
      </c>
      <c r="G112" s="65" t="str">
        <f>average(G98:G111)</f>
        <v>#DIV/0!</v>
      </c>
      <c r="H112" s="62"/>
      <c r="I112" s="66"/>
      <c r="J112" s="64">
        <f t="shared" ref="J112:K112" si="92">sum(J98:J111)</f>
        <v>6579</v>
      </c>
      <c r="K112" s="64">
        <f t="shared" si="92"/>
        <v>820</v>
      </c>
      <c r="L112" s="65" t="str">
        <f>average(L98:L111)</f>
        <v>#DIV/0!</v>
      </c>
      <c r="M112" s="68"/>
      <c r="N112" s="69">
        <f>sum(N105:N111)</f>
        <v>8132720</v>
      </c>
      <c r="R112" s="80" t="str">
        <f t="shared" si="56"/>
        <v/>
      </c>
    </row>
    <row r="113">
      <c r="A113" s="70">
        <v>46150.0</v>
      </c>
      <c r="B113" s="99" t="s">
        <v>40</v>
      </c>
      <c r="C113" s="37">
        <v>126905.0</v>
      </c>
      <c r="D113" s="13">
        <v>127479.0</v>
      </c>
      <c r="E113" s="38">
        <f t="shared" ref="E113:E119" si="93">D113-C113</f>
        <v>574</v>
      </c>
      <c r="F113" s="39">
        <v>71.0</v>
      </c>
      <c r="G113" s="14">
        <f t="shared" ref="G113:G119" si="94">(F113/E113)*100</f>
        <v>12.36933798</v>
      </c>
      <c r="H113" s="40">
        <v>124883.0</v>
      </c>
      <c r="I113" s="40">
        <v>125576.0</v>
      </c>
      <c r="J113" s="41">
        <f t="shared" ref="J113:J119" si="95">I113-H113</f>
        <v>693</v>
      </c>
      <c r="K113" s="81">
        <f t="shared" ref="K113:K119" si="96">F113</f>
        <v>71</v>
      </c>
      <c r="L113" s="71">
        <f t="shared" ref="L113:L119" si="97">(K113/J113)*100</f>
        <v>10.24531025</v>
      </c>
      <c r="M113" s="72">
        <v>27490.0</v>
      </c>
      <c r="N113" s="44">
        <f t="shared" ref="N113:N119" si="98">F113*M113</f>
        <v>1951790</v>
      </c>
      <c r="R113" s="80" t="str">
        <f t="shared" si="56"/>
        <v/>
      </c>
    </row>
    <row r="114">
      <c r="A114" s="45">
        <v>46155.0</v>
      </c>
      <c r="B114" s="51" t="s">
        <v>40</v>
      </c>
      <c r="C114" s="13">
        <v>127479.0</v>
      </c>
      <c r="D114" s="11">
        <v>128088.0</v>
      </c>
      <c r="E114" s="53">
        <f t="shared" si="93"/>
        <v>609</v>
      </c>
      <c r="F114" s="54">
        <v>72.0</v>
      </c>
      <c r="G114" s="14">
        <f t="shared" si="94"/>
        <v>11.8226601</v>
      </c>
      <c r="H114" s="40">
        <v>125576.0</v>
      </c>
      <c r="I114" s="11">
        <v>126088.0</v>
      </c>
      <c r="J114" s="37">
        <f t="shared" si="95"/>
        <v>512</v>
      </c>
      <c r="K114" s="52">
        <f t="shared" si="96"/>
        <v>72</v>
      </c>
      <c r="L114" s="48">
        <f t="shared" si="97"/>
        <v>14.0625</v>
      </c>
      <c r="M114" s="72">
        <v>27490.0</v>
      </c>
      <c r="N114" s="49">
        <f t="shared" si="98"/>
        <v>1979280</v>
      </c>
      <c r="R114" s="80" t="str">
        <f t="shared" si="56"/>
        <v/>
      </c>
    </row>
    <row r="115">
      <c r="A115" s="35">
        <v>46161.0</v>
      </c>
      <c r="B115" s="46" t="s">
        <v>40</v>
      </c>
      <c r="C115" s="11">
        <v>128088.0</v>
      </c>
      <c r="D115" s="13">
        <v>128638.0</v>
      </c>
      <c r="E115" s="12">
        <f t="shared" si="93"/>
        <v>550</v>
      </c>
      <c r="F115" s="47">
        <v>67.0</v>
      </c>
      <c r="G115" s="14">
        <f t="shared" si="94"/>
        <v>12.18181818</v>
      </c>
      <c r="H115" s="11">
        <v>126088.0</v>
      </c>
      <c r="I115" s="40">
        <v>126551.0</v>
      </c>
      <c r="J115" s="37">
        <f t="shared" si="95"/>
        <v>463</v>
      </c>
      <c r="K115" s="52">
        <f t="shared" si="96"/>
        <v>67</v>
      </c>
      <c r="L115" s="48">
        <f t="shared" si="97"/>
        <v>14.47084233</v>
      </c>
      <c r="M115" s="50">
        <v>27220.0</v>
      </c>
      <c r="N115" s="49">
        <f t="shared" si="98"/>
        <v>1823740</v>
      </c>
      <c r="R115" s="80" t="str">
        <f t="shared" si="56"/>
        <v/>
      </c>
    </row>
    <row r="116">
      <c r="A116" s="35">
        <v>46168.0</v>
      </c>
      <c r="B116" s="46" t="s">
        <v>40</v>
      </c>
      <c r="C116" s="13">
        <v>128638.0</v>
      </c>
      <c r="D116" s="13">
        <v>129218.0</v>
      </c>
      <c r="E116" s="12">
        <f t="shared" si="93"/>
        <v>580</v>
      </c>
      <c r="F116" s="47">
        <v>71.0</v>
      </c>
      <c r="G116" s="14">
        <f t="shared" si="94"/>
        <v>12.24137931</v>
      </c>
      <c r="H116" s="40">
        <v>126551.0</v>
      </c>
      <c r="I116" s="40">
        <v>127096.0</v>
      </c>
      <c r="J116" s="37">
        <f t="shared" si="95"/>
        <v>545</v>
      </c>
      <c r="K116" s="52">
        <f t="shared" si="96"/>
        <v>71</v>
      </c>
      <c r="L116" s="48">
        <f t="shared" si="97"/>
        <v>13.02752294</v>
      </c>
      <c r="M116" s="50">
        <v>28760.0</v>
      </c>
      <c r="N116" s="49">
        <f t="shared" si="98"/>
        <v>2041960</v>
      </c>
      <c r="R116" s="80" t="str">
        <f t="shared" si="56"/>
        <v/>
      </c>
    </row>
    <row r="117">
      <c r="A117" s="35"/>
      <c r="B117" s="46" t="s">
        <v>40</v>
      </c>
      <c r="C117" s="13"/>
      <c r="D117" s="37"/>
      <c r="E117" s="12">
        <f t="shared" si="93"/>
        <v>0</v>
      </c>
      <c r="F117" s="47"/>
      <c r="G117" s="14" t="str">
        <f t="shared" si="94"/>
        <v>#DIV/0!</v>
      </c>
      <c r="H117" s="40"/>
      <c r="I117" s="40"/>
      <c r="J117" s="37">
        <f t="shared" si="95"/>
        <v>0</v>
      </c>
      <c r="K117" s="52" t="str">
        <f t="shared" si="96"/>
        <v/>
      </c>
      <c r="L117" s="48" t="str">
        <f t="shared" si="97"/>
        <v>#DIV/0!</v>
      </c>
      <c r="M117" s="50"/>
      <c r="N117" s="49">
        <f t="shared" si="98"/>
        <v>0</v>
      </c>
      <c r="R117" s="80" t="str">
        <f t="shared" si="56"/>
        <v/>
      </c>
    </row>
    <row r="118">
      <c r="A118" s="35"/>
      <c r="B118" s="46" t="s">
        <v>40</v>
      </c>
      <c r="C118" s="37"/>
      <c r="D118" s="37"/>
      <c r="E118" s="12">
        <f t="shared" si="93"/>
        <v>0</v>
      </c>
      <c r="F118" s="47"/>
      <c r="G118" s="14" t="str">
        <f t="shared" si="94"/>
        <v>#DIV/0!</v>
      </c>
      <c r="H118" s="40"/>
      <c r="I118" s="40"/>
      <c r="J118" s="37">
        <f t="shared" si="95"/>
        <v>0</v>
      </c>
      <c r="K118" s="52" t="str">
        <f t="shared" si="96"/>
        <v/>
      </c>
      <c r="L118" s="48" t="str">
        <f t="shared" si="97"/>
        <v>#DIV/0!</v>
      </c>
      <c r="M118" s="50"/>
      <c r="N118" s="49">
        <f t="shared" si="98"/>
        <v>0</v>
      </c>
      <c r="R118" s="80" t="str">
        <f t="shared" si="56"/>
        <v/>
      </c>
    </row>
    <row r="119">
      <c r="A119" s="94"/>
      <c r="B119" s="46" t="s">
        <v>40</v>
      </c>
      <c r="C119" s="55"/>
      <c r="D119" s="95"/>
      <c r="E119" s="25">
        <f t="shared" si="93"/>
        <v>0</v>
      </c>
      <c r="F119" s="47"/>
      <c r="G119" s="56" t="str">
        <f t="shared" si="94"/>
        <v>#DIV/0!</v>
      </c>
      <c r="H119" s="55"/>
      <c r="I119" s="85"/>
      <c r="J119" s="55">
        <f t="shared" si="95"/>
        <v>0</v>
      </c>
      <c r="K119" s="52" t="str">
        <f t="shared" si="96"/>
        <v/>
      </c>
      <c r="L119" s="77" t="str">
        <f t="shared" si="97"/>
        <v>#DIV/0!</v>
      </c>
      <c r="M119" s="96"/>
      <c r="N119" s="59">
        <f t="shared" si="98"/>
        <v>0</v>
      </c>
      <c r="R119" s="80" t="str">
        <f t="shared" si="56"/>
        <v/>
      </c>
    </row>
    <row r="120">
      <c r="A120" s="62"/>
      <c r="B120" s="63"/>
      <c r="C120" s="62"/>
      <c r="D120" s="64" t="s">
        <v>19</v>
      </c>
      <c r="E120" s="64">
        <f>sum(E113:E119)</f>
        <v>2313</v>
      </c>
      <c r="F120" s="39"/>
      <c r="G120" s="65" t="str">
        <f>average(G113:G119)</f>
        <v>#DIV/0!</v>
      </c>
      <c r="H120" s="62"/>
      <c r="I120" s="66"/>
      <c r="J120" s="64">
        <f t="shared" ref="J120:K120" si="99">sum(J113:J119)</f>
        <v>2213</v>
      </c>
      <c r="K120" s="64">
        <f t="shared" si="99"/>
        <v>281</v>
      </c>
      <c r="L120" s="65" t="str">
        <f>average(L113:L119)</f>
        <v>#DIV/0!</v>
      </c>
      <c r="M120" s="68"/>
      <c r="N120" s="69">
        <f>sum(N113:N119)</f>
        <v>7796770</v>
      </c>
      <c r="R120" s="80" t="str">
        <f t="shared" si="56"/>
        <v/>
      </c>
    </row>
    <row r="121">
      <c r="A121" s="70">
        <v>46150.0</v>
      </c>
      <c r="B121" s="99" t="s">
        <v>41</v>
      </c>
      <c r="C121" s="37">
        <v>179863.0</v>
      </c>
      <c r="D121" s="37">
        <v>180409.0</v>
      </c>
      <c r="E121" s="38">
        <f t="shared" ref="E121:E127" si="100">D121-C121</f>
        <v>546</v>
      </c>
      <c r="F121" s="39">
        <v>69.0</v>
      </c>
      <c r="G121" s="14">
        <f t="shared" ref="G121:G127" si="101">(F121/E121)*100</f>
        <v>12.63736264</v>
      </c>
      <c r="H121" s="40">
        <v>23486.0</v>
      </c>
      <c r="I121" s="40">
        <v>24073.0</v>
      </c>
      <c r="J121" s="41">
        <f t="shared" ref="J121:J127" si="102">I121-H121</f>
        <v>587</v>
      </c>
      <c r="K121" s="81">
        <f t="shared" ref="K121:K127" si="103">F121</f>
        <v>69</v>
      </c>
      <c r="L121" s="71">
        <f t="shared" ref="L121:L127" si="104">(K121/J121)*100</f>
        <v>11.75468484</v>
      </c>
      <c r="M121" s="43">
        <v>27490.0</v>
      </c>
      <c r="N121" s="44">
        <f t="shared" ref="N121:N127" si="105">F121*M121</f>
        <v>1896810</v>
      </c>
      <c r="R121" s="80" t="str">
        <f t="shared" si="56"/>
        <v/>
      </c>
    </row>
    <row r="122">
      <c r="A122" s="128">
        <v>46158.0</v>
      </c>
      <c r="B122" s="129" t="s">
        <v>41</v>
      </c>
      <c r="C122" s="37">
        <v>180409.0</v>
      </c>
      <c r="D122" s="53">
        <v>181023.0</v>
      </c>
      <c r="E122" s="53">
        <f t="shared" si="100"/>
        <v>614</v>
      </c>
      <c r="F122" s="130">
        <v>70.0</v>
      </c>
      <c r="G122" s="14">
        <f t="shared" si="101"/>
        <v>11.40065147</v>
      </c>
      <c r="H122" s="40">
        <v>24073.0</v>
      </c>
      <c r="I122" s="40">
        <v>24628.0</v>
      </c>
      <c r="J122" s="37">
        <f t="shared" si="102"/>
        <v>555</v>
      </c>
      <c r="K122" s="52">
        <f t="shared" si="103"/>
        <v>70</v>
      </c>
      <c r="L122" s="48">
        <f t="shared" si="104"/>
        <v>12.61261261</v>
      </c>
      <c r="M122" s="50">
        <v>27220.0</v>
      </c>
      <c r="N122" s="131">
        <f t="shared" si="105"/>
        <v>1905400</v>
      </c>
      <c r="R122" s="80" t="str">
        <f t="shared" si="56"/>
        <v/>
      </c>
    </row>
    <row r="123">
      <c r="A123" s="128">
        <v>46172.0</v>
      </c>
      <c r="B123" s="129" t="s">
        <v>41</v>
      </c>
      <c r="C123" s="53">
        <v>181023.0</v>
      </c>
      <c r="D123" s="53">
        <v>182290.0</v>
      </c>
      <c r="E123" s="53">
        <f t="shared" si="100"/>
        <v>1267</v>
      </c>
      <c r="F123" s="130">
        <v>66.0</v>
      </c>
      <c r="G123" s="14">
        <f t="shared" si="101"/>
        <v>5.209155485</v>
      </c>
      <c r="H123" s="40">
        <v>24628.0</v>
      </c>
      <c r="I123" s="37">
        <v>25936.0</v>
      </c>
      <c r="J123" s="37">
        <f t="shared" si="102"/>
        <v>1308</v>
      </c>
      <c r="K123" s="52">
        <f t="shared" si="103"/>
        <v>66</v>
      </c>
      <c r="L123" s="48">
        <f t="shared" si="104"/>
        <v>5.04587156</v>
      </c>
      <c r="M123" s="50">
        <v>27650.0</v>
      </c>
      <c r="N123" s="131">
        <f t="shared" si="105"/>
        <v>1824900</v>
      </c>
      <c r="R123" s="80" t="str">
        <f t="shared" si="56"/>
        <v/>
      </c>
    </row>
    <row r="124">
      <c r="A124" s="35">
        <v>46166.0</v>
      </c>
      <c r="B124" s="46" t="s">
        <v>41</v>
      </c>
      <c r="C124" s="53"/>
      <c r="D124" s="37"/>
      <c r="E124" s="12">
        <f t="shared" si="100"/>
        <v>0</v>
      </c>
      <c r="F124" s="47">
        <v>67.0</v>
      </c>
      <c r="G124" s="14" t="str">
        <f t="shared" si="101"/>
        <v>#DIV/0!</v>
      </c>
      <c r="H124" s="37"/>
      <c r="I124" s="40"/>
      <c r="J124" s="37">
        <f t="shared" si="102"/>
        <v>0</v>
      </c>
      <c r="K124" s="52">
        <f t="shared" si="103"/>
        <v>67</v>
      </c>
      <c r="L124" s="48" t="str">
        <f t="shared" si="104"/>
        <v>#DIV/0!</v>
      </c>
      <c r="M124" s="50">
        <v>28760.0</v>
      </c>
      <c r="N124" s="131">
        <f t="shared" si="105"/>
        <v>1926920</v>
      </c>
      <c r="R124" s="80" t="str">
        <f t="shared" si="56"/>
        <v/>
      </c>
    </row>
    <row r="125">
      <c r="A125" s="35"/>
      <c r="B125" s="51" t="s">
        <v>41</v>
      </c>
      <c r="C125" s="37"/>
      <c r="D125" s="52"/>
      <c r="E125" s="12">
        <f t="shared" si="100"/>
        <v>0</v>
      </c>
      <c r="F125" s="47"/>
      <c r="G125" s="14" t="str">
        <f t="shared" si="101"/>
        <v>#DIV/0!</v>
      </c>
      <c r="H125" s="40"/>
      <c r="I125" s="40"/>
      <c r="J125" s="37">
        <f t="shared" si="102"/>
        <v>0</v>
      </c>
      <c r="K125" s="52" t="str">
        <f t="shared" si="103"/>
        <v/>
      </c>
      <c r="L125" s="48" t="str">
        <f t="shared" si="104"/>
        <v>#DIV/0!</v>
      </c>
      <c r="M125" s="50"/>
      <c r="N125" s="131">
        <f t="shared" si="105"/>
        <v>0</v>
      </c>
      <c r="R125" s="80" t="str">
        <f t="shared" si="56"/>
        <v/>
      </c>
    </row>
    <row r="126">
      <c r="A126" s="132"/>
      <c r="B126" s="46" t="s">
        <v>41</v>
      </c>
      <c r="C126" s="37"/>
      <c r="D126" s="133"/>
      <c r="E126" s="12">
        <f t="shared" si="100"/>
        <v>0</v>
      </c>
      <c r="F126" s="47"/>
      <c r="G126" s="14" t="str">
        <f t="shared" si="101"/>
        <v>#DIV/0!</v>
      </c>
      <c r="H126" s="37"/>
      <c r="I126" s="40"/>
      <c r="J126" s="37">
        <f t="shared" si="102"/>
        <v>0</v>
      </c>
      <c r="K126" s="52" t="str">
        <f t="shared" si="103"/>
        <v/>
      </c>
      <c r="L126" s="48" t="str">
        <f t="shared" si="104"/>
        <v>#DIV/0!</v>
      </c>
      <c r="M126" s="134"/>
      <c r="N126" s="131">
        <f t="shared" si="105"/>
        <v>0</v>
      </c>
      <c r="R126" s="80" t="str">
        <f t="shared" si="56"/>
        <v/>
      </c>
    </row>
    <row r="127">
      <c r="A127" s="94"/>
      <c r="B127" s="46" t="s">
        <v>41</v>
      </c>
      <c r="C127" s="55"/>
      <c r="D127" s="95"/>
      <c r="E127" s="25">
        <f t="shared" si="100"/>
        <v>0</v>
      </c>
      <c r="F127" s="47"/>
      <c r="G127" s="56" t="str">
        <f t="shared" si="101"/>
        <v>#DIV/0!</v>
      </c>
      <c r="H127" s="55"/>
      <c r="I127" s="85"/>
      <c r="J127" s="55">
        <f t="shared" si="102"/>
        <v>0</v>
      </c>
      <c r="K127" s="52" t="str">
        <f t="shared" si="103"/>
        <v/>
      </c>
      <c r="L127" s="77" t="str">
        <f t="shared" si="104"/>
        <v>#DIV/0!</v>
      </c>
      <c r="M127" s="96"/>
      <c r="N127" s="135">
        <f t="shared" si="105"/>
        <v>0</v>
      </c>
      <c r="R127" s="80" t="str">
        <f t="shared" si="56"/>
        <v/>
      </c>
    </row>
    <row r="128">
      <c r="A128" s="62"/>
      <c r="B128" s="63"/>
      <c r="C128" s="62"/>
      <c r="D128" s="64" t="s">
        <v>19</v>
      </c>
      <c r="E128" s="64">
        <f>sum(E121:E127)</f>
        <v>2427</v>
      </c>
      <c r="F128" s="64">
        <f>sum(F120:F127)</f>
        <v>272</v>
      </c>
      <c r="G128" s="65" t="str">
        <f>average(G121:G127)</f>
        <v>#DIV/0!</v>
      </c>
      <c r="H128" s="62"/>
      <c r="I128" s="66"/>
      <c r="J128" s="64">
        <f t="shared" ref="J128:K128" si="106">sum(J121:J127)</f>
        <v>2450</v>
      </c>
      <c r="K128" s="64">
        <f t="shared" si="106"/>
        <v>272</v>
      </c>
      <c r="L128" s="65" t="str">
        <f>average(L121:L127)</f>
        <v>#DIV/0!</v>
      </c>
      <c r="M128" s="68"/>
      <c r="N128" s="69">
        <f>sum(N121:N127)</f>
        <v>7554030</v>
      </c>
      <c r="R128" s="80" t="str">
        <f t="shared" si="56"/>
        <v/>
      </c>
    </row>
    <row r="129">
      <c r="A129" s="70">
        <v>46149.0</v>
      </c>
      <c r="B129" s="99" t="s">
        <v>42</v>
      </c>
      <c r="C129" s="37">
        <v>149384.0</v>
      </c>
      <c r="D129" s="37">
        <v>149981.0</v>
      </c>
      <c r="E129" s="38">
        <f t="shared" ref="E129:E135" si="107">D129-C129</f>
        <v>597</v>
      </c>
      <c r="F129" s="39">
        <v>65.0</v>
      </c>
      <c r="G129" s="14">
        <f t="shared" ref="G129:G135" si="108">(F129/E129)*100</f>
        <v>10.88777219</v>
      </c>
      <c r="H129" s="37"/>
      <c r="I129" s="40"/>
      <c r="J129" s="41">
        <f t="shared" ref="J129:J135" si="109">I129-H129</f>
        <v>0</v>
      </c>
      <c r="K129" s="81">
        <f t="shared" ref="K129:K135" si="110">F129</f>
        <v>65</v>
      </c>
      <c r="L129" s="71" t="str">
        <f t="shared" ref="L129:L135" si="111">(K129/J129)*100</f>
        <v>#DIV/0!</v>
      </c>
      <c r="M129" s="43">
        <v>28170.0</v>
      </c>
      <c r="N129" s="44">
        <f t="shared" ref="N129:N135" si="112">F129*M129</f>
        <v>1831050</v>
      </c>
    </row>
    <row r="130">
      <c r="A130" s="128">
        <v>46163.0</v>
      </c>
      <c r="B130" s="99" t="s">
        <v>42</v>
      </c>
      <c r="C130" s="37">
        <v>149981.0</v>
      </c>
      <c r="D130" s="53">
        <v>151062.0</v>
      </c>
      <c r="E130" s="53">
        <f t="shared" si="107"/>
        <v>1081</v>
      </c>
      <c r="F130" s="130">
        <v>53.0</v>
      </c>
      <c r="G130" s="14">
        <f t="shared" si="108"/>
        <v>4.902867715</v>
      </c>
      <c r="H130" s="40"/>
      <c r="I130" s="40"/>
      <c r="J130" s="37">
        <f t="shared" si="109"/>
        <v>0</v>
      </c>
      <c r="K130" s="52">
        <f t="shared" si="110"/>
        <v>53</v>
      </c>
      <c r="L130" s="48" t="str">
        <f t="shared" si="111"/>
        <v>#DIV/0!</v>
      </c>
      <c r="M130" s="50">
        <v>27220.0</v>
      </c>
      <c r="N130" s="131">
        <f t="shared" si="112"/>
        <v>1442660</v>
      </c>
    </row>
    <row r="131">
      <c r="A131" s="128">
        <v>46157.0</v>
      </c>
      <c r="B131" s="99" t="s">
        <v>42</v>
      </c>
      <c r="C131" s="53"/>
      <c r="D131" s="53"/>
      <c r="E131" s="53">
        <f t="shared" si="107"/>
        <v>0</v>
      </c>
      <c r="F131" s="130">
        <v>72.0</v>
      </c>
      <c r="G131" s="14" t="str">
        <f t="shared" si="108"/>
        <v>#DIV/0!</v>
      </c>
      <c r="H131" s="40"/>
      <c r="I131" s="37"/>
      <c r="J131" s="37">
        <f t="shared" si="109"/>
        <v>0</v>
      </c>
      <c r="K131" s="52">
        <f t="shared" si="110"/>
        <v>72</v>
      </c>
      <c r="L131" s="48" t="str">
        <f t="shared" si="111"/>
        <v>#DIV/0!</v>
      </c>
      <c r="M131" s="50">
        <v>27220.0</v>
      </c>
      <c r="N131" s="131">
        <f t="shared" si="112"/>
        <v>1959840</v>
      </c>
    </row>
    <row r="132">
      <c r="A132" s="35">
        <v>46170.0</v>
      </c>
      <c r="B132" s="99" t="s">
        <v>42</v>
      </c>
      <c r="C132" s="53"/>
      <c r="D132" s="37"/>
      <c r="E132" s="12">
        <f t="shared" si="107"/>
        <v>0</v>
      </c>
      <c r="F132" s="47">
        <v>65.0</v>
      </c>
      <c r="G132" s="14" t="str">
        <f t="shared" si="108"/>
        <v>#DIV/0!</v>
      </c>
      <c r="H132" s="37"/>
      <c r="I132" s="40"/>
      <c r="J132" s="37">
        <f t="shared" si="109"/>
        <v>0</v>
      </c>
      <c r="K132" s="52">
        <f t="shared" si="110"/>
        <v>65</v>
      </c>
      <c r="L132" s="48" t="str">
        <f t="shared" si="111"/>
        <v>#DIV/0!</v>
      </c>
      <c r="M132" s="50">
        <v>27650.0</v>
      </c>
      <c r="N132" s="131">
        <f t="shared" si="112"/>
        <v>1797250</v>
      </c>
    </row>
    <row r="133">
      <c r="A133" s="136"/>
      <c r="B133" s="99" t="s">
        <v>42</v>
      </c>
      <c r="C133" s="52"/>
      <c r="D133" s="52"/>
      <c r="E133" s="12">
        <f t="shared" si="107"/>
        <v>0</v>
      </c>
      <c r="F133" s="47"/>
      <c r="G133" s="14" t="str">
        <f t="shared" si="108"/>
        <v>#DIV/0!</v>
      </c>
      <c r="H133" s="37"/>
      <c r="I133" s="40"/>
      <c r="J133" s="37">
        <f t="shared" si="109"/>
        <v>0</v>
      </c>
      <c r="K133" s="52" t="str">
        <f t="shared" si="110"/>
        <v/>
      </c>
      <c r="L133" s="48" t="str">
        <f t="shared" si="111"/>
        <v>#DIV/0!</v>
      </c>
      <c r="M133" s="50"/>
      <c r="N133" s="131">
        <f t="shared" si="112"/>
        <v>0</v>
      </c>
    </row>
    <row r="134">
      <c r="A134" s="132"/>
      <c r="B134" s="99" t="s">
        <v>42</v>
      </c>
      <c r="C134" s="37"/>
      <c r="D134" s="133"/>
      <c r="E134" s="12">
        <f t="shared" si="107"/>
        <v>0</v>
      </c>
      <c r="F134" s="47"/>
      <c r="G134" s="14" t="str">
        <f t="shared" si="108"/>
        <v>#DIV/0!</v>
      </c>
      <c r="H134" s="37"/>
      <c r="I134" s="40"/>
      <c r="J134" s="37">
        <f t="shared" si="109"/>
        <v>0</v>
      </c>
      <c r="K134" s="52" t="str">
        <f t="shared" si="110"/>
        <v/>
      </c>
      <c r="L134" s="48" t="str">
        <f t="shared" si="111"/>
        <v>#DIV/0!</v>
      </c>
      <c r="M134" s="134"/>
      <c r="N134" s="131">
        <f t="shared" si="112"/>
        <v>0</v>
      </c>
    </row>
    <row r="135">
      <c r="A135" s="94"/>
      <c r="B135" s="99" t="s">
        <v>42</v>
      </c>
      <c r="C135" s="55"/>
      <c r="D135" s="95"/>
      <c r="E135" s="25">
        <f t="shared" si="107"/>
        <v>0</v>
      </c>
      <c r="F135" s="47"/>
      <c r="G135" s="56" t="str">
        <f t="shared" si="108"/>
        <v>#DIV/0!</v>
      </c>
      <c r="H135" s="55"/>
      <c r="I135" s="85"/>
      <c r="J135" s="55">
        <f t="shared" si="109"/>
        <v>0</v>
      </c>
      <c r="K135" s="52" t="str">
        <f t="shared" si="110"/>
        <v/>
      </c>
      <c r="L135" s="77" t="str">
        <f t="shared" si="111"/>
        <v>#DIV/0!</v>
      </c>
      <c r="M135" s="96"/>
      <c r="N135" s="135">
        <f t="shared" si="112"/>
        <v>0</v>
      </c>
    </row>
    <row r="136">
      <c r="A136" s="62"/>
      <c r="B136" s="63"/>
      <c r="C136" s="62"/>
      <c r="D136" s="64" t="s">
        <v>19</v>
      </c>
      <c r="E136" s="64">
        <f>sum(E129:E135)</f>
        <v>1678</v>
      </c>
      <c r="F136" s="64">
        <f>sum(F128:F135)</f>
        <v>527</v>
      </c>
      <c r="G136" s="65" t="str">
        <f>average(G129:G135)</f>
        <v>#DIV/0!</v>
      </c>
      <c r="H136" s="62"/>
      <c r="I136" s="66"/>
      <c r="J136" s="64">
        <f t="shared" ref="J136:K136" si="113">sum(J129:J135)</f>
        <v>0</v>
      </c>
      <c r="K136" s="64">
        <f t="shared" si="113"/>
        <v>255</v>
      </c>
      <c r="L136" s="65" t="str">
        <f>average(L129:L135)</f>
        <v>#DIV/0!</v>
      </c>
      <c r="M136" s="68"/>
      <c r="N136" s="69">
        <f>sum(N129:N135)</f>
        <v>7030800</v>
      </c>
    </row>
    <row r="137">
      <c r="A137" s="70">
        <v>46151.0</v>
      </c>
      <c r="B137" s="99" t="s">
        <v>27</v>
      </c>
      <c r="C137" s="89"/>
      <c r="D137" s="13"/>
      <c r="E137" s="38">
        <f t="shared" ref="E137:E147" si="114">D137-C137</f>
        <v>0</v>
      </c>
      <c r="F137" s="39">
        <v>63.0</v>
      </c>
      <c r="G137" s="14" t="str">
        <f t="shared" ref="G137:G147" si="115">(F137/E137)*100</f>
        <v>#DIV/0!</v>
      </c>
      <c r="H137" s="137"/>
      <c r="I137" s="138"/>
      <c r="J137" s="41">
        <f t="shared" ref="J137:J147" si="116">I137-H137</f>
        <v>0</v>
      </c>
      <c r="K137" s="52">
        <f t="shared" ref="K137:K141" si="117">F137</f>
        <v>63</v>
      </c>
      <c r="L137" s="71" t="str">
        <f t="shared" ref="L137:L147" si="118">(K137/J137)*100</f>
        <v>#DIV/0!</v>
      </c>
      <c r="M137" s="72">
        <v>27490.0</v>
      </c>
      <c r="N137" s="131">
        <f t="shared" ref="N137:N142" si="119">F137*M137</f>
        <v>1731870</v>
      </c>
      <c r="R137" s="80" t="str">
        <f t="shared" ref="R137:R144" si="120">Q137</f>
        <v/>
      </c>
    </row>
    <row r="138">
      <c r="A138" s="35">
        <v>46155.0</v>
      </c>
      <c r="B138" s="46" t="s">
        <v>27</v>
      </c>
      <c r="C138" s="37"/>
      <c r="D138" s="13"/>
      <c r="E138" s="12">
        <f t="shared" si="114"/>
        <v>0</v>
      </c>
      <c r="F138" s="47">
        <v>56.0</v>
      </c>
      <c r="G138" s="14" t="str">
        <f t="shared" si="115"/>
        <v>#DIV/0!</v>
      </c>
      <c r="H138" s="40"/>
      <c r="I138" s="40"/>
      <c r="J138" s="37">
        <f t="shared" si="116"/>
        <v>0</v>
      </c>
      <c r="K138" s="52">
        <f t="shared" si="117"/>
        <v>56</v>
      </c>
      <c r="L138" s="48" t="str">
        <f t="shared" si="118"/>
        <v>#DIV/0!</v>
      </c>
      <c r="M138" s="50">
        <v>27490.0</v>
      </c>
      <c r="N138" s="131">
        <f t="shared" si="119"/>
        <v>1539440</v>
      </c>
      <c r="R138" s="80" t="str">
        <f t="shared" si="120"/>
        <v/>
      </c>
    </row>
    <row r="139">
      <c r="A139" s="35">
        <v>46160.0</v>
      </c>
      <c r="B139" s="46" t="s">
        <v>27</v>
      </c>
      <c r="C139" s="37"/>
      <c r="D139" s="37"/>
      <c r="E139" s="12">
        <f t="shared" si="114"/>
        <v>0</v>
      </c>
      <c r="F139" s="47">
        <v>63.0</v>
      </c>
      <c r="G139" s="14" t="str">
        <f t="shared" si="115"/>
        <v>#DIV/0!</v>
      </c>
      <c r="H139" s="37"/>
      <c r="I139" s="40"/>
      <c r="J139" s="37">
        <f t="shared" si="116"/>
        <v>0</v>
      </c>
      <c r="K139" s="52">
        <f t="shared" si="117"/>
        <v>63</v>
      </c>
      <c r="L139" s="48" t="str">
        <f t="shared" si="118"/>
        <v>#DIV/0!</v>
      </c>
      <c r="M139" s="50">
        <v>27220.0</v>
      </c>
      <c r="N139" s="131">
        <f t="shared" si="119"/>
        <v>1714860</v>
      </c>
      <c r="R139" s="80" t="str">
        <f t="shared" si="120"/>
        <v/>
      </c>
    </row>
    <row r="140">
      <c r="A140" s="35">
        <v>46163.0</v>
      </c>
      <c r="B140" s="46" t="s">
        <v>27</v>
      </c>
      <c r="C140" s="37"/>
      <c r="D140" s="37"/>
      <c r="E140" s="12">
        <f t="shared" si="114"/>
        <v>0</v>
      </c>
      <c r="F140" s="47">
        <v>65.0</v>
      </c>
      <c r="G140" s="14" t="str">
        <f t="shared" si="115"/>
        <v>#DIV/0!</v>
      </c>
      <c r="H140" s="37"/>
      <c r="I140" s="40"/>
      <c r="J140" s="37">
        <f t="shared" si="116"/>
        <v>0</v>
      </c>
      <c r="K140" s="52">
        <f t="shared" si="117"/>
        <v>65</v>
      </c>
      <c r="L140" s="48" t="str">
        <f t="shared" si="118"/>
        <v>#DIV/0!</v>
      </c>
      <c r="M140" s="50">
        <v>28760.0</v>
      </c>
      <c r="N140" s="131">
        <f t="shared" si="119"/>
        <v>1869400</v>
      </c>
      <c r="R140" s="80" t="str">
        <f t="shared" si="120"/>
        <v/>
      </c>
    </row>
    <row r="141">
      <c r="A141" s="35">
        <v>46169.0</v>
      </c>
      <c r="B141" s="46" t="s">
        <v>27</v>
      </c>
      <c r="C141" s="37"/>
      <c r="D141" s="37"/>
      <c r="E141" s="12">
        <f t="shared" si="114"/>
        <v>0</v>
      </c>
      <c r="F141" s="47">
        <v>60.0</v>
      </c>
      <c r="G141" s="14" t="str">
        <f t="shared" si="115"/>
        <v>#DIV/0!</v>
      </c>
      <c r="H141" s="37"/>
      <c r="I141" s="40"/>
      <c r="J141" s="37">
        <f t="shared" si="116"/>
        <v>0</v>
      </c>
      <c r="K141" s="52">
        <f t="shared" si="117"/>
        <v>60</v>
      </c>
      <c r="L141" s="48" t="str">
        <f t="shared" si="118"/>
        <v>#DIV/0!</v>
      </c>
      <c r="M141" s="50">
        <v>28760.0</v>
      </c>
      <c r="N141" s="131">
        <f t="shared" si="119"/>
        <v>1725600</v>
      </c>
      <c r="R141" s="80" t="str">
        <f t="shared" si="120"/>
        <v/>
      </c>
    </row>
    <row r="142">
      <c r="A142" s="35">
        <v>46173.0</v>
      </c>
      <c r="B142" s="46" t="s">
        <v>27</v>
      </c>
      <c r="C142" s="37"/>
      <c r="D142" s="133"/>
      <c r="E142" s="12">
        <f t="shared" si="114"/>
        <v>0</v>
      </c>
      <c r="F142" s="47">
        <v>20.0</v>
      </c>
      <c r="G142" s="14" t="str">
        <f t="shared" si="115"/>
        <v>#DIV/0!</v>
      </c>
      <c r="H142" s="37"/>
      <c r="I142" s="93"/>
      <c r="J142" s="37">
        <f t="shared" si="116"/>
        <v>0</v>
      </c>
      <c r="K142" s="52"/>
      <c r="L142" s="48" t="str">
        <f t="shared" si="118"/>
        <v>#DIV/0!</v>
      </c>
      <c r="M142" s="50">
        <v>27650.0</v>
      </c>
      <c r="N142" s="131">
        <f t="shared" si="119"/>
        <v>553000</v>
      </c>
      <c r="R142" s="80" t="str">
        <f t="shared" si="120"/>
        <v/>
      </c>
    </row>
    <row r="143">
      <c r="A143" s="8"/>
      <c r="B143" s="9" t="s">
        <v>27</v>
      </c>
      <c r="C143" s="13"/>
      <c r="D143" s="139"/>
      <c r="E143" s="12">
        <f t="shared" si="114"/>
        <v>0</v>
      </c>
      <c r="F143" s="13"/>
      <c r="G143" s="14" t="str">
        <f t="shared" si="115"/>
        <v>#DIV/0!</v>
      </c>
      <c r="H143" s="13"/>
      <c r="I143" s="140"/>
      <c r="J143" s="13">
        <f t="shared" si="116"/>
        <v>0</v>
      </c>
      <c r="K143" s="11"/>
      <c r="L143" s="17" t="str">
        <f t="shared" si="118"/>
        <v>#DIV/0!</v>
      </c>
      <c r="M143" s="18"/>
      <c r="N143" s="18"/>
      <c r="R143" s="80" t="str">
        <f t="shared" si="120"/>
        <v/>
      </c>
    </row>
    <row r="144">
      <c r="A144" s="8"/>
      <c r="B144" s="9" t="s">
        <v>27</v>
      </c>
      <c r="C144" s="13"/>
      <c r="D144" s="139"/>
      <c r="E144" s="12">
        <f t="shared" si="114"/>
        <v>0</v>
      </c>
      <c r="F144" s="13"/>
      <c r="G144" s="14" t="str">
        <f t="shared" si="115"/>
        <v>#DIV/0!</v>
      </c>
      <c r="H144" s="13"/>
      <c r="I144" s="140"/>
      <c r="J144" s="13">
        <f t="shared" si="116"/>
        <v>0</v>
      </c>
      <c r="K144" s="11"/>
      <c r="L144" s="17" t="str">
        <f t="shared" si="118"/>
        <v>#DIV/0!</v>
      </c>
      <c r="M144" s="18"/>
      <c r="N144" s="18"/>
      <c r="R144" s="80" t="str">
        <f t="shared" si="120"/>
        <v/>
      </c>
    </row>
    <row r="145">
      <c r="A145" s="8"/>
      <c r="B145" s="9" t="s">
        <v>27</v>
      </c>
      <c r="C145" s="13"/>
      <c r="D145" s="139"/>
      <c r="E145" s="12">
        <f t="shared" si="114"/>
        <v>0</v>
      </c>
      <c r="F145" s="13"/>
      <c r="G145" s="14" t="str">
        <f t="shared" si="115"/>
        <v>#DIV/0!</v>
      </c>
      <c r="H145" s="13"/>
      <c r="I145" s="140"/>
      <c r="J145" s="13">
        <f t="shared" si="116"/>
        <v>0</v>
      </c>
      <c r="K145" s="11"/>
      <c r="L145" s="17" t="str">
        <f t="shared" si="118"/>
        <v>#DIV/0!</v>
      </c>
      <c r="M145" s="18"/>
      <c r="N145" s="18"/>
    </row>
    <row r="146">
      <c r="A146" s="8"/>
      <c r="B146" s="9" t="s">
        <v>27</v>
      </c>
      <c r="C146" s="13"/>
      <c r="D146" s="139"/>
      <c r="E146" s="12">
        <f t="shared" si="114"/>
        <v>0</v>
      </c>
      <c r="F146" s="13"/>
      <c r="G146" s="14" t="str">
        <f t="shared" si="115"/>
        <v>#DIV/0!</v>
      </c>
      <c r="H146" s="13"/>
      <c r="I146" s="140"/>
      <c r="J146" s="13">
        <f t="shared" si="116"/>
        <v>0</v>
      </c>
      <c r="K146" s="11"/>
      <c r="L146" s="17" t="str">
        <f t="shared" si="118"/>
        <v>#DIV/0!</v>
      </c>
      <c r="M146" s="18"/>
      <c r="N146" s="18"/>
    </row>
    <row r="147">
      <c r="A147" s="8"/>
      <c r="B147" s="9" t="s">
        <v>27</v>
      </c>
      <c r="C147" s="13"/>
      <c r="D147" s="139"/>
      <c r="E147" s="12">
        <f t="shared" si="114"/>
        <v>0</v>
      </c>
      <c r="F147" s="13"/>
      <c r="G147" s="14" t="str">
        <f t="shared" si="115"/>
        <v>#DIV/0!</v>
      </c>
      <c r="H147" s="13"/>
      <c r="I147" s="140"/>
      <c r="J147" s="13">
        <f t="shared" si="116"/>
        <v>0</v>
      </c>
      <c r="K147" s="11"/>
      <c r="L147" s="17" t="str">
        <f t="shared" si="118"/>
        <v>#DIV/0!</v>
      </c>
      <c r="M147" s="18"/>
      <c r="N147" s="18"/>
    </row>
    <row r="148">
      <c r="A148" s="88"/>
      <c r="B148" s="141"/>
      <c r="C148" s="88"/>
      <c r="D148" s="67" t="s">
        <v>19</v>
      </c>
      <c r="E148" s="67">
        <f t="shared" ref="E148:F148" si="121">sum(E137:E144)</f>
        <v>0</v>
      </c>
      <c r="F148" s="67">
        <f t="shared" si="121"/>
        <v>327</v>
      </c>
      <c r="G148" s="142" t="str">
        <f>average(G137:G144)</f>
        <v>#DIV/0!</v>
      </c>
      <c r="H148" s="88"/>
      <c r="I148" s="143"/>
      <c r="J148" s="67">
        <f t="shared" ref="J148:K148" si="122">sum(J137:J144)</f>
        <v>0</v>
      </c>
      <c r="K148" s="67">
        <f t="shared" si="122"/>
        <v>307</v>
      </c>
      <c r="L148" s="142" t="str">
        <f>average(L137:L144)</f>
        <v>#DIV/0!</v>
      </c>
      <c r="M148" s="144"/>
      <c r="N148" s="145">
        <f>sum(N137:N147)</f>
        <v>9134170</v>
      </c>
      <c r="R148" s="80" t="str">
        <f t="shared" ref="R148:R175" si="123">Q148</f>
        <v/>
      </c>
    </row>
    <row r="149">
      <c r="A149" s="70">
        <v>46152.0</v>
      </c>
      <c r="B149" s="99" t="s">
        <v>28</v>
      </c>
      <c r="C149" s="89"/>
      <c r="D149" s="13"/>
      <c r="E149" s="38">
        <f t="shared" ref="E149:E156" si="124">D149-C149</f>
        <v>0</v>
      </c>
      <c r="F149" s="39">
        <v>70.0</v>
      </c>
      <c r="G149" s="14" t="str">
        <f t="shared" ref="G149:G156" si="125">(F149/E149)*100</f>
        <v>#DIV/0!</v>
      </c>
      <c r="H149" s="137"/>
      <c r="I149" s="138"/>
      <c r="J149" s="41">
        <f t="shared" ref="J149:J156" si="126">I149-H149</f>
        <v>0</v>
      </c>
      <c r="K149" s="81">
        <v>70.0</v>
      </c>
      <c r="L149" s="71" t="str">
        <f t="shared" ref="L149:L156" si="127">(K149/J149)*100</f>
        <v>#DIV/0!</v>
      </c>
      <c r="M149" s="72">
        <v>27490.0</v>
      </c>
      <c r="N149" s="49">
        <f t="shared" ref="N149:N154" si="128">M149*K149</f>
        <v>1924300</v>
      </c>
      <c r="R149" s="80" t="str">
        <f t="shared" si="123"/>
        <v/>
      </c>
    </row>
    <row r="150">
      <c r="A150" s="35">
        <v>46161.0</v>
      </c>
      <c r="B150" s="99" t="s">
        <v>28</v>
      </c>
      <c r="C150" s="37"/>
      <c r="D150" s="13"/>
      <c r="E150" s="12">
        <f t="shared" si="124"/>
        <v>0</v>
      </c>
      <c r="F150" s="47">
        <v>65.0</v>
      </c>
      <c r="G150" s="14" t="str">
        <f t="shared" si="125"/>
        <v>#DIV/0!</v>
      </c>
      <c r="H150" s="40"/>
      <c r="I150" s="40"/>
      <c r="J150" s="37">
        <f t="shared" si="126"/>
        <v>0</v>
      </c>
      <c r="K150" s="47">
        <v>65.0</v>
      </c>
      <c r="L150" s="71" t="str">
        <f t="shared" si="127"/>
        <v>#DIV/0!</v>
      </c>
      <c r="M150" s="50">
        <v>27220.0</v>
      </c>
      <c r="N150" s="49">
        <f t="shared" si="128"/>
        <v>1769300</v>
      </c>
      <c r="R150" s="80" t="str">
        <f t="shared" si="123"/>
        <v/>
      </c>
    </row>
    <row r="151">
      <c r="A151" s="35">
        <v>46171.0</v>
      </c>
      <c r="B151" s="99" t="s">
        <v>28</v>
      </c>
      <c r="C151" s="37"/>
      <c r="D151" s="37"/>
      <c r="E151" s="12">
        <f t="shared" si="124"/>
        <v>0</v>
      </c>
      <c r="F151" s="47">
        <v>60.0</v>
      </c>
      <c r="G151" s="14" t="str">
        <f t="shared" si="125"/>
        <v>#DIV/0!</v>
      </c>
      <c r="H151" s="37"/>
      <c r="I151" s="40"/>
      <c r="J151" s="37">
        <f t="shared" si="126"/>
        <v>0</v>
      </c>
      <c r="K151" s="47">
        <v>60.0</v>
      </c>
      <c r="L151" s="48" t="str">
        <f t="shared" si="127"/>
        <v>#DIV/0!</v>
      </c>
      <c r="M151" s="50">
        <v>27650.0</v>
      </c>
      <c r="N151" s="49">
        <f t="shared" si="128"/>
        <v>1659000</v>
      </c>
      <c r="R151" s="80" t="str">
        <f t="shared" si="123"/>
        <v/>
      </c>
    </row>
    <row r="152">
      <c r="A152" s="35"/>
      <c r="B152" s="99" t="s">
        <v>28</v>
      </c>
      <c r="C152" s="37"/>
      <c r="D152" s="37"/>
      <c r="E152" s="12">
        <f t="shared" si="124"/>
        <v>0</v>
      </c>
      <c r="F152" s="47"/>
      <c r="G152" s="14" t="str">
        <f t="shared" si="125"/>
        <v>#DIV/0!</v>
      </c>
      <c r="H152" s="37"/>
      <c r="I152" s="40"/>
      <c r="J152" s="37">
        <f t="shared" si="126"/>
        <v>0</v>
      </c>
      <c r="K152" s="52"/>
      <c r="L152" s="48" t="str">
        <f t="shared" si="127"/>
        <v>#DIV/0!</v>
      </c>
      <c r="M152" s="50"/>
      <c r="N152" s="49">
        <f t="shared" si="128"/>
        <v>0</v>
      </c>
      <c r="R152" s="80" t="str">
        <f t="shared" si="123"/>
        <v/>
      </c>
    </row>
    <row r="153">
      <c r="A153" s="35"/>
      <c r="B153" s="99" t="s">
        <v>28</v>
      </c>
      <c r="C153" s="37"/>
      <c r="D153" s="37"/>
      <c r="E153" s="12">
        <f t="shared" si="124"/>
        <v>0</v>
      </c>
      <c r="F153" s="47"/>
      <c r="G153" s="14" t="str">
        <f t="shared" si="125"/>
        <v>#DIV/0!</v>
      </c>
      <c r="H153" s="37"/>
      <c r="I153" s="40"/>
      <c r="J153" s="37">
        <f t="shared" si="126"/>
        <v>0</v>
      </c>
      <c r="K153" s="52"/>
      <c r="L153" s="48" t="str">
        <f t="shared" si="127"/>
        <v>#DIV/0!</v>
      </c>
      <c r="M153" s="50"/>
      <c r="N153" s="49">
        <f t="shared" si="128"/>
        <v>0</v>
      </c>
      <c r="R153" s="80" t="str">
        <f t="shared" si="123"/>
        <v/>
      </c>
    </row>
    <row r="154">
      <c r="A154" s="35"/>
      <c r="B154" s="99" t="s">
        <v>28</v>
      </c>
      <c r="C154" s="37"/>
      <c r="D154" s="133"/>
      <c r="E154" s="12">
        <f t="shared" si="124"/>
        <v>0</v>
      </c>
      <c r="F154" s="47"/>
      <c r="G154" s="14" t="str">
        <f t="shared" si="125"/>
        <v>#DIV/0!</v>
      </c>
      <c r="H154" s="37"/>
      <c r="I154" s="93"/>
      <c r="J154" s="37">
        <f t="shared" si="126"/>
        <v>0</v>
      </c>
      <c r="K154" s="52"/>
      <c r="L154" s="48" t="str">
        <f t="shared" si="127"/>
        <v>#DIV/0!</v>
      </c>
      <c r="M154" s="50"/>
      <c r="N154" s="49">
        <f t="shared" si="128"/>
        <v>0</v>
      </c>
      <c r="R154" s="80" t="str">
        <f t="shared" si="123"/>
        <v/>
      </c>
    </row>
    <row r="155">
      <c r="A155" s="35"/>
      <c r="B155" s="99" t="s">
        <v>28</v>
      </c>
      <c r="C155" s="37"/>
      <c r="D155" s="133"/>
      <c r="E155" s="12">
        <f t="shared" si="124"/>
        <v>0</v>
      </c>
      <c r="F155" s="47"/>
      <c r="G155" s="14" t="str">
        <f t="shared" si="125"/>
        <v>#DIV/0!</v>
      </c>
      <c r="H155" s="37"/>
      <c r="I155" s="93"/>
      <c r="J155" s="37">
        <f t="shared" si="126"/>
        <v>0</v>
      </c>
      <c r="K155" s="52" t="str">
        <f t="shared" ref="K155:K156" si="129">F155</f>
        <v/>
      </c>
      <c r="L155" s="48" t="str">
        <f t="shared" si="127"/>
        <v>#DIV/0!</v>
      </c>
      <c r="M155" s="50"/>
      <c r="N155" s="49">
        <f>F155*M155</f>
        <v>0</v>
      </c>
      <c r="R155" s="80" t="str">
        <f t="shared" si="123"/>
        <v/>
      </c>
    </row>
    <row r="156">
      <c r="A156" s="146"/>
      <c r="B156" s="99" t="s">
        <v>28</v>
      </c>
      <c r="C156" s="55"/>
      <c r="D156" s="95"/>
      <c r="E156" s="25">
        <f t="shared" si="124"/>
        <v>0</v>
      </c>
      <c r="F156" s="47"/>
      <c r="G156" s="56" t="str">
        <f t="shared" si="125"/>
        <v>#DIV/0!</v>
      </c>
      <c r="H156" s="55"/>
      <c r="I156" s="85"/>
      <c r="J156" s="55">
        <f t="shared" si="126"/>
        <v>0</v>
      </c>
      <c r="K156" s="52" t="str">
        <f t="shared" si="129"/>
        <v/>
      </c>
      <c r="L156" s="77" t="str">
        <f t="shared" si="127"/>
        <v>#DIV/0!</v>
      </c>
      <c r="M156" s="58"/>
      <c r="N156" s="49">
        <f>M156*K156</f>
        <v>0</v>
      </c>
      <c r="R156" s="80" t="str">
        <f t="shared" si="123"/>
        <v/>
      </c>
    </row>
    <row r="157">
      <c r="A157" s="62"/>
      <c r="B157" s="63"/>
      <c r="C157" s="62"/>
      <c r="D157" s="64" t="s">
        <v>19</v>
      </c>
      <c r="E157" s="64">
        <f t="shared" ref="E157:F157" si="130">sum(E149:E156)</f>
        <v>0</v>
      </c>
      <c r="F157" s="64">
        <f t="shared" si="130"/>
        <v>195</v>
      </c>
      <c r="G157" s="65" t="str">
        <f>average(G149:G156)</f>
        <v>#DIV/0!</v>
      </c>
      <c r="H157" s="62"/>
      <c r="I157" s="66"/>
      <c r="J157" s="64">
        <f t="shared" ref="J157:K157" si="131">sum(J149:J156)</f>
        <v>0</v>
      </c>
      <c r="K157" s="64">
        <f t="shared" si="131"/>
        <v>195</v>
      </c>
      <c r="L157" s="65" t="str">
        <f>average(L149:L156)</f>
        <v>#DIV/0!</v>
      </c>
      <c r="M157" s="68"/>
      <c r="N157" s="147">
        <f>sum(N149:N156)</f>
        <v>5352600</v>
      </c>
      <c r="R157" s="80" t="str">
        <f t="shared" si="123"/>
        <v/>
      </c>
    </row>
    <row r="158">
      <c r="A158" s="91"/>
      <c r="B158" s="99" t="s">
        <v>43</v>
      </c>
      <c r="C158" s="89"/>
      <c r="D158" s="13"/>
      <c r="E158" s="38">
        <f t="shared" ref="E158:E165" si="132">D158-C158</f>
        <v>0</v>
      </c>
      <c r="F158" s="39"/>
      <c r="G158" s="14" t="str">
        <f t="shared" ref="G158:G165" si="133">(F158/E158)*100</f>
        <v>#DIV/0!</v>
      </c>
      <c r="H158" s="137"/>
      <c r="I158" s="138"/>
      <c r="J158" s="41">
        <f t="shared" ref="J158:J165" si="134">I158-H158</f>
        <v>0</v>
      </c>
      <c r="K158" s="52" t="str">
        <f t="shared" ref="K158:K160" si="135">F158</f>
        <v/>
      </c>
      <c r="L158" s="71" t="str">
        <f t="shared" ref="L158:L165" si="136">(K158/J158)*100</f>
        <v>#DIV/0!</v>
      </c>
      <c r="M158" s="72"/>
      <c r="N158" s="49"/>
      <c r="R158" s="80" t="str">
        <f t="shared" si="123"/>
        <v/>
      </c>
    </row>
    <row r="159">
      <c r="A159" s="35"/>
      <c r="B159" s="46" t="s">
        <v>43</v>
      </c>
      <c r="C159" s="37"/>
      <c r="D159" s="13"/>
      <c r="E159" s="12">
        <f t="shared" si="132"/>
        <v>0</v>
      </c>
      <c r="F159" s="47"/>
      <c r="G159" s="14" t="str">
        <f t="shared" si="133"/>
        <v>#DIV/0!</v>
      </c>
      <c r="H159" s="40"/>
      <c r="I159" s="40"/>
      <c r="J159" s="37">
        <f t="shared" si="134"/>
        <v>0</v>
      </c>
      <c r="K159" s="52" t="str">
        <f t="shared" si="135"/>
        <v/>
      </c>
      <c r="L159" s="48" t="str">
        <f t="shared" si="136"/>
        <v>#DIV/0!</v>
      </c>
      <c r="M159" s="50"/>
      <c r="N159" s="49"/>
      <c r="R159" s="80" t="str">
        <f t="shared" si="123"/>
        <v/>
      </c>
    </row>
    <row r="160">
      <c r="A160" s="35"/>
      <c r="B160" s="46" t="s">
        <v>43</v>
      </c>
      <c r="C160" s="37"/>
      <c r="D160" s="37"/>
      <c r="E160" s="12">
        <f t="shared" si="132"/>
        <v>0</v>
      </c>
      <c r="F160" s="47"/>
      <c r="G160" s="14" t="str">
        <f t="shared" si="133"/>
        <v>#DIV/0!</v>
      </c>
      <c r="H160" s="37"/>
      <c r="I160" s="40"/>
      <c r="J160" s="37">
        <f t="shared" si="134"/>
        <v>0</v>
      </c>
      <c r="K160" s="52" t="str">
        <f t="shared" si="135"/>
        <v/>
      </c>
      <c r="L160" s="48" t="str">
        <f t="shared" si="136"/>
        <v>#DIV/0!</v>
      </c>
      <c r="M160" s="50"/>
      <c r="N160" s="49"/>
      <c r="R160" s="80" t="str">
        <f t="shared" si="123"/>
        <v/>
      </c>
    </row>
    <row r="161">
      <c r="A161" s="35"/>
      <c r="B161" s="46" t="s">
        <v>43</v>
      </c>
      <c r="C161" s="37"/>
      <c r="D161" s="37"/>
      <c r="E161" s="12">
        <f t="shared" si="132"/>
        <v>0</v>
      </c>
      <c r="F161" s="47"/>
      <c r="G161" s="14" t="str">
        <f t="shared" si="133"/>
        <v>#DIV/0!</v>
      </c>
      <c r="H161" s="37"/>
      <c r="I161" s="40"/>
      <c r="J161" s="37">
        <f t="shared" si="134"/>
        <v>0</v>
      </c>
      <c r="K161" s="52"/>
      <c r="L161" s="48" t="str">
        <f t="shared" si="136"/>
        <v>#DIV/0!</v>
      </c>
      <c r="M161" s="50"/>
      <c r="N161" s="49"/>
      <c r="R161" s="80" t="str">
        <f t="shared" si="123"/>
        <v/>
      </c>
    </row>
    <row r="162">
      <c r="A162" s="35"/>
      <c r="B162" s="46" t="s">
        <v>43</v>
      </c>
      <c r="C162" s="37"/>
      <c r="D162" s="37"/>
      <c r="E162" s="12">
        <f t="shared" si="132"/>
        <v>0</v>
      </c>
      <c r="F162" s="47"/>
      <c r="G162" s="14" t="str">
        <f t="shared" si="133"/>
        <v>#DIV/0!</v>
      </c>
      <c r="H162" s="37"/>
      <c r="I162" s="40"/>
      <c r="J162" s="37">
        <f t="shared" si="134"/>
        <v>0</v>
      </c>
      <c r="K162" s="52"/>
      <c r="L162" s="48" t="str">
        <f t="shared" si="136"/>
        <v>#DIV/0!</v>
      </c>
      <c r="M162" s="50"/>
      <c r="N162" s="49"/>
      <c r="R162" s="80" t="str">
        <f t="shared" si="123"/>
        <v/>
      </c>
    </row>
    <row r="163">
      <c r="A163" s="35"/>
      <c r="B163" s="46" t="s">
        <v>43</v>
      </c>
      <c r="C163" s="37"/>
      <c r="D163" s="133"/>
      <c r="E163" s="12">
        <f t="shared" si="132"/>
        <v>0</v>
      </c>
      <c r="F163" s="47"/>
      <c r="G163" s="14" t="str">
        <f t="shared" si="133"/>
        <v>#DIV/0!</v>
      </c>
      <c r="H163" s="37"/>
      <c r="I163" s="93"/>
      <c r="J163" s="37">
        <f t="shared" si="134"/>
        <v>0</v>
      </c>
      <c r="K163" s="52" t="str">
        <f t="shared" ref="K163:K165" si="137">F163</f>
        <v/>
      </c>
      <c r="L163" s="48" t="str">
        <f t="shared" si="136"/>
        <v>#DIV/0!</v>
      </c>
      <c r="M163" s="50"/>
      <c r="N163" s="49">
        <f t="shared" ref="N163:N164" si="138">F163*M163</f>
        <v>0</v>
      </c>
      <c r="R163" s="80" t="str">
        <f t="shared" si="123"/>
        <v/>
      </c>
    </row>
    <row r="164">
      <c r="A164" s="35"/>
      <c r="B164" s="46" t="s">
        <v>43</v>
      </c>
      <c r="C164" s="37"/>
      <c r="D164" s="133"/>
      <c r="E164" s="12">
        <f t="shared" si="132"/>
        <v>0</v>
      </c>
      <c r="F164" s="47"/>
      <c r="G164" s="14" t="str">
        <f t="shared" si="133"/>
        <v>#DIV/0!</v>
      </c>
      <c r="H164" s="37"/>
      <c r="I164" s="93"/>
      <c r="J164" s="37">
        <f t="shared" si="134"/>
        <v>0</v>
      </c>
      <c r="K164" s="52" t="str">
        <f t="shared" si="137"/>
        <v/>
      </c>
      <c r="L164" s="48" t="str">
        <f t="shared" si="136"/>
        <v>#DIV/0!</v>
      </c>
      <c r="M164" s="50"/>
      <c r="N164" s="49">
        <f t="shared" si="138"/>
        <v>0</v>
      </c>
      <c r="R164" s="80" t="str">
        <f t="shared" si="123"/>
        <v/>
      </c>
    </row>
    <row r="165">
      <c r="A165" s="146"/>
      <c r="B165" s="46" t="s">
        <v>43</v>
      </c>
      <c r="C165" s="55"/>
      <c r="D165" s="95"/>
      <c r="E165" s="25">
        <f t="shared" si="132"/>
        <v>0</v>
      </c>
      <c r="F165" s="47"/>
      <c r="G165" s="56" t="str">
        <f t="shared" si="133"/>
        <v>#DIV/0!</v>
      </c>
      <c r="H165" s="55"/>
      <c r="I165" s="85"/>
      <c r="J165" s="55">
        <f t="shared" si="134"/>
        <v>0</v>
      </c>
      <c r="K165" s="52" t="str">
        <f t="shared" si="137"/>
        <v/>
      </c>
      <c r="L165" s="77" t="str">
        <f t="shared" si="136"/>
        <v>#DIV/0!</v>
      </c>
      <c r="M165" s="50"/>
      <c r="N165" s="49">
        <f>M165*K165</f>
        <v>0</v>
      </c>
      <c r="R165" s="80" t="str">
        <f t="shared" si="123"/>
        <v/>
      </c>
    </row>
    <row r="166">
      <c r="A166" s="62"/>
      <c r="B166" s="63"/>
      <c r="C166" s="62"/>
      <c r="D166" s="64" t="s">
        <v>19</v>
      </c>
      <c r="E166" s="64">
        <f>sum(E158:E165)</f>
        <v>0</v>
      </c>
      <c r="F166" s="39"/>
      <c r="G166" s="65" t="str">
        <f>average(G158:G165)</f>
        <v>#DIV/0!</v>
      </c>
      <c r="H166" s="62"/>
      <c r="I166" s="66"/>
      <c r="J166" s="64">
        <f t="shared" ref="J166:K166" si="139">sum(J158:J165)</f>
        <v>0</v>
      </c>
      <c r="K166" s="64">
        <f t="shared" si="139"/>
        <v>0</v>
      </c>
      <c r="L166" s="65" t="str">
        <f>average(L158:L165)</f>
        <v>#DIV/0!</v>
      </c>
      <c r="M166" s="72"/>
      <c r="N166" s="147">
        <f>sum(N158:N165)</f>
        <v>0</v>
      </c>
      <c r="R166" s="80" t="str">
        <f t="shared" si="123"/>
        <v/>
      </c>
    </row>
    <row r="167">
      <c r="A167" s="70">
        <v>46155.0</v>
      </c>
      <c r="B167" s="99" t="s">
        <v>30</v>
      </c>
      <c r="C167" s="89"/>
      <c r="D167" s="13"/>
      <c r="E167" s="38">
        <f t="shared" ref="E167:E174" si="140">D167-C167</f>
        <v>0</v>
      </c>
      <c r="F167" s="39">
        <v>77.0</v>
      </c>
      <c r="G167" s="14" t="str">
        <f t="shared" ref="G167:G174" si="141">(F167/E167)*100</f>
        <v>#DIV/0!</v>
      </c>
      <c r="H167" s="137"/>
      <c r="I167" s="138"/>
      <c r="J167" s="41">
        <f t="shared" ref="J167:J174" si="142">I167-H167</f>
        <v>0</v>
      </c>
      <c r="K167" s="52">
        <f t="shared" ref="K167:K174" si="143">F167</f>
        <v>77</v>
      </c>
      <c r="L167" s="71" t="str">
        <f t="shared" ref="L167:L174" si="144">(K167/J167)*100</f>
        <v>#DIV/0!</v>
      </c>
      <c r="M167" s="72">
        <v>27490.0</v>
      </c>
      <c r="N167" s="49">
        <f t="shared" ref="N167:N169" si="145">F167*M167</f>
        <v>2116730</v>
      </c>
      <c r="R167" s="80" t="str">
        <f t="shared" si="123"/>
        <v/>
      </c>
    </row>
    <row r="168">
      <c r="A168" s="70">
        <v>46164.0</v>
      </c>
      <c r="B168" s="46" t="s">
        <v>30</v>
      </c>
      <c r="C168" s="37"/>
      <c r="D168" s="13"/>
      <c r="E168" s="12">
        <f t="shared" si="140"/>
        <v>0</v>
      </c>
      <c r="F168" s="47">
        <v>72.0</v>
      </c>
      <c r="G168" s="14" t="str">
        <f t="shared" si="141"/>
        <v>#DIV/0!</v>
      </c>
      <c r="H168" s="40"/>
      <c r="I168" s="40"/>
      <c r="J168" s="37">
        <f t="shared" si="142"/>
        <v>0</v>
      </c>
      <c r="K168" s="52">
        <f t="shared" si="143"/>
        <v>72</v>
      </c>
      <c r="L168" s="48" t="str">
        <f t="shared" si="144"/>
        <v>#DIV/0!</v>
      </c>
      <c r="M168" s="50">
        <v>28760.0</v>
      </c>
      <c r="N168" s="49">
        <f t="shared" si="145"/>
        <v>2070720</v>
      </c>
      <c r="R168" s="80" t="str">
        <f t="shared" si="123"/>
        <v/>
      </c>
    </row>
    <row r="169">
      <c r="A169" s="35">
        <v>46170.0</v>
      </c>
      <c r="B169" s="46" t="s">
        <v>30</v>
      </c>
      <c r="C169" s="37"/>
      <c r="D169" s="37"/>
      <c r="E169" s="12">
        <f t="shared" si="140"/>
        <v>0</v>
      </c>
      <c r="F169" s="47">
        <v>76.0</v>
      </c>
      <c r="G169" s="14" t="str">
        <f t="shared" si="141"/>
        <v>#DIV/0!</v>
      </c>
      <c r="H169" s="37"/>
      <c r="I169" s="40"/>
      <c r="J169" s="37">
        <f t="shared" si="142"/>
        <v>0</v>
      </c>
      <c r="K169" s="52">
        <f t="shared" si="143"/>
        <v>76</v>
      </c>
      <c r="L169" s="48" t="str">
        <f t="shared" si="144"/>
        <v>#DIV/0!</v>
      </c>
      <c r="M169" s="50">
        <v>28760.0</v>
      </c>
      <c r="N169" s="49">
        <f t="shared" si="145"/>
        <v>2185760</v>
      </c>
      <c r="R169" s="80" t="str">
        <f t="shared" si="123"/>
        <v/>
      </c>
    </row>
    <row r="170">
      <c r="A170" s="35"/>
      <c r="B170" s="46" t="s">
        <v>30</v>
      </c>
      <c r="C170" s="37"/>
      <c r="D170" s="37"/>
      <c r="E170" s="12">
        <f t="shared" si="140"/>
        <v>0</v>
      </c>
      <c r="F170" s="47"/>
      <c r="G170" s="14" t="str">
        <f t="shared" si="141"/>
        <v>#DIV/0!</v>
      </c>
      <c r="H170" s="37"/>
      <c r="I170" s="40"/>
      <c r="J170" s="37">
        <f t="shared" si="142"/>
        <v>0</v>
      </c>
      <c r="K170" s="52" t="str">
        <f t="shared" si="143"/>
        <v/>
      </c>
      <c r="L170" s="48" t="str">
        <f t="shared" si="144"/>
        <v>#DIV/0!</v>
      </c>
      <c r="M170" s="50"/>
      <c r="N170" s="49"/>
      <c r="R170" s="80" t="str">
        <f t="shared" si="123"/>
        <v/>
      </c>
    </row>
    <row r="171">
      <c r="A171" s="35"/>
      <c r="B171" s="46" t="s">
        <v>30</v>
      </c>
      <c r="C171" s="37"/>
      <c r="D171" s="37"/>
      <c r="E171" s="12">
        <f t="shared" si="140"/>
        <v>0</v>
      </c>
      <c r="F171" s="47"/>
      <c r="G171" s="14" t="str">
        <f t="shared" si="141"/>
        <v>#DIV/0!</v>
      </c>
      <c r="H171" s="37"/>
      <c r="I171" s="40"/>
      <c r="J171" s="37">
        <f t="shared" si="142"/>
        <v>0</v>
      </c>
      <c r="K171" s="52" t="str">
        <f t="shared" si="143"/>
        <v/>
      </c>
      <c r="L171" s="48" t="str">
        <f t="shared" si="144"/>
        <v>#DIV/0!</v>
      </c>
      <c r="M171" s="50"/>
      <c r="N171" s="49"/>
      <c r="R171" s="80" t="str">
        <f t="shared" si="123"/>
        <v/>
      </c>
    </row>
    <row r="172">
      <c r="A172" s="35"/>
      <c r="B172" s="46" t="s">
        <v>30</v>
      </c>
      <c r="C172" s="37"/>
      <c r="D172" s="133"/>
      <c r="E172" s="12">
        <f t="shared" si="140"/>
        <v>0</v>
      </c>
      <c r="F172" s="47"/>
      <c r="G172" s="14" t="str">
        <f t="shared" si="141"/>
        <v>#DIV/0!</v>
      </c>
      <c r="H172" s="37"/>
      <c r="I172" s="93"/>
      <c r="J172" s="37">
        <f t="shared" si="142"/>
        <v>0</v>
      </c>
      <c r="K172" s="52" t="str">
        <f t="shared" si="143"/>
        <v/>
      </c>
      <c r="L172" s="48" t="str">
        <f t="shared" si="144"/>
        <v>#DIV/0!</v>
      </c>
      <c r="M172" s="50"/>
      <c r="N172" s="49">
        <f t="shared" ref="N172:N173" si="146">F172*M172</f>
        <v>0</v>
      </c>
      <c r="R172" s="80" t="str">
        <f t="shared" si="123"/>
        <v/>
      </c>
    </row>
    <row r="173">
      <c r="A173" s="35"/>
      <c r="B173" s="46" t="s">
        <v>30</v>
      </c>
      <c r="C173" s="37"/>
      <c r="D173" s="133"/>
      <c r="E173" s="12">
        <f t="shared" si="140"/>
        <v>0</v>
      </c>
      <c r="F173" s="47"/>
      <c r="G173" s="14" t="str">
        <f t="shared" si="141"/>
        <v>#DIV/0!</v>
      </c>
      <c r="H173" s="37"/>
      <c r="I173" s="93"/>
      <c r="J173" s="37">
        <f t="shared" si="142"/>
        <v>0</v>
      </c>
      <c r="K173" s="52" t="str">
        <f t="shared" si="143"/>
        <v/>
      </c>
      <c r="L173" s="77" t="str">
        <f t="shared" si="144"/>
        <v>#DIV/0!</v>
      </c>
      <c r="M173" s="50"/>
      <c r="N173" s="49">
        <f t="shared" si="146"/>
        <v>0</v>
      </c>
      <c r="R173" s="80" t="str">
        <f t="shared" si="123"/>
        <v/>
      </c>
    </row>
    <row r="174">
      <c r="A174" s="148"/>
      <c r="B174" s="46" t="s">
        <v>30</v>
      </c>
      <c r="C174" s="149"/>
      <c r="D174" s="150"/>
      <c r="E174" s="25">
        <f t="shared" si="140"/>
        <v>0</v>
      </c>
      <c r="F174" s="39"/>
      <c r="G174" s="56" t="str">
        <f t="shared" si="141"/>
        <v>#DIV/0!</v>
      </c>
      <c r="H174" s="149"/>
      <c r="I174" s="151"/>
      <c r="J174" s="149">
        <f t="shared" si="142"/>
        <v>0</v>
      </c>
      <c r="K174" s="52" t="str">
        <f t="shared" si="143"/>
        <v/>
      </c>
      <c r="L174" s="152" t="str">
        <f t="shared" si="144"/>
        <v>#DIV/0!</v>
      </c>
      <c r="M174" s="153"/>
      <c r="N174" s="49">
        <f>M174*K174</f>
        <v>0</v>
      </c>
      <c r="R174" s="80" t="str">
        <f t="shared" si="123"/>
        <v/>
      </c>
    </row>
    <row r="175">
      <c r="A175" s="62"/>
      <c r="B175" s="63"/>
      <c r="C175" s="62"/>
      <c r="D175" s="64" t="s">
        <v>19</v>
      </c>
      <c r="E175" s="64">
        <f t="shared" ref="E175:F175" si="147">sum(E167:E174)</f>
        <v>0</v>
      </c>
      <c r="F175" s="64">
        <f t="shared" si="147"/>
        <v>225</v>
      </c>
      <c r="G175" s="65" t="str">
        <f>average(G167:G174)</f>
        <v>#DIV/0!</v>
      </c>
      <c r="H175" s="62"/>
      <c r="I175" s="66"/>
      <c r="J175" s="64">
        <f t="shared" ref="J175:K175" si="148">sum(J167:J174)</f>
        <v>0</v>
      </c>
      <c r="K175" s="64">
        <f t="shared" si="148"/>
        <v>225</v>
      </c>
      <c r="L175" s="65" t="str">
        <f>average(L167:L174)</f>
        <v>#DIV/0!</v>
      </c>
      <c r="M175" s="68"/>
      <c r="N175" s="69">
        <f>sum(N167:N174)</f>
        <v>6373210</v>
      </c>
      <c r="R175" s="80" t="str">
        <f t="shared" si="123"/>
        <v/>
      </c>
    </row>
    <row r="176">
      <c r="A176" s="154">
        <v>46147.0</v>
      </c>
      <c r="B176" s="99" t="s">
        <v>44</v>
      </c>
      <c r="C176" s="89"/>
      <c r="D176" s="13"/>
      <c r="E176" s="12">
        <f t="shared" ref="E176:E183" si="149">D176-C176</f>
        <v>0</v>
      </c>
      <c r="F176" s="39">
        <v>80.0</v>
      </c>
      <c r="G176" s="14" t="str">
        <f t="shared" ref="G176:G183" si="150">(F176/E176)*100</f>
        <v>#DIV/0!</v>
      </c>
      <c r="H176" s="137"/>
      <c r="I176" s="138"/>
      <c r="J176" s="41">
        <f t="shared" ref="J176:J183" si="151">I176-H176</f>
        <v>0</v>
      </c>
      <c r="K176" s="52">
        <f t="shared" ref="K176:K183" si="152">F176</f>
        <v>80</v>
      </c>
      <c r="L176" s="71" t="str">
        <f t="shared" ref="L176:L183" si="153">(K176/J176)*100</f>
        <v>#DIV/0!</v>
      </c>
      <c r="M176" s="72">
        <v>28170.0</v>
      </c>
      <c r="N176" s="49">
        <f t="shared" ref="N176:N179" si="154">F176*M176</f>
        <v>2253600</v>
      </c>
    </row>
    <row r="177">
      <c r="A177" s="35">
        <v>46156.0</v>
      </c>
      <c r="B177" s="99" t="s">
        <v>44</v>
      </c>
      <c r="C177" s="37"/>
      <c r="D177" s="13"/>
      <c r="E177" s="12">
        <f t="shared" si="149"/>
        <v>0</v>
      </c>
      <c r="F177" s="47">
        <v>75.0</v>
      </c>
      <c r="G177" s="14" t="str">
        <f t="shared" si="150"/>
        <v>#DIV/0!</v>
      </c>
      <c r="H177" s="40"/>
      <c r="I177" s="40"/>
      <c r="J177" s="37">
        <f t="shared" si="151"/>
        <v>0</v>
      </c>
      <c r="K177" s="52">
        <f t="shared" si="152"/>
        <v>75</v>
      </c>
      <c r="L177" s="48" t="str">
        <f t="shared" si="153"/>
        <v>#DIV/0!</v>
      </c>
      <c r="M177" s="72">
        <v>27490.0</v>
      </c>
      <c r="N177" s="49">
        <f t="shared" si="154"/>
        <v>2061750</v>
      </c>
    </row>
    <row r="178">
      <c r="A178" s="35">
        <v>46163.0</v>
      </c>
      <c r="B178" s="99" t="s">
        <v>44</v>
      </c>
      <c r="C178" s="37"/>
      <c r="D178" s="37"/>
      <c r="E178" s="12">
        <f t="shared" si="149"/>
        <v>0</v>
      </c>
      <c r="F178" s="47">
        <v>70.0</v>
      </c>
      <c r="G178" s="14" t="str">
        <f t="shared" si="150"/>
        <v>#DIV/0!</v>
      </c>
      <c r="H178" s="37"/>
      <c r="I178" s="40"/>
      <c r="J178" s="37">
        <f t="shared" si="151"/>
        <v>0</v>
      </c>
      <c r="K178" s="52">
        <f t="shared" si="152"/>
        <v>70</v>
      </c>
      <c r="L178" s="48" t="str">
        <f t="shared" si="153"/>
        <v>#DIV/0!</v>
      </c>
      <c r="M178" s="72">
        <v>27220.0</v>
      </c>
      <c r="N178" s="49">
        <f t="shared" si="154"/>
        <v>1905400</v>
      </c>
    </row>
    <row r="179">
      <c r="A179" s="35">
        <v>46167.0</v>
      </c>
      <c r="B179" s="99" t="s">
        <v>44</v>
      </c>
      <c r="C179" s="37"/>
      <c r="D179" s="37"/>
      <c r="E179" s="12">
        <f t="shared" si="149"/>
        <v>0</v>
      </c>
      <c r="F179" s="47">
        <v>80.0</v>
      </c>
      <c r="G179" s="14" t="str">
        <f t="shared" si="150"/>
        <v>#DIV/0!</v>
      </c>
      <c r="H179" s="37"/>
      <c r="I179" s="40"/>
      <c r="J179" s="37">
        <f t="shared" si="151"/>
        <v>0</v>
      </c>
      <c r="K179" s="52">
        <f t="shared" si="152"/>
        <v>80</v>
      </c>
      <c r="L179" s="48" t="str">
        <f t="shared" si="153"/>
        <v>#DIV/0!</v>
      </c>
      <c r="M179" s="72">
        <v>28760.0</v>
      </c>
      <c r="N179" s="49">
        <f t="shared" si="154"/>
        <v>2300800</v>
      </c>
    </row>
    <row r="180">
      <c r="A180" s="35"/>
      <c r="B180" s="99" t="s">
        <v>44</v>
      </c>
      <c r="C180" s="37"/>
      <c r="D180" s="37"/>
      <c r="E180" s="12">
        <f t="shared" si="149"/>
        <v>0</v>
      </c>
      <c r="F180" s="47"/>
      <c r="G180" s="14" t="str">
        <f t="shared" si="150"/>
        <v>#DIV/0!</v>
      </c>
      <c r="H180" s="37"/>
      <c r="I180" s="40"/>
      <c r="J180" s="37">
        <f t="shared" si="151"/>
        <v>0</v>
      </c>
      <c r="K180" s="52" t="str">
        <f t="shared" si="152"/>
        <v/>
      </c>
      <c r="L180" s="48" t="str">
        <f t="shared" si="153"/>
        <v>#DIV/0!</v>
      </c>
      <c r="M180" s="72"/>
      <c r="N180" s="131"/>
    </row>
    <row r="181">
      <c r="A181" s="35"/>
      <c r="B181" s="99" t="s">
        <v>44</v>
      </c>
      <c r="C181" s="37"/>
      <c r="D181" s="133"/>
      <c r="E181" s="12">
        <f t="shared" si="149"/>
        <v>0</v>
      </c>
      <c r="F181" s="47"/>
      <c r="G181" s="14" t="str">
        <f t="shared" si="150"/>
        <v>#DIV/0!</v>
      </c>
      <c r="H181" s="37"/>
      <c r="I181" s="93"/>
      <c r="J181" s="37">
        <f t="shared" si="151"/>
        <v>0</v>
      </c>
      <c r="K181" s="52" t="str">
        <f t="shared" si="152"/>
        <v/>
      </c>
      <c r="L181" s="48" t="str">
        <f t="shared" si="153"/>
        <v>#DIV/0!</v>
      </c>
      <c r="M181" s="72"/>
      <c r="N181" s="131">
        <f t="shared" ref="N181:N183" si="155">M181*K181</f>
        <v>0</v>
      </c>
    </row>
    <row r="182">
      <c r="A182" s="35"/>
      <c r="B182" s="99" t="s">
        <v>44</v>
      </c>
      <c r="C182" s="37"/>
      <c r="D182" s="133"/>
      <c r="E182" s="12">
        <f t="shared" si="149"/>
        <v>0</v>
      </c>
      <c r="F182" s="47"/>
      <c r="G182" s="14" t="str">
        <f t="shared" si="150"/>
        <v>#DIV/0!</v>
      </c>
      <c r="H182" s="37"/>
      <c r="I182" s="93"/>
      <c r="J182" s="37">
        <f t="shared" si="151"/>
        <v>0</v>
      </c>
      <c r="K182" s="52" t="str">
        <f t="shared" si="152"/>
        <v/>
      </c>
      <c r="L182" s="48" t="str">
        <f t="shared" si="153"/>
        <v>#DIV/0!</v>
      </c>
      <c r="M182" s="50"/>
      <c r="N182" s="131">
        <f t="shared" si="155"/>
        <v>0</v>
      </c>
    </row>
    <row r="183">
      <c r="A183" s="146"/>
      <c r="B183" s="99" t="s">
        <v>44</v>
      </c>
      <c r="C183" s="55"/>
      <c r="D183" s="95"/>
      <c r="E183" s="25">
        <f t="shared" si="149"/>
        <v>0</v>
      </c>
      <c r="F183" s="47"/>
      <c r="G183" s="56" t="str">
        <f t="shared" si="150"/>
        <v>#DIV/0!</v>
      </c>
      <c r="H183" s="55"/>
      <c r="I183" s="85"/>
      <c r="J183" s="55">
        <f t="shared" si="151"/>
        <v>0</v>
      </c>
      <c r="K183" s="52" t="str">
        <f t="shared" si="152"/>
        <v/>
      </c>
      <c r="L183" s="77" t="str">
        <f t="shared" si="153"/>
        <v>#DIV/0!</v>
      </c>
      <c r="M183" s="58"/>
      <c r="N183" s="49">
        <f t="shared" si="155"/>
        <v>0</v>
      </c>
    </row>
    <row r="184">
      <c r="A184" s="62"/>
      <c r="B184" s="63"/>
      <c r="C184" s="62"/>
      <c r="D184" s="64" t="s">
        <v>19</v>
      </c>
      <c r="E184" s="64">
        <f t="shared" ref="E184:F184" si="156">sum(E176:E183)</f>
        <v>0</v>
      </c>
      <c r="F184" s="64">
        <f t="shared" si="156"/>
        <v>305</v>
      </c>
      <c r="G184" s="65" t="str">
        <f>average(G176:G183)</f>
        <v>#DIV/0!</v>
      </c>
      <c r="H184" s="62"/>
      <c r="I184" s="66"/>
      <c r="J184" s="64">
        <f t="shared" ref="J184:K184" si="157">sum(J176:J183)</f>
        <v>0</v>
      </c>
      <c r="K184" s="64">
        <f t="shared" si="157"/>
        <v>305</v>
      </c>
      <c r="L184" s="65" t="str">
        <f>average(L176:L183)</f>
        <v>#DIV/0!</v>
      </c>
      <c r="M184" s="68"/>
      <c r="N184" s="69">
        <f>sum(N176:N183)</f>
        <v>8521550</v>
      </c>
    </row>
    <row r="185">
      <c r="A185" s="155">
        <v>46149.0</v>
      </c>
      <c r="B185" s="156" t="s">
        <v>32</v>
      </c>
      <c r="C185" s="89"/>
      <c r="D185" s="13"/>
      <c r="E185" s="38">
        <f t="shared" ref="E185:E192" si="158">D185-C185</f>
        <v>0</v>
      </c>
      <c r="F185" s="39">
        <v>55.0</v>
      </c>
      <c r="G185" s="14" t="str">
        <f t="shared" ref="G185:G192" si="159">(F185/E185)*100</f>
        <v>#DIV/0!</v>
      </c>
      <c r="H185" s="137"/>
      <c r="I185" s="138"/>
      <c r="J185" s="41">
        <f t="shared" ref="J185:J192" si="160">I185-H185</f>
        <v>0</v>
      </c>
      <c r="K185" s="52">
        <f t="shared" ref="K185:K189" si="161">F185</f>
        <v>55</v>
      </c>
      <c r="L185" s="152" t="str">
        <f t="shared" ref="L185:L192" si="162">(K185/J185)*100</f>
        <v>#DIV/0!</v>
      </c>
      <c r="M185" s="72">
        <v>28170.0</v>
      </c>
      <c r="N185" s="131">
        <f t="shared" ref="N185:N188" si="163">M185*K185</f>
        <v>1549350</v>
      </c>
    </row>
    <row r="186">
      <c r="A186" s="154">
        <v>46155.0</v>
      </c>
      <c r="B186" s="156" t="s">
        <v>32</v>
      </c>
      <c r="C186" s="89"/>
      <c r="D186" s="13"/>
      <c r="E186" s="38">
        <f t="shared" si="158"/>
        <v>0</v>
      </c>
      <c r="F186" s="47">
        <v>84.0</v>
      </c>
      <c r="G186" s="14" t="str">
        <f t="shared" si="159"/>
        <v>#DIV/0!</v>
      </c>
      <c r="H186" s="40"/>
      <c r="I186" s="40"/>
      <c r="J186" s="37">
        <f t="shared" si="160"/>
        <v>0</v>
      </c>
      <c r="K186" s="52">
        <f t="shared" si="161"/>
        <v>84</v>
      </c>
      <c r="L186" s="152" t="str">
        <f t="shared" si="162"/>
        <v>#DIV/0!</v>
      </c>
      <c r="M186" s="126">
        <v>27490.0</v>
      </c>
      <c r="N186" s="131">
        <f t="shared" si="163"/>
        <v>2309160</v>
      </c>
    </row>
    <row r="187">
      <c r="A187" s="154">
        <v>46161.0</v>
      </c>
      <c r="B187" s="156" t="s">
        <v>32</v>
      </c>
      <c r="C187" s="89"/>
      <c r="D187" s="89"/>
      <c r="E187" s="12">
        <f t="shared" si="158"/>
        <v>0</v>
      </c>
      <c r="F187" s="157">
        <v>81.0</v>
      </c>
      <c r="G187" s="14" t="str">
        <f t="shared" si="159"/>
        <v>#DIV/0!</v>
      </c>
      <c r="H187" s="37"/>
      <c r="I187" s="40"/>
      <c r="J187" s="37">
        <f t="shared" si="160"/>
        <v>0</v>
      </c>
      <c r="K187" s="52">
        <f t="shared" si="161"/>
        <v>81</v>
      </c>
      <c r="L187" s="152" t="str">
        <f t="shared" si="162"/>
        <v>#DIV/0!</v>
      </c>
      <c r="M187" s="126">
        <v>27220.0</v>
      </c>
      <c r="N187" s="131">
        <f t="shared" si="163"/>
        <v>2204820</v>
      </c>
    </row>
    <row r="188">
      <c r="A188" s="154">
        <v>46168.0</v>
      </c>
      <c r="B188" s="156" t="s">
        <v>32</v>
      </c>
      <c r="C188" s="89"/>
      <c r="D188" s="89"/>
      <c r="E188" s="12">
        <f t="shared" si="158"/>
        <v>0</v>
      </c>
      <c r="F188" s="157">
        <v>88.0</v>
      </c>
      <c r="G188" s="14" t="str">
        <f t="shared" si="159"/>
        <v>#DIV/0!</v>
      </c>
      <c r="H188" s="37"/>
      <c r="I188" s="40"/>
      <c r="J188" s="37">
        <f t="shared" si="160"/>
        <v>0</v>
      </c>
      <c r="K188" s="52">
        <f t="shared" si="161"/>
        <v>88</v>
      </c>
      <c r="L188" s="152" t="str">
        <f t="shared" si="162"/>
        <v>#DIV/0!</v>
      </c>
      <c r="M188" s="126">
        <v>28760.0</v>
      </c>
      <c r="N188" s="131">
        <f t="shared" si="163"/>
        <v>2530880</v>
      </c>
    </row>
    <row r="189">
      <c r="A189" s="154"/>
      <c r="B189" s="156" t="s">
        <v>32</v>
      </c>
      <c r="C189" s="89"/>
      <c r="D189" s="89"/>
      <c r="E189" s="12">
        <f t="shared" si="158"/>
        <v>0</v>
      </c>
      <c r="F189" s="157"/>
      <c r="G189" s="14" t="str">
        <f t="shared" si="159"/>
        <v>#DIV/0!</v>
      </c>
      <c r="H189" s="37"/>
      <c r="I189" s="40"/>
      <c r="J189" s="37">
        <f t="shared" si="160"/>
        <v>0</v>
      </c>
      <c r="K189" s="52" t="str">
        <f t="shared" si="161"/>
        <v/>
      </c>
      <c r="L189" s="152" t="str">
        <f t="shared" si="162"/>
        <v>#DIV/0!</v>
      </c>
      <c r="M189" s="126"/>
      <c r="N189" s="131"/>
    </row>
    <row r="190">
      <c r="A190" s="154"/>
      <c r="B190" s="156" t="s">
        <v>32</v>
      </c>
      <c r="C190" s="89"/>
      <c r="D190" s="158"/>
      <c r="E190" s="12">
        <f t="shared" si="158"/>
        <v>0</v>
      </c>
      <c r="F190" s="157"/>
      <c r="G190" s="14" t="str">
        <f t="shared" si="159"/>
        <v>#DIV/0!</v>
      </c>
      <c r="H190" s="37"/>
      <c r="I190" s="93"/>
      <c r="J190" s="37">
        <f t="shared" si="160"/>
        <v>0</v>
      </c>
      <c r="K190" s="52"/>
      <c r="L190" s="152" t="str">
        <f t="shared" si="162"/>
        <v>#DIV/0!</v>
      </c>
      <c r="M190" s="126"/>
      <c r="N190" s="131">
        <f t="shared" ref="N190:N192" si="164">M190*K190</f>
        <v>0</v>
      </c>
    </row>
    <row r="191">
      <c r="A191" s="154"/>
      <c r="B191" s="156" t="s">
        <v>32</v>
      </c>
      <c r="C191" s="89"/>
      <c r="D191" s="158"/>
      <c r="E191" s="12">
        <f t="shared" si="158"/>
        <v>0</v>
      </c>
      <c r="F191" s="157"/>
      <c r="G191" s="14" t="str">
        <f t="shared" si="159"/>
        <v>#DIV/0!</v>
      </c>
      <c r="H191" s="89"/>
      <c r="I191" s="159"/>
      <c r="J191" s="89">
        <f t="shared" si="160"/>
        <v>0</v>
      </c>
      <c r="K191" s="52"/>
      <c r="L191" s="152" t="str">
        <f t="shared" si="162"/>
        <v>#DIV/0!</v>
      </c>
      <c r="M191" s="126"/>
      <c r="N191" s="131">
        <f t="shared" si="164"/>
        <v>0</v>
      </c>
    </row>
    <row r="192">
      <c r="A192" s="160"/>
      <c r="B192" s="156" t="s">
        <v>32</v>
      </c>
      <c r="C192" s="149"/>
      <c r="D192" s="150"/>
      <c r="E192" s="25">
        <f t="shared" si="158"/>
        <v>0</v>
      </c>
      <c r="F192" s="161"/>
      <c r="G192" s="56" t="str">
        <f t="shared" si="159"/>
        <v>#DIV/0!</v>
      </c>
      <c r="H192" s="149"/>
      <c r="I192" s="151"/>
      <c r="J192" s="149">
        <f t="shared" si="160"/>
        <v>0</v>
      </c>
      <c r="K192" s="52"/>
      <c r="L192" s="152" t="str">
        <f t="shared" si="162"/>
        <v>#DIV/0!</v>
      </c>
      <c r="M192" s="153"/>
      <c r="N192" s="49">
        <f t="shared" si="164"/>
        <v>0</v>
      </c>
    </row>
    <row r="193">
      <c r="A193" s="160"/>
      <c r="B193" s="63"/>
      <c r="C193" s="62"/>
      <c r="D193" s="64" t="s">
        <v>19</v>
      </c>
      <c r="E193" s="64">
        <f t="shared" ref="E193:F193" si="165">sum(E185:E192)</f>
        <v>0</v>
      </c>
      <c r="F193" s="64">
        <f t="shared" si="165"/>
        <v>308</v>
      </c>
      <c r="G193" s="65" t="str">
        <f>average(G185:G192)</f>
        <v>#DIV/0!</v>
      </c>
      <c r="H193" s="62"/>
      <c r="I193" s="66"/>
      <c r="J193" s="64">
        <f t="shared" ref="J193:K193" si="166">sum(J185:J192)</f>
        <v>0</v>
      </c>
      <c r="K193" s="64">
        <f t="shared" si="166"/>
        <v>308</v>
      </c>
      <c r="L193" s="65" t="str">
        <f>average(L185:L192)</f>
        <v>#DIV/0!</v>
      </c>
      <c r="M193" s="68"/>
      <c r="N193" s="69">
        <f>sum(N185:N192)</f>
        <v>8594210</v>
      </c>
    </row>
    <row r="194">
      <c r="A194" s="155">
        <v>46156.0</v>
      </c>
      <c r="B194" s="162" t="s">
        <v>33</v>
      </c>
      <c r="C194" s="89"/>
      <c r="D194" s="163"/>
      <c r="E194" s="38">
        <f t="shared" ref="E194:E200" si="167">D194-C194</f>
        <v>0</v>
      </c>
      <c r="F194" s="39">
        <v>70.0</v>
      </c>
      <c r="G194" s="124" t="str">
        <f t="shared" ref="G194:G200" si="168">(F194/E194)*100</f>
        <v>#DIV/0!</v>
      </c>
      <c r="H194" s="137"/>
      <c r="I194" s="138"/>
      <c r="J194" s="41">
        <f t="shared" ref="J194:J200" si="169">I194-H194</f>
        <v>0</v>
      </c>
      <c r="K194" s="52">
        <f t="shared" ref="K194:K200" si="170">F194</f>
        <v>70</v>
      </c>
      <c r="L194" s="164" t="str">
        <f t="shared" ref="L194:L200" si="171">(K194/J194)*100</f>
        <v>#DIV/0!</v>
      </c>
      <c r="M194" s="72">
        <v>27490.0</v>
      </c>
      <c r="N194" s="49">
        <f t="shared" ref="N194:N196" si="172">F194*M194</f>
        <v>1924300</v>
      </c>
      <c r="R194" s="80" t="str">
        <f t="shared" ref="R194:R200" si="173">Q194</f>
        <v/>
      </c>
    </row>
    <row r="195">
      <c r="A195" s="154">
        <v>46161.0</v>
      </c>
      <c r="B195" s="156" t="s">
        <v>33</v>
      </c>
      <c r="C195" s="89"/>
      <c r="D195" s="13"/>
      <c r="E195" s="38">
        <f t="shared" si="167"/>
        <v>0</v>
      </c>
      <c r="F195" s="47">
        <v>70.0</v>
      </c>
      <c r="G195" s="14" t="str">
        <f t="shared" si="168"/>
        <v>#DIV/0!</v>
      </c>
      <c r="H195" s="40"/>
      <c r="I195" s="40"/>
      <c r="J195" s="37">
        <f t="shared" si="169"/>
        <v>0</v>
      </c>
      <c r="K195" s="52">
        <f t="shared" si="170"/>
        <v>70</v>
      </c>
      <c r="L195" s="152" t="str">
        <f t="shared" si="171"/>
        <v>#DIV/0!</v>
      </c>
      <c r="M195" s="126">
        <v>27220.0</v>
      </c>
      <c r="N195" s="49">
        <f t="shared" si="172"/>
        <v>1905400</v>
      </c>
      <c r="R195" s="80" t="str">
        <f t="shared" si="173"/>
        <v/>
      </c>
    </row>
    <row r="196">
      <c r="A196" s="154">
        <v>46167.0</v>
      </c>
      <c r="B196" s="156" t="s">
        <v>33</v>
      </c>
      <c r="C196" s="89"/>
      <c r="D196" s="89"/>
      <c r="E196" s="12">
        <f t="shared" si="167"/>
        <v>0</v>
      </c>
      <c r="F196" s="157">
        <v>75.0</v>
      </c>
      <c r="G196" s="14" t="str">
        <f t="shared" si="168"/>
        <v>#DIV/0!</v>
      </c>
      <c r="H196" s="37"/>
      <c r="I196" s="40"/>
      <c r="J196" s="37">
        <f t="shared" si="169"/>
        <v>0</v>
      </c>
      <c r="K196" s="52">
        <f t="shared" si="170"/>
        <v>75</v>
      </c>
      <c r="L196" s="152" t="str">
        <f t="shared" si="171"/>
        <v>#DIV/0!</v>
      </c>
      <c r="M196" s="126">
        <v>28760.0</v>
      </c>
      <c r="N196" s="49">
        <f t="shared" si="172"/>
        <v>2157000</v>
      </c>
      <c r="R196" s="80" t="str">
        <f t="shared" si="173"/>
        <v/>
      </c>
    </row>
    <row r="197">
      <c r="A197" s="154"/>
      <c r="B197" s="156" t="s">
        <v>33</v>
      </c>
      <c r="C197" s="89"/>
      <c r="D197" s="89"/>
      <c r="E197" s="12">
        <f t="shared" si="167"/>
        <v>0</v>
      </c>
      <c r="F197" s="157"/>
      <c r="G197" s="14" t="str">
        <f t="shared" si="168"/>
        <v>#DIV/0!</v>
      </c>
      <c r="H197" s="37"/>
      <c r="I197" s="40"/>
      <c r="J197" s="37">
        <f t="shared" si="169"/>
        <v>0</v>
      </c>
      <c r="K197" s="52" t="str">
        <f t="shared" si="170"/>
        <v/>
      </c>
      <c r="L197" s="152" t="str">
        <f t="shared" si="171"/>
        <v>#DIV/0!</v>
      </c>
      <c r="M197" s="126"/>
      <c r="N197" s="131"/>
      <c r="R197" s="80" t="str">
        <f t="shared" si="173"/>
        <v/>
      </c>
    </row>
    <row r="198">
      <c r="A198" s="154"/>
      <c r="B198" s="156" t="s">
        <v>33</v>
      </c>
      <c r="C198" s="89"/>
      <c r="D198" s="89"/>
      <c r="E198" s="12">
        <f t="shared" si="167"/>
        <v>0</v>
      </c>
      <c r="F198" s="157"/>
      <c r="G198" s="14" t="str">
        <f t="shared" si="168"/>
        <v>#DIV/0!</v>
      </c>
      <c r="H198" s="37"/>
      <c r="I198" s="40"/>
      <c r="J198" s="37">
        <f t="shared" si="169"/>
        <v>0</v>
      </c>
      <c r="K198" s="52" t="str">
        <f t="shared" si="170"/>
        <v/>
      </c>
      <c r="L198" s="152" t="str">
        <f t="shared" si="171"/>
        <v>#DIV/0!</v>
      </c>
      <c r="M198" s="126"/>
      <c r="N198" s="131">
        <f t="shared" ref="N198:N200" si="174">M198*K198</f>
        <v>0</v>
      </c>
      <c r="R198" s="80" t="str">
        <f t="shared" si="173"/>
        <v/>
      </c>
    </row>
    <row r="199">
      <c r="A199" s="154"/>
      <c r="B199" s="156" t="s">
        <v>33</v>
      </c>
      <c r="C199" s="89"/>
      <c r="D199" s="158"/>
      <c r="E199" s="12">
        <f t="shared" si="167"/>
        <v>0</v>
      </c>
      <c r="F199" s="157"/>
      <c r="G199" s="14" t="str">
        <f t="shared" si="168"/>
        <v>#DIV/0!</v>
      </c>
      <c r="H199" s="37"/>
      <c r="I199" s="93"/>
      <c r="J199" s="37">
        <f t="shared" si="169"/>
        <v>0</v>
      </c>
      <c r="K199" s="52" t="str">
        <f t="shared" si="170"/>
        <v/>
      </c>
      <c r="L199" s="152" t="str">
        <f t="shared" si="171"/>
        <v>#DIV/0!</v>
      </c>
      <c r="M199" s="126"/>
      <c r="N199" s="131">
        <f t="shared" si="174"/>
        <v>0</v>
      </c>
      <c r="R199" s="80" t="str">
        <f t="shared" si="173"/>
        <v/>
      </c>
    </row>
    <row r="200">
      <c r="A200" s="154"/>
      <c r="B200" s="156" t="s">
        <v>33</v>
      </c>
      <c r="C200" s="89"/>
      <c r="D200" s="158"/>
      <c r="E200" s="12">
        <f t="shared" si="167"/>
        <v>0</v>
      </c>
      <c r="F200" s="157"/>
      <c r="G200" s="14" t="str">
        <f t="shared" si="168"/>
        <v>#DIV/0!</v>
      </c>
      <c r="H200" s="89"/>
      <c r="I200" s="159"/>
      <c r="J200" s="89">
        <f t="shared" si="169"/>
        <v>0</v>
      </c>
      <c r="K200" s="52" t="str">
        <f t="shared" si="170"/>
        <v/>
      </c>
      <c r="L200" s="152" t="str">
        <f t="shared" si="171"/>
        <v>#DIV/0!</v>
      </c>
      <c r="M200" s="126"/>
      <c r="N200" s="131">
        <f t="shared" si="174"/>
        <v>0</v>
      </c>
      <c r="R200" s="80" t="str">
        <f t="shared" si="173"/>
        <v/>
      </c>
    </row>
    <row r="201">
      <c r="A201" s="154"/>
      <c r="B201" s="63"/>
      <c r="C201" s="62"/>
      <c r="D201" s="64" t="s">
        <v>19</v>
      </c>
      <c r="E201" s="64">
        <f t="shared" ref="E201:F201" si="175">sum(E188:E200)</f>
        <v>0</v>
      </c>
      <c r="F201" s="64">
        <f t="shared" si="175"/>
        <v>611</v>
      </c>
      <c r="G201" s="65" t="str">
        <f>average(G188:G200)</f>
        <v>#DIV/0!</v>
      </c>
      <c r="H201" s="62"/>
      <c r="I201" s="66"/>
      <c r="J201" s="64">
        <f>sum(J188:J200)</f>
        <v>0</v>
      </c>
      <c r="K201" s="64">
        <f>sum(K194:K200)</f>
        <v>215</v>
      </c>
      <c r="L201" s="65" t="str">
        <f>average(L188:L200)</f>
        <v>#DIV/0!</v>
      </c>
      <c r="M201" s="68"/>
      <c r="N201" s="147">
        <f>sum(N194:N200)</f>
        <v>5986700</v>
      </c>
    </row>
    <row r="202">
      <c r="A202" s="154">
        <v>46151.0</v>
      </c>
      <c r="B202" s="156" t="s">
        <v>34</v>
      </c>
      <c r="C202" s="89"/>
      <c r="D202" s="163"/>
      <c r="E202" s="38">
        <f t="shared" ref="E202:E208" si="176">D202-C202</f>
        <v>0</v>
      </c>
      <c r="F202" s="39">
        <v>67.0</v>
      </c>
      <c r="G202" s="124" t="str">
        <f t="shared" ref="G202:G208" si="177">(F202/E202)*100</f>
        <v>#DIV/0!</v>
      </c>
      <c r="H202" s="137"/>
      <c r="I202" s="138"/>
      <c r="J202" s="41">
        <f t="shared" ref="J202:J208" si="178">I202-H202</f>
        <v>0</v>
      </c>
      <c r="K202" s="52">
        <f t="shared" ref="K202:K208" si="179">F202</f>
        <v>67</v>
      </c>
      <c r="L202" s="164" t="str">
        <f t="shared" ref="L202:L208" si="180">(K202/J202)*100</f>
        <v>#DIV/0!</v>
      </c>
      <c r="M202" s="72">
        <v>27490.0</v>
      </c>
      <c r="N202" s="131">
        <f t="shared" ref="N202:N204" si="181">M202*K202</f>
        <v>1841830</v>
      </c>
    </row>
    <row r="203">
      <c r="A203" s="154">
        <v>46163.0</v>
      </c>
      <c r="B203" s="156" t="s">
        <v>34</v>
      </c>
      <c r="C203" s="89"/>
      <c r="D203" s="13"/>
      <c r="E203" s="38">
        <f t="shared" si="176"/>
        <v>0</v>
      </c>
      <c r="F203" s="47">
        <v>44.0</v>
      </c>
      <c r="G203" s="14" t="str">
        <f t="shared" si="177"/>
        <v>#DIV/0!</v>
      </c>
      <c r="H203" s="40"/>
      <c r="I203" s="40"/>
      <c r="J203" s="37">
        <f t="shared" si="178"/>
        <v>0</v>
      </c>
      <c r="K203" s="52">
        <f t="shared" si="179"/>
        <v>44</v>
      </c>
      <c r="L203" s="152" t="str">
        <f t="shared" si="180"/>
        <v>#DIV/0!</v>
      </c>
      <c r="M203" s="126">
        <v>27220.0</v>
      </c>
      <c r="N203" s="131">
        <f t="shared" si="181"/>
        <v>1197680</v>
      </c>
    </row>
    <row r="204">
      <c r="A204" s="154">
        <v>46160.0</v>
      </c>
      <c r="B204" s="156" t="s">
        <v>34</v>
      </c>
      <c r="C204" s="89"/>
      <c r="D204" s="89"/>
      <c r="E204" s="12">
        <f t="shared" si="176"/>
        <v>0</v>
      </c>
      <c r="F204" s="157">
        <v>62.0</v>
      </c>
      <c r="G204" s="14" t="str">
        <f t="shared" si="177"/>
        <v>#DIV/0!</v>
      </c>
      <c r="H204" s="37"/>
      <c r="I204" s="40"/>
      <c r="J204" s="37">
        <f t="shared" si="178"/>
        <v>0</v>
      </c>
      <c r="K204" s="52">
        <f t="shared" si="179"/>
        <v>62</v>
      </c>
      <c r="L204" s="152" t="str">
        <f t="shared" si="180"/>
        <v>#DIV/0!</v>
      </c>
      <c r="M204" s="126">
        <v>27220.0</v>
      </c>
      <c r="N204" s="131">
        <f t="shared" si="181"/>
        <v>1687640</v>
      </c>
    </row>
    <row r="205">
      <c r="A205" s="154"/>
      <c r="B205" s="156" t="s">
        <v>34</v>
      </c>
      <c r="C205" s="89"/>
      <c r="D205" s="89"/>
      <c r="E205" s="12">
        <f t="shared" si="176"/>
        <v>0</v>
      </c>
      <c r="F205" s="157"/>
      <c r="G205" s="14" t="str">
        <f t="shared" si="177"/>
        <v>#DIV/0!</v>
      </c>
      <c r="H205" s="37"/>
      <c r="I205" s="40"/>
      <c r="J205" s="37">
        <f t="shared" si="178"/>
        <v>0</v>
      </c>
      <c r="K205" s="52" t="str">
        <f t="shared" si="179"/>
        <v/>
      </c>
      <c r="L205" s="152" t="str">
        <f t="shared" si="180"/>
        <v>#DIV/0!</v>
      </c>
      <c r="M205" s="126"/>
      <c r="N205" s="131"/>
    </row>
    <row r="206">
      <c r="A206" s="154"/>
      <c r="B206" s="156" t="s">
        <v>34</v>
      </c>
      <c r="C206" s="89"/>
      <c r="D206" s="89"/>
      <c r="E206" s="12">
        <f t="shared" si="176"/>
        <v>0</v>
      </c>
      <c r="F206" s="157"/>
      <c r="G206" s="14" t="str">
        <f t="shared" si="177"/>
        <v>#DIV/0!</v>
      </c>
      <c r="H206" s="37"/>
      <c r="I206" s="40"/>
      <c r="J206" s="37">
        <f t="shared" si="178"/>
        <v>0</v>
      </c>
      <c r="K206" s="52" t="str">
        <f t="shared" si="179"/>
        <v/>
      </c>
      <c r="L206" s="152" t="str">
        <f t="shared" si="180"/>
        <v>#DIV/0!</v>
      </c>
      <c r="M206" s="126"/>
      <c r="N206" s="131">
        <f t="shared" ref="N206:N208" si="182">M206*K206</f>
        <v>0</v>
      </c>
    </row>
    <row r="207">
      <c r="A207" s="154"/>
      <c r="B207" s="156" t="s">
        <v>34</v>
      </c>
      <c r="C207" s="89"/>
      <c r="D207" s="158"/>
      <c r="E207" s="12">
        <f t="shared" si="176"/>
        <v>0</v>
      </c>
      <c r="F207" s="157"/>
      <c r="G207" s="14" t="str">
        <f t="shared" si="177"/>
        <v>#DIV/0!</v>
      </c>
      <c r="H207" s="37"/>
      <c r="I207" s="93"/>
      <c r="J207" s="37">
        <f t="shared" si="178"/>
        <v>0</v>
      </c>
      <c r="K207" s="52" t="str">
        <f t="shared" si="179"/>
        <v/>
      </c>
      <c r="L207" s="152" t="str">
        <f t="shared" si="180"/>
        <v>#DIV/0!</v>
      </c>
      <c r="M207" s="126"/>
      <c r="N207" s="131">
        <f t="shared" si="182"/>
        <v>0</v>
      </c>
    </row>
    <row r="208">
      <c r="A208" s="154"/>
      <c r="B208" s="156" t="s">
        <v>34</v>
      </c>
      <c r="C208" s="89"/>
      <c r="D208" s="158"/>
      <c r="E208" s="12">
        <f t="shared" si="176"/>
        <v>0</v>
      </c>
      <c r="F208" s="157"/>
      <c r="G208" s="14" t="str">
        <f t="shared" si="177"/>
        <v>#DIV/0!</v>
      </c>
      <c r="H208" s="89"/>
      <c r="I208" s="159"/>
      <c r="J208" s="89">
        <f t="shared" si="178"/>
        <v>0</v>
      </c>
      <c r="K208" s="52" t="str">
        <f t="shared" si="179"/>
        <v/>
      </c>
      <c r="L208" s="152" t="str">
        <f t="shared" si="180"/>
        <v>#DIV/0!</v>
      </c>
      <c r="M208" s="126"/>
      <c r="N208" s="131">
        <f t="shared" si="182"/>
        <v>0</v>
      </c>
      <c r="R208" s="80" t="str">
        <f>Q208</f>
        <v/>
      </c>
    </row>
    <row r="209">
      <c r="A209" s="154"/>
      <c r="B209" s="63"/>
      <c r="C209" s="62"/>
      <c r="D209" s="64" t="s">
        <v>19</v>
      </c>
      <c r="E209" s="64">
        <f t="shared" ref="E209:F209" si="183">sum(E194:E208)</f>
        <v>0</v>
      </c>
      <c r="F209" s="64">
        <f t="shared" si="183"/>
        <v>999</v>
      </c>
      <c r="G209" s="65" t="str">
        <f>average(G194:G208)</f>
        <v>#DIV/0!</v>
      </c>
      <c r="H209" s="62"/>
      <c r="I209" s="66"/>
      <c r="J209" s="64">
        <f>sum(J194:J208)</f>
        <v>0</v>
      </c>
      <c r="K209" s="64">
        <f>sum(K202:K208)</f>
        <v>173</v>
      </c>
      <c r="L209" s="65" t="str">
        <f>average(L194:L208)</f>
        <v>#DIV/0!</v>
      </c>
      <c r="M209" s="68"/>
      <c r="N209" s="147">
        <f>sum(N202:N208)</f>
        <v>4727150</v>
      </c>
    </row>
    <row r="210">
      <c r="A210" s="154">
        <v>46156.0</v>
      </c>
      <c r="B210" s="156" t="s">
        <v>36</v>
      </c>
      <c r="C210" s="89"/>
      <c r="D210" s="163"/>
      <c r="E210" s="38">
        <f t="shared" ref="E210:E216" si="184">D210-C210</f>
        <v>0</v>
      </c>
      <c r="F210" s="39">
        <v>78.0</v>
      </c>
      <c r="G210" s="124" t="str">
        <f t="shared" ref="G210:G216" si="185">(F210/E210)*100</f>
        <v>#DIV/0!</v>
      </c>
      <c r="H210" s="137"/>
      <c r="I210" s="138"/>
      <c r="J210" s="41">
        <f t="shared" ref="J210:J216" si="186">I210-H210</f>
        <v>0</v>
      </c>
      <c r="K210" s="52">
        <f t="shared" ref="K210:K216" si="187">F210</f>
        <v>78</v>
      </c>
      <c r="L210" s="164" t="str">
        <f t="shared" ref="L210:L216" si="188">(K210/J210)*100</f>
        <v>#DIV/0!</v>
      </c>
      <c r="M210" s="72">
        <v>27490.0</v>
      </c>
      <c r="N210" s="49">
        <f t="shared" ref="N210:N212" si="189">F210*M210</f>
        <v>2144220</v>
      </c>
    </row>
    <row r="211">
      <c r="A211" s="154">
        <v>46163.0</v>
      </c>
      <c r="B211" s="156" t="s">
        <v>36</v>
      </c>
      <c r="C211" s="89"/>
      <c r="D211" s="13"/>
      <c r="E211" s="38">
        <f t="shared" si="184"/>
        <v>0</v>
      </c>
      <c r="F211" s="47">
        <v>60.0</v>
      </c>
      <c r="G211" s="14" t="str">
        <f t="shared" si="185"/>
        <v>#DIV/0!</v>
      </c>
      <c r="H211" s="40"/>
      <c r="I211" s="40"/>
      <c r="J211" s="37">
        <f t="shared" si="186"/>
        <v>0</v>
      </c>
      <c r="K211" s="52">
        <f t="shared" si="187"/>
        <v>60</v>
      </c>
      <c r="L211" s="152" t="str">
        <f t="shared" si="188"/>
        <v>#DIV/0!</v>
      </c>
      <c r="M211" s="126">
        <v>27220.0</v>
      </c>
      <c r="N211" s="49">
        <f t="shared" si="189"/>
        <v>1633200</v>
      </c>
    </row>
    <row r="212">
      <c r="A212" s="154">
        <v>46171.0</v>
      </c>
      <c r="B212" s="156" t="s">
        <v>36</v>
      </c>
      <c r="C212" s="89"/>
      <c r="D212" s="89"/>
      <c r="E212" s="12">
        <f t="shared" si="184"/>
        <v>0</v>
      </c>
      <c r="F212" s="157">
        <v>73.0</v>
      </c>
      <c r="G212" s="14" t="str">
        <f t="shared" si="185"/>
        <v>#DIV/0!</v>
      </c>
      <c r="H212" s="37"/>
      <c r="I212" s="40"/>
      <c r="J212" s="37">
        <f t="shared" si="186"/>
        <v>0</v>
      </c>
      <c r="K212" s="52">
        <f t="shared" si="187"/>
        <v>73</v>
      </c>
      <c r="L212" s="152" t="str">
        <f t="shared" si="188"/>
        <v>#DIV/0!</v>
      </c>
      <c r="M212" s="126">
        <v>27650.0</v>
      </c>
      <c r="N212" s="49">
        <f t="shared" si="189"/>
        <v>2018450</v>
      </c>
    </row>
    <row r="213">
      <c r="A213" s="154"/>
      <c r="B213" s="156" t="s">
        <v>36</v>
      </c>
      <c r="C213" s="89"/>
      <c r="D213" s="89"/>
      <c r="E213" s="12">
        <f t="shared" si="184"/>
        <v>0</v>
      </c>
      <c r="F213" s="157"/>
      <c r="G213" s="14" t="str">
        <f t="shared" si="185"/>
        <v>#DIV/0!</v>
      </c>
      <c r="H213" s="37"/>
      <c r="I213" s="40"/>
      <c r="J213" s="37">
        <f t="shared" si="186"/>
        <v>0</v>
      </c>
      <c r="K213" s="52" t="str">
        <f t="shared" si="187"/>
        <v/>
      </c>
      <c r="L213" s="152" t="str">
        <f t="shared" si="188"/>
        <v>#DIV/0!</v>
      </c>
      <c r="M213" s="126"/>
      <c r="N213" s="131"/>
    </row>
    <row r="214">
      <c r="A214" s="154"/>
      <c r="B214" s="156" t="s">
        <v>36</v>
      </c>
      <c r="C214" s="89"/>
      <c r="D214" s="89"/>
      <c r="E214" s="12">
        <f t="shared" si="184"/>
        <v>0</v>
      </c>
      <c r="F214" s="157"/>
      <c r="G214" s="14" t="str">
        <f t="shared" si="185"/>
        <v>#DIV/0!</v>
      </c>
      <c r="H214" s="37"/>
      <c r="I214" s="40"/>
      <c r="J214" s="37">
        <f t="shared" si="186"/>
        <v>0</v>
      </c>
      <c r="K214" s="52" t="str">
        <f t="shared" si="187"/>
        <v/>
      </c>
      <c r="L214" s="152" t="str">
        <f t="shared" si="188"/>
        <v>#DIV/0!</v>
      </c>
      <c r="M214" s="126"/>
      <c r="N214" s="131">
        <f t="shared" ref="N214:N216" si="190">M214*K214</f>
        <v>0</v>
      </c>
    </row>
    <row r="215">
      <c r="A215" s="154"/>
      <c r="B215" s="156" t="s">
        <v>36</v>
      </c>
      <c r="C215" s="89"/>
      <c r="D215" s="158"/>
      <c r="E215" s="12">
        <f t="shared" si="184"/>
        <v>0</v>
      </c>
      <c r="F215" s="157"/>
      <c r="G215" s="14" t="str">
        <f t="shared" si="185"/>
        <v>#DIV/0!</v>
      </c>
      <c r="H215" s="37"/>
      <c r="I215" s="93"/>
      <c r="J215" s="37">
        <f t="shared" si="186"/>
        <v>0</v>
      </c>
      <c r="K215" s="52" t="str">
        <f t="shared" si="187"/>
        <v/>
      </c>
      <c r="L215" s="152" t="str">
        <f t="shared" si="188"/>
        <v>#DIV/0!</v>
      </c>
      <c r="M215" s="126"/>
      <c r="N215" s="131">
        <f t="shared" si="190"/>
        <v>0</v>
      </c>
    </row>
    <row r="216">
      <c r="A216" s="154"/>
      <c r="B216" s="156" t="s">
        <v>36</v>
      </c>
      <c r="C216" s="89"/>
      <c r="D216" s="158"/>
      <c r="E216" s="12">
        <f t="shared" si="184"/>
        <v>0</v>
      </c>
      <c r="F216" s="157"/>
      <c r="G216" s="14" t="str">
        <f t="shared" si="185"/>
        <v>#DIV/0!</v>
      </c>
      <c r="H216" s="89"/>
      <c r="I216" s="159"/>
      <c r="J216" s="89">
        <f t="shared" si="186"/>
        <v>0</v>
      </c>
      <c r="K216" s="52" t="str">
        <f t="shared" si="187"/>
        <v/>
      </c>
      <c r="L216" s="152" t="str">
        <f t="shared" si="188"/>
        <v>#DIV/0!</v>
      </c>
      <c r="M216" s="126"/>
      <c r="N216" s="131">
        <f t="shared" si="190"/>
        <v>0</v>
      </c>
    </row>
    <row r="217">
      <c r="A217" s="154"/>
      <c r="B217" s="63"/>
      <c r="C217" s="62"/>
      <c r="D217" s="64" t="s">
        <v>19</v>
      </c>
      <c r="E217" s="64">
        <f t="shared" ref="E217:F217" si="191">sum(E202:E216)</f>
        <v>0</v>
      </c>
      <c r="F217" s="64">
        <f t="shared" si="191"/>
        <v>1383</v>
      </c>
      <c r="G217" s="65" t="str">
        <f>average(G202:G216)</f>
        <v>#DIV/0!</v>
      </c>
      <c r="H217" s="62"/>
      <c r="I217" s="66"/>
      <c r="J217" s="64">
        <f>sum(J202:J216)</f>
        <v>0</v>
      </c>
      <c r="K217" s="64">
        <f>sum(K210:K216)</f>
        <v>211</v>
      </c>
      <c r="L217" s="65" t="str">
        <f>average(L202:L216)</f>
        <v>#DIV/0!</v>
      </c>
      <c r="M217" s="68"/>
      <c r="N217" s="147">
        <f>sum(N210:N216)</f>
        <v>5795870</v>
      </c>
    </row>
    <row r="218">
      <c r="A218" s="154"/>
      <c r="B218" s="165"/>
      <c r="C218" s="165"/>
      <c r="D218" s="165"/>
      <c r="E218" s="165"/>
      <c r="F218" s="165"/>
      <c r="G218" s="165"/>
      <c r="H218" s="165"/>
      <c r="I218" s="165"/>
      <c r="J218" s="165"/>
      <c r="K218" s="165"/>
      <c r="L218" s="165"/>
      <c r="M218" s="166"/>
      <c r="N218" s="167">
        <f>sum(N3:N217)/2</f>
        <v>167325838.5</v>
      </c>
      <c r="R218" s="80" t="str">
        <f>Q218</f>
        <v/>
      </c>
    </row>
    <row r="219">
      <c r="A219" s="154"/>
      <c r="G219" s="168"/>
      <c r="L219" s="168"/>
      <c r="N219" s="169"/>
    </row>
    <row r="220" ht="31.5" customHeight="1">
      <c r="A220" s="154"/>
      <c r="D220" s="170" t="s">
        <v>45</v>
      </c>
      <c r="E220" s="171"/>
      <c r="G220" s="168"/>
      <c r="L220" s="168"/>
      <c r="N220" s="169"/>
    </row>
    <row r="221">
      <c r="A221" s="154"/>
      <c r="B221" s="172" t="s">
        <v>2</v>
      </c>
      <c r="C221" s="166"/>
      <c r="D221" s="166" t="s">
        <v>4</v>
      </c>
      <c r="E221" s="166" t="s">
        <v>5</v>
      </c>
      <c r="F221" s="166" t="s">
        <v>6</v>
      </c>
      <c r="G221" s="173" t="s">
        <v>7</v>
      </c>
      <c r="H221" s="174" t="s">
        <v>8</v>
      </c>
      <c r="I221" s="175" t="s">
        <v>8</v>
      </c>
      <c r="J221" s="166" t="s">
        <v>5</v>
      </c>
      <c r="K221" s="166" t="s">
        <v>6</v>
      </c>
      <c r="L221" s="173" t="s">
        <v>7</v>
      </c>
      <c r="M221" s="166"/>
      <c r="N221" s="176" t="s">
        <v>10</v>
      </c>
      <c r="O221" s="19">
        <v>1.0</v>
      </c>
      <c r="P221" s="177" t="s">
        <v>46</v>
      </c>
      <c r="Q221" s="178">
        <f>N227</f>
        <v>19650171.8</v>
      </c>
      <c r="R221" s="21">
        <f t="shared" ref="R221:R235" si="192">Q221</f>
        <v>19650171.8</v>
      </c>
    </row>
    <row r="222">
      <c r="A222" s="154">
        <v>46158.0</v>
      </c>
      <c r="B222" s="179" t="s">
        <v>46</v>
      </c>
      <c r="C222" s="13"/>
      <c r="D222" s="13"/>
      <c r="E222" s="12">
        <f t="shared" ref="E222:E226" si="193">D222-C222</f>
        <v>0</v>
      </c>
      <c r="F222" s="37">
        <v>365.54</v>
      </c>
      <c r="G222" s="14" t="str">
        <f t="shared" ref="G222:G226" si="194">(F222/E222)*100</f>
        <v>#DIV/0!</v>
      </c>
      <c r="H222" s="40">
        <v>417489.0</v>
      </c>
      <c r="I222" s="138">
        <v>418574.0</v>
      </c>
      <c r="J222" s="41">
        <f t="shared" ref="J222:J226" si="195">I222-H222</f>
        <v>1085</v>
      </c>
      <c r="K222" s="37">
        <v>365.54</v>
      </c>
      <c r="L222" s="71">
        <f t="shared" ref="L222:L226" si="196">(K222/J222)*100</f>
        <v>33.69032258</v>
      </c>
      <c r="M222" s="72">
        <v>27220.0</v>
      </c>
      <c r="N222" s="49">
        <f t="shared" ref="N222:N226" si="197">M222*K222</f>
        <v>9949998.8</v>
      </c>
      <c r="O222" s="19">
        <v>2.0</v>
      </c>
      <c r="P222" s="177" t="s">
        <v>47</v>
      </c>
      <c r="Q222" s="178">
        <f>N234</f>
        <v>17699551.3</v>
      </c>
      <c r="R222" s="21">
        <f t="shared" si="192"/>
        <v>17699551.3</v>
      </c>
    </row>
    <row r="223">
      <c r="A223" s="154">
        <v>46172.0</v>
      </c>
      <c r="B223" s="180" t="s">
        <v>46</v>
      </c>
      <c r="C223" s="13"/>
      <c r="D223" s="13"/>
      <c r="E223" s="12">
        <f t="shared" si="193"/>
        <v>0</v>
      </c>
      <c r="F223" s="47">
        <v>350.82</v>
      </c>
      <c r="G223" s="14" t="str">
        <f t="shared" si="194"/>
        <v>#DIV/0!</v>
      </c>
      <c r="H223" s="138">
        <v>418574.0</v>
      </c>
      <c r="I223" s="138">
        <v>419520.0</v>
      </c>
      <c r="J223" s="37">
        <f t="shared" si="195"/>
        <v>946</v>
      </c>
      <c r="K223" s="52">
        <f t="shared" ref="K223:K226" si="198">F223</f>
        <v>350.82</v>
      </c>
      <c r="L223" s="48">
        <f t="shared" si="196"/>
        <v>37.0845666</v>
      </c>
      <c r="M223" s="72">
        <v>27650.0</v>
      </c>
      <c r="N223" s="49">
        <f t="shared" si="197"/>
        <v>9700173</v>
      </c>
      <c r="O223" s="19">
        <v>3.0</v>
      </c>
      <c r="P223" s="177" t="s">
        <v>48</v>
      </c>
      <c r="Q223" s="178">
        <f>N240</f>
        <v>19000732.1</v>
      </c>
      <c r="R223" s="21">
        <f t="shared" si="192"/>
        <v>19000732.1</v>
      </c>
    </row>
    <row r="224">
      <c r="A224" s="154"/>
      <c r="B224" s="180" t="s">
        <v>46</v>
      </c>
      <c r="C224" s="13"/>
      <c r="D224" s="37"/>
      <c r="E224" s="12">
        <f t="shared" si="193"/>
        <v>0</v>
      </c>
      <c r="F224" s="47"/>
      <c r="G224" s="14" t="str">
        <f t="shared" si="194"/>
        <v>#DIV/0!</v>
      </c>
      <c r="H224" s="37"/>
      <c r="I224" s="40"/>
      <c r="J224" s="37">
        <f t="shared" si="195"/>
        <v>0</v>
      </c>
      <c r="K224" s="37" t="str">
        <f t="shared" si="198"/>
        <v/>
      </c>
      <c r="L224" s="48" t="str">
        <f t="shared" si="196"/>
        <v>#DIV/0!</v>
      </c>
      <c r="M224" s="50"/>
      <c r="N224" s="49">
        <f t="shared" si="197"/>
        <v>0</v>
      </c>
      <c r="O224" s="19">
        <v>4.0</v>
      </c>
      <c r="P224" s="177" t="s">
        <v>49</v>
      </c>
      <c r="Q224" s="178">
        <f>N246</f>
        <v>6900349.2</v>
      </c>
      <c r="R224" s="21">
        <f t="shared" si="192"/>
        <v>6900349.2</v>
      </c>
    </row>
    <row r="225">
      <c r="A225" s="154"/>
      <c r="B225" s="180" t="s">
        <v>46</v>
      </c>
      <c r="C225" s="37"/>
      <c r="D225" s="37"/>
      <c r="E225" s="12">
        <f t="shared" si="193"/>
        <v>0</v>
      </c>
      <c r="F225" s="47"/>
      <c r="G225" s="14" t="str">
        <f t="shared" si="194"/>
        <v>#DIV/0!</v>
      </c>
      <c r="H225" s="37"/>
      <c r="I225" s="40"/>
      <c r="J225" s="37">
        <f t="shared" si="195"/>
        <v>0</v>
      </c>
      <c r="K225" s="37" t="str">
        <f t="shared" si="198"/>
        <v/>
      </c>
      <c r="L225" s="48" t="str">
        <f t="shared" si="196"/>
        <v>#DIV/0!</v>
      </c>
      <c r="M225" s="50"/>
      <c r="N225" s="49">
        <f t="shared" si="197"/>
        <v>0</v>
      </c>
      <c r="O225" s="19">
        <v>5.0</v>
      </c>
      <c r="P225" s="177" t="s">
        <v>50</v>
      </c>
      <c r="Q225" s="178">
        <f>N252</f>
        <v>12000703.3</v>
      </c>
      <c r="R225" s="21">
        <f t="shared" si="192"/>
        <v>12000703.3</v>
      </c>
    </row>
    <row r="226">
      <c r="A226" s="154"/>
      <c r="B226" s="180" t="s">
        <v>46</v>
      </c>
      <c r="C226" s="37"/>
      <c r="D226" s="37"/>
      <c r="E226" s="12">
        <f t="shared" si="193"/>
        <v>0</v>
      </c>
      <c r="F226" s="47"/>
      <c r="G226" s="14" t="str">
        <f t="shared" si="194"/>
        <v>#DIV/0!</v>
      </c>
      <c r="H226" s="37"/>
      <c r="I226" s="40"/>
      <c r="J226" s="37">
        <f t="shared" si="195"/>
        <v>0</v>
      </c>
      <c r="K226" s="37" t="str">
        <f t="shared" si="198"/>
        <v/>
      </c>
      <c r="L226" s="77" t="str">
        <f t="shared" si="196"/>
        <v>#DIV/0!</v>
      </c>
      <c r="M226" s="50"/>
      <c r="N226" s="49">
        <f t="shared" si="197"/>
        <v>0</v>
      </c>
      <c r="O226" s="19">
        <v>6.0</v>
      </c>
      <c r="P226" s="177" t="s">
        <v>51</v>
      </c>
      <c r="Q226" s="178">
        <f>N259</f>
        <v>19914147.2</v>
      </c>
      <c r="R226" s="21">
        <f t="shared" si="192"/>
        <v>19914147.2</v>
      </c>
    </row>
    <row r="227">
      <c r="A227" s="154"/>
      <c r="B227" s="63"/>
      <c r="C227" s="62"/>
      <c r="D227" s="64" t="s">
        <v>19</v>
      </c>
      <c r="E227" s="64">
        <f t="shared" ref="E227:F227" si="199">sum(E222:E226)</f>
        <v>0</v>
      </c>
      <c r="F227" s="64">
        <f t="shared" si="199"/>
        <v>716.36</v>
      </c>
      <c r="G227" s="65" t="str">
        <f>average(G222:G226)</f>
        <v>#DIV/0!</v>
      </c>
      <c r="H227" s="62"/>
      <c r="I227" s="66"/>
      <c r="J227" s="64">
        <f t="shared" ref="J227:K227" si="200">sum(J222:J226)</f>
        <v>2031</v>
      </c>
      <c r="K227" s="64">
        <f t="shared" si="200"/>
        <v>716.36</v>
      </c>
      <c r="L227" s="65" t="str">
        <f>average(L222:L226)</f>
        <v>#DIV/0!</v>
      </c>
      <c r="M227" s="68"/>
      <c r="N227" s="69">
        <f>sum(N222:N226)</f>
        <v>19650171.8</v>
      </c>
      <c r="O227" s="19">
        <v>7.0</v>
      </c>
      <c r="P227" s="181" t="s">
        <v>52</v>
      </c>
      <c r="Q227" s="178">
        <f>N293</f>
        <v>25190867.9</v>
      </c>
      <c r="R227" s="21">
        <f t="shared" si="192"/>
        <v>25190867.9</v>
      </c>
    </row>
    <row r="228">
      <c r="A228" s="154">
        <v>46153.0</v>
      </c>
      <c r="B228" s="182" t="s">
        <v>53</v>
      </c>
      <c r="C228" s="89">
        <v>514281.0</v>
      </c>
      <c r="D228" s="89">
        <v>514907.0</v>
      </c>
      <c r="E228" s="12">
        <f t="shared" ref="E228:E233" si="201">D228-C228</f>
        <v>626</v>
      </c>
      <c r="F228" s="157">
        <v>225.53</v>
      </c>
      <c r="G228" s="14">
        <f t="shared" ref="G228:G233" si="202">(F228/E228)*100</f>
        <v>36.02715655</v>
      </c>
      <c r="H228" s="137">
        <v>513799.0</v>
      </c>
      <c r="I228" s="137">
        <v>514386.0</v>
      </c>
      <c r="J228" s="89">
        <f t="shared" ref="J228:J233" si="203">I228-H228</f>
        <v>587</v>
      </c>
      <c r="K228" s="89">
        <f t="shared" ref="K228:K233" si="204">F228</f>
        <v>225.53</v>
      </c>
      <c r="L228" s="152">
        <f t="shared" ref="L228:L233" si="205">(K228/J228)*100</f>
        <v>38.42078365</v>
      </c>
      <c r="M228" s="126">
        <v>27490.0</v>
      </c>
      <c r="N228" s="44">
        <f t="shared" ref="N228:N231" si="206">F228*M228</f>
        <v>6199819.7</v>
      </c>
      <c r="O228" s="19">
        <v>8.0</v>
      </c>
      <c r="P228" s="183" t="s">
        <v>54</v>
      </c>
      <c r="Q228" s="178">
        <f>N277</f>
        <v>31500000</v>
      </c>
      <c r="R228" s="21">
        <f t="shared" si="192"/>
        <v>31500000</v>
      </c>
    </row>
    <row r="229">
      <c r="A229" s="154">
        <v>46163.0</v>
      </c>
      <c r="B229" s="182" t="s">
        <v>53</v>
      </c>
      <c r="C229" s="89">
        <v>514907.0</v>
      </c>
      <c r="D229" s="89">
        <v>515484.0</v>
      </c>
      <c r="E229" s="12">
        <f t="shared" si="201"/>
        <v>577</v>
      </c>
      <c r="F229" s="157">
        <v>183.68</v>
      </c>
      <c r="G229" s="14">
        <f t="shared" si="202"/>
        <v>31.83362218</v>
      </c>
      <c r="H229" s="137">
        <v>514386.0</v>
      </c>
      <c r="I229" s="137">
        <v>514942.0</v>
      </c>
      <c r="J229" s="89">
        <f t="shared" si="203"/>
        <v>556</v>
      </c>
      <c r="K229" s="89">
        <f t="shared" si="204"/>
        <v>183.68</v>
      </c>
      <c r="L229" s="152">
        <f t="shared" si="205"/>
        <v>33.03597122</v>
      </c>
      <c r="M229" s="126">
        <v>27220.0</v>
      </c>
      <c r="N229" s="49">
        <f t="shared" si="206"/>
        <v>4999769.6</v>
      </c>
      <c r="O229" s="19">
        <v>9.0</v>
      </c>
      <c r="P229" s="184" t="s">
        <v>55</v>
      </c>
      <c r="Q229" s="178">
        <f>N286</f>
        <v>18000000</v>
      </c>
      <c r="R229" s="21">
        <f t="shared" si="192"/>
        <v>18000000</v>
      </c>
    </row>
    <row r="230">
      <c r="A230" s="154">
        <v>46171.0</v>
      </c>
      <c r="B230" s="182" t="s">
        <v>53</v>
      </c>
      <c r="C230" s="89">
        <v>515484.0</v>
      </c>
      <c r="D230" s="89">
        <v>516137.0</v>
      </c>
      <c r="E230" s="12">
        <f t="shared" si="201"/>
        <v>653</v>
      </c>
      <c r="F230" s="157">
        <v>235.08</v>
      </c>
      <c r="G230" s="14">
        <f t="shared" si="202"/>
        <v>36</v>
      </c>
      <c r="H230" s="137">
        <v>514942.0</v>
      </c>
      <c r="I230" s="137">
        <v>515575.0</v>
      </c>
      <c r="J230" s="89">
        <f t="shared" si="203"/>
        <v>633</v>
      </c>
      <c r="K230" s="89">
        <f t="shared" si="204"/>
        <v>235.08</v>
      </c>
      <c r="L230" s="152">
        <f t="shared" si="205"/>
        <v>37.13744076</v>
      </c>
      <c r="M230" s="126">
        <v>27650.0</v>
      </c>
      <c r="N230" s="49">
        <f t="shared" si="206"/>
        <v>6499962</v>
      </c>
      <c r="O230" s="19">
        <v>10.0</v>
      </c>
      <c r="P230" s="185" t="s">
        <v>56</v>
      </c>
      <c r="Q230" s="178">
        <f>N268</f>
        <v>24500000</v>
      </c>
      <c r="R230" s="21">
        <f t="shared" si="192"/>
        <v>24500000</v>
      </c>
    </row>
    <row r="231">
      <c r="A231" s="154"/>
      <c r="B231" s="182" t="s">
        <v>53</v>
      </c>
      <c r="C231" s="89"/>
      <c r="D231" s="89"/>
      <c r="E231" s="12">
        <f t="shared" si="201"/>
        <v>0</v>
      </c>
      <c r="F231" s="157"/>
      <c r="G231" s="14" t="str">
        <f t="shared" si="202"/>
        <v>#DIV/0!</v>
      </c>
      <c r="H231" s="137"/>
      <c r="I231" s="137"/>
      <c r="J231" s="89">
        <f t="shared" si="203"/>
        <v>0</v>
      </c>
      <c r="K231" s="89" t="str">
        <f t="shared" si="204"/>
        <v/>
      </c>
      <c r="L231" s="152" t="str">
        <f t="shared" si="205"/>
        <v>#DIV/0!</v>
      </c>
      <c r="M231" s="126"/>
      <c r="N231" s="49">
        <f t="shared" si="206"/>
        <v>0</v>
      </c>
      <c r="O231" s="19">
        <v>11.0</v>
      </c>
      <c r="P231" s="186" t="s">
        <v>57</v>
      </c>
      <c r="Q231" s="187">
        <f>N302</f>
        <v>22276598.1</v>
      </c>
      <c r="R231" s="21">
        <f t="shared" si="192"/>
        <v>22276598.1</v>
      </c>
    </row>
    <row r="232">
      <c r="A232" s="154"/>
      <c r="B232" s="182" t="s">
        <v>53</v>
      </c>
      <c r="C232" s="89"/>
      <c r="D232" s="89"/>
      <c r="E232" s="12">
        <f t="shared" si="201"/>
        <v>0</v>
      </c>
      <c r="F232" s="157"/>
      <c r="G232" s="14" t="str">
        <f t="shared" si="202"/>
        <v>#DIV/0!</v>
      </c>
      <c r="H232" s="137"/>
      <c r="I232" s="137"/>
      <c r="J232" s="89">
        <f t="shared" si="203"/>
        <v>0</v>
      </c>
      <c r="K232" s="89" t="str">
        <f t="shared" si="204"/>
        <v/>
      </c>
      <c r="L232" s="152" t="str">
        <f t="shared" si="205"/>
        <v>#DIV/0!</v>
      </c>
      <c r="M232" s="126"/>
      <c r="N232" s="49">
        <f t="shared" ref="N232:N233" si="207">M232*K232</f>
        <v>0</v>
      </c>
      <c r="O232" s="19">
        <v>12.0</v>
      </c>
      <c r="P232" s="186" t="s">
        <v>58</v>
      </c>
      <c r="Q232" s="187">
        <f>N312</f>
        <v>18599703.7</v>
      </c>
      <c r="R232" s="21">
        <f t="shared" si="192"/>
        <v>18599703.7</v>
      </c>
    </row>
    <row r="233">
      <c r="A233" s="154"/>
      <c r="B233" s="182" t="s">
        <v>53</v>
      </c>
      <c r="C233" s="89"/>
      <c r="D233" s="89"/>
      <c r="E233" s="12">
        <f t="shared" si="201"/>
        <v>0</v>
      </c>
      <c r="F233" s="157"/>
      <c r="G233" s="14" t="str">
        <f t="shared" si="202"/>
        <v>#DIV/0!</v>
      </c>
      <c r="H233" s="137"/>
      <c r="I233" s="137"/>
      <c r="J233" s="89">
        <f t="shared" si="203"/>
        <v>0</v>
      </c>
      <c r="K233" s="89" t="str">
        <f t="shared" si="204"/>
        <v/>
      </c>
      <c r="L233" s="152" t="str">
        <f t="shared" si="205"/>
        <v>#DIV/0!</v>
      </c>
      <c r="M233" s="126"/>
      <c r="N233" s="49">
        <f t="shared" si="207"/>
        <v>0</v>
      </c>
      <c r="O233" s="19">
        <v>13.0</v>
      </c>
      <c r="P233" s="188" t="s">
        <v>59</v>
      </c>
      <c r="Q233" s="187">
        <f>N319</f>
        <v>11200000</v>
      </c>
      <c r="R233" s="21">
        <f t="shared" si="192"/>
        <v>11200000</v>
      </c>
    </row>
    <row r="234">
      <c r="A234" s="154"/>
      <c r="B234" s="63"/>
      <c r="C234" s="62"/>
      <c r="D234" s="64" t="s">
        <v>19</v>
      </c>
      <c r="E234" s="64">
        <f>sum(E228:E232)</f>
        <v>1856</v>
      </c>
      <c r="F234" s="64">
        <f>sum(F228:F233)</f>
        <v>644.29</v>
      </c>
      <c r="G234" s="65" t="str">
        <f>average(G228:G232)</f>
        <v>#DIV/0!</v>
      </c>
      <c r="H234" s="62"/>
      <c r="I234" s="66"/>
      <c r="J234" s="64">
        <f t="shared" ref="J234:K234" si="208">sum(J228:J232)</f>
        <v>1776</v>
      </c>
      <c r="K234" s="64">
        <f t="shared" si="208"/>
        <v>644.29</v>
      </c>
      <c r="L234" s="65" t="str">
        <f>average(L228:L232)</f>
        <v>#DIV/0!</v>
      </c>
      <c r="M234" s="68"/>
      <c r="N234" s="69">
        <f>sum(N228:N233)</f>
        <v>17699551.3</v>
      </c>
      <c r="O234" s="19">
        <v>14.0</v>
      </c>
      <c r="P234" s="177" t="s">
        <v>60</v>
      </c>
      <c r="Q234" s="21">
        <f>N329</f>
        <v>22150256.3</v>
      </c>
      <c r="R234" s="21">
        <f t="shared" si="192"/>
        <v>22150256.3</v>
      </c>
    </row>
    <row r="235">
      <c r="A235" s="154">
        <v>46148.0</v>
      </c>
      <c r="B235" s="182" t="s">
        <v>48</v>
      </c>
      <c r="C235" s="13"/>
      <c r="D235" s="13"/>
      <c r="E235" s="38">
        <f t="shared" ref="E235:E239" si="209">D235-C235</f>
        <v>0</v>
      </c>
      <c r="F235" s="157">
        <v>212.99</v>
      </c>
      <c r="G235" s="14" t="str">
        <f t="shared" ref="G235:G239" si="210">(F235/E235)*100</f>
        <v>#DIV/0!</v>
      </c>
      <c r="H235" s="137">
        <v>7915.0</v>
      </c>
      <c r="I235" s="138">
        <v>8197.0</v>
      </c>
      <c r="J235" s="41">
        <f t="shared" ref="J235:J239" si="211">I235-H235</f>
        <v>282</v>
      </c>
      <c r="K235" s="41"/>
      <c r="L235" s="152">
        <f t="shared" ref="L235:L239" si="212">(K235/J235)*100</f>
        <v>0</v>
      </c>
      <c r="M235" s="72">
        <v>28170.0</v>
      </c>
      <c r="N235" s="131">
        <f t="shared" ref="N235:N239" si="213">F235*M235</f>
        <v>5999928.3</v>
      </c>
      <c r="O235" s="19">
        <v>15.0</v>
      </c>
      <c r="P235" s="177" t="s">
        <v>61</v>
      </c>
      <c r="Q235" s="21">
        <f>N336</f>
        <v>6340082.4</v>
      </c>
      <c r="R235" s="21">
        <f t="shared" si="192"/>
        <v>6340082.4</v>
      </c>
    </row>
    <row r="236">
      <c r="A236" s="154">
        <v>46161.0</v>
      </c>
      <c r="B236" s="182" t="s">
        <v>48</v>
      </c>
      <c r="C236" s="13"/>
      <c r="D236" s="13"/>
      <c r="E236" s="12">
        <f t="shared" si="209"/>
        <v>0</v>
      </c>
      <c r="F236" s="157">
        <v>220.44</v>
      </c>
      <c r="G236" s="14" t="str">
        <f t="shared" si="210"/>
        <v>#DIV/0!</v>
      </c>
      <c r="H236" s="138">
        <v>8197.0</v>
      </c>
      <c r="I236" s="137">
        <v>8472.0</v>
      </c>
      <c r="J236" s="89">
        <f t="shared" si="211"/>
        <v>275</v>
      </c>
      <c r="K236" s="37"/>
      <c r="L236" s="152">
        <f t="shared" si="212"/>
        <v>0</v>
      </c>
      <c r="M236" s="126">
        <v>27220.0</v>
      </c>
      <c r="N236" s="131">
        <f t="shared" si="213"/>
        <v>6000376.8</v>
      </c>
      <c r="O236" s="19"/>
      <c r="P236" s="189"/>
      <c r="Q236" s="60"/>
      <c r="R236" s="60"/>
    </row>
    <row r="237">
      <c r="A237" s="154">
        <v>46172.0</v>
      </c>
      <c r="B237" s="182" t="s">
        <v>48</v>
      </c>
      <c r="C237" s="89"/>
      <c r="D237" s="89"/>
      <c r="E237" s="12">
        <f t="shared" si="209"/>
        <v>0</v>
      </c>
      <c r="F237" s="157">
        <v>253.18</v>
      </c>
      <c r="G237" s="14" t="str">
        <f t="shared" si="210"/>
        <v>#DIV/0!</v>
      </c>
      <c r="H237" s="137">
        <v>8472.0</v>
      </c>
      <c r="I237" s="137">
        <v>8808.0</v>
      </c>
      <c r="J237" s="89">
        <f t="shared" si="211"/>
        <v>336</v>
      </c>
      <c r="K237" s="37"/>
      <c r="L237" s="152">
        <f t="shared" si="212"/>
        <v>0</v>
      </c>
      <c r="M237" s="126">
        <v>27650.0</v>
      </c>
      <c r="N237" s="131">
        <f t="shared" si="213"/>
        <v>7000427</v>
      </c>
      <c r="P237" s="79" t="s">
        <v>19</v>
      </c>
      <c r="Q237" s="21">
        <f>SUM(Q221:Q236)</f>
        <v>274923163.3</v>
      </c>
    </row>
    <row r="238">
      <c r="A238" s="154"/>
      <c r="B238" s="182" t="s">
        <v>48</v>
      </c>
      <c r="C238" s="89"/>
      <c r="D238" s="89"/>
      <c r="E238" s="12">
        <f t="shared" si="209"/>
        <v>0</v>
      </c>
      <c r="F238" s="157"/>
      <c r="G238" s="14" t="str">
        <f t="shared" si="210"/>
        <v>#DIV/0!</v>
      </c>
      <c r="H238" s="89"/>
      <c r="I238" s="137"/>
      <c r="J238" s="89">
        <f t="shared" si="211"/>
        <v>0</v>
      </c>
      <c r="K238" s="37"/>
      <c r="L238" s="152" t="str">
        <f t="shared" si="212"/>
        <v>#DIV/0!</v>
      </c>
      <c r="M238" s="126"/>
      <c r="N238" s="131">
        <f t="shared" si="213"/>
        <v>0</v>
      </c>
    </row>
    <row r="239">
      <c r="A239" s="154"/>
      <c r="B239" s="182" t="s">
        <v>48</v>
      </c>
      <c r="C239" s="89"/>
      <c r="D239" s="89"/>
      <c r="E239" s="12">
        <f t="shared" si="209"/>
        <v>0</v>
      </c>
      <c r="F239" s="157"/>
      <c r="G239" s="14" t="str">
        <f t="shared" si="210"/>
        <v>#DIV/0!</v>
      </c>
      <c r="H239" s="89"/>
      <c r="I239" s="137"/>
      <c r="J239" s="89">
        <f t="shared" si="211"/>
        <v>0</v>
      </c>
      <c r="K239" s="37"/>
      <c r="L239" s="152" t="str">
        <f t="shared" si="212"/>
        <v>#DIV/0!</v>
      </c>
      <c r="M239" s="126"/>
      <c r="N239" s="131">
        <f t="shared" si="213"/>
        <v>0</v>
      </c>
    </row>
    <row r="240">
      <c r="A240" s="154"/>
      <c r="B240" s="63"/>
      <c r="C240" s="62"/>
      <c r="D240" s="64" t="s">
        <v>19</v>
      </c>
      <c r="E240" s="64">
        <f t="shared" ref="E240:F240" si="214">sum(E235:E239)</f>
        <v>0</v>
      </c>
      <c r="F240" s="64">
        <f t="shared" si="214"/>
        <v>686.61</v>
      </c>
      <c r="G240" s="65" t="str">
        <f>average(G235:G239)</f>
        <v>#DIV/0!</v>
      </c>
      <c r="H240" s="62"/>
      <c r="I240" s="66"/>
      <c r="J240" s="64">
        <f t="shared" ref="J240:K240" si="215">sum(J235:J239)</f>
        <v>893</v>
      </c>
      <c r="K240" s="64">
        <f t="shared" si="215"/>
        <v>0</v>
      </c>
      <c r="L240" s="65" t="str">
        <f>average(L235:L239)</f>
        <v>#DIV/0!</v>
      </c>
      <c r="M240" s="68"/>
      <c r="N240" s="69">
        <f>sum(N235:N239)</f>
        <v>19000732.1</v>
      </c>
    </row>
    <row r="241">
      <c r="A241" s="154">
        <v>46149.0</v>
      </c>
      <c r="B241" s="156" t="s">
        <v>49</v>
      </c>
      <c r="C241" s="89"/>
      <c r="D241" s="13"/>
      <c r="E241" s="38">
        <f t="shared" ref="E241:E245" si="216">D241-C241</f>
        <v>0</v>
      </c>
      <c r="F241" s="39">
        <v>127.32</v>
      </c>
      <c r="G241" s="14" t="str">
        <f t="shared" ref="G241:G245" si="217">(F241/E241)*100</f>
        <v>#DIV/0!</v>
      </c>
      <c r="H241" s="89"/>
      <c r="I241" s="138"/>
      <c r="J241" s="41">
        <f t="shared" ref="J241:J245" si="218">I241-H241</f>
        <v>0</v>
      </c>
      <c r="K241" s="41">
        <f t="shared" ref="K241:K245" si="219">F241</f>
        <v>127.32</v>
      </c>
      <c r="L241" s="48" t="str">
        <f t="shared" ref="L241:L245" si="220">(K241/J241)*100</f>
        <v>#DIV/0!</v>
      </c>
      <c r="M241" s="72">
        <v>27490.0</v>
      </c>
      <c r="N241" s="131">
        <f t="shared" ref="N241:N244" si="221">M241*K241</f>
        <v>3500026.8</v>
      </c>
    </row>
    <row r="242">
      <c r="A242" s="154">
        <v>46163.0</v>
      </c>
      <c r="B242" s="156" t="s">
        <v>49</v>
      </c>
      <c r="C242" s="13"/>
      <c r="D242" s="89"/>
      <c r="E242" s="12">
        <f t="shared" si="216"/>
        <v>0</v>
      </c>
      <c r="F242" s="157">
        <v>124.92</v>
      </c>
      <c r="G242" s="14" t="str">
        <f t="shared" si="217"/>
        <v>#DIV/0!</v>
      </c>
      <c r="H242" s="89"/>
      <c r="I242" s="137"/>
      <c r="J242" s="89">
        <f t="shared" si="218"/>
        <v>0</v>
      </c>
      <c r="K242" s="89">
        <f t="shared" si="219"/>
        <v>124.92</v>
      </c>
      <c r="L242" s="152" t="str">
        <f t="shared" si="220"/>
        <v>#DIV/0!</v>
      </c>
      <c r="M242" s="126">
        <v>27220.0</v>
      </c>
      <c r="N242" s="131">
        <f t="shared" si="221"/>
        <v>3400322.4</v>
      </c>
    </row>
    <row r="243">
      <c r="A243" s="154"/>
      <c r="B243" s="156" t="s">
        <v>49</v>
      </c>
      <c r="C243" s="89"/>
      <c r="D243" s="89"/>
      <c r="E243" s="12">
        <f t="shared" si="216"/>
        <v>0</v>
      </c>
      <c r="F243" s="157"/>
      <c r="G243" s="14" t="str">
        <f t="shared" si="217"/>
        <v>#DIV/0!</v>
      </c>
      <c r="H243" s="89"/>
      <c r="I243" s="137"/>
      <c r="J243" s="89">
        <f t="shared" si="218"/>
        <v>0</v>
      </c>
      <c r="K243" s="89" t="str">
        <f t="shared" si="219"/>
        <v/>
      </c>
      <c r="L243" s="152" t="str">
        <f t="shared" si="220"/>
        <v>#DIV/0!</v>
      </c>
      <c r="M243" s="126"/>
      <c r="N243" s="131">
        <f t="shared" si="221"/>
        <v>0</v>
      </c>
    </row>
    <row r="244">
      <c r="A244" s="154"/>
      <c r="B244" s="156" t="s">
        <v>49</v>
      </c>
      <c r="C244" s="89"/>
      <c r="D244" s="89"/>
      <c r="E244" s="12">
        <f t="shared" si="216"/>
        <v>0</v>
      </c>
      <c r="F244" s="157"/>
      <c r="G244" s="14" t="str">
        <f t="shared" si="217"/>
        <v>#DIV/0!</v>
      </c>
      <c r="H244" s="89"/>
      <c r="I244" s="137"/>
      <c r="J244" s="89">
        <f t="shared" si="218"/>
        <v>0</v>
      </c>
      <c r="K244" s="89" t="str">
        <f t="shared" si="219"/>
        <v/>
      </c>
      <c r="L244" s="152" t="str">
        <f t="shared" si="220"/>
        <v>#DIV/0!</v>
      </c>
      <c r="M244" s="126"/>
      <c r="N244" s="131">
        <f t="shared" si="221"/>
        <v>0</v>
      </c>
    </row>
    <row r="245">
      <c r="A245" s="154"/>
      <c r="B245" s="156" t="s">
        <v>49</v>
      </c>
      <c r="C245" s="89"/>
      <c r="D245" s="89"/>
      <c r="E245" s="12">
        <f t="shared" si="216"/>
        <v>0</v>
      </c>
      <c r="F245" s="157"/>
      <c r="G245" s="14" t="str">
        <f t="shared" si="217"/>
        <v>#DIV/0!</v>
      </c>
      <c r="H245" s="89"/>
      <c r="I245" s="137"/>
      <c r="J245" s="89">
        <f t="shared" si="218"/>
        <v>0</v>
      </c>
      <c r="K245" s="89" t="str">
        <f t="shared" si="219"/>
        <v/>
      </c>
      <c r="L245" s="152" t="str">
        <f t="shared" si="220"/>
        <v>#DIV/0!</v>
      </c>
      <c r="M245" s="126"/>
      <c r="N245" s="131">
        <f>F245*M245</f>
        <v>0</v>
      </c>
    </row>
    <row r="246">
      <c r="A246" s="154"/>
      <c r="B246" s="63"/>
      <c r="C246" s="62"/>
      <c r="D246" s="64" t="s">
        <v>19</v>
      </c>
      <c r="E246" s="64">
        <f t="shared" ref="E246:F246" si="222">sum(E241:E245)</f>
        <v>0</v>
      </c>
      <c r="F246" s="64">
        <f t="shared" si="222"/>
        <v>252.24</v>
      </c>
      <c r="G246" s="65" t="str">
        <f>average(G241:G245)</f>
        <v>#DIV/0!</v>
      </c>
      <c r="H246" s="62"/>
      <c r="I246" s="66"/>
      <c r="J246" s="64">
        <f t="shared" ref="J246:K246" si="223">sum(J241:J245)</f>
        <v>0</v>
      </c>
      <c r="K246" s="64">
        <f t="shared" si="223"/>
        <v>252.24</v>
      </c>
      <c r="L246" s="65" t="str">
        <f>average(L241:L245)</f>
        <v>#DIV/0!</v>
      </c>
      <c r="M246" s="68"/>
      <c r="N246" s="69">
        <f>sum(N241:N245)</f>
        <v>6900349.2</v>
      </c>
    </row>
    <row r="247">
      <c r="A247" s="154">
        <v>46158.0</v>
      </c>
      <c r="B247" s="156" t="s">
        <v>50</v>
      </c>
      <c r="C247" s="89"/>
      <c r="D247" s="13"/>
      <c r="E247" s="38"/>
      <c r="F247" s="39">
        <v>220.44</v>
      </c>
      <c r="G247" s="14" t="str">
        <f t="shared" ref="G247:G251" si="224">(F247/E247)*100</f>
        <v>#DIV/0!</v>
      </c>
      <c r="H247" s="89"/>
      <c r="I247" s="138"/>
      <c r="J247" s="89">
        <f t="shared" ref="J247:J251" si="225">I247-H247</f>
        <v>0</v>
      </c>
      <c r="K247" s="89">
        <f t="shared" ref="K247:K251" si="226">F247</f>
        <v>220.44</v>
      </c>
      <c r="L247" s="152" t="str">
        <f t="shared" ref="L247:L251" si="227">(K247/J247)*100</f>
        <v>#DIV/0!</v>
      </c>
      <c r="M247" s="72">
        <v>27220.0</v>
      </c>
      <c r="N247" s="49">
        <f>F247*M247</f>
        <v>6000376.8</v>
      </c>
    </row>
    <row r="248">
      <c r="A248" s="154">
        <v>46172.0</v>
      </c>
      <c r="B248" s="156" t="s">
        <v>50</v>
      </c>
      <c r="C248" s="89"/>
      <c r="D248" s="89"/>
      <c r="E248" s="12">
        <f t="shared" ref="E248:E251" si="228">D248-C248</f>
        <v>0</v>
      </c>
      <c r="F248" s="157">
        <v>217.01</v>
      </c>
      <c r="G248" s="14" t="str">
        <f t="shared" si="224"/>
        <v>#DIV/0!</v>
      </c>
      <c r="H248" s="89"/>
      <c r="I248" s="137"/>
      <c r="J248" s="89">
        <f t="shared" si="225"/>
        <v>0</v>
      </c>
      <c r="K248" s="89">
        <f t="shared" si="226"/>
        <v>217.01</v>
      </c>
      <c r="L248" s="152" t="str">
        <f t="shared" si="227"/>
        <v>#DIV/0!</v>
      </c>
      <c r="M248" s="126">
        <v>27650.0</v>
      </c>
      <c r="N248" s="49">
        <f>M248*K248</f>
        <v>6000326.5</v>
      </c>
    </row>
    <row r="249">
      <c r="A249" s="154"/>
      <c r="B249" s="156" t="s">
        <v>50</v>
      </c>
      <c r="C249" s="89"/>
      <c r="D249" s="89"/>
      <c r="E249" s="12">
        <f t="shared" si="228"/>
        <v>0</v>
      </c>
      <c r="F249" s="157"/>
      <c r="G249" s="14" t="str">
        <f t="shared" si="224"/>
        <v>#DIV/0!</v>
      </c>
      <c r="H249" s="89"/>
      <c r="I249" s="137"/>
      <c r="J249" s="89">
        <f t="shared" si="225"/>
        <v>0</v>
      </c>
      <c r="K249" s="89" t="str">
        <f t="shared" si="226"/>
        <v/>
      </c>
      <c r="L249" s="152" t="str">
        <f t="shared" si="227"/>
        <v>#DIV/0!</v>
      </c>
      <c r="M249" s="126"/>
      <c r="N249" s="49">
        <f t="shared" ref="N249:N251" si="229">F249*M249</f>
        <v>0</v>
      </c>
    </row>
    <row r="250">
      <c r="A250" s="154"/>
      <c r="B250" s="156" t="s">
        <v>50</v>
      </c>
      <c r="C250" s="89"/>
      <c r="D250" s="89"/>
      <c r="E250" s="12">
        <f t="shared" si="228"/>
        <v>0</v>
      </c>
      <c r="F250" s="157"/>
      <c r="G250" s="14" t="str">
        <f t="shared" si="224"/>
        <v>#DIV/0!</v>
      </c>
      <c r="H250" s="89"/>
      <c r="I250" s="137"/>
      <c r="J250" s="89">
        <f t="shared" si="225"/>
        <v>0</v>
      </c>
      <c r="K250" s="89" t="str">
        <f t="shared" si="226"/>
        <v/>
      </c>
      <c r="L250" s="152" t="str">
        <f t="shared" si="227"/>
        <v>#DIV/0!</v>
      </c>
      <c r="M250" s="126"/>
      <c r="N250" s="49">
        <f t="shared" si="229"/>
        <v>0</v>
      </c>
    </row>
    <row r="251">
      <c r="A251" s="154"/>
      <c r="B251" s="156" t="s">
        <v>50</v>
      </c>
      <c r="C251" s="89"/>
      <c r="D251" s="89"/>
      <c r="E251" s="12">
        <f t="shared" si="228"/>
        <v>0</v>
      </c>
      <c r="F251" s="157"/>
      <c r="G251" s="14" t="str">
        <f t="shared" si="224"/>
        <v>#DIV/0!</v>
      </c>
      <c r="H251" s="89"/>
      <c r="I251" s="137"/>
      <c r="J251" s="89">
        <f t="shared" si="225"/>
        <v>0</v>
      </c>
      <c r="K251" s="89" t="str">
        <f t="shared" si="226"/>
        <v/>
      </c>
      <c r="L251" s="152" t="str">
        <f t="shared" si="227"/>
        <v>#DIV/0!</v>
      </c>
      <c r="M251" s="126"/>
      <c r="N251" s="49">
        <f t="shared" si="229"/>
        <v>0</v>
      </c>
    </row>
    <row r="252">
      <c r="A252" s="154"/>
      <c r="B252" s="63"/>
      <c r="C252" s="62"/>
      <c r="D252" s="64" t="s">
        <v>19</v>
      </c>
      <c r="E252" s="64">
        <f t="shared" ref="E252:F252" si="230">sum(E247:E251)</f>
        <v>0</v>
      </c>
      <c r="F252" s="64">
        <f t="shared" si="230"/>
        <v>437.45</v>
      </c>
      <c r="G252" s="65" t="str">
        <f>average(G247:G251)</f>
        <v>#DIV/0!</v>
      </c>
      <c r="H252" s="62"/>
      <c r="I252" s="66"/>
      <c r="J252" s="64">
        <f t="shared" ref="J252:K252" si="231">sum(J247:J251)</f>
        <v>0</v>
      </c>
      <c r="K252" s="64">
        <f t="shared" si="231"/>
        <v>437.45</v>
      </c>
      <c r="L252" s="65" t="str">
        <f>average(L247:L251)</f>
        <v>#DIV/0!</v>
      </c>
      <c r="M252" s="68"/>
      <c r="N252" s="69">
        <f>sum(N247:N251)</f>
        <v>12000703.3</v>
      </c>
    </row>
    <row r="253">
      <c r="A253" s="154">
        <v>46147.0</v>
      </c>
      <c r="B253" s="182" t="s">
        <v>51</v>
      </c>
      <c r="C253" s="89">
        <v>308843.0</v>
      </c>
      <c r="D253" s="89">
        <v>309201.0</v>
      </c>
      <c r="E253" s="12">
        <f t="shared" ref="E253:E258" si="232">D253-C253</f>
        <v>358</v>
      </c>
      <c r="F253" s="39">
        <v>94.07</v>
      </c>
      <c r="G253" s="14">
        <f t="shared" ref="G253:G258" si="233">(F253/E253)*100</f>
        <v>26.27653631</v>
      </c>
      <c r="H253" s="137">
        <v>22882.0</v>
      </c>
      <c r="I253" s="137">
        <v>23355.0</v>
      </c>
      <c r="J253" s="41">
        <f t="shared" ref="J253:J258" si="234">I253-H253</f>
        <v>473</v>
      </c>
      <c r="K253" s="41">
        <f t="shared" ref="K253:K258" si="235">F253</f>
        <v>94.07</v>
      </c>
      <c r="L253" s="152">
        <f t="shared" ref="L253:L258" si="236">(K253/J253)*100</f>
        <v>19.88794926</v>
      </c>
      <c r="M253" s="72">
        <v>28170.0</v>
      </c>
      <c r="N253" s="49">
        <f t="shared" ref="N253:N256" si="237">F253*M253</f>
        <v>2649951.9</v>
      </c>
    </row>
    <row r="254">
      <c r="A254" s="154">
        <v>46150.0</v>
      </c>
      <c r="B254" s="182" t="s">
        <v>51</v>
      </c>
      <c r="C254" s="89">
        <v>309201.0</v>
      </c>
      <c r="D254" s="89">
        <v>309652.0</v>
      </c>
      <c r="E254" s="12">
        <f t="shared" si="232"/>
        <v>451</v>
      </c>
      <c r="F254" s="157">
        <v>101.87</v>
      </c>
      <c r="G254" s="14">
        <f t="shared" si="233"/>
        <v>22.58758315</v>
      </c>
      <c r="H254" s="137">
        <v>23355.0</v>
      </c>
      <c r="I254" s="89">
        <v>23724.0</v>
      </c>
      <c r="J254" s="89">
        <f t="shared" si="234"/>
        <v>369</v>
      </c>
      <c r="K254" s="89">
        <f t="shared" si="235"/>
        <v>101.87</v>
      </c>
      <c r="L254" s="152">
        <f t="shared" si="236"/>
        <v>27.60704607</v>
      </c>
      <c r="M254" s="126">
        <v>27490.0</v>
      </c>
      <c r="N254" s="49">
        <f t="shared" si="237"/>
        <v>2800406.3</v>
      </c>
    </row>
    <row r="255">
      <c r="A255" s="154">
        <v>46155.0</v>
      </c>
      <c r="B255" s="182" t="s">
        <v>51</v>
      </c>
      <c r="C255" s="89">
        <v>309652.0</v>
      </c>
      <c r="D255" s="89">
        <v>310003.0</v>
      </c>
      <c r="E255" s="12">
        <f t="shared" si="232"/>
        <v>351</v>
      </c>
      <c r="F255" s="157">
        <v>134.62</v>
      </c>
      <c r="G255" s="14">
        <f t="shared" si="233"/>
        <v>38.35327635</v>
      </c>
      <c r="H255" s="89">
        <v>23724.0</v>
      </c>
      <c r="I255" s="137">
        <v>23962.0</v>
      </c>
      <c r="J255" s="89">
        <f t="shared" si="234"/>
        <v>238</v>
      </c>
      <c r="K255" s="89">
        <f t="shared" si="235"/>
        <v>134.62</v>
      </c>
      <c r="L255" s="152">
        <f t="shared" si="236"/>
        <v>56.56302521</v>
      </c>
      <c r="M255" s="126">
        <v>27490.0</v>
      </c>
      <c r="N255" s="49">
        <f t="shared" si="237"/>
        <v>3700703.8</v>
      </c>
    </row>
    <row r="256">
      <c r="A256" s="154">
        <v>46161.0</v>
      </c>
      <c r="B256" s="182" t="s">
        <v>51</v>
      </c>
      <c r="C256" s="89">
        <v>310003.0</v>
      </c>
      <c r="D256" s="89">
        <v>310518.0</v>
      </c>
      <c r="E256" s="12">
        <f t="shared" si="232"/>
        <v>515</v>
      </c>
      <c r="F256" s="157">
        <v>150.0</v>
      </c>
      <c r="G256" s="14">
        <f t="shared" si="233"/>
        <v>29.12621359</v>
      </c>
      <c r="H256" s="137">
        <v>23962.0</v>
      </c>
      <c r="I256" s="137">
        <v>24518.0</v>
      </c>
      <c r="J256" s="89">
        <f t="shared" si="234"/>
        <v>556</v>
      </c>
      <c r="K256" s="89">
        <f t="shared" si="235"/>
        <v>150</v>
      </c>
      <c r="L256" s="152">
        <f t="shared" si="236"/>
        <v>26.97841727</v>
      </c>
      <c r="M256" s="126">
        <v>27220.0</v>
      </c>
      <c r="N256" s="49">
        <f t="shared" si="237"/>
        <v>4083000</v>
      </c>
    </row>
    <row r="257">
      <c r="A257" s="154">
        <v>46165.0</v>
      </c>
      <c r="B257" s="182" t="s">
        <v>51</v>
      </c>
      <c r="C257" s="89">
        <v>310518.0</v>
      </c>
      <c r="D257" s="89">
        <v>310941.0</v>
      </c>
      <c r="E257" s="12">
        <f t="shared" si="232"/>
        <v>423</v>
      </c>
      <c r="F257" s="157">
        <v>103.27</v>
      </c>
      <c r="G257" s="14">
        <f t="shared" si="233"/>
        <v>24.41371158</v>
      </c>
      <c r="H257" s="137">
        <v>24518.0</v>
      </c>
      <c r="I257" s="137">
        <v>24952.0</v>
      </c>
      <c r="J257" s="89">
        <f t="shared" si="234"/>
        <v>434</v>
      </c>
      <c r="K257" s="89">
        <f t="shared" si="235"/>
        <v>103.27</v>
      </c>
      <c r="L257" s="152">
        <f t="shared" si="236"/>
        <v>23.79493088</v>
      </c>
      <c r="M257" s="126">
        <v>28760.0</v>
      </c>
      <c r="N257" s="49">
        <f t="shared" ref="N257:N258" si="238">M257*K257</f>
        <v>2970045.2</v>
      </c>
    </row>
    <row r="258">
      <c r="A258" s="154">
        <v>46170.0</v>
      </c>
      <c r="B258" s="182" t="s">
        <v>51</v>
      </c>
      <c r="C258" s="89">
        <v>310941.0</v>
      </c>
      <c r="D258" s="89">
        <v>311365.0</v>
      </c>
      <c r="E258" s="12">
        <f t="shared" si="232"/>
        <v>424</v>
      </c>
      <c r="F258" s="157">
        <v>129.0</v>
      </c>
      <c r="G258" s="14">
        <f t="shared" si="233"/>
        <v>30.4245283</v>
      </c>
      <c r="H258" s="137">
        <v>24952.0</v>
      </c>
      <c r="I258" s="137">
        <v>25353.0</v>
      </c>
      <c r="J258" s="89">
        <f t="shared" si="234"/>
        <v>401</v>
      </c>
      <c r="K258" s="89">
        <f t="shared" si="235"/>
        <v>129</v>
      </c>
      <c r="L258" s="152">
        <f t="shared" si="236"/>
        <v>32.16957606</v>
      </c>
      <c r="M258" s="126">
        <v>28760.0</v>
      </c>
      <c r="N258" s="49">
        <f t="shared" si="238"/>
        <v>3710040</v>
      </c>
    </row>
    <row r="259">
      <c r="A259" s="154"/>
      <c r="B259" s="63"/>
      <c r="C259" s="62"/>
      <c r="D259" s="64" t="s">
        <v>19</v>
      </c>
      <c r="E259" s="64">
        <f>sum(E253:E257)</f>
        <v>2098</v>
      </c>
      <c r="F259" s="64">
        <f>sum(F253:F258)</f>
        <v>712.83</v>
      </c>
      <c r="G259" s="65">
        <f>average(G253:G257)</f>
        <v>28.1514642</v>
      </c>
      <c r="H259" s="62"/>
      <c r="I259" s="66"/>
      <c r="J259" s="64">
        <f t="shared" ref="J259:K259" si="239">sum(J253:J257)</f>
        <v>2070</v>
      </c>
      <c r="K259" s="64">
        <f t="shared" si="239"/>
        <v>583.83</v>
      </c>
      <c r="L259" s="65">
        <f>average(L253:L257)</f>
        <v>30.96627374</v>
      </c>
      <c r="M259" s="68"/>
      <c r="N259" s="69">
        <f>sum(N253:N258)</f>
        <v>19914147.2</v>
      </c>
    </row>
    <row r="260">
      <c r="A260" s="154">
        <v>46148.0</v>
      </c>
      <c r="B260" s="190" t="s">
        <v>62</v>
      </c>
      <c r="C260" s="89"/>
      <c r="D260" s="13"/>
      <c r="E260" s="38">
        <f t="shared" ref="E260:E267" si="240">D260-C260</f>
        <v>0</v>
      </c>
      <c r="F260" s="39"/>
      <c r="G260" s="14" t="str">
        <f t="shared" ref="G260:G267" si="241">(F260/E260)*100</f>
        <v>#DIV/0!</v>
      </c>
      <c r="H260" s="89"/>
      <c r="I260" s="138"/>
      <c r="J260" s="41">
        <f t="shared" ref="J260:J267" si="242">I260-H260</f>
        <v>0</v>
      </c>
      <c r="K260" s="41" t="str">
        <f t="shared" ref="K260:K267" si="243">F260</f>
        <v/>
      </c>
      <c r="L260" s="152" t="str">
        <f t="shared" ref="L260:L267" si="244">(K260/J260)*100</f>
        <v>#DIV/0!</v>
      </c>
      <c r="M260" s="72"/>
      <c r="N260" s="131">
        <v>1.35E7</v>
      </c>
    </row>
    <row r="261">
      <c r="A261" s="154">
        <v>46163.0</v>
      </c>
      <c r="B261" s="190" t="s">
        <v>62</v>
      </c>
      <c r="C261" s="89"/>
      <c r="D261" s="89"/>
      <c r="E261" s="12">
        <f t="shared" si="240"/>
        <v>0</v>
      </c>
      <c r="F261" s="157"/>
      <c r="G261" s="14" t="str">
        <f t="shared" si="241"/>
        <v>#DIV/0!</v>
      </c>
      <c r="H261" s="89"/>
      <c r="I261" s="137"/>
      <c r="J261" s="89">
        <f t="shared" si="242"/>
        <v>0</v>
      </c>
      <c r="K261" s="89" t="str">
        <f t="shared" si="243"/>
        <v/>
      </c>
      <c r="L261" s="152" t="str">
        <f t="shared" si="244"/>
        <v>#DIV/0!</v>
      </c>
      <c r="M261" s="126"/>
      <c r="N261" s="131">
        <v>8000000.0</v>
      </c>
    </row>
    <row r="262">
      <c r="A262" s="154">
        <v>46171.0</v>
      </c>
      <c r="B262" s="190" t="s">
        <v>62</v>
      </c>
      <c r="C262" s="89"/>
      <c r="D262" s="89"/>
      <c r="E262" s="12">
        <f t="shared" si="240"/>
        <v>0</v>
      </c>
      <c r="F262" s="157"/>
      <c r="G262" s="14" t="str">
        <f t="shared" si="241"/>
        <v>#DIV/0!</v>
      </c>
      <c r="H262" s="89"/>
      <c r="I262" s="137"/>
      <c r="J262" s="89">
        <f t="shared" si="242"/>
        <v>0</v>
      </c>
      <c r="K262" s="89" t="str">
        <f t="shared" si="243"/>
        <v/>
      </c>
      <c r="L262" s="152" t="str">
        <f t="shared" si="244"/>
        <v>#DIV/0!</v>
      </c>
      <c r="M262" s="126"/>
      <c r="N262" s="131">
        <v>3000000.0</v>
      </c>
    </row>
    <row r="263">
      <c r="A263" s="154"/>
      <c r="B263" s="190" t="s">
        <v>62</v>
      </c>
      <c r="C263" s="89"/>
      <c r="D263" s="89"/>
      <c r="E263" s="12">
        <f t="shared" si="240"/>
        <v>0</v>
      </c>
      <c r="F263" s="157"/>
      <c r="G263" s="14" t="str">
        <f t="shared" si="241"/>
        <v>#DIV/0!</v>
      </c>
      <c r="H263" s="89"/>
      <c r="I263" s="137"/>
      <c r="J263" s="89">
        <f t="shared" si="242"/>
        <v>0</v>
      </c>
      <c r="K263" s="89" t="str">
        <f t="shared" si="243"/>
        <v/>
      </c>
      <c r="L263" s="152" t="str">
        <f t="shared" si="244"/>
        <v>#DIV/0!</v>
      </c>
      <c r="M263" s="126"/>
      <c r="N263" s="131"/>
    </row>
    <row r="264">
      <c r="A264" s="154"/>
      <c r="B264" s="190" t="s">
        <v>62</v>
      </c>
      <c r="C264" s="89"/>
      <c r="D264" s="89"/>
      <c r="E264" s="12">
        <f t="shared" si="240"/>
        <v>0</v>
      </c>
      <c r="F264" s="157"/>
      <c r="G264" s="14" t="str">
        <f t="shared" si="241"/>
        <v>#DIV/0!</v>
      </c>
      <c r="H264" s="89"/>
      <c r="I264" s="137"/>
      <c r="J264" s="89">
        <f t="shared" si="242"/>
        <v>0</v>
      </c>
      <c r="K264" s="89" t="str">
        <f t="shared" si="243"/>
        <v/>
      </c>
      <c r="L264" s="152" t="str">
        <f t="shared" si="244"/>
        <v>#DIV/0!</v>
      </c>
      <c r="M264" s="126"/>
      <c r="N264" s="131"/>
    </row>
    <row r="265">
      <c r="A265" s="154"/>
      <c r="B265" s="190" t="s">
        <v>62</v>
      </c>
      <c r="C265" s="89"/>
      <c r="D265" s="89"/>
      <c r="E265" s="12">
        <f t="shared" si="240"/>
        <v>0</v>
      </c>
      <c r="F265" s="157"/>
      <c r="G265" s="14" t="str">
        <f t="shared" si="241"/>
        <v>#DIV/0!</v>
      </c>
      <c r="H265" s="89"/>
      <c r="I265" s="137"/>
      <c r="J265" s="89">
        <f t="shared" si="242"/>
        <v>0</v>
      </c>
      <c r="K265" s="89" t="str">
        <f t="shared" si="243"/>
        <v/>
      </c>
      <c r="L265" s="152" t="str">
        <f t="shared" si="244"/>
        <v>#DIV/0!</v>
      </c>
      <c r="M265" s="126"/>
      <c r="N265" s="131"/>
    </row>
    <row r="266">
      <c r="A266" s="154"/>
      <c r="B266" s="190" t="s">
        <v>62</v>
      </c>
      <c r="C266" s="89"/>
      <c r="D266" s="89"/>
      <c r="E266" s="12">
        <f t="shared" si="240"/>
        <v>0</v>
      </c>
      <c r="F266" s="157"/>
      <c r="G266" s="14" t="str">
        <f t="shared" si="241"/>
        <v>#DIV/0!</v>
      </c>
      <c r="H266" s="89"/>
      <c r="I266" s="137"/>
      <c r="J266" s="89">
        <f t="shared" si="242"/>
        <v>0</v>
      </c>
      <c r="K266" s="89" t="str">
        <f t="shared" si="243"/>
        <v/>
      </c>
      <c r="L266" s="152" t="str">
        <f t="shared" si="244"/>
        <v>#DIV/0!</v>
      </c>
      <c r="M266" s="126"/>
      <c r="N266" s="131"/>
    </row>
    <row r="267">
      <c r="A267" s="154"/>
      <c r="B267" s="190" t="s">
        <v>62</v>
      </c>
      <c r="C267" s="89"/>
      <c r="D267" s="89"/>
      <c r="E267" s="12">
        <f t="shared" si="240"/>
        <v>0</v>
      </c>
      <c r="F267" s="157"/>
      <c r="G267" s="14" t="str">
        <f t="shared" si="241"/>
        <v>#DIV/0!</v>
      </c>
      <c r="H267" s="89"/>
      <c r="I267" s="137"/>
      <c r="J267" s="89">
        <f t="shared" si="242"/>
        <v>0</v>
      </c>
      <c r="K267" s="89" t="str">
        <f t="shared" si="243"/>
        <v/>
      </c>
      <c r="L267" s="152" t="str">
        <f t="shared" si="244"/>
        <v>#DIV/0!</v>
      </c>
      <c r="M267" s="126"/>
      <c r="N267" s="131"/>
    </row>
    <row r="268">
      <c r="A268" s="62"/>
      <c r="B268" s="63"/>
      <c r="C268" s="62"/>
      <c r="D268" s="64"/>
      <c r="E268" s="64">
        <f t="shared" ref="E268:F268" si="245">sum(E260:E264)</f>
        <v>0</v>
      </c>
      <c r="F268" s="64">
        <f t="shared" si="245"/>
        <v>0</v>
      </c>
      <c r="G268" s="65" t="str">
        <f>average(G260:G264)</f>
        <v>#DIV/0!</v>
      </c>
      <c r="H268" s="62"/>
      <c r="I268" s="66"/>
      <c r="J268" s="64">
        <f t="shared" ref="J268:K268" si="246">sum(J260:J264)</f>
        <v>0</v>
      </c>
      <c r="K268" s="64">
        <f t="shared" si="246"/>
        <v>0</v>
      </c>
      <c r="L268" s="65" t="str">
        <f>average(L260:L264)</f>
        <v>#DIV/0!</v>
      </c>
      <c r="M268" s="68"/>
      <c r="N268" s="69">
        <f>sum(N260:N267)</f>
        <v>24500000</v>
      </c>
    </row>
    <row r="269">
      <c r="A269" s="70">
        <v>46146.0</v>
      </c>
      <c r="B269" s="156" t="s">
        <v>54</v>
      </c>
      <c r="C269" s="89"/>
      <c r="D269" s="13"/>
      <c r="E269" s="38">
        <f t="shared" ref="E269:E274" si="247">D269-C269</f>
        <v>0</v>
      </c>
      <c r="F269" s="39"/>
      <c r="G269" s="14" t="str">
        <f t="shared" ref="G269:G274" si="248">(F269/E269)*100</f>
        <v>#DIV/0!</v>
      </c>
      <c r="H269" s="89"/>
      <c r="I269" s="138"/>
      <c r="J269" s="41">
        <f t="shared" ref="J269:J276" si="249">I269-H269</f>
        <v>0</v>
      </c>
      <c r="K269" s="41"/>
      <c r="L269" s="152" t="str">
        <f t="shared" ref="L269:L276" si="250">(K269/J269)*100</f>
        <v>#DIV/0!</v>
      </c>
      <c r="M269" s="72"/>
      <c r="N269" s="49">
        <v>5000000.0</v>
      </c>
    </row>
    <row r="270">
      <c r="A270" s="35">
        <v>46151.0</v>
      </c>
      <c r="B270" s="156" t="s">
        <v>54</v>
      </c>
      <c r="C270" s="89"/>
      <c r="D270" s="89"/>
      <c r="E270" s="12">
        <f t="shared" si="247"/>
        <v>0</v>
      </c>
      <c r="F270" s="157"/>
      <c r="G270" s="14" t="str">
        <f t="shared" si="248"/>
        <v>#DIV/0!</v>
      </c>
      <c r="H270" s="89"/>
      <c r="I270" s="137"/>
      <c r="J270" s="89">
        <f t="shared" si="249"/>
        <v>0</v>
      </c>
      <c r="K270" s="89" t="str">
        <f t="shared" ref="K270:K276" si="251">F270</f>
        <v/>
      </c>
      <c r="L270" s="152" t="str">
        <f t="shared" si="250"/>
        <v>#DIV/0!</v>
      </c>
      <c r="M270" s="126"/>
      <c r="N270" s="49">
        <v>5000000.0</v>
      </c>
    </row>
    <row r="271">
      <c r="A271" s="35">
        <v>46155.0</v>
      </c>
      <c r="B271" s="156" t="s">
        <v>54</v>
      </c>
      <c r="C271" s="89"/>
      <c r="D271" s="89"/>
      <c r="E271" s="12">
        <f t="shared" si="247"/>
        <v>0</v>
      </c>
      <c r="F271" s="157"/>
      <c r="G271" s="14" t="str">
        <f t="shared" si="248"/>
        <v>#DIV/0!</v>
      </c>
      <c r="H271" s="89"/>
      <c r="I271" s="137"/>
      <c r="J271" s="89">
        <f t="shared" si="249"/>
        <v>0</v>
      </c>
      <c r="K271" s="89" t="str">
        <f t="shared" si="251"/>
        <v/>
      </c>
      <c r="L271" s="152" t="str">
        <f t="shared" si="250"/>
        <v>#DIV/0!</v>
      </c>
      <c r="M271" s="126"/>
      <c r="N271" s="49">
        <v>5000000.0</v>
      </c>
    </row>
    <row r="272">
      <c r="A272" s="35">
        <v>46160.0</v>
      </c>
      <c r="B272" s="156" t="s">
        <v>54</v>
      </c>
      <c r="C272" s="89"/>
      <c r="D272" s="89"/>
      <c r="E272" s="12">
        <f t="shared" si="247"/>
        <v>0</v>
      </c>
      <c r="F272" s="157"/>
      <c r="G272" s="14" t="str">
        <f t="shared" si="248"/>
        <v>#DIV/0!</v>
      </c>
      <c r="H272" s="89"/>
      <c r="I272" s="137"/>
      <c r="J272" s="89">
        <f t="shared" si="249"/>
        <v>0</v>
      </c>
      <c r="K272" s="89" t="str">
        <f t="shared" si="251"/>
        <v/>
      </c>
      <c r="L272" s="152" t="str">
        <f t="shared" si="250"/>
        <v>#DIV/0!</v>
      </c>
      <c r="M272" s="126"/>
      <c r="N272" s="49">
        <v>5000000.0</v>
      </c>
    </row>
    <row r="273">
      <c r="A273" s="35">
        <v>46163.0</v>
      </c>
      <c r="B273" s="156" t="s">
        <v>54</v>
      </c>
      <c r="C273" s="89"/>
      <c r="D273" s="89"/>
      <c r="E273" s="12">
        <f t="shared" si="247"/>
        <v>0</v>
      </c>
      <c r="F273" s="157"/>
      <c r="G273" s="14" t="str">
        <f t="shared" si="248"/>
        <v>#DIV/0!</v>
      </c>
      <c r="H273" s="89"/>
      <c r="I273" s="137"/>
      <c r="J273" s="89">
        <f t="shared" si="249"/>
        <v>0</v>
      </c>
      <c r="K273" s="89" t="str">
        <f t="shared" si="251"/>
        <v/>
      </c>
      <c r="L273" s="152" t="str">
        <f t="shared" si="250"/>
        <v>#DIV/0!</v>
      </c>
      <c r="M273" s="126"/>
      <c r="N273" s="49">
        <v>1.15E7</v>
      </c>
    </row>
    <row r="274">
      <c r="A274" s="35"/>
      <c r="B274" s="156" t="s">
        <v>54</v>
      </c>
      <c r="C274" s="89"/>
      <c r="D274" s="89"/>
      <c r="E274" s="12">
        <f t="shared" si="247"/>
        <v>0</v>
      </c>
      <c r="F274" s="157"/>
      <c r="G274" s="14" t="str">
        <f t="shared" si="248"/>
        <v>#DIV/0!</v>
      </c>
      <c r="H274" s="89"/>
      <c r="I274" s="137"/>
      <c r="J274" s="89">
        <f t="shared" si="249"/>
        <v>0</v>
      </c>
      <c r="K274" s="89" t="str">
        <f t="shared" si="251"/>
        <v/>
      </c>
      <c r="L274" s="152" t="str">
        <f t="shared" si="250"/>
        <v>#DIV/0!</v>
      </c>
      <c r="M274" s="126"/>
      <c r="N274" s="49"/>
    </row>
    <row r="275">
      <c r="A275" s="35"/>
      <c r="B275" s="156" t="s">
        <v>54</v>
      </c>
      <c r="C275" s="89"/>
      <c r="D275" s="89"/>
      <c r="E275" s="12"/>
      <c r="F275" s="157"/>
      <c r="G275" s="14"/>
      <c r="H275" s="89"/>
      <c r="I275" s="137"/>
      <c r="J275" s="89">
        <f t="shared" si="249"/>
        <v>0</v>
      </c>
      <c r="K275" s="89" t="str">
        <f t="shared" si="251"/>
        <v/>
      </c>
      <c r="L275" s="152" t="str">
        <f t="shared" si="250"/>
        <v>#DIV/0!</v>
      </c>
      <c r="M275" s="126"/>
      <c r="N275" s="49"/>
    </row>
    <row r="276">
      <c r="A276" s="35"/>
      <c r="B276" s="156" t="s">
        <v>54</v>
      </c>
      <c r="C276" s="89"/>
      <c r="D276" s="89"/>
      <c r="E276" s="12">
        <f>D276-C276</f>
        <v>0</v>
      </c>
      <c r="F276" s="157"/>
      <c r="G276" s="14" t="str">
        <f>(F276/E276)*100</f>
        <v>#DIV/0!</v>
      </c>
      <c r="H276" s="89"/>
      <c r="I276" s="137"/>
      <c r="J276" s="89">
        <f t="shared" si="249"/>
        <v>0</v>
      </c>
      <c r="K276" s="89" t="str">
        <f t="shared" si="251"/>
        <v/>
      </c>
      <c r="L276" s="152" t="str">
        <f t="shared" si="250"/>
        <v>#DIV/0!</v>
      </c>
      <c r="M276" s="126"/>
      <c r="N276" s="49">
        <f>M276*F276</f>
        <v>0</v>
      </c>
    </row>
    <row r="277">
      <c r="A277" s="70"/>
      <c r="B277" s="63"/>
      <c r="C277" s="62"/>
      <c r="D277" s="64" t="s">
        <v>19</v>
      </c>
      <c r="E277" s="64">
        <f t="shared" ref="E277:F277" si="252">sum(E269:E276)</f>
        <v>0</v>
      </c>
      <c r="F277" s="64">
        <f t="shared" si="252"/>
        <v>0</v>
      </c>
      <c r="G277" s="65" t="str">
        <f>average(G269:G276)</f>
        <v>#DIV/0!</v>
      </c>
      <c r="H277" s="62"/>
      <c r="I277" s="66"/>
      <c r="J277" s="64">
        <f t="shared" ref="J277:K277" si="253">sum(J269:J276)</f>
        <v>0</v>
      </c>
      <c r="K277" s="64">
        <f t="shared" si="253"/>
        <v>0</v>
      </c>
      <c r="L277" s="65" t="str">
        <f>average(L269:L276)</f>
        <v>#DIV/0!</v>
      </c>
      <c r="M277" s="68"/>
      <c r="N277" s="69">
        <f>sum(N269:N276)</f>
        <v>31500000</v>
      </c>
    </row>
    <row r="278">
      <c r="A278" s="70">
        <v>46150.0</v>
      </c>
      <c r="B278" s="191" t="s">
        <v>55</v>
      </c>
      <c r="C278" s="89"/>
      <c r="D278" s="13"/>
      <c r="E278" s="38">
        <f t="shared" ref="E278:E285" si="254">D278-C278</f>
        <v>0</v>
      </c>
      <c r="F278" s="39"/>
      <c r="G278" s="14" t="str">
        <f t="shared" ref="G278:G285" si="255">(F278/E278)*100</f>
        <v>#DIV/0!</v>
      </c>
      <c r="H278" s="89"/>
      <c r="I278" s="138"/>
      <c r="J278" s="41">
        <f t="shared" ref="J278:J285" si="256">I278-H278</f>
        <v>0</v>
      </c>
      <c r="K278" s="41" t="str">
        <f t="shared" ref="K278:K280" si="257">F278</f>
        <v/>
      </c>
      <c r="L278" s="71" t="str">
        <f t="shared" ref="L278:L285" si="258">(K278/J278)*100</f>
        <v>#DIV/0!</v>
      </c>
      <c r="M278" s="72"/>
      <c r="N278" s="49">
        <v>1000000.0</v>
      </c>
    </row>
    <row r="279">
      <c r="A279" s="35">
        <v>46150.0</v>
      </c>
      <c r="B279" s="191" t="s">
        <v>55</v>
      </c>
      <c r="C279" s="89"/>
      <c r="D279" s="89"/>
      <c r="E279" s="12">
        <f t="shared" si="254"/>
        <v>0</v>
      </c>
      <c r="F279" s="157"/>
      <c r="G279" s="14" t="str">
        <f t="shared" si="255"/>
        <v>#DIV/0!</v>
      </c>
      <c r="H279" s="89"/>
      <c r="I279" s="137"/>
      <c r="J279" s="37">
        <f t="shared" si="256"/>
        <v>0</v>
      </c>
      <c r="K279" s="37" t="str">
        <f t="shared" si="257"/>
        <v/>
      </c>
      <c r="L279" s="48" t="str">
        <f t="shared" si="258"/>
        <v>#DIV/0!</v>
      </c>
      <c r="M279" s="126"/>
      <c r="N279" s="49">
        <v>4000000.0</v>
      </c>
    </row>
    <row r="280">
      <c r="A280" s="35">
        <v>46157.0</v>
      </c>
      <c r="B280" s="191" t="s">
        <v>55</v>
      </c>
      <c r="C280" s="89"/>
      <c r="D280" s="13"/>
      <c r="E280" s="38">
        <f t="shared" si="254"/>
        <v>0</v>
      </c>
      <c r="F280" s="39"/>
      <c r="G280" s="14" t="str">
        <f t="shared" si="255"/>
        <v>#DIV/0!</v>
      </c>
      <c r="H280" s="89"/>
      <c r="I280" s="138"/>
      <c r="J280" s="41">
        <f t="shared" si="256"/>
        <v>0</v>
      </c>
      <c r="K280" s="41" t="str">
        <f t="shared" si="257"/>
        <v/>
      </c>
      <c r="L280" s="71" t="str">
        <f t="shared" si="258"/>
        <v>#DIV/0!</v>
      </c>
      <c r="M280" s="72"/>
      <c r="N280" s="49">
        <v>7000000.0</v>
      </c>
    </row>
    <row r="281">
      <c r="A281" s="35">
        <v>46165.0</v>
      </c>
      <c r="B281" s="191" t="s">
        <v>55</v>
      </c>
      <c r="C281" s="89"/>
      <c r="D281" s="89"/>
      <c r="E281" s="12">
        <f t="shared" si="254"/>
        <v>0</v>
      </c>
      <c r="F281" s="157"/>
      <c r="G281" s="14" t="str">
        <f t="shared" si="255"/>
        <v>#DIV/0!</v>
      </c>
      <c r="H281" s="89"/>
      <c r="I281" s="137"/>
      <c r="J281" s="37">
        <f t="shared" si="256"/>
        <v>0</v>
      </c>
      <c r="K281" s="37"/>
      <c r="L281" s="48" t="str">
        <f t="shared" si="258"/>
        <v>#DIV/0!</v>
      </c>
      <c r="M281" s="126"/>
      <c r="N281" s="49">
        <v>6000000.0</v>
      </c>
    </row>
    <row r="282" ht="18.75" customHeight="1">
      <c r="A282" s="35"/>
      <c r="B282" s="191" t="s">
        <v>55</v>
      </c>
      <c r="C282" s="89"/>
      <c r="D282" s="89"/>
      <c r="E282" s="12">
        <f t="shared" si="254"/>
        <v>0</v>
      </c>
      <c r="F282" s="157"/>
      <c r="G282" s="14" t="str">
        <f t="shared" si="255"/>
        <v>#DIV/0!</v>
      </c>
      <c r="H282" s="89"/>
      <c r="I282" s="137"/>
      <c r="J282" s="37">
        <f t="shared" si="256"/>
        <v>0</v>
      </c>
      <c r="K282" s="37" t="str">
        <f t="shared" ref="K282:K285" si="259">F282</f>
        <v/>
      </c>
      <c r="L282" s="77" t="str">
        <f t="shared" si="258"/>
        <v>#DIV/0!</v>
      </c>
      <c r="M282" s="126"/>
      <c r="N282" s="49"/>
    </row>
    <row r="283">
      <c r="A283" s="35"/>
      <c r="B283" s="191" t="s">
        <v>55</v>
      </c>
      <c r="C283" s="89"/>
      <c r="D283" s="89"/>
      <c r="E283" s="12">
        <f t="shared" si="254"/>
        <v>0</v>
      </c>
      <c r="F283" s="157"/>
      <c r="G283" s="14" t="str">
        <f t="shared" si="255"/>
        <v>#DIV/0!</v>
      </c>
      <c r="H283" s="89"/>
      <c r="I283" s="137"/>
      <c r="J283" s="89">
        <f t="shared" si="256"/>
        <v>0</v>
      </c>
      <c r="K283" s="89" t="str">
        <f t="shared" si="259"/>
        <v/>
      </c>
      <c r="L283" s="152" t="str">
        <f t="shared" si="258"/>
        <v>#DIV/0!</v>
      </c>
      <c r="M283" s="126"/>
      <c r="N283" s="49"/>
    </row>
    <row r="284">
      <c r="A284" s="35"/>
      <c r="B284" s="191" t="s">
        <v>55</v>
      </c>
      <c r="C284" s="89"/>
      <c r="D284" s="89"/>
      <c r="E284" s="12">
        <f t="shared" si="254"/>
        <v>0</v>
      </c>
      <c r="F284" s="157"/>
      <c r="G284" s="14" t="str">
        <f t="shared" si="255"/>
        <v>#DIV/0!</v>
      </c>
      <c r="H284" s="89"/>
      <c r="I284" s="137"/>
      <c r="J284" s="89">
        <f t="shared" si="256"/>
        <v>0</v>
      </c>
      <c r="K284" s="89" t="str">
        <f t="shared" si="259"/>
        <v/>
      </c>
      <c r="L284" s="152" t="str">
        <f t="shared" si="258"/>
        <v>#DIV/0!</v>
      </c>
      <c r="M284" s="126"/>
      <c r="N284" s="49"/>
    </row>
    <row r="285">
      <c r="A285" s="35"/>
      <c r="B285" s="191" t="s">
        <v>55</v>
      </c>
      <c r="C285" s="89"/>
      <c r="D285" s="89"/>
      <c r="E285" s="12">
        <f t="shared" si="254"/>
        <v>0</v>
      </c>
      <c r="F285" s="157"/>
      <c r="G285" s="14" t="str">
        <f t="shared" si="255"/>
        <v>#DIV/0!</v>
      </c>
      <c r="H285" s="89"/>
      <c r="I285" s="137"/>
      <c r="J285" s="89">
        <f t="shared" si="256"/>
        <v>0</v>
      </c>
      <c r="K285" s="89" t="str">
        <f t="shared" si="259"/>
        <v/>
      </c>
      <c r="L285" s="152" t="str">
        <f t="shared" si="258"/>
        <v>#DIV/0!</v>
      </c>
      <c r="M285" s="126"/>
      <c r="N285" s="49"/>
    </row>
    <row r="286">
      <c r="A286" s="70"/>
      <c r="B286" s="63"/>
      <c r="C286" s="62"/>
      <c r="D286" s="64" t="s">
        <v>19</v>
      </c>
      <c r="E286" s="64">
        <f t="shared" ref="E286:F286" si="260">sum(E278:E283)</f>
        <v>0</v>
      </c>
      <c r="F286" s="64">
        <f t="shared" si="260"/>
        <v>0</v>
      </c>
      <c r="G286" s="65" t="str">
        <f>average(G278:G283)</f>
        <v>#DIV/0!</v>
      </c>
      <c r="H286" s="62"/>
      <c r="I286" s="66"/>
      <c r="J286" s="64">
        <f t="shared" ref="J286:K286" si="261">sum(J278:J283)</f>
        <v>0</v>
      </c>
      <c r="K286" s="64">
        <f t="shared" si="261"/>
        <v>0</v>
      </c>
      <c r="L286" s="65" t="str">
        <f>average(L278:L283)</f>
        <v>#DIV/0!</v>
      </c>
      <c r="M286" s="68"/>
      <c r="N286" s="69">
        <f>sum(N278:N285)</f>
        <v>18000000</v>
      </c>
    </row>
    <row r="287">
      <c r="A287" s="70">
        <v>46149.0</v>
      </c>
      <c r="B287" s="192" t="s">
        <v>63</v>
      </c>
      <c r="C287" s="89"/>
      <c r="D287" s="89"/>
      <c r="E287" s="38">
        <f t="shared" ref="E287:E292" si="262">D287-C287</f>
        <v>0</v>
      </c>
      <c r="F287" s="39">
        <v>170.0</v>
      </c>
      <c r="G287" s="14" t="str">
        <f t="shared" ref="G287:G292" si="263">(F287/E287)*100</f>
        <v>#DIV/0!</v>
      </c>
      <c r="H287" s="89"/>
      <c r="I287" s="89"/>
      <c r="J287" s="41">
        <f t="shared" ref="J287:J292" si="264">I287-H287</f>
        <v>0</v>
      </c>
      <c r="K287" s="41">
        <f t="shared" ref="K287:K292" si="265">F287</f>
        <v>170</v>
      </c>
      <c r="L287" s="152" t="str">
        <f t="shared" ref="L287:L292" si="266">(K287/J287)*100</f>
        <v>#DIV/0!</v>
      </c>
      <c r="M287" s="72">
        <v>28170.0</v>
      </c>
      <c r="N287" s="49">
        <f t="shared" ref="N287:N292" si="267">M287*F287</f>
        <v>4788900</v>
      </c>
    </row>
    <row r="288">
      <c r="A288" s="70">
        <v>46149.0</v>
      </c>
      <c r="B288" s="192" t="s">
        <v>63</v>
      </c>
      <c r="C288" s="89"/>
      <c r="D288" s="13"/>
      <c r="E288" s="12">
        <f t="shared" si="262"/>
        <v>0</v>
      </c>
      <c r="F288" s="157">
        <v>134.9</v>
      </c>
      <c r="G288" s="14" t="str">
        <f t="shared" si="263"/>
        <v>#DIV/0!</v>
      </c>
      <c r="H288" s="89"/>
      <c r="I288" s="89"/>
      <c r="J288" s="41">
        <f t="shared" si="264"/>
        <v>0</v>
      </c>
      <c r="K288" s="37">
        <f t="shared" si="265"/>
        <v>134.9</v>
      </c>
      <c r="L288" s="152" t="str">
        <f t="shared" si="266"/>
        <v>#DIV/0!</v>
      </c>
      <c r="M288" s="72">
        <v>28170.0</v>
      </c>
      <c r="N288" s="49">
        <f t="shared" si="267"/>
        <v>3800133</v>
      </c>
    </row>
    <row r="289">
      <c r="A289" s="35">
        <v>46161.0</v>
      </c>
      <c r="B289" s="192" t="s">
        <v>63</v>
      </c>
      <c r="C289" s="13"/>
      <c r="D289" s="89"/>
      <c r="E289" s="12">
        <f t="shared" si="262"/>
        <v>0</v>
      </c>
      <c r="F289" s="157">
        <v>304.92</v>
      </c>
      <c r="G289" s="14" t="str">
        <f t="shared" si="263"/>
        <v>#DIV/0!</v>
      </c>
      <c r="H289" s="89"/>
      <c r="I289" s="89">
        <v>158040.0</v>
      </c>
      <c r="J289" s="89">
        <f t="shared" si="264"/>
        <v>158040</v>
      </c>
      <c r="K289" s="37">
        <f t="shared" si="265"/>
        <v>304.92</v>
      </c>
      <c r="L289" s="152">
        <f t="shared" si="266"/>
        <v>0.1929384966</v>
      </c>
      <c r="M289" s="126">
        <v>27220.0</v>
      </c>
      <c r="N289" s="49">
        <f t="shared" si="267"/>
        <v>8299922.4</v>
      </c>
    </row>
    <row r="290">
      <c r="A290" s="35">
        <v>46171.0</v>
      </c>
      <c r="B290" s="192" t="s">
        <v>63</v>
      </c>
      <c r="C290" s="89"/>
      <c r="D290" s="89"/>
      <c r="E290" s="12">
        <f t="shared" si="262"/>
        <v>0</v>
      </c>
      <c r="F290" s="157">
        <v>300.25</v>
      </c>
      <c r="G290" s="14" t="str">
        <f t="shared" si="263"/>
        <v>#DIV/0!</v>
      </c>
      <c r="H290" s="89"/>
      <c r="I290" s="89"/>
      <c r="J290" s="89">
        <f t="shared" si="264"/>
        <v>0</v>
      </c>
      <c r="K290" s="37">
        <f t="shared" si="265"/>
        <v>300.25</v>
      </c>
      <c r="L290" s="152" t="str">
        <f t="shared" si="266"/>
        <v>#DIV/0!</v>
      </c>
      <c r="M290" s="126">
        <v>27650.0</v>
      </c>
      <c r="N290" s="49">
        <f t="shared" si="267"/>
        <v>8301912.5</v>
      </c>
    </row>
    <row r="291">
      <c r="A291" s="35"/>
      <c r="B291" s="192" t="s">
        <v>63</v>
      </c>
      <c r="C291" s="37"/>
      <c r="D291" s="89"/>
      <c r="E291" s="12">
        <f t="shared" si="262"/>
        <v>0</v>
      </c>
      <c r="F291" s="157"/>
      <c r="G291" s="14" t="str">
        <f t="shared" si="263"/>
        <v>#DIV/0!</v>
      </c>
      <c r="H291" s="89"/>
      <c r="I291" s="137"/>
      <c r="J291" s="89">
        <f t="shared" si="264"/>
        <v>0</v>
      </c>
      <c r="K291" s="37" t="str">
        <f t="shared" si="265"/>
        <v/>
      </c>
      <c r="L291" s="152" t="str">
        <f t="shared" si="266"/>
        <v>#DIV/0!</v>
      </c>
      <c r="M291" s="126"/>
      <c r="N291" s="49">
        <f t="shared" si="267"/>
        <v>0</v>
      </c>
    </row>
    <row r="292">
      <c r="A292" s="154"/>
      <c r="B292" s="192" t="s">
        <v>63</v>
      </c>
      <c r="C292" s="89"/>
      <c r="D292" s="89"/>
      <c r="E292" s="12">
        <f t="shared" si="262"/>
        <v>0</v>
      </c>
      <c r="F292" s="157"/>
      <c r="G292" s="14" t="str">
        <f t="shared" si="263"/>
        <v>#DIV/0!</v>
      </c>
      <c r="H292" s="89"/>
      <c r="I292" s="137"/>
      <c r="J292" s="89">
        <f t="shared" si="264"/>
        <v>0</v>
      </c>
      <c r="K292" s="37" t="str">
        <f t="shared" si="265"/>
        <v/>
      </c>
      <c r="L292" s="152" t="str">
        <f t="shared" si="266"/>
        <v>#DIV/0!</v>
      </c>
      <c r="M292" s="126"/>
      <c r="N292" s="49">
        <f t="shared" si="267"/>
        <v>0</v>
      </c>
    </row>
    <row r="293">
      <c r="A293" s="62"/>
      <c r="B293" s="63"/>
      <c r="C293" s="62"/>
      <c r="D293" s="64" t="s">
        <v>19</v>
      </c>
      <c r="E293" s="64">
        <f t="shared" ref="E293:F293" si="268">sum(E287:E292)</f>
        <v>0</v>
      </c>
      <c r="F293" s="64">
        <f t="shared" si="268"/>
        <v>910.07</v>
      </c>
      <c r="G293" s="65" t="str">
        <f>average(G287:G292)</f>
        <v>#DIV/0!</v>
      </c>
      <c r="H293" s="62"/>
      <c r="I293" s="66"/>
      <c r="J293" s="64">
        <f t="shared" ref="J293:K293" si="269">sum(J287:J292)</f>
        <v>158040</v>
      </c>
      <c r="K293" s="64">
        <f t="shared" si="269"/>
        <v>910.07</v>
      </c>
      <c r="L293" s="65" t="str">
        <f>average(L287:L292)</f>
        <v>#DIV/0!</v>
      </c>
      <c r="M293" s="68"/>
      <c r="N293" s="69">
        <f>sum(N287:N292)</f>
        <v>25190867.9</v>
      </c>
    </row>
    <row r="294">
      <c r="A294" s="70">
        <v>46149.0</v>
      </c>
      <c r="B294" s="192" t="s">
        <v>57</v>
      </c>
      <c r="C294" s="89">
        <v>12096.0</v>
      </c>
      <c r="D294" s="89">
        <v>12631.0</v>
      </c>
      <c r="E294" s="12">
        <f t="shared" ref="E294:E301" si="270">D294-C294</f>
        <v>535</v>
      </c>
      <c r="F294" s="39">
        <v>173.94</v>
      </c>
      <c r="G294" s="14">
        <f t="shared" ref="G294:G301" si="271">(F294/E294)*100</f>
        <v>32.51214953</v>
      </c>
      <c r="H294" s="137"/>
      <c r="I294" s="137">
        <v>6918.0</v>
      </c>
      <c r="J294" s="41">
        <f t="shared" ref="J294:J301" si="272">I294-H294</f>
        <v>6918</v>
      </c>
      <c r="K294" s="41">
        <f t="shared" ref="K294:K301" si="273">F294</f>
        <v>173.94</v>
      </c>
      <c r="L294" s="152">
        <f t="shared" ref="L294:L301" si="274">(K294/J294)*100</f>
        <v>2.514310494</v>
      </c>
      <c r="M294" s="72">
        <v>28170.0</v>
      </c>
      <c r="N294" s="49">
        <f t="shared" ref="N294:N301" si="275">M294*F294</f>
        <v>4899889.8</v>
      </c>
    </row>
    <row r="295">
      <c r="A295" s="70">
        <v>46155.0</v>
      </c>
      <c r="B295" s="192" t="s">
        <v>57</v>
      </c>
      <c r="C295" s="89">
        <v>12631.0</v>
      </c>
      <c r="D295" s="13">
        <v>13148.0</v>
      </c>
      <c r="E295" s="12">
        <f t="shared" si="270"/>
        <v>517</v>
      </c>
      <c r="F295" s="157">
        <v>170.99</v>
      </c>
      <c r="G295" s="14">
        <f t="shared" si="271"/>
        <v>33.07350097</v>
      </c>
      <c r="H295" s="137">
        <v>6918.0</v>
      </c>
      <c r="I295" s="137">
        <v>7441.0</v>
      </c>
      <c r="J295" s="89">
        <f t="shared" si="272"/>
        <v>523</v>
      </c>
      <c r="K295" s="41">
        <f t="shared" si="273"/>
        <v>170.99</v>
      </c>
      <c r="L295" s="152">
        <f t="shared" si="274"/>
        <v>32.69407266</v>
      </c>
      <c r="M295" s="72">
        <v>27490.0</v>
      </c>
      <c r="N295" s="49">
        <f t="shared" si="275"/>
        <v>4700515.1</v>
      </c>
    </row>
    <row r="296">
      <c r="A296" s="35">
        <v>46162.0</v>
      </c>
      <c r="B296" s="192" t="s">
        <v>57</v>
      </c>
      <c r="C296" s="13">
        <v>13148.0</v>
      </c>
      <c r="D296" s="89">
        <v>13640.0</v>
      </c>
      <c r="E296" s="12">
        <f t="shared" si="270"/>
        <v>492</v>
      </c>
      <c r="F296" s="157">
        <v>154.3</v>
      </c>
      <c r="G296" s="14">
        <f t="shared" si="271"/>
        <v>31.36178862</v>
      </c>
      <c r="H296" s="137">
        <v>7441.0</v>
      </c>
      <c r="I296" s="137">
        <v>7899.0</v>
      </c>
      <c r="J296" s="89">
        <f t="shared" si="272"/>
        <v>458</v>
      </c>
      <c r="K296" s="37">
        <f t="shared" si="273"/>
        <v>154.3</v>
      </c>
      <c r="L296" s="152">
        <f t="shared" si="274"/>
        <v>33.68995633</v>
      </c>
      <c r="M296" s="72">
        <v>27220.0</v>
      </c>
      <c r="N296" s="49">
        <f t="shared" si="275"/>
        <v>4200046</v>
      </c>
    </row>
    <row r="297">
      <c r="A297" s="35">
        <v>46165.0</v>
      </c>
      <c r="B297" s="192" t="s">
        <v>57</v>
      </c>
      <c r="C297" s="89">
        <v>13640.0</v>
      </c>
      <c r="D297" s="89">
        <v>13978.0</v>
      </c>
      <c r="E297" s="12">
        <f t="shared" si="270"/>
        <v>338</v>
      </c>
      <c r="F297" s="157">
        <v>104.32</v>
      </c>
      <c r="G297" s="14">
        <f t="shared" si="271"/>
        <v>30.86390533</v>
      </c>
      <c r="H297" s="137">
        <v>7899.0</v>
      </c>
      <c r="I297" s="137">
        <v>8147.0</v>
      </c>
      <c r="J297" s="89">
        <f t="shared" si="272"/>
        <v>248</v>
      </c>
      <c r="K297" s="37">
        <f t="shared" si="273"/>
        <v>104.32</v>
      </c>
      <c r="L297" s="152">
        <f t="shared" si="274"/>
        <v>42.06451613</v>
      </c>
      <c r="M297" s="126">
        <v>28760.0</v>
      </c>
      <c r="N297" s="49">
        <f t="shared" si="275"/>
        <v>3000243.2</v>
      </c>
    </row>
    <row r="298">
      <c r="A298" s="35">
        <v>46170.0</v>
      </c>
      <c r="B298" s="192" t="s">
        <v>57</v>
      </c>
      <c r="C298" s="89">
        <v>13978.0</v>
      </c>
      <c r="D298" s="89">
        <v>14630.0</v>
      </c>
      <c r="E298" s="12">
        <f t="shared" si="270"/>
        <v>652</v>
      </c>
      <c r="F298" s="157">
        <v>190.4</v>
      </c>
      <c r="G298" s="14">
        <f t="shared" si="271"/>
        <v>29.20245399</v>
      </c>
      <c r="H298" s="137"/>
      <c r="I298" s="137">
        <v>7.0</v>
      </c>
      <c r="J298" s="89">
        <f t="shared" si="272"/>
        <v>7</v>
      </c>
      <c r="K298" s="37">
        <f t="shared" si="273"/>
        <v>190.4</v>
      </c>
      <c r="L298" s="152">
        <f t="shared" si="274"/>
        <v>2720</v>
      </c>
      <c r="M298" s="126">
        <v>28760.0</v>
      </c>
      <c r="N298" s="49">
        <f t="shared" si="275"/>
        <v>5475904</v>
      </c>
    </row>
    <row r="299">
      <c r="A299" s="154"/>
      <c r="B299" s="192" t="s">
        <v>57</v>
      </c>
      <c r="C299" s="89"/>
      <c r="D299" s="89"/>
      <c r="E299" s="12">
        <f t="shared" si="270"/>
        <v>0</v>
      </c>
      <c r="F299" s="157"/>
      <c r="G299" s="14" t="str">
        <f t="shared" si="271"/>
        <v>#DIV/0!</v>
      </c>
      <c r="H299" s="137"/>
      <c r="I299" s="137"/>
      <c r="J299" s="89">
        <f t="shared" si="272"/>
        <v>0</v>
      </c>
      <c r="K299" s="37" t="str">
        <f t="shared" si="273"/>
        <v/>
      </c>
      <c r="L299" s="152" t="str">
        <f t="shared" si="274"/>
        <v>#DIV/0!</v>
      </c>
      <c r="M299" s="126"/>
      <c r="N299" s="49">
        <f t="shared" si="275"/>
        <v>0</v>
      </c>
    </row>
    <row r="300">
      <c r="A300" s="154"/>
      <c r="B300" s="192" t="s">
        <v>57</v>
      </c>
      <c r="C300" s="89"/>
      <c r="D300" s="89"/>
      <c r="E300" s="12">
        <f t="shared" si="270"/>
        <v>0</v>
      </c>
      <c r="F300" s="157"/>
      <c r="G300" s="14" t="str">
        <f t="shared" si="271"/>
        <v>#DIV/0!</v>
      </c>
      <c r="H300" s="137"/>
      <c r="I300" s="137"/>
      <c r="J300" s="89">
        <f t="shared" si="272"/>
        <v>0</v>
      </c>
      <c r="K300" s="37" t="str">
        <f t="shared" si="273"/>
        <v/>
      </c>
      <c r="L300" s="152" t="str">
        <f t="shared" si="274"/>
        <v>#DIV/0!</v>
      </c>
      <c r="M300" s="126"/>
      <c r="N300" s="49">
        <f t="shared" si="275"/>
        <v>0</v>
      </c>
    </row>
    <row r="301">
      <c r="A301" s="154"/>
      <c r="B301" s="192" t="s">
        <v>57</v>
      </c>
      <c r="C301" s="89"/>
      <c r="D301" s="89"/>
      <c r="E301" s="12">
        <f t="shared" si="270"/>
        <v>0</v>
      </c>
      <c r="F301" s="157"/>
      <c r="G301" s="14" t="str">
        <f t="shared" si="271"/>
        <v>#DIV/0!</v>
      </c>
      <c r="H301" s="137"/>
      <c r="I301" s="137"/>
      <c r="J301" s="89">
        <f t="shared" si="272"/>
        <v>0</v>
      </c>
      <c r="K301" s="37" t="str">
        <f t="shared" si="273"/>
        <v/>
      </c>
      <c r="L301" s="152" t="str">
        <f t="shared" si="274"/>
        <v>#DIV/0!</v>
      </c>
      <c r="M301" s="126"/>
      <c r="N301" s="49">
        <f t="shared" si="275"/>
        <v>0</v>
      </c>
    </row>
    <row r="302">
      <c r="A302" s="62"/>
      <c r="B302" s="63"/>
      <c r="C302" s="62"/>
      <c r="D302" s="64" t="s">
        <v>19</v>
      </c>
      <c r="E302" s="64">
        <f>sum(E294:E299)</f>
        <v>2534</v>
      </c>
      <c r="F302" s="64">
        <f>sum(F294:F301)</f>
        <v>793.95</v>
      </c>
      <c r="G302" s="65" t="str">
        <f>average(G294:G299)</f>
        <v>#DIV/0!</v>
      </c>
      <c r="H302" s="62"/>
      <c r="I302" s="66"/>
      <c r="J302" s="64">
        <f t="shared" ref="J302:K302" si="276">sum(J294:J299)</f>
        <v>8154</v>
      </c>
      <c r="K302" s="64">
        <f t="shared" si="276"/>
        <v>793.95</v>
      </c>
      <c r="L302" s="65" t="str">
        <f>average(L294:L299)</f>
        <v>#DIV/0!</v>
      </c>
      <c r="M302" s="68"/>
      <c r="N302" s="69">
        <f>sum(N294:N301)</f>
        <v>22276598.1</v>
      </c>
    </row>
    <row r="303">
      <c r="A303" s="70">
        <v>46149.0</v>
      </c>
      <c r="B303" s="192" t="s">
        <v>58</v>
      </c>
      <c r="C303" s="89">
        <v>12372.0</v>
      </c>
      <c r="D303" s="89">
        <v>12873.0</v>
      </c>
      <c r="E303" s="12">
        <f t="shared" ref="E303:E311" si="277">D303-C303</f>
        <v>501</v>
      </c>
      <c r="F303" s="39">
        <v>177.49</v>
      </c>
      <c r="G303" s="14">
        <f t="shared" ref="G303:G311" si="278">(F303/E303)*100</f>
        <v>35.42714571</v>
      </c>
      <c r="H303" s="137">
        <v>12100.0</v>
      </c>
      <c r="I303" s="137">
        <v>12650.0</v>
      </c>
      <c r="J303" s="89">
        <f t="shared" ref="J303:J311" si="279">I303-H303</f>
        <v>550</v>
      </c>
      <c r="K303" s="41">
        <f t="shared" ref="K303:K311" si="280">F303</f>
        <v>177.49</v>
      </c>
      <c r="L303" s="152">
        <f t="shared" ref="L303:L311" si="281">(K303/J303)*100</f>
        <v>32.27090909</v>
      </c>
      <c r="M303" s="72">
        <v>28170.0</v>
      </c>
      <c r="N303" s="49">
        <f t="shared" ref="N303:N311" si="282">M303*F303</f>
        <v>4999893.3</v>
      </c>
    </row>
    <row r="304">
      <c r="A304" s="35">
        <v>46157.0</v>
      </c>
      <c r="B304" s="192" t="s">
        <v>58</v>
      </c>
      <c r="C304" s="89">
        <v>12873.0</v>
      </c>
      <c r="D304" s="13">
        <v>13350.0</v>
      </c>
      <c r="E304" s="12">
        <f t="shared" si="277"/>
        <v>477</v>
      </c>
      <c r="F304" s="157">
        <v>146.95</v>
      </c>
      <c r="G304" s="14">
        <f t="shared" si="278"/>
        <v>30.80712788</v>
      </c>
      <c r="H304" s="137">
        <v>12650.0</v>
      </c>
      <c r="I304" s="137">
        <v>13090.0</v>
      </c>
      <c r="J304" s="89">
        <f t="shared" si="279"/>
        <v>440</v>
      </c>
      <c r="K304" s="37">
        <f t="shared" si="280"/>
        <v>146.95</v>
      </c>
      <c r="L304" s="152">
        <f t="shared" si="281"/>
        <v>33.39772727</v>
      </c>
      <c r="M304" s="72">
        <v>27220.0</v>
      </c>
      <c r="N304" s="49">
        <f t="shared" si="282"/>
        <v>3999979</v>
      </c>
    </row>
    <row r="305">
      <c r="A305" s="35">
        <v>46163.0</v>
      </c>
      <c r="B305" s="192" t="s">
        <v>58</v>
      </c>
      <c r="C305" s="13">
        <v>13350.0</v>
      </c>
      <c r="D305" s="89">
        <v>13920.0</v>
      </c>
      <c r="E305" s="12">
        <f t="shared" si="277"/>
        <v>570</v>
      </c>
      <c r="F305" s="157">
        <v>180.01</v>
      </c>
      <c r="G305" s="14">
        <f t="shared" si="278"/>
        <v>31.58070175</v>
      </c>
      <c r="H305" s="137">
        <v>13090.0</v>
      </c>
      <c r="I305" s="137">
        <v>13669.0</v>
      </c>
      <c r="J305" s="89">
        <f t="shared" si="279"/>
        <v>579</v>
      </c>
      <c r="K305" s="37">
        <f t="shared" si="280"/>
        <v>180.01</v>
      </c>
      <c r="L305" s="152">
        <f t="shared" si="281"/>
        <v>31.08981002</v>
      </c>
      <c r="M305" s="126">
        <v>27220.0</v>
      </c>
      <c r="N305" s="49">
        <f t="shared" si="282"/>
        <v>4899872.2</v>
      </c>
    </row>
    <row r="306">
      <c r="A306" s="35">
        <v>46170.0</v>
      </c>
      <c r="B306" s="192" t="s">
        <v>58</v>
      </c>
      <c r="C306" s="89">
        <v>13920.0</v>
      </c>
      <c r="D306" s="89">
        <v>14375.0</v>
      </c>
      <c r="E306" s="12">
        <f t="shared" si="277"/>
        <v>455</v>
      </c>
      <c r="F306" s="157">
        <v>163.42</v>
      </c>
      <c r="G306" s="14">
        <f t="shared" si="278"/>
        <v>35.91648352</v>
      </c>
      <c r="H306" s="137">
        <v>13669.0</v>
      </c>
      <c r="I306" s="137">
        <v>14128.0</v>
      </c>
      <c r="J306" s="89">
        <f t="shared" si="279"/>
        <v>459</v>
      </c>
      <c r="K306" s="37">
        <f t="shared" si="280"/>
        <v>163.42</v>
      </c>
      <c r="L306" s="152">
        <f t="shared" si="281"/>
        <v>35.60348584</v>
      </c>
      <c r="M306" s="126">
        <v>28760.0</v>
      </c>
      <c r="N306" s="49">
        <f t="shared" si="282"/>
        <v>4699959.2</v>
      </c>
    </row>
    <row r="307">
      <c r="A307" s="35"/>
      <c r="B307" s="192" t="s">
        <v>58</v>
      </c>
      <c r="C307" s="89"/>
      <c r="D307" s="89"/>
      <c r="E307" s="12">
        <f t="shared" si="277"/>
        <v>0</v>
      </c>
      <c r="F307" s="157"/>
      <c r="G307" s="14" t="str">
        <f t="shared" si="278"/>
        <v>#DIV/0!</v>
      </c>
      <c r="H307" s="137"/>
      <c r="I307" s="137"/>
      <c r="J307" s="89">
        <f t="shared" si="279"/>
        <v>0</v>
      </c>
      <c r="K307" s="37" t="str">
        <f t="shared" si="280"/>
        <v/>
      </c>
      <c r="L307" s="152" t="str">
        <f t="shared" si="281"/>
        <v>#DIV/0!</v>
      </c>
      <c r="M307" s="126"/>
      <c r="N307" s="49">
        <f t="shared" si="282"/>
        <v>0</v>
      </c>
    </row>
    <row r="308">
      <c r="A308" s="154"/>
      <c r="B308" s="192" t="s">
        <v>58</v>
      </c>
      <c r="C308" s="89"/>
      <c r="D308" s="89"/>
      <c r="E308" s="12">
        <f t="shared" si="277"/>
        <v>0</v>
      </c>
      <c r="F308" s="157"/>
      <c r="G308" s="14" t="str">
        <f t="shared" si="278"/>
        <v>#DIV/0!</v>
      </c>
      <c r="H308" s="137"/>
      <c r="I308" s="137"/>
      <c r="J308" s="89">
        <f t="shared" si="279"/>
        <v>0</v>
      </c>
      <c r="K308" s="37" t="str">
        <f t="shared" si="280"/>
        <v/>
      </c>
      <c r="L308" s="152" t="str">
        <f t="shared" si="281"/>
        <v>#DIV/0!</v>
      </c>
      <c r="M308" s="126"/>
      <c r="N308" s="49">
        <f t="shared" si="282"/>
        <v>0</v>
      </c>
    </row>
    <row r="309">
      <c r="A309" s="154"/>
      <c r="B309" s="192" t="s">
        <v>58</v>
      </c>
      <c r="C309" s="89"/>
      <c r="D309" s="89"/>
      <c r="E309" s="12">
        <f t="shared" si="277"/>
        <v>0</v>
      </c>
      <c r="F309" s="157"/>
      <c r="G309" s="14" t="str">
        <f t="shared" si="278"/>
        <v>#DIV/0!</v>
      </c>
      <c r="H309" s="137"/>
      <c r="I309" s="137"/>
      <c r="J309" s="89">
        <f t="shared" si="279"/>
        <v>0</v>
      </c>
      <c r="K309" s="37" t="str">
        <f t="shared" si="280"/>
        <v/>
      </c>
      <c r="L309" s="152" t="str">
        <f t="shared" si="281"/>
        <v>#DIV/0!</v>
      </c>
      <c r="M309" s="126"/>
      <c r="N309" s="49">
        <f t="shared" si="282"/>
        <v>0</v>
      </c>
    </row>
    <row r="310">
      <c r="A310" s="154"/>
      <c r="B310" s="192" t="s">
        <v>58</v>
      </c>
      <c r="C310" s="89"/>
      <c r="D310" s="89"/>
      <c r="E310" s="12">
        <f t="shared" si="277"/>
        <v>0</v>
      </c>
      <c r="F310" s="157"/>
      <c r="G310" s="14" t="str">
        <f t="shared" si="278"/>
        <v>#DIV/0!</v>
      </c>
      <c r="H310" s="137"/>
      <c r="I310" s="137"/>
      <c r="J310" s="89">
        <f t="shared" si="279"/>
        <v>0</v>
      </c>
      <c r="K310" s="37" t="str">
        <f t="shared" si="280"/>
        <v/>
      </c>
      <c r="L310" s="152" t="str">
        <f t="shared" si="281"/>
        <v>#DIV/0!</v>
      </c>
      <c r="M310" s="126"/>
      <c r="N310" s="49">
        <f t="shared" si="282"/>
        <v>0</v>
      </c>
    </row>
    <row r="311">
      <c r="A311" s="154"/>
      <c r="B311" s="192" t="s">
        <v>58</v>
      </c>
      <c r="C311" s="89"/>
      <c r="D311" s="89"/>
      <c r="E311" s="12">
        <f t="shared" si="277"/>
        <v>0</v>
      </c>
      <c r="F311" s="157"/>
      <c r="G311" s="14" t="str">
        <f t="shared" si="278"/>
        <v>#DIV/0!</v>
      </c>
      <c r="H311" s="137"/>
      <c r="I311" s="137"/>
      <c r="J311" s="89">
        <f t="shared" si="279"/>
        <v>0</v>
      </c>
      <c r="K311" s="37" t="str">
        <f t="shared" si="280"/>
        <v/>
      </c>
      <c r="L311" s="152" t="str">
        <f t="shared" si="281"/>
        <v>#DIV/0!</v>
      </c>
      <c r="M311" s="126"/>
      <c r="N311" s="49">
        <f t="shared" si="282"/>
        <v>0</v>
      </c>
    </row>
    <row r="312">
      <c r="A312" s="62"/>
      <c r="B312" s="63"/>
      <c r="C312" s="62"/>
      <c r="D312" s="64" t="s">
        <v>19</v>
      </c>
      <c r="E312" s="64">
        <f>sum(E303:E308)</f>
        <v>2003</v>
      </c>
      <c r="F312" s="64">
        <f>sum(F303:F309)</f>
        <v>667.87</v>
      </c>
      <c r="G312" s="65" t="str">
        <f>average(G303:G308)</f>
        <v>#DIV/0!</v>
      </c>
      <c r="H312" s="62"/>
      <c r="I312" s="66"/>
      <c r="J312" s="64">
        <f t="shared" ref="J312:K312" si="283">sum(J303:J308)</f>
        <v>2028</v>
      </c>
      <c r="K312" s="64">
        <f t="shared" si="283"/>
        <v>667.87</v>
      </c>
      <c r="L312" s="65" t="str">
        <f>average(L303:L308)</f>
        <v>#DIV/0!</v>
      </c>
      <c r="M312" s="68"/>
      <c r="N312" s="69">
        <f>sum(N303:N311)</f>
        <v>18599703.7</v>
      </c>
    </row>
    <row r="313">
      <c r="A313" s="70">
        <v>46144.0</v>
      </c>
      <c r="B313" s="193" t="s">
        <v>59</v>
      </c>
      <c r="C313" s="89"/>
      <c r="D313" s="89"/>
      <c r="E313" s="12">
        <f t="shared" ref="E313:E318" si="284">D313-C313</f>
        <v>0</v>
      </c>
      <c r="F313" s="39"/>
      <c r="G313" s="14" t="str">
        <f t="shared" ref="G313:G318" si="285">(F313/E313)*100</f>
        <v>#DIV/0!</v>
      </c>
      <c r="H313" s="137"/>
      <c r="I313" s="137"/>
      <c r="J313" s="41">
        <f t="shared" ref="J313:J318" si="286">I313-H313</f>
        <v>0</v>
      </c>
      <c r="K313" s="41" t="str">
        <f t="shared" ref="K313:K318" si="287">F313</f>
        <v/>
      </c>
      <c r="L313" s="152" t="str">
        <f t="shared" ref="L313:L318" si="288">(K313/J313)*100</f>
        <v>#DIV/0!</v>
      </c>
      <c r="M313" s="72"/>
      <c r="N313" s="49">
        <v>6000000.0</v>
      </c>
    </row>
    <row r="314">
      <c r="A314" s="35">
        <v>46163.0</v>
      </c>
      <c r="B314" s="194" t="s">
        <v>59</v>
      </c>
      <c r="C314" s="89"/>
      <c r="D314" s="13"/>
      <c r="E314" s="12">
        <f t="shared" si="284"/>
        <v>0</v>
      </c>
      <c r="F314" s="157"/>
      <c r="G314" s="14" t="str">
        <f t="shared" si="285"/>
        <v>#DIV/0!</v>
      </c>
      <c r="H314" s="137"/>
      <c r="I314" s="137"/>
      <c r="J314" s="89">
        <f t="shared" si="286"/>
        <v>0</v>
      </c>
      <c r="K314" s="37" t="str">
        <f t="shared" si="287"/>
        <v/>
      </c>
      <c r="L314" s="152" t="str">
        <f t="shared" si="288"/>
        <v>#DIV/0!</v>
      </c>
      <c r="M314" s="72"/>
      <c r="N314" s="49">
        <v>5200000.0</v>
      </c>
    </row>
    <row r="315">
      <c r="A315" s="35"/>
      <c r="B315" s="194" t="s">
        <v>59</v>
      </c>
      <c r="C315" s="13"/>
      <c r="D315" s="89"/>
      <c r="E315" s="12">
        <f t="shared" si="284"/>
        <v>0</v>
      </c>
      <c r="F315" s="157"/>
      <c r="G315" s="14" t="str">
        <f t="shared" si="285"/>
        <v>#DIV/0!</v>
      </c>
      <c r="H315" s="137"/>
      <c r="I315" s="137"/>
      <c r="J315" s="89">
        <f t="shared" si="286"/>
        <v>0</v>
      </c>
      <c r="K315" s="37" t="str">
        <f t="shared" si="287"/>
        <v/>
      </c>
      <c r="L315" s="152" t="str">
        <f t="shared" si="288"/>
        <v>#DIV/0!</v>
      </c>
      <c r="M315" s="126"/>
      <c r="N315" s="49">
        <f t="shared" ref="N315:N318" si="289">M315*F315</f>
        <v>0</v>
      </c>
    </row>
    <row r="316">
      <c r="A316" s="35"/>
      <c r="B316" s="194" t="s">
        <v>59</v>
      </c>
      <c r="C316" s="89"/>
      <c r="D316" s="89"/>
      <c r="E316" s="12">
        <f t="shared" si="284"/>
        <v>0</v>
      </c>
      <c r="F316" s="157"/>
      <c r="G316" s="14" t="str">
        <f t="shared" si="285"/>
        <v>#DIV/0!</v>
      </c>
      <c r="H316" s="137"/>
      <c r="I316" s="137"/>
      <c r="J316" s="89">
        <f t="shared" si="286"/>
        <v>0</v>
      </c>
      <c r="K316" s="37" t="str">
        <f t="shared" si="287"/>
        <v/>
      </c>
      <c r="L316" s="152" t="str">
        <f t="shared" si="288"/>
        <v>#DIV/0!</v>
      </c>
      <c r="M316" s="126"/>
      <c r="N316" s="49">
        <f t="shared" si="289"/>
        <v>0</v>
      </c>
    </row>
    <row r="317">
      <c r="A317" s="35"/>
      <c r="B317" s="194" t="s">
        <v>59</v>
      </c>
      <c r="C317" s="37"/>
      <c r="D317" s="89"/>
      <c r="E317" s="12">
        <f t="shared" si="284"/>
        <v>0</v>
      </c>
      <c r="F317" s="157"/>
      <c r="G317" s="14" t="str">
        <f t="shared" si="285"/>
        <v>#DIV/0!</v>
      </c>
      <c r="H317" s="89"/>
      <c r="I317" s="137"/>
      <c r="J317" s="89">
        <f t="shared" si="286"/>
        <v>0</v>
      </c>
      <c r="K317" s="37" t="str">
        <f t="shared" si="287"/>
        <v/>
      </c>
      <c r="L317" s="152" t="str">
        <f t="shared" si="288"/>
        <v>#DIV/0!</v>
      </c>
      <c r="M317" s="126"/>
      <c r="N317" s="49">
        <f t="shared" si="289"/>
        <v>0</v>
      </c>
    </row>
    <row r="318">
      <c r="A318" s="154"/>
      <c r="B318" s="195" t="s">
        <v>59</v>
      </c>
      <c r="C318" s="89"/>
      <c r="D318" s="89"/>
      <c r="E318" s="12">
        <f t="shared" si="284"/>
        <v>0</v>
      </c>
      <c r="F318" s="157"/>
      <c r="G318" s="14" t="str">
        <f t="shared" si="285"/>
        <v>#DIV/0!</v>
      </c>
      <c r="H318" s="89"/>
      <c r="I318" s="137"/>
      <c r="J318" s="89">
        <f t="shared" si="286"/>
        <v>0</v>
      </c>
      <c r="K318" s="37" t="str">
        <f t="shared" si="287"/>
        <v/>
      </c>
      <c r="L318" s="152" t="str">
        <f t="shared" si="288"/>
        <v>#DIV/0!</v>
      </c>
      <c r="M318" s="126"/>
      <c r="N318" s="49">
        <f t="shared" si="289"/>
        <v>0</v>
      </c>
    </row>
    <row r="319">
      <c r="A319" s="62"/>
      <c r="B319" s="141"/>
      <c r="C319" s="62"/>
      <c r="D319" s="64" t="s">
        <v>19</v>
      </c>
      <c r="E319" s="64">
        <f t="shared" ref="E319:F319" si="290">sum(E313:E318)</f>
        <v>0</v>
      </c>
      <c r="F319" s="64">
        <f t="shared" si="290"/>
        <v>0</v>
      </c>
      <c r="G319" s="65" t="str">
        <f>average(G313:G318)</f>
        <v>#DIV/0!</v>
      </c>
      <c r="H319" s="62"/>
      <c r="I319" s="66"/>
      <c r="J319" s="64">
        <f t="shared" ref="J319:K319" si="291">sum(J313:J318)</f>
        <v>0</v>
      </c>
      <c r="K319" s="64">
        <f t="shared" si="291"/>
        <v>0</v>
      </c>
      <c r="L319" s="65" t="str">
        <f>average(L313:L318)</f>
        <v>#DIV/0!</v>
      </c>
      <c r="M319" s="68"/>
      <c r="N319" s="69">
        <f>sum(N313:N318)</f>
        <v>11200000</v>
      </c>
    </row>
    <row r="320">
      <c r="A320" s="70">
        <v>46149.0</v>
      </c>
      <c r="B320" s="192" t="s">
        <v>60</v>
      </c>
      <c r="C320" s="89">
        <v>12801.0</v>
      </c>
      <c r="D320" s="89">
        <v>13042.0</v>
      </c>
      <c r="E320" s="12">
        <f t="shared" ref="E320:E328" si="292">D320-C320</f>
        <v>241</v>
      </c>
      <c r="F320" s="39">
        <v>67.46</v>
      </c>
      <c r="G320" s="14">
        <f t="shared" ref="G320:G328" si="293">(F320/E320)*100</f>
        <v>27.99170124</v>
      </c>
      <c r="H320" s="137"/>
      <c r="I320" s="137"/>
      <c r="J320" s="41">
        <f t="shared" ref="J320:J328" si="294">I320-H320</f>
        <v>0</v>
      </c>
      <c r="K320" s="41">
        <f t="shared" ref="K320:K328" si="295">F320</f>
        <v>67.46</v>
      </c>
      <c r="L320" s="152" t="str">
        <f t="shared" ref="L320:L328" si="296">(K320/J320)*100</f>
        <v>#DIV/0!</v>
      </c>
      <c r="M320" s="72">
        <v>28170.0</v>
      </c>
      <c r="N320" s="49">
        <f t="shared" ref="N320:N328" si="297">M320*F320</f>
        <v>1900348.2</v>
      </c>
    </row>
    <row r="321">
      <c r="A321" s="35">
        <v>46154.0</v>
      </c>
      <c r="B321" s="192" t="s">
        <v>60</v>
      </c>
      <c r="C321" s="89">
        <v>13042.0</v>
      </c>
      <c r="D321" s="13">
        <v>14004.0</v>
      </c>
      <c r="E321" s="12">
        <f t="shared" si="292"/>
        <v>962</v>
      </c>
      <c r="F321" s="157">
        <v>236.45</v>
      </c>
      <c r="G321" s="14">
        <f t="shared" si="293"/>
        <v>24.57900208</v>
      </c>
      <c r="H321" s="137"/>
      <c r="I321" s="137"/>
      <c r="J321" s="89">
        <f t="shared" si="294"/>
        <v>0</v>
      </c>
      <c r="K321" s="37">
        <f t="shared" si="295"/>
        <v>236.45</v>
      </c>
      <c r="L321" s="152" t="str">
        <f t="shared" si="296"/>
        <v>#DIV/0!</v>
      </c>
      <c r="M321" s="72">
        <v>27490.0</v>
      </c>
      <c r="N321" s="49">
        <f t="shared" si="297"/>
        <v>6500010.5</v>
      </c>
    </row>
    <row r="322">
      <c r="A322" s="35">
        <v>46163.0</v>
      </c>
      <c r="B322" s="192" t="s">
        <v>60</v>
      </c>
      <c r="C322" s="13">
        <v>14004.0</v>
      </c>
      <c r="D322" s="89">
        <v>14950.0</v>
      </c>
      <c r="E322" s="12">
        <f t="shared" si="292"/>
        <v>946</v>
      </c>
      <c r="F322" s="157">
        <v>253.49</v>
      </c>
      <c r="G322" s="14">
        <f t="shared" si="293"/>
        <v>26.79598309</v>
      </c>
      <c r="H322" s="137"/>
      <c r="I322" s="137"/>
      <c r="J322" s="89">
        <f t="shared" si="294"/>
        <v>0</v>
      </c>
      <c r="K322" s="37">
        <f t="shared" si="295"/>
        <v>253.49</v>
      </c>
      <c r="L322" s="152" t="str">
        <f t="shared" si="296"/>
        <v>#DIV/0!</v>
      </c>
      <c r="M322" s="126">
        <v>27220.0</v>
      </c>
      <c r="N322" s="49">
        <f t="shared" si="297"/>
        <v>6899997.8</v>
      </c>
    </row>
    <row r="323">
      <c r="A323" s="35">
        <v>46165.0</v>
      </c>
      <c r="B323" s="192" t="s">
        <v>60</v>
      </c>
      <c r="C323" s="89">
        <v>14950.0</v>
      </c>
      <c r="D323" s="89">
        <v>15074.0</v>
      </c>
      <c r="E323" s="12">
        <f t="shared" si="292"/>
        <v>124</v>
      </c>
      <c r="F323" s="157">
        <v>33.03</v>
      </c>
      <c r="G323" s="196">
        <f t="shared" si="293"/>
        <v>26.63709677</v>
      </c>
      <c r="H323" s="137"/>
      <c r="I323" s="137"/>
      <c r="J323" s="89">
        <f t="shared" si="294"/>
        <v>0</v>
      </c>
      <c r="K323" s="37">
        <f t="shared" si="295"/>
        <v>33.03</v>
      </c>
      <c r="L323" s="152" t="str">
        <f t="shared" si="296"/>
        <v>#DIV/0!</v>
      </c>
      <c r="M323" s="126">
        <v>28760.0</v>
      </c>
      <c r="N323" s="49">
        <f t="shared" si="297"/>
        <v>949942.8</v>
      </c>
    </row>
    <row r="324">
      <c r="A324" s="35">
        <v>46171.0</v>
      </c>
      <c r="B324" s="192" t="s">
        <v>60</v>
      </c>
      <c r="C324" s="89">
        <v>15074.0</v>
      </c>
      <c r="D324" s="89">
        <v>15945.0</v>
      </c>
      <c r="E324" s="12">
        <f t="shared" si="292"/>
        <v>871</v>
      </c>
      <c r="F324" s="157">
        <v>213.38</v>
      </c>
      <c r="G324" s="14">
        <f t="shared" si="293"/>
        <v>24.49827784</v>
      </c>
      <c r="H324" s="89"/>
      <c r="I324" s="137"/>
      <c r="J324" s="89">
        <f t="shared" si="294"/>
        <v>0</v>
      </c>
      <c r="K324" s="37">
        <f t="shared" si="295"/>
        <v>213.38</v>
      </c>
      <c r="L324" s="152" t="str">
        <f t="shared" si="296"/>
        <v>#DIV/0!</v>
      </c>
      <c r="M324" s="126">
        <v>27650.0</v>
      </c>
      <c r="N324" s="49">
        <f t="shared" si="297"/>
        <v>5899957</v>
      </c>
    </row>
    <row r="325">
      <c r="A325" s="154"/>
      <c r="B325" s="192" t="s">
        <v>60</v>
      </c>
      <c r="C325" s="89"/>
      <c r="D325" s="89"/>
      <c r="E325" s="12">
        <f t="shared" si="292"/>
        <v>0</v>
      </c>
      <c r="F325" s="157"/>
      <c r="G325" s="14" t="str">
        <f t="shared" si="293"/>
        <v>#DIV/0!</v>
      </c>
      <c r="H325" s="89"/>
      <c r="I325" s="137"/>
      <c r="J325" s="89">
        <f t="shared" si="294"/>
        <v>0</v>
      </c>
      <c r="K325" s="37" t="str">
        <f t="shared" si="295"/>
        <v/>
      </c>
      <c r="L325" s="152" t="str">
        <f t="shared" si="296"/>
        <v>#DIV/0!</v>
      </c>
      <c r="M325" s="126"/>
      <c r="N325" s="49">
        <f t="shared" si="297"/>
        <v>0</v>
      </c>
      <c r="R325" s="197">
        <v>75.0</v>
      </c>
    </row>
    <row r="326">
      <c r="A326" s="154"/>
      <c r="B326" s="192" t="s">
        <v>60</v>
      </c>
      <c r="C326" s="89"/>
      <c r="D326" s="89"/>
      <c r="E326" s="12">
        <f t="shared" si="292"/>
        <v>0</v>
      </c>
      <c r="F326" s="157"/>
      <c r="G326" s="14" t="str">
        <f t="shared" si="293"/>
        <v>#DIV/0!</v>
      </c>
      <c r="H326" s="89"/>
      <c r="I326" s="137"/>
      <c r="J326" s="89">
        <f t="shared" si="294"/>
        <v>0</v>
      </c>
      <c r="K326" s="37" t="str">
        <f t="shared" si="295"/>
        <v/>
      </c>
      <c r="L326" s="152" t="str">
        <f t="shared" si="296"/>
        <v>#DIV/0!</v>
      </c>
      <c r="M326" s="126"/>
      <c r="N326" s="49">
        <f t="shared" si="297"/>
        <v>0</v>
      </c>
    </row>
    <row r="327">
      <c r="A327" s="154"/>
      <c r="B327" s="192" t="s">
        <v>60</v>
      </c>
      <c r="C327" s="89"/>
      <c r="D327" s="89"/>
      <c r="E327" s="12">
        <f t="shared" si="292"/>
        <v>0</v>
      </c>
      <c r="F327" s="157"/>
      <c r="G327" s="14" t="str">
        <f t="shared" si="293"/>
        <v>#DIV/0!</v>
      </c>
      <c r="H327" s="89"/>
      <c r="I327" s="137"/>
      <c r="J327" s="89">
        <f t="shared" si="294"/>
        <v>0</v>
      </c>
      <c r="K327" s="37" t="str">
        <f t="shared" si="295"/>
        <v/>
      </c>
      <c r="L327" s="152" t="str">
        <f t="shared" si="296"/>
        <v>#DIV/0!</v>
      </c>
      <c r="M327" s="126"/>
      <c r="N327" s="49">
        <f t="shared" si="297"/>
        <v>0</v>
      </c>
    </row>
    <row r="328">
      <c r="A328" s="154"/>
      <c r="B328" s="192" t="s">
        <v>60</v>
      </c>
      <c r="C328" s="89"/>
      <c r="D328" s="89"/>
      <c r="E328" s="12">
        <f t="shared" si="292"/>
        <v>0</v>
      </c>
      <c r="F328" s="157"/>
      <c r="G328" s="14" t="str">
        <f t="shared" si="293"/>
        <v>#DIV/0!</v>
      </c>
      <c r="H328" s="89"/>
      <c r="I328" s="137"/>
      <c r="J328" s="89">
        <f t="shared" si="294"/>
        <v>0</v>
      </c>
      <c r="K328" s="37" t="str">
        <f t="shared" si="295"/>
        <v/>
      </c>
      <c r="L328" s="152" t="str">
        <f t="shared" si="296"/>
        <v>#DIV/0!</v>
      </c>
      <c r="M328" s="126"/>
      <c r="N328" s="49">
        <f t="shared" si="297"/>
        <v>0</v>
      </c>
    </row>
    <row r="329">
      <c r="A329" s="62"/>
      <c r="B329" s="63"/>
      <c r="C329" s="62"/>
      <c r="D329" s="64" t="s">
        <v>19</v>
      </c>
      <c r="E329" s="64">
        <f>sum(E320:E325)</f>
        <v>3144</v>
      </c>
      <c r="F329" s="64">
        <f>sum(F320:F328)</f>
        <v>803.81</v>
      </c>
      <c r="G329" s="65" t="str">
        <f>average(G320:G325)</f>
        <v>#DIV/0!</v>
      </c>
      <c r="H329" s="62"/>
      <c r="I329" s="66"/>
      <c r="J329" s="64">
        <f t="shared" ref="J329:K329" si="298">sum(J320:J325)</f>
        <v>0</v>
      </c>
      <c r="K329" s="64">
        <f t="shared" si="298"/>
        <v>803.81</v>
      </c>
      <c r="L329" s="65" t="str">
        <f>average(L320:L325)</f>
        <v>#DIV/0!</v>
      </c>
      <c r="M329" s="68"/>
      <c r="N329" s="69">
        <f>sum(N320:N328)</f>
        <v>22150256.3</v>
      </c>
    </row>
    <row r="330">
      <c r="A330" s="70">
        <v>46162.0</v>
      </c>
      <c r="B330" s="192" t="s">
        <v>61</v>
      </c>
      <c r="C330" s="89"/>
      <c r="D330" s="89"/>
      <c r="E330" s="12">
        <f t="shared" ref="E330:E335" si="299">D330-C330</f>
        <v>0</v>
      </c>
      <c r="F330" s="39">
        <v>232.92</v>
      </c>
      <c r="G330" s="14" t="str">
        <f t="shared" ref="G330:G335" si="300">(F330/E330)*100</f>
        <v>#DIV/0!</v>
      </c>
      <c r="H330" s="137"/>
      <c r="I330" s="137"/>
      <c r="J330" s="41">
        <f t="shared" ref="J330:J335" si="301">I330-H330</f>
        <v>0</v>
      </c>
      <c r="K330" s="41">
        <f t="shared" ref="K330:K335" si="302">F330</f>
        <v>232.92</v>
      </c>
      <c r="L330" s="152" t="str">
        <f t="shared" ref="L330:L335" si="303">(K330/J330)*100</f>
        <v>#DIV/0!</v>
      </c>
      <c r="M330" s="72">
        <v>27220.0</v>
      </c>
      <c r="N330" s="49">
        <f t="shared" ref="N330:N335" si="304">M330*F330</f>
        <v>6340082.4</v>
      </c>
    </row>
    <row r="331">
      <c r="A331" s="35"/>
      <c r="B331" s="192" t="s">
        <v>61</v>
      </c>
      <c r="C331" s="89"/>
      <c r="D331" s="13"/>
      <c r="E331" s="12">
        <f t="shared" si="299"/>
        <v>0</v>
      </c>
      <c r="F331" s="157"/>
      <c r="G331" s="14" t="str">
        <f t="shared" si="300"/>
        <v>#DIV/0!</v>
      </c>
      <c r="H331" s="137"/>
      <c r="I331" s="137"/>
      <c r="J331" s="89">
        <f t="shared" si="301"/>
        <v>0</v>
      </c>
      <c r="K331" s="37" t="str">
        <f t="shared" si="302"/>
        <v/>
      </c>
      <c r="L331" s="152" t="str">
        <f t="shared" si="303"/>
        <v>#DIV/0!</v>
      </c>
      <c r="M331" s="72"/>
      <c r="N331" s="49">
        <f t="shared" si="304"/>
        <v>0</v>
      </c>
    </row>
    <row r="332">
      <c r="A332" s="35"/>
      <c r="B332" s="192" t="s">
        <v>61</v>
      </c>
      <c r="C332" s="13"/>
      <c r="D332" s="89"/>
      <c r="E332" s="12">
        <f t="shared" si="299"/>
        <v>0</v>
      </c>
      <c r="F332" s="157"/>
      <c r="G332" s="14" t="str">
        <f t="shared" si="300"/>
        <v>#DIV/0!</v>
      </c>
      <c r="H332" s="137"/>
      <c r="I332" s="137"/>
      <c r="J332" s="89">
        <f t="shared" si="301"/>
        <v>0</v>
      </c>
      <c r="K332" s="37" t="str">
        <f t="shared" si="302"/>
        <v/>
      </c>
      <c r="L332" s="152" t="str">
        <f t="shared" si="303"/>
        <v>#DIV/0!</v>
      </c>
      <c r="M332" s="126"/>
      <c r="N332" s="49">
        <f t="shared" si="304"/>
        <v>0</v>
      </c>
    </row>
    <row r="333">
      <c r="A333" s="35"/>
      <c r="B333" s="192" t="s">
        <v>61</v>
      </c>
      <c r="C333" s="89"/>
      <c r="D333" s="89"/>
      <c r="E333" s="12">
        <f t="shared" si="299"/>
        <v>0</v>
      </c>
      <c r="F333" s="157"/>
      <c r="G333" s="14" t="str">
        <f t="shared" si="300"/>
        <v>#DIV/0!</v>
      </c>
      <c r="H333" s="137"/>
      <c r="I333" s="137"/>
      <c r="J333" s="89">
        <f t="shared" si="301"/>
        <v>0</v>
      </c>
      <c r="K333" s="37" t="str">
        <f t="shared" si="302"/>
        <v/>
      </c>
      <c r="L333" s="152" t="str">
        <f t="shared" si="303"/>
        <v>#DIV/0!</v>
      </c>
      <c r="M333" s="126"/>
      <c r="N333" s="49">
        <f t="shared" si="304"/>
        <v>0</v>
      </c>
    </row>
    <row r="334">
      <c r="A334" s="35"/>
      <c r="B334" s="192" t="s">
        <v>61</v>
      </c>
      <c r="C334" s="37"/>
      <c r="D334" s="89"/>
      <c r="E334" s="12">
        <f t="shared" si="299"/>
        <v>0</v>
      </c>
      <c r="F334" s="157"/>
      <c r="G334" s="14" t="str">
        <f t="shared" si="300"/>
        <v>#DIV/0!</v>
      </c>
      <c r="H334" s="89"/>
      <c r="I334" s="137"/>
      <c r="J334" s="89">
        <f t="shared" si="301"/>
        <v>0</v>
      </c>
      <c r="K334" s="37" t="str">
        <f t="shared" si="302"/>
        <v/>
      </c>
      <c r="L334" s="152" t="str">
        <f t="shared" si="303"/>
        <v>#DIV/0!</v>
      </c>
      <c r="M334" s="126"/>
      <c r="N334" s="49">
        <f t="shared" si="304"/>
        <v>0</v>
      </c>
    </row>
    <row r="335">
      <c r="A335" s="154"/>
      <c r="B335" s="192" t="s">
        <v>61</v>
      </c>
      <c r="C335" s="89"/>
      <c r="D335" s="89"/>
      <c r="E335" s="12">
        <f t="shared" si="299"/>
        <v>0</v>
      </c>
      <c r="F335" s="157"/>
      <c r="G335" s="14" t="str">
        <f t="shared" si="300"/>
        <v>#DIV/0!</v>
      </c>
      <c r="H335" s="89"/>
      <c r="I335" s="137"/>
      <c r="J335" s="89">
        <f t="shared" si="301"/>
        <v>0</v>
      </c>
      <c r="K335" s="37" t="str">
        <f t="shared" si="302"/>
        <v/>
      </c>
      <c r="L335" s="152" t="str">
        <f t="shared" si="303"/>
        <v>#DIV/0!</v>
      </c>
      <c r="M335" s="126"/>
      <c r="N335" s="49">
        <f t="shared" si="304"/>
        <v>0</v>
      </c>
    </row>
    <row r="336">
      <c r="A336" s="62"/>
      <c r="B336" s="63"/>
      <c r="C336" s="62"/>
      <c r="D336" s="64" t="s">
        <v>19</v>
      </c>
      <c r="E336" s="64">
        <f t="shared" ref="E336:F336" si="305">sum(E330:E335)</f>
        <v>0</v>
      </c>
      <c r="F336" s="64">
        <f t="shared" si="305"/>
        <v>232.92</v>
      </c>
      <c r="G336" s="65" t="str">
        <f>average(G330:G335)</f>
        <v>#DIV/0!</v>
      </c>
      <c r="H336" s="62"/>
      <c r="I336" s="66"/>
      <c r="J336" s="64">
        <f t="shared" ref="J336:K336" si="306">sum(J330:J335)</f>
        <v>0</v>
      </c>
      <c r="K336" s="64">
        <f t="shared" si="306"/>
        <v>232.92</v>
      </c>
      <c r="L336" s="65" t="str">
        <f>average(L330:L335)</f>
        <v>#DIV/0!</v>
      </c>
      <c r="M336" s="68"/>
      <c r="N336" s="69">
        <f>sum(N330:N335)</f>
        <v>6340082.4</v>
      </c>
    </row>
    <row r="337">
      <c r="A337" s="198" t="s">
        <v>64</v>
      </c>
      <c r="B337" s="199"/>
      <c r="C337" s="199"/>
      <c r="D337" s="199"/>
      <c r="E337" s="199"/>
      <c r="F337" s="199"/>
      <c r="G337" s="199"/>
      <c r="H337" s="199"/>
      <c r="I337" s="199"/>
      <c r="J337" s="199"/>
      <c r="K337" s="199"/>
      <c r="L337" s="200"/>
      <c r="M337" s="68"/>
      <c r="N337" s="69">
        <f>SUM(N222:N336)/2</f>
        <v>274923163.3</v>
      </c>
    </row>
    <row r="338">
      <c r="G338" s="168"/>
      <c r="L338" s="168"/>
      <c r="N338" s="169"/>
    </row>
    <row r="339">
      <c r="G339" s="168"/>
      <c r="L339" s="168"/>
      <c r="N339" s="169"/>
    </row>
    <row r="340">
      <c r="G340" s="168"/>
      <c r="L340" s="168"/>
      <c r="N340" s="169"/>
    </row>
    <row r="341">
      <c r="G341" s="168"/>
      <c r="L341" s="168"/>
      <c r="N341" s="169"/>
    </row>
    <row r="342">
      <c r="G342" s="168"/>
      <c r="L342" s="168"/>
      <c r="N342" s="169"/>
    </row>
    <row r="343">
      <c r="G343" s="168"/>
      <c r="L343" s="168"/>
      <c r="N343" s="169"/>
    </row>
    <row r="344">
      <c r="G344" s="168"/>
      <c r="L344" s="168"/>
      <c r="N344" s="169"/>
    </row>
    <row r="345">
      <c r="G345" s="168"/>
      <c r="L345" s="168"/>
      <c r="N345" s="169"/>
    </row>
    <row r="346">
      <c r="G346" s="168"/>
      <c r="L346" s="168"/>
      <c r="N346" s="169"/>
    </row>
    <row r="347">
      <c r="G347" s="168"/>
      <c r="L347" s="168"/>
      <c r="N347" s="169"/>
    </row>
    <row r="348">
      <c r="G348" s="168"/>
      <c r="L348" s="168"/>
      <c r="N348" s="169"/>
    </row>
    <row r="349">
      <c r="G349" s="168"/>
      <c r="L349" s="168"/>
      <c r="N349" s="169"/>
    </row>
    <row r="350">
      <c r="G350" s="168"/>
      <c r="L350" s="168"/>
      <c r="N350" s="169"/>
    </row>
    <row r="351">
      <c r="G351" s="168"/>
      <c r="L351" s="168"/>
      <c r="N351" s="169"/>
    </row>
    <row r="352">
      <c r="G352" s="168"/>
      <c r="L352" s="168"/>
      <c r="N352" s="169"/>
    </row>
    <row r="353">
      <c r="G353" s="168"/>
      <c r="L353" s="168"/>
      <c r="N353" s="169"/>
    </row>
    <row r="354">
      <c r="G354" s="168"/>
      <c r="L354" s="168"/>
      <c r="N354" s="169"/>
    </row>
    <row r="355">
      <c r="G355" s="168"/>
      <c r="L355" s="168"/>
      <c r="N355" s="169"/>
    </row>
    <row r="356">
      <c r="G356" s="168"/>
      <c r="L356" s="168"/>
      <c r="N356" s="169"/>
    </row>
    <row r="357">
      <c r="G357" s="168"/>
      <c r="L357" s="168"/>
      <c r="N357" s="169"/>
    </row>
    <row r="358">
      <c r="G358" s="168"/>
      <c r="L358" s="168"/>
      <c r="N358" s="169"/>
    </row>
    <row r="359">
      <c r="G359" s="168"/>
      <c r="L359" s="168"/>
      <c r="N359" s="169"/>
    </row>
    <row r="360">
      <c r="G360" s="168"/>
      <c r="L360" s="168"/>
      <c r="N360" s="169"/>
    </row>
    <row r="361">
      <c r="G361" s="168"/>
      <c r="L361" s="168"/>
      <c r="N361" s="169"/>
    </row>
    <row r="362">
      <c r="G362" s="168"/>
      <c r="L362" s="168"/>
      <c r="N362" s="169"/>
    </row>
    <row r="363">
      <c r="G363" s="168"/>
      <c r="L363" s="168"/>
      <c r="N363" s="169"/>
    </row>
    <row r="364">
      <c r="G364" s="168"/>
      <c r="L364" s="168"/>
      <c r="N364" s="169"/>
    </row>
    <row r="365">
      <c r="G365" s="168"/>
      <c r="L365" s="168"/>
      <c r="N365" s="169"/>
    </row>
    <row r="366">
      <c r="G366" s="168"/>
      <c r="L366" s="168"/>
      <c r="N366" s="169"/>
    </row>
    <row r="367">
      <c r="G367" s="168"/>
      <c r="L367" s="168"/>
      <c r="N367" s="169"/>
    </row>
    <row r="368">
      <c r="G368" s="168"/>
      <c r="L368" s="168"/>
      <c r="N368" s="169"/>
    </row>
    <row r="369">
      <c r="G369" s="168"/>
      <c r="L369" s="168"/>
      <c r="N369" s="169"/>
    </row>
    <row r="370">
      <c r="G370" s="168"/>
      <c r="L370" s="168"/>
      <c r="N370" s="169"/>
    </row>
    <row r="371">
      <c r="G371" s="168"/>
      <c r="L371" s="168"/>
      <c r="N371" s="169"/>
    </row>
    <row r="372">
      <c r="G372" s="168"/>
      <c r="L372" s="168"/>
      <c r="N372" s="169"/>
    </row>
    <row r="373">
      <c r="G373" s="168"/>
      <c r="L373" s="168"/>
      <c r="N373" s="169"/>
    </row>
    <row r="374">
      <c r="G374" s="168"/>
      <c r="L374" s="168"/>
      <c r="N374" s="169"/>
    </row>
    <row r="375">
      <c r="G375" s="168"/>
      <c r="L375" s="168"/>
      <c r="N375" s="169"/>
    </row>
    <row r="376">
      <c r="G376" s="168"/>
      <c r="L376" s="168"/>
      <c r="N376" s="169"/>
    </row>
    <row r="377">
      <c r="G377" s="168"/>
      <c r="L377" s="168"/>
      <c r="N377" s="169"/>
    </row>
    <row r="378">
      <c r="G378" s="168"/>
      <c r="L378" s="168"/>
      <c r="N378" s="169"/>
    </row>
    <row r="379">
      <c r="G379" s="168"/>
      <c r="L379" s="168"/>
      <c r="N379" s="169"/>
    </row>
    <row r="380">
      <c r="G380" s="168"/>
      <c r="L380" s="168"/>
      <c r="N380" s="169"/>
    </row>
    <row r="381">
      <c r="G381" s="168"/>
      <c r="L381" s="168"/>
      <c r="N381" s="169"/>
    </row>
    <row r="382">
      <c r="G382" s="168"/>
      <c r="L382" s="168"/>
      <c r="N382" s="169"/>
    </row>
    <row r="383">
      <c r="G383" s="168"/>
      <c r="L383" s="168"/>
      <c r="N383" s="169"/>
    </row>
    <row r="384">
      <c r="G384" s="168"/>
      <c r="L384" s="168"/>
      <c r="N384" s="169"/>
    </row>
    <row r="385">
      <c r="G385" s="168"/>
      <c r="L385" s="168"/>
      <c r="N385" s="169"/>
    </row>
    <row r="386">
      <c r="G386" s="168"/>
      <c r="L386" s="168"/>
      <c r="N386" s="169"/>
    </row>
    <row r="387">
      <c r="G387" s="168"/>
      <c r="L387" s="168"/>
      <c r="N387" s="169"/>
    </row>
    <row r="388">
      <c r="G388" s="168"/>
      <c r="L388" s="168"/>
      <c r="N388" s="169"/>
    </row>
    <row r="389">
      <c r="G389" s="168"/>
      <c r="L389" s="168"/>
      <c r="N389" s="169"/>
    </row>
    <row r="390">
      <c r="G390" s="168"/>
      <c r="L390" s="168"/>
      <c r="N390" s="169"/>
    </row>
    <row r="391">
      <c r="G391" s="168"/>
      <c r="L391" s="168"/>
      <c r="N391" s="169"/>
    </row>
    <row r="392">
      <c r="G392" s="168"/>
      <c r="L392" s="168"/>
      <c r="N392" s="169"/>
    </row>
    <row r="393">
      <c r="G393" s="168"/>
      <c r="L393" s="168"/>
      <c r="N393" s="169"/>
    </row>
    <row r="394">
      <c r="G394" s="168"/>
      <c r="L394" s="168"/>
      <c r="N394" s="169"/>
    </row>
    <row r="395">
      <c r="G395" s="168"/>
      <c r="L395" s="168"/>
      <c r="N395" s="169"/>
    </row>
    <row r="396">
      <c r="G396" s="168"/>
      <c r="L396" s="168"/>
      <c r="N396" s="169"/>
    </row>
    <row r="397">
      <c r="G397" s="168"/>
      <c r="L397" s="168"/>
      <c r="N397" s="169"/>
    </row>
    <row r="398">
      <c r="G398" s="168"/>
      <c r="L398" s="168"/>
      <c r="N398" s="169"/>
    </row>
    <row r="399">
      <c r="G399" s="168"/>
      <c r="L399" s="168"/>
      <c r="N399" s="169"/>
    </row>
    <row r="400">
      <c r="G400" s="168"/>
      <c r="L400" s="168"/>
      <c r="N400" s="169"/>
    </row>
    <row r="401">
      <c r="G401" s="168"/>
      <c r="L401" s="168"/>
      <c r="N401" s="169"/>
    </row>
    <row r="402">
      <c r="G402" s="168"/>
      <c r="L402" s="168"/>
      <c r="N402" s="169"/>
    </row>
    <row r="403">
      <c r="G403" s="168"/>
      <c r="L403" s="168"/>
      <c r="N403" s="169"/>
    </row>
    <row r="404">
      <c r="G404" s="168"/>
      <c r="L404" s="168"/>
      <c r="N404" s="169"/>
    </row>
    <row r="405">
      <c r="G405" s="168"/>
      <c r="L405" s="168"/>
      <c r="N405" s="169"/>
    </row>
    <row r="406">
      <c r="G406" s="168"/>
      <c r="L406" s="168"/>
      <c r="N406" s="169"/>
    </row>
    <row r="407">
      <c r="G407" s="168"/>
      <c r="L407" s="168"/>
      <c r="N407" s="169"/>
    </row>
    <row r="408">
      <c r="G408" s="168"/>
      <c r="L408" s="168"/>
      <c r="N408" s="169"/>
    </row>
    <row r="409">
      <c r="G409" s="168"/>
      <c r="L409" s="168"/>
      <c r="N409" s="169"/>
    </row>
    <row r="410">
      <c r="G410" s="168"/>
      <c r="L410" s="168"/>
      <c r="N410" s="169"/>
    </row>
    <row r="411">
      <c r="G411" s="168"/>
      <c r="L411" s="168"/>
      <c r="N411" s="169"/>
    </row>
    <row r="412">
      <c r="G412" s="168"/>
      <c r="L412" s="168"/>
      <c r="N412" s="169"/>
    </row>
    <row r="413">
      <c r="G413" s="168"/>
      <c r="L413" s="168"/>
      <c r="N413" s="169"/>
    </row>
    <row r="414">
      <c r="G414" s="168"/>
      <c r="L414" s="168"/>
      <c r="N414" s="169"/>
    </row>
    <row r="415">
      <c r="G415" s="168"/>
      <c r="L415" s="168"/>
      <c r="N415" s="169"/>
    </row>
    <row r="416">
      <c r="G416" s="168"/>
      <c r="L416" s="168"/>
      <c r="N416" s="169"/>
    </row>
    <row r="417">
      <c r="G417" s="168"/>
      <c r="L417" s="168"/>
      <c r="N417" s="169"/>
    </row>
    <row r="418">
      <c r="G418" s="168"/>
      <c r="L418" s="168"/>
      <c r="N418" s="169"/>
    </row>
    <row r="419">
      <c r="G419" s="168"/>
      <c r="L419" s="168"/>
      <c r="N419" s="169"/>
    </row>
    <row r="420">
      <c r="G420" s="168"/>
      <c r="L420" s="168"/>
      <c r="N420" s="169"/>
    </row>
    <row r="421">
      <c r="G421" s="168"/>
      <c r="L421" s="168"/>
      <c r="N421" s="169"/>
    </row>
    <row r="422">
      <c r="G422" s="168"/>
      <c r="L422" s="168"/>
      <c r="N422" s="169"/>
    </row>
    <row r="423">
      <c r="G423" s="168"/>
      <c r="L423" s="168"/>
      <c r="N423" s="169"/>
    </row>
    <row r="424">
      <c r="G424" s="168"/>
      <c r="L424" s="168"/>
      <c r="N424" s="169"/>
    </row>
    <row r="425">
      <c r="G425" s="168"/>
      <c r="L425" s="168"/>
      <c r="N425" s="169"/>
    </row>
    <row r="426">
      <c r="G426" s="168"/>
      <c r="L426" s="168"/>
      <c r="N426" s="169"/>
    </row>
    <row r="427">
      <c r="G427" s="168"/>
      <c r="L427" s="168"/>
      <c r="N427" s="169"/>
    </row>
    <row r="428">
      <c r="G428" s="168"/>
      <c r="L428" s="168"/>
      <c r="N428" s="169"/>
    </row>
    <row r="429">
      <c r="G429" s="168"/>
      <c r="L429" s="168"/>
      <c r="N429" s="169"/>
    </row>
    <row r="430">
      <c r="G430" s="168"/>
      <c r="L430" s="168"/>
      <c r="N430" s="169"/>
    </row>
    <row r="431">
      <c r="G431" s="168"/>
      <c r="L431" s="168"/>
      <c r="N431" s="169"/>
    </row>
    <row r="432">
      <c r="G432" s="168"/>
      <c r="L432" s="168"/>
      <c r="N432" s="169"/>
    </row>
    <row r="433">
      <c r="G433" s="168"/>
      <c r="L433" s="168"/>
      <c r="N433" s="169"/>
    </row>
    <row r="434">
      <c r="G434" s="168"/>
      <c r="L434" s="168"/>
      <c r="N434" s="169"/>
    </row>
    <row r="435">
      <c r="G435" s="168"/>
      <c r="L435" s="168"/>
      <c r="N435" s="169"/>
    </row>
    <row r="436">
      <c r="G436" s="168"/>
      <c r="L436" s="168"/>
      <c r="N436" s="169"/>
    </row>
    <row r="437">
      <c r="G437" s="168"/>
      <c r="L437" s="168"/>
      <c r="N437" s="169"/>
    </row>
    <row r="438">
      <c r="G438" s="168"/>
      <c r="L438" s="168"/>
      <c r="N438" s="169"/>
    </row>
    <row r="439">
      <c r="G439" s="168"/>
      <c r="L439" s="168"/>
      <c r="N439" s="169"/>
    </row>
    <row r="440">
      <c r="G440" s="168"/>
      <c r="L440" s="168"/>
      <c r="N440" s="169"/>
    </row>
    <row r="441">
      <c r="G441" s="168"/>
      <c r="L441" s="168"/>
      <c r="N441" s="169"/>
    </row>
    <row r="442">
      <c r="G442" s="168"/>
      <c r="L442" s="168"/>
      <c r="N442" s="169"/>
    </row>
    <row r="443">
      <c r="G443" s="168"/>
      <c r="L443" s="168"/>
      <c r="N443" s="169"/>
    </row>
    <row r="444">
      <c r="G444" s="168"/>
      <c r="L444" s="168"/>
      <c r="N444" s="169"/>
    </row>
    <row r="445">
      <c r="G445" s="168"/>
      <c r="L445" s="168"/>
      <c r="N445" s="169"/>
    </row>
    <row r="446">
      <c r="G446" s="168"/>
      <c r="L446" s="168"/>
      <c r="N446" s="169"/>
    </row>
    <row r="447">
      <c r="G447" s="168"/>
      <c r="L447" s="168"/>
      <c r="N447" s="169"/>
    </row>
    <row r="448">
      <c r="G448" s="168"/>
      <c r="L448" s="168"/>
      <c r="N448" s="169"/>
    </row>
    <row r="449">
      <c r="G449" s="168"/>
      <c r="L449" s="168"/>
      <c r="N449" s="169"/>
    </row>
    <row r="450">
      <c r="G450" s="168"/>
      <c r="L450" s="168"/>
      <c r="N450" s="169"/>
    </row>
    <row r="451">
      <c r="G451" s="168"/>
      <c r="L451" s="168"/>
      <c r="N451" s="169"/>
    </row>
    <row r="452">
      <c r="G452" s="168"/>
      <c r="L452" s="168"/>
      <c r="N452" s="169"/>
    </row>
    <row r="453">
      <c r="G453" s="168"/>
      <c r="L453" s="168"/>
      <c r="N453" s="169"/>
    </row>
    <row r="454">
      <c r="G454" s="168"/>
      <c r="L454" s="168"/>
      <c r="N454" s="169"/>
    </row>
    <row r="455">
      <c r="G455" s="168"/>
      <c r="L455" s="168"/>
      <c r="N455" s="169"/>
    </row>
    <row r="456">
      <c r="G456" s="168"/>
      <c r="L456" s="168"/>
      <c r="N456" s="169"/>
    </row>
    <row r="457">
      <c r="G457" s="168"/>
      <c r="L457" s="168"/>
      <c r="N457" s="169"/>
    </row>
    <row r="458">
      <c r="G458" s="168"/>
      <c r="L458" s="168"/>
      <c r="N458" s="169"/>
    </row>
    <row r="459">
      <c r="G459" s="168"/>
      <c r="L459" s="168"/>
      <c r="N459" s="169"/>
    </row>
    <row r="460">
      <c r="G460" s="168"/>
      <c r="L460" s="168"/>
      <c r="N460" s="169"/>
    </row>
    <row r="461">
      <c r="G461" s="168"/>
      <c r="L461" s="168"/>
      <c r="N461" s="169"/>
    </row>
    <row r="462">
      <c r="G462" s="168"/>
      <c r="L462" s="168"/>
      <c r="N462" s="169"/>
    </row>
    <row r="463">
      <c r="G463" s="168"/>
      <c r="L463" s="168"/>
      <c r="N463" s="169"/>
    </row>
    <row r="464">
      <c r="G464" s="168"/>
      <c r="L464" s="168"/>
      <c r="N464" s="169"/>
    </row>
    <row r="465">
      <c r="G465" s="168"/>
      <c r="L465" s="168"/>
      <c r="N465" s="169"/>
    </row>
    <row r="466">
      <c r="G466" s="168"/>
      <c r="L466" s="168"/>
      <c r="N466" s="169"/>
    </row>
    <row r="467">
      <c r="G467" s="168"/>
      <c r="L467" s="168"/>
      <c r="N467" s="169"/>
    </row>
    <row r="468">
      <c r="G468" s="168"/>
      <c r="L468" s="168"/>
      <c r="N468" s="169"/>
    </row>
    <row r="469">
      <c r="G469" s="168"/>
      <c r="L469" s="168"/>
      <c r="N469" s="169"/>
    </row>
    <row r="470">
      <c r="G470" s="168"/>
      <c r="L470" s="168"/>
      <c r="N470" s="169"/>
    </row>
    <row r="471">
      <c r="G471" s="168"/>
      <c r="L471" s="168"/>
      <c r="N471" s="169"/>
    </row>
    <row r="472">
      <c r="G472" s="168"/>
      <c r="L472" s="168"/>
      <c r="N472" s="169"/>
    </row>
    <row r="473">
      <c r="G473" s="168"/>
      <c r="L473" s="168"/>
      <c r="N473" s="169"/>
    </row>
    <row r="474">
      <c r="G474" s="168"/>
      <c r="L474" s="168"/>
      <c r="N474" s="169"/>
    </row>
    <row r="475">
      <c r="G475" s="168"/>
      <c r="L475" s="168"/>
      <c r="N475" s="169"/>
    </row>
    <row r="476">
      <c r="G476" s="168"/>
      <c r="L476" s="168"/>
      <c r="N476" s="169"/>
    </row>
    <row r="477">
      <c r="G477" s="168"/>
      <c r="L477" s="168"/>
      <c r="N477" s="169"/>
    </row>
    <row r="478">
      <c r="G478" s="168"/>
      <c r="L478" s="168"/>
      <c r="N478" s="169"/>
    </row>
    <row r="479">
      <c r="G479" s="168"/>
      <c r="L479" s="168"/>
      <c r="N479" s="169"/>
    </row>
    <row r="480">
      <c r="G480" s="168"/>
      <c r="L480" s="168"/>
      <c r="N480" s="169"/>
    </row>
    <row r="481">
      <c r="G481" s="168"/>
      <c r="L481" s="168"/>
      <c r="N481" s="169"/>
    </row>
    <row r="482">
      <c r="G482" s="168"/>
      <c r="L482" s="168"/>
      <c r="N482" s="169"/>
    </row>
    <row r="483">
      <c r="G483" s="168"/>
      <c r="L483" s="168"/>
      <c r="N483" s="169"/>
    </row>
    <row r="484">
      <c r="G484" s="168"/>
      <c r="L484" s="168"/>
      <c r="N484" s="169"/>
    </row>
    <row r="485">
      <c r="G485" s="168"/>
      <c r="L485" s="168"/>
      <c r="N485" s="169"/>
    </row>
    <row r="486">
      <c r="G486" s="168"/>
      <c r="L486" s="168"/>
      <c r="N486" s="169"/>
    </row>
    <row r="487">
      <c r="G487" s="168"/>
      <c r="L487" s="168"/>
      <c r="N487" s="169"/>
    </row>
    <row r="488">
      <c r="G488" s="168"/>
      <c r="L488" s="168"/>
      <c r="N488" s="169"/>
    </row>
    <row r="489">
      <c r="G489" s="168"/>
      <c r="L489" s="168"/>
      <c r="N489" s="169"/>
    </row>
    <row r="490">
      <c r="G490" s="168"/>
      <c r="L490" s="168"/>
      <c r="N490" s="169"/>
    </row>
    <row r="491">
      <c r="G491" s="168"/>
      <c r="L491" s="168"/>
      <c r="N491" s="169"/>
    </row>
    <row r="492">
      <c r="G492" s="168"/>
      <c r="L492" s="168"/>
      <c r="N492" s="169"/>
    </row>
    <row r="493">
      <c r="G493" s="168"/>
      <c r="L493" s="168"/>
      <c r="N493" s="169"/>
    </row>
    <row r="494">
      <c r="G494" s="168"/>
      <c r="L494" s="168"/>
      <c r="N494" s="169"/>
    </row>
    <row r="495">
      <c r="G495" s="168"/>
      <c r="L495" s="168"/>
      <c r="N495" s="169"/>
    </row>
    <row r="496">
      <c r="G496" s="168"/>
      <c r="L496" s="168"/>
      <c r="N496" s="169"/>
    </row>
    <row r="497">
      <c r="G497" s="168"/>
      <c r="L497" s="168"/>
      <c r="N497" s="169"/>
    </row>
    <row r="498">
      <c r="G498" s="168"/>
      <c r="L498" s="168"/>
      <c r="N498" s="169"/>
    </row>
    <row r="499">
      <c r="G499" s="168"/>
      <c r="L499" s="168"/>
      <c r="N499" s="169"/>
    </row>
    <row r="500">
      <c r="G500" s="168"/>
      <c r="L500" s="168"/>
      <c r="N500" s="169"/>
    </row>
    <row r="501">
      <c r="G501" s="168"/>
      <c r="L501" s="168"/>
      <c r="N501" s="169"/>
    </row>
    <row r="502">
      <c r="G502" s="168"/>
      <c r="L502" s="168"/>
      <c r="N502" s="169"/>
    </row>
    <row r="503">
      <c r="G503" s="168"/>
      <c r="L503" s="168"/>
      <c r="N503" s="169"/>
    </row>
    <row r="504">
      <c r="G504" s="168"/>
      <c r="L504" s="168"/>
      <c r="N504" s="169"/>
    </row>
    <row r="505">
      <c r="G505" s="168"/>
      <c r="L505" s="168"/>
      <c r="N505" s="169"/>
    </row>
    <row r="506">
      <c r="G506" s="168"/>
      <c r="L506" s="168"/>
      <c r="N506" s="169"/>
    </row>
    <row r="507">
      <c r="G507" s="168"/>
      <c r="L507" s="168"/>
      <c r="N507" s="169"/>
    </row>
    <row r="508">
      <c r="G508" s="168"/>
      <c r="L508" s="168"/>
      <c r="N508" s="169"/>
    </row>
    <row r="509">
      <c r="G509" s="168"/>
      <c r="L509" s="168"/>
      <c r="N509" s="169"/>
    </row>
    <row r="510">
      <c r="G510" s="168"/>
      <c r="L510" s="168"/>
      <c r="N510" s="169"/>
    </row>
    <row r="511">
      <c r="G511" s="168"/>
      <c r="L511" s="168"/>
      <c r="N511" s="169"/>
    </row>
    <row r="512">
      <c r="G512" s="168"/>
      <c r="L512" s="168"/>
      <c r="N512" s="169"/>
    </row>
    <row r="513">
      <c r="G513" s="168"/>
      <c r="L513" s="168"/>
      <c r="N513" s="169"/>
    </row>
    <row r="514">
      <c r="G514" s="168"/>
      <c r="L514" s="168"/>
      <c r="N514" s="169"/>
    </row>
    <row r="515">
      <c r="G515" s="168"/>
      <c r="L515" s="168"/>
      <c r="N515" s="169"/>
    </row>
    <row r="516">
      <c r="G516" s="168"/>
      <c r="L516" s="168"/>
      <c r="N516" s="169"/>
    </row>
    <row r="517">
      <c r="G517" s="168"/>
      <c r="L517" s="168"/>
      <c r="N517" s="169"/>
    </row>
    <row r="518">
      <c r="G518" s="168"/>
      <c r="L518" s="168"/>
      <c r="N518" s="169"/>
    </row>
    <row r="519">
      <c r="G519" s="168"/>
      <c r="L519" s="168"/>
      <c r="N519" s="169"/>
    </row>
    <row r="520">
      <c r="G520" s="168"/>
      <c r="L520" s="168"/>
      <c r="N520" s="169"/>
    </row>
    <row r="521">
      <c r="G521" s="168"/>
      <c r="L521" s="168"/>
      <c r="N521" s="169"/>
    </row>
    <row r="522">
      <c r="G522" s="168"/>
      <c r="L522" s="168"/>
      <c r="N522" s="169"/>
    </row>
    <row r="523">
      <c r="G523" s="168"/>
      <c r="L523" s="168"/>
      <c r="N523" s="169"/>
    </row>
    <row r="524">
      <c r="G524" s="168"/>
      <c r="L524" s="168"/>
      <c r="N524" s="169"/>
    </row>
    <row r="525">
      <c r="G525" s="168"/>
      <c r="L525" s="168"/>
      <c r="N525" s="169"/>
    </row>
    <row r="526">
      <c r="G526" s="168"/>
      <c r="L526" s="168"/>
      <c r="N526" s="169"/>
    </row>
    <row r="527">
      <c r="G527" s="168"/>
      <c r="L527" s="168"/>
      <c r="N527" s="169"/>
    </row>
    <row r="528">
      <c r="G528" s="168"/>
      <c r="L528" s="168"/>
      <c r="N528" s="169"/>
    </row>
    <row r="529">
      <c r="G529" s="168"/>
      <c r="L529" s="168"/>
      <c r="N529" s="169"/>
    </row>
    <row r="530">
      <c r="G530" s="168"/>
      <c r="L530" s="168"/>
      <c r="N530" s="169"/>
    </row>
    <row r="531">
      <c r="G531" s="168"/>
      <c r="L531" s="168"/>
      <c r="N531" s="169"/>
    </row>
    <row r="532">
      <c r="G532" s="168"/>
      <c r="L532" s="168"/>
      <c r="N532" s="169"/>
    </row>
    <row r="533">
      <c r="G533" s="168"/>
      <c r="L533" s="168"/>
      <c r="N533" s="169"/>
    </row>
    <row r="534">
      <c r="G534" s="168"/>
      <c r="L534" s="168"/>
      <c r="N534" s="169"/>
    </row>
    <row r="535">
      <c r="G535" s="168"/>
      <c r="L535" s="168"/>
      <c r="N535" s="169"/>
    </row>
    <row r="536">
      <c r="G536" s="168"/>
      <c r="L536" s="168"/>
      <c r="N536" s="169"/>
    </row>
    <row r="537">
      <c r="G537" s="168"/>
      <c r="L537" s="168"/>
      <c r="N537" s="169"/>
    </row>
    <row r="538">
      <c r="G538" s="168"/>
      <c r="L538" s="168"/>
      <c r="N538" s="169"/>
    </row>
    <row r="539">
      <c r="G539" s="168"/>
      <c r="L539" s="168"/>
      <c r="N539" s="169"/>
    </row>
    <row r="540">
      <c r="G540" s="168"/>
      <c r="L540" s="168"/>
      <c r="N540" s="169"/>
    </row>
    <row r="541">
      <c r="G541" s="168"/>
      <c r="L541" s="168"/>
      <c r="N541" s="169"/>
    </row>
    <row r="542">
      <c r="G542" s="168"/>
      <c r="L542" s="168"/>
      <c r="N542" s="169"/>
    </row>
    <row r="543">
      <c r="G543" s="168"/>
      <c r="L543" s="168"/>
      <c r="N543" s="169"/>
    </row>
    <row r="544">
      <c r="G544" s="168"/>
      <c r="L544" s="168"/>
      <c r="N544" s="169"/>
    </row>
    <row r="545">
      <c r="G545" s="168"/>
      <c r="L545" s="168"/>
      <c r="N545" s="169"/>
    </row>
    <row r="546">
      <c r="G546" s="168"/>
      <c r="L546" s="168"/>
      <c r="N546" s="169"/>
    </row>
    <row r="547">
      <c r="G547" s="168"/>
      <c r="L547" s="168"/>
      <c r="N547" s="169"/>
    </row>
    <row r="548">
      <c r="G548" s="168"/>
      <c r="L548" s="168"/>
      <c r="N548" s="169"/>
    </row>
    <row r="549">
      <c r="G549" s="168"/>
      <c r="L549" s="168"/>
      <c r="N549" s="169"/>
    </row>
    <row r="550">
      <c r="G550" s="168"/>
      <c r="L550" s="168"/>
      <c r="N550" s="169"/>
    </row>
    <row r="551">
      <c r="G551" s="168"/>
      <c r="L551" s="168"/>
      <c r="N551" s="169"/>
    </row>
    <row r="552">
      <c r="G552" s="168"/>
      <c r="L552" s="168"/>
      <c r="N552" s="169"/>
    </row>
    <row r="553">
      <c r="G553" s="168"/>
      <c r="L553" s="168"/>
      <c r="N553" s="169"/>
    </row>
    <row r="554">
      <c r="G554" s="168"/>
      <c r="L554" s="168"/>
      <c r="N554" s="169"/>
    </row>
    <row r="555">
      <c r="G555" s="168"/>
      <c r="L555" s="168"/>
      <c r="N555" s="169"/>
    </row>
    <row r="556">
      <c r="G556" s="168"/>
      <c r="L556" s="168"/>
      <c r="N556" s="169"/>
    </row>
    <row r="557">
      <c r="G557" s="168"/>
      <c r="L557" s="168"/>
      <c r="N557" s="169"/>
    </row>
    <row r="558">
      <c r="G558" s="168"/>
      <c r="L558" s="168"/>
      <c r="N558" s="169"/>
    </row>
    <row r="559">
      <c r="G559" s="168"/>
      <c r="L559" s="168"/>
      <c r="N559" s="169"/>
    </row>
    <row r="560">
      <c r="G560" s="168"/>
      <c r="L560" s="168"/>
      <c r="N560" s="169"/>
    </row>
    <row r="561">
      <c r="G561" s="168"/>
      <c r="L561" s="168"/>
      <c r="N561" s="169"/>
    </row>
    <row r="562">
      <c r="G562" s="168"/>
      <c r="L562" s="168"/>
      <c r="N562" s="169"/>
    </row>
    <row r="563">
      <c r="G563" s="168"/>
      <c r="L563" s="168"/>
      <c r="N563" s="169"/>
    </row>
    <row r="564">
      <c r="G564" s="168"/>
      <c r="L564" s="168"/>
      <c r="N564" s="169"/>
    </row>
    <row r="565">
      <c r="G565" s="168"/>
      <c r="L565" s="168"/>
      <c r="N565" s="169"/>
    </row>
    <row r="566">
      <c r="G566" s="168"/>
      <c r="L566" s="168"/>
      <c r="N566" s="169"/>
    </row>
    <row r="567">
      <c r="G567" s="168"/>
      <c r="L567" s="168"/>
      <c r="N567" s="169"/>
    </row>
    <row r="568">
      <c r="G568" s="168"/>
      <c r="L568" s="168"/>
      <c r="N568" s="169"/>
    </row>
    <row r="569">
      <c r="G569" s="168"/>
      <c r="L569" s="168"/>
      <c r="N569" s="169"/>
    </row>
    <row r="570">
      <c r="G570" s="168"/>
      <c r="L570" s="168"/>
      <c r="N570" s="169"/>
    </row>
    <row r="571">
      <c r="G571" s="168"/>
      <c r="L571" s="168"/>
      <c r="N571" s="169"/>
    </row>
    <row r="572">
      <c r="G572" s="168"/>
      <c r="L572" s="168"/>
      <c r="N572" s="169"/>
    </row>
    <row r="573">
      <c r="G573" s="168"/>
      <c r="L573" s="168"/>
      <c r="N573" s="169"/>
    </row>
    <row r="574">
      <c r="G574" s="168"/>
      <c r="L574" s="168"/>
      <c r="N574" s="169"/>
    </row>
    <row r="575">
      <c r="G575" s="168"/>
      <c r="L575" s="168"/>
      <c r="N575" s="169"/>
    </row>
    <row r="576">
      <c r="G576" s="168"/>
      <c r="L576" s="168"/>
      <c r="N576" s="169"/>
    </row>
    <row r="577">
      <c r="G577" s="168"/>
      <c r="L577" s="168"/>
      <c r="N577" s="169"/>
    </row>
    <row r="578">
      <c r="G578" s="168"/>
      <c r="L578" s="168"/>
      <c r="N578" s="169"/>
    </row>
    <row r="579">
      <c r="G579" s="168"/>
      <c r="L579" s="168"/>
      <c r="N579" s="169"/>
    </row>
    <row r="580">
      <c r="G580" s="168"/>
      <c r="L580" s="168"/>
      <c r="N580" s="169"/>
    </row>
    <row r="581">
      <c r="G581" s="168"/>
      <c r="L581" s="168"/>
      <c r="N581" s="169"/>
    </row>
    <row r="582">
      <c r="G582" s="168"/>
      <c r="L582" s="168"/>
      <c r="N582" s="169"/>
    </row>
    <row r="583">
      <c r="G583" s="168"/>
      <c r="L583" s="168"/>
      <c r="N583" s="169"/>
    </row>
    <row r="584">
      <c r="G584" s="168"/>
      <c r="L584" s="168"/>
      <c r="N584" s="169"/>
    </row>
    <row r="585">
      <c r="G585" s="168"/>
      <c r="L585" s="168"/>
      <c r="N585" s="169"/>
    </row>
    <row r="586">
      <c r="G586" s="168"/>
      <c r="L586" s="168"/>
      <c r="N586" s="169"/>
    </row>
    <row r="587">
      <c r="G587" s="168"/>
      <c r="L587" s="168"/>
      <c r="N587" s="169"/>
    </row>
    <row r="588">
      <c r="G588" s="168"/>
      <c r="L588" s="168"/>
      <c r="N588" s="169"/>
    </row>
    <row r="589">
      <c r="G589" s="168"/>
      <c r="L589" s="168"/>
      <c r="N589" s="169"/>
    </row>
    <row r="590">
      <c r="G590" s="168"/>
      <c r="L590" s="168"/>
      <c r="N590" s="169"/>
    </row>
    <row r="591">
      <c r="G591" s="168"/>
      <c r="L591" s="168"/>
      <c r="N591" s="169"/>
    </row>
    <row r="592">
      <c r="G592" s="168"/>
      <c r="L592" s="168"/>
      <c r="N592" s="169"/>
    </row>
    <row r="593">
      <c r="G593" s="168"/>
      <c r="L593" s="168"/>
      <c r="N593" s="169"/>
    </row>
    <row r="594">
      <c r="G594" s="168"/>
      <c r="L594" s="168"/>
      <c r="N594" s="169"/>
    </row>
    <row r="595">
      <c r="G595" s="168"/>
      <c r="L595" s="168"/>
      <c r="N595" s="169"/>
    </row>
    <row r="596">
      <c r="G596" s="168"/>
      <c r="L596" s="168"/>
      <c r="N596" s="169"/>
    </row>
    <row r="597">
      <c r="G597" s="168"/>
      <c r="L597" s="168"/>
      <c r="N597" s="169"/>
    </row>
    <row r="598">
      <c r="G598" s="168"/>
      <c r="L598" s="168"/>
      <c r="N598" s="169"/>
    </row>
    <row r="599">
      <c r="G599" s="168"/>
      <c r="L599" s="168"/>
      <c r="N599" s="169"/>
    </row>
    <row r="600">
      <c r="G600" s="168"/>
      <c r="L600" s="168"/>
      <c r="N600" s="169"/>
    </row>
    <row r="601">
      <c r="G601" s="168"/>
      <c r="L601" s="168"/>
      <c r="N601" s="169"/>
    </row>
    <row r="602">
      <c r="G602" s="168"/>
      <c r="L602" s="168"/>
      <c r="N602" s="169"/>
    </row>
    <row r="603">
      <c r="G603" s="168"/>
      <c r="L603" s="168"/>
      <c r="N603" s="169"/>
    </row>
    <row r="604">
      <c r="G604" s="168"/>
      <c r="L604" s="168"/>
      <c r="N604" s="169"/>
    </row>
    <row r="605">
      <c r="G605" s="168"/>
      <c r="L605" s="168"/>
      <c r="N605" s="169"/>
    </row>
    <row r="606">
      <c r="G606" s="168"/>
      <c r="L606" s="168"/>
      <c r="N606" s="169"/>
    </row>
    <row r="607">
      <c r="G607" s="168"/>
      <c r="L607" s="168"/>
      <c r="N607" s="169"/>
    </row>
    <row r="608">
      <c r="G608" s="168"/>
      <c r="L608" s="168"/>
      <c r="N608" s="169"/>
    </row>
    <row r="609">
      <c r="G609" s="168"/>
      <c r="L609" s="168"/>
      <c r="N609" s="169"/>
    </row>
    <row r="610">
      <c r="G610" s="168"/>
      <c r="L610" s="168"/>
      <c r="N610" s="169"/>
    </row>
    <row r="611">
      <c r="G611" s="168"/>
      <c r="L611" s="168"/>
      <c r="N611" s="169"/>
    </row>
    <row r="612">
      <c r="G612" s="168"/>
      <c r="L612" s="168"/>
      <c r="N612" s="169"/>
    </row>
    <row r="613">
      <c r="G613" s="168"/>
      <c r="L613" s="168"/>
      <c r="N613" s="169"/>
    </row>
    <row r="614">
      <c r="G614" s="168"/>
      <c r="L614" s="168"/>
      <c r="N614" s="169"/>
    </row>
    <row r="615">
      <c r="G615" s="168"/>
      <c r="L615" s="168"/>
      <c r="N615" s="169"/>
    </row>
    <row r="616">
      <c r="G616" s="168"/>
      <c r="L616" s="168"/>
      <c r="N616" s="169"/>
    </row>
    <row r="617">
      <c r="G617" s="168"/>
      <c r="L617" s="168"/>
      <c r="N617" s="169"/>
    </row>
    <row r="618">
      <c r="G618" s="168"/>
      <c r="L618" s="168"/>
      <c r="N618" s="169"/>
    </row>
    <row r="619">
      <c r="G619" s="168"/>
      <c r="L619" s="168"/>
      <c r="N619" s="169"/>
    </row>
    <row r="620">
      <c r="G620" s="168"/>
      <c r="L620" s="168"/>
      <c r="N620" s="169"/>
    </row>
    <row r="621">
      <c r="G621" s="168"/>
      <c r="L621" s="168"/>
      <c r="N621" s="169"/>
    </row>
    <row r="622">
      <c r="G622" s="168"/>
      <c r="L622" s="168"/>
      <c r="N622" s="169"/>
    </row>
    <row r="623">
      <c r="G623" s="168"/>
      <c r="L623" s="168"/>
      <c r="N623" s="169"/>
    </row>
    <row r="624">
      <c r="G624" s="168"/>
      <c r="L624" s="168"/>
      <c r="N624" s="169"/>
    </row>
    <row r="625">
      <c r="G625" s="168"/>
      <c r="L625" s="168"/>
      <c r="N625" s="169"/>
    </row>
    <row r="626">
      <c r="G626" s="168"/>
      <c r="L626" s="168"/>
      <c r="N626" s="169"/>
    </row>
    <row r="627">
      <c r="G627" s="168"/>
      <c r="L627" s="168"/>
      <c r="N627" s="169"/>
    </row>
    <row r="628">
      <c r="G628" s="168"/>
      <c r="L628" s="168"/>
      <c r="N628" s="169"/>
    </row>
    <row r="629">
      <c r="G629" s="168"/>
      <c r="L629" s="168"/>
      <c r="N629" s="169"/>
    </row>
    <row r="630">
      <c r="G630" s="168"/>
      <c r="L630" s="168"/>
      <c r="N630" s="169"/>
    </row>
    <row r="631">
      <c r="G631" s="168"/>
      <c r="L631" s="168"/>
      <c r="N631" s="169"/>
    </row>
    <row r="632">
      <c r="G632" s="168"/>
      <c r="L632" s="168"/>
      <c r="N632" s="169"/>
    </row>
    <row r="633">
      <c r="G633" s="168"/>
      <c r="L633" s="168"/>
      <c r="N633" s="169"/>
    </row>
    <row r="634">
      <c r="G634" s="168"/>
      <c r="L634" s="168"/>
      <c r="N634" s="169"/>
    </row>
    <row r="635">
      <c r="G635" s="168"/>
      <c r="L635" s="168"/>
      <c r="N635" s="169"/>
    </row>
    <row r="636">
      <c r="G636" s="168"/>
      <c r="L636" s="168"/>
      <c r="N636" s="169"/>
    </row>
    <row r="637">
      <c r="G637" s="168"/>
      <c r="L637" s="168"/>
      <c r="N637" s="169"/>
    </row>
    <row r="638">
      <c r="G638" s="168"/>
      <c r="L638" s="168"/>
      <c r="N638" s="169"/>
    </row>
    <row r="639">
      <c r="G639" s="168"/>
      <c r="L639" s="168"/>
      <c r="N639" s="169"/>
    </row>
    <row r="640">
      <c r="G640" s="168"/>
      <c r="L640" s="168"/>
      <c r="N640" s="169"/>
    </row>
    <row r="641">
      <c r="G641" s="168"/>
      <c r="L641" s="168"/>
      <c r="N641" s="169"/>
    </row>
    <row r="642">
      <c r="G642" s="168"/>
      <c r="L642" s="168"/>
      <c r="N642" s="169"/>
    </row>
    <row r="643">
      <c r="G643" s="168"/>
      <c r="L643" s="168"/>
      <c r="N643" s="169"/>
    </row>
    <row r="644">
      <c r="G644" s="168"/>
      <c r="L644" s="168"/>
      <c r="N644" s="169"/>
    </row>
    <row r="645">
      <c r="G645" s="168"/>
      <c r="L645" s="168"/>
      <c r="N645" s="169"/>
    </row>
    <row r="646">
      <c r="G646" s="168"/>
      <c r="L646" s="168"/>
      <c r="N646" s="169"/>
    </row>
    <row r="647">
      <c r="G647" s="168"/>
      <c r="L647" s="168"/>
      <c r="N647" s="169"/>
    </row>
    <row r="648">
      <c r="G648" s="168"/>
      <c r="L648" s="168"/>
      <c r="N648" s="169"/>
    </row>
    <row r="649">
      <c r="G649" s="168"/>
      <c r="L649" s="168"/>
      <c r="N649" s="169"/>
    </row>
    <row r="650">
      <c r="G650" s="168"/>
      <c r="L650" s="168"/>
      <c r="N650" s="169"/>
    </row>
    <row r="651">
      <c r="G651" s="168"/>
      <c r="L651" s="168"/>
      <c r="N651" s="169"/>
    </row>
    <row r="652">
      <c r="G652" s="168"/>
      <c r="L652" s="168"/>
      <c r="N652" s="169"/>
    </row>
    <row r="653">
      <c r="G653" s="168"/>
      <c r="L653" s="168"/>
      <c r="N653" s="169"/>
    </row>
    <row r="654">
      <c r="G654" s="168"/>
      <c r="L654" s="168"/>
      <c r="N654" s="169"/>
    </row>
    <row r="655">
      <c r="G655" s="168"/>
      <c r="L655" s="168"/>
      <c r="N655" s="169"/>
    </row>
    <row r="656">
      <c r="G656" s="168"/>
      <c r="L656" s="168"/>
      <c r="N656" s="169"/>
    </row>
    <row r="657">
      <c r="G657" s="168"/>
      <c r="L657" s="168"/>
      <c r="N657" s="169"/>
    </row>
    <row r="658">
      <c r="G658" s="168"/>
      <c r="L658" s="168"/>
      <c r="N658" s="169"/>
    </row>
    <row r="659">
      <c r="G659" s="168"/>
      <c r="L659" s="168"/>
      <c r="N659" s="169"/>
    </row>
    <row r="660">
      <c r="G660" s="168"/>
      <c r="L660" s="168"/>
      <c r="N660" s="169"/>
    </row>
    <row r="661">
      <c r="G661" s="168"/>
      <c r="L661" s="168"/>
      <c r="N661" s="169"/>
    </row>
    <row r="662">
      <c r="G662" s="168"/>
      <c r="L662" s="168"/>
      <c r="N662" s="169"/>
    </row>
    <row r="663">
      <c r="G663" s="168"/>
      <c r="L663" s="168"/>
      <c r="N663" s="169"/>
    </row>
    <row r="664">
      <c r="G664" s="168"/>
      <c r="L664" s="168"/>
      <c r="N664" s="169"/>
    </row>
    <row r="665">
      <c r="G665" s="168"/>
      <c r="L665" s="168"/>
      <c r="N665" s="169"/>
    </row>
    <row r="666">
      <c r="G666" s="168"/>
      <c r="L666" s="168"/>
      <c r="N666" s="169"/>
    </row>
    <row r="667">
      <c r="G667" s="168"/>
      <c r="L667" s="168"/>
      <c r="N667" s="169"/>
    </row>
    <row r="668">
      <c r="G668" s="168"/>
      <c r="L668" s="168"/>
      <c r="N668" s="169"/>
    </row>
    <row r="669">
      <c r="G669" s="168"/>
      <c r="L669" s="168"/>
      <c r="N669" s="169"/>
    </row>
    <row r="670">
      <c r="G670" s="168"/>
      <c r="L670" s="168"/>
      <c r="N670" s="169"/>
    </row>
    <row r="671">
      <c r="G671" s="168"/>
      <c r="L671" s="168"/>
      <c r="N671" s="169"/>
    </row>
    <row r="672">
      <c r="G672" s="168"/>
      <c r="L672" s="168"/>
      <c r="N672" s="169"/>
    </row>
    <row r="673">
      <c r="G673" s="168"/>
      <c r="L673" s="168"/>
      <c r="N673" s="169"/>
    </row>
    <row r="674">
      <c r="G674" s="168"/>
      <c r="L674" s="168"/>
      <c r="N674" s="169"/>
    </row>
    <row r="675">
      <c r="G675" s="168"/>
      <c r="L675" s="168"/>
      <c r="N675" s="169"/>
    </row>
    <row r="676">
      <c r="G676" s="168"/>
      <c r="L676" s="168"/>
      <c r="N676" s="169"/>
    </row>
    <row r="677">
      <c r="G677" s="168"/>
      <c r="L677" s="168"/>
      <c r="N677" s="169"/>
    </row>
    <row r="678">
      <c r="G678" s="168"/>
      <c r="L678" s="168"/>
      <c r="N678" s="169"/>
    </row>
    <row r="679">
      <c r="G679" s="168"/>
      <c r="L679" s="168"/>
      <c r="N679" s="169"/>
    </row>
    <row r="680">
      <c r="G680" s="168"/>
      <c r="L680" s="168"/>
      <c r="N680" s="169"/>
    </row>
    <row r="681">
      <c r="G681" s="168"/>
      <c r="L681" s="168"/>
      <c r="N681" s="169"/>
    </row>
    <row r="682">
      <c r="G682" s="168"/>
      <c r="L682" s="168"/>
      <c r="N682" s="169"/>
    </row>
    <row r="683">
      <c r="G683" s="168"/>
      <c r="L683" s="168"/>
      <c r="N683" s="169"/>
    </row>
    <row r="684">
      <c r="G684" s="168"/>
      <c r="L684" s="168"/>
      <c r="N684" s="169"/>
    </row>
    <row r="685">
      <c r="G685" s="168"/>
      <c r="L685" s="168"/>
      <c r="N685" s="169"/>
    </row>
    <row r="686">
      <c r="G686" s="168"/>
      <c r="L686" s="168"/>
      <c r="N686" s="169"/>
    </row>
    <row r="687">
      <c r="G687" s="168"/>
      <c r="L687" s="168"/>
      <c r="N687" s="169"/>
    </row>
    <row r="688">
      <c r="G688" s="168"/>
      <c r="L688" s="168"/>
      <c r="N688" s="169"/>
    </row>
    <row r="689">
      <c r="G689" s="168"/>
      <c r="L689" s="168"/>
      <c r="N689" s="169"/>
    </row>
    <row r="690">
      <c r="G690" s="168"/>
      <c r="L690" s="168"/>
      <c r="N690" s="169"/>
    </row>
    <row r="691">
      <c r="G691" s="168"/>
      <c r="L691" s="168"/>
      <c r="N691" s="169"/>
    </row>
    <row r="692">
      <c r="G692" s="168"/>
      <c r="L692" s="168"/>
      <c r="N692" s="169"/>
    </row>
    <row r="693">
      <c r="G693" s="168"/>
      <c r="L693" s="168"/>
      <c r="N693" s="169"/>
    </row>
    <row r="694">
      <c r="G694" s="168"/>
      <c r="L694" s="168"/>
      <c r="N694" s="169"/>
    </row>
    <row r="695">
      <c r="G695" s="168"/>
      <c r="L695" s="168"/>
      <c r="N695" s="169"/>
    </row>
    <row r="696">
      <c r="G696" s="168"/>
      <c r="L696" s="168"/>
      <c r="N696" s="169"/>
    </row>
    <row r="697">
      <c r="G697" s="168"/>
      <c r="L697" s="168"/>
      <c r="N697" s="169"/>
    </row>
    <row r="698">
      <c r="G698" s="168"/>
      <c r="L698" s="168"/>
      <c r="N698" s="169"/>
    </row>
    <row r="699">
      <c r="G699" s="168"/>
      <c r="L699" s="168"/>
      <c r="N699" s="169"/>
    </row>
    <row r="700">
      <c r="G700" s="168"/>
      <c r="L700" s="168"/>
      <c r="N700" s="169"/>
    </row>
    <row r="701">
      <c r="G701" s="168"/>
      <c r="L701" s="168"/>
      <c r="N701" s="169"/>
    </row>
    <row r="702">
      <c r="G702" s="168"/>
      <c r="L702" s="168"/>
      <c r="N702" s="169"/>
    </row>
    <row r="703">
      <c r="G703" s="168"/>
      <c r="L703" s="168"/>
      <c r="N703" s="169"/>
    </row>
    <row r="704">
      <c r="G704" s="168"/>
      <c r="L704" s="168"/>
      <c r="N704" s="169"/>
    </row>
    <row r="705">
      <c r="G705" s="168"/>
      <c r="L705" s="168"/>
      <c r="N705" s="169"/>
    </row>
    <row r="706">
      <c r="G706" s="168"/>
      <c r="L706" s="168"/>
      <c r="N706" s="169"/>
    </row>
    <row r="707">
      <c r="G707" s="168"/>
      <c r="L707" s="168"/>
      <c r="N707" s="169"/>
    </row>
    <row r="708">
      <c r="G708" s="168"/>
      <c r="L708" s="168"/>
      <c r="N708" s="169"/>
    </row>
    <row r="709">
      <c r="G709" s="168"/>
      <c r="L709" s="168"/>
      <c r="N709" s="169"/>
    </row>
    <row r="710">
      <c r="G710" s="168"/>
      <c r="L710" s="168"/>
      <c r="N710" s="169"/>
    </row>
    <row r="711">
      <c r="G711" s="168"/>
      <c r="L711" s="168"/>
      <c r="N711" s="169"/>
    </row>
    <row r="712">
      <c r="G712" s="168"/>
      <c r="L712" s="168"/>
      <c r="N712" s="169"/>
    </row>
    <row r="713">
      <c r="G713" s="168"/>
      <c r="L713" s="168"/>
      <c r="N713" s="169"/>
    </row>
    <row r="714">
      <c r="G714" s="168"/>
      <c r="L714" s="168"/>
      <c r="N714" s="169"/>
    </row>
    <row r="715">
      <c r="G715" s="168"/>
      <c r="L715" s="168"/>
      <c r="N715" s="169"/>
    </row>
    <row r="716">
      <c r="G716" s="168"/>
      <c r="L716" s="168"/>
      <c r="N716" s="169"/>
    </row>
    <row r="717">
      <c r="G717" s="168"/>
      <c r="L717" s="168"/>
      <c r="N717" s="169"/>
    </row>
    <row r="718">
      <c r="G718" s="168"/>
      <c r="L718" s="168"/>
      <c r="N718" s="169"/>
    </row>
    <row r="719">
      <c r="G719" s="168"/>
      <c r="L719" s="168"/>
      <c r="N719" s="169"/>
    </row>
    <row r="720">
      <c r="G720" s="168"/>
      <c r="L720" s="168"/>
      <c r="N720" s="169"/>
    </row>
    <row r="721">
      <c r="G721" s="168"/>
      <c r="L721" s="168"/>
      <c r="N721" s="169"/>
    </row>
    <row r="722">
      <c r="G722" s="168"/>
      <c r="L722" s="168"/>
      <c r="N722" s="169"/>
    </row>
    <row r="723">
      <c r="G723" s="168"/>
      <c r="L723" s="168"/>
      <c r="N723" s="169"/>
    </row>
    <row r="724">
      <c r="G724" s="168"/>
      <c r="L724" s="168"/>
      <c r="N724" s="169"/>
    </row>
    <row r="725">
      <c r="G725" s="168"/>
      <c r="L725" s="168"/>
      <c r="N725" s="169"/>
    </row>
    <row r="726">
      <c r="G726" s="168"/>
      <c r="L726" s="168"/>
      <c r="N726" s="169"/>
    </row>
    <row r="727">
      <c r="G727" s="168"/>
      <c r="L727" s="168"/>
      <c r="N727" s="169"/>
    </row>
    <row r="728">
      <c r="G728" s="168"/>
      <c r="L728" s="168"/>
      <c r="N728" s="169"/>
    </row>
    <row r="729">
      <c r="G729" s="168"/>
      <c r="L729" s="168"/>
      <c r="N729" s="169"/>
    </row>
    <row r="730">
      <c r="G730" s="168"/>
      <c r="L730" s="168"/>
      <c r="N730" s="169"/>
    </row>
    <row r="731">
      <c r="G731" s="168"/>
      <c r="L731" s="168"/>
      <c r="N731" s="169"/>
    </row>
    <row r="732">
      <c r="G732" s="168"/>
      <c r="L732" s="168"/>
      <c r="N732" s="169"/>
    </row>
    <row r="733">
      <c r="G733" s="168"/>
      <c r="L733" s="168"/>
      <c r="N733" s="169"/>
    </row>
    <row r="734">
      <c r="G734" s="168"/>
      <c r="L734" s="168"/>
      <c r="N734" s="169"/>
    </row>
    <row r="735">
      <c r="G735" s="168"/>
      <c r="L735" s="168"/>
      <c r="N735" s="169"/>
    </row>
    <row r="736">
      <c r="G736" s="168"/>
      <c r="L736" s="168"/>
      <c r="N736" s="169"/>
    </row>
    <row r="737">
      <c r="G737" s="168"/>
      <c r="L737" s="168"/>
      <c r="N737" s="169"/>
    </row>
    <row r="738">
      <c r="G738" s="168"/>
      <c r="L738" s="168"/>
      <c r="N738" s="169"/>
    </row>
    <row r="739">
      <c r="G739" s="168"/>
      <c r="L739" s="168"/>
      <c r="N739" s="169"/>
    </row>
    <row r="740">
      <c r="G740" s="168"/>
      <c r="L740" s="168"/>
      <c r="N740" s="169"/>
    </row>
    <row r="741">
      <c r="G741" s="168"/>
      <c r="L741" s="168"/>
      <c r="N741" s="169"/>
    </row>
    <row r="742">
      <c r="G742" s="168"/>
      <c r="L742" s="168"/>
      <c r="N742" s="169"/>
    </row>
    <row r="743">
      <c r="G743" s="168"/>
      <c r="L743" s="168"/>
      <c r="N743" s="169"/>
    </row>
    <row r="744">
      <c r="G744" s="168"/>
      <c r="L744" s="168"/>
      <c r="N744" s="169"/>
    </row>
    <row r="745">
      <c r="G745" s="168"/>
      <c r="L745" s="168"/>
      <c r="N745" s="169"/>
    </row>
    <row r="746">
      <c r="G746" s="168"/>
      <c r="L746" s="168"/>
      <c r="N746" s="169"/>
    </row>
    <row r="747">
      <c r="G747" s="168"/>
      <c r="L747" s="168"/>
      <c r="N747" s="169"/>
    </row>
    <row r="748">
      <c r="G748" s="168"/>
      <c r="L748" s="168"/>
      <c r="N748" s="169"/>
    </row>
    <row r="749">
      <c r="G749" s="168"/>
      <c r="L749" s="168"/>
      <c r="N749" s="169"/>
    </row>
    <row r="750">
      <c r="G750" s="168"/>
      <c r="L750" s="168"/>
      <c r="N750" s="169"/>
    </row>
    <row r="751">
      <c r="G751" s="168"/>
      <c r="L751" s="168"/>
      <c r="N751" s="169"/>
    </row>
    <row r="752">
      <c r="G752" s="168"/>
      <c r="L752" s="168"/>
      <c r="N752" s="169"/>
    </row>
    <row r="753">
      <c r="G753" s="168"/>
      <c r="L753" s="168"/>
      <c r="N753" s="169"/>
    </row>
    <row r="754">
      <c r="G754" s="168"/>
      <c r="L754" s="168"/>
      <c r="N754" s="169"/>
    </row>
    <row r="755">
      <c r="G755" s="168"/>
      <c r="L755" s="168"/>
      <c r="N755" s="169"/>
    </row>
    <row r="756">
      <c r="G756" s="168"/>
      <c r="L756" s="168"/>
      <c r="N756" s="169"/>
    </row>
    <row r="757">
      <c r="G757" s="168"/>
      <c r="L757" s="168"/>
      <c r="N757" s="169"/>
    </row>
    <row r="758">
      <c r="G758" s="168"/>
      <c r="L758" s="168"/>
      <c r="N758" s="169"/>
    </row>
    <row r="759">
      <c r="G759" s="168"/>
      <c r="L759" s="168"/>
      <c r="N759" s="169"/>
    </row>
    <row r="760">
      <c r="G760" s="168"/>
      <c r="L760" s="168"/>
      <c r="N760" s="169"/>
    </row>
    <row r="761">
      <c r="G761" s="168"/>
      <c r="L761" s="168"/>
      <c r="N761" s="169"/>
    </row>
    <row r="762">
      <c r="G762" s="168"/>
      <c r="L762" s="168"/>
      <c r="N762" s="169"/>
    </row>
    <row r="763">
      <c r="G763" s="168"/>
      <c r="L763" s="168"/>
      <c r="N763" s="169"/>
    </row>
    <row r="764">
      <c r="G764" s="168"/>
      <c r="L764" s="168"/>
      <c r="N764" s="169"/>
    </row>
    <row r="765">
      <c r="G765" s="168"/>
      <c r="L765" s="168"/>
      <c r="N765" s="169"/>
    </row>
    <row r="766">
      <c r="G766" s="168"/>
      <c r="L766" s="168"/>
      <c r="N766" s="169"/>
    </row>
    <row r="767">
      <c r="G767" s="168"/>
      <c r="L767" s="168"/>
      <c r="N767" s="169"/>
    </row>
    <row r="768">
      <c r="G768" s="168"/>
      <c r="L768" s="168"/>
      <c r="N768" s="169"/>
    </row>
    <row r="769">
      <c r="G769" s="168"/>
      <c r="L769" s="168"/>
      <c r="N769" s="169"/>
    </row>
    <row r="770">
      <c r="G770" s="168"/>
      <c r="L770" s="168"/>
      <c r="N770" s="169"/>
    </row>
    <row r="771">
      <c r="G771" s="168"/>
      <c r="L771" s="168"/>
      <c r="N771" s="169"/>
    </row>
    <row r="772">
      <c r="G772" s="168"/>
      <c r="L772" s="168"/>
      <c r="N772" s="169"/>
    </row>
    <row r="773">
      <c r="G773" s="168"/>
      <c r="L773" s="168"/>
      <c r="N773" s="169"/>
    </row>
    <row r="774">
      <c r="G774" s="168"/>
      <c r="L774" s="168"/>
      <c r="N774" s="169"/>
    </row>
    <row r="775">
      <c r="G775" s="168"/>
      <c r="L775" s="168"/>
      <c r="N775" s="169"/>
    </row>
    <row r="776">
      <c r="G776" s="168"/>
      <c r="L776" s="168"/>
      <c r="N776" s="169"/>
    </row>
    <row r="777">
      <c r="G777" s="168"/>
      <c r="L777" s="168"/>
      <c r="N777" s="169"/>
    </row>
    <row r="778">
      <c r="G778" s="168"/>
      <c r="L778" s="168"/>
      <c r="N778" s="169"/>
    </row>
    <row r="779">
      <c r="G779" s="168"/>
      <c r="L779" s="168"/>
      <c r="N779" s="169"/>
    </row>
    <row r="780">
      <c r="G780" s="168"/>
      <c r="L780" s="168"/>
      <c r="N780" s="169"/>
    </row>
    <row r="781">
      <c r="G781" s="168"/>
      <c r="L781" s="168"/>
      <c r="N781" s="169"/>
    </row>
    <row r="782">
      <c r="G782" s="168"/>
      <c r="L782" s="168"/>
      <c r="N782" s="169"/>
    </row>
    <row r="783">
      <c r="G783" s="168"/>
      <c r="L783" s="168"/>
      <c r="N783" s="169"/>
    </row>
    <row r="784">
      <c r="G784" s="168"/>
      <c r="L784" s="168"/>
      <c r="N784" s="169"/>
    </row>
    <row r="785">
      <c r="G785" s="168"/>
      <c r="L785" s="168"/>
      <c r="N785" s="169"/>
    </row>
    <row r="786">
      <c r="G786" s="168"/>
      <c r="L786" s="168"/>
      <c r="N786" s="169"/>
    </row>
    <row r="787">
      <c r="G787" s="168"/>
      <c r="L787" s="168"/>
      <c r="N787" s="169"/>
    </row>
    <row r="788">
      <c r="G788" s="168"/>
      <c r="L788" s="168"/>
      <c r="N788" s="169"/>
    </row>
    <row r="789">
      <c r="G789" s="168"/>
      <c r="L789" s="168"/>
      <c r="N789" s="169"/>
    </row>
    <row r="790">
      <c r="G790" s="168"/>
      <c r="L790" s="168"/>
      <c r="N790" s="169"/>
    </row>
    <row r="791">
      <c r="G791" s="168"/>
      <c r="L791" s="168"/>
      <c r="N791" s="169"/>
    </row>
    <row r="792">
      <c r="G792" s="168"/>
      <c r="L792" s="168"/>
      <c r="N792" s="169"/>
    </row>
    <row r="793">
      <c r="G793" s="168"/>
      <c r="L793" s="168"/>
      <c r="N793" s="169"/>
    </row>
    <row r="794">
      <c r="G794" s="168"/>
      <c r="L794" s="168"/>
      <c r="N794" s="169"/>
    </row>
    <row r="795">
      <c r="G795" s="168"/>
      <c r="L795" s="168"/>
      <c r="N795" s="169"/>
    </row>
    <row r="796">
      <c r="G796" s="168"/>
      <c r="L796" s="168"/>
      <c r="N796" s="169"/>
    </row>
    <row r="797">
      <c r="G797" s="168"/>
      <c r="L797" s="168"/>
      <c r="N797" s="169"/>
    </row>
    <row r="798">
      <c r="G798" s="168"/>
      <c r="L798" s="168"/>
      <c r="N798" s="169"/>
    </row>
    <row r="799">
      <c r="G799" s="168"/>
      <c r="L799" s="168"/>
      <c r="N799" s="169"/>
    </row>
    <row r="800">
      <c r="G800" s="168"/>
      <c r="L800" s="168"/>
      <c r="N800" s="169"/>
    </row>
    <row r="801">
      <c r="G801" s="168"/>
      <c r="L801" s="168"/>
      <c r="N801" s="169"/>
    </row>
    <row r="802">
      <c r="G802" s="168"/>
      <c r="L802" s="168"/>
      <c r="N802" s="169"/>
    </row>
    <row r="803">
      <c r="G803" s="168"/>
      <c r="L803" s="168"/>
      <c r="N803" s="169"/>
    </row>
    <row r="804">
      <c r="G804" s="168"/>
      <c r="L804" s="168"/>
      <c r="N804" s="169"/>
    </row>
    <row r="805">
      <c r="G805" s="168"/>
      <c r="L805" s="168"/>
      <c r="N805" s="169"/>
    </row>
    <row r="806">
      <c r="G806" s="168"/>
      <c r="L806" s="168"/>
      <c r="N806" s="169"/>
    </row>
    <row r="807">
      <c r="G807" s="168"/>
      <c r="L807" s="168"/>
      <c r="N807" s="169"/>
    </row>
    <row r="808">
      <c r="G808" s="168"/>
      <c r="L808" s="168"/>
      <c r="N808" s="169"/>
    </row>
    <row r="809">
      <c r="G809" s="168"/>
      <c r="L809" s="168"/>
      <c r="N809" s="169"/>
    </row>
    <row r="810">
      <c r="G810" s="168"/>
      <c r="L810" s="168"/>
      <c r="N810" s="169"/>
    </row>
    <row r="811">
      <c r="G811" s="168"/>
      <c r="L811" s="168"/>
      <c r="N811" s="169"/>
    </row>
    <row r="812">
      <c r="G812" s="168"/>
      <c r="L812" s="168"/>
      <c r="N812" s="169"/>
    </row>
    <row r="813">
      <c r="G813" s="168"/>
      <c r="L813" s="168"/>
      <c r="N813" s="169"/>
    </row>
    <row r="814">
      <c r="G814" s="168"/>
      <c r="L814" s="168"/>
      <c r="N814" s="169"/>
    </row>
    <row r="815">
      <c r="G815" s="168"/>
      <c r="L815" s="168"/>
      <c r="N815" s="169"/>
    </row>
    <row r="816">
      <c r="G816" s="168"/>
      <c r="L816" s="168"/>
      <c r="N816" s="169"/>
    </row>
    <row r="817">
      <c r="G817" s="168"/>
      <c r="L817" s="168"/>
      <c r="N817" s="169"/>
    </row>
    <row r="818">
      <c r="G818" s="168"/>
      <c r="L818" s="168"/>
      <c r="N818" s="169"/>
    </row>
    <row r="819">
      <c r="G819" s="168"/>
      <c r="L819" s="168"/>
      <c r="N819" s="169"/>
    </row>
    <row r="820">
      <c r="G820" s="168"/>
      <c r="L820" s="168"/>
      <c r="N820" s="169"/>
    </row>
    <row r="821">
      <c r="G821" s="168"/>
      <c r="L821" s="168"/>
      <c r="N821" s="169"/>
    </row>
    <row r="822">
      <c r="G822" s="168"/>
      <c r="L822" s="168"/>
      <c r="N822" s="169"/>
    </row>
    <row r="823">
      <c r="G823" s="168"/>
      <c r="L823" s="168"/>
      <c r="N823" s="169"/>
    </row>
    <row r="824">
      <c r="G824" s="168"/>
      <c r="L824" s="168"/>
      <c r="N824" s="169"/>
    </row>
    <row r="825">
      <c r="G825" s="168"/>
      <c r="L825" s="168"/>
      <c r="N825" s="169"/>
    </row>
    <row r="826">
      <c r="G826" s="168"/>
      <c r="L826" s="168"/>
      <c r="N826" s="169"/>
    </row>
    <row r="827">
      <c r="G827" s="168"/>
      <c r="L827" s="168"/>
      <c r="N827" s="169"/>
    </row>
    <row r="828">
      <c r="G828" s="168"/>
      <c r="L828" s="168"/>
      <c r="N828" s="169"/>
    </row>
    <row r="829">
      <c r="G829" s="168"/>
      <c r="L829" s="168"/>
      <c r="N829" s="169"/>
    </row>
    <row r="830">
      <c r="G830" s="168"/>
      <c r="L830" s="168"/>
      <c r="N830" s="169"/>
    </row>
    <row r="831">
      <c r="G831" s="168"/>
      <c r="L831" s="168"/>
      <c r="N831" s="169"/>
    </row>
    <row r="832">
      <c r="G832" s="168"/>
      <c r="L832" s="168"/>
      <c r="N832" s="169"/>
    </row>
    <row r="833">
      <c r="G833" s="168"/>
      <c r="L833" s="168"/>
      <c r="N833" s="169"/>
    </row>
    <row r="834">
      <c r="G834" s="168"/>
      <c r="L834" s="168"/>
      <c r="N834" s="169"/>
    </row>
    <row r="835">
      <c r="G835" s="168"/>
      <c r="L835" s="168"/>
      <c r="N835" s="169"/>
    </row>
    <row r="836">
      <c r="G836" s="168"/>
      <c r="L836" s="168"/>
      <c r="N836" s="169"/>
    </row>
    <row r="837">
      <c r="G837" s="168"/>
      <c r="L837" s="168"/>
      <c r="N837" s="169"/>
    </row>
    <row r="838">
      <c r="G838" s="168"/>
      <c r="L838" s="168"/>
      <c r="N838" s="169"/>
    </row>
    <row r="839">
      <c r="G839" s="168"/>
      <c r="L839" s="168"/>
      <c r="N839" s="169"/>
    </row>
    <row r="840">
      <c r="G840" s="168"/>
      <c r="L840" s="168"/>
      <c r="N840" s="169"/>
    </row>
    <row r="841">
      <c r="G841" s="168"/>
      <c r="L841" s="168"/>
      <c r="N841" s="169"/>
    </row>
    <row r="842">
      <c r="G842" s="168"/>
      <c r="L842" s="168"/>
      <c r="N842" s="169"/>
    </row>
    <row r="843">
      <c r="G843" s="168"/>
      <c r="L843" s="168"/>
      <c r="N843" s="169"/>
    </row>
    <row r="844">
      <c r="G844" s="168"/>
      <c r="L844" s="168"/>
      <c r="N844" s="169"/>
    </row>
    <row r="845">
      <c r="G845" s="168"/>
      <c r="L845" s="168"/>
      <c r="N845" s="169"/>
    </row>
    <row r="846">
      <c r="G846" s="168"/>
      <c r="L846" s="168"/>
      <c r="N846" s="169"/>
    </row>
    <row r="847">
      <c r="G847" s="168"/>
      <c r="L847" s="168"/>
      <c r="N847" s="169"/>
    </row>
    <row r="848">
      <c r="G848" s="168"/>
      <c r="L848" s="168"/>
      <c r="N848" s="169"/>
    </row>
    <row r="849">
      <c r="G849" s="168"/>
      <c r="L849" s="168"/>
      <c r="N849" s="169"/>
    </row>
    <row r="850">
      <c r="G850" s="168"/>
      <c r="L850" s="168"/>
      <c r="N850" s="169"/>
    </row>
    <row r="851">
      <c r="G851" s="168"/>
      <c r="L851" s="168"/>
      <c r="N851" s="169"/>
    </row>
    <row r="852">
      <c r="G852" s="168"/>
      <c r="L852" s="168"/>
      <c r="N852" s="169"/>
    </row>
    <row r="853">
      <c r="G853" s="168"/>
      <c r="L853" s="168"/>
      <c r="N853" s="169"/>
    </row>
    <row r="854">
      <c r="G854" s="168"/>
      <c r="L854" s="168"/>
      <c r="N854" s="169"/>
    </row>
    <row r="855">
      <c r="G855" s="168"/>
      <c r="L855" s="168"/>
      <c r="N855" s="169"/>
    </row>
    <row r="856">
      <c r="G856" s="168"/>
      <c r="L856" s="168"/>
      <c r="N856" s="169"/>
    </row>
    <row r="857">
      <c r="G857" s="168"/>
      <c r="L857" s="168"/>
      <c r="N857" s="169"/>
    </row>
    <row r="858">
      <c r="G858" s="168"/>
      <c r="L858" s="168"/>
      <c r="N858" s="169"/>
    </row>
    <row r="859">
      <c r="G859" s="168"/>
      <c r="L859" s="168"/>
      <c r="N859" s="169"/>
    </row>
    <row r="860">
      <c r="G860" s="168"/>
      <c r="L860" s="168"/>
      <c r="N860" s="169"/>
    </row>
    <row r="861">
      <c r="G861" s="168"/>
      <c r="L861" s="168"/>
      <c r="N861" s="169"/>
    </row>
    <row r="862">
      <c r="G862" s="168"/>
      <c r="L862" s="168"/>
      <c r="N862" s="169"/>
    </row>
    <row r="863">
      <c r="G863" s="168"/>
      <c r="L863" s="168"/>
      <c r="N863" s="169"/>
    </row>
    <row r="864">
      <c r="G864" s="168"/>
      <c r="L864" s="168"/>
      <c r="N864" s="169"/>
    </row>
    <row r="865">
      <c r="G865" s="168"/>
      <c r="L865" s="168"/>
      <c r="N865" s="169"/>
    </row>
    <row r="866">
      <c r="G866" s="168"/>
      <c r="L866" s="168"/>
      <c r="N866" s="169"/>
    </row>
    <row r="867">
      <c r="G867" s="168"/>
      <c r="L867" s="168"/>
      <c r="N867" s="169"/>
    </row>
    <row r="868">
      <c r="G868" s="168"/>
      <c r="L868" s="168"/>
      <c r="N868" s="169"/>
    </row>
    <row r="869">
      <c r="G869" s="168"/>
      <c r="L869" s="168"/>
      <c r="N869" s="169"/>
    </row>
    <row r="870">
      <c r="G870" s="168"/>
      <c r="L870" s="168"/>
      <c r="N870" s="169"/>
    </row>
    <row r="871">
      <c r="G871" s="168"/>
      <c r="L871" s="168"/>
      <c r="N871" s="169"/>
    </row>
    <row r="872">
      <c r="G872" s="168"/>
      <c r="L872" s="168"/>
      <c r="N872" s="169"/>
    </row>
    <row r="873">
      <c r="G873" s="168"/>
      <c r="L873" s="168"/>
      <c r="N873" s="169"/>
    </row>
    <row r="874">
      <c r="G874" s="168"/>
      <c r="L874" s="168"/>
      <c r="N874" s="169"/>
    </row>
    <row r="875">
      <c r="G875" s="168"/>
      <c r="L875" s="168"/>
      <c r="N875" s="169"/>
    </row>
    <row r="876">
      <c r="G876" s="168"/>
      <c r="L876" s="168"/>
      <c r="N876" s="169"/>
    </row>
    <row r="877">
      <c r="G877" s="168"/>
      <c r="L877" s="168"/>
      <c r="N877" s="169"/>
    </row>
    <row r="878">
      <c r="G878" s="168"/>
      <c r="L878" s="168"/>
      <c r="N878" s="169"/>
    </row>
    <row r="879">
      <c r="G879" s="168"/>
      <c r="L879" s="168"/>
      <c r="N879" s="169"/>
    </row>
    <row r="880">
      <c r="G880" s="168"/>
      <c r="L880" s="168"/>
      <c r="N880" s="169"/>
    </row>
    <row r="881">
      <c r="G881" s="168"/>
      <c r="L881" s="168"/>
      <c r="N881" s="169"/>
    </row>
    <row r="882">
      <c r="G882" s="168"/>
      <c r="L882" s="168"/>
      <c r="N882" s="169"/>
    </row>
    <row r="883">
      <c r="G883" s="168"/>
      <c r="L883" s="168"/>
      <c r="N883" s="169"/>
    </row>
    <row r="884">
      <c r="G884" s="168"/>
      <c r="L884" s="168"/>
      <c r="N884" s="169"/>
    </row>
    <row r="885">
      <c r="G885" s="168"/>
      <c r="L885" s="168"/>
      <c r="N885" s="169"/>
    </row>
    <row r="886">
      <c r="G886" s="168"/>
      <c r="L886" s="168"/>
      <c r="N886" s="169"/>
    </row>
    <row r="887">
      <c r="G887" s="168"/>
      <c r="L887" s="168"/>
      <c r="N887" s="169"/>
    </row>
    <row r="888">
      <c r="G888" s="168"/>
      <c r="L888" s="168"/>
      <c r="N888" s="169"/>
    </row>
    <row r="889">
      <c r="G889" s="168"/>
      <c r="L889" s="168"/>
      <c r="N889" s="169"/>
    </row>
    <row r="890">
      <c r="G890" s="168"/>
      <c r="L890" s="168"/>
      <c r="N890" s="169"/>
    </row>
    <row r="891">
      <c r="G891" s="168"/>
      <c r="L891" s="168"/>
      <c r="N891" s="169"/>
    </row>
    <row r="892">
      <c r="G892" s="168"/>
      <c r="L892" s="168"/>
      <c r="N892" s="169"/>
    </row>
    <row r="893">
      <c r="G893" s="168"/>
      <c r="L893" s="168"/>
      <c r="N893" s="169"/>
    </row>
    <row r="894">
      <c r="G894" s="168"/>
      <c r="L894" s="168"/>
      <c r="N894" s="169"/>
    </row>
    <row r="895">
      <c r="G895" s="168"/>
      <c r="L895" s="168"/>
      <c r="N895" s="169"/>
    </row>
    <row r="896">
      <c r="G896" s="168"/>
      <c r="L896" s="168"/>
      <c r="N896" s="169"/>
    </row>
    <row r="897">
      <c r="G897" s="168"/>
      <c r="L897" s="168"/>
      <c r="N897" s="169"/>
    </row>
    <row r="898">
      <c r="G898" s="168"/>
      <c r="L898" s="168"/>
      <c r="N898" s="169"/>
    </row>
    <row r="899">
      <c r="G899" s="168"/>
      <c r="L899" s="168"/>
      <c r="N899" s="169"/>
    </row>
    <row r="900">
      <c r="G900" s="168"/>
      <c r="L900" s="168"/>
      <c r="N900" s="169"/>
    </row>
    <row r="901">
      <c r="G901" s="168"/>
      <c r="L901" s="168"/>
      <c r="N901" s="169"/>
    </row>
    <row r="902">
      <c r="G902" s="168"/>
      <c r="L902" s="168"/>
      <c r="N902" s="169"/>
    </row>
    <row r="903">
      <c r="G903" s="168"/>
      <c r="L903" s="168"/>
      <c r="N903" s="169"/>
    </row>
    <row r="904">
      <c r="G904" s="168"/>
      <c r="L904" s="168"/>
      <c r="N904" s="169"/>
    </row>
    <row r="905">
      <c r="G905" s="168"/>
      <c r="L905" s="168"/>
      <c r="N905" s="169"/>
    </row>
    <row r="906">
      <c r="G906" s="168"/>
      <c r="L906" s="168"/>
      <c r="N906" s="169"/>
    </row>
    <row r="907">
      <c r="G907" s="168"/>
      <c r="L907" s="168"/>
      <c r="N907" s="169"/>
    </row>
    <row r="908">
      <c r="G908" s="168"/>
      <c r="L908" s="168"/>
      <c r="N908" s="169"/>
    </row>
    <row r="909">
      <c r="G909" s="168"/>
      <c r="L909" s="168"/>
      <c r="N909" s="169"/>
    </row>
    <row r="910">
      <c r="G910" s="168"/>
      <c r="L910" s="168"/>
      <c r="N910" s="169"/>
    </row>
    <row r="911">
      <c r="G911" s="168"/>
      <c r="L911" s="168"/>
      <c r="N911" s="169"/>
    </row>
    <row r="912">
      <c r="G912" s="168"/>
      <c r="L912" s="168"/>
      <c r="N912" s="169"/>
    </row>
    <row r="913">
      <c r="G913" s="168"/>
      <c r="L913" s="168"/>
      <c r="N913" s="169"/>
    </row>
    <row r="914">
      <c r="G914" s="168"/>
      <c r="L914" s="168"/>
      <c r="N914" s="169"/>
    </row>
    <row r="915">
      <c r="G915" s="168"/>
      <c r="L915" s="168"/>
      <c r="N915" s="169"/>
    </row>
    <row r="916">
      <c r="G916" s="168"/>
      <c r="L916" s="168"/>
      <c r="N916" s="169"/>
    </row>
    <row r="917">
      <c r="G917" s="168"/>
      <c r="L917" s="168"/>
      <c r="N917" s="169"/>
    </row>
    <row r="918">
      <c r="G918" s="168"/>
      <c r="L918" s="168"/>
      <c r="N918" s="169"/>
    </row>
    <row r="919">
      <c r="G919" s="168"/>
      <c r="L919" s="168"/>
      <c r="N919" s="169"/>
    </row>
    <row r="920">
      <c r="G920" s="168"/>
      <c r="L920" s="168"/>
      <c r="N920" s="169"/>
    </row>
    <row r="921">
      <c r="G921" s="168"/>
      <c r="L921" s="168"/>
      <c r="N921" s="169"/>
    </row>
    <row r="922">
      <c r="G922" s="168"/>
      <c r="L922" s="168"/>
      <c r="N922" s="169"/>
    </row>
    <row r="923">
      <c r="G923" s="168"/>
      <c r="L923" s="168"/>
      <c r="N923" s="169"/>
    </row>
    <row r="924">
      <c r="G924" s="168"/>
      <c r="L924" s="168"/>
      <c r="N924" s="169"/>
    </row>
    <row r="925">
      <c r="G925" s="168"/>
      <c r="L925" s="168"/>
      <c r="N925" s="169"/>
    </row>
    <row r="926">
      <c r="G926" s="168"/>
      <c r="L926" s="168"/>
      <c r="N926" s="169"/>
    </row>
    <row r="927">
      <c r="G927" s="168"/>
      <c r="L927" s="168"/>
      <c r="N927" s="169"/>
    </row>
    <row r="928">
      <c r="G928" s="168"/>
      <c r="L928" s="168"/>
      <c r="N928" s="169"/>
    </row>
    <row r="929">
      <c r="G929" s="168"/>
      <c r="L929" s="168"/>
      <c r="N929" s="169"/>
    </row>
    <row r="930">
      <c r="G930" s="168"/>
      <c r="L930" s="168"/>
      <c r="N930" s="169"/>
    </row>
    <row r="931">
      <c r="G931" s="168"/>
      <c r="L931" s="168"/>
      <c r="N931" s="169"/>
    </row>
    <row r="932">
      <c r="G932" s="168"/>
      <c r="L932" s="168"/>
      <c r="N932" s="169"/>
    </row>
    <row r="933">
      <c r="G933" s="168"/>
      <c r="L933" s="168"/>
      <c r="N933" s="169"/>
    </row>
    <row r="934">
      <c r="G934" s="168"/>
      <c r="L934" s="168"/>
      <c r="N934" s="169"/>
    </row>
    <row r="935">
      <c r="G935" s="168"/>
      <c r="L935" s="168"/>
      <c r="N935" s="169"/>
    </row>
    <row r="936">
      <c r="G936" s="168"/>
      <c r="L936" s="168"/>
      <c r="N936" s="169"/>
    </row>
    <row r="937">
      <c r="G937" s="168"/>
      <c r="L937" s="168"/>
      <c r="N937" s="169"/>
    </row>
    <row r="938">
      <c r="G938" s="168"/>
      <c r="L938" s="168"/>
      <c r="N938" s="169"/>
    </row>
    <row r="939">
      <c r="G939" s="168"/>
      <c r="L939" s="168"/>
      <c r="N939" s="169"/>
    </row>
    <row r="940">
      <c r="G940" s="168"/>
      <c r="L940" s="168"/>
      <c r="N940" s="169"/>
    </row>
    <row r="941">
      <c r="G941" s="168"/>
      <c r="L941" s="168"/>
      <c r="N941" s="169"/>
    </row>
    <row r="942">
      <c r="G942" s="168"/>
      <c r="L942" s="168"/>
      <c r="N942" s="169"/>
    </row>
    <row r="943">
      <c r="G943" s="168"/>
      <c r="L943" s="168"/>
      <c r="N943" s="169"/>
    </row>
    <row r="944">
      <c r="G944" s="168"/>
      <c r="L944" s="168"/>
      <c r="N944" s="169"/>
    </row>
    <row r="945">
      <c r="G945" s="168"/>
      <c r="L945" s="168"/>
      <c r="N945" s="169"/>
    </row>
    <row r="946">
      <c r="G946" s="168"/>
      <c r="L946" s="168"/>
      <c r="N946" s="169"/>
    </row>
    <row r="947">
      <c r="G947" s="168"/>
      <c r="L947" s="168"/>
      <c r="N947" s="169"/>
    </row>
    <row r="948">
      <c r="G948" s="168"/>
      <c r="L948" s="168"/>
      <c r="N948" s="169"/>
    </row>
    <row r="949">
      <c r="G949" s="168"/>
      <c r="L949" s="168"/>
      <c r="N949" s="169"/>
    </row>
    <row r="950">
      <c r="G950" s="168"/>
      <c r="L950" s="168"/>
      <c r="N950" s="169"/>
    </row>
    <row r="951">
      <c r="G951" s="168"/>
      <c r="L951" s="168"/>
      <c r="N951" s="169"/>
    </row>
    <row r="952">
      <c r="G952" s="168"/>
      <c r="L952" s="168"/>
      <c r="N952" s="169"/>
    </row>
    <row r="953">
      <c r="G953" s="168"/>
      <c r="L953" s="168"/>
      <c r="N953" s="169"/>
    </row>
    <row r="954">
      <c r="G954" s="168"/>
      <c r="L954" s="168"/>
      <c r="N954" s="169"/>
    </row>
    <row r="955">
      <c r="G955" s="168"/>
      <c r="L955" s="168"/>
      <c r="N955" s="169"/>
    </row>
    <row r="956">
      <c r="G956" s="168"/>
      <c r="L956" s="168"/>
      <c r="N956" s="169"/>
    </row>
    <row r="957">
      <c r="G957" s="168"/>
      <c r="L957" s="168"/>
      <c r="N957" s="169"/>
    </row>
    <row r="958">
      <c r="G958" s="168"/>
      <c r="L958" s="168"/>
      <c r="N958" s="169"/>
    </row>
    <row r="959">
      <c r="G959" s="168"/>
      <c r="L959" s="168"/>
      <c r="N959" s="169"/>
    </row>
    <row r="960">
      <c r="G960" s="168"/>
      <c r="L960" s="168"/>
      <c r="N960" s="169"/>
    </row>
    <row r="961">
      <c r="G961" s="168"/>
      <c r="L961" s="168"/>
      <c r="N961" s="169"/>
    </row>
    <row r="962">
      <c r="G962" s="168"/>
      <c r="L962" s="168"/>
      <c r="N962" s="169"/>
    </row>
    <row r="963">
      <c r="G963" s="168"/>
      <c r="L963" s="168"/>
      <c r="N963" s="169"/>
    </row>
    <row r="964">
      <c r="G964" s="168"/>
      <c r="L964" s="168"/>
      <c r="N964" s="169"/>
    </row>
    <row r="965">
      <c r="G965" s="168"/>
      <c r="L965" s="168"/>
      <c r="N965" s="169"/>
    </row>
    <row r="966">
      <c r="G966" s="168"/>
      <c r="L966" s="168"/>
      <c r="N966" s="169"/>
    </row>
    <row r="967">
      <c r="G967" s="168"/>
      <c r="L967" s="168"/>
      <c r="N967" s="169"/>
    </row>
    <row r="968">
      <c r="G968" s="168"/>
      <c r="L968" s="168"/>
      <c r="N968" s="169"/>
    </row>
    <row r="969">
      <c r="G969" s="168"/>
      <c r="L969" s="168"/>
      <c r="N969" s="169"/>
    </row>
    <row r="970">
      <c r="G970" s="168"/>
      <c r="L970" s="168"/>
      <c r="N970" s="169"/>
    </row>
    <row r="971">
      <c r="G971" s="168"/>
      <c r="L971" s="168"/>
      <c r="N971" s="169"/>
    </row>
    <row r="972">
      <c r="G972" s="168"/>
      <c r="L972" s="168"/>
      <c r="N972" s="169"/>
    </row>
    <row r="973">
      <c r="G973" s="168"/>
      <c r="L973" s="168"/>
      <c r="N973" s="169"/>
    </row>
    <row r="974">
      <c r="G974" s="168"/>
      <c r="L974" s="168"/>
      <c r="N974" s="169"/>
    </row>
    <row r="975">
      <c r="G975" s="168"/>
      <c r="L975" s="168"/>
      <c r="N975" s="169"/>
    </row>
    <row r="976">
      <c r="G976" s="168"/>
      <c r="L976" s="168"/>
      <c r="N976" s="169"/>
    </row>
    <row r="977">
      <c r="G977" s="168"/>
      <c r="L977" s="168"/>
      <c r="N977" s="169"/>
    </row>
    <row r="978">
      <c r="G978" s="168"/>
      <c r="L978" s="168"/>
      <c r="N978" s="169"/>
    </row>
    <row r="979">
      <c r="G979" s="168"/>
      <c r="L979" s="168"/>
      <c r="N979" s="169"/>
    </row>
    <row r="980">
      <c r="G980" s="168"/>
      <c r="L980" s="168"/>
      <c r="N980" s="169"/>
    </row>
    <row r="981">
      <c r="G981" s="168"/>
      <c r="L981" s="168"/>
      <c r="N981" s="169"/>
    </row>
    <row r="982">
      <c r="G982" s="168"/>
      <c r="L982" s="168"/>
      <c r="N982" s="169"/>
    </row>
    <row r="983">
      <c r="G983" s="168"/>
      <c r="L983" s="168"/>
      <c r="N983" s="169"/>
    </row>
    <row r="984">
      <c r="G984" s="168"/>
      <c r="L984" s="168"/>
      <c r="N984" s="169"/>
    </row>
    <row r="985">
      <c r="G985" s="168"/>
      <c r="L985" s="168"/>
      <c r="N985" s="169"/>
    </row>
    <row r="986">
      <c r="G986" s="168"/>
      <c r="L986" s="168"/>
      <c r="N986" s="169"/>
    </row>
    <row r="987">
      <c r="G987" s="168"/>
      <c r="L987" s="168"/>
      <c r="N987" s="169"/>
    </row>
    <row r="988">
      <c r="G988" s="168"/>
      <c r="L988" s="168"/>
      <c r="N988" s="169"/>
    </row>
    <row r="989">
      <c r="G989" s="168"/>
      <c r="L989" s="168"/>
      <c r="N989" s="169"/>
    </row>
    <row r="990">
      <c r="G990" s="168"/>
      <c r="L990" s="168"/>
      <c r="N990" s="169"/>
    </row>
    <row r="991">
      <c r="G991" s="168"/>
      <c r="L991" s="168"/>
      <c r="N991" s="169"/>
    </row>
    <row r="992">
      <c r="G992" s="168"/>
      <c r="L992" s="168"/>
      <c r="N992" s="169"/>
    </row>
    <row r="993">
      <c r="G993" s="168"/>
      <c r="L993" s="168"/>
      <c r="N993" s="169"/>
    </row>
    <row r="994">
      <c r="G994" s="168"/>
      <c r="L994" s="168"/>
      <c r="N994" s="169"/>
    </row>
    <row r="995">
      <c r="G995" s="168"/>
      <c r="L995" s="168"/>
      <c r="N995" s="169"/>
    </row>
    <row r="996">
      <c r="G996" s="168"/>
      <c r="L996" s="168"/>
      <c r="N996" s="169"/>
    </row>
    <row r="997">
      <c r="G997" s="168"/>
      <c r="L997" s="168"/>
      <c r="N997" s="169"/>
    </row>
    <row r="998">
      <c r="G998" s="168"/>
      <c r="L998" s="168"/>
      <c r="N998" s="169"/>
    </row>
    <row r="999">
      <c r="G999" s="168"/>
      <c r="L999" s="168"/>
      <c r="N999" s="169"/>
    </row>
    <row r="1000">
      <c r="G1000" s="168"/>
      <c r="L1000" s="168"/>
      <c r="N1000" s="169"/>
    </row>
    <row r="1001">
      <c r="G1001" s="168"/>
      <c r="L1001" s="168"/>
      <c r="N1001" s="169"/>
    </row>
    <row r="1002">
      <c r="G1002" s="168"/>
      <c r="L1002" s="168"/>
      <c r="N1002" s="169"/>
    </row>
    <row r="1003">
      <c r="G1003" s="168"/>
      <c r="L1003" s="168"/>
      <c r="N1003" s="169"/>
    </row>
    <row r="1004">
      <c r="G1004" s="168"/>
      <c r="L1004" s="168"/>
      <c r="N1004" s="169"/>
    </row>
    <row r="1005">
      <c r="G1005" s="168"/>
      <c r="L1005" s="168"/>
      <c r="N1005" s="169"/>
    </row>
    <row r="1006">
      <c r="G1006" s="168"/>
      <c r="L1006" s="168"/>
      <c r="N1006" s="169"/>
    </row>
    <row r="1007">
      <c r="G1007" s="168"/>
      <c r="L1007" s="168"/>
      <c r="N1007" s="169"/>
    </row>
    <row r="1008">
      <c r="G1008" s="168"/>
      <c r="L1008" s="168"/>
      <c r="N1008" s="169"/>
    </row>
    <row r="1009">
      <c r="G1009" s="168"/>
      <c r="L1009" s="168"/>
      <c r="N1009" s="169"/>
    </row>
    <row r="1010">
      <c r="G1010" s="168"/>
      <c r="L1010" s="168"/>
      <c r="N1010" s="169"/>
    </row>
    <row r="1011">
      <c r="G1011" s="168"/>
      <c r="L1011" s="168"/>
      <c r="N1011" s="169"/>
    </row>
    <row r="1012">
      <c r="G1012" s="168"/>
      <c r="L1012" s="168"/>
      <c r="N1012" s="169"/>
    </row>
    <row r="1013">
      <c r="G1013" s="168"/>
      <c r="L1013" s="168"/>
      <c r="N1013" s="169"/>
    </row>
    <row r="1014">
      <c r="G1014" s="168"/>
      <c r="L1014" s="168"/>
      <c r="N1014" s="169"/>
    </row>
    <row r="1015">
      <c r="G1015" s="168"/>
      <c r="L1015" s="168"/>
      <c r="N1015" s="169"/>
    </row>
    <row r="1016">
      <c r="G1016" s="168"/>
      <c r="L1016" s="168"/>
      <c r="N1016" s="169"/>
    </row>
    <row r="1017">
      <c r="G1017" s="168"/>
      <c r="L1017" s="168"/>
      <c r="N1017" s="169"/>
    </row>
    <row r="1018">
      <c r="G1018" s="168"/>
      <c r="L1018" s="168"/>
      <c r="N1018" s="169"/>
    </row>
    <row r="1019">
      <c r="G1019" s="168"/>
      <c r="L1019" s="168"/>
      <c r="N1019" s="169"/>
    </row>
    <row r="1020">
      <c r="G1020" s="168"/>
      <c r="L1020" s="168"/>
      <c r="N1020" s="169"/>
    </row>
    <row r="1021">
      <c r="G1021" s="168"/>
      <c r="L1021" s="168"/>
      <c r="N1021" s="169"/>
    </row>
    <row r="1022">
      <c r="G1022" s="168"/>
      <c r="L1022" s="168"/>
      <c r="N1022" s="169"/>
    </row>
    <row r="1023">
      <c r="G1023" s="168"/>
      <c r="L1023" s="168"/>
      <c r="N1023" s="169"/>
    </row>
    <row r="1024">
      <c r="G1024" s="168"/>
      <c r="L1024" s="168"/>
      <c r="N1024" s="169"/>
    </row>
    <row r="1025">
      <c r="G1025" s="168"/>
      <c r="L1025" s="168"/>
      <c r="N1025" s="169"/>
    </row>
    <row r="1026">
      <c r="G1026" s="168"/>
      <c r="L1026" s="168"/>
      <c r="N1026" s="169"/>
    </row>
    <row r="1027">
      <c r="G1027" s="168"/>
      <c r="L1027" s="168"/>
      <c r="N1027" s="169"/>
    </row>
    <row r="1028">
      <c r="G1028" s="168"/>
      <c r="L1028" s="168"/>
      <c r="N1028" s="169"/>
    </row>
    <row r="1029">
      <c r="G1029" s="168"/>
      <c r="L1029" s="168"/>
      <c r="N1029" s="169"/>
    </row>
    <row r="1030">
      <c r="G1030" s="168"/>
      <c r="L1030" s="168"/>
      <c r="N1030" s="169"/>
    </row>
    <row r="1031">
      <c r="G1031" s="168"/>
      <c r="L1031" s="168"/>
      <c r="N1031" s="169"/>
    </row>
    <row r="1032">
      <c r="G1032" s="168"/>
      <c r="L1032" s="168"/>
      <c r="N1032" s="169"/>
    </row>
    <row r="1033">
      <c r="G1033" s="168"/>
      <c r="L1033" s="168"/>
      <c r="N1033" s="169"/>
    </row>
    <row r="1034">
      <c r="G1034" s="168"/>
      <c r="L1034" s="168"/>
      <c r="N1034" s="169"/>
    </row>
    <row r="1035">
      <c r="G1035" s="168"/>
      <c r="L1035" s="168"/>
      <c r="N1035" s="169"/>
    </row>
    <row r="1036">
      <c r="G1036" s="168"/>
      <c r="L1036" s="168"/>
      <c r="N1036" s="169"/>
    </row>
    <row r="1037">
      <c r="G1037" s="168"/>
      <c r="L1037" s="168"/>
      <c r="N1037" s="169"/>
    </row>
    <row r="1038">
      <c r="G1038" s="168"/>
      <c r="L1038" s="168"/>
      <c r="N1038" s="169"/>
    </row>
    <row r="1039">
      <c r="G1039" s="168"/>
      <c r="L1039" s="168"/>
      <c r="N1039" s="169"/>
    </row>
    <row r="1040">
      <c r="G1040" s="168"/>
      <c r="L1040" s="168"/>
      <c r="N1040" s="169"/>
    </row>
    <row r="1041">
      <c r="G1041" s="168"/>
      <c r="L1041" s="168"/>
      <c r="N1041" s="169"/>
    </row>
    <row r="1042">
      <c r="G1042" s="168"/>
      <c r="L1042" s="168"/>
      <c r="N1042" s="169"/>
    </row>
    <row r="1043">
      <c r="G1043" s="168"/>
      <c r="L1043" s="168"/>
      <c r="N1043" s="169"/>
    </row>
    <row r="1044">
      <c r="G1044" s="168"/>
      <c r="L1044" s="168"/>
      <c r="N1044" s="169"/>
    </row>
    <row r="1045">
      <c r="G1045" s="168"/>
      <c r="L1045" s="168"/>
      <c r="N1045" s="169"/>
    </row>
    <row r="1046">
      <c r="G1046" s="168"/>
      <c r="L1046" s="168"/>
      <c r="N1046" s="169"/>
    </row>
    <row r="1047">
      <c r="G1047" s="168"/>
      <c r="L1047" s="168"/>
      <c r="N1047" s="169"/>
    </row>
    <row r="1048">
      <c r="G1048" s="168"/>
      <c r="L1048" s="168"/>
      <c r="N1048" s="169"/>
    </row>
    <row r="1049">
      <c r="G1049" s="168"/>
      <c r="L1049" s="168"/>
      <c r="N1049" s="169"/>
    </row>
    <row r="1050">
      <c r="G1050" s="168"/>
      <c r="L1050" s="168"/>
      <c r="N1050" s="169"/>
    </row>
    <row r="1051">
      <c r="G1051" s="168"/>
      <c r="L1051" s="168"/>
      <c r="N1051" s="169"/>
    </row>
    <row r="1052">
      <c r="G1052" s="168"/>
      <c r="L1052" s="168"/>
      <c r="N1052" s="169"/>
    </row>
    <row r="1053">
      <c r="G1053" s="168"/>
      <c r="L1053" s="168"/>
      <c r="N1053" s="169"/>
    </row>
    <row r="1054">
      <c r="G1054" s="168"/>
      <c r="L1054" s="168"/>
      <c r="N1054" s="169"/>
    </row>
    <row r="1055">
      <c r="G1055" s="168"/>
      <c r="L1055" s="168"/>
      <c r="N1055" s="169"/>
    </row>
    <row r="1056">
      <c r="G1056" s="168"/>
      <c r="L1056" s="168"/>
      <c r="N1056" s="169"/>
    </row>
    <row r="1057">
      <c r="G1057" s="168"/>
      <c r="L1057" s="168"/>
      <c r="N1057" s="169"/>
    </row>
    <row r="1058">
      <c r="G1058" s="168"/>
      <c r="L1058" s="168"/>
      <c r="N1058" s="169"/>
    </row>
    <row r="1059">
      <c r="G1059" s="168"/>
      <c r="L1059" s="168"/>
      <c r="N1059" s="169"/>
    </row>
    <row r="1060">
      <c r="G1060" s="168"/>
      <c r="L1060" s="168"/>
      <c r="N1060" s="169"/>
    </row>
    <row r="1061">
      <c r="G1061" s="168"/>
      <c r="L1061" s="168"/>
      <c r="N1061" s="169"/>
    </row>
    <row r="1062">
      <c r="G1062" s="168"/>
      <c r="L1062" s="168"/>
      <c r="N1062" s="169"/>
    </row>
    <row r="1063">
      <c r="G1063" s="168"/>
      <c r="L1063" s="168"/>
      <c r="N1063" s="169"/>
    </row>
    <row r="1064">
      <c r="G1064" s="168"/>
      <c r="L1064" s="168"/>
      <c r="N1064" s="169"/>
    </row>
    <row r="1065">
      <c r="G1065" s="168"/>
      <c r="L1065" s="168"/>
      <c r="N1065" s="169"/>
    </row>
    <row r="1066">
      <c r="G1066" s="168"/>
      <c r="L1066" s="168"/>
      <c r="N1066" s="169"/>
    </row>
    <row r="1067">
      <c r="G1067" s="168"/>
      <c r="L1067" s="168"/>
      <c r="N1067" s="169"/>
    </row>
    <row r="1068">
      <c r="G1068" s="168"/>
      <c r="L1068" s="168"/>
      <c r="N1068" s="169"/>
    </row>
    <row r="1069">
      <c r="G1069" s="168"/>
      <c r="L1069" s="168"/>
      <c r="N1069" s="169"/>
    </row>
    <row r="1070">
      <c r="G1070" s="168"/>
      <c r="L1070" s="168"/>
      <c r="N1070" s="169"/>
    </row>
    <row r="1071">
      <c r="G1071" s="168"/>
      <c r="L1071" s="168"/>
      <c r="N1071" s="169"/>
    </row>
    <row r="1072">
      <c r="G1072" s="168"/>
      <c r="L1072" s="168"/>
      <c r="N1072" s="169"/>
    </row>
    <row r="1073">
      <c r="G1073" s="168"/>
      <c r="L1073" s="168"/>
      <c r="N1073" s="169"/>
    </row>
    <row r="1074">
      <c r="G1074" s="168"/>
      <c r="L1074" s="168"/>
      <c r="N1074" s="169"/>
    </row>
    <row r="1075">
      <c r="G1075" s="168"/>
      <c r="L1075" s="168"/>
      <c r="N1075" s="169"/>
    </row>
    <row r="1076">
      <c r="G1076" s="168"/>
      <c r="L1076" s="168"/>
      <c r="N1076" s="169"/>
    </row>
    <row r="1077">
      <c r="G1077" s="168"/>
      <c r="L1077" s="168"/>
      <c r="N1077" s="169"/>
    </row>
    <row r="1078">
      <c r="G1078" s="168"/>
      <c r="L1078" s="168"/>
      <c r="N1078" s="169"/>
    </row>
    <row r="1079">
      <c r="G1079" s="168"/>
      <c r="L1079" s="168"/>
      <c r="N1079" s="169"/>
    </row>
    <row r="1080">
      <c r="G1080" s="168"/>
      <c r="L1080" s="168"/>
      <c r="N1080" s="169"/>
    </row>
    <row r="1081">
      <c r="G1081" s="168"/>
      <c r="L1081" s="168"/>
      <c r="N1081" s="169"/>
    </row>
    <row r="1082">
      <c r="G1082" s="168"/>
      <c r="L1082" s="168"/>
      <c r="N1082" s="169"/>
    </row>
    <row r="1083">
      <c r="G1083" s="168"/>
      <c r="L1083" s="168"/>
      <c r="N1083" s="169"/>
    </row>
    <row r="1084">
      <c r="G1084" s="168"/>
      <c r="L1084" s="168"/>
      <c r="N1084" s="169"/>
    </row>
    <row r="1085">
      <c r="G1085" s="168"/>
      <c r="L1085" s="168"/>
      <c r="N1085" s="169"/>
    </row>
    <row r="1086">
      <c r="G1086" s="168"/>
      <c r="L1086" s="168"/>
      <c r="N1086" s="169"/>
    </row>
    <row r="1087">
      <c r="G1087" s="168"/>
      <c r="L1087" s="168"/>
      <c r="N1087" s="169"/>
    </row>
    <row r="1088">
      <c r="G1088" s="168"/>
      <c r="L1088" s="168"/>
      <c r="N1088" s="169"/>
    </row>
    <row r="1089">
      <c r="G1089" s="168"/>
      <c r="L1089" s="168"/>
      <c r="N1089" s="169"/>
    </row>
    <row r="1090">
      <c r="G1090" s="168"/>
      <c r="L1090" s="168"/>
      <c r="N1090" s="169"/>
    </row>
    <row r="1091">
      <c r="G1091" s="168"/>
      <c r="L1091" s="168"/>
      <c r="N1091" s="169"/>
    </row>
    <row r="1092">
      <c r="G1092" s="168"/>
      <c r="L1092" s="168"/>
      <c r="N1092" s="169"/>
    </row>
    <row r="1093">
      <c r="G1093" s="168"/>
      <c r="L1093" s="168"/>
      <c r="N1093" s="169"/>
    </row>
    <row r="1094">
      <c r="G1094" s="168"/>
      <c r="L1094" s="168"/>
      <c r="N1094" s="169"/>
    </row>
    <row r="1095">
      <c r="G1095" s="168"/>
      <c r="L1095" s="168"/>
      <c r="N1095" s="169"/>
    </row>
    <row r="1096">
      <c r="G1096" s="168"/>
      <c r="L1096" s="168"/>
      <c r="N1096" s="169"/>
    </row>
    <row r="1097">
      <c r="G1097" s="168"/>
      <c r="L1097" s="168"/>
      <c r="N1097" s="169"/>
    </row>
    <row r="1098">
      <c r="G1098" s="168"/>
      <c r="L1098" s="168"/>
      <c r="N1098" s="169"/>
    </row>
    <row r="1099">
      <c r="G1099" s="168"/>
      <c r="L1099" s="168"/>
      <c r="N1099" s="169"/>
    </row>
    <row r="1100">
      <c r="G1100" s="168"/>
      <c r="L1100" s="168"/>
      <c r="N1100" s="169"/>
    </row>
    <row r="1101">
      <c r="G1101" s="168"/>
      <c r="L1101" s="168"/>
      <c r="N1101" s="169"/>
    </row>
    <row r="1102">
      <c r="G1102" s="168"/>
      <c r="L1102" s="168"/>
      <c r="N1102" s="169"/>
    </row>
    <row r="1103">
      <c r="G1103" s="168"/>
      <c r="L1103" s="168"/>
      <c r="N1103" s="169"/>
    </row>
    <row r="1104">
      <c r="G1104" s="168"/>
      <c r="L1104" s="168"/>
      <c r="N1104" s="169"/>
    </row>
    <row r="1105">
      <c r="G1105" s="168"/>
      <c r="L1105" s="168"/>
      <c r="N1105" s="169"/>
    </row>
    <row r="1106">
      <c r="G1106" s="168"/>
      <c r="L1106" s="168"/>
      <c r="N1106" s="169"/>
    </row>
    <row r="1107">
      <c r="G1107" s="168"/>
      <c r="L1107" s="168"/>
      <c r="N1107" s="169"/>
    </row>
    <row r="1108">
      <c r="G1108" s="168"/>
      <c r="L1108" s="168"/>
      <c r="N1108" s="169"/>
    </row>
    <row r="1109">
      <c r="G1109" s="168"/>
      <c r="L1109" s="168"/>
      <c r="N1109" s="169"/>
    </row>
    <row r="1110">
      <c r="G1110" s="168"/>
      <c r="L1110" s="168"/>
      <c r="N1110" s="169"/>
    </row>
    <row r="1111">
      <c r="G1111" s="168"/>
      <c r="L1111" s="168"/>
      <c r="N1111" s="169"/>
    </row>
    <row r="1112">
      <c r="G1112" s="168"/>
      <c r="L1112" s="168"/>
      <c r="N1112" s="169"/>
    </row>
    <row r="1113">
      <c r="G1113" s="168"/>
      <c r="L1113" s="168"/>
      <c r="N1113" s="169"/>
    </row>
    <row r="1114">
      <c r="G1114" s="168"/>
      <c r="L1114" s="168"/>
      <c r="N1114" s="169"/>
    </row>
    <row r="1115">
      <c r="G1115" s="168"/>
      <c r="L1115" s="168"/>
      <c r="N1115" s="169"/>
    </row>
    <row r="1116">
      <c r="G1116" s="168"/>
      <c r="L1116" s="168"/>
      <c r="N1116" s="169"/>
    </row>
    <row r="1117">
      <c r="G1117" s="168"/>
      <c r="L1117" s="168"/>
      <c r="N1117" s="169"/>
    </row>
    <row r="1118">
      <c r="G1118" s="168"/>
      <c r="L1118" s="168"/>
      <c r="N1118" s="169"/>
    </row>
    <row r="1119">
      <c r="G1119" s="168"/>
      <c r="L1119" s="168"/>
      <c r="N1119" s="169"/>
    </row>
    <row r="1120">
      <c r="G1120" s="168"/>
      <c r="L1120" s="168"/>
      <c r="N1120" s="169"/>
    </row>
    <row r="1121">
      <c r="G1121" s="168"/>
      <c r="L1121" s="168"/>
      <c r="N1121" s="169"/>
    </row>
    <row r="1122">
      <c r="G1122" s="168"/>
      <c r="L1122" s="168"/>
      <c r="N1122" s="169"/>
    </row>
    <row r="1123">
      <c r="G1123" s="168"/>
      <c r="L1123" s="168"/>
      <c r="N1123" s="169"/>
    </row>
    <row r="1124">
      <c r="G1124" s="168"/>
      <c r="L1124" s="168"/>
      <c r="N1124" s="169"/>
    </row>
    <row r="1125">
      <c r="G1125" s="168"/>
      <c r="L1125" s="168"/>
      <c r="N1125" s="169"/>
    </row>
    <row r="1126">
      <c r="G1126" s="168"/>
      <c r="L1126" s="168"/>
      <c r="N1126" s="169"/>
    </row>
    <row r="1127">
      <c r="G1127" s="168"/>
      <c r="L1127" s="168"/>
      <c r="N1127" s="169"/>
    </row>
    <row r="1128">
      <c r="G1128" s="168"/>
      <c r="L1128" s="168"/>
      <c r="N1128" s="169"/>
    </row>
    <row r="1129">
      <c r="G1129" s="168"/>
      <c r="L1129" s="168"/>
      <c r="N1129" s="169"/>
    </row>
    <row r="1130">
      <c r="G1130" s="168"/>
      <c r="L1130" s="168"/>
      <c r="N1130" s="169"/>
    </row>
    <row r="1131">
      <c r="G1131" s="168"/>
      <c r="L1131" s="168"/>
      <c r="N1131" s="169"/>
    </row>
    <row r="1132">
      <c r="G1132" s="168"/>
      <c r="L1132" s="168"/>
      <c r="N1132" s="169"/>
    </row>
    <row r="1133">
      <c r="G1133" s="168"/>
      <c r="L1133" s="168"/>
      <c r="N1133" s="169"/>
    </row>
    <row r="1134">
      <c r="G1134" s="168"/>
      <c r="L1134" s="168"/>
      <c r="N1134" s="169"/>
    </row>
    <row r="1135">
      <c r="G1135" s="168"/>
      <c r="L1135" s="168"/>
      <c r="N1135" s="169"/>
    </row>
    <row r="1136">
      <c r="G1136" s="168"/>
      <c r="L1136" s="168"/>
      <c r="N1136" s="169"/>
    </row>
    <row r="1137">
      <c r="G1137" s="168"/>
      <c r="L1137" s="168"/>
      <c r="N1137" s="169"/>
    </row>
    <row r="1138">
      <c r="G1138" s="168"/>
      <c r="L1138" s="168"/>
      <c r="N1138" s="169"/>
    </row>
    <row r="1139">
      <c r="G1139" s="168"/>
      <c r="L1139" s="168"/>
      <c r="N1139" s="169"/>
    </row>
    <row r="1140">
      <c r="G1140" s="168"/>
      <c r="L1140" s="168"/>
      <c r="N1140" s="169"/>
    </row>
    <row r="1141">
      <c r="G1141" s="168"/>
      <c r="L1141" s="168"/>
      <c r="N1141" s="169"/>
    </row>
    <row r="1142">
      <c r="G1142" s="168"/>
      <c r="L1142" s="168"/>
      <c r="N1142" s="169"/>
    </row>
    <row r="1143">
      <c r="G1143" s="168"/>
      <c r="L1143" s="168"/>
      <c r="N1143" s="169"/>
    </row>
    <row r="1144">
      <c r="G1144" s="168"/>
      <c r="L1144" s="168"/>
      <c r="N1144" s="169"/>
    </row>
    <row r="1145">
      <c r="G1145" s="168"/>
      <c r="L1145" s="168"/>
      <c r="N1145" s="169"/>
    </row>
    <row r="1146">
      <c r="G1146" s="168"/>
      <c r="L1146" s="168"/>
      <c r="N1146" s="169"/>
    </row>
    <row r="1147">
      <c r="G1147" s="168"/>
      <c r="L1147" s="168"/>
      <c r="N1147" s="169"/>
    </row>
    <row r="1148">
      <c r="G1148" s="168"/>
      <c r="L1148" s="168"/>
      <c r="N1148" s="169"/>
    </row>
    <row r="1149">
      <c r="G1149" s="168"/>
      <c r="L1149" s="168"/>
      <c r="N1149" s="169"/>
    </row>
    <row r="1150">
      <c r="G1150" s="168"/>
      <c r="L1150" s="168"/>
      <c r="N1150" s="169"/>
    </row>
    <row r="1151">
      <c r="G1151" s="168"/>
      <c r="L1151" s="168"/>
      <c r="N1151" s="169"/>
    </row>
    <row r="1152">
      <c r="G1152" s="168"/>
      <c r="L1152" s="168"/>
      <c r="N1152" s="169"/>
    </row>
    <row r="1153">
      <c r="G1153" s="168"/>
      <c r="L1153" s="168"/>
      <c r="N1153" s="169"/>
    </row>
    <row r="1154">
      <c r="G1154" s="168"/>
      <c r="L1154" s="168"/>
      <c r="N1154" s="169"/>
    </row>
    <row r="1155">
      <c r="G1155" s="168"/>
      <c r="L1155" s="168"/>
      <c r="N1155" s="169"/>
    </row>
  </sheetData>
  <mergeCells count="2">
    <mergeCell ref="A1:N1"/>
    <mergeCell ref="A337:L33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65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4" t="s">
        <v>7</v>
      </c>
      <c r="H2" s="5" t="s">
        <v>8</v>
      </c>
      <c r="I2" s="6" t="s">
        <v>8</v>
      </c>
      <c r="J2" s="3" t="s">
        <v>5</v>
      </c>
      <c r="K2" s="3" t="s">
        <v>6</v>
      </c>
      <c r="L2" s="4" t="s">
        <v>7</v>
      </c>
      <c r="M2" s="3" t="s">
        <v>9</v>
      </c>
      <c r="N2" s="7" t="s">
        <v>10</v>
      </c>
    </row>
    <row r="3">
      <c r="A3" s="8">
        <v>46174.0</v>
      </c>
      <c r="B3" s="9" t="s">
        <v>11</v>
      </c>
      <c r="C3" s="11">
        <v>207818.0</v>
      </c>
      <c r="D3" s="11">
        <v>208138.0</v>
      </c>
      <c r="E3" s="12">
        <f t="shared" ref="E3:E10" si="1">D3-C3</f>
        <v>320</v>
      </c>
      <c r="F3" s="13">
        <v>40.0</v>
      </c>
      <c r="G3" s="14">
        <f t="shared" ref="G3:G10" si="2">(F3/E3)*100</f>
        <v>12.5</v>
      </c>
      <c r="H3" s="16">
        <v>37899.0</v>
      </c>
      <c r="I3" s="16">
        <v>38249.0</v>
      </c>
      <c r="J3" s="13">
        <f t="shared" ref="J3:J10" si="3">I3-H3</f>
        <v>350</v>
      </c>
      <c r="K3" s="11">
        <f t="shared" ref="K3:K10" si="4">F3</f>
        <v>40</v>
      </c>
      <c r="L3" s="17">
        <f t="shared" ref="L3:L10" si="5">(K3/J3)*100</f>
        <v>11.42857143</v>
      </c>
      <c r="M3" s="18">
        <v>27650.0</v>
      </c>
      <c r="N3" s="18">
        <f t="shared" ref="N3:N10" si="6">F3*M3</f>
        <v>1106000</v>
      </c>
    </row>
    <row r="4">
      <c r="A4" s="8">
        <v>46179.0</v>
      </c>
      <c r="B4" s="9" t="s">
        <v>11</v>
      </c>
      <c r="C4" s="11">
        <v>208138.0</v>
      </c>
      <c r="D4" s="11">
        <v>208431.0</v>
      </c>
      <c r="E4" s="12">
        <f t="shared" si="1"/>
        <v>293</v>
      </c>
      <c r="F4" s="13">
        <v>40.0</v>
      </c>
      <c r="G4" s="14">
        <f t="shared" si="2"/>
        <v>13.65187713</v>
      </c>
      <c r="H4" s="16">
        <v>38249.0</v>
      </c>
      <c r="I4" s="16">
        <v>38621.0</v>
      </c>
      <c r="J4" s="13">
        <f t="shared" si="3"/>
        <v>372</v>
      </c>
      <c r="K4" s="11">
        <f t="shared" si="4"/>
        <v>40</v>
      </c>
      <c r="L4" s="17">
        <f t="shared" si="5"/>
        <v>10.75268817</v>
      </c>
      <c r="M4" s="18">
        <v>26860.0</v>
      </c>
      <c r="N4" s="18">
        <f t="shared" si="6"/>
        <v>1074400</v>
      </c>
      <c r="O4" s="19">
        <v>1.0</v>
      </c>
      <c r="P4" s="20" t="s">
        <v>12</v>
      </c>
      <c r="Q4" s="21">
        <f>N19</f>
        <v>4686550</v>
      </c>
      <c r="R4" s="21">
        <f t="shared" ref="R4:R15" si="7">Q4</f>
        <v>4686550</v>
      </c>
    </row>
    <row r="5">
      <c r="A5" s="8">
        <v>46183.0</v>
      </c>
      <c r="B5" s="9" t="s">
        <v>11</v>
      </c>
      <c r="C5" s="11">
        <v>208431.0</v>
      </c>
      <c r="D5" s="11">
        <v>208752.0</v>
      </c>
      <c r="E5" s="12">
        <f t="shared" si="1"/>
        <v>321</v>
      </c>
      <c r="F5" s="11">
        <v>40.0</v>
      </c>
      <c r="G5" s="14">
        <f t="shared" si="2"/>
        <v>12.46105919</v>
      </c>
      <c r="H5" s="16">
        <v>38621.0</v>
      </c>
      <c r="I5" s="16">
        <v>38958.0</v>
      </c>
      <c r="J5" s="13">
        <f t="shared" si="3"/>
        <v>337</v>
      </c>
      <c r="K5" s="11">
        <f t="shared" si="4"/>
        <v>40</v>
      </c>
      <c r="L5" s="17">
        <f t="shared" si="5"/>
        <v>11.8694362</v>
      </c>
      <c r="M5" s="18">
        <v>26860.0</v>
      </c>
      <c r="N5" s="18">
        <f t="shared" si="6"/>
        <v>1074400</v>
      </c>
      <c r="O5" s="19">
        <v>2.0</v>
      </c>
      <c r="P5" s="20" t="s">
        <v>13</v>
      </c>
      <c r="Q5" s="21">
        <f>N29</f>
        <v>2071380</v>
      </c>
      <c r="R5" s="21">
        <f t="shared" si="7"/>
        <v>2071380</v>
      </c>
    </row>
    <row r="6">
      <c r="A6" s="8">
        <v>46188.0</v>
      </c>
      <c r="B6" s="9" t="s">
        <v>11</v>
      </c>
      <c r="C6" s="11">
        <v>208752.0</v>
      </c>
      <c r="D6" s="11">
        <v>209052.0</v>
      </c>
      <c r="E6" s="12">
        <f t="shared" si="1"/>
        <v>300</v>
      </c>
      <c r="F6" s="11">
        <v>40.0</v>
      </c>
      <c r="G6" s="14">
        <f t="shared" si="2"/>
        <v>13.33333333</v>
      </c>
      <c r="H6" s="16">
        <v>38958.0</v>
      </c>
      <c r="I6" s="16">
        <v>39259.0</v>
      </c>
      <c r="J6" s="13">
        <f t="shared" si="3"/>
        <v>301</v>
      </c>
      <c r="K6" s="11">
        <f t="shared" si="4"/>
        <v>40</v>
      </c>
      <c r="L6" s="17">
        <f t="shared" si="5"/>
        <v>13.28903654</v>
      </c>
      <c r="M6" s="18">
        <v>25870.0</v>
      </c>
      <c r="N6" s="18">
        <f t="shared" si="6"/>
        <v>1034800</v>
      </c>
      <c r="O6" s="19">
        <v>3.0</v>
      </c>
      <c r="P6" s="20" t="s">
        <v>14</v>
      </c>
      <c r="Q6" s="21">
        <f>N38</f>
        <v>3973500</v>
      </c>
      <c r="R6" s="21">
        <f t="shared" si="7"/>
        <v>3973500</v>
      </c>
    </row>
    <row r="7">
      <c r="A7" s="8">
        <v>46191.0</v>
      </c>
      <c r="B7" s="9" t="s">
        <v>11</v>
      </c>
      <c r="C7" s="11">
        <v>209052.0</v>
      </c>
      <c r="D7" s="11">
        <v>209371.0</v>
      </c>
      <c r="E7" s="12">
        <f t="shared" si="1"/>
        <v>319</v>
      </c>
      <c r="F7" s="11">
        <v>40.0</v>
      </c>
      <c r="G7" s="14">
        <f t="shared" si="2"/>
        <v>12.53918495</v>
      </c>
      <c r="H7" s="16">
        <v>39259.0</v>
      </c>
      <c r="I7" s="16">
        <v>39642.0</v>
      </c>
      <c r="J7" s="13">
        <f t="shared" si="3"/>
        <v>383</v>
      </c>
      <c r="K7" s="11">
        <f t="shared" si="4"/>
        <v>40</v>
      </c>
      <c r="L7" s="17">
        <f t="shared" si="5"/>
        <v>10.44386423</v>
      </c>
      <c r="M7" s="18">
        <v>25870.0</v>
      </c>
      <c r="N7" s="18">
        <f t="shared" si="6"/>
        <v>1034800</v>
      </c>
      <c r="O7" s="19">
        <v>4.0</v>
      </c>
      <c r="P7" s="20" t="s">
        <v>15</v>
      </c>
      <c r="Q7" s="21">
        <f>N49</f>
        <v>4583550</v>
      </c>
      <c r="R7" s="21">
        <f t="shared" si="7"/>
        <v>4583550</v>
      </c>
    </row>
    <row r="8">
      <c r="A8" s="8"/>
      <c r="B8" s="9" t="s">
        <v>11</v>
      </c>
      <c r="C8" s="11"/>
      <c r="D8" s="11"/>
      <c r="E8" s="12">
        <f t="shared" si="1"/>
        <v>0</v>
      </c>
      <c r="F8" s="11"/>
      <c r="G8" s="14" t="str">
        <f t="shared" si="2"/>
        <v>#DIV/0!</v>
      </c>
      <c r="H8" s="16"/>
      <c r="I8" s="16"/>
      <c r="J8" s="13">
        <f t="shared" si="3"/>
        <v>0</v>
      </c>
      <c r="K8" s="11" t="str">
        <f t="shared" si="4"/>
        <v/>
      </c>
      <c r="L8" s="17" t="str">
        <f t="shared" si="5"/>
        <v>#DIV/0!</v>
      </c>
      <c r="M8" s="22"/>
      <c r="N8" s="18">
        <f t="shared" si="6"/>
        <v>0</v>
      </c>
      <c r="O8" s="19">
        <v>5.0</v>
      </c>
      <c r="P8" s="20" t="s">
        <v>16</v>
      </c>
      <c r="Q8" s="21">
        <f>N61</f>
        <v>4445620</v>
      </c>
      <c r="R8" s="21">
        <f t="shared" si="7"/>
        <v>4445620</v>
      </c>
    </row>
    <row r="9">
      <c r="A9" s="8"/>
      <c r="B9" s="9" t="s">
        <v>11</v>
      </c>
      <c r="C9" s="11"/>
      <c r="D9" s="11"/>
      <c r="E9" s="12">
        <f t="shared" si="1"/>
        <v>0</v>
      </c>
      <c r="F9" s="11"/>
      <c r="G9" s="14" t="str">
        <f t="shared" si="2"/>
        <v>#DIV/0!</v>
      </c>
      <c r="H9" s="16"/>
      <c r="I9" s="16"/>
      <c r="J9" s="13">
        <f t="shared" si="3"/>
        <v>0</v>
      </c>
      <c r="K9" s="11" t="str">
        <f t="shared" si="4"/>
        <v/>
      </c>
      <c r="L9" s="17" t="str">
        <f t="shared" si="5"/>
        <v>#DIV/0!</v>
      </c>
      <c r="M9" s="22"/>
      <c r="N9" s="18">
        <f t="shared" si="6"/>
        <v>0</v>
      </c>
      <c r="O9" s="19">
        <v>6.0</v>
      </c>
      <c r="P9" s="20" t="s">
        <v>17</v>
      </c>
      <c r="Q9" s="21">
        <f>N11</f>
        <v>5324400</v>
      </c>
      <c r="R9" s="21">
        <f t="shared" si="7"/>
        <v>5324400</v>
      </c>
    </row>
    <row r="10">
      <c r="A10" s="23"/>
      <c r="B10" s="24" t="s">
        <v>11</v>
      </c>
      <c r="C10" s="11"/>
      <c r="D10" s="10"/>
      <c r="E10" s="25">
        <f t="shared" si="1"/>
        <v>0</v>
      </c>
      <c r="F10" s="10"/>
      <c r="G10" s="14" t="str">
        <f t="shared" si="2"/>
        <v>#DIV/0!</v>
      </c>
      <c r="H10" s="16"/>
      <c r="I10" s="15"/>
      <c r="J10" s="26">
        <f t="shared" si="3"/>
        <v>0</v>
      </c>
      <c r="K10" s="10" t="str">
        <f t="shared" si="4"/>
        <v/>
      </c>
      <c r="L10" s="27" t="str">
        <f t="shared" si="5"/>
        <v>#DIV/0!</v>
      </c>
      <c r="M10" s="22"/>
      <c r="N10" s="28">
        <f t="shared" si="6"/>
        <v>0</v>
      </c>
      <c r="O10" s="19">
        <v>7.0</v>
      </c>
      <c r="P10" s="20" t="s">
        <v>18</v>
      </c>
      <c r="Q10" s="21">
        <f>N71</f>
        <v>4426470</v>
      </c>
      <c r="R10" s="21">
        <f t="shared" si="7"/>
        <v>4426470</v>
      </c>
    </row>
    <row r="11">
      <c r="A11" s="29"/>
      <c r="B11" s="29"/>
      <c r="C11" s="29"/>
      <c r="D11" s="30" t="s">
        <v>19</v>
      </c>
      <c r="E11" s="30">
        <f t="shared" ref="E11:F11" si="8">sum(E3:E10)</f>
        <v>1553</v>
      </c>
      <c r="F11" s="30">
        <f t="shared" si="8"/>
        <v>200</v>
      </c>
      <c r="G11" s="31" t="str">
        <f>G3:G10</f>
        <v>#VALUE!</v>
      </c>
      <c r="H11" s="29"/>
      <c r="I11" s="32"/>
      <c r="J11" s="30">
        <f t="shared" ref="J11:K11" si="9">sum(J3:J10)</f>
        <v>1743</v>
      </c>
      <c r="K11" s="33">
        <f t="shared" si="9"/>
        <v>200</v>
      </c>
      <c r="L11" s="31" t="str">
        <f>average(L3:L10)</f>
        <v>#DIV/0!</v>
      </c>
      <c r="M11" s="29"/>
      <c r="N11" s="34">
        <f>sum(N3:N10)</f>
        <v>5324400</v>
      </c>
      <c r="O11" s="19">
        <v>8.0</v>
      </c>
      <c r="P11" s="20" t="s">
        <v>20</v>
      </c>
      <c r="Q11" s="21">
        <f>N80</f>
        <v>5257290</v>
      </c>
      <c r="R11" s="21">
        <f t="shared" si="7"/>
        <v>5257290</v>
      </c>
    </row>
    <row r="12">
      <c r="A12" s="35">
        <v>46176.0</v>
      </c>
      <c r="B12" s="36" t="s">
        <v>12</v>
      </c>
      <c r="C12" s="37">
        <v>170073.0</v>
      </c>
      <c r="D12" s="37">
        <v>170438.0</v>
      </c>
      <c r="E12" s="38">
        <f t="shared" ref="E12:E18" si="10">D12-C12</f>
        <v>365</v>
      </c>
      <c r="F12" s="39">
        <v>45.0</v>
      </c>
      <c r="G12" s="14">
        <f t="shared" ref="G12:G18" si="11">(F12/E12)*100</f>
        <v>12.32876712</v>
      </c>
      <c r="H12" s="40">
        <v>37845.0</v>
      </c>
      <c r="I12" s="40">
        <v>38216.0</v>
      </c>
      <c r="J12" s="41">
        <f t="shared" ref="J12:J18" si="12">I12-H12</f>
        <v>371</v>
      </c>
      <c r="K12" s="11">
        <f t="shared" ref="K12:K18" si="13">F12</f>
        <v>45</v>
      </c>
      <c r="L12" s="42">
        <f t="shared" ref="L12:L18" si="14">(K12/J12)*100</f>
        <v>12.12938005</v>
      </c>
      <c r="M12" s="43">
        <v>27650.0</v>
      </c>
      <c r="N12" s="44">
        <f t="shared" ref="N12:N18" si="15">F12*M12</f>
        <v>1244250</v>
      </c>
      <c r="O12" s="19">
        <v>9.0</v>
      </c>
      <c r="P12" s="20" t="s">
        <v>21</v>
      </c>
      <c r="Q12" s="21">
        <f>N88</f>
        <v>5019720</v>
      </c>
      <c r="R12" s="21">
        <f t="shared" si="7"/>
        <v>5019720</v>
      </c>
    </row>
    <row r="13">
      <c r="A13" s="45">
        <v>46181.0</v>
      </c>
      <c r="B13" s="46" t="s">
        <v>12</v>
      </c>
      <c r="C13" s="37">
        <v>170438.0</v>
      </c>
      <c r="D13" s="37">
        <v>170798.0</v>
      </c>
      <c r="E13" s="12">
        <f t="shared" si="10"/>
        <v>360</v>
      </c>
      <c r="F13" s="47">
        <v>50.0</v>
      </c>
      <c r="G13" s="14">
        <f t="shared" si="11"/>
        <v>13.88888889</v>
      </c>
      <c r="H13" s="40">
        <v>38216.0</v>
      </c>
      <c r="I13" s="40">
        <v>38598.0</v>
      </c>
      <c r="J13" s="37">
        <f t="shared" si="12"/>
        <v>382</v>
      </c>
      <c r="K13" s="11">
        <f t="shared" si="13"/>
        <v>50</v>
      </c>
      <c r="L13" s="48">
        <f t="shared" si="14"/>
        <v>13.08900524</v>
      </c>
      <c r="M13" s="43">
        <v>26860.0</v>
      </c>
      <c r="N13" s="49">
        <f t="shared" si="15"/>
        <v>1343000</v>
      </c>
      <c r="O13" s="19">
        <v>10.0</v>
      </c>
      <c r="P13" s="20" t="s">
        <v>22</v>
      </c>
      <c r="Q13" s="21">
        <f>N97</f>
        <v>5578280</v>
      </c>
      <c r="R13" s="21">
        <f t="shared" si="7"/>
        <v>5578280</v>
      </c>
    </row>
    <row r="14">
      <c r="A14" s="45">
        <v>46184.0</v>
      </c>
      <c r="B14" s="46" t="s">
        <v>12</v>
      </c>
      <c r="C14" s="37">
        <v>170798.0</v>
      </c>
      <c r="D14" s="37">
        <v>171084.0</v>
      </c>
      <c r="E14" s="12">
        <f t="shared" si="10"/>
        <v>286</v>
      </c>
      <c r="F14" s="47">
        <v>30.0</v>
      </c>
      <c r="G14" s="14">
        <f t="shared" si="11"/>
        <v>10.48951049</v>
      </c>
      <c r="H14" s="40">
        <v>38598.0</v>
      </c>
      <c r="I14" s="40">
        <v>38997.0</v>
      </c>
      <c r="J14" s="37">
        <f t="shared" si="12"/>
        <v>399</v>
      </c>
      <c r="K14" s="11">
        <f t="shared" si="13"/>
        <v>30</v>
      </c>
      <c r="L14" s="48">
        <f t="shared" si="14"/>
        <v>7.518796992</v>
      </c>
      <c r="M14" s="43">
        <v>26860.0</v>
      </c>
      <c r="N14" s="49">
        <f t="shared" si="15"/>
        <v>805800</v>
      </c>
      <c r="O14" s="19">
        <v>11.0</v>
      </c>
      <c r="P14" s="20" t="s">
        <v>23</v>
      </c>
      <c r="Q14" s="21">
        <f>N104</f>
        <v>5298550</v>
      </c>
      <c r="R14" s="21">
        <f t="shared" si="7"/>
        <v>5298550</v>
      </c>
    </row>
    <row r="15">
      <c r="A15" s="45">
        <v>46189.0</v>
      </c>
      <c r="B15" s="51" t="s">
        <v>12</v>
      </c>
      <c r="C15" s="37">
        <v>171084.0</v>
      </c>
      <c r="D15" s="52">
        <v>171459.0</v>
      </c>
      <c r="E15" s="53">
        <f t="shared" si="10"/>
        <v>375</v>
      </c>
      <c r="F15" s="54">
        <v>50.0</v>
      </c>
      <c r="G15" s="14">
        <f t="shared" si="11"/>
        <v>13.33333333</v>
      </c>
      <c r="H15" s="40">
        <v>38997.0</v>
      </c>
      <c r="I15" s="40">
        <v>39303.0</v>
      </c>
      <c r="J15" s="37">
        <f t="shared" si="12"/>
        <v>306</v>
      </c>
      <c r="K15" s="11">
        <f t="shared" si="13"/>
        <v>50</v>
      </c>
      <c r="L15" s="48">
        <f t="shared" si="14"/>
        <v>16.33986928</v>
      </c>
      <c r="M15" s="50">
        <v>25870.0</v>
      </c>
      <c r="N15" s="49">
        <f t="shared" si="15"/>
        <v>1293500</v>
      </c>
      <c r="O15" s="19">
        <v>12.0</v>
      </c>
      <c r="P15" s="20" t="s">
        <v>24</v>
      </c>
      <c r="Q15" s="21">
        <f>N112</f>
        <v>3005610</v>
      </c>
      <c r="R15" s="21">
        <f t="shared" si="7"/>
        <v>3005610</v>
      </c>
    </row>
    <row r="16">
      <c r="A16" s="45"/>
      <c r="B16" s="46" t="s">
        <v>12</v>
      </c>
      <c r="C16" s="52"/>
      <c r="D16" s="37"/>
      <c r="E16" s="12">
        <f t="shared" si="10"/>
        <v>0</v>
      </c>
      <c r="F16" s="47"/>
      <c r="G16" s="14" t="str">
        <f t="shared" si="11"/>
        <v>#DIV/0!</v>
      </c>
      <c r="H16" s="40"/>
      <c r="I16" s="40"/>
      <c r="J16" s="37">
        <f t="shared" si="12"/>
        <v>0</v>
      </c>
      <c r="K16" s="11" t="str">
        <f t="shared" si="13"/>
        <v/>
      </c>
      <c r="L16" s="48" t="str">
        <f t="shared" si="14"/>
        <v>#DIV/0!</v>
      </c>
      <c r="M16" s="50"/>
      <c r="N16" s="49">
        <f t="shared" si="15"/>
        <v>0</v>
      </c>
      <c r="O16" s="19">
        <v>13.0</v>
      </c>
      <c r="P16" s="20" t="s">
        <v>25</v>
      </c>
      <c r="Q16" s="21">
        <f>N120</f>
        <v>5054640</v>
      </c>
      <c r="R16" s="21">
        <f>N120</f>
        <v>5054640</v>
      </c>
    </row>
    <row r="17">
      <c r="A17" s="45"/>
      <c r="B17" s="46" t="s">
        <v>12</v>
      </c>
      <c r="C17" s="37"/>
      <c r="D17" s="37"/>
      <c r="E17" s="12">
        <f t="shared" si="10"/>
        <v>0</v>
      </c>
      <c r="F17" s="47"/>
      <c r="G17" s="14" t="str">
        <f t="shared" si="11"/>
        <v>#DIV/0!</v>
      </c>
      <c r="H17" s="40"/>
      <c r="I17" s="40"/>
      <c r="J17" s="37">
        <f t="shared" si="12"/>
        <v>0</v>
      </c>
      <c r="K17" s="11" t="str">
        <f t="shared" si="13"/>
        <v/>
      </c>
      <c r="L17" s="48" t="str">
        <f t="shared" si="14"/>
        <v>#DIV/0!</v>
      </c>
      <c r="M17" s="50"/>
      <c r="N17" s="49">
        <f t="shared" si="15"/>
        <v>0</v>
      </c>
      <c r="O17" s="19">
        <v>14.0</v>
      </c>
      <c r="P17" s="20" t="s">
        <v>26</v>
      </c>
      <c r="Q17" s="21">
        <f>N128</f>
        <v>3691100</v>
      </c>
      <c r="R17" s="21">
        <f t="shared" ref="R17:R29" si="16">Q17</f>
        <v>3691100</v>
      </c>
    </row>
    <row r="18">
      <c r="A18" s="45"/>
      <c r="B18" s="46" t="s">
        <v>12</v>
      </c>
      <c r="C18" s="37"/>
      <c r="D18" s="55"/>
      <c r="E18" s="25">
        <f t="shared" si="10"/>
        <v>0</v>
      </c>
      <c r="F18" s="47"/>
      <c r="G18" s="56" t="str">
        <f t="shared" si="11"/>
        <v>#DIV/0!</v>
      </c>
      <c r="H18" s="40"/>
      <c r="I18" s="57"/>
      <c r="J18" s="55">
        <f t="shared" si="12"/>
        <v>0</v>
      </c>
      <c r="K18" s="11" t="str">
        <f t="shared" si="13"/>
        <v/>
      </c>
      <c r="L18" s="48" t="str">
        <f t="shared" si="14"/>
        <v>#DIV/0!</v>
      </c>
      <c r="M18" s="58"/>
      <c r="N18" s="59">
        <f t="shared" si="15"/>
        <v>0</v>
      </c>
      <c r="O18" s="60">
        <f t="shared" ref="O18:O27" si="18">O17+1</f>
        <v>15</v>
      </c>
      <c r="P18" s="61" t="s">
        <v>27</v>
      </c>
      <c r="Q18" s="21">
        <f>N148</f>
        <v>0</v>
      </c>
      <c r="R18" s="21">
        <f t="shared" si="16"/>
        <v>0</v>
      </c>
    </row>
    <row r="19">
      <c r="A19" s="62"/>
      <c r="B19" s="63"/>
      <c r="C19" s="62"/>
      <c r="D19" s="64" t="s">
        <v>19</v>
      </c>
      <c r="E19" s="64">
        <f>sum(E12:E18)</f>
        <v>1386</v>
      </c>
      <c r="F19" s="64">
        <f>sum(F11:F18)</f>
        <v>375</v>
      </c>
      <c r="G19" s="65" t="str">
        <f>average(G12:G18)</f>
        <v>#DIV/0!</v>
      </c>
      <c r="H19" s="62"/>
      <c r="I19" s="66"/>
      <c r="J19" s="64">
        <f t="shared" ref="J19:K19" si="17">sum(J12:J18)</f>
        <v>1458</v>
      </c>
      <c r="K19" s="67">
        <f t="shared" si="17"/>
        <v>175</v>
      </c>
      <c r="L19" s="65" t="str">
        <f>average(L12:L18)</f>
        <v>#DIV/0!</v>
      </c>
      <c r="M19" s="68"/>
      <c r="N19" s="69">
        <f>sum(N12:N18)</f>
        <v>4686550</v>
      </c>
      <c r="O19" s="60">
        <f t="shared" si="18"/>
        <v>16</v>
      </c>
      <c r="P19" s="61" t="s">
        <v>28</v>
      </c>
      <c r="Q19" s="21">
        <f>N157</f>
        <v>0</v>
      </c>
      <c r="R19" s="21">
        <f t="shared" si="16"/>
        <v>0</v>
      </c>
    </row>
    <row r="20">
      <c r="A20" s="70">
        <v>46176.0</v>
      </c>
      <c r="B20" s="36" t="s">
        <v>13</v>
      </c>
      <c r="C20" s="37">
        <v>188668.0</v>
      </c>
      <c r="D20" s="37">
        <v>188946.0</v>
      </c>
      <c r="E20" s="12">
        <f t="shared" ref="E20:E28" si="19">D20-C20</f>
        <v>278</v>
      </c>
      <c r="F20" s="39">
        <v>38.0</v>
      </c>
      <c r="G20" s="14">
        <f t="shared" ref="G20:G28" si="20">(F20/E20)*100</f>
        <v>13.66906475</v>
      </c>
      <c r="H20" s="37">
        <v>40983.0</v>
      </c>
      <c r="I20" s="37">
        <v>41278.0</v>
      </c>
      <c r="J20" s="41">
        <f t="shared" ref="J20:J28" si="21">I20-H20</f>
        <v>295</v>
      </c>
      <c r="K20" s="41">
        <f t="shared" ref="K20:K28" si="22">F20</f>
        <v>38</v>
      </c>
      <c r="L20" s="71">
        <f t="shared" ref="L20:L28" si="23">(K20/J20)*100</f>
        <v>12.88135593</v>
      </c>
      <c r="M20" s="72">
        <v>27650.0</v>
      </c>
      <c r="N20" s="44">
        <f t="shared" ref="N20:N28" si="24">F20*M20</f>
        <v>1050700</v>
      </c>
      <c r="O20" s="60">
        <f t="shared" si="18"/>
        <v>17</v>
      </c>
      <c r="P20" s="61" t="s">
        <v>29</v>
      </c>
      <c r="Q20" s="21">
        <f>N166</f>
        <v>0</v>
      </c>
      <c r="R20" s="21">
        <f t="shared" si="16"/>
        <v>0</v>
      </c>
    </row>
    <row r="21">
      <c r="A21" s="70">
        <v>46179.0</v>
      </c>
      <c r="B21" s="46" t="s">
        <v>13</v>
      </c>
      <c r="C21" s="37">
        <v>188946.0</v>
      </c>
      <c r="D21" s="37">
        <v>189214.0</v>
      </c>
      <c r="E21" s="12">
        <f t="shared" si="19"/>
        <v>268</v>
      </c>
      <c r="F21" s="39">
        <v>38.0</v>
      </c>
      <c r="G21" s="14">
        <f t="shared" si="20"/>
        <v>14.17910448</v>
      </c>
      <c r="H21" s="37">
        <v>41278.0</v>
      </c>
      <c r="I21" s="37">
        <v>41575.0</v>
      </c>
      <c r="J21" s="37">
        <f t="shared" si="21"/>
        <v>297</v>
      </c>
      <c r="K21" s="37">
        <f t="shared" si="22"/>
        <v>38</v>
      </c>
      <c r="L21" s="48">
        <f t="shared" si="23"/>
        <v>12.79461279</v>
      </c>
      <c r="M21" s="72">
        <v>26860.0</v>
      </c>
      <c r="N21" s="49">
        <f t="shared" si="24"/>
        <v>1020680</v>
      </c>
      <c r="O21" s="60">
        <f t="shared" si="18"/>
        <v>18</v>
      </c>
      <c r="P21" s="61" t="s">
        <v>30</v>
      </c>
      <c r="Q21" s="21">
        <f>N175</f>
        <v>0</v>
      </c>
      <c r="R21" s="21">
        <f t="shared" si="16"/>
        <v>0</v>
      </c>
    </row>
    <row r="22">
      <c r="A22" s="35"/>
      <c r="B22" s="46" t="s">
        <v>13</v>
      </c>
      <c r="C22" s="37"/>
      <c r="D22" s="37"/>
      <c r="E22" s="12">
        <f t="shared" si="19"/>
        <v>0</v>
      </c>
      <c r="F22" s="47"/>
      <c r="G22" s="14" t="str">
        <f t="shared" si="20"/>
        <v>#DIV/0!</v>
      </c>
      <c r="H22" s="37"/>
      <c r="I22" s="37"/>
      <c r="J22" s="37">
        <f t="shared" si="21"/>
        <v>0</v>
      </c>
      <c r="K22" s="37" t="str">
        <f t="shared" si="22"/>
        <v/>
      </c>
      <c r="L22" s="48" t="str">
        <f t="shared" si="23"/>
        <v>#DIV/0!</v>
      </c>
      <c r="M22" s="72"/>
      <c r="N22" s="49">
        <f t="shared" si="24"/>
        <v>0</v>
      </c>
      <c r="O22" s="60">
        <f t="shared" si="18"/>
        <v>19</v>
      </c>
      <c r="P22" s="61" t="s">
        <v>31</v>
      </c>
      <c r="Q22" s="21">
        <f>N184</f>
        <v>0</v>
      </c>
      <c r="R22" s="21">
        <f t="shared" si="16"/>
        <v>0</v>
      </c>
    </row>
    <row r="23">
      <c r="A23" s="35"/>
      <c r="B23" s="46" t="s">
        <v>13</v>
      </c>
      <c r="C23" s="37"/>
      <c r="D23" s="37"/>
      <c r="E23" s="12">
        <f t="shared" si="19"/>
        <v>0</v>
      </c>
      <c r="F23" s="47"/>
      <c r="G23" s="14" t="str">
        <f t="shared" si="20"/>
        <v>#DIV/0!</v>
      </c>
      <c r="H23" s="37"/>
      <c r="I23" s="37"/>
      <c r="J23" s="37">
        <f t="shared" si="21"/>
        <v>0</v>
      </c>
      <c r="K23" s="52" t="str">
        <f t="shared" si="22"/>
        <v/>
      </c>
      <c r="L23" s="48" t="str">
        <f t="shared" si="23"/>
        <v>#DIV/0!</v>
      </c>
      <c r="M23" s="50"/>
      <c r="N23" s="49">
        <f t="shared" si="24"/>
        <v>0</v>
      </c>
      <c r="O23" s="60">
        <f t="shared" si="18"/>
        <v>20</v>
      </c>
      <c r="P23" s="61" t="s">
        <v>32</v>
      </c>
      <c r="Q23" s="21">
        <f>N193</f>
        <v>0</v>
      </c>
      <c r="R23" s="21">
        <f t="shared" si="16"/>
        <v>0</v>
      </c>
    </row>
    <row r="24">
      <c r="A24" s="35"/>
      <c r="B24" s="46" t="s">
        <v>13</v>
      </c>
      <c r="C24" s="37"/>
      <c r="D24" s="37"/>
      <c r="E24" s="12">
        <f t="shared" si="19"/>
        <v>0</v>
      </c>
      <c r="F24" s="47"/>
      <c r="G24" s="14" t="str">
        <f t="shared" si="20"/>
        <v>#DIV/0!</v>
      </c>
      <c r="H24" s="37"/>
      <c r="I24" s="37"/>
      <c r="J24" s="37">
        <f t="shared" si="21"/>
        <v>0</v>
      </c>
      <c r="K24" s="52" t="str">
        <f t="shared" si="22"/>
        <v/>
      </c>
      <c r="L24" s="48" t="str">
        <f t="shared" si="23"/>
        <v>#DIV/0!</v>
      </c>
      <c r="M24" s="50"/>
      <c r="N24" s="49">
        <f t="shared" si="24"/>
        <v>0</v>
      </c>
      <c r="O24" s="60">
        <f t="shared" si="18"/>
        <v>21</v>
      </c>
      <c r="P24" s="61" t="s">
        <v>33</v>
      </c>
      <c r="Q24" s="21">
        <f>N201</f>
        <v>0</v>
      </c>
      <c r="R24" s="21">
        <f t="shared" si="16"/>
        <v>0</v>
      </c>
    </row>
    <row r="25">
      <c r="A25" s="35"/>
      <c r="B25" s="46" t="s">
        <v>13</v>
      </c>
      <c r="C25" s="37"/>
      <c r="D25" s="37"/>
      <c r="E25" s="12">
        <f t="shared" si="19"/>
        <v>0</v>
      </c>
      <c r="F25" s="47"/>
      <c r="G25" s="14" t="str">
        <f t="shared" si="20"/>
        <v>#DIV/0!</v>
      </c>
      <c r="H25" s="37"/>
      <c r="I25" s="37"/>
      <c r="J25" s="37">
        <f t="shared" si="21"/>
        <v>0</v>
      </c>
      <c r="K25" s="52" t="str">
        <f t="shared" si="22"/>
        <v/>
      </c>
      <c r="L25" s="48" t="str">
        <f t="shared" si="23"/>
        <v>#DIV/0!</v>
      </c>
      <c r="M25" s="50"/>
      <c r="N25" s="49">
        <f t="shared" si="24"/>
        <v>0</v>
      </c>
      <c r="O25" s="60">
        <f t="shared" si="18"/>
        <v>22</v>
      </c>
      <c r="P25" s="61" t="s">
        <v>34</v>
      </c>
      <c r="Q25" s="21">
        <f>N209</f>
        <v>0</v>
      </c>
      <c r="R25" s="21">
        <f t="shared" si="16"/>
        <v>0</v>
      </c>
    </row>
    <row r="26">
      <c r="A26" s="35"/>
      <c r="B26" s="46" t="s">
        <v>13</v>
      </c>
      <c r="C26" s="37"/>
      <c r="D26" s="37"/>
      <c r="E26" s="12">
        <f t="shared" si="19"/>
        <v>0</v>
      </c>
      <c r="F26" s="47"/>
      <c r="G26" s="14" t="str">
        <f t="shared" si="20"/>
        <v>#DIV/0!</v>
      </c>
      <c r="H26" s="37"/>
      <c r="I26" s="37"/>
      <c r="J26" s="37">
        <f t="shared" si="21"/>
        <v>0</v>
      </c>
      <c r="K26" s="52" t="str">
        <f t="shared" si="22"/>
        <v/>
      </c>
      <c r="L26" s="48" t="str">
        <f t="shared" si="23"/>
        <v>#DIV/0!</v>
      </c>
      <c r="M26" s="50"/>
      <c r="N26" s="49">
        <f t="shared" si="24"/>
        <v>0</v>
      </c>
      <c r="O26" s="60">
        <f t="shared" si="18"/>
        <v>23</v>
      </c>
      <c r="P26" s="73" t="s">
        <v>35</v>
      </c>
      <c r="Q26" s="21">
        <f>N136</f>
        <v>5645550</v>
      </c>
      <c r="R26" s="21">
        <f t="shared" si="16"/>
        <v>5645550</v>
      </c>
    </row>
    <row r="27">
      <c r="A27" s="35"/>
      <c r="B27" s="46" t="s">
        <v>13</v>
      </c>
      <c r="C27" s="37"/>
      <c r="D27" s="37"/>
      <c r="E27" s="12">
        <f t="shared" si="19"/>
        <v>0</v>
      </c>
      <c r="F27" s="47"/>
      <c r="G27" s="14" t="str">
        <f t="shared" si="20"/>
        <v>#DIV/0!</v>
      </c>
      <c r="H27" s="37"/>
      <c r="I27" s="37"/>
      <c r="J27" s="37">
        <f t="shared" si="21"/>
        <v>0</v>
      </c>
      <c r="K27" s="52" t="str">
        <f t="shared" si="22"/>
        <v/>
      </c>
      <c r="L27" s="48" t="str">
        <f t="shared" si="23"/>
        <v>#DIV/0!</v>
      </c>
      <c r="M27" s="50"/>
      <c r="N27" s="49">
        <f t="shared" si="24"/>
        <v>0</v>
      </c>
      <c r="O27" s="60">
        <f t="shared" si="18"/>
        <v>24</v>
      </c>
      <c r="P27" s="183" t="s">
        <v>66</v>
      </c>
      <c r="Q27" s="21">
        <f>N217</f>
        <v>0</v>
      </c>
      <c r="R27" s="21">
        <f t="shared" si="16"/>
        <v>0</v>
      </c>
    </row>
    <row r="28">
      <c r="A28" s="74"/>
      <c r="B28" s="46" t="s">
        <v>13</v>
      </c>
      <c r="C28" s="37"/>
      <c r="D28" s="75"/>
      <c r="E28" s="12">
        <f t="shared" si="19"/>
        <v>0</v>
      </c>
      <c r="F28" s="47"/>
      <c r="G28" s="56" t="str">
        <f t="shared" si="20"/>
        <v>#DIV/0!</v>
      </c>
      <c r="H28" s="40"/>
      <c r="I28" s="76"/>
      <c r="J28" s="55">
        <f t="shared" si="21"/>
        <v>0</v>
      </c>
      <c r="K28" s="52" t="str">
        <f t="shared" si="22"/>
        <v/>
      </c>
      <c r="L28" s="77" t="str">
        <f t="shared" si="23"/>
        <v>#DIV/0!</v>
      </c>
      <c r="M28" s="78"/>
      <c r="N28" s="59">
        <f t="shared" si="24"/>
        <v>0</v>
      </c>
      <c r="O28" s="60">
        <f>O26+1</f>
        <v>24</v>
      </c>
      <c r="P28" s="201" t="s">
        <v>67</v>
      </c>
      <c r="Q28" s="21">
        <f>N225</f>
        <v>0</v>
      </c>
      <c r="R28" s="21">
        <f t="shared" si="16"/>
        <v>0</v>
      </c>
    </row>
    <row r="29">
      <c r="A29" s="62"/>
      <c r="B29" s="63"/>
      <c r="C29" s="62"/>
      <c r="D29" s="64" t="s">
        <v>19</v>
      </c>
      <c r="E29" s="64">
        <f>sum(E20:E26)</f>
        <v>546</v>
      </c>
      <c r="F29" s="64">
        <f>sum(F20:F28)</f>
        <v>76</v>
      </c>
      <c r="G29" s="65" t="str">
        <f>average(G20:G26)</f>
        <v>#DIV/0!</v>
      </c>
      <c r="H29" s="62"/>
      <c r="I29" s="66"/>
      <c r="J29" s="64">
        <f t="shared" ref="J29:K29" si="25">sum(J20:J26)</f>
        <v>592</v>
      </c>
      <c r="K29" s="64">
        <f t="shared" si="25"/>
        <v>76</v>
      </c>
      <c r="L29" s="65" t="str">
        <f>average(L20:L26)</f>
        <v>#DIV/0!</v>
      </c>
      <c r="M29" s="68"/>
      <c r="N29" s="69">
        <f>sum(N20:N28)</f>
        <v>2071380</v>
      </c>
      <c r="O29" s="19">
        <v>25.0</v>
      </c>
      <c r="P29" s="183" t="s">
        <v>68</v>
      </c>
      <c r="Q29" s="21">
        <f>N233</f>
        <v>0</v>
      </c>
      <c r="R29" s="21">
        <f t="shared" si="16"/>
        <v>0</v>
      </c>
    </row>
    <row r="30">
      <c r="A30" s="70">
        <v>46177.0</v>
      </c>
      <c r="B30" s="36" t="s">
        <v>14</v>
      </c>
      <c r="C30" s="37">
        <v>191607.0</v>
      </c>
      <c r="D30" s="55">
        <v>191820.0</v>
      </c>
      <c r="E30" s="38">
        <f t="shared" ref="E30:E37" si="27">D30-C30</f>
        <v>213</v>
      </c>
      <c r="F30" s="39">
        <v>30.0</v>
      </c>
      <c r="G30" s="14">
        <f t="shared" ref="G30:G37" si="28">(F30/E30)*100</f>
        <v>14.08450704</v>
      </c>
      <c r="H30" s="40">
        <v>32732.0</v>
      </c>
      <c r="I30" s="57">
        <v>32965.0</v>
      </c>
      <c r="J30" s="41">
        <f t="shared" ref="J30:J37" si="29">I30-H30</f>
        <v>233</v>
      </c>
      <c r="K30" s="52">
        <f t="shared" ref="K30:K37" si="30">F30</f>
        <v>30</v>
      </c>
      <c r="L30" s="71">
        <f t="shared" ref="L30:L37" si="31">(K30/J30)*100</f>
        <v>12.87553648</v>
      </c>
      <c r="M30" s="72">
        <v>27650.0</v>
      </c>
      <c r="N30" s="44">
        <f t="shared" ref="N30:N37" si="32">F30*M30</f>
        <v>829500</v>
      </c>
      <c r="Q30" s="202">
        <f t="shared" ref="Q30:R30" si="26">SUM(Q4:Q29)</f>
        <v>68062210</v>
      </c>
      <c r="R30" s="202">
        <f t="shared" si="26"/>
        <v>68062210</v>
      </c>
    </row>
    <row r="31">
      <c r="A31" s="35">
        <v>46181.0</v>
      </c>
      <c r="B31" s="46" t="s">
        <v>14</v>
      </c>
      <c r="C31" s="55">
        <v>191820.0</v>
      </c>
      <c r="D31" s="37">
        <v>192133.0</v>
      </c>
      <c r="E31" s="12">
        <f t="shared" si="27"/>
        <v>313</v>
      </c>
      <c r="F31" s="47">
        <v>40.0</v>
      </c>
      <c r="G31" s="14">
        <f t="shared" si="28"/>
        <v>12.77955272</v>
      </c>
      <c r="H31" s="57">
        <v>32965.0</v>
      </c>
      <c r="I31" s="40">
        <v>33314.0</v>
      </c>
      <c r="J31" s="37">
        <f t="shared" si="29"/>
        <v>349</v>
      </c>
      <c r="K31" s="52">
        <f t="shared" si="30"/>
        <v>40</v>
      </c>
      <c r="L31" s="48">
        <f t="shared" si="31"/>
        <v>11.46131805</v>
      </c>
      <c r="M31" s="72">
        <v>26860.0</v>
      </c>
      <c r="N31" s="49">
        <f t="shared" si="32"/>
        <v>1074400</v>
      </c>
      <c r="R31" s="80" t="str">
        <f t="shared" ref="R31:R44" si="33">Q31</f>
        <v/>
      </c>
    </row>
    <row r="32">
      <c r="A32" s="35">
        <v>46184.0</v>
      </c>
      <c r="B32" s="36" t="s">
        <v>14</v>
      </c>
      <c r="C32" s="37">
        <v>192133.0</v>
      </c>
      <c r="D32" s="37">
        <v>192471.0</v>
      </c>
      <c r="E32" s="12">
        <f t="shared" si="27"/>
        <v>338</v>
      </c>
      <c r="F32" s="47">
        <v>40.0</v>
      </c>
      <c r="G32" s="14">
        <f t="shared" si="28"/>
        <v>11.83431953</v>
      </c>
      <c r="H32" s="40">
        <v>33314.0</v>
      </c>
      <c r="I32" s="40">
        <v>33968.0</v>
      </c>
      <c r="J32" s="37">
        <f t="shared" si="29"/>
        <v>654</v>
      </c>
      <c r="K32" s="52">
        <f t="shared" si="30"/>
        <v>40</v>
      </c>
      <c r="L32" s="48">
        <f t="shared" si="31"/>
        <v>6.116207951</v>
      </c>
      <c r="M32" s="72">
        <v>25870.0</v>
      </c>
      <c r="N32" s="49">
        <f t="shared" si="32"/>
        <v>1034800</v>
      </c>
      <c r="R32" s="80" t="str">
        <f t="shared" si="33"/>
        <v/>
      </c>
    </row>
    <row r="33">
      <c r="A33" s="35">
        <v>46188.0</v>
      </c>
      <c r="B33" s="46" t="s">
        <v>14</v>
      </c>
      <c r="C33" s="37">
        <v>192471.0</v>
      </c>
      <c r="D33" s="37">
        <v>192798.0</v>
      </c>
      <c r="E33" s="12">
        <f t="shared" si="27"/>
        <v>327</v>
      </c>
      <c r="F33" s="47">
        <v>40.0</v>
      </c>
      <c r="G33" s="14">
        <f t="shared" si="28"/>
        <v>12.2324159</v>
      </c>
      <c r="H33" s="40">
        <v>33968.0</v>
      </c>
      <c r="I33" s="40">
        <v>34062.0</v>
      </c>
      <c r="J33" s="37">
        <f t="shared" si="29"/>
        <v>94</v>
      </c>
      <c r="K33" s="52">
        <f t="shared" si="30"/>
        <v>40</v>
      </c>
      <c r="L33" s="48">
        <f t="shared" si="31"/>
        <v>42.55319149</v>
      </c>
      <c r="M33" s="72">
        <v>25870.0</v>
      </c>
      <c r="N33" s="49">
        <f t="shared" si="32"/>
        <v>1034800</v>
      </c>
      <c r="R33" s="80" t="str">
        <f t="shared" si="33"/>
        <v/>
      </c>
    </row>
    <row r="34">
      <c r="A34" s="35"/>
      <c r="B34" s="46" t="s">
        <v>14</v>
      </c>
      <c r="C34" s="37"/>
      <c r="D34" s="37"/>
      <c r="E34" s="12">
        <f t="shared" si="27"/>
        <v>0</v>
      </c>
      <c r="F34" s="47"/>
      <c r="G34" s="14" t="str">
        <f t="shared" si="28"/>
        <v>#DIV/0!</v>
      </c>
      <c r="H34" s="40"/>
      <c r="I34" s="40"/>
      <c r="J34" s="37">
        <f t="shared" si="29"/>
        <v>0</v>
      </c>
      <c r="K34" s="52" t="str">
        <f t="shared" si="30"/>
        <v/>
      </c>
      <c r="L34" s="48" t="str">
        <f t="shared" si="31"/>
        <v>#DIV/0!</v>
      </c>
      <c r="M34" s="72"/>
      <c r="N34" s="49">
        <f t="shared" si="32"/>
        <v>0</v>
      </c>
      <c r="R34" s="80" t="str">
        <f t="shared" si="33"/>
        <v/>
      </c>
    </row>
    <row r="35">
      <c r="A35" s="35"/>
      <c r="B35" s="46" t="s">
        <v>14</v>
      </c>
      <c r="C35" s="37"/>
      <c r="D35" s="37"/>
      <c r="E35" s="12">
        <f t="shared" si="27"/>
        <v>0</v>
      </c>
      <c r="F35" s="47"/>
      <c r="G35" s="14" t="str">
        <f t="shared" si="28"/>
        <v>#DIV/0!</v>
      </c>
      <c r="H35" s="40"/>
      <c r="I35" s="40"/>
      <c r="J35" s="37">
        <f t="shared" si="29"/>
        <v>0</v>
      </c>
      <c r="K35" s="52" t="str">
        <f t="shared" si="30"/>
        <v/>
      </c>
      <c r="L35" s="48" t="str">
        <f t="shared" si="31"/>
        <v>#DIV/0!</v>
      </c>
      <c r="M35" s="50"/>
      <c r="N35" s="49">
        <f t="shared" si="32"/>
        <v>0</v>
      </c>
      <c r="R35" s="80" t="str">
        <f t="shared" si="33"/>
        <v/>
      </c>
    </row>
    <row r="36">
      <c r="A36" s="35"/>
      <c r="B36" s="46" t="s">
        <v>14</v>
      </c>
      <c r="C36" s="37"/>
      <c r="D36" s="37"/>
      <c r="E36" s="12">
        <f t="shared" si="27"/>
        <v>0</v>
      </c>
      <c r="F36" s="47"/>
      <c r="G36" s="14" t="str">
        <f t="shared" si="28"/>
        <v>#DIV/0!</v>
      </c>
      <c r="H36" s="40"/>
      <c r="I36" s="40"/>
      <c r="J36" s="37">
        <f t="shared" si="29"/>
        <v>0</v>
      </c>
      <c r="K36" s="52" t="str">
        <f t="shared" si="30"/>
        <v/>
      </c>
      <c r="L36" s="48" t="str">
        <f t="shared" si="31"/>
        <v>#DIV/0!</v>
      </c>
      <c r="M36" s="50"/>
      <c r="N36" s="49">
        <f t="shared" si="32"/>
        <v>0</v>
      </c>
      <c r="R36" s="80" t="str">
        <f t="shared" si="33"/>
        <v/>
      </c>
    </row>
    <row r="37">
      <c r="A37" s="35"/>
      <c r="B37" s="46" t="s">
        <v>14</v>
      </c>
      <c r="C37" s="37"/>
      <c r="D37" s="55"/>
      <c r="E37" s="12">
        <f t="shared" si="27"/>
        <v>0</v>
      </c>
      <c r="F37" s="47"/>
      <c r="G37" s="56" t="str">
        <f t="shared" si="28"/>
        <v>#DIV/0!</v>
      </c>
      <c r="H37" s="40"/>
      <c r="I37" s="57"/>
      <c r="J37" s="55">
        <f t="shared" si="29"/>
        <v>0</v>
      </c>
      <c r="K37" s="52" t="str">
        <f t="shared" si="30"/>
        <v/>
      </c>
      <c r="L37" s="77" t="str">
        <f t="shared" si="31"/>
        <v>#DIV/0!</v>
      </c>
      <c r="M37" s="50"/>
      <c r="N37" s="59">
        <f t="shared" si="32"/>
        <v>0</v>
      </c>
      <c r="R37" s="80" t="str">
        <f t="shared" si="33"/>
        <v/>
      </c>
    </row>
    <row r="38">
      <c r="A38" s="62"/>
      <c r="B38" s="63"/>
      <c r="C38" s="62"/>
      <c r="D38" s="64" t="s">
        <v>19</v>
      </c>
      <c r="E38" s="64">
        <f>sum(E30:E37)</f>
        <v>1191</v>
      </c>
      <c r="F38" s="39"/>
      <c r="G38" s="65" t="str">
        <f>average(G30:G37)</f>
        <v>#DIV/0!</v>
      </c>
      <c r="H38" s="62"/>
      <c r="I38" s="66"/>
      <c r="J38" s="64">
        <f t="shared" ref="J38:K38" si="34">sum(J30:J37)</f>
        <v>1330</v>
      </c>
      <c r="K38" s="64">
        <f t="shared" si="34"/>
        <v>150</v>
      </c>
      <c r="L38" s="65" t="str">
        <f>average(L30:L37)</f>
        <v>#DIV/0!</v>
      </c>
      <c r="M38" s="68"/>
      <c r="N38" s="69">
        <f>sum(N30:N37)</f>
        <v>3973500</v>
      </c>
      <c r="R38" s="80" t="str">
        <f t="shared" si="33"/>
        <v/>
      </c>
    </row>
    <row r="39">
      <c r="A39" s="70">
        <v>46177.0</v>
      </c>
      <c r="B39" s="36" t="s">
        <v>15</v>
      </c>
      <c r="C39" s="37">
        <v>180475.0</v>
      </c>
      <c r="D39" s="37">
        <v>180810.0</v>
      </c>
      <c r="E39" s="38">
        <f t="shared" ref="E39:E48" si="35">D39-C39</f>
        <v>335</v>
      </c>
      <c r="F39" s="39">
        <v>38.0</v>
      </c>
      <c r="G39" s="14">
        <f t="shared" ref="G39:G48" si="36">(F39/E39)*100</f>
        <v>11.34328358</v>
      </c>
      <c r="H39" s="40">
        <v>39584.0</v>
      </c>
      <c r="I39" s="40">
        <v>39919.0</v>
      </c>
      <c r="J39" s="41">
        <f t="shared" ref="J39:J48" si="37">I39-H39</f>
        <v>335</v>
      </c>
      <c r="K39" s="81">
        <f t="shared" ref="K39:K48" si="38">F39</f>
        <v>38</v>
      </c>
      <c r="L39" s="71">
        <f t="shared" ref="L39:L48" si="39">(K39/J39)*100</f>
        <v>11.34328358</v>
      </c>
      <c r="M39" s="55">
        <v>26860.0</v>
      </c>
      <c r="N39" s="44">
        <f t="shared" ref="N39:N48" si="40">F39*M39</f>
        <v>1020680</v>
      </c>
      <c r="R39" s="80" t="str">
        <f t="shared" si="33"/>
        <v/>
      </c>
    </row>
    <row r="40">
      <c r="A40" s="35">
        <v>46181.0</v>
      </c>
      <c r="B40" s="46" t="s">
        <v>15</v>
      </c>
      <c r="C40" s="37">
        <v>180810.0</v>
      </c>
      <c r="D40" s="37">
        <v>181235.0</v>
      </c>
      <c r="E40" s="12">
        <f t="shared" si="35"/>
        <v>425</v>
      </c>
      <c r="F40" s="47">
        <v>45.0</v>
      </c>
      <c r="G40" s="14">
        <f t="shared" si="36"/>
        <v>10.58823529</v>
      </c>
      <c r="H40" s="40">
        <v>39919.0</v>
      </c>
      <c r="I40" s="37">
        <v>40347.0</v>
      </c>
      <c r="J40" s="37">
        <f t="shared" si="37"/>
        <v>428</v>
      </c>
      <c r="K40" s="52">
        <f t="shared" si="38"/>
        <v>45</v>
      </c>
      <c r="L40" s="48">
        <f t="shared" si="39"/>
        <v>10.51401869</v>
      </c>
      <c r="M40" s="55">
        <v>26860.0</v>
      </c>
      <c r="N40" s="49">
        <f t="shared" si="40"/>
        <v>1208700</v>
      </c>
      <c r="P40" s="82"/>
      <c r="R40" s="80" t="str">
        <f t="shared" si="33"/>
        <v/>
      </c>
    </row>
    <row r="41">
      <c r="A41" s="35">
        <v>46184.0</v>
      </c>
      <c r="B41" s="46" t="s">
        <v>15</v>
      </c>
      <c r="C41" s="37">
        <v>181235.0</v>
      </c>
      <c r="D41" s="37">
        <v>181518.0</v>
      </c>
      <c r="E41" s="12">
        <f t="shared" si="35"/>
        <v>283</v>
      </c>
      <c r="F41" s="47">
        <v>39.0</v>
      </c>
      <c r="G41" s="14">
        <f t="shared" si="36"/>
        <v>13.78091873</v>
      </c>
      <c r="H41" s="37">
        <v>40347.0</v>
      </c>
      <c r="I41" s="37">
        <v>40894.0</v>
      </c>
      <c r="J41" s="37">
        <f t="shared" si="37"/>
        <v>547</v>
      </c>
      <c r="K41" s="37">
        <f t="shared" si="38"/>
        <v>39</v>
      </c>
      <c r="L41" s="48">
        <f t="shared" si="39"/>
        <v>7.129798903</v>
      </c>
      <c r="M41" s="55">
        <v>25870.0</v>
      </c>
      <c r="N41" s="49">
        <f t="shared" si="40"/>
        <v>1008930</v>
      </c>
      <c r="R41" s="80" t="str">
        <f t="shared" si="33"/>
        <v/>
      </c>
    </row>
    <row r="42">
      <c r="A42" s="35">
        <v>46190.0</v>
      </c>
      <c r="B42" s="46" t="s">
        <v>15</v>
      </c>
      <c r="C42" s="37">
        <v>181518.0</v>
      </c>
      <c r="D42" s="37">
        <v>181919.0</v>
      </c>
      <c r="E42" s="12">
        <f t="shared" si="35"/>
        <v>401</v>
      </c>
      <c r="F42" s="47">
        <v>52.0</v>
      </c>
      <c r="G42" s="14">
        <f t="shared" si="36"/>
        <v>12.96758105</v>
      </c>
      <c r="H42" s="37">
        <v>40894.0</v>
      </c>
      <c r="I42" s="40">
        <v>41043.0</v>
      </c>
      <c r="J42" s="37">
        <f t="shared" si="37"/>
        <v>149</v>
      </c>
      <c r="K42" s="52">
        <f t="shared" si="38"/>
        <v>52</v>
      </c>
      <c r="L42" s="48">
        <f t="shared" si="39"/>
        <v>34.89932886</v>
      </c>
      <c r="M42" s="55">
        <v>25870.0</v>
      </c>
      <c r="N42" s="49">
        <f t="shared" si="40"/>
        <v>1345240</v>
      </c>
      <c r="R42" s="80" t="str">
        <f t="shared" si="33"/>
        <v/>
      </c>
    </row>
    <row r="43">
      <c r="A43" s="35"/>
      <c r="B43" s="46" t="s">
        <v>15</v>
      </c>
      <c r="C43" s="37"/>
      <c r="D43" s="37"/>
      <c r="E43" s="12">
        <f t="shared" si="35"/>
        <v>0</v>
      </c>
      <c r="F43" s="47"/>
      <c r="G43" s="14" t="str">
        <f t="shared" si="36"/>
        <v>#DIV/0!</v>
      </c>
      <c r="H43" s="40"/>
      <c r="I43" s="40"/>
      <c r="J43" s="37">
        <f t="shared" si="37"/>
        <v>0</v>
      </c>
      <c r="K43" s="52" t="str">
        <f t="shared" si="38"/>
        <v/>
      </c>
      <c r="L43" s="48" t="str">
        <f t="shared" si="39"/>
        <v>#DIV/0!</v>
      </c>
      <c r="M43" s="55"/>
      <c r="N43" s="49">
        <f t="shared" si="40"/>
        <v>0</v>
      </c>
      <c r="R43" s="80" t="str">
        <f t="shared" si="33"/>
        <v/>
      </c>
    </row>
    <row r="44">
      <c r="A44" s="35"/>
      <c r="B44" s="46" t="s">
        <v>15</v>
      </c>
      <c r="C44" s="37"/>
      <c r="D44" s="37"/>
      <c r="E44" s="12">
        <f t="shared" si="35"/>
        <v>0</v>
      </c>
      <c r="F44" s="47"/>
      <c r="G44" s="14" t="str">
        <f t="shared" si="36"/>
        <v>#DIV/0!</v>
      </c>
      <c r="H44" s="40"/>
      <c r="I44" s="40"/>
      <c r="J44" s="37">
        <f t="shared" si="37"/>
        <v>0</v>
      </c>
      <c r="K44" s="52" t="str">
        <f t="shared" si="38"/>
        <v/>
      </c>
      <c r="L44" s="48" t="str">
        <f t="shared" si="39"/>
        <v>#DIV/0!</v>
      </c>
      <c r="M44" s="50"/>
      <c r="N44" s="49">
        <f t="shared" si="40"/>
        <v>0</v>
      </c>
      <c r="R44" s="80" t="str">
        <f t="shared" si="33"/>
        <v/>
      </c>
    </row>
    <row r="45">
      <c r="A45" s="35"/>
      <c r="B45" s="46" t="s">
        <v>15</v>
      </c>
      <c r="C45" s="37"/>
      <c r="D45" s="37"/>
      <c r="E45" s="12">
        <f t="shared" si="35"/>
        <v>0</v>
      </c>
      <c r="F45" s="47"/>
      <c r="G45" s="14" t="str">
        <f t="shared" si="36"/>
        <v>#DIV/0!</v>
      </c>
      <c r="H45" s="40"/>
      <c r="I45" s="40"/>
      <c r="J45" s="37">
        <f t="shared" si="37"/>
        <v>0</v>
      </c>
      <c r="K45" s="52" t="str">
        <f t="shared" si="38"/>
        <v/>
      </c>
      <c r="L45" s="48" t="str">
        <f t="shared" si="39"/>
        <v>#DIV/0!</v>
      </c>
      <c r="M45" s="50"/>
      <c r="N45" s="49">
        <f t="shared" si="40"/>
        <v>0</v>
      </c>
    </row>
    <row r="46">
      <c r="A46" s="35"/>
      <c r="B46" s="46" t="s">
        <v>15</v>
      </c>
      <c r="C46" s="37"/>
      <c r="D46" s="37"/>
      <c r="E46" s="12">
        <f t="shared" si="35"/>
        <v>0</v>
      </c>
      <c r="F46" s="47"/>
      <c r="G46" s="14" t="str">
        <f t="shared" si="36"/>
        <v>#DIV/0!</v>
      </c>
      <c r="H46" s="40"/>
      <c r="I46" s="40"/>
      <c r="J46" s="37">
        <f t="shared" si="37"/>
        <v>0</v>
      </c>
      <c r="K46" s="52" t="str">
        <f t="shared" si="38"/>
        <v/>
      </c>
      <c r="L46" s="48" t="str">
        <f t="shared" si="39"/>
        <v>#DIV/0!</v>
      </c>
      <c r="M46" s="50"/>
      <c r="N46" s="49">
        <f t="shared" si="40"/>
        <v>0</v>
      </c>
    </row>
    <row r="47">
      <c r="A47" s="35"/>
      <c r="B47" s="83" t="s">
        <v>15</v>
      </c>
      <c r="C47" s="37"/>
      <c r="D47" s="55"/>
      <c r="E47" s="25">
        <f t="shared" si="35"/>
        <v>0</v>
      </c>
      <c r="F47" s="47"/>
      <c r="G47" s="56" t="str">
        <f t="shared" si="36"/>
        <v>#DIV/0!</v>
      </c>
      <c r="H47" s="40"/>
      <c r="I47" s="57"/>
      <c r="J47" s="55">
        <f t="shared" si="37"/>
        <v>0</v>
      </c>
      <c r="K47" s="52" t="str">
        <f t="shared" si="38"/>
        <v/>
      </c>
      <c r="L47" s="77" t="str">
        <f t="shared" si="39"/>
        <v>#DIV/0!</v>
      </c>
      <c r="M47" s="50"/>
      <c r="N47" s="59">
        <f t="shared" si="40"/>
        <v>0</v>
      </c>
      <c r="R47" s="80" t="str">
        <f t="shared" ref="R47:R57" si="41">Q47</f>
        <v/>
      </c>
    </row>
    <row r="48">
      <c r="A48" s="35"/>
      <c r="B48" s="83" t="s">
        <v>15</v>
      </c>
      <c r="C48" s="55"/>
      <c r="D48" s="55"/>
      <c r="E48" s="25">
        <f t="shared" si="35"/>
        <v>0</v>
      </c>
      <c r="F48" s="47"/>
      <c r="G48" s="56" t="str">
        <f t="shared" si="36"/>
        <v>#DIV/0!</v>
      </c>
      <c r="H48" s="57"/>
      <c r="I48" s="57"/>
      <c r="J48" s="55">
        <f t="shared" si="37"/>
        <v>0</v>
      </c>
      <c r="K48" s="52" t="str">
        <f t="shared" si="38"/>
        <v/>
      </c>
      <c r="L48" s="77" t="str">
        <f t="shared" si="39"/>
        <v>#DIV/0!</v>
      </c>
      <c r="M48" s="50"/>
      <c r="N48" s="59">
        <f t="shared" si="40"/>
        <v>0</v>
      </c>
      <c r="R48" s="80" t="str">
        <f t="shared" si="41"/>
        <v/>
      </c>
    </row>
    <row r="49">
      <c r="A49" s="62"/>
      <c r="B49" s="63"/>
      <c r="C49" s="62"/>
      <c r="D49" s="64" t="s">
        <v>19</v>
      </c>
      <c r="E49" s="64">
        <f>sum(E39:E47)</f>
        <v>1444</v>
      </c>
      <c r="F49" s="64">
        <f>sum(F39:F48)</f>
        <v>174</v>
      </c>
      <c r="G49" s="65" t="str">
        <f>average(G39:G47)</f>
        <v>#DIV/0!</v>
      </c>
      <c r="H49" s="62"/>
      <c r="I49" s="66"/>
      <c r="J49" s="64">
        <f t="shared" ref="J49:K49" si="42">sum(J39:J47)</f>
        <v>1459</v>
      </c>
      <c r="K49" s="64">
        <f t="shared" si="42"/>
        <v>174</v>
      </c>
      <c r="L49" s="65" t="str">
        <f>average(L39:L47)</f>
        <v>#DIV/0!</v>
      </c>
      <c r="M49" s="68"/>
      <c r="N49" s="69">
        <f>sum(N39:N48)</f>
        <v>4583550</v>
      </c>
      <c r="R49" s="80" t="str">
        <f t="shared" si="41"/>
        <v/>
      </c>
    </row>
    <row r="50">
      <c r="A50" s="70">
        <v>46183.0</v>
      </c>
      <c r="B50" s="36" t="s">
        <v>16</v>
      </c>
      <c r="C50" s="37">
        <v>158072.0</v>
      </c>
      <c r="D50" s="37">
        <v>158838.0</v>
      </c>
      <c r="E50" s="38">
        <f t="shared" ref="E50:E60" si="43">D50-C50</f>
        <v>766</v>
      </c>
      <c r="F50" s="39">
        <v>57.0</v>
      </c>
      <c r="G50" s="14">
        <f t="shared" ref="G50:G60" si="44">(F50/E50)*100</f>
        <v>7.441253264</v>
      </c>
      <c r="H50" s="40">
        <v>43816.0</v>
      </c>
      <c r="I50" s="40">
        <v>44655.0</v>
      </c>
      <c r="J50" s="41">
        <f t="shared" ref="J50:J60" si="45">I50-H50</f>
        <v>839</v>
      </c>
      <c r="K50" s="81">
        <f t="shared" ref="K50:K60" si="46">F50</f>
        <v>57</v>
      </c>
      <c r="L50" s="71">
        <f t="shared" ref="L50:L60" si="47">(K50/J50)*100</f>
        <v>6.793802145</v>
      </c>
      <c r="M50" s="72">
        <v>26860.0</v>
      </c>
      <c r="N50" s="44">
        <f t="shared" ref="N50:N60" si="48">F50*M50</f>
        <v>1531020</v>
      </c>
      <c r="R50" s="80" t="str">
        <f t="shared" si="41"/>
        <v/>
      </c>
    </row>
    <row r="51">
      <c r="A51" s="70">
        <v>46188.0</v>
      </c>
      <c r="B51" s="46" t="s">
        <v>16</v>
      </c>
      <c r="C51" s="37">
        <v>158838.0</v>
      </c>
      <c r="D51" s="37">
        <v>159235.0</v>
      </c>
      <c r="E51" s="12">
        <f t="shared" si="43"/>
        <v>397</v>
      </c>
      <c r="F51" s="47">
        <v>59.0</v>
      </c>
      <c r="G51" s="14">
        <f t="shared" si="44"/>
        <v>14.86146096</v>
      </c>
      <c r="H51" s="40">
        <v>44655.0</v>
      </c>
      <c r="I51" s="40">
        <v>45073.0</v>
      </c>
      <c r="J51" s="37">
        <f t="shared" si="45"/>
        <v>418</v>
      </c>
      <c r="K51" s="52">
        <f t="shared" si="46"/>
        <v>59</v>
      </c>
      <c r="L51" s="48">
        <f t="shared" si="47"/>
        <v>14.11483254</v>
      </c>
      <c r="M51" s="50">
        <v>25870.0</v>
      </c>
      <c r="N51" s="49">
        <f t="shared" si="48"/>
        <v>1526330</v>
      </c>
      <c r="R51" s="80" t="str">
        <f t="shared" si="41"/>
        <v/>
      </c>
    </row>
    <row r="52">
      <c r="A52" s="84">
        <v>46192.0</v>
      </c>
      <c r="B52" s="46" t="s">
        <v>16</v>
      </c>
      <c r="C52" s="37">
        <v>159235.0</v>
      </c>
      <c r="D52" s="37">
        <v>159644.0</v>
      </c>
      <c r="E52" s="12">
        <f t="shared" si="43"/>
        <v>409</v>
      </c>
      <c r="F52" s="47">
        <v>59.0</v>
      </c>
      <c r="G52" s="14">
        <f t="shared" si="44"/>
        <v>14.42542787</v>
      </c>
      <c r="H52" s="40">
        <v>45073.0</v>
      </c>
      <c r="I52" s="40">
        <v>45514.0</v>
      </c>
      <c r="J52" s="37">
        <f t="shared" si="45"/>
        <v>441</v>
      </c>
      <c r="K52" s="52">
        <f t="shared" si="46"/>
        <v>59</v>
      </c>
      <c r="L52" s="48">
        <f t="shared" si="47"/>
        <v>13.37868481</v>
      </c>
      <c r="M52" s="50">
        <v>23530.0</v>
      </c>
      <c r="N52" s="49">
        <f t="shared" si="48"/>
        <v>1388270</v>
      </c>
      <c r="R52" s="80" t="str">
        <f t="shared" si="41"/>
        <v/>
      </c>
    </row>
    <row r="53">
      <c r="A53" s="84"/>
      <c r="B53" s="46" t="s">
        <v>16</v>
      </c>
      <c r="C53" s="37"/>
      <c r="D53" s="37"/>
      <c r="E53" s="12">
        <f t="shared" si="43"/>
        <v>0</v>
      </c>
      <c r="F53" s="47"/>
      <c r="G53" s="14" t="str">
        <f t="shared" si="44"/>
        <v>#DIV/0!</v>
      </c>
      <c r="H53" s="40"/>
      <c r="I53" s="40"/>
      <c r="J53" s="37">
        <f t="shared" si="45"/>
        <v>0</v>
      </c>
      <c r="K53" s="52" t="str">
        <f t="shared" si="46"/>
        <v/>
      </c>
      <c r="L53" s="48" t="str">
        <f t="shared" si="47"/>
        <v>#DIV/0!</v>
      </c>
      <c r="M53" s="50"/>
      <c r="N53" s="49">
        <f t="shared" si="48"/>
        <v>0</v>
      </c>
      <c r="R53" s="80" t="str">
        <f t="shared" si="41"/>
        <v/>
      </c>
    </row>
    <row r="54">
      <c r="A54" s="84"/>
      <c r="B54" s="46" t="s">
        <v>16</v>
      </c>
      <c r="C54" s="37"/>
      <c r="D54" s="37"/>
      <c r="E54" s="12">
        <f t="shared" si="43"/>
        <v>0</v>
      </c>
      <c r="F54" s="47"/>
      <c r="G54" s="14" t="str">
        <f t="shared" si="44"/>
        <v>#DIV/0!</v>
      </c>
      <c r="H54" s="40"/>
      <c r="I54" s="40"/>
      <c r="J54" s="37">
        <f t="shared" si="45"/>
        <v>0</v>
      </c>
      <c r="K54" s="52" t="str">
        <f t="shared" si="46"/>
        <v/>
      </c>
      <c r="L54" s="48" t="str">
        <f t="shared" si="47"/>
        <v>#DIV/0!</v>
      </c>
      <c r="M54" s="50"/>
      <c r="N54" s="49">
        <f t="shared" si="48"/>
        <v>0</v>
      </c>
      <c r="P54" s="82"/>
      <c r="R54" s="80" t="str">
        <f t="shared" si="41"/>
        <v/>
      </c>
    </row>
    <row r="55">
      <c r="A55" s="84"/>
      <c r="B55" s="46" t="s">
        <v>16</v>
      </c>
      <c r="C55" s="37"/>
      <c r="D55" s="37"/>
      <c r="E55" s="12">
        <f t="shared" si="43"/>
        <v>0</v>
      </c>
      <c r="F55" s="47"/>
      <c r="G55" s="14" t="str">
        <f t="shared" si="44"/>
        <v>#DIV/0!</v>
      </c>
      <c r="H55" s="40"/>
      <c r="I55" s="40"/>
      <c r="J55" s="37">
        <f t="shared" si="45"/>
        <v>0</v>
      </c>
      <c r="K55" s="52" t="str">
        <f t="shared" si="46"/>
        <v/>
      </c>
      <c r="L55" s="48" t="str">
        <f t="shared" si="47"/>
        <v>#DIV/0!</v>
      </c>
      <c r="M55" s="50"/>
      <c r="N55" s="49">
        <f t="shared" si="48"/>
        <v>0</v>
      </c>
      <c r="R55" s="80" t="str">
        <f t="shared" si="41"/>
        <v/>
      </c>
    </row>
    <row r="56">
      <c r="A56" s="84"/>
      <c r="B56" s="46" t="s">
        <v>16</v>
      </c>
      <c r="C56" s="37"/>
      <c r="D56" s="37"/>
      <c r="E56" s="12">
        <f t="shared" si="43"/>
        <v>0</v>
      </c>
      <c r="F56" s="47"/>
      <c r="G56" s="14" t="str">
        <f t="shared" si="44"/>
        <v>#DIV/0!</v>
      </c>
      <c r="H56" s="40"/>
      <c r="I56" s="40"/>
      <c r="J56" s="37">
        <f t="shared" si="45"/>
        <v>0</v>
      </c>
      <c r="K56" s="52" t="str">
        <f t="shared" si="46"/>
        <v/>
      </c>
      <c r="L56" s="48" t="str">
        <f t="shared" si="47"/>
        <v>#DIV/0!</v>
      </c>
      <c r="M56" s="50"/>
      <c r="N56" s="49">
        <f t="shared" si="48"/>
        <v>0</v>
      </c>
      <c r="R56" s="80" t="str">
        <f t="shared" si="41"/>
        <v/>
      </c>
    </row>
    <row r="57">
      <c r="A57" s="84"/>
      <c r="B57" s="46" t="s">
        <v>16</v>
      </c>
      <c r="C57" s="37"/>
      <c r="D57" s="37"/>
      <c r="E57" s="12">
        <f t="shared" si="43"/>
        <v>0</v>
      </c>
      <c r="F57" s="47"/>
      <c r="G57" s="14" t="str">
        <f t="shared" si="44"/>
        <v>#DIV/0!</v>
      </c>
      <c r="H57" s="40"/>
      <c r="I57" s="40"/>
      <c r="J57" s="37">
        <f t="shared" si="45"/>
        <v>0</v>
      </c>
      <c r="K57" s="52" t="str">
        <f t="shared" si="46"/>
        <v/>
      </c>
      <c r="L57" s="48" t="str">
        <f t="shared" si="47"/>
        <v>#DIV/0!</v>
      </c>
      <c r="M57" s="50"/>
      <c r="N57" s="49">
        <f t="shared" si="48"/>
        <v>0</v>
      </c>
      <c r="R57" s="80" t="str">
        <f t="shared" si="41"/>
        <v/>
      </c>
    </row>
    <row r="58">
      <c r="A58" s="84"/>
      <c r="B58" s="46" t="s">
        <v>16</v>
      </c>
      <c r="C58" s="37"/>
      <c r="D58" s="37"/>
      <c r="E58" s="12">
        <f t="shared" si="43"/>
        <v>0</v>
      </c>
      <c r="F58" s="47"/>
      <c r="G58" s="14" t="str">
        <f t="shared" si="44"/>
        <v>#DIV/0!</v>
      </c>
      <c r="H58" s="40"/>
      <c r="I58" s="40"/>
      <c r="J58" s="37">
        <f t="shared" si="45"/>
        <v>0</v>
      </c>
      <c r="K58" s="52" t="str">
        <f t="shared" si="46"/>
        <v/>
      </c>
      <c r="L58" s="48" t="str">
        <f t="shared" si="47"/>
        <v>#DIV/0!</v>
      </c>
      <c r="M58" s="50"/>
      <c r="N58" s="49">
        <f t="shared" si="48"/>
        <v>0</v>
      </c>
    </row>
    <row r="59">
      <c r="A59" s="84"/>
      <c r="B59" s="46" t="s">
        <v>16</v>
      </c>
      <c r="C59" s="37"/>
      <c r="D59" s="37"/>
      <c r="E59" s="12">
        <f t="shared" si="43"/>
        <v>0</v>
      </c>
      <c r="F59" s="47"/>
      <c r="G59" s="14" t="str">
        <f t="shared" si="44"/>
        <v>#DIV/0!</v>
      </c>
      <c r="H59" s="40"/>
      <c r="I59" s="40"/>
      <c r="J59" s="37">
        <f t="shared" si="45"/>
        <v>0</v>
      </c>
      <c r="K59" s="52" t="str">
        <f t="shared" si="46"/>
        <v/>
      </c>
      <c r="L59" s="48" t="str">
        <f t="shared" si="47"/>
        <v>#DIV/0!</v>
      </c>
      <c r="M59" s="50"/>
      <c r="N59" s="49">
        <f t="shared" si="48"/>
        <v>0</v>
      </c>
      <c r="R59" s="80" t="str">
        <f t="shared" ref="R59:R64" si="49">Q59</f>
        <v/>
      </c>
    </row>
    <row r="60">
      <c r="A60" s="84"/>
      <c r="B60" s="46" t="s">
        <v>16</v>
      </c>
      <c r="C60" s="55"/>
      <c r="D60" s="55"/>
      <c r="E60" s="25">
        <f t="shared" si="43"/>
        <v>0</v>
      </c>
      <c r="F60" s="47"/>
      <c r="G60" s="56" t="str">
        <f t="shared" si="44"/>
        <v>#DIV/0!</v>
      </c>
      <c r="H60" s="55"/>
      <c r="I60" s="85"/>
      <c r="J60" s="55">
        <f t="shared" si="45"/>
        <v>0</v>
      </c>
      <c r="K60" s="52" t="str">
        <f t="shared" si="46"/>
        <v/>
      </c>
      <c r="L60" s="77" t="str">
        <f t="shared" si="47"/>
        <v>#DIV/0!</v>
      </c>
      <c r="M60" s="50"/>
      <c r="N60" s="59">
        <f t="shared" si="48"/>
        <v>0</v>
      </c>
      <c r="R60" s="80" t="str">
        <f t="shared" si="49"/>
        <v/>
      </c>
    </row>
    <row r="61">
      <c r="A61" s="62"/>
      <c r="B61" s="63"/>
      <c r="C61" s="86"/>
      <c r="D61" s="64" t="s">
        <v>19</v>
      </c>
      <c r="E61" s="64">
        <f>sum(E50:E60)</f>
        <v>1572</v>
      </c>
      <c r="F61" s="39"/>
      <c r="G61" s="65" t="str">
        <f>average(G50:G60)</f>
        <v>#DIV/0!</v>
      </c>
      <c r="H61" s="62"/>
      <c r="I61" s="66"/>
      <c r="J61" s="64">
        <f t="shared" ref="J61:K61" si="50">sum(J50:J60)</f>
        <v>1698</v>
      </c>
      <c r="K61" s="64">
        <f t="shared" si="50"/>
        <v>175</v>
      </c>
      <c r="L61" s="65" t="str">
        <f>average(L50:L60)</f>
        <v>#DIV/0!</v>
      </c>
      <c r="M61" s="68"/>
      <c r="N61" s="69">
        <f>sum(N50:N60)</f>
        <v>4445620</v>
      </c>
      <c r="R61" s="80" t="str">
        <f t="shared" si="49"/>
        <v/>
      </c>
    </row>
    <row r="62">
      <c r="A62" s="70">
        <v>46176.0</v>
      </c>
      <c r="B62" s="87" t="s">
        <v>18</v>
      </c>
      <c r="C62" s="37">
        <v>160559.0</v>
      </c>
      <c r="D62" s="52">
        <v>160835.0</v>
      </c>
      <c r="E62" s="38">
        <f t="shared" ref="E62:E70" si="51">D62-C62</f>
        <v>276</v>
      </c>
      <c r="F62" s="39">
        <v>42.0</v>
      </c>
      <c r="G62" s="14">
        <f t="shared" ref="G62:G70" si="52">(F62/E62)*100</f>
        <v>15.2173913</v>
      </c>
      <c r="H62" s="40">
        <v>33654.0</v>
      </c>
      <c r="I62" s="40">
        <v>33962.0</v>
      </c>
      <c r="J62" s="41">
        <f t="shared" ref="J62:J70" si="53">I62-H62</f>
        <v>308</v>
      </c>
      <c r="K62" s="81">
        <f t="shared" ref="K62:K70" si="54">F62</f>
        <v>42</v>
      </c>
      <c r="L62" s="71">
        <f t="shared" ref="L62:L70" si="55">(K62/J62)*100</f>
        <v>13.63636364</v>
      </c>
      <c r="M62" s="72">
        <v>27650.0</v>
      </c>
      <c r="N62" s="44">
        <f t="shared" ref="N62:N70" si="56">F62*M62</f>
        <v>1161300</v>
      </c>
      <c r="R62" s="80" t="str">
        <f t="shared" si="49"/>
        <v/>
      </c>
    </row>
    <row r="63">
      <c r="A63" s="35">
        <v>46179.0</v>
      </c>
      <c r="B63" s="46" t="s">
        <v>18</v>
      </c>
      <c r="C63" s="52">
        <v>160835.0</v>
      </c>
      <c r="D63" s="37">
        <v>161196.0</v>
      </c>
      <c r="E63" s="12">
        <f t="shared" si="51"/>
        <v>361</v>
      </c>
      <c r="F63" s="47">
        <v>40.0</v>
      </c>
      <c r="G63" s="14">
        <f t="shared" si="52"/>
        <v>11.08033241</v>
      </c>
      <c r="H63" s="40">
        <v>33962.0</v>
      </c>
      <c r="I63" s="40">
        <v>34325.0</v>
      </c>
      <c r="J63" s="37">
        <f t="shared" si="53"/>
        <v>363</v>
      </c>
      <c r="K63" s="52">
        <f t="shared" si="54"/>
        <v>40</v>
      </c>
      <c r="L63" s="48">
        <f t="shared" si="55"/>
        <v>11.01928375</v>
      </c>
      <c r="M63" s="50">
        <v>26860.0</v>
      </c>
      <c r="N63" s="49">
        <f t="shared" si="56"/>
        <v>1074400</v>
      </c>
      <c r="R63" s="80" t="str">
        <f t="shared" si="49"/>
        <v/>
      </c>
    </row>
    <row r="64">
      <c r="A64" s="35">
        <v>46183.0</v>
      </c>
      <c r="B64" s="46" t="s">
        <v>18</v>
      </c>
      <c r="C64" s="37">
        <v>161196.0</v>
      </c>
      <c r="D64" s="37">
        <v>161486.0</v>
      </c>
      <c r="E64" s="12">
        <f t="shared" si="51"/>
        <v>290</v>
      </c>
      <c r="F64" s="47">
        <v>44.0</v>
      </c>
      <c r="G64" s="14">
        <f t="shared" si="52"/>
        <v>15.17241379</v>
      </c>
      <c r="H64" s="40">
        <v>34325.0</v>
      </c>
      <c r="I64" s="40">
        <v>34638.0</v>
      </c>
      <c r="J64" s="37">
        <f t="shared" si="53"/>
        <v>313</v>
      </c>
      <c r="K64" s="52">
        <f t="shared" si="54"/>
        <v>44</v>
      </c>
      <c r="L64" s="48">
        <f t="shared" si="55"/>
        <v>14.05750799</v>
      </c>
      <c r="M64" s="50">
        <v>26860.0</v>
      </c>
      <c r="N64" s="49">
        <f t="shared" si="56"/>
        <v>1181840</v>
      </c>
      <c r="R64" s="80" t="str">
        <f t="shared" si="49"/>
        <v/>
      </c>
    </row>
    <row r="65">
      <c r="A65" s="35">
        <v>46188.0</v>
      </c>
      <c r="B65" s="46" t="s">
        <v>18</v>
      </c>
      <c r="C65" s="37">
        <v>161486.0</v>
      </c>
      <c r="D65" s="37">
        <v>161757.0</v>
      </c>
      <c r="E65" s="12">
        <f t="shared" si="51"/>
        <v>271</v>
      </c>
      <c r="F65" s="47">
        <v>39.0</v>
      </c>
      <c r="G65" s="14">
        <f t="shared" si="52"/>
        <v>14.39114391</v>
      </c>
      <c r="H65" s="40">
        <v>34638.0</v>
      </c>
      <c r="I65" s="40">
        <v>35041.0</v>
      </c>
      <c r="J65" s="37">
        <f t="shared" si="53"/>
        <v>403</v>
      </c>
      <c r="K65" s="52">
        <f t="shared" si="54"/>
        <v>39</v>
      </c>
      <c r="L65" s="48">
        <f t="shared" si="55"/>
        <v>9.677419355</v>
      </c>
      <c r="M65" s="50">
        <v>25870.0</v>
      </c>
      <c r="N65" s="49">
        <f t="shared" si="56"/>
        <v>1008930</v>
      </c>
    </row>
    <row r="66">
      <c r="A66" s="35"/>
      <c r="B66" s="46" t="s">
        <v>18</v>
      </c>
      <c r="C66" s="37"/>
      <c r="D66" s="37"/>
      <c r="E66" s="12">
        <f t="shared" si="51"/>
        <v>0</v>
      </c>
      <c r="F66" s="47"/>
      <c r="G66" s="14" t="str">
        <f t="shared" si="52"/>
        <v>#DIV/0!</v>
      </c>
      <c r="H66" s="40"/>
      <c r="I66" s="40"/>
      <c r="J66" s="37">
        <f t="shared" si="53"/>
        <v>0</v>
      </c>
      <c r="K66" s="52" t="str">
        <f t="shared" si="54"/>
        <v/>
      </c>
      <c r="L66" s="48" t="str">
        <f t="shared" si="55"/>
        <v>#DIV/0!</v>
      </c>
      <c r="M66" s="50"/>
      <c r="N66" s="49">
        <f t="shared" si="56"/>
        <v>0</v>
      </c>
      <c r="R66" s="80" t="str">
        <f t="shared" ref="R66:R128" si="57">Q66</f>
        <v/>
      </c>
    </row>
    <row r="67">
      <c r="A67" s="35"/>
      <c r="B67" s="46" t="s">
        <v>18</v>
      </c>
      <c r="C67" s="37"/>
      <c r="D67" s="37"/>
      <c r="E67" s="12">
        <f t="shared" si="51"/>
        <v>0</v>
      </c>
      <c r="F67" s="47"/>
      <c r="G67" s="14" t="str">
        <f t="shared" si="52"/>
        <v>#DIV/0!</v>
      </c>
      <c r="H67" s="40"/>
      <c r="I67" s="40"/>
      <c r="J67" s="37">
        <f t="shared" si="53"/>
        <v>0</v>
      </c>
      <c r="K67" s="52" t="str">
        <f t="shared" si="54"/>
        <v/>
      </c>
      <c r="L67" s="48" t="str">
        <f t="shared" si="55"/>
        <v>#DIV/0!</v>
      </c>
      <c r="M67" s="50"/>
      <c r="N67" s="49">
        <f t="shared" si="56"/>
        <v>0</v>
      </c>
      <c r="R67" s="80" t="str">
        <f t="shared" si="57"/>
        <v/>
      </c>
    </row>
    <row r="68">
      <c r="A68" s="35"/>
      <c r="B68" s="46" t="s">
        <v>18</v>
      </c>
      <c r="C68" s="37"/>
      <c r="D68" s="37"/>
      <c r="E68" s="53">
        <f t="shared" si="51"/>
        <v>0</v>
      </c>
      <c r="F68" s="47"/>
      <c r="G68" s="14" t="str">
        <f t="shared" si="52"/>
        <v>#DIV/0!</v>
      </c>
      <c r="H68" s="40"/>
      <c r="I68" s="40"/>
      <c r="J68" s="37">
        <f t="shared" si="53"/>
        <v>0</v>
      </c>
      <c r="K68" s="52" t="str">
        <f t="shared" si="54"/>
        <v/>
      </c>
      <c r="L68" s="48" t="str">
        <f t="shared" si="55"/>
        <v>#DIV/0!</v>
      </c>
      <c r="M68" s="50"/>
      <c r="N68" s="49">
        <f t="shared" si="56"/>
        <v>0</v>
      </c>
      <c r="R68" s="80" t="str">
        <f t="shared" si="57"/>
        <v/>
      </c>
    </row>
    <row r="69">
      <c r="A69" s="45"/>
      <c r="B69" s="51" t="s">
        <v>18</v>
      </c>
      <c r="C69" s="37"/>
      <c r="D69" s="52"/>
      <c r="E69" s="53">
        <f t="shared" si="51"/>
        <v>0</v>
      </c>
      <c r="F69" s="47"/>
      <c r="G69" s="14" t="str">
        <f t="shared" si="52"/>
        <v>#DIV/0!</v>
      </c>
      <c r="H69" s="40"/>
      <c r="I69" s="40"/>
      <c r="J69" s="37">
        <f t="shared" si="53"/>
        <v>0</v>
      </c>
      <c r="K69" s="52" t="str">
        <f t="shared" si="54"/>
        <v/>
      </c>
      <c r="L69" s="48" t="str">
        <f t="shared" si="55"/>
        <v>#DIV/0!</v>
      </c>
      <c r="M69" s="50"/>
      <c r="N69" s="49">
        <f t="shared" si="56"/>
        <v>0</v>
      </c>
      <c r="R69" s="80" t="str">
        <f t="shared" si="57"/>
        <v/>
      </c>
    </row>
    <row r="70">
      <c r="A70" s="35"/>
      <c r="B70" s="46" t="s">
        <v>18</v>
      </c>
      <c r="C70" s="13"/>
      <c r="D70" s="55"/>
      <c r="E70" s="25">
        <f t="shared" si="51"/>
        <v>0</v>
      </c>
      <c r="F70" s="47"/>
      <c r="G70" s="56" t="str">
        <f t="shared" si="52"/>
        <v>#DIV/0!</v>
      </c>
      <c r="H70" s="55"/>
      <c r="I70" s="57"/>
      <c r="J70" s="55">
        <f t="shared" si="53"/>
        <v>0</v>
      </c>
      <c r="K70" s="52" t="str">
        <f t="shared" si="54"/>
        <v/>
      </c>
      <c r="L70" s="77" t="str">
        <f t="shared" si="55"/>
        <v>#DIV/0!</v>
      </c>
      <c r="M70" s="50"/>
      <c r="N70" s="59">
        <f t="shared" si="56"/>
        <v>0</v>
      </c>
      <c r="R70" s="80" t="str">
        <f t="shared" si="57"/>
        <v/>
      </c>
    </row>
    <row r="71">
      <c r="A71" s="62"/>
      <c r="B71" s="63"/>
      <c r="C71" s="88"/>
      <c r="D71" s="64" t="s">
        <v>19</v>
      </c>
      <c r="E71" s="64">
        <f t="shared" ref="E71:F71" si="58">sum(E62:E70)</f>
        <v>1198</v>
      </c>
      <c r="F71" s="64">
        <f t="shared" si="58"/>
        <v>165</v>
      </c>
      <c r="G71" s="65" t="str">
        <f>average(G62:G70)</f>
        <v>#DIV/0!</v>
      </c>
      <c r="H71" s="62"/>
      <c r="I71" s="66"/>
      <c r="J71" s="64">
        <f t="shared" ref="J71:K71" si="59">sum(J62:J70)</f>
        <v>1387</v>
      </c>
      <c r="K71" s="64">
        <f t="shared" si="59"/>
        <v>165</v>
      </c>
      <c r="L71" s="65" t="str">
        <f>average(L62:L70)</f>
        <v>#DIV/0!</v>
      </c>
      <c r="M71" s="68"/>
      <c r="N71" s="69">
        <f>sum(N62:N70)</f>
        <v>4426470</v>
      </c>
      <c r="R71" s="80" t="str">
        <f t="shared" si="57"/>
        <v/>
      </c>
    </row>
    <row r="72">
      <c r="A72" s="70">
        <v>46174.0</v>
      </c>
      <c r="B72" s="36" t="s">
        <v>20</v>
      </c>
      <c r="C72" s="37">
        <v>407538.0</v>
      </c>
      <c r="D72" s="37">
        <v>408149.0</v>
      </c>
      <c r="E72" s="38">
        <f t="shared" ref="E72:E79" si="60">D72-C72</f>
        <v>611</v>
      </c>
      <c r="F72" s="39">
        <v>71.0</v>
      </c>
      <c r="G72" s="14">
        <f t="shared" ref="G72:G79" si="61">(F72/E72)*100</f>
        <v>11.6202946</v>
      </c>
      <c r="H72" s="40">
        <v>39450.0</v>
      </c>
      <c r="I72" s="40">
        <v>40051.0</v>
      </c>
      <c r="J72" s="41">
        <f t="shared" ref="J72:J79" si="62">I72-H72</f>
        <v>601</v>
      </c>
      <c r="K72" s="81">
        <f t="shared" ref="K72:K79" si="63">F72</f>
        <v>71</v>
      </c>
      <c r="L72" s="71">
        <f t="shared" ref="L72:L79" si="64">(K72/J72)*100</f>
        <v>11.81364393</v>
      </c>
      <c r="M72" s="72">
        <v>27650.0</v>
      </c>
      <c r="N72" s="44">
        <f t="shared" ref="N72:N79" si="65">F72*M72</f>
        <v>1963150</v>
      </c>
      <c r="R72" s="80" t="str">
        <f t="shared" si="57"/>
        <v/>
      </c>
    </row>
    <row r="73">
      <c r="A73" s="35">
        <v>46179.0</v>
      </c>
      <c r="B73" s="46" t="s">
        <v>20</v>
      </c>
      <c r="C73" s="37">
        <v>408149.0</v>
      </c>
      <c r="D73" s="37">
        <v>408669.0</v>
      </c>
      <c r="E73" s="12">
        <f t="shared" si="60"/>
        <v>520</v>
      </c>
      <c r="F73" s="47">
        <v>61.0</v>
      </c>
      <c r="G73" s="14">
        <f t="shared" si="61"/>
        <v>11.73076923</v>
      </c>
      <c r="H73" s="40">
        <v>40051.0</v>
      </c>
      <c r="I73" s="89">
        <v>40566.0</v>
      </c>
      <c r="J73" s="37">
        <f t="shared" si="62"/>
        <v>515</v>
      </c>
      <c r="K73" s="52">
        <f t="shared" si="63"/>
        <v>61</v>
      </c>
      <c r="L73" s="48">
        <f t="shared" si="64"/>
        <v>11.84466019</v>
      </c>
      <c r="M73" s="50">
        <v>26860.0</v>
      </c>
      <c r="N73" s="49">
        <f t="shared" si="65"/>
        <v>1638460</v>
      </c>
      <c r="R73" s="80" t="str">
        <f t="shared" si="57"/>
        <v/>
      </c>
    </row>
    <row r="74">
      <c r="A74" s="35">
        <v>46186.0</v>
      </c>
      <c r="B74" s="46" t="s">
        <v>20</v>
      </c>
      <c r="C74" s="37">
        <v>408669.0</v>
      </c>
      <c r="D74" s="37">
        <v>409170.0</v>
      </c>
      <c r="E74" s="12">
        <f t="shared" si="60"/>
        <v>501</v>
      </c>
      <c r="F74" s="47">
        <v>64.0</v>
      </c>
      <c r="G74" s="14">
        <f t="shared" si="61"/>
        <v>12.7744511</v>
      </c>
      <c r="H74" s="89">
        <v>40566.0</v>
      </c>
      <c r="I74" s="40">
        <v>41058.0</v>
      </c>
      <c r="J74" s="37">
        <f t="shared" si="62"/>
        <v>492</v>
      </c>
      <c r="K74" s="52">
        <f t="shared" si="63"/>
        <v>64</v>
      </c>
      <c r="L74" s="48">
        <f t="shared" si="64"/>
        <v>13.00813008</v>
      </c>
      <c r="M74" s="50">
        <v>25870.0</v>
      </c>
      <c r="N74" s="49">
        <f t="shared" si="65"/>
        <v>1655680</v>
      </c>
      <c r="R74" s="80" t="str">
        <f t="shared" si="57"/>
        <v/>
      </c>
    </row>
    <row r="75">
      <c r="A75" s="35"/>
      <c r="B75" s="46" t="s">
        <v>20</v>
      </c>
      <c r="C75" s="37"/>
      <c r="D75" s="37"/>
      <c r="E75" s="12">
        <f t="shared" si="60"/>
        <v>0</v>
      </c>
      <c r="F75" s="47"/>
      <c r="G75" s="14" t="str">
        <f t="shared" si="61"/>
        <v>#DIV/0!</v>
      </c>
      <c r="H75" s="40"/>
      <c r="I75" s="40"/>
      <c r="J75" s="37">
        <f t="shared" si="62"/>
        <v>0</v>
      </c>
      <c r="K75" s="52" t="str">
        <f t="shared" si="63"/>
        <v/>
      </c>
      <c r="L75" s="48" t="str">
        <f t="shared" si="64"/>
        <v>#DIV/0!</v>
      </c>
      <c r="M75" s="50"/>
      <c r="N75" s="49">
        <f t="shared" si="65"/>
        <v>0</v>
      </c>
      <c r="R75" s="80" t="str">
        <f t="shared" si="57"/>
        <v/>
      </c>
    </row>
    <row r="76">
      <c r="A76" s="35"/>
      <c r="B76" s="46" t="s">
        <v>20</v>
      </c>
      <c r="C76" s="37"/>
      <c r="D76" s="37"/>
      <c r="E76" s="12">
        <f t="shared" si="60"/>
        <v>0</v>
      </c>
      <c r="F76" s="47"/>
      <c r="G76" s="14" t="str">
        <f t="shared" si="61"/>
        <v>#DIV/0!</v>
      </c>
      <c r="H76" s="40"/>
      <c r="I76" s="40"/>
      <c r="J76" s="37">
        <f t="shared" si="62"/>
        <v>0</v>
      </c>
      <c r="K76" s="52" t="str">
        <f t="shared" si="63"/>
        <v/>
      </c>
      <c r="L76" s="48" t="str">
        <f t="shared" si="64"/>
        <v>#DIV/0!</v>
      </c>
      <c r="M76" s="50"/>
      <c r="N76" s="49">
        <f t="shared" si="65"/>
        <v>0</v>
      </c>
      <c r="R76" s="80" t="str">
        <f t="shared" si="57"/>
        <v/>
      </c>
    </row>
    <row r="77">
      <c r="A77" s="35"/>
      <c r="B77" s="46" t="s">
        <v>20</v>
      </c>
      <c r="C77" s="37"/>
      <c r="D77" s="37"/>
      <c r="E77" s="12">
        <f t="shared" si="60"/>
        <v>0</v>
      </c>
      <c r="F77" s="90"/>
      <c r="G77" s="14" t="str">
        <f t="shared" si="61"/>
        <v>#DIV/0!</v>
      </c>
      <c r="H77" s="40"/>
      <c r="I77" s="40"/>
      <c r="J77" s="37">
        <f t="shared" si="62"/>
        <v>0</v>
      </c>
      <c r="K77" s="52" t="str">
        <f t="shared" si="63"/>
        <v/>
      </c>
      <c r="L77" s="48" t="str">
        <f t="shared" si="64"/>
        <v>#DIV/0!</v>
      </c>
      <c r="M77" s="50"/>
      <c r="N77" s="49">
        <f t="shared" si="65"/>
        <v>0</v>
      </c>
      <c r="R77" s="80" t="str">
        <f t="shared" si="57"/>
        <v/>
      </c>
    </row>
    <row r="78">
      <c r="A78" s="35"/>
      <c r="B78" s="46" t="s">
        <v>20</v>
      </c>
      <c r="C78" s="37"/>
      <c r="D78" s="55"/>
      <c r="E78" s="25">
        <f t="shared" si="60"/>
        <v>0</v>
      </c>
      <c r="F78" s="47"/>
      <c r="G78" s="56" t="str">
        <f t="shared" si="61"/>
        <v>#DIV/0!</v>
      </c>
      <c r="H78" s="40"/>
      <c r="I78" s="57"/>
      <c r="J78" s="55">
        <f t="shared" si="62"/>
        <v>0</v>
      </c>
      <c r="K78" s="52" t="str">
        <f t="shared" si="63"/>
        <v/>
      </c>
      <c r="L78" s="77" t="str">
        <f t="shared" si="64"/>
        <v>#DIV/0!</v>
      </c>
      <c r="M78" s="58"/>
      <c r="N78" s="59">
        <f t="shared" si="65"/>
        <v>0</v>
      </c>
      <c r="R78" s="80" t="str">
        <f t="shared" si="57"/>
        <v/>
      </c>
    </row>
    <row r="79">
      <c r="A79" s="35"/>
      <c r="B79" s="46" t="s">
        <v>20</v>
      </c>
      <c r="C79" s="55"/>
      <c r="D79" s="55"/>
      <c r="E79" s="25">
        <f t="shared" si="60"/>
        <v>0</v>
      </c>
      <c r="F79" s="47"/>
      <c r="G79" s="56" t="str">
        <f t="shared" si="61"/>
        <v>#DIV/0!</v>
      </c>
      <c r="H79" s="57"/>
      <c r="I79" s="57"/>
      <c r="J79" s="55">
        <f t="shared" si="62"/>
        <v>0</v>
      </c>
      <c r="K79" s="52" t="str">
        <f t="shared" si="63"/>
        <v/>
      </c>
      <c r="L79" s="77" t="str">
        <f t="shared" si="64"/>
        <v>#DIV/0!</v>
      </c>
      <c r="M79" s="58"/>
      <c r="N79" s="59">
        <f t="shared" si="65"/>
        <v>0</v>
      </c>
      <c r="R79" s="80" t="str">
        <f t="shared" si="57"/>
        <v/>
      </c>
    </row>
    <row r="80">
      <c r="A80" s="62"/>
      <c r="B80" s="63"/>
      <c r="C80" s="62"/>
      <c r="D80" s="64" t="s">
        <v>19</v>
      </c>
      <c r="E80" s="64">
        <f>sum(E72:E78)</f>
        <v>1632</v>
      </c>
      <c r="F80" s="39"/>
      <c r="G80" s="65" t="str">
        <f>average(G72:G78)</f>
        <v>#DIV/0!</v>
      </c>
      <c r="H80" s="62"/>
      <c r="I80" s="66"/>
      <c r="J80" s="64">
        <f>sum(J72:J78)</f>
        <v>1608</v>
      </c>
      <c r="K80" s="64">
        <f>sum(K73:K78)</f>
        <v>125</v>
      </c>
      <c r="L80" s="65" t="str">
        <f>average(L72:L78)</f>
        <v>#DIV/0!</v>
      </c>
      <c r="M80" s="68"/>
      <c r="N80" s="69">
        <f>sum(N72:N79)</f>
        <v>5257290</v>
      </c>
      <c r="R80" s="80" t="str">
        <f t="shared" si="57"/>
        <v/>
      </c>
    </row>
    <row r="81">
      <c r="A81" s="91">
        <v>46174.0</v>
      </c>
      <c r="B81" s="36" t="s">
        <v>21</v>
      </c>
      <c r="C81" s="37">
        <v>389494.0</v>
      </c>
      <c r="D81" s="37">
        <v>389926.0</v>
      </c>
      <c r="E81" s="38">
        <f t="shared" ref="E81:E87" si="66">D81-C81</f>
        <v>432</v>
      </c>
      <c r="F81" s="39">
        <v>65.0</v>
      </c>
      <c r="G81" s="14">
        <f t="shared" ref="G81:G87" si="67">(F81/E81)*100</f>
        <v>15.0462963</v>
      </c>
      <c r="H81" s="40">
        <v>32800.0</v>
      </c>
      <c r="I81" s="40">
        <v>33007.0</v>
      </c>
      <c r="J81" s="41">
        <f t="shared" ref="J81:J87" si="68">I81-H81</f>
        <v>207</v>
      </c>
      <c r="K81" s="81">
        <f t="shared" ref="K81:K87" si="69">F81</f>
        <v>65</v>
      </c>
      <c r="L81" s="71">
        <f t="shared" ref="L81:L87" si="70">(K81/J81)*100</f>
        <v>31.40096618</v>
      </c>
      <c r="M81" s="72">
        <v>27650.0</v>
      </c>
      <c r="N81" s="44">
        <f t="shared" ref="N81:N87" si="71">F81*M81</f>
        <v>1797250</v>
      </c>
      <c r="R81" s="80" t="str">
        <f t="shared" si="57"/>
        <v/>
      </c>
    </row>
    <row r="82">
      <c r="A82" s="91">
        <v>46182.0</v>
      </c>
      <c r="B82" s="46" t="s">
        <v>21</v>
      </c>
      <c r="C82" s="37">
        <v>389926.0</v>
      </c>
      <c r="D82" s="37">
        <v>390346.0</v>
      </c>
      <c r="E82" s="12">
        <f t="shared" si="66"/>
        <v>420</v>
      </c>
      <c r="F82" s="47">
        <v>67.0</v>
      </c>
      <c r="G82" s="14">
        <f t="shared" si="67"/>
        <v>15.95238095</v>
      </c>
      <c r="H82" s="40">
        <v>33007.0</v>
      </c>
      <c r="I82" s="40">
        <v>33400.0</v>
      </c>
      <c r="J82" s="37">
        <f t="shared" si="68"/>
        <v>393</v>
      </c>
      <c r="K82" s="52">
        <f t="shared" si="69"/>
        <v>67</v>
      </c>
      <c r="L82" s="48">
        <f t="shared" si="70"/>
        <v>17.04834606</v>
      </c>
      <c r="M82" s="72">
        <v>26860.0</v>
      </c>
      <c r="N82" s="49">
        <f t="shared" si="71"/>
        <v>1799620</v>
      </c>
      <c r="R82" s="80" t="str">
        <f t="shared" si="57"/>
        <v/>
      </c>
    </row>
    <row r="83">
      <c r="A83" s="92">
        <v>46186.0</v>
      </c>
      <c r="B83" s="46" t="s">
        <v>21</v>
      </c>
      <c r="C83" s="37">
        <v>390346.0</v>
      </c>
      <c r="D83" s="37">
        <v>390706.0</v>
      </c>
      <c r="E83" s="12">
        <f t="shared" si="66"/>
        <v>360</v>
      </c>
      <c r="F83" s="47">
        <v>55.0</v>
      </c>
      <c r="G83" s="14">
        <f t="shared" si="67"/>
        <v>15.27777778</v>
      </c>
      <c r="H83" s="40">
        <v>33400.0</v>
      </c>
      <c r="I83" s="40">
        <v>33791.0</v>
      </c>
      <c r="J83" s="37">
        <f t="shared" si="68"/>
        <v>391</v>
      </c>
      <c r="K83" s="52">
        <f t="shared" si="69"/>
        <v>55</v>
      </c>
      <c r="L83" s="48">
        <f t="shared" si="70"/>
        <v>14.06649616</v>
      </c>
      <c r="M83" s="72">
        <v>25870.0</v>
      </c>
      <c r="N83" s="49">
        <f t="shared" si="71"/>
        <v>1422850</v>
      </c>
      <c r="R83" s="80" t="str">
        <f t="shared" si="57"/>
        <v/>
      </c>
    </row>
    <row r="84">
      <c r="A84" s="92"/>
      <c r="B84" s="46" t="s">
        <v>21</v>
      </c>
      <c r="C84" s="37"/>
      <c r="D84" s="37"/>
      <c r="E84" s="12">
        <f t="shared" si="66"/>
        <v>0</v>
      </c>
      <c r="F84" s="47"/>
      <c r="G84" s="14" t="str">
        <f t="shared" si="67"/>
        <v>#DIV/0!</v>
      </c>
      <c r="H84" s="40"/>
      <c r="I84" s="40"/>
      <c r="J84" s="37">
        <f t="shared" si="68"/>
        <v>0</v>
      </c>
      <c r="K84" s="52" t="str">
        <f t="shared" si="69"/>
        <v/>
      </c>
      <c r="L84" s="48" t="str">
        <f t="shared" si="70"/>
        <v>#DIV/0!</v>
      </c>
      <c r="M84" s="50"/>
      <c r="N84" s="49">
        <f t="shared" si="71"/>
        <v>0</v>
      </c>
      <c r="R84" s="80" t="str">
        <f t="shared" si="57"/>
        <v/>
      </c>
    </row>
    <row r="85">
      <c r="A85" s="35"/>
      <c r="B85" s="46" t="s">
        <v>21</v>
      </c>
      <c r="C85" s="37"/>
      <c r="D85" s="37"/>
      <c r="E85" s="12">
        <f t="shared" si="66"/>
        <v>0</v>
      </c>
      <c r="F85" s="47"/>
      <c r="G85" s="14" t="str">
        <f t="shared" si="67"/>
        <v>#DIV/0!</v>
      </c>
      <c r="H85" s="40"/>
      <c r="I85" s="40"/>
      <c r="J85" s="37">
        <f t="shared" si="68"/>
        <v>0</v>
      </c>
      <c r="K85" s="52" t="str">
        <f t="shared" si="69"/>
        <v/>
      </c>
      <c r="L85" s="48" t="str">
        <f t="shared" si="70"/>
        <v>#DIV/0!</v>
      </c>
      <c r="M85" s="50"/>
      <c r="N85" s="49">
        <f t="shared" si="71"/>
        <v>0</v>
      </c>
      <c r="R85" s="80" t="str">
        <f t="shared" si="57"/>
        <v/>
      </c>
    </row>
    <row r="86">
      <c r="A86" s="92"/>
      <c r="B86" s="46" t="s">
        <v>37</v>
      </c>
      <c r="C86" s="37"/>
      <c r="D86" s="37"/>
      <c r="E86" s="12">
        <f t="shared" si="66"/>
        <v>0</v>
      </c>
      <c r="F86" s="47"/>
      <c r="G86" s="14" t="str">
        <f t="shared" si="67"/>
        <v>#DIV/0!</v>
      </c>
      <c r="H86" s="37"/>
      <c r="I86" s="93"/>
      <c r="J86" s="37">
        <f t="shared" si="68"/>
        <v>0</v>
      </c>
      <c r="K86" s="52" t="str">
        <f t="shared" si="69"/>
        <v/>
      </c>
      <c r="L86" s="48" t="str">
        <f t="shared" si="70"/>
        <v>#DIV/0!</v>
      </c>
      <c r="M86" s="50"/>
      <c r="N86" s="49">
        <f t="shared" si="71"/>
        <v>0</v>
      </c>
      <c r="R86" s="80" t="str">
        <f t="shared" si="57"/>
        <v/>
      </c>
    </row>
    <row r="87">
      <c r="A87" s="94"/>
      <c r="B87" s="46" t="s">
        <v>37</v>
      </c>
      <c r="C87" s="55"/>
      <c r="D87" s="95"/>
      <c r="E87" s="25">
        <f t="shared" si="66"/>
        <v>0</v>
      </c>
      <c r="F87" s="47"/>
      <c r="G87" s="56" t="str">
        <f t="shared" si="67"/>
        <v>#DIV/0!</v>
      </c>
      <c r="H87" s="55"/>
      <c r="I87" s="85"/>
      <c r="J87" s="55">
        <f t="shared" si="68"/>
        <v>0</v>
      </c>
      <c r="K87" s="52" t="str">
        <f t="shared" si="69"/>
        <v/>
      </c>
      <c r="L87" s="77" t="str">
        <f t="shared" si="70"/>
        <v>#DIV/0!</v>
      </c>
      <c r="M87" s="96"/>
      <c r="N87" s="59">
        <f t="shared" si="71"/>
        <v>0</v>
      </c>
      <c r="R87" s="80" t="str">
        <f t="shared" si="57"/>
        <v/>
      </c>
    </row>
    <row r="88">
      <c r="A88" s="62"/>
      <c r="B88" s="63"/>
      <c r="C88" s="62"/>
      <c r="D88" s="64" t="s">
        <v>19</v>
      </c>
      <c r="E88" s="64">
        <f>sum(E81:E87)</f>
        <v>1212</v>
      </c>
      <c r="F88" s="39"/>
      <c r="G88" s="65" t="str">
        <f>average(G81:G87)</f>
        <v>#DIV/0!</v>
      </c>
      <c r="H88" s="62"/>
      <c r="I88" s="66"/>
      <c r="J88" s="64">
        <f t="shared" ref="J88:K88" si="72">sum(J81:J87)</f>
        <v>991</v>
      </c>
      <c r="K88" s="64">
        <f t="shared" si="72"/>
        <v>187</v>
      </c>
      <c r="L88" s="65" t="str">
        <f>average(L81:L87)</f>
        <v>#DIV/0!</v>
      </c>
      <c r="M88" s="68"/>
      <c r="N88" s="69">
        <f>sum(N81:N87)</f>
        <v>5019720</v>
      </c>
      <c r="R88" s="80" t="str">
        <f t="shared" si="57"/>
        <v/>
      </c>
    </row>
    <row r="89">
      <c r="A89" s="35">
        <v>46178.0</v>
      </c>
      <c r="B89" s="87" t="s">
        <v>22</v>
      </c>
      <c r="C89" s="37">
        <v>223828.0</v>
      </c>
      <c r="D89" s="37">
        <v>224178.0</v>
      </c>
      <c r="E89" s="38">
        <f t="shared" ref="E89:E96" si="73">D89-C89</f>
        <v>350</v>
      </c>
      <c r="F89" s="39">
        <v>48.0</v>
      </c>
      <c r="G89" s="14">
        <f t="shared" ref="G89:G96" si="74">(F89/E89)*100</f>
        <v>13.71428571</v>
      </c>
      <c r="H89" s="40">
        <v>32775.0</v>
      </c>
      <c r="I89" s="40">
        <v>33112.0</v>
      </c>
      <c r="J89" s="41">
        <f t="shared" ref="J89:J96" si="75">I89-H89</f>
        <v>337</v>
      </c>
      <c r="K89" s="81">
        <f t="shared" ref="K89:K96" si="76">F89</f>
        <v>48</v>
      </c>
      <c r="L89" s="71">
        <f t="shared" ref="L89:L96" si="77">(K89/J89)*100</f>
        <v>14.24332344</v>
      </c>
      <c r="M89" s="72">
        <v>26860.0</v>
      </c>
      <c r="N89" s="44">
        <f t="shared" ref="N89:N96" si="78">F89*M89</f>
        <v>1289280</v>
      </c>
      <c r="R89" s="80" t="str">
        <f t="shared" si="57"/>
        <v/>
      </c>
    </row>
    <row r="90">
      <c r="A90" s="35">
        <v>46182.0</v>
      </c>
      <c r="B90" s="46" t="s">
        <v>22</v>
      </c>
      <c r="C90" s="37">
        <v>224178.0</v>
      </c>
      <c r="D90" s="37">
        <v>224511.0</v>
      </c>
      <c r="E90" s="12">
        <f t="shared" si="73"/>
        <v>333</v>
      </c>
      <c r="F90" s="47">
        <v>46.0</v>
      </c>
      <c r="G90" s="14">
        <f t="shared" si="74"/>
        <v>13.81381381</v>
      </c>
      <c r="H90" s="40">
        <v>33112.0</v>
      </c>
      <c r="I90" s="40">
        <v>33439.0</v>
      </c>
      <c r="J90" s="37">
        <f t="shared" si="75"/>
        <v>327</v>
      </c>
      <c r="K90" s="52">
        <f t="shared" si="76"/>
        <v>46</v>
      </c>
      <c r="L90" s="48">
        <f t="shared" si="77"/>
        <v>14.06727829</v>
      </c>
      <c r="M90" s="72">
        <v>26860.0</v>
      </c>
      <c r="N90" s="49">
        <f t="shared" si="78"/>
        <v>1235560</v>
      </c>
      <c r="R90" s="80" t="str">
        <f t="shared" si="57"/>
        <v/>
      </c>
    </row>
    <row r="91">
      <c r="A91" s="35">
        <v>46188.0</v>
      </c>
      <c r="B91" s="46" t="s">
        <v>22</v>
      </c>
      <c r="C91" s="37">
        <v>224511.0</v>
      </c>
      <c r="D91" s="37">
        <v>224912.0</v>
      </c>
      <c r="E91" s="12">
        <f t="shared" si="73"/>
        <v>401</v>
      </c>
      <c r="F91" s="47">
        <v>58.0</v>
      </c>
      <c r="G91" s="14">
        <f t="shared" si="74"/>
        <v>14.4638404</v>
      </c>
      <c r="H91" s="40">
        <v>33439.0</v>
      </c>
      <c r="I91" s="40">
        <v>33845.0</v>
      </c>
      <c r="J91" s="37">
        <f t="shared" si="75"/>
        <v>406</v>
      </c>
      <c r="K91" s="52">
        <f t="shared" si="76"/>
        <v>58</v>
      </c>
      <c r="L91" s="48">
        <f t="shared" si="77"/>
        <v>14.28571429</v>
      </c>
      <c r="M91" s="50">
        <v>25870.0</v>
      </c>
      <c r="N91" s="49">
        <f t="shared" si="78"/>
        <v>1500460</v>
      </c>
      <c r="R91" s="80" t="str">
        <f t="shared" si="57"/>
        <v/>
      </c>
    </row>
    <row r="92">
      <c r="A92" s="35">
        <v>46191.0</v>
      </c>
      <c r="B92" s="46" t="s">
        <v>22</v>
      </c>
      <c r="C92" s="37">
        <v>224912.0</v>
      </c>
      <c r="D92" s="37">
        <v>225337.0</v>
      </c>
      <c r="E92" s="12">
        <f t="shared" si="73"/>
        <v>425</v>
      </c>
      <c r="F92" s="47">
        <v>66.0</v>
      </c>
      <c r="G92" s="14">
        <f t="shared" si="74"/>
        <v>15.52941176</v>
      </c>
      <c r="H92" s="40">
        <v>33845.0</v>
      </c>
      <c r="I92" s="40">
        <v>34240.0</v>
      </c>
      <c r="J92" s="37">
        <f t="shared" si="75"/>
        <v>395</v>
      </c>
      <c r="K92" s="52">
        <f t="shared" si="76"/>
        <v>66</v>
      </c>
      <c r="L92" s="48">
        <f t="shared" si="77"/>
        <v>16.70886076</v>
      </c>
      <c r="M92" s="50">
        <v>23530.0</v>
      </c>
      <c r="N92" s="49">
        <f t="shared" si="78"/>
        <v>1552980</v>
      </c>
      <c r="R92" s="80" t="str">
        <f t="shared" si="57"/>
        <v/>
      </c>
    </row>
    <row r="93">
      <c r="A93" s="35"/>
      <c r="B93" s="46" t="s">
        <v>22</v>
      </c>
      <c r="C93" s="37"/>
      <c r="D93" s="37"/>
      <c r="E93" s="12">
        <f t="shared" si="73"/>
        <v>0</v>
      </c>
      <c r="F93" s="47"/>
      <c r="G93" s="14" t="str">
        <f t="shared" si="74"/>
        <v>#DIV/0!</v>
      </c>
      <c r="H93" s="40"/>
      <c r="I93" s="40"/>
      <c r="J93" s="37">
        <f t="shared" si="75"/>
        <v>0</v>
      </c>
      <c r="K93" s="52" t="str">
        <f t="shared" si="76"/>
        <v/>
      </c>
      <c r="L93" s="48" t="str">
        <f t="shared" si="77"/>
        <v>#DIV/0!</v>
      </c>
      <c r="M93" s="50"/>
      <c r="N93" s="49">
        <f t="shared" si="78"/>
        <v>0</v>
      </c>
      <c r="R93" s="80" t="str">
        <f t="shared" si="57"/>
        <v/>
      </c>
    </row>
    <row r="94">
      <c r="A94" s="92"/>
      <c r="B94" s="46" t="s">
        <v>22</v>
      </c>
      <c r="C94" s="37"/>
      <c r="D94" s="37"/>
      <c r="E94" s="12">
        <f t="shared" si="73"/>
        <v>0</v>
      </c>
      <c r="F94" s="47"/>
      <c r="G94" s="14" t="str">
        <f t="shared" si="74"/>
        <v>#DIV/0!</v>
      </c>
      <c r="H94" s="40"/>
      <c r="I94" s="40"/>
      <c r="J94" s="37">
        <f t="shared" si="75"/>
        <v>0</v>
      </c>
      <c r="K94" s="52" t="str">
        <f t="shared" si="76"/>
        <v/>
      </c>
      <c r="L94" s="48" t="str">
        <f t="shared" si="77"/>
        <v>#DIV/0!</v>
      </c>
      <c r="M94" s="50"/>
      <c r="N94" s="49">
        <f t="shared" si="78"/>
        <v>0</v>
      </c>
      <c r="R94" s="80" t="str">
        <f t="shared" si="57"/>
        <v/>
      </c>
    </row>
    <row r="95">
      <c r="A95" s="97"/>
      <c r="B95" s="46" t="s">
        <v>22</v>
      </c>
      <c r="C95" s="37"/>
      <c r="D95" s="55"/>
      <c r="E95" s="25">
        <f t="shared" si="73"/>
        <v>0</v>
      </c>
      <c r="F95" s="47"/>
      <c r="G95" s="56" t="str">
        <f t="shared" si="74"/>
        <v>#DIV/0!</v>
      </c>
      <c r="H95" s="40"/>
      <c r="I95" s="57"/>
      <c r="J95" s="55">
        <f t="shared" si="75"/>
        <v>0</v>
      </c>
      <c r="K95" s="52" t="str">
        <f t="shared" si="76"/>
        <v/>
      </c>
      <c r="L95" s="77" t="str">
        <f t="shared" si="77"/>
        <v>#DIV/0!</v>
      </c>
      <c r="M95" s="58"/>
      <c r="N95" s="59">
        <f t="shared" si="78"/>
        <v>0</v>
      </c>
      <c r="R95" s="80" t="str">
        <f t="shared" si="57"/>
        <v/>
      </c>
    </row>
    <row r="96">
      <c r="A96" s="97"/>
      <c r="B96" s="46" t="s">
        <v>22</v>
      </c>
      <c r="C96" s="55"/>
      <c r="D96" s="55"/>
      <c r="E96" s="25">
        <f t="shared" si="73"/>
        <v>0</v>
      </c>
      <c r="F96" s="47"/>
      <c r="G96" s="56" t="str">
        <f t="shared" si="74"/>
        <v>#DIV/0!</v>
      </c>
      <c r="H96" s="57"/>
      <c r="I96" s="57"/>
      <c r="J96" s="55">
        <f t="shared" si="75"/>
        <v>0</v>
      </c>
      <c r="K96" s="52" t="str">
        <f t="shared" si="76"/>
        <v/>
      </c>
      <c r="L96" s="77" t="str">
        <f t="shared" si="77"/>
        <v>#DIV/0!</v>
      </c>
      <c r="M96" s="58"/>
      <c r="N96" s="59">
        <f t="shared" si="78"/>
        <v>0</v>
      </c>
      <c r="R96" s="80" t="str">
        <f t="shared" si="57"/>
        <v/>
      </c>
    </row>
    <row r="97">
      <c r="A97" s="62"/>
      <c r="B97" s="63"/>
      <c r="C97" s="62"/>
      <c r="D97" s="64" t="s">
        <v>19</v>
      </c>
      <c r="E97" s="64">
        <f>sum(E89:E95)</f>
        <v>1509</v>
      </c>
      <c r="F97" s="64">
        <f>sum(F88:F95)</f>
        <v>218</v>
      </c>
      <c r="G97" s="65" t="str">
        <f>average(G89:G95)</f>
        <v>#DIV/0!</v>
      </c>
      <c r="H97" s="62"/>
      <c r="I97" s="66"/>
      <c r="J97" s="64">
        <f t="shared" ref="J97:K97" si="79">sum(J89:J95)</f>
        <v>1465</v>
      </c>
      <c r="K97" s="64">
        <f t="shared" si="79"/>
        <v>218</v>
      </c>
      <c r="L97" s="65" t="str">
        <f>average(L89:L95)</f>
        <v>#DIV/0!</v>
      </c>
      <c r="M97" s="68"/>
      <c r="N97" s="69">
        <f>sum(N89:N96)</f>
        <v>5578280</v>
      </c>
      <c r="R97" s="80" t="str">
        <f t="shared" si="57"/>
        <v/>
      </c>
    </row>
    <row r="98">
      <c r="A98" s="98">
        <v>46176.0</v>
      </c>
      <c r="B98" s="99" t="s">
        <v>38</v>
      </c>
      <c r="C98" s="37">
        <v>179531.0</v>
      </c>
      <c r="D98" s="37">
        <v>180063.0</v>
      </c>
      <c r="E98" s="38">
        <f t="shared" ref="E98:E103" si="80">D98-C98</f>
        <v>532</v>
      </c>
      <c r="F98" s="39">
        <v>64.0</v>
      </c>
      <c r="G98" s="14">
        <f t="shared" ref="G98:G103" si="81">(F98/E98)*100</f>
        <v>12.03007519</v>
      </c>
      <c r="H98" s="40">
        <v>34892.0</v>
      </c>
      <c r="I98" s="40">
        <v>35416.0</v>
      </c>
      <c r="J98" s="41">
        <f t="shared" ref="J98:J103" si="82">I98-H98</f>
        <v>524</v>
      </c>
      <c r="K98" s="81">
        <f t="shared" ref="K98:K103" si="83">F98</f>
        <v>64</v>
      </c>
      <c r="L98" s="71">
        <f t="shared" ref="L98:L103" si="84">(K98/J98)*100</f>
        <v>12.21374046</v>
      </c>
      <c r="M98" s="72">
        <v>27650.0</v>
      </c>
      <c r="N98" s="44">
        <f t="shared" ref="N98:N103" si="85">F98*M98</f>
        <v>1769600</v>
      </c>
      <c r="R98" s="80" t="str">
        <f t="shared" si="57"/>
        <v/>
      </c>
    </row>
    <row r="99">
      <c r="A99" s="101">
        <v>46182.0</v>
      </c>
      <c r="B99" s="46" t="s">
        <v>38</v>
      </c>
      <c r="C99" s="37">
        <v>180063.0</v>
      </c>
      <c r="D99" s="37">
        <v>180559.0</v>
      </c>
      <c r="E99" s="12">
        <f t="shared" si="80"/>
        <v>496</v>
      </c>
      <c r="F99" s="47">
        <v>63.0</v>
      </c>
      <c r="G99" s="14">
        <f t="shared" si="81"/>
        <v>12.7016129</v>
      </c>
      <c r="H99" s="40">
        <v>35416.0</v>
      </c>
      <c r="I99" s="40">
        <v>35874.0</v>
      </c>
      <c r="J99" s="37">
        <f t="shared" si="82"/>
        <v>458</v>
      </c>
      <c r="K99" s="52">
        <f t="shared" si="83"/>
        <v>63</v>
      </c>
      <c r="L99" s="48">
        <f t="shared" si="84"/>
        <v>13.75545852</v>
      </c>
      <c r="M99" s="72">
        <v>26860.0</v>
      </c>
      <c r="N99" s="49">
        <f t="shared" si="85"/>
        <v>1692180</v>
      </c>
      <c r="R99" s="80" t="str">
        <f t="shared" si="57"/>
        <v/>
      </c>
    </row>
    <row r="100">
      <c r="A100" s="101">
        <v>46190.0</v>
      </c>
      <c r="B100" s="46" t="s">
        <v>38</v>
      </c>
      <c r="C100" s="37">
        <v>180559.0</v>
      </c>
      <c r="D100" s="37">
        <v>181090.0</v>
      </c>
      <c r="E100" s="12">
        <f t="shared" si="80"/>
        <v>531</v>
      </c>
      <c r="F100" s="47">
        <v>71.0</v>
      </c>
      <c r="G100" s="14">
        <f t="shared" si="81"/>
        <v>13.37099812</v>
      </c>
      <c r="H100" s="40">
        <v>35874.0</v>
      </c>
      <c r="I100" s="40">
        <v>36492.0</v>
      </c>
      <c r="J100" s="37">
        <f t="shared" si="82"/>
        <v>618</v>
      </c>
      <c r="K100" s="52">
        <f t="shared" si="83"/>
        <v>71</v>
      </c>
      <c r="L100" s="48">
        <f t="shared" si="84"/>
        <v>11.48867314</v>
      </c>
      <c r="M100" s="50">
        <v>25870.0</v>
      </c>
      <c r="N100" s="49">
        <f t="shared" si="85"/>
        <v>1836770</v>
      </c>
      <c r="R100" s="80" t="str">
        <f t="shared" si="57"/>
        <v/>
      </c>
    </row>
    <row r="101">
      <c r="A101" s="101"/>
      <c r="B101" s="46" t="s">
        <v>38</v>
      </c>
      <c r="C101" s="37"/>
      <c r="D101" s="37"/>
      <c r="E101" s="12">
        <f t="shared" si="80"/>
        <v>0</v>
      </c>
      <c r="F101" s="47"/>
      <c r="G101" s="14" t="str">
        <f t="shared" si="81"/>
        <v>#DIV/0!</v>
      </c>
      <c r="H101" s="40"/>
      <c r="I101" s="40"/>
      <c r="J101" s="37">
        <f t="shared" si="82"/>
        <v>0</v>
      </c>
      <c r="K101" s="52" t="str">
        <f t="shared" si="83"/>
        <v/>
      </c>
      <c r="L101" s="48" t="str">
        <f t="shared" si="84"/>
        <v>#DIV/0!</v>
      </c>
      <c r="M101" s="50"/>
      <c r="N101" s="49">
        <f t="shared" si="85"/>
        <v>0</v>
      </c>
      <c r="R101" s="80" t="str">
        <f t="shared" si="57"/>
        <v/>
      </c>
    </row>
    <row r="102">
      <c r="A102" s="101"/>
      <c r="B102" s="46" t="s">
        <v>38</v>
      </c>
      <c r="C102" s="37"/>
      <c r="D102" s="100"/>
      <c r="E102" s="12">
        <f t="shared" si="80"/>
        <v>0</v>
      </c>
      <c r="F102" s="47"/>
      <c r="G102" s="14" t="str">
        <f t="shared" si="81"/>
        <v>#DIV/0!</v>
      </c>
      <c r="H102" s="40"/>
      <c r="I102" s="40"/>
      <c r="J102" s="37">
        <f t="shared" si="82"/>
        <v>0</v>
      </c>
      <c r="K102" s="52" t="str">
        <f t="shared" si="83"/>
        <v/>
      </c>
      <c r="L102" s="48" t="str">
        <f t="shared" si="84"/>
        <v>#DIV/0!</v>
      </c>
      <c r="M102" s="50"/>
      <c r="N102" s="49">
        <f t="shared" si="85"/>
        <v>0</v>
      </c>
      <c r="R102" s="80" t="str">
        <f t="shared" si="57"/>
        <v/>
      </c>
    </row>
    <row r="103">
      <c r="A103" s="102"/>
      <c r="B103" s="103" t="s">
        <v>38</v>
      </c>
      <c r="C103" s="104"/>
      <c r="D103" s="105"/>
      <c r="E103" s="12">
        <f t="shared" si="80"/>
        <v>0</v>
      </c>
      <c r="F103" s="47"/>
      <c r="G103" s="106" t="str">
        <f t="shared" si="81"/>
        <v>#DIV/0!</v>
      </c>
      <c r="H103" s="107"/>
      <c r="I103" s="108"/>
      <c r="J103" s="107">
        <f t="shared" si="82"/>
        <v>0</v>
      </c>
      <c r="K103" s="52" t="str">
        <f t="shared" si="83"/>
        <v/>
      </c>
      <c r="L103" s="109" t="str">
        <f t="shared" si="84"/>
        <v>#DIV/0!</v>
      </c>
      <c r="M103" s="110"/>
      <c r="N103" s="111">
        <f t="shared" si="85"/>
        <v>0</v>
      </c>
      <c r="R103" s="80" t="str">
        <f t="shared" si="57"/>
        <v/>
      </c>
    </row>
    <row r="104">
      <c r="A104" s="112"/>
      <c r="B104" s="113"/>
      <c r="C104" s="114"/>
      <c r="D104" s="115" t="s">
        <v>19</v>
      </c>
      <c r="E104" s="116">
        <f>SUM(E98:E103)</f>
        <v>1559</v>
      </c>
      <c r="F104" s="64">
        <f>sum(F95:F103)</f>
        <v>416</v>
      </c>
      <c r="G104" s="117" t="str">
        <f>average(G98:G103)</f>
        <v>#DIV/0!</v>
      </c>
      <c r="H104" s="114"/>
      <c r="I104" s="118"/>
      <c r="J104" s="115">
        <f t="shared" ref="J104:K104" si="86">sum(J98:J103)</f>
        <v>1600</v>
      </c>
      <c r="K104" s="115">
        <f t="shared" si="86"/>
        <v>198</v>
      </c>
      <c r="L104" s="119" t="str">
        <f>average(L98:L103)</f>
        <v>#DIV/0!</v>
      </c>
      <c r="M104" s="120"/>
      <c r="N104" s="121">
        <f>sum(N98:N103)</f>
        <v>5298550</v>
      </c>
      <c r="R104" s="80" t="str">
        <f t="shared" si="57"/>
        <v/>
      </c>
    </row>
    <row r="105">
      <c r="A105" s="122">
        <v>46179.0</v>
      </c>
      <c r="B105" s="123" t="s">
        <v>39</v>
      </c>
      <c r="C105" s="37">
        <v>133547.0</v>
      </c>
      <c r="D105" s="37">
        <v>134049.0</v>
      </c>
      <c r="E105" s="38">
        <f t="shared" ref="E105:E111" si="87">D105-C105</f>
        <v>502</v>
      </c>
      <c r="F105" s="39">
        <v>57.0</v>
      </c>
      <c r="G105" s="124">
        <f t="shared" ref="G105:G111" si="88">(F105/E105)*100</f>
        <v>11.35458167</v>
      </c>
      <c r="H105" s="40">
        <v>37622.0</v>
      </c>
      <c r="I105" s="37">
        <v>38125.0</v>
      </c>
      <c r="J105" s="89">
        <f t="shared" ref="J105:J111" si="89">I105-H105</f>
        <v>503</v>
      </c>
      <c r="K105" s="81">
        <f t="shared" ref="K105:K111" si="90">F105</f>
        <v>57</v>
      </c>
      <c r="L105" s="125">
        <f t="shared" ref="L105:L111" si="91">(K105/J105)*100</f>
        <v>11.33200795</v>
      </c>
      <c r="M105" s="126">
        <v>26860.0</v>
      </c>
      <c r="N105" s="49">
        <f t="shared" ref="N105:N111" si="92">F105*M105</f>
        <v>1531020</v>
      </c>
      <c r="R105" s="80" t="str">
        <f t="shared" si="57"/>
        <v/>
      </c>
    </row>
    <row r="106">
      <c r="A106" s="127">
        <v>46188.0</v>
      </c>
      <c r="B106" s="46" t="s">
        <v>39</v>
      </c>
      <c r="C106" s="37">
        <v>134049.0</v>
      </c>
      <c r="D106" s="37">
        <v>134540.0</v>
      </c>
      <c r="E106" s="12">
        <f t="shared" si="87"/>
        <v>491</v>
      </c>
      <c r="F106" s="47">
        <v>57.0</v>
      </c>
      <c r="G106" s="14">
        <f t="shared" si="88"/>
        <v>11.6089613</v>
      </c>
      <c r="H106" s="37">
        <v>38125.0</v>
      </c>
      <c r="I106" s="13">
        <v>38635.0</v>
      </c>
      <c r="J106" s="37">
        <f t="shared" si="89"/>
        <v>510</v>
      </c>
      <c r="K106" s="81">
        <f t="shared" si="90"/>
        <v>57</v>
      </c>
      <c r="L106" s="48">
        <f t="shared" si="91"/>
        <v>11.17647059</v>
      </c>
      <c r="M106" s="50">
        <v>25870.0</v>
      </c>
      <c r="N106" s="49">
        <f t="shared" si="92"/>
        <v>1474590</v>
      </c>
      <c r="R106" s="80" t="str">
        <f t="shared" si="57"/>
        <v/>
      </c>
    </row>
    <row r="107">
      <c r="A107" s="127"/>
      <c r="B107" s="46" t="s">
        <v>39</v>
      </c>
      <c r="C107" s="37"/>
      <c r="D107" s="37"/>
      <c r="E107" s="12">
        <f t="shared" si="87"/>
        <v>0</v>
      </c>
      <c r="F107" s="47"/>
      <c r="G107" s="14" t="str">
        <f t="shared" si="88"/>
        <v>#DIV/0!</v>
      </c>
      <c r="H107" s="13"/>
      <c r="I107" s="37"/>
      <c r="J107" s="37">
        <f t="shared" si="89"/>
        <v>0</v>
      </c>
      <c r="K107" s="81" t="str">
        <f t="shared" si="90"/>
        <v/>
      </c>
      <c r="L107" s="48" t="str">
        <f t="shared" si="91"/>
        <v>#DIV/0!</v>
      </c>
      <c r="M107" s="50"/>
      <c r="N107" s="49">
        <f t="shared" si="92"/>
        <v>0</v>
      </c>
      <c r="P107" s="82"/>
      <c r="R107" s="80" t="str">
        <f t="shared" si="57"/>
        <v/>
      </c>
    </row>
    <row r="108">
      <c r="A108" s="127"/>
      <c r="B108" s="46" t="s">
        <v>39</v>
      </c>
      <c r="C108" s="37"/>
      <c r="D108" s="37"/>
      <c r="E108" s="12">
        <f t="shared" si="87"/>
        <v>0</v>
      </c>
      <c r="F108" s="47"/>
      <c r="G108" s="14" t="str">
        <f t="shared" si="88"/>
        <v>#DIV/0!</v>
      </c>
      <c r="H108" s="37"/>
      <c r="I108" s="37"/>
      <c r="J108" s="37">
        <f t="shared" si="89"/>
        <v>0</v>
      </c>
      <c r="K108" s="52" t="str">
        <f t="shared" si="90"/>
        <v/>
      </c>
      <c r="L108" s="48" t="str">
        <f t="shared" si="91"/>
        <v>#DIV/0!</v>
      </c>
      <c r="M108" s="50"/>
      <c r="N108" s="49">
        <f t="shared" si="92"/>
        <v>0</v>
      </c>
      <c r="R108" s="80" t="str">
        <f t="shared" si="57"/>
        <v/>
      </c>
    </row>
    <row r="109">
      <c r="A109" s="35"/>
      <c r="B109" s="46" t="s">
        <v>39</v>
      </c>
      <c r="C109" s="37"/>
      <c r="D109" s="37"/>
      <c r="E109" s="12">
        <f t="shared" si="87"/>
        <v>0</v>
      </c>
      <c r="F109" s="47"/>
      <c r="G109" s="14" t="str">
        <f t="shared" si="88"/>
        <v>#DIV/0!</v>
      </c>
      <c r="H109" s="37"/>
      <c r="I109" s="40"/>
      <c r="J109" s="37">
        <f t="shared" si="89"/>
        <v>0</v>
      </c>
      <c r="K109" s="52" t="str">
        <f t="shared" si="90"/>
        <v/>
      </c>
      <c r="L109" s="48" t="str">
        <f t="shared" si="91"/>
        <v>#DIV/0!</v>
      </c>
      <c r="M109" s="50"/>
      <c r="N109" s="49">
        <f t="shared" si="92"/>
        <v>0</v>
      </c>
      <c r="R109" s="80" t="str">
        <f t="shared" si="57"/>
        <v/>
      </c>
    </row>
    <row r="110">
      <c r="A110" s="35"/>
      <c r="B110" s="46" t="s">
        <v>39</v>
      </c>
      <c r="C110" s="37"/>
      <c r="D110" s="37"/>
      <c r="E110" s="12">
        <f t="shared" si="87"/>
        <v>0</v>
      </c>
      <c r="F110" s="47"/>
      <c r="G110" s="14" t="str">
        <f t="shared" si="88"/>
        <v>#DIV/0!</v>
      </c>
      <c r="H110" s="40"/>
      <c r="I110" s="40"/>
      <c r="J110" s="37">
        <f t="shared" si="89"/>
        <v>0</v>
      </c>
      <c r="K110" s="52" t="str">
        <f t="shared" si="90"/>
        <v/>
      </c>
      <c r="L110" s="48" t="str">
        <f t="shared" si="91"/>
        <v>#DIV/0!</v>
      </c>
      <c r="M110" s="50"/>
      <c r="N110" s="49">
        <f t="shared" si="92"/>
        <v>0</v>
      </c>
      <c r="R110" s="80" t="str">
        <f t="shared" si="57"/>
        <v/>
      </c>
    </row>
    <row r="111">
      <c r="A111" s="35"/>
      <c r="B111" s="46" t="s">
        <v>39</v>
      </c>
      <c r="C111" s="37"/>
      <c r="D111" s="55"/>
      <c r="E111" s="25">
        <f t="shared" si="87"/>
        <v>0</v>
      </c>
      <c r="F111" s="47"/>
      <c r="G111" s="56" t="str">
        <f t="shared" si="88"/>
        <v>#DIV/0!</v>
      </c>
      <c r="H111" s="40"/>
      <c r="I111" s="57"/>
      <c r="J111" s="55">
        <f t="shared" si="89"/>
        <v>0</v>
      </c>
      <c r="K111" s="52" t="str">
        <f t="shared" si="90"/>
        <v/>
      </c>
      <c r="L111" s="77" t="str">
        <f t="shared" si="91"/>
        <v>#DIV/0!</v>
      </c>
      <c r="M111" s="58"/>
      <c r="N111" s="49">
        <f t="shared" si="92"/>
        <v>0</v>
      </c>
      <c r="R111" s="80" t="str">
        <f t="shared" si="57"/>
        <v/>
      </c>
    </row>
    <row r="112">
      <c r="A112" s="62"/>
      <c r="B112" s="63"/>
      <c r="C112" s="62"/>
      <c r="D112" s="64" t="s">
        <v>19</v>
      </c>
      <c r="E112" s="64">
        <f>sum(E98:E111)</f>
        <v>4111</v>
      </c>
      <c r="F112" s="64">
        <f>sum(F104:F111)</f>
        <v>530</v>
      </c>
      <c r="G112" s="65" t="str">
        <f>average(G98:G111)</f>
        <v>#DIV/0!</v>
      </c>
      <c r="H112" s="62"/>
      <c r="I112" s="66"/>
      <c r="J112" s="64">
        <f t="shared" ref="J112:K112" si="93">sum(J98:J111)</f>
        <v>4213</v>
      </c>
      <c r="K112" s="64">
        <f t="shared" si="93"/>
        <v>510</v>
      </c>
      <c r="L112" s="65" t="str">
        <f>average(L98:L111)</f>
        <v>#DIV/0!</v>
      </c>
      <c r="M112" s="68"/>
      <c r="N112" s="69">
        <f>sum(N105:N111)</f>
        <v>3005610</v>
      </c>
      <c r="R112" s="80" t="str">
        <f t="shared" si="57"/>
        <v/>
      </c>
    </row>
    <row r="113">
      <c r="A113" s="70">
        <v>46175.0</v>
      </c>
      <c r="B113" s="99" t="s">
        <v>40</v>
      </c>
      <c r="C113" s="13">
        <v>129218.0</v>
      </c>
      <c r="D113" s="13">
        <v>129694.0</v>
      </c>
      <c r="E113" s="38">
        <f t="shared" ref="E113:E119" si="94">D113-C113</f>
        <v>476</v>
      </c>
      <c r="F113" s="39">
        <v>60.0</v>
      </c>
      <c r="G113" s="14">
        <f t="shared" ref="G113:G119" si="95">(F113/E113)*100</f>
        <v>12.60504202</v>
      </c>
      <c r="H113" s="40">
        <v>127096.0</v>
      </c>
      <c r="I113" s="40">
        <v>127598.0</v>
      </c>
      <c r="J113" s="41">
        <f t="shared" ref="J113:J119" si="96">I113-H113</f>
        <v>502</v>
      </c>
      <c r="K113" s="81"/>
      <c r="L113" s="71">
        <f t="shared" ref="L113:L119" si="97">(K113/J113)*100</f>
        <v>0</v>
      </c>
      <c r="M113" s="72">
        <v>27650.0</v>
      </c>
      <c r="N113" s="44">
        <f t="shared" ref="N113:N119" si="98">F113*M113</f>
        <v>1659000</v>
      </c>
      <c r="R113" s="80" t="str">
        <f t="shared" si="57"/>
        <v/>
      </c>
    </row>
    <row r="114">
      <c r="A114" s="45">
        <v>46180.0</v>
      </c>
      <c r="B114" s="51" t="s">
        <v>40</v>
      </c>
      <c r="C114" s="13">
        <v>129694.0</v>
      </c>
      <c r="D114" s="11">
        <v>130201.0</v>
      </c>
      <c r="E114" s="53">
        <f t="shared" si="94"/>
        <v>507</v>
      </c>
      <c r="F114" s="54">
        <v>59.0</v>
      </c>
      <c r="G114" s="14">
        <f t="shared" si="95"/>
        <v>11.63708087</v>
      </c>
      <c r="H114" s="40">
        <v>127598.0</v>
      </c>
      <c r="I114" s="11">
        <v>128053.0</v>
      </c>
      <c r="J114" s="37">
        <f t="shared" si="96"/>
        <v>455</v>
      </c>
      <c r="K114" s="52"/>
      <c r="L114" s="48">
        <f t="shared" si="97"/>
        <v>0</v>
      </c>
      <c r="M114" s="72">
        <v>26860.0</v>
      </c>
      <c r="N114" s="49">
        <f t="shared" si="98"/>
        <v>1584740</v>
      </c>
      <c r="R114" s="80" t="str">
        <f t="shared" si="57"/>
        <v/>
      </c>
    </row>
    <row r="115">
      <c r="A115" s="35">
        <v>46184.0</v>
      </c>
      <c r="B115" s="46" t="s">
        <v>40</v>
      </c>
      <c r="C115" s="11">
        <v>130201.0</v>
      </c>
      <c r="D115" s="13">
        <v>130781.0</v>
      </c>
      <c r="E115" s="12">
        <f t="shared" si="94"/>
        <v>580</v>
      </c>
      <c r="F115" s="47">
        <v>70.0</v>
      </c>
      <c r="G115" s="14">
        <f t="shared" si="95"/>
        <v>12.06896552</v>
      </c>
      <c r="H115" s="11">
        <v>128053.0</v>
      </c>
      <c r="I115" s="40">
        <v>128758.0</v>
      </c>
      <c r="J115" s="37">
        <f t="shared" si="96"/>
        <v>705</v>
      </c>
      <c r="K115" s="52"/>
      <c r="L115" s="48">
        <f t="shared" si="97"/>
        <v>0</v>
      </c>
      <c r="M115" s="50">
        <v>25870.0</v>
      </c>
      <c r="N115" s="49">
        <f t="shared" si="98"/>
        <v>1810900</v>
      </c>
      <c r="R115" s="80" t="str">
        <f t="shared" si="57"/>
        <v/>
      </c>
    </row>
    <row r="116">
      <c r="A116" s="35"/>
      <c r="B116" s="46" t="s">
        <v>40</v>
      </c>
      <c r="C116" s="13"/>
      <c r="D116" s="13"/>
      <c r="E116" s="12">
        <f t="shared" si="94"/>
        <v>0</v>
      </c>
      <c r="F116" s="47"/>
      <c r="G116" s="14" t="str">
        <f t="shared" si="95"/>
        <v>#DIV/0!</v>
      </c>
      <c r="H116" s="40"/>
      <c r="I116" s="40"/>
      <c r="J116" s="37">
        <f t="shared" si="96"/>
        <v>0</v>
      </c>
      <c r="K116" s="52"/>
      <c r="L116" s="48" t="str">
        <f t="shared" si="97"/>
        <v>#DIV/0!</v>
      </c>
      <c r="M116" s="50"/>
      <c r="N116" s="49">
        <f t="shared" si="98"/>
        <v>0</v>
      </c>
      <c r="R116" s="80" t="str">
        <f t="shared" si="57"/>
        <v/>
      </c>
    </row>
    <row r="117">
      <c r="A117" s="35"/>
      <c r="B117" s="46" t="s">
        <v>40</v>
      </c>
      <c r="C117" s="13"/>
      <c r="D117" s="37"/>
      <c r="E117" s="12">
        <f t="shared" si="94"/>
        <v>0</v>
      </c>
      <c r="F117" s="47"/>
      <c r="G117" s="14" t="str">
        <f t="shared" si="95"/>
        <v>#DIV/0!</v>
      </c>
      <c r="H117" s="40"/>
      <c r="I117" s="40"/>
      <c r="J117" s="37">
        <f t="shared" si="96"/>
        <v>0</v>
      </c>
      <c r="K117" s="52" t="str">
        <f t="shared" ref="K117:K119" si="99">F117</f>
        <v/>
      </c>
      <c r="L117" s="48" t="str">
        <f t="shared" si="97"/>
        <v>#DIV/0!</v>
      </c>
      <c r="M117" s="50"/>
      <c r="N117" s="49">
        <f t="shared" si="98"/>
        <v>0</v>
      </c>
      <c r="R117" s="80" t="str">
        <f t="shared" si="57"/>
        <v/>
      </c>
    </row>
    <row r="118">
      <c r="A118" s="35"/>
      <c r="B118" s="46" t="s">
        <v>40</v>
      </c>
      <c r="C118" s="37"/>
      <c r="D118" s="37"/>
      <c r="E118" s="12">
        <f t="shared" si="94"/>
        <v>0</v>
      </c>
      <c r="F118" s="47"/>
      <c r="G118" s="14" t="str">
        <f t="shared" si="95"/>
        <v>#DIV/0!</v>
      </c>
      <c r="H118" s="40"/>
      <c r="I118" s="40"/>
      <c r="J118" s="37">
        <f t="shared" si="96"/>
        <v>0</v>
      </c>
      <c r="K118" s="52" t="str">
        <f t="shared" si="99"/>
        <v/>
      </c>
      <c r="L118" s="48" t="str">
        <f t="shared" si="97"/>
        <v>#DIV/0!</v>
      </c>
      <c r="M118" s="50"/>
      <c r="N118" s="49">
        <f t="shared" si="98"/>
        <v>0</v>
      </c>
      <c r="R118" s="80" t="str">
        <f t="shared" si="57"/>
        <v/>
      </c>
    </row>
    <row r="119">
      <c r="A119" s="94"/>
      <c r="B119" s="46" t="s">
        <v>40</v>
      </c>
      <c r="C119" s="55"/>
      <c r="D119" s="95"/>
      <c r="E119" s="25">
        <f t="shared" si="94"/>
        <v>0</v>
      </c>
      <c r="F119" s="47"/>
      <c r="G119" s="56" t="str">
        <f t="shared" si="95"/>
        <v>#DIV/0!</v>
      </c>
      <c r="H119" s="55"/>
      <c r="I119" s="85"/>
      <c r="J119" s="55">
        <f t="shared" si="96"/>
        <v>0</v>
      </c>
      <c r="K119" s="52" t="str">
        <f t="shared" si="99"/>
        <v/>
      </c>
      <c r="L119" s="77" t="str">
        <f t="shared" si="97"/>
        <v>#DIV/0!</v>
      </c>
      <c r="M119" s="96"/>
      <c r="N119" s="59">
        <f t="shared" si="98"/>
        <v>0</v>
      </c>
      <c r="R119" s="80" t="str">
        <f t="shared" si="57"/>
        <v/>
      </c>
    </row>
    <row r="120">
      <c r="A120" s="62"/>
      <c r="B120" s="63"/>
      <c r="C120" s="62"/>
      <c r="D120" s="64" t="s">
        <v>19</v>
      </c>
      <c r="E120" s="64">
        <f>sum(E113:E119)</f>
        <v>1563</v>
      </c>
      <c r="F120" s="39"/>
      <c r="G120" s="65" t="str">
        <f>average(G113:G119)</f>
        <v>#DIV/0!</v>
      </c>
      <c r="H120" s="62"/>
      <c r="I120" s="66"/>
      <c r="J120" s="64">
        <f t="shared" ref="J120:K120" si="100">sum(J113:J119)</f>
        <v>1662</v>
      </c>
      <c r="K120" s="64">
        <f t="shared" si="100"/>
        <v>0</v>
      </c>
      <c r="L120" s="65" t="str">
        <f>average(L113:L119)</f>
        <v>#DIV/0!</v>
      </c>
      <c r="M120" s="68"/>
      <c r="N120" s="69">
        <f>sum(N113:N119)</f>
        <v>5054640</v>
      </c>
      <c r="R120" s="80" t="str">
        <f t="shared" si="57"/>
        <v/>
      </c>
    </row>
    <row r="121">
      <c r="A121" s="70">
        <v>46179.0</v>
      </c>
      <c r="B121" s="99" t="s">
        <v>41</v>
      </c>
      <c r="C121" s="53">
        <v>182290.0</v>
      </c>
      <c r="D121" s="37">
        <v>182951.0</v>
      </c>
      <c r="E121" s="38">
        <f t="shared" ref="E121:E127" si="101">D121-C121</f>
        <v>661</v>
      </c>
      <c r="F121" s="39">
        <v>70.0</v>
      </c>
      <c r="G121" s="14">
        <f t="shared" ref="G121:G127" si="102">(F121/E121)*100</f>
        <v>10.59001513</v>
      </c>
      <c r="H121" s="37">
        <v>25936.0</v>
      </c>
      <c r="I121" s="40">
        <v>26579.0</v>
      </c>
      <c r="J121" s="41">
        <f t="shared" ref="J121:J127" si="103">I121-H121</f>
        <v>643</v>
      </c>
      <c r="K121" s="81">
        <f t="shared" ref="K121:K127" si="104">F121</f>
        <v>70</v>
      </c>
      <c r="L121" s="71">
        <f t="shared" ref="L121:L127" si="105">(K121/J121)*100</f>
        <v>10.88646967</v>
      </c>
      <c r="M121" s="43">
        <v>26860.0</v>
      </c>
      <c r="N121" s="44">
        <f t="shared" ref="N121:N127" si="106">F121*M121</f>
        <v>1880200</v>
      </c>
      <c r="R121" s="80" t="str">
        <f t="shared" si="57"/>
        <v/>
      </c>
    </row>
    <row r="122">
      <c r="A122" s="128">
        <v>46188.0</v>
      </c>
      <c r="B122" s="129" t="s">
        <v>41</v>
      </c>
      <c r="C122" s="37">
        <v>182951.0</v>
      </c>
      <c r="D122" s="53">
        <v>183577.0</v>
      </c>
      <c r="E122" s="53">
        <f t="shared" si="101"/>
        <v>626</v>
      </c>
      <c r="F122" s="130">
        <v>70.0</v>
      </c>
      <c r="G122" s="14">
        <f t="shared" si="102"/>
        <v>11.18210863</v>
      </c>
      <c r="H122" s="40">
        <v>26579.0</v>
      </c>
      <c r="I122" s="40">
        <v>27143.0</v>
      </c>
      <c r="J122" s="37">
        <f t="shared" si="103"/>
        <v>564</v>
      </c>
      <c r="K122" s="52">
        <f t="shared" si="104"/>
        <v>70</v>
      </c>
      <c r="L122" s="48">
        <f t="shared" si="105"/>
        <v>12.41134752</v>
      </c>
      <c r="M122" s="50">
        <v>25870.0</v>
      </c>
      <c r="N122" s="131">
        <f t="shared" si="106"/>
        <v>1810900</v>
      </c>
      <c r="R122" s="80" t="str">
        <f t="shared" si="57"/>
        <v/>
      </c>
    </row>
    <row r="123">
      <c r="A123" s="128"/>
      <c r="B123" s="129" t="s">
        <v>41</v>
      </c>
      <c r="C123" s="53"/>
      <c r="D123" s="53"/>
      <c r="E123" s="53">
        <f t="shared" si="101"/>
        <v>0</v>
      </c>
      <c r="F123" s="130"/>
      <c r="G123" s="14" t="str">
        <f t="shared" si="102"/>
        <v>#DIV/0!</v>
      </c>
      <c r="H123" s="40"/>
      <c r="I123" s="37"/>
      <c r="J123" s="37">
        <f t="shared" si="103"/>
        <v>0</v>
      </c>
      <c r="K123" s="52" t="str">
        <f t="shared" si="104"/>
        <v/>
      </c>
      <c r="L123" s="48" t="str">
        <f t="shared" si="105"/>
        <v>#DIV/0!</v>
      </c>
      <c r="M123" s="50"/>
      <c r="N123" s="131">
        <f t="shared" si="106"/>
        <v>0</v>
      </c>
      <c r="R123" s="80" t="str">
        <f t="shared" si="57"/>
        <v/>
      </c>
    </row>
    <row r="124">
      <c r="A124" s="35"/>
      <c r="B124" s="46" t="s">
        <v>41</v>
      </c>
      <c r="C124" s="53"/>
      <c r="D124" s="37"/>
      <c r="E124" s="12">
        <f t="shared" si="101"/>
        <v>0</v>
      </c>
      <c r="F124" s="47"/>
      <c r="G124" s="14" t="str">
        <f t="shared" si="102"/>
        <v>#DIV/0!</v>
      </c>
      <c r="H124" s="37"/>
      <c r="I124" s="40"/>
      <c r="J124" s="37">
        <f t="shared" si="103"/>
        <v>0</v>
      </c>
      <c r="K124" s="52" t="str">
        <f t="shared" si="104"/>
        <v/>
      </c>
      <c r="L124" s="48" t="str">
        <f t="shared" si="105"/>
        <v>#DIV/0!</v>
      </c>
      <c r="M124" s="50"/>
      <c r="N124" s="131">
        <f t="shared" si="106"/>
        <v>0</v>
      </c>
      <c r="R124" s="80" t="str">
        <f t="shared" si="57"/>
        <v/>
      </c>
    </row>
    <row r="125">
      <c r="A125" s="35"/>
      <c r="B125" s="51" t="s">
        <v>41</v>
      </c>
      <c r="C125" s="37"/>
      <c r="D125" s="52"/>
      <c r="E125" s="12">
        <f t="shared" si="101"/>
        <v>0</v>
      </c>
      <c r="F125" s="47"/>
      <c r="G125" s="14" t="str">
        <f t="shared" si="102"/>
        <v>#DIV/0!</v>
      </c>
      <c r="H125" s="40"/>
      <c r="I125" s="40"/>
      <c r="J125" s="37">
        <f t="shared" si="103"/>
        <v>0</v>
      </c>
      <c r="K125" s="52" t="str">
        <f t="shared" si="104"/>
        <v/>
      </c>
      <c r="L125" s="48" t="str">
        <f t="shared" si="105"/>
        <v>#DIV/0!</v>
      </c>
      <c r="M125" s="50"/>
      <c r="N125" s="131">
        <f t="shared" si="106"/>
        <v>0</v>
      </c>
      <c r="R125" s="80" t="str">
        <f t="shared" si="57"/>
        <v/>
      </c>
    </row>
    <row r="126">
      <c r="A126" s="132"/>
      <c r="B126" s="46" t="s">
        <v>41</v>
      </c>
      <c r="C126" s="37"/>
      <c r="D126" s="133"/>
      <c r="E126" s="12">
        <f t="shared" si="101"/>
        <v>0</v>
      </c>
      <c r="F126" s="47"/>
      <c r="G126" s="14" t="str">
        <f t="shared" si="102"/>
        <v>#DIV/0!</v>
      </c>
      <c r="H126" s="37"/>
      <c r="I126" s="40"/>
      <c r="J126" s="37">
        <f t="shared" si="103"/>
        <v>0</v>
      </c>
      <c r="K126" s="52" t="str">
        <f t="shared" si="104"/>
        <v/>
      </c>
      <c r="L126" s="48" t="str">
        <f t="shared" si="105"/>
        <v>#DIV/0!</v>
      </c>
      <c r="M126" s="134"/>
      <c r="N126" s="131">
        <f t="shared" si="106"/>
        <v>0</v>
      </c>
      <c r="R126" s="80" t="str">
        <f t="shared" si="57"/>
        <v/>
      </c>
    </row>
    <row r="127">
      <c r="A127" s="94"/>
      <c r="B127" s="46" t="s">
        <v>41</v>
      </c>
      <c r="C127" s="55"/>
      <c r="D127" s="95"/>
      <c r="E127" s="25">
        <f t="shared" si="101"/>
        <v>0</v>
      </c>
      <c r="F127" s="47"/>
      <c r="G127" s="56" t="str">
        <f t="shared" si="102"/>
        <v>#DIV/0!</v>
      </c>
      <c r="H127" s="55"/>
      <c r="I127" s="85"/>
      <c r="J127" s="55">
        <f t="shared" si="103"/>
        <v>0</v>
      </c>
      <c r="K127" s="52" t="str">
        <f t="shared" si="104"/>
        <v/>
      </c>
      <c r="L127" s="77" t="str">
        <f t="shared" si="105"/>
        <v>#DIV/0!</v>
      </c>
      <c r="M127" s="96"/>
      <c r="N127" s="135">
        <f t="shared" si="106"/>
        <v>0</v>
      </c>
      <c r="R127" s="80" t="str">
        <f t="shared" si="57"/>
        <v/>
      </c>
    </row>
    <row r="128">
      <c r="A128" s="62"/>
      <c r="B128" s="63"/>
      <c r="C128" s="62"/>
      <c r="D128" s="64" t="s">
        <v>19</v>
      </c>
      <c r="E128" s="64">
        <f>sum(E121:E127)</f>
        <v>1287</v>
      </c>
      <c r="F128" s="64">
        <f>sum(F120:F127)</f>
        <v>140</v>
      </c>
      <c r="G128" s="65" t="str">
        <f>average(G121:G127)</f>
        <v>#DIV/0!</v>
      </c>
      <c r="H128" s="62"/>
      <c r="I128" s="66"/>
      <c r="J128" s="64">
        <f t="shared" ref="J128:K128" si="107">sum(J121:J127)</f>
        <v>1207</v>
      </c>
      <c r="K128" s="64">
        <f t="shared" si="107"/>
        <v>140</v>
      </c>
      <c r="L128" s="65" t="str">
        <f>average(L121:L127)</f>
        <v>#DIV/0!</v>
      </c>
      <c r="M128" s="68"/>
      <c r="N128" s="69">
        <f>sum(N121:N127)</f>
        <v>3691100</v>
      </c>
      <c r="R128" s="80" t="str">
        <f t="shared" si="57"/>
        <v/>
      </c>
    </row>
    <row r="129">
      <c r="A129" s="70">
        <v>46176.0</v>
      </c>
      <c r="B129" s="99" t="s">
        <v>42</v>
      </c>
      <c r="C129" s="53">
        <v>151655.0</v>
      </c>
      <c r="D129" s="37">
        <v>152190.0</v>
      </c>
      <c r="E129" s="38">
        <f t="shared" ref="E129:E135" si="108">D129-C129</f>
        <v>535</v>
      </c>
      <c r="F129" s="39">
        <v>65.0</v>
      </c>
      <c r="G129" s="14">
        <f t="shared" ref="G129:G135" si="109">(F129/E129)*100</f>
        <v>12.14953271</v>
      </c>
      <c r="H129" s="37"/>
      <c r="I129" s="40"/>
      <c r="J129" s="41">
        <f t="shared" ref="J129:J135" si="110">I129-H129</f>
        <v>0</v>
      </c>
      <c r="K129" s="81">
        <f t="shared" ref="K129:K135" si="111">F129</f>
        <v>65</v>
      </c>
      <c r="L129" s="71" t="str">
        <f t="shared" ref="L129:L135" si="112">(K129/J129)*100</f>
        <v>#DIV/0!</v>
      </c>
      <c r="M129" s="43">
        <v>27650.0</v>
      </c>
      <c r="N129" s="44">
        <f t="shared" ref="N129:N135" si="113">F129*M129</f>
        <v>1797250</v>
      </c>
    </row>
    <row r="130">
      <c r="A130" s="70">
        <v>46182.0</v>
      </c>
      <c r="B130" s="99" t="s">
        <v>42</v>
      </c>
      <c r="C130" s="37">
        <v>152190.0</v>
      </c>
      <c r="D130" s="53">
        <v>152834.0</v>
      </c>
      <c r="E130" s="53">
        <f t="shared" si="108"/>
        <v>644</v>
      </c>
      <c r="F130" s="130">
        <v>72.0</v>
      </c>
      <c r="G130" s="14">
        <f t="shared" si="109"/>
        <v>11.18012422</v>
      </c>
      <c r="H130" s="40"/>
      <c r="I130" s="40"/>
      <c r="J130" s="37">
        <f t="shared" si="110"/>
        <v>0</v>
      </c>
      <c r="K130" s="52">
        <f t="shared" si="111"/>
        <v>72</v>
      </c>
      <c r="L130" s="48" t="str">
        <f t="shared" si="112"/>
        <v>#DIV/0!</v>
      </c>
      <c r="M130" s="50">
        <v>26860.0</v>
      </c>
      <c r="N130" s="131">
        <f t="shared" si="113"/>
        <v>1933920</v>
      </c>
    </row>
    <row r="131">
      <c r="A131" s="128">
        <v>46190.0</v>
      </c>
      <c r="B131" s="99" t="s">
        <v>42</v>
      </c>
      <c r="C131" s="53">
        <v>152834.0</v>
      </c>
      <c r="D131" s="53">
        <v>153484.0</v>
      </c>
      <c r="E131" s="53">
        <f t="shared" si="108"/>
        <v>650</v>
      </c>
      <c r="F131" s="130">
        <v>74.0</v>
      </c>
      <c r="G131" s="14">
        <f t="shared" si="109"/>
        <v>11.38461538</v>
      </c>
      <c r="H131" s="40"/>
      <c r="I131" s="37"/>
      <c r="J131" s="37">
        <f t="shared" si="110"/>
        <v>0</v>
      </c>
      <c r="K131" s="52">
        <f t="shared" si="111"/>
        <v>74</v>
      </c>
      <c r="L131" s="48" t="str">
        <f t="shared" si="112"/>
        <v>#DIV/0!</v>
      </c>
      <c r="M131" s="50">
        <v>25870.0</v>
      </c>
      <c r="N131" s="131">
        <f t="shared" si="113"/>
        <v>1914380</v>
      </c>
    </row>
    <row r="132">
      <c r="A132" s="35"/>
      <c r="B132" s="99" t="s">
        <v>42</v>
      </c>
      <c r="C132" s="53"/>
      <c r="D132" s="37"/>
      <c r="E132" s="12">
        <f t="shared" si="108"/>
        <v>0</v>
      </c>
      <c r="F132" s="47"/>
      <c r="G132" s="14" t="str">
        <f t="shared" si="109"/>
        <v>#DIV/0!</v>
      </c>
      <c r="H132" s="37"/>
      <c r="I132" s="40"/>
      <c r="J132" s="37">
        <f t="shared" si="110"/>
        <v>0</v>
      </c>
      <c r="K132" s="52" t="str">
        <f t="shared" si="111"/>
        <v/>
      </c>
      <c r="L132" s="48" t="str">
        <f t="shared" si="112"/>
        <v>#DIV/0!</v>
      </c>
      <c r="M132" s="50"/>
      <c r="N132" s="131">
        <f t="shared" si="113"/>
        <v>0</v>
      </c>
    </row>
    <row r="133">
      <c r="A133" s="136"/>
      <c r="B133" s="99" t="s">
        <v>42</v>
      </c>
      <c r="C133" s="52"/>
      <c r="D133" s="52"/>
      <c r="E133" s="12">
        <f t="shared" si="108"/>
        <v>0</v>
      </c>
      <c r="F133" s="47"/>
      <c r="G133" s="14" t="str">
        <f t="shared" si="109"/>
        <v>#DIV/0!</v>
      </c>
      <c r="H133" s="37"/>
      <c r="I133" s="40"/>
      <c r="J133" s="37">
        <f t="shared" si="110"/>
        <v>0</v>
      </c>
      <c r="K133" s="52" t="str">
        <f t="shared" si="111"/>
        <v/>
      </c>
      <c r="L133" s="48" t="str">
        <f t="shared" si="112"/>
        <v>#DIV/0!</v>
      </c>
      <c r="M133" s="50"/>
      <c r="N133" s="131">
        <f t="shared" si="113"/>
        <v>0</v>
      </c>
    </row>
    <row r="134">
      <c r="A134" s="132"/>
      <c r="B134" s="99" t="s">
        <v>42</v>
      </c>
      <c r="C134" s="37"/>
      <c r="D134" s="133"/>
      <c r="E134" s="12">
        <f t="shared" si="108"/>
        <v>0</v>
      </c>
      <c r="F134" s="47"/>
      <c r="G134" s="14" t="str">
        <f t="shared" si="109"/>
        <v>#DIV/0!</v>
      </c>
      <c r="H134" s="37"/>
      <c r="I134" s="40"/>
      <c r="J134" s="37">
        <f t="shared" si="110"/>
        <v>0</v>
      </c>
      <c r="K134" s="52" t="str">
        <f t="shared" si="111"/>
        <v/>
      </c>
      <c r="L134" s="48" t="str">
        <f t="shared" si="112"/>
        <v>#DIV/0!</v>
      </c>
      <c r="M134" s="134"/>
      <c r="N134" s="131">
        <f t="shared" si="113"/>
        <v>0</v>
      </c>
    </row>
    <row r="135">
      <c r="A135" s="94"/>
      <c r="B135" s="99" t="s">
        <v>42</v>
      </c>
      <c r="C135" s="55"/>
      <c r="D135" s="95"/>
      <c r="E135" s="25">
        <f t="shared" si="108"/>
        <v>0</v>
      </c>
      <c r="F135" s="47"/>
      <c r="G135" s="56" t="str">
        <f t="shared" si="109"/>
        <v>#DIV/0!</v>
      </c>
      <c r="H135" s="55"/>
      <c r="I135" s="85"/>
      <c r="J135" s="55">
        <f t="shared" si="110"/>
        <v>0</v>
      </c>
      <c r="K135" s="52" t="str">
        <f t="shared" si="111"/>
        <v/>
      </c>
      <c r="L135" s="77" t="str">
        <f t="shared" si="112"/>
        <v>#DIV/0!</v>
      </c>
      <c r="M135" s="96"/>
      <c r="N135" s="135">
        <f t="shared" si="113"/>
        <v>0</v>
      </c>
    </row>
    <row r="136">
      <c r="A136" s="62"/>
      <c r="B136" s="63"/>
      <c r="C136" s="62"/>
      <c r="D136" s="64" t="s">
        <v>19</v>
      </c>
      <c r="E136" s="64">
        <f>sum(E129:E135)</f>
        <v>1829</v>
      </c>
      <c r="F136" s="64">
        <f>sum(F128:F135)</f>
        <v>351</v>
      </c>
      <c r="G136" s="65" t="str">
        <f>average(G129:G135)</f>
        <v>#DIV/0!</v>
      </c>
      <c r="H136" s="62"/>
      <c r="I136" s="66"/>
      <c r="J136" s="64">
        <f t="shared" ref="J136:K136" si="114">sum(J129:J135)</f>
        <v>0</v>
      </c>
      <c r="K136" s="64">
        <f t="shared" si="114"/>
        <v>211</v>
      </c>
      <c r="L136" s="65" t="str">
        <f>average(L129:L135)</f>
        <v>#DIV/0!</v>
      </c>
      <c r="M136" s="68"/>
      <c r="N136" s="69">
        <f>sum(N129:N135)</f>
        <v>5645550</v>
      </c>
    </row>
    <row r="137">
      <c r="A137" s="70"/>
      <c r="B137" s="99" t="s">
        <v>27</v>
      </c>
      <c r="C137" s="89"/>
      <c r="D137" s="13"/>
      <c r="E137" s="38">
        <f t="shared" ref="E137:E147" si="115">D137-C137</f>
        <v>0</v>
      </c>
      <c r="F137" s="39"/>
      <c r="G137" s="14" t="str">
        <f t="shared" ref="G137:G147" si="116">(F137/E137)*100</f>
        <v>#DIV/0!</v>
      </c>
      <c r="H137" s="137"/>
      <c r="I137" s="138"/>
      <c r="J137" s="41">
        <f t="shared" ref="J137:J147" si="117">I137-H137</f>
        <v>0</v>
      </c>
      <c r="K137" s="52" t="str">
        <f t="shared" ref="K137:K141" si="118">F137</f>
        <v/>
      </c>
      <c r="L137" s="71" t="str">
        <f t="shared" ref="L137:L147" si="119">(K137/J137)*100</f>
        <v>#DIV/0!</v>
      </c>
      <c r="M137" s="72"/>
      <c r="N137" s="131">
        <f t="shared" ref="N137:N140" si="120">F137*M137</f>
        <v>0</v>
      </c>
      <c r="R137" s="80" t="str">
        <f t="shared" ref="R137:R144" si="121">Q137</f>
        <v/>
      </c>
    </row>
    <row r="138">
      <c r="A138" s="35"/>
      <c r="B138" s="46" t="s">
        <v>27</v>
      </c>
      <c r="C138" s="37"/>
      <c r="D138" s="13"/>
      <c r="E138" s="12">
        <f t="shared" si="115"/>
        <v>0</v>
      </c>
      <c r="F138" s="47"/>
      <c r="G138" s="14" t="str">
        <f t="shared" si="116"/>
        <v>#DIV/0!</v>
      </c>
      <c r="H138" s="40"/>
      <c r="I138" s="40"/>
      <c r="J138" s="37">
        <f t="shared" si="117"/>
        <v>0</v>
      </c>
      <c r="K138" s="52" t="str">
        <f t="shared" si="118"/>
        <v/>
      </c>
      <c r="L138" s="48" t="str">
        <f t="shared" si="119"/>
        <v>#DIV/0!</v>
      </c>
      <c r="M138" s="50"/>
      <c r="N138" s="131">
        <f t="shared" si="120"/>
        <v>0</v>
      </c>
      <c r="R138" s="80" t="str">
        <f t="shared" si="121"/>
        <v/>
      </c>
    </row>
    <row r="139">
      <c r="A139" s="35"/>
      <c r="B139" s="46" t="s">
        <v>27</v>
      </c>
      <c r="C139" s="37"/>
      <c r="D139" s="37"/>
      <c r="E139" s="12">
        <f t="shared" si="115"/>
        <v>0</v>
      </c>
      <c r="F139" s="47"/>
      <c r="G139" s="14" t="str">
        <f t="shared" si="116"/>
        <v>#DIV/0!</v>
      </c>
      <c r="H139" s="37"/>
      <c r="I139" s="40"/>
      <c r="J139" s="37">
        <f t="shared" si="117"/>
        <v>0</v>
      </c>
      <c r="K139" s="52" t="str">
        <f t="shared" si="118"/>
        <v/>
      </c>
      <c r="L139" s="48" t="str">
        <f t="shared" si="119"/>
        <v>#DIV/0!</v>
      </c>
      <c r="M139" s="50"/>
      <c r="N139" s="131">
        <f t="shared" si="120"/>
        <v>0</v>
      </c>
      <c r="R139" s="80" t="str">
        <f t="shared" si="121"/>
        <v/>
      </c>
    </row>
    <row r="140">
      <c r="A140" s="35"/>
      <c r="B140" s="46" t="s">
        <v>27</v>
      </c>
      <c r="C140" s="37"/>
      <c r="D140" s="37"/>
      <c r="E140" s="12">
        <f t="shared" si="115"/>
        <v>0</v>
      </c>
      <c r="F140" s="47"/>
      <c r="G140" s="14" t="str">
        <f t="shared" si="116"/>
        <v>#DIV/0!</v>
      </c>
      <c r="H140" s="37"/>
      <c r="I140" s="40"/>
      <c r="J140" s="37">
        <f t="shared" si="117"/>
        <v>0</v>
      </c>
      <c r="K140" s="52" t="str">
        <f t="shared" si="118"/>
        <v/>
      </c>
      <c r="L140" s="48" t="str">
        <f t="shared" si="119"/>
        <v>#DIV/0!</v>
      </c>
      <c r="M140" s="50"/>
      <c r="N140" s="131">
        <f t="shared" si="120"/>
        <v>0</v>
      </c>
      <c r="R140" s="80" t="str">
        <f t="shared" si="121"/>
        <v/>
      </c>
    </row>
    <row r="141">
      <c r="A141" s="35"/>
      <c r="B141" s="46" t="s">
        <v>27</v>
      </c>
      <c r="C141" s="37"/>
      <c r="D141" s="37"/>
      <c r="E141" s="12">
        <f t="shared" si="115"/>
        <v>0</v>
      </c>
      <c r="F141" s="47"/>
      <c r="G141" s="14" t="str">
        <f t="shared" si="116"/>
        <v>#DIV/0!</v>
      </c>
      <c r="H141" s="37"/>
      <c r="I141" s="40"/>
      <c r="J141" s="37">
        <f t="shared" si="117"/>
        <v>0</v>
      </c>
      <c r="K141" s="52" t="str">
        <f t="shared" si="118"/>
        <v/>
      </c>
      <c r="L141" s="48" t="str">
        <f t="shared" si="119"/>
        <v>#DIV/0!</v>
      </c>
      <c r="M141" s="50"/>
      <c r="N141" s="49"/>
      <c r="R141" s="80" t="str">
        <f t="shared" si="121"/>
        <v/>
      </c>
    </row>
    <row r="142">
      <c r="A142" s="35"/>
      <c r="B142" s="46" t="s">
        <v>27</v>
      </c>
      <c r="C142" s="37"/>
      <c r="D142" s="133"/>
      <c r="E142" s="12">
        <f t="shared" si="115"/>
        <v>0</v>
      </c>
      <c r="F142" s="47"/>
      <c r="G142" s="14" t="str">
        <f t="shared" si="116"/>
        <v>#DIV/0!</v>
      </c>
      <c r="H142" s="37"/>
      <c r="I142" s="93"/>
      <c r="J142" s="37">
        <f t="shared" si="117"/>
        <v>0</v>
      </c>
      <c r="K142" s="52"/>
      <c r="L142" s="48" t="str">
        <f t="shared" si="119"/>
        <v>#DIV/0!</v>
      </c>
      <c r="M142" s="50"/>
      <c r="N142" s="49"/>
      <c r="R142" s="80" t="str">
        <f t="shared" si="121"/>
        <v/>
      </c>
    </row>
    <row r="143">
      <c r="A143" s="8"/>
      <c r="B143" s="9" t="s">
        <v>27</v>
      </c>
      <c r="C143" s="13"/>
      <c r="D143" s="139"/>
      <c r="E143" s="12">
        <f t="shared" si="115"/>
        <v>0</v>
      </c>
      <c r="F143" s="13"/>
      <c r="G143" s="14" t="str">
        <f t="shared" si="116"/>
        <v>#DIV/0!</v>
      </c>
      <c r="H143" s="13"/>
      <c r="I143" s="140"/>
      <c r="J143" s="13">
        <f t="shared" si="117"/>
        <v>0</v>
      </c>
      <c r="K143" s="11"/>
      <c r="L143" s="17" t="str">
        <f t="shared" si="119"/>
        <v>#DIV/0!</v>
      </c>
      <c r="M143" s="18"/>
      <c r="N143" s="18"/>
      <c r="R143" s="80" t="str">
        <f t="shared" si="121"/>
        <v/>
      </c>
    </row>
    <row r="144">
      <c r="A144" s="8"/>
      <c r="B144" s="9" t="s">
        <v>27</v>
      </c>
      <c r="C144" s="13"/>
      <c r="D144" s="139"/>
      <c r="E144" s="12">
        <f t="shared" si="115"/>
        <v>0</v>
      </c>
      <c r="F144" s="13"/>
      <c r="G144" s="14" t="str">
        <f t="shared" si="116"/>
        <v>#DIV/0!</v>
      </c>
      <c r="H144" s="13"/>
      <c r="I144" s="140"/>
      <c r="J144" s="13">
        <f t="shared" si="117"/>
        <v>0</v>
      </c>
      <c r="K144" s="11"/>
      <c r="L144" s="17" t="str">
        <f t="shared" si="119"/>
        <v>#DIV/0!</v>
      </c>
      <c r="M144" s="18"/>
      <c r="N144" s="18"/>
      <c r="R144" s="80" t="str">
        <f t="shared" si="121"/>
        <v/>
      </c>
    </row>
    <row r="145">
      <c r="A145" s="8"/>
      <c r="B145" s="9" t="s">
        <v>27</v>
      </c>
      <c r="C145" s="13"/>
      <c r="D145" s="139"/>
      <c r="E145" s="12">
        <f t="shared" si="115"/>
        <v>0</v>
      </c>
      <c r="F145" s="13"/>
      <c r="G145" s="14" t="str">
        <f t="shared" si="116"/>
        <v>#DIV/0!</v>
      </c>
      <c r="H145" s="13"/>
      <c r="I145" s="140"/>
      <c r="J145" s="13">
        <f t="shared" si="117"/>
        <v>0</v>
      </c>
      <c r="K145" s="11"/>
      <c r="L145" s="17" t="str">
        <f t="shared" si="119"/>
        <v>#DIV/0!</v>
      </c>
      <c r="M145" s="18"/>
      <c r="N145" s="18"/>
    </row>
    <row r="146">
      <c r="A146" s="8"/>
      <c r="B146" s="9" t="s">
        <v>27</v>
      </c>
      <c r="C146" s="13"/>
      <c r="D146" s="139"/>
      <c r="E146" s="12">
        <f t="shared" si="115"/>
        <v>0</v>
      </c>
      <c r="F146" s="13"/>
      <c r="G146" s="14" t="str">
        <f t="shared" si="116"/>
        <v>#DIV/0!</v>
      </c>
      <c r="H146" s="13"/>
      <c r="I146" s="140"/>
      <c r="J146" s="13">
        <f t="shared" si="117"/>
        <v>0</v>
      </c>
      <c r="K146" s="11"/>
      <c r="L146" s="17" t="str">
        <f t="shared" si="119"/>
        <v>#DIV/0!</v>
      </c>
      <c r="M146" s="18"/>
      <c r="N146" s="18"/>
    </row>
    <row r="147">
      <c r="A147" s="8"/>
      <c r="B147" s="9" t="s">
        <v>27</v>
      </c>
      <c r="C147" s="13"/>
      <c r="D147" s="139"/>
      <c r="E147" s="12">
        <f t="shared" si="115"/>
        <v>0</v>
      </c>
      <c r="F147" s="13"/>
      <c r="G147" s="14" t="str">
        <f t="shared" si="116"/>
        <v>#DIV/0!</v>
      </c>
      <c r="H147" s="13"/>
      <c r="I147" s="140"/>
      <c r="J147" s="13">
        <f t="shared" si="117"/>
        <v>0</v>
      </c>
      <c r="K147" s="11"/>
      <c r="L147" s="17" t="str">
        <f t="shared" si="119"/>
        <v>#DIV/0!</v>
      </c>
      <c r="M147" s="18"/>
      <c r="N147" s="18"/>
    </row>
    <row r="148">
      <c r="A148" s="88"/>
      <c r="B148" s="141"/>
      <c r="C148" s="88"/>
      <c r="D148" s="67" t="s">
        <v>19</v>
      </c>
      <c r="E148" s="67">
        <f t="shared" ref="E148:F148" si="122">sum(E137:E144)</f>
        <v>0</v>
      </c>
      <c r="F148" s="67">
        <f t="shared" si="122"/>
        <v>0</v>
      </c>
      <c r="G148" s="142" t="str">
        <f>average(G137:G144)</f>
        <v>#DIV/0!</v>
      </c>
      <c r="H148" s="88"/>
      <c r="I148" s="143"/>
      <c r="J148" s="67">
        <f t="shared" ref="J148:K148" si="123">sum(J137:J144)</f>
        <v>0</v>
      </c>
      <c r="K148" s="67">
        <f t="shared" si="123"/>
        <v>0</v>
      </c>
      <c r="L148" s="142" t="str">
        <f>average(L137:L144)</f>
        <v>#DIV/0!</v>
      </c>
      <c r="M148" s="144"/>
      <c r="N148" s="145">
        <f>sum(N137:N147)</f>
        <v>0</v>
      </c>
      <c r="R148" s="80" t="str">
        <f t="shared" ref="R148:R175" si="124">Q148</f>
        <v/>
      </c>
    </row>
    <row r="149">
      <c r="A149" s="70"/>
      <c r="B149" s="99" t="s">
        <v>28</v>
      </c>
      <c r="C149" s="89"/>
      <c r="D149" s="13"/>
      <c r="E149" s="38">
        <f t="shared" ref="E149:E156" si="125">D149-C149</f>
        <v>0</v>
      </c>
      <c r="F149" s="39">
        <v>70.0</v>
      </c>
      <c r="G149" s="14" t="str">
        <f t="shared" ref="G149:G156" si="126">(F149/E149)*100</f>
        <v>#DIV/0!</v>
      </c>
      <c r="H149" s="137"/>
      <c r="I149" s="138"/>
      <c r="J149" s="41">
        <f t="shared" ref="J149:J156" si="127">I149-H149</f>
        <v>0</v>
      </c>
      <c r="K149" s="81"/>
      <c r="L149" s="71" t="str">
        <f t="shared" ref="L149:L156" si="128">(K149/J149)*100</f>
        <v>#DIV/0!</v>
      </c>
      <c r="M149" s="72"/>
      <c r="N149" s="49">
        <f t="shared" ref="N149:N154" si="129">M149*K149</f>
        <v>0</v>
      </c>
      <c r="R149" s="80" t="str">
        <f t="shared" si="124"/>
        <v/>
      </c>
    </row>
    <row r="150">
      <c r="A150" s="35"/>
      <c r="B150" s="99" t="s">
        <v>28</v>
      </c>
      <c r="C150" s="37"/>
      <c r="D150" s="13"/>
      <c r="E150" s="12">
        <f t="shared" si="125"/>
        <v>0</v>
      </c>
      <c r="F150" s="47">
        <v>65.0</v>
      </c>
      <c r="G150" s="14" t="str">
        <f t="shared" si="126"/>
        <v>#DIV/0!</v>
      </c>
      <c r="H150" s="40"/>
      <c r="I150" s="40"/>
      <c r="J150" s="37">
        <f t="shared" si="127"/>
        <v>0</v>
      </c>
      <c r="K150" s="47"/>
      <c r="L150" s="71" t="str">
        <f t="shared" si="128"/>
        <v>#DIV/0!</v>
      </c>
      <c r="M150" s="50"/>
      <c r="N150" s="49">
        <f t="shared" si="129"/>
        <v>0</v>
      </c>
      <c r="R150" s="80" t="str">
        <f t="shared" si="124"/>
        <v/>
      </c>
    </row>
    <row r="151">
      <c r="A151" s="35"/>
      <c r="B151" s="99" t="s">
        <v>28</v>
      </c>
      <c r="C151" s="37"/>
      <c r="D151" s="37"/>
      <c r="E151" s="12">
        <f t="shared" si="125"/>
        <v>0</v>
      </c>
      <c r="F151" s="47"/>
      <c r="G151" s="14" t="str">
        <f t="shared" si="126"/>
        <v>#DIV/0!</v>
      </c>
      <c r="H151" s="37"/>
      <c r="I151" s="40"/>
      <c r="J151" s="37">
        <f t="shared" si="127"/>
        <v>0</v>
      </c>
      <c r="K151" s="52"/>
      <c r="L151" s="48" t="str">
        <f t="shared" si="128"/>
        <v>#DIV/0!</v>
      </c>
      <c r="M151" s="50"/>
      <c r="N151" s="49">
        <f t="shared" si="129"/>
        <v>0</v>
      </c>
      <c r="R151" s="80" t="str">
        <f t="shared" si="124"/>
        <v/>
      </c>
    </row>
    <row r="152">
      <c r="A152" s="35"/>
      <c r="B152" s="99" t="s">
        <v>28</v>
      </c>
      <c r="C152" s="37"/>
      <c r="D152" s="37"/>
      <c r="E152" s="12">
        <f t="shared" si="125"/>
        <v>0</v>
      </c>
      <c r="F152" s="47"/>
      <c r="G152" s="14" t="str">
        <f t="shared" si="126"/>
        <v>#DIV/0!</v>
      </c>
      <c r="H152" s="37"/>
      <c r="I152" s="40"/>
      <c r="J152" s="37">
        <f t="shared" si="127"/>
        <v>0</v>
      </c>
      <c r="K152" s="52"/>
      <c r="L152" s="48" t="str">
        <f t="shared" si="128"/>
        <v>#DIV/0!</v>
      </c>
      <c r="M152" s="50"/>
      <c r="N152" s="49">
        <f t="shared" si="129"/>
        <v>0</v>
      </c>
      <c r="R152" s="80" t="str">
        <f t="shared" si="124"/>
        <v/>
      </c>
    </row>
    <row r="153">
      <c r="A153" s="35"/>
      <c r="B153" s="99" t="s">
        <v>28</v>
      </c>
      <c r="C153" s="37"/>
      <c r="D153" s="37"/>
      <c r="E153" s="12">
        <f t="shared" si="125"/>
        <v>0</v>
      </c>
      <c r="F153" s="47"/>
      <c r="G153" s="14" t="str">
        <f t="shared" si="126"/>
        <v>#DIV/0!</v>
      </c>
      <c r="H153" s="37"/>
      <c r="I153" s="40"/>
      <c r="J153" s="37">
        <f t="shared" si="127"/>
        <v>0</v>
      </c>
      <c r="K153" s="52"/>
      <c r="L153" s="48" t="str">
        <f t="shared" si="128"/>
        <v>#DIV/0!</v>
      </c>
      <c r="M153" s="50"/>
      <c r="N153" s="49">
        <f t="shared" si="129"/>
        <v>0</v>
      </c>
      <c r="R153" s="80" t="str">
        <f t="shared" si="124"/>
        <v/>
      </c>
    </row>
    <row r="154">
      <c r="A154" s="35"/>
      <c r="B154" s="99" t="s">
        <v>28</v>
      </c>
      <c r="C154" s="37"/>
      <c r="D154" s="133"/>
      <c r="E154" s="12">
        <f t="shared" si="125"/>
        <v>0</v>
      </c>
      <c r="F154" s="47"/>
      <c r="G154" s="14" t="str">
        <f t="shared" si="126"/>
        <v>#DIV/0!</v>
      </c>
      <c r="H154" s="37"/>
      <c r="I154" s="93"/>
      <c r="J154" s="37">
        <f t="shared" si="127"/>
        <v>0</v>
      </c>
      <c r="K154" s="52"/>
      <c r="L154" s="48" t="str">
        <f t="shared" si="128"/>
        <v>#DIV/0!</v>
      </c>
      <c r="M154" s="50"/>
      <c r="N154" s="49">
        <f t="shared" si="129"/>
        <v>0</v>
      </c>
      <c r="R154" s="80" t="str">
        <f t="shared" si="124"/>
        <v/>
      </c>
    </row>
    <row r="155">
      <c r="A155" s="35"/>
      <c r="B155" s="99" t="s">
        <v>28</v>
      </c>
      <c r="C155" s="37"/>
      <c r="D155" s="133"/>
      <c r="E155" s="12">
        <f t="shared" si="125"/>
        <v>0</v>
      </c>
      <c r="F155" s="47"/>
      <c r="G155" s="14" t="str">
        <f t="shared" si="126"/>
        <v>#DIV/0!</v>
      </c>
      <c r="H155" s="37"/>
      <c r="I155" s="93"/>
      <c r="J155" s="37">
        <f t="shared" si="127"/>
        <v>0</v>
      </c>
      <c r="K155" s="52" t="str">
        <f t="shared" ref="K155:K156" si="130">F155</f>
        <v/>
      </c>
      <c r="L155" s="48" t="str">
        <f t="shared" si="128"/>
        <v>#DIV/0!</v>
      </c>
      <c r="M155" s="50"/>
      <c r="N155" s="49">
        <f>F155*M155</f>
        <v>0</v>
      </c>
      <c r="R155" s="80" t="str">
        <f t="shared" si="124"/>
        <v/>
      </c>
    </row>
    <row r="156">
      <c r="A156" s="146"/>
      <c r="B156" s="99" t="s">
        <v>28</v>
      </c>
      <c r="C156" s="55"/>
      <c r="D156" s="95"/>
      <c r="E156" s="25">
        <f t="shared" si="125"/>
        <v>0</v>
      </c>
      <c r="F156" s="47"/>
      <c r="G156" s="56" t="str">
        <f t="shared" si="126"/>
        <v>#DIV/0!</v>
      </c>
      <c r="H156" s="55"/>
      <c r="I156" s="85"/>
      <c r="J156" s="55">
        <f t="shared" si="127"/>
        <v>0</v>
      </c>
      <c r="K156" s="52" t="str">
        <f t="shared" si="130"/>
        <v/>
      </c>
      <c r="L156" s="77" t="str">
        <f t="shared" si="128"/>
        <v>#DIV/0!</v>
      </c>
      <c r="M156" s="58"/>
      <c r="N156" s="49">
        <f>M156*K156</f>
        <v>0</v>
      </c>
      <c r="R156" s="80" t="str">
        <f t="shared" si="124"/>
        <v/>
      </c>
    </row>
    <row r="157">
      <c r="A157" s="62"/>
      <c r="B157" s="63"/>
      <c r="C157" s="62"/>
      <c r="D157" s="64" t="s">
        <v>19</v>
      </c>
      <c r="E157" s="64">
        <f t="shared" ref="E157:F157" si="131">sum(E149:E156)</f>
        <v>0</v>
      </c>
      <c r="F157" s="64">
        <f t="shared" si="131"/>
        <v>135</v>
      </c>
      <c r="G157" s="65" t="str">
        <f>average(G149:G156)</f>
        <v>#DIV/0!</v>
      </c>
      <c r="H157" s="62"/>
      <c r="I157" s="66"/>
      <c r="J157" s="64">
        <f t="shared" ref="J157:K157" si="132">sum(J149:J156)</f>
        <v>0</v>
      </c>
      <c r="K157" s="64">
        <f t="shared" si="132"/>
        <v>0</v>
      </c>
      <c r="L157" s="65" t="str">
        <f>average(L149:L156)</f>
        <v>#DIV/0!</v>
      </c>
      <c r="M157" s="68"/>
      <c r="N157" s="147">
        <f>sum(N149:N156)</f>
        <v>0</v>
      </c>
      <c r="R157" s="80" t="str">
        <f t="shared" si="124"/>
        <v/>
      </c>
    </row>
    <row r="158">
      <c r="A158" s="91"/>
      <c r="B158" s="99" t="s">
        <v>43</v>
      </c>
      <c r="C158" s="89"/>
      <c r="D158" s="13"/>
      <c r="E158" s="38">
        <f t="shared" ref="E158:E165" si="133">D158-C158</f>
        <v>0</v>
      </c>
      <c r="F158" s="39"/>
      <c r="G158" s="14" t="str">
        <f t="shared" ref="G158:G165" si="134">(F158/E158)*100</f>
        <v>#DIV/0!</v>
      </c>
      <c r="H158" s="137"/>
      <c r="I158" s="138"/>
      <c r="J158" s="41">
        <f t="shared" ref="J158:J165" si="135">I158-H158</f>
        <v>0</v>
      </c>
      <c r="K158" s="52" t="str">
        <f t="shared" ref="K158:K160" si="136">F158</f>
        <v/>
      </c>
      <c r="L158" s="71" t="str">
        <f t="shared" ref="L158:L165" si="137">(K158/J158)*100</f>
        <v>#DIV/0!</v>
      </c>
      <c r="M158" s="72"/>
      <c r="N158" s="49"/>
      <c r="R158" s="80" t="str">
        <f t="shared" si="124"/>
        <v/>
      </c>
    </row>
    <row r="159">
      <c r="A159" s="35"/>
      <c r="B159" s="46" t="s">
        <v>43</v>
      </c>
      <c r="C159" s="37"/>
      <c r="D159" s="13"/>
      <c r="E159" s="12">
        <f t="shared" si="133"/>
        <v>0</v>
      </c>
      <c r="F159" s="47"/>
      <c r="G159" s="14" t="str">
        <f t="shared" si="134"/>
        <v>#DIV/0!</v>
      </c>
      <c r="H159" s="40"/>
      <c r="I159" s="40"/>
      <c r="J159" s="37">
        <f t="shared" si="135"/>
        <v>0</v>
      </c>
      <c r="K159" s="52" t="str">
        <f t="shared" si="136"/>
        <v/>
      </c>
      <c r="L159" s="48" t="str">
        <f t="shared" si="137"/>
        <v>#DIV/0!</v>
      </c>
      <c r="M159" s="50"/>
      <c r="N159" s="49"/>
      <c r="R159" s="80" t="str">
        <f t="shared" si="124"/>
        <v/>
      </c>
    </row>
    <row r="160">
      <c r="A160" s="35"/>
      <c r="B160" s="46" t="s">
        <v>43</v>
      </c>
      <c r="C160" s="37"/>
      <c r="D160" s="37"/>
      <c r="E160" s="12">
        <f t="shared" si="133"/>
        <v>0</v>
      </c>
      <c r="F160" s="47"/>
      <c r="G160" s="14" t="str">
        <f t="shared" si="134"/>
        <v>#DIV/0!</v>
      </c>
      <c r="H160" s="37"/>
      <c r="I160" s="40"/>
      <c r="J160" s="37">
        <f t="shared" si="135"/>
        <v>0</v>
      </c>
      <c r="K160" s="52" t="str">
        <f t="shared" si="136"/>
        <v/>
      </c>
      <c r="L160" s="48" t="str">
        <f t="shared" si="137"/>
        <v>#DIV/0!</v>
      </c>
      <c r="M160" s="50"/>
      <c r="N160" s="49"/>
      <c r="R160" s="80" t="str">
        <f t="shared" si="124"/>
        <v/>
      </c>
    </row>
    <row r="161">
      <c r="A161" s="35"/>
      <c r="B161" s="46" t="s">
        <v>43</v>
      </c>
      <c r="C161" s="37"/>
      <c r="D161" s="37"/>
      <c r="E161" s="12">
        <f t="shared" si="133"/>
        <v>0</v>
      </c>
      <c r="F161" s="47"/>
      <c r="G161" s="14" t="str">
        <f t="shared" si="134"/>
        <v>#DIV/0!</v>
      </c>
      <c r="H161" s="37"/>
      <c r="I161" s="40"/>
      <c r="J161" s="37">
        <f t="shared" si="135"/>
        <v>0</v>
      </c>
      <c r="K161" s="52"/>
      <c r="L161" s="48" t="str">
        <f t="shared" si="137"/>
        <v>#DIV/0!</v>
      </c>
      <c r="M161" s="50"/>
      <c r="N161" s="49"/>
      <c r="R161" s="80" t="str">
        <f t="shared" si="124"/>
        <v/>
      </c>
    </row>
    <row r="162">
      <c r="A162" s="35"/>
      <c r="B162" s="46" t="s">
        <v>43</v>
      </c>
      <c r="C162" s="37"/>
      <c r="D162" s="37"/>
      <c r="E162" s="12">
        <f t="shared" si="133"/>
        <v>0</v>
      </c>
      <c r="F162" s="47"/>
      <c r="G162" s="14" t="str">
        <f t="shared" si="134"/>
        <v>#DIV/0!</v>
      </c>
      <c r="H162" s="37"/>
      <c r="I162" s="40"/>
      <c r="J162" s="37">
        <f t="shared" si="135"/>
        <v>0</v>
      </c>
      <c r="K162" s="52"/>
      <c r="L162" s="48" t="str">
        <f t="shared" si="137"/>
        <v>#DIV/0!</v>
      </c>
      <c r="M162" s="50"/>
      <c r="N162" s="49"/>
      <c r="R162" s="80" t="str">
        <f t="shared" si="124"/>
        <v/>
      </c>
    </row>
    <row r="163">
      <c r="A163" s="35"/>
      <c r="B163" s="46" t="s">
        <v>43</v>
      </c>
      <c r="C163" s="37"/>
      <c r="D163" s="133"/>
      <c r="E163" s="12">
        <f t="shared" si="133"/>
        <v>0</v>
      </c>
      <c r="F163" s="47"/>
      <c r="G163" s="14" t="str">
        <f t="shared" si="134"/>
        <v>#DIV/0!</v>
      </c>
      <c r="H163" s="37"/>
      <c r="I163" s="93"/>
      <c r="J163" s="37">
        <f t="shared" si="135"/>
        <v>0</v>
      </c>
      <c r="K163" s="52" t="str">
        <f t="shared" ref="K163:K165" si="138">F163</f>
        <v/>
      </c>
      <c r="L163" s="48" t="str">
        <f t="shared" si="137"/>
        <v>#DIV/0!</v>
      </c>
      <c r="M163" s="50"/>
      <c r="N163" s="49">
        <f t="shared" ref="N163:N164" si="139">F163*M163</f>
        <v>0</v>
      </c>
      <c r="R163" s="80" t="str">
        <f t="shared" si="124"/>
        <v/>
      </c>
    </row>
    <row r="164">
      <c r="A164" s="35"/>
      <c r="B164" s="46" t="s">
        <v>43</v>
      </c>
      <c r="C164" s="37"/>
      <c r="D164" s="133"/>
      <c r="E164" s="12">
        <f t="shared" si="133"/>
        <v>0</v>
      </c>
      <c r="F164" s="47"/>
      <c r="G164" s="14" t="str">
        <f t="shared" si="134"/>
        <v>#DIV/0!</v>
      </c>
      <c r="H164" s="37"/>
      <c r="I164" s="93"/>
      <c r="J164" s="37">
        <f t="shared" si="135"/>
        <v>0</v>
      </c>
      <c r="K164" s="52" t="str">
        <f t="shared" si="138"/>
        <v/>
      </c>
      <c r="L164" s="48" t="str">
        <f t="shared" si="137"/>
        <v>#DIV/0!</v>
      </c>
      <c r="M164" s="50"/>
      <c r="N164" s="49">
        <f t="shared" si="139"/>
        <v>0</v>
      </c>
      <c r="R164" s="80" t="str">
        <f t="shared" si="124"/>
        <v/>
      </c>
    </row>
    <row r="165">
      <c r="A165" s="146"/>
      <c r="B165" s="46" t="s">
        <v>43</v>
      </c>
      <c r="C165" s="55"/>
      <c r="D165" s="95"/>
      <c r="E165" s="25">
        <f t="shared" si="133"/>
        <v>0</v>
      </c>
      <c r="F165" s="47"/>
      <c r="G165" s="56" t="str">
        <f t="shared" si="134"/>
        <v>#DIV/0!</v>
      </c>
      <c r="H165" s="55"/>
      <c r="I165" s="85"/>
      <c r="J165" s="55">
        <f t="shared" si="135"/>
        <v>0</v>
      </c>
      <c r="K165" s="52" t="str">
        <f t="shared" si="138"/>
        <v/>
      </c>
      <c r="L165" s="77" t="str">
        <f t="shared" si="137"/>
        <v>#DIV/0!</v>
      </c>
      <c r="M165" s="50"/>
      <c r="N165" s="49">
        <f>M165*K165</f>
        <v>0</v>
      </c>
      <c r="R165" s="80" t="str">
        <f t="shared" si="124"/>
        <v/>
      </c>
    </row>
    <row r="166">
      <c r="A166" s="62"/>
      <c r="B166" s="63"/>
      <c r="C166" s="62"/>
      <c r="D166" s="64" t="s">
        <v>19</v>
      </c>
      <c r="E166" s="64">
        <f>sum(E158:E165)</f>
        <v>0</v>
      </c>
      <c r="F166" s="39"/>
      <c r="G166" s="65" t="str">
        <f>average(G158:G165)</f>
        <v>#DIV/0!</v>
      </c>
      <c r="H166" s="62"/>
      <c r="I166" s="66"/>
      <c r="J166" s="64">
        <f t="shared" ref="J166:K166" si="140">sum(J158:J165)</f>
        <v>0</v>
      </c>
      <c r="K166" s="64">
        <f t="shared" si="140"/>
        <v>0</v>
      </c>
      <c r="L166" s="65" t="str">
        <f>average(L158:L165)</f>
        <v>#DIV/0!</v>
      </c>
      <c r="M166" s="72"/>
      <c r="N166" s="147">
        <f>sum(N158:N165)</f>
        <v>0</v>
      </c>
      <c r="R166" s="80" t="str">
        <f t="shared" si="124"/>
        <v/>
      </c>
    </row>
    <row r="167">
      <c r="A167" s="70"/>
      <c r="B167" s="99" t="s">
        <v>30</v>
      </c>
      <c r="C167" s="89"/>
      <c r="D167" s="13"/>
      <c r="E167" s="38">
        <f t="shared" ref="E167:E174" si="141">D167-C167</f>
        <v>0</v>
      </c>
      <c r="F167" s="39"/>
      <c r="G167" s="14" t="str">
        <f t="shared" ref="G167:G174" si="142">(F167/E167)*100</f>
        <v>#DIV/0!</v>
      </c>
      <c r="H167" s="137"/>
      <c r="I167" s="138"/>
      <c r="J167" s="41">
        <f t="shared" ref="J167:J174" si="143">I167-H167</f>
        <v>0</v>
      </c>
      <c r="K167" s="52" t="str">
        <f t="shared" ref="K167:K174" si="144">F167</f>
        <v/>
      </c>
      <c r="L167" s="71" t="str">
        <f t="shared" ref="L167:L174" si="145">(K167/J167)*100</f>
        <v>#DIV/0!</v>
      </c>
      <c r="M167" s="72"/>
      <c r="N167" s="49">
        <f>F167*M167</f>
        <v>0</v>
      </c>
      <c r="R167" s="80" t="str">
        <f t="shared" si="124"/>
        <v/>
      </c>
    </row>
    <row r="168">
      <c r="A168" s="70"/>
      <c r="B168" s="46" t="s">
        <v>30</v>
      </c>
      <c r="C168" s="37"/>
      <c r="D168" s="13"/>
      <c r="E168" s="12">
        <f t="shared" si="141"/>
        <v>0</v>
      </c>
      <c r="F168" s="47"/>
      <c r="G168" s="14" t="str">
        <f t="shared" si="142"/>
        <v>#DIV/0!</v>
      </c>
      <c r="H168" s="40"/>
      <c r="I168" s="40"/>
      <c r="J168" s="37">
        <f t="shared" si="143"/>
        <v>0</v>
      </c>
      <c r="K168" s="52" t="str">
        <f t="shared" si="144"/>
        <v/>
      </c>
      <c r="L168" s="48" t="str">
        <f t="shared" si="145"/>
        <v>#DIV/0!</v>
      </c>
      <c r="M168" s="50"/>
      <c r="N168" s="49"/>
      <c r="R168" s="80" t="str">
        <f t="shared" si="124"/>
        <v/>
      </c>
    </row>
    <row r="169">
      <c r="A169" s="35"/>
      <c r="B169" s="46" t="s">
        <v>30</v>
      </c>
      <c r="C169" s="37"/>
      <c r="D169" s="37"/>
      <c r="E169" s="12">
        <f t="shared" si="141"/>
        <v>0</v>
      </c>
      <c r="F169" s="47"/>
      <c r="G169" s="14" t="str">
        <f t="shared" si="142"/>
        <v>#DIV/0!</v>
      </c>
      <c r="H169" s="37"/>
      <c r="I169" s="40"/>
      <c r="J169" s="37">
        <f t="shared" si="143"/>
        <v>0</v>
      </c>
      <c r="K169" s="52" t="str">
        <f t="shared" si="144"/>
        <v/>
      </c>
      <c r="L169" s="48" t="str">
        <f t="shared" si="145"/>
        <v>#DIV/0!</v>
      </c>
      <c r="M169" s="50"/>
      <c r="N169" s="49"/>
      <c r="R169" s="80" t="str">
        <f t="shared" si="124"/>
        <v/>
      </c>
    </row>
    <row r="170">
      <c r="A170" s="35"/>
      <c r="B170" s="46" t="s">
        <v>30</v>
      </c>
      <c r="C170" s="37"/>
      <c r="D170" s="37"/>
      <c r="E170" s="12">
        <f t="shared" si="141"/>
        <v>0</v>
      </c>
      <c r="F170" s="47"/>
      <c r="G170" s="14" t="str">
        <f t="shared" si="142"/>
        <v>#DIV/0!</v>
      </c>
      <c r="H170" s="37"/>
      <c r="I170" s="40"/>
      <c r="J170" s="37">
        <f t="shared" si="143"/>
        <v>0</v>
      </c>
      <c r="K170" s="52" t="str">
        <f t="shared" si="144"/>
        <v/>
      </c>
      <c r="L170" s="48" t="str">
        <f t="shared" si="145"/>
        <v>#DIV/0!</v>
      </c>
      <c r="M170" s="50"/>
      <c r="N170" s="49"/>
      <c r="R170" s="80" t="str">
        <f t="shared" si="124"/>
        <v/>
      </c>
    </row>
    <row r="171">
      <c r="A171" s="35"/>
      <c r="B171" s="46" t="s">
        <v>30</v>
      </c>
      <c r="C171" s="37"/>
      <c r="D171" s="37"/>
      <c r="E171" s="12">
        <f t="shared" si="141"/>
        <v>0</v>
      </c>
      <c r="F171" s="47"/>
      <c r="G171" s="14" t="str">
        <f t="shared" si="142"/>
        <v>#DIV/0!</v>
      </c>
      <c r="H171" s="37"/>
      <c r="I171" s="40"/>
      <c r="J171" s="37">
        <f t="shared" si="143"/>
        <v>0</v>
      </c>
      <c r="K171" s="52" t="str">
        <f t="shared" si="144"/>
        <v/>
      </c>
      <c r="L171" s="48" t="str">
        <f t="shared" si="145"/>
        <v>#DIV/0!</v>
      </c>
      <c r="M171" s="50"/>
      <c r="N171" s="49"/>
      <c r="R171" s="80" t="str">
        <f t="shared" si="124"/>
        <v/>
      </c>
    </row>
    <row r="172">
      <c r="A172" s="35"/>
      <c r="B172" s="46" t="s">
        <v>30</v>
      </c>
      <c r="C172" s="37"/>
      <c r="D172" s="133"/>
      <c r="E172" s="12">
        <f t="shared" si="141"/>
        <v>0</v>
      </c>
      <c r="F172" s="47"/>
      <c r="G172" s="14" t="str">
        <f t="shared" si="142"/>
        <v>#DIV/0!</v>
      </c>
      <c r="H172" s="37"/>
      <c r="I172" s="93"/>
      <c r="J172" s="37">
        <f t="shared" si="143"/>
        <v>0</v>
      </c>
      <c r="K172" s="52" t="str">
        <f t="shared" si="144"/>
        <v/>
      </c>
      <c r="L172" s="48" t="str">
        <f t="shared" si="145"/>
        <v>#DIV/0!</v>
      </c>
      <c r="M172" s="50"/>
      <c r="N172" s="49">
        <f t="shared" ref="N172:N173" si="146">F172*M172</f>
        <v>0</v>
      </c>
      <c r="R172" s="80" t="str">
        <f t="shared" si="124"/>
        <v/>
      </c>
    </row>
    <row r="173">
      <c r="A173" s="35"/>
      <c r="B173" s="46" t="s">
        <v>30</v>
      </c>
      <c r="C173" s="37"/>
      <c r="D173" s="133"/>
      <c r="E173" s="12">
        <f t="shared" si="141"/>
        <v>0</v>
      </c>
      <c r="F173" s="47"/>
      <c r="G173" s="14" t="str">
        <f t="shared" si="142"/>
        <v>#DIV/0!</v>
      </c>
      <c r="H173" s="37"/>
      <c r="I173" s="93"/>
      <c r="J173" s="37">
        <f t="shared" si="143"/>
        <v>0</v>
      </c>
      <c r="K173" s="52" t="str">
        <f t="shared" si="144"/>
        <v/>
      </c>
      <c r="L173" s="77" t="str">
        <f t="shared" si="145"/>
        <v>#DIV/0!</v>
      </c>
      <c r="M173" s="50"/>
      <c r="N173" s="49">
        <f t="shared" si="146"/>
        <v>0</v>
      </c>
      <c r="R173" s="80" t="str">
        <f t="shared" si="124"/>
        <v/>
      </c>
    </row>
    <row r="174">
      <c r="A174" s="148"/>
      <c r="B174" s="46" t="s">
        <v>30</v>
      </c>
      <c r="C174" s="149"/>
      <c r="D174" s="150"/>
      <c r="E174" s="25">
        <f t="shared" si="141"/>
        <v>0</v>
      </c>
      <c r="F174" s="39"/>
      <c r="G174" s="56" t="str">
        <f t="shared" si="142"/>
        <v>#DIV/0!</v>
      </c>
      <c r="H174" s="149"/>
      <c r="I174" s="151"/>
      <c r="J174" s="149">
        <f t="shared" si="143"/>
        <v>0</v>
      </c>
      <c r="K174" s="52" t="str">
        <f t="shared" si="144"/>
        <v/>
      </c>
      <c r="L174" s="152" t="str">
        <f t="shared" si="145"/>
        <v>#DIV/0!</v>
      </c>
      <c r="M174" s="153"/>
      <c r="N174" s="49">
        <f>M174*K174</f>
        <v>0</v>
      </c>
      <c r="R174" s="80" t="str">
        <f t="shared" si="124"/>
        <v/>
      </c>
    </row>
    <row r="175">
      <c r="A175" s="62"/>
      <c r="B175" s="63"/>
      <c r="C175" s="62"/>
      <c r="D175" s="64" t="s">
        <v>19</v>
      </c>
      <c r="E175" s="64">
        <f t="shared" ref="E175:F175" si="147">sum(E167:E174)</f>
        <v>0</v>
      </c>
      <c r="F175" s="64">
        <f t="shared" si="147"/>
        <v>0</v>
      </c>
      <c r="G175" s="65" t="str">
        <f>average(G167:G174)</f>
        <v>#DIV/0!</v>
      </c>
      <c r="H175" s="62"/>
      <c r="I175" s="66"/>
      <c r="J175" s="64">
        <f t="shared" ref="J175:K175" si="148">sum(J167:J174)</f>
        <v>0</v>
      </c>
      <c r="K175" s="64">
        <f t="shared" si="148"/>
        <v>0</v>
      </c>
      <c r="L175" s="65" t="str">
        <f>average(L167:L174)</f>
        <v>#DIV/0!</v>
      </c>
      <c r="M175" s="68"/>
      <c r="N175" s="69">
        <f>sum(N167:N174)</f>
        <v>0</v>
      </c>
      <c r="R175" s="80" t="str">
        <f t="shared" si="124"/>
        <v/>
      </c>
    </row>
    <row r="176">
      <c r="A176" s="154"/>
      <c r="B176" s="99" t="s">
        <v>44</v>
      </c>
      <c r="C176" s="89"/>
      <c r="D176" s="13"/>
      <c r="E176" s="12">
        <f t="shared" ref="E176:E183" si="149">D176-C176</f>
        <v>0</v>
      </c>
      <c r="F176" s="39"/>
      <c r="G176" s="14" t="str">
        <f t="shared" ref="G176:G183" si="150">(F176/E176)*100</f>
        <v>#DIV/0!</v>
      </c>
      <c r="H176" s="137"/>
      <c r="I176" s="138"/>
      <c r="J176" s="41">
        <f t="shared" ref="J176:J183" si="151">I176-H176</f>
        <v>0</v>
      </c>
      <c r="K176" s="52" t="str">
        <f t="shared" ref="K176:K183" si="152">F176</f>
        <v/>
      </c>
      <c r="L176" s="71" t="str">
        <f t="shared" ref="L176:L183" si="153">(K176/J176)*100</f>
        <v>#DIV/0!</v>
      </c>
      <c r="M176" s="72"/>
      <c r="N176" s="49">
        <f t="shared" ref="N176:N178" si="154">F176*M176</f>
        <v>0</v>
      </c>
    </row>
    <row r="177">
      <c r="A177" s="35"/>
      <c r="B177" s="99" t="s">
        <v>44</v>
      </c>
      <c r="C177" s="37"/>
      <c r="D177" s="13"/>
      <c r="E177" s="12">
        <f t="shared" si="149"/>
        <v>0</v>
      </c>
      <c r="F177" s="47"/>
      <c r="G177" s="14" t="str">
        <f t="shared" si="150"/>
        <v>#DIV/0!</v>
      </c>
      <c r="H177" s="40"/>
      <c r="I177" s="40"/>
      <c r="J177" s="37">
        <f t="shared" si="151"/>
        <v>0</v>
      </c>
      <c r="K177" s="52" t="str">
        <f t="shared" si="152"/>
        <v/>
      </c>
      <c r="L177" s="48" t="str">
        <f t="shared" si="153"/>
        <v>#DIV/0!</v>
      </c>
      <c r="M177" s="72"/>
      <c r="N177" s="49">
        <f t="shared" si="154"/>
        <v>0</v>
      </c>
    </row>
    <row r="178">
      <c r="A178" s="35"/>
      <c r="B178" s="99" t="s">
        <v>44</v>
      </c>
      <c r="C178" s="37"/>
      <c r="D178" s="37"/>
      <c r="E178" s="12">
        <f t="shared" si="149"/>
        <v>0</v>
      </c>
      <c r="F178" s="47"/>
      <c r="G178" s="14" t="str">
        <f t="shared" si="150"/>
        <v>#DIV/0!</v>
      </c>
      <c r="H178" s="37"/>
      <c r="I178" s="40"/>
      <c r="J178" s="37">
        <f t="shared" si="151"/>
        <v>0</v>
      </c>
      <c r="K178" s="52" t="str">
        <f t="shared" si="152"/>
        <v/>
      </c>
      <c r="L178" s="48" t="str">
        <f t="shared" si="153"/>
        <v>#DIV/0!</v>
      </c>
      <c r="M178" s="72"/>
      <c r="N178" s="49">
        <f t="shared" si="154"/>
        <v>0</v>
      </c>
    </row>
    <row r="179">
      <c r="A179" s="35"/>
      <c r="B179" s="99" t="s">
        <v>44</v>
      </c>
      <c r="C179" s="37"/>
      <c r="D179" s="37"/>
      <c r="E179" s="12">
        <f t="shared" si="149"/>
        <v>0</v>
      </c>
      <c r="F179" s="47"/>
      <c r="G179" s="14" t="str">
        <f t="shared" si="150"/>
        <v>#DIV/0!</v>
      </c>
      <c r="H179" s="37"/>
      <c r="I179" s="40"/>
      <c r="J179" s="37">
        <f t="shared" si="151"/>
        <v>0</v>
      </c>
      <c r="K179" s="52" t="str">
        <f t="shared" si="152"/>
        <v/>
      </c>
      <c r="L179" s="48" t="str">
        <f t="shared" si="153"/>
        <v>#DIV/0!</v>
      </c>
      <c r="M179" s="72"/>
      <c r="N179" s="131"/>
    </row>
    <row r="180">
      <c r="A180" s="35"/>
      <c r="B180" s="99" t="s">
        <v>44</v>
      </c>
      <c r="C180" s="37"/>
      <c r="D180" s="37"/>
      <c r="E180" s="12">
        <f t="shared" si="149"/>
        <v>0</v>
      </c>
      <c r="F180" s="47"/>
      <c r="G180" s="14" t="str">
        <f t="shared" si="150"/>
        <v>#DIV/0!</v>
      </c>
      <c r="H180" s="37"/>
      <c r="I180" s="40"/>
      <c r="J180" s="37">
        <f t="shared" si="151"/>
        <v>0</v>
      </c>
      <c r="K180" s="52" t="str">
        <f t="shared" si="152"/>
        <v/>
      </c>
      <c r="L180" s="48" t="str">
        <f t="shared" si="153"/>
        <v>#DIV/0!</v>
      </c>
      <c r="M180" s="72"/>
      <c r="N180" s="131"/>
    </row>
    <row r="181">
      <c r="A181" s="35"/>
      <c r="B181" s="99" t="s">
        <v>44</v>
      </c>
      <c r="C181" s="37"/>
      <c r="D181" s="133"/>
      <c r="E181" s="12">
        <f t="shared" si="149"/>
        <v>0</v>
      </c>
      <c r="F181" s="47"/>
      <c r="G181" s="14" t="str">
        <f t="shared" si="150"/>
        <v>#DIV/0!</v>
      </c>
      <c r="H181" s="37"/>
      <c r="I181" s="93"/>
      <c r="J181" s="37">
        <f t="shared" si="151"/>
        <v>0</v>
      </c>
      <c r="K181" s="52" t="str">
        <f t="shared" si="152"/>
        <v/>
      </c>
      <c r="L181" s="48" t="str">
        <f t="shared" si="153"/>
        <v>#DIV/0!</v>
      </c>
      <c r="M181" s="72"/>
      <c r="N181" s="131">
        <f t="shared" ref="N181:N183" si="155">M181*K181</f>
        <v>0</v>
      </c>
    </row>
    <row r="182">
      <c r="A182" s="35"/>
      <c r="B182" s="99" t="s">
        <v>44</v>
      </c>
      <c r="C182" s="37"/>
      <c r="D182" s="133"/>
      <c r="E182" s="12">
        <f t="shared" si="149"/>
        <v>0</v>
      </c>
      <c r="F182" s="47"/>
      <c r="G182" s="14" t="str">
        <f t="shared" si="150"/>
        <v>#DIV/0!</v>
      </c>
      <c r="H182" s="37"/>
      <c r="I182" s="93"/>
      <c r="J182" s="37">
        <f t="shared" si="151"/>
        <v>0</v>
      </c>
      <c r="K182" s="52" t="str">
        <f t="shared" si="152"/>
        <v/>
      </c>
      <c r="L182" s="48" t="str">
        <f t="shared" si="153"/>
        <v>#DIV/0!</v>
      </c>
      <c r="M182" s="50"/>
      <c r="N182" s="131">
        <f t="shared" si="155"/>
        <v>0</v>
      </c>
    </row>
    <row r="183">
      <c r="A183" s="146"/>
      <c r="B183" s="99" t="s">
        <v>44</v>
      </c>
      <c r="C183" s="55"/>
      <c r="D183" s="95"/>
      <c r="E183" s="25">
        <f t="shared" si="149"/>
        <v>0</v>
      </c>
      <c r="F183" s="47"/>
      <c r="G183" s="56" t="str">
        <f t="shared" si="150"/>
        <v>#DIV/0!</v>
      </c>
      <c r="H183" s="55"/>
      <c r="I183" s="85"/>
      <c r="J183" s="55">
        <f t="shared" si="151"/>
        <v>0</v>
      </c>
      <c r="K183" s="52" t="str">
        <f t="shared" si="152"/>
        <v/>
      </c>
      <c r="L183" s="77" t="str">
        <f t="shared" si="153"/>
        <v>#DIV/0!</v>
      </c>
      <c r="M183" s="58"/>
      <c r="N183" s="49">
        <f t="shared" si="155"/>
        <v>0</v>
      </c>
    </row>
    <row r="184">
      <c r="A184" s="62"/>
      <c r="B184" s="63"/>
      <c r="C184" s="62"/>
      <c r="D184" s="64" t="s">
        <v>19</v>
      </c>
      <c r="E184" s="64">
        <f t="shared" ref="E184:F184" si="156">sum(E176:E183)</f>
        <v>0</v>
      </c>
      <c r="F184" s="64">
        <f t="shared" si="156"/>
        <v>0</v>
      </c>
      <c r="G184" s="65" t="str">
        <f>average(G176:G183)</f>
        <v>#DIV/0!</v>
      </c>
      <c r="H184" s="62"/>
      <c r="I184" s="66"/>
      <c r="J184" s="64">
        <f t="shared" ref="J184:K184" si="157">sum(J176:J183)</f>
        <v>0</v>
      </c>
      <c r="K184" s="64">
        <f t="shared" si="157"/>
        <v>0</v>
      </c>
      <c r="L184" s="65" t="str">
        <f>average(L176:L183)</f>
        <v>#DIV/0!</v>
      </c>
      <c r="M184" s="68"/>
      <c r="N184" s="69">
        <f>sum(N176:N183)</f>
        <v>0</v>
      </c>
    </row>
    <row r="185">
      <c r="A185" s="155"/>
      <c r="B185" s="156" t="s">
        <v>32</v>
      </c>
      <c r="C185" s="89"/>
      <c r="D185" s="13"/>
      <c r="E185" s="38">
        <f t="shared" ref="E185:E192" si="158">D185-C185</f>
        <v>0</v>
      </c>
      <c r="F185" s="39">
        <v>55.0</v>
      </c>
      <c r="G185" s="14" t="str">
        <f t="shared" ref="G185:G192" si="159">(F185/E185)*100</f>
        <v>#DIV/0!</v>
      </c>
      <c r="H185" s="137"/>
      <c r="I185" s="138"/>
      <c r="J185" s="41">
        <f t="shared" ref="J185:J192" si="160">I185-H185</f>
        <v>0</v>
      </c>
      <c r="K185" s="52"/>
      <c r="L185" s="152" t="str">
        <f t="shared" ref="L185:L192" si="161">(K185/J185)*100</f>
        <v>#DIV/0!</v>
      </c>
      <c r="M185" s="72"/>
      <c r="N185" s="131">
        <f t="shared" ref="N185:N187" si="162">M185*K185</f>
        <v>0</v>
      </c>
    </row>
    <row r="186">
      <c r="A186" s="154"/>
      <c r="B186" s="156" t="s">
        <v>32</v>
      </c>
      <c r="C186" s="89"/>
      <c r="D186" s="13"/>
      <c r="E186" s="38">
        <f t="shared" si="158"/>
        <v>0</v>
      </c>
      <c r="F186" s="47">
        <v>84.0</v>
      </c>
      <c r="G186" s="14" t="str">
        <f t="shared" si="159"/>
        <v>#DIV/0!</v>
      </c>
      <c r="H186" s="40"/>
      <c r="I186" s="40"/>
      <c r="J186" s="37">
        <f t="shared" si="160"/>
        <v>0</v>
      </c>
      <c r="K186" s="52"/>
      <c r="L186" s="152" t="str">
        <f t="shared" si="161"/>
        <v>#DIV/0!</v>
      </c>
      <c r="M186" s="126"/>
      <c r="N186" s="131">
        <f t="shared" si="162"/>
        <v>0</v>
      </c>
    </row>
    <row r="187">
      <c r="A187" s="154"/>
      <c r="B187" s="156" t="s">
        <v>32</v>
      </c>
      <c r="C187" s="89"/>
      <c r="D187" s="89"/>
      <c r="E187" s="12">
        <f t="shared" si="158"/>
        <v>0</v>
      </c>
      <c r="F187" s="157">
        <v>81.0</v>
      </c>
      <c r="G187" s="14" t="str">
        <f t="shared" si="159"/>
        <v>#DIV/0!</v>
      </c>
      <c r="H187" s="37"/>
      <c r="I187" s="40"/>
      <c r="J187" s="37">
        <f t="shared" si="160"/>
        <v>0</v>
      </c>
      <c r="K187" s="52"/>
      <c r="L187" s="152" t="str">
        <f t="shared" si="161"/>
        <v>#DIV/0!</v>
      </c>
      <c r="M187" s="126"/>
      <c r="N187" s="131">
        <f t="shared" si="162"/>
        <v>0</v>
      </c>
    </row>
    <row r="188">
      <c r="A188" s="154"/>
      <c r="B188" s="156" t="s">
        <v>32</v>
      </c>
      <c r="C188" s="89"/>
      <c r="D188" s="89"/>
      <c r="E188" s="12">
        <f t="shared" si="158"/>
        <v>0</v>
      </c>
      <c r="F188" s="157"/>
      <c r="G188" s="14" t="str">
        <f t="shared" si="159"/>
        <v>#DIV/0!</v>
      </c>
      <c r="H188" s="37"/>
      <c r="I188" s="40"/>
      <c r="J188" s="37">
        <f t="shared" si="160"/>
        <v>0</v>
      </c>
      <c r="K188" s="52" t="str">
        <f t="shared" ref="K188:K189" si="163">F188</f>
        <v/>
      </c>
      <c r="L188" s="152" t="str">
        <f t="shared" si="161"/>
        <v>#DIV/0!</v>
      </c>
      <c r="M188" s="126"/>
      <c r="N188" s="131"/>
    </row>
    <row r="189">
      <c r="A189" s="154"/>
      <c r="B189" s="156" t="s">
        <v>32</v>
      </c>
      <c r="C189" s="89"/>
      <c r="D189" s="89"/>
      <c r="E189" s="12">
        <f t="shared" si="158"/>
        <v>0</v>
      </c>
      <c r="F189" s="157"/>
      <c r="G189" s="14" t="str">
        <f t="shared" si="159"/>
        <v>#DIV/0!</v>
      </c>
      <c r="H189" s="37"/>
      <c r="I189" s="40"/>
      <c r="J189" s="37">
        <f t="shared" si="160"/>
        <v>0</v>
      </c>
      <c r="K189" s="52" t="str">
        <f t="shared" si="163"/>
        <v/>
      </c>
      <c r="L189" s="152" t="str">
        <f t="shared" si="161"/>
        <v>#DIV/0!</v>
      </c>
      <c r="M189" s="126"/>
      <c r="N189" s="131"/>
    </row>
    <row r="190">
      <c r="A190" s="154"/>
      <c r="B190" s="156" t="s">
        <v>32</v>
      </c>
      <c r="C190" s="89"/>
      <c r="D190" s="158"/>
      <c r="E190" s="12">
        <f t="shared" si="158"/>
        <v>0</v>
      </c>
      <c r="F190" s="157"/>
      <c r="G190" s="14" t="str">
        <f t="shared" si="159"/>
        <v>#DIV/0!</v>
      </c>
      <c r="H190" s="37"/>
      <c r="I190" s="93"/>
      <c r="J190" s="37">
        <f t="shared" si="160"/>
        <v>0</v>
      </c>
      <c r="K190" s="52"/>
      <c r="L190" s="152" t="str">
        <f t="shared" si="161"/>
        <v>#DIV/0!</v>
      </c>
      <c r="M190" s="126"/>
      <c r="N190" s="131">
        <f t="shared" ref="N190:N192" si="164">M190*K190</f>
        <v>0</v>
      </c>
    </row>
    <row r="191">
      <c r="A191" s="154"/>
      <c r="B191" s="156" t="s">
        <v>32</v>
      </c>
      <c r="C191" s="89"/>
      <c r="D191" s="158"/>
      <c r="E191" s="12">
        <f t="shared" si="158"/>
        <v>0</v>
      </c>
      <c r="F191" s="157"/>
      <c r="G191" s="14" t="str">
        <f t="shared" si="159"/>
        <v>#DIV/0!</v>
      </c>
      <c r="H191" s="89"/>
      <c r="I191" s="159"/>
      <c r="J191" s="89">
        <f t="shared" si="160"/>
        <v>0</v>
      </c>
      <c r="K191" s="52"/>
      <c r="L191" s="152" t="str">
        <f t="shared" si="161"/>
        <v>#DIV/0!</v>
      </c>
      <c r="M191" s="126"/>
      <c r="N191" s="131">
        <f t="shared" si="164"/>
        <v>0</v>
      </c>
    </row>
    <row r="192">
      <c r="A192" s="160"/>
      <c r="B192" s="156" t="s">
        <v>32</v>
      </c>
      <c r="C192" s="149"/>
      <c r="D192" s="150"/>
      <c r="E192" s="25">
        <f t="shared" si="158"/>
        <v>0</v>
      </c>
      <c r="F192" s="161"/>
      <c r="G192" s="56" t="str">
        <f t="shared" si="159"/>
        <v>#DIV/0!</v>
      </c>
      <c r="H192" s="149"/>
      <c r="I192" s="151"/>
      <c r="J192" s="149">
        <f t="shared" si="160"/>
        <v>0</v>
      </c>
      <c r="K192" s="52"/>
      <c r="L192" s="152" t="str">
        <f t="shared" si="161"/>
        <v>#DIV/0!</v>
      </c>
      <c r="M192" s="153"/>
      <c r="N192" s="49">
        <f t="shared" si="164"/>
        <v>0</v>
      </c>
    </row>
    <row r="193">
      <c r="A193" s="160"/>
      <c r="B193" s="63"/>
      <c r="C193" s="62"/>
      <c r="D193" s="64" t="s">
        <v>19</v>
      </c>
      <c r="E193" s="64">
        <f t="shared" ref="E193:F193" si="165">sum(E185:E192)</f>
        <v>0</v>
      </c>
      <c r="F193" s="64">
        <f t="shared" si="165"/>
        <v>220</v>
      </c>
      <c r="G193" s="65" t="str">
        <f>average(G185:G192)</f>
        <v>#DIV/0!</v>
      </c>
      <c r="H193" s="62"/>
      <c r="I193" s="66"/>
      <c r="J193" s="64">
        <f t="shared" ref="J193:K193" si="166">sum(J185:J192)</f>
        <v>0</v>
      </c>
      <c r="K193" s="64">
        <f t="shared" si="166"/>
        <v>0</v>
      </c>
      <c r="L193" s="65" t="str">
        <f>average(L185:L192)</f>
        <v>#DIV/0!</v>
      </c>
      <c r="M193" s="68"/>
      <c r="N193" s="69">
        <f>sum(N185:N192)</f>
        <v>0</v>
      </c>
    </row>
    <row r="194">
      <c r="A194" s="155"/>
      <c r="B194" s="162" t="s">
        <v>33</v>
      </c>
      <c r="C194" s="89"/>
      <c r="D194" s="163"/>
      <c r="E194" s="38">
        <f t="shared" ref="E194:E200" si="167">D194-C194</f>
        <v>0</v>
      </c>
      <c r="F194" s="39"/>
      <c r="G194" s="124" t="str">
        <f t="shared" ref="G194:G200" si="168">(F194/E194)*100</f>
        <v>#DIV/0!</v>
      </c>
      <c r="H194" s="137"/>
      <c r="I194" s="138"/>
      <c r="J194" s="41">
        <f t="shared" ref="J194:J200" si="169">I194-H194</f>
        <v>0</v>
      </c>
      <c r="K194" s="52" t="str">
        <f t="shared" ref="K194:K200" si="170">F194</f>
        <v/>
      </c>
      <c r="L194" s="164" t="str">
        <f t="shared" ref="L194:L200" si="171">(K194/J194)*100</f>
        <v>#DIV/0!</v>
      </c>
      <c r="M194" s="72"/>
      <c r="N194" s="49">
        <f t="shared" ref="N194:N195" si="172">F194*M194</f>
        <v>0</v>
      </c>
      <c r="R194" s="80" t="str">
        <f t="shared" ref="R194:R200" si="173">Q194</f>
        <v/>
      </c>
    </row>
    <row r="195">
      <c r="A195" s="154"/>
      <c r="B195" s="156" t="s">
        <v>33</v>
      </c>
      <c r="C195" s="89"/>
      <c r="D195" s="13"/>
      <c r="E195" s="38">
        <f t="shared" si="167"/>
        <v>0</v>
      </c>
      <c r="F195" s="47"/>
      <c r="G195" s="14" t="str">
        <f t="shared" si="168"/>
        <v>#DIV/0!</v>
      </c>
      <c r="H195" s="40"/>
      <c r="I195" s="40"/>
      <c r="J195" s="37">
        <f t="shared" si="169"/>
        <v>0</v>
      </c>
      <c r="K195" s="52" t="str">
        <f t="shared" si="170"/>
        <v/>
      </c>
      <c r="L195" s="152" t="str">
        <f t="shared" si="171"/>
        <v>#DIV/0!</v>
      </c>
      <c r="M195" s="126"/>
      <c r="N195" s="49">
        <f t="shared" si="172"/>
        <v>0</v>
      </c>
      <c r="R195" s="80" t="str">
        <f t="shared" si="173"/>
        <v/>
      </c>
    </row>
    <row r="196">
      <c r="A196" s="154"/>
      <c r="B196" s="156" t="s">
        <v>33</v>
      </c>
      <c r="C196" s="89"/>
      <c r="D196" s="89"/>
      <c r="E196" s="12">
        <f t="shared" si="167"/>
        <v>0</v>
      </c>
      <c r="F196" s="157"/>
      <c r="G196" s="14" t="str">
        <f t="shared" si="168"/>
        <v>#DIV/0!</v>
      </c>
      <c r="H196" s="37"/>
      <c r="I196" s="40"/>
      <c r="J196" s="37">
        <f t="shared" si="169"/>
        <v>0</v>
      </c>
      <c r="K196" s="52" t="str">
        <f t="shared" si="170"/>
        <v/>
      </c>
      <c r="L196" s="152" t="str">
        <f t="shared" si="171"/>
        <v>#DIV/0!</v>
      </c>
      <c r="M196" s="126"/>
      <c r="N196" s="131"/>
      <c r="R196" s="80" t="str">
        <f t="shared" si="173"/>
        <v/>
      </c>
    </row>
    <row r="197">
      <c r="A197" s="154"/>
      <c r="B197" s="156" t="s">
        <v>33</v>
      </c>
      <c r="C197" s="89"/>
      <c r="D197" s="89"/>
      <c r="E197" s="12">
        <f t="shared" si="167"/>
        <v>0</v>
      </c>
      <c r="F197" s="157"/>
      <c r="G197" s="14" t="str">
        <f t="shared" si="168"/>
        <v>#DIV/0!</v>
      </c>
      <c r="H197" s="37"/>
      <c r="I197" s="40"/>
      <c r="J197" s="37">
        <f t="shared" si="169"/>
        <v>0</v>
      </c>
      <c r="K197" s="52" t="str">
        <f t="shared" si="170"/>
        <v/>
      </c>
      <c r="L197" s="152" t="str">
        <f t="shared" si="171"/>
        <v>#DIV/0!</v>
      </c>
      <c r="M197" s="126"/>
      <c r="N197" s="131"/>
      <c r="R197" s="80" t="str">
        <f t="shared" si="173"/>
        <v/>
      </c>
    </row>
    <row r="198">
      <c r="A198" s="154"/>
      <c r="B198" s="156" t="s">
        <v>33</v>
      </c>
      <c r="C198" s="89"/>
      <c r="D198" s="89"/>
      <c r="E198" s="12">
        <f t="shared" si="167"/>
        <v>0</v>
      </c>
      <c r="F198" s="157"/>
      <c r="G198" s="14" t="str">
        <f t="shared" si="168"/>
        <v>#DIV/0!</v>
      </c>
      <c r="H198" s="37"/>
      <c r="I198" s="40"/>
      <c r="J198" s="37">
        <f t="shared" si="169"/>
        <v>0</v>
      </c>
      <c r="K198" s="52" t="str">
        <f t="shared" si="170"/>
        <v/>
      </c>
      <c r="L198" s="152" t="str">
        <f t="shared" si="171"/>
        <v>#DIV/0!</v>
      </c>
      <c r="M198" s="126"/>
      <c r="N198" s="131">
        <f t="shared" ref="N198:N200" si="174">M198*K198</f>
        <v>0</v>
      </c>
      <c r="R198" s="80" t="str">
        <f t="shared" si="173"/>
        <v/>
      </c>
    </row>
    <row r="199">
      <c r="A199" s="154"/>
      <c r="B199" s="156" t="s">
        <v>33</v>
      </c>
      <c r="C199" s="89"/>
      <c r="D199" s="158"/>
      <c r="E199" s="12">
        <f t="shared" si="167"/>
        <v>0</v>
      </c>
      <c r="F199" s="157"/>
      <c r="G199" s="14" t="str">
        <f t="shared" si="168"/>
        <v>#DIV/0!</v>
      </c>
      <c r="H199" s="37"/>
      <c r="I199" s="93"/>
      <c r="J199" s="37">
        <f t="shared" si="169"/>
        <v>0</v>
      </c>
      <c r="K199" s="52" t="str">
        <f t="shared" si="170"/>
        <v/>
      </c>
      <c r="L199" s="152" t="str">
        <f t="shared" si="171"/>
        <v>#DIV/0!</v>
      </c>
      <c r="M199" s="126"/>
      <c r="N199" s="131">
        <f t="shared" si="174"/>
        <v>0</v>
      </c>
      <c r="R199" s="80" t="str">
        <f t="shared" si="173"/>
        <v/>
      </c>
    </row>
    <row r="200">
      <c r="A200" s="154"/>
      <c r="B200" s="156" t="s">
        <v>33</v>
      </c>
      <c r="C200" s="89"/>
      <c r="D200" s="158"/>
      <c r="E200" s="12">
        <f t="shared" si="167"/>
        <v>0</v>
      </c>
      <c r="F200" s="157"/>
      <c r="G200" s="14" t="str">
        <f t="shared" si="168"/>
        <v>#DIV/0!</v>
      </c>
      <c r="H200" s="89"/>
      <c r="I200" s="159"/>
      <c r="J200" s="89">
        <f t="shared" si="169"/>
        <v>0</v>
      </c>
      <c r="K200" s="52" t="str">
        <f t="shared" si="170"/>
        <v/>
      </c>
      <c r="L200" s="152" t="str">
        <f t="shared" si="171"/>
        <v>#DIV/0!</v>
      </c>
      <c r="M200" s="126"/>
      <c r="N200" s="131">
        <f t="shared" si="174"/>
        <v>0</v>
      </c>
      <c r="R200" s="80" t="str">
        <f t="shared" si="173"/>
        <v/>
      </c>
    </row>
    <row r="201">
      <c r="A201" s="154"/>
      <c r="B201" s="63"/>
      <c r="C201" s="62"/>
      <c r="D201" s="64" t="s">
        <v>19</v>
      </c>
      <c r="E201" s="64">
        <f t="shared" ref="E201:F201" si="175">sum(E188:E200)</f>
        <v>0</v>
      </c>
      <c r="F201" s="64">
        <f t="shared" si="175"/>
        <v>220</v>
      </c>
      <c r="G201" s="65" t="str">
        <f>average(G188:G200)</f>
        <v>#DIV/0!</v>
      </c>
      <c r="H201" s="62"/>
      <c r="I201" s="66"/>
      <c r="J201" s="64">
        <f>sum(J188:J200)</f>
        <v>0</v>
      </c>
      <c r="K201" s="64">
        <f>sum(K194:K200)</f>
        <v>0</v>
      </c>
      <c r="L201" s="65" t="str">
        <f>average(L188:L200)</f>
        <v>#DIV/0!</v>
      </c>
      <c r="M201" s="68"/>
      <c r="N201" s="147">
        <f>sum(N194:N200)</f>
        <v>0</v>
      </c>
    </row>
    <row r="202">
      <c r="A202" s="154"/>
      <c r="B202" s="156" t="s">
        <v>34</v>
      </c>
      <c r="C202" s="89"/>
      <c r="D202" s="163"/>
      <c r="E202" s="38">
        <f t="shared" ref="E202:E208" si="176">D202-C202</f>
        <v>0</v>
      </c>
      <c r="F202" s="39"/>
      <c r="G202" s="124" t="str">
        <f t="shared" ref="G202:G208" si="177">(F202/E202)*100</f>
        <v>#DIV/0!</v>
      </c>
      <c r="H202" s="137"/>
      <c r="I202" s="138"/>
      <c r="J202" s="41">
        <f t="shared" ref="J202:J208" si="178">I202-H202</f>
        <v>0</v>
      </c>
      <c r="K202" s="52" t="str">
        <f t="shared" ref="K202:K208" si="179">F202</f>
        <v/>
      </c>
      <c r="L202" s="164" t="str">
        <f t="shared" ref="L202:L208" si="180">(K202/J202)*100</f>
        <v>#DIV/0!</v>
      </c>
      <c r="M202" s="72"/>
      <c r="N202" s="131">
        <f t="shared" ref="N202:N204" si="181">M202*K202</f>
        <v>0</v>
      </c>
    </row>
    <row r="203">
      <c r="A203" s="154"/>
      <c r="B203" s="156" t="s">
        <v>34</v>
      </c>
      <c r="C203" s="89"/>
      <c r="D203" s="13"/>
      <c r="E203" s="38">
        <f t="shared" si="176"/>
        <v>0</v>
      </c>
      <c r="F203" s="47"/>
      <c r="G203" s="14" t="str">
        <f t="shared" si="177"/>
        <v>#DIV/0!</v>
      </c>
      <c r="H203" s="40"/>
      <c r="I203" s="40"/>
      <c r="J203" s="37">
        <f t="shared" si="178"/>
        <v>0</v>
      </c>
      <c r="K203" s="52" t="str">
        <f t="shared" si="179"/>
        <v/>
      </c>
      <c r="L203" s="152" t="str">
        <f t="shared" si="180"/>
        <v>#DIV/0!</v>
      </c>
      <c r="M203" s="126"/>
      <c r="N203" s="131">
        <f t="shared" si="181"/>
        <v>0</v>
      </c>
    </row>
    <row r="204">
      <c r="A204" s="154"/>
      <c r="B204" s="156" t="s">
        <v>34</v>
      </c>
      <c r="C204" s="89"/>
      <c r="D204" s="89"/>
      <c r="E204" s="12">
        <f t="shared" si="176"/>
        <v>0</v>
      </c>
      <c r="F204" s="157"/>
      <c r="G204" s="14" t="str">
        <f t="shared" si="177"/>
        <v>#DIV/0!</v>
      </c>
      <c r="H204" s="37"/>
      <c r="I204" s="40"/>
      <c r="J204" s="37">
        <f t="shared" si="178"/>
        <v>0</v>
      </c>
      <c r="K204" s="52" t="str">
        <f t="shared" si="179"/>
        <v/>
      </c>
      <c r="L204" s="152" t="str">
        <f t="shared" si="180"/>
        <v>#DIV/0!</v>
      </c>
      <c r="M204" s="126"/>
      <c r="N204" s="131">
        <f t="shared" si="181"/>
        <v>0</v>
      </c>
    </row>
    <row r="205">
      <c r="A205" s="154"/>
      <c r="B205" s="156" t="s">
        <v>34</v>
      </c>
      <c r="C205" s="89"/>
      <c r="D205" s="89"/>
      <c r="E205" s="12">
        <f t="shared" si="176"/>
        <v>0</v>
      </c>
      <c r="F205" s="157"/>
      <c r="G205" s="14" t="str">
        <f t="shared" si="177"/>
        <v>#DIV/0!</v>
      </c>
      <c r="H205" s="37"/>
      <c r="I205" s="40"/>
      <c r="J205" s="37">
        <f t="shared" si="178"/>
        <v>0</v>
      </c>
      <c r="K205" s="52" t="str">
        <f t="shared" si="179"/>
        <v/>
      </c>
      <c r="L205" s="152" t="str">
        <f t="shared" si="180"/>
        <v>#DIV/0!</v>
      </c>
      <c r="M205" s="126"/>
      <c r="N205" s="131"/>
    </row>
    <row r="206">
      <c r="A206" s="154"/>
      <c r="B206" s="156" t="s">
        <v>34</v>
      </c>
      <c r="C206" s="89"/>
      <c r="D206" s="89"/>
      <c r="E206" s="12">
        <f t="shared" si="176"/>
        <v>0</v>
      </c>
      <c r="F206" s="157"/>
      <c r="G206" s="14" t="str">
        <f t="shared" si="177"/>
        <v>#DIV/0!</v>
      </c>
      <c r="H206" s="37"/>
      <c r="I206" s="40"/>
      <c r="J206" s="37">
        <f t="shared" si="178"/>
        <v>0</v>
      </c>
      <c r="K206" s="52" t="str">
        <f t="shared" si="179"/>
        <v/>
      </c>
      <c r="L206" s="152" t="str">
        <f t="shared" si="180"/>
        <v>#DIV/0!</v>
      </c>
      <c r="M206" s="126"/>
      <c r="N206" s="131">
        <f t="shared" ref="N206:N208" si="182">M206*K206</f>
        <v>0</v>
      </c>
    </row>
    <row r="207">
      <c r="A207" s="154"/>
      <c r="B207" s="156" t="s">
        <v>34</v>
      </c>
      <c r="C207" s="89"/>
      <c r="D207" s="158"/>
      <c r="E207" s="12">
        <f t="shared" si="176"/>
        <v>0</v>
      </c>
      <c r="F207" s="157"/>
      <c r="G207" s="14" t="str">
        <f t="shared" si="177"/>
        <v>#DIV/0!</v>
      </c>
      <c r="H207" s="37"/>
      <c r="I207" s="93"/>
      <c r="J207" s="37">
        <f t="shared" si="178"/>
        <v>0</v>
      </c>
      <c r="K207" s="52" t="str">
        <f t="shared" si="179"/>
        <v/>
      </c>
      <c r="L207" s="152" t="str">
        <f t="shared" si="180"/>
        <v>#DIV/0!</v>
      </c>
      <c r="M207" s="126"/>
      <c r="N207" s="131">
        <f t="shared" si="182"/>
        <v>0</v>
      </c>
    </row>
    <row r="208">
      <c r="A208" s="154"/>
      <c r="B208" s="156" t="s">
        <v>34</v>
      </c>
      <c r="C208" s="89"/>
      <c r="D208" s="158"/>
      <c r="E208" s="12">
        <f t="shared" si="176"/>
        <v>0</v>
      </c>
      <c r="F208" s="157"/>
      <c r="G208" s="14" t="str">
        <f t="shared" si="177"/>
        <v>#DIV/0!</v>
      </c>
      <c r="H208" s="89"/>
      <c r="I208" s="159"/>
      <c r="J208" s="89">
        <f t="shared" si="178"/>
        <v>0</v>
      </c>
      <c r="K208" s="52" t="str">
        <f t="shared" si="179"/>
        <v/>
      </c>
      <c r="L208" s="152" t="str">
        <f t="shared" si="180"/>
        <v>#DIV/0!</v>
      </c>
      <c r="M208" s="126"/>
      <c r="N208" s="131">
        <f t="shared" si="182"/>
        <v>0</v>
      </c>
      <c r="R208" s="80" t="str">
        <f>Q208</f>
        <v/>
      </c>
    </row>
    <row r="209">
      <c r="A209" s="154"/>
      <c r="B209" s="63"/>
      <c r="C209" s="62"/>
      <c r="D209" s="64" t="s">
        <v>19</v>
      </c>
      <c r="E209" s="64">
        <f t="shared" ref="E209:F209" si="183">sum(E194:E208)</f>
        <v>0</v>
      </c>
      <c r="F209" s="64">
        <f t="shared" si="183"/>
        <v>220</v>
      </c>
      <c r="G209" s="65" t="str">
        <f>average(G194:G208)</f>
        <v>#DIV/0!</v>
      </c>
      <c r="H209" s="62"/>
      <c r="I209" s="66"/>
      <c r="J209" s="64">
        <f>sum(J194:J208)</f>
        <v>0</v>
      </c>
      <c r="K209" s="64">
        <f>sum(K202:K208)</f>
        <v>0</v>
      </c>
      <c r="L209" s="65" t="str">
        <f>average(L194:L208)</f>
        <v>#DIV/0!</v>
      </c>
      <c r="M209" s="68"/>
      <c r="N209" s="147">
        <f>sum(N202:N208)</f>
        <v>0</v>
      </c>
    </row>
    <row r="210">
      <c r="A210" s="154"/>
      <c r="B210" s="156" t="s">
        <v>36</v>
      </c>
      <c r="C210" s="89"/>
      <c r="D210" s="163"/>
      <c r="E210" s="38">
        <f t="shared" ref="E210:E216" si="184">D210-C210</f>
        <v>0</v>
      </c>
      <c r="F210" s="39"/>
      <c r="G210" s="124" t="str">
        <f t="shared" ref="G210:G216" si="185">(F210/E210)*100</f>
        <v>#DIV/0!</v>
      </c>
      <c r="H210" s="137"/>
      <c r="I210" s="138"/>
      <c r="J210" s="41">
        <f t="shared" ref="J210:J216" si="186">I210-H210</f>
        <v>0</v>
      </c>
      <c r="K210" s="52" t="str">
        <f t="shared" ref="K210:K216" si="187">F210</f>
        <v/>
      </c>
      <c r="L210" s="164" t="str">
        <f t="shared" ref="L210:L216" si="188">(K210/J210)*100</f>
        <v>#DIV/0!</v>
      </c>
      <c r="M210" s="72"/>
      <c r="N210" s="49">
        <f t="shared" ref="N210:N213" si="189">F210*M210</f>
        <v>0</v>
      </c>
    </row>
    <row r="211">
      <c r="A211" s="154"/>
      <c r="B211" s="156" t="s">
        <v>36</v>
      </c>
      <c r="C211" s="89"/>
      <c r="D211" s="13"/>
      <c r="E211" s="38">
        <f t="shared" si="184"/>
        <v>0</v>
      </c>
      <c r="F211" s="47"/>
      <c r="G211" s="14" t="str">
        <f t="shared" si="185"/>
        <v>#DIV/0!</v>
      </c>
      <c r="H211" s="40"/>
      <c r="I211" s="40"/>
      <c r="J211" s="37">
        <f t="shared" si="186"/>
        <v>0</v>
      </c>
      <c r="K211" s="52" t="str">
        <f t="shared" si="187"/>
        <v/>
      </c>
      <c r="L211" s="152" t="str">
        <f t="shared" si="188"/>
        <v>#DIV/0!</v>
      </c>
      <c r="M211" s="126"/>
      <c r="N211" s="49">
        <f t="shared" si="189"/>
        <v>0</v>
      </c>
    </row>
    <row r="212">
      <c r="A212" s="154"/>
      <c r="B212" s="156" t="s">
        <v>36</v>
      </c>
      <c r="C212" s="89"/>
      <c r="D212" s="89"/>
      <c r="E212" s="12">
        <f t="shared" si="184"/>
        <v>0</v>
      </c>
      <c r="F212" s="157"/>
      <c r="G212" s="14" t="str">
        <f t="shared" si="185"/>
        <v>#DIV/0!</v>
      </c>
      <c r="H212" s="37"/>
      <c r="I212" s="40"/>
      <c r="J212" s="37">
        <f t="shared" si="186"/>
        <v>0</v>
      </c>
      <c r="K212" s="52" t="str">
        <f t="shared" si="187"/>
        <v/>
      </c>
      <c r="L212" s="152" t="str">
        <f t="shared" si="188"/>
        <v>#DIV/0!</v>
      </c>
      <c r="M212" s="126"/>
      <c r="N212" s="49">
        <f t="shared" si="189"/>
        <v>0</v>
      </c>
    </row>
    <row r="213">
      <c r="A213" s="154"/>
      <c r="B213" s="156" t="s">
        <v>36</v>
      </c>
      <c r="C213" s="89"/>
      <c r="D213" s="89"/>
      <c r="E213" s="12">
        <f t="shared" si="184"/>
        <v>0</v>
      </c>
      <c r="F213" s="157"/>
      <c r="G213" s="14" t="str">
        <f t="shared" si="185"/>
        <v>#DIV/0!</v>
      </c>
      <c r="H213" s="37"/>
      <c r="I213" s="40"/>
      <c r="J213" s="37">
        <f t="shared" si="186"/>
        <v>0</v>
      </c>
      <c r="K213" s="52" t="str">
        <f t="shared" si="187"/>
        <v/>
      </c>
      <c r="L213" s="152" t="str">
        <f t="shared" si="188"/>
        <v>#DIV/0!</v>
      </c>
      <c r="M213" s="126"/>
      <c r="N213" s="49">
        <f t="shared" si="189"/>
        <v>0</v>
      </c>
    </row>
    <row r="214">
      <c r="A214" s="154"/>
      <c r="B214" s="156" t="s">
        <v>36</v>
      </c>
      <c r="C214" s="89"/>
      <c r="D214" s="89"/>
      <c r="E214" s="12">
        <f t="shared" si="184"/>
        <v>0</v>
      </c>
      <c r="F214" s="157"/>
      <c r="G214" s="14" t="str">
        <f t="shared" si="185"/>
        <v>#DIV/0!</v>
      </c>
      <c r="H214" s="37"/>
      <c r="I214" s="40"/>
      <c r="J214" s="37">
        <f t="shared" si="186"/>
        <v>0</v>
      </c>
      <c r="K214" s="52" t="str">
        <f t="shared" si="187"/>
        <v/>
      </c>
      <c r="L214" s="152" t="str">
        <f t="shared" si="188"/>
        <v>#DIV/0!</v>
      </c>
      <c r="M214" s="126"/>
      <c r="N214" s="131">
        <f t="shared" ref="N214:N216" si="190">M214*K214</f>
        <v>0</v>
      </c>
    </row>
    <row r="215">
      <c r="A215" s="154"/>
      <c r="B215" s="156" t="s">
        <v>36</v>
      </c>
      <c r="C215" s="89"/>
      <c r="D215" s="158"/>
      <c r="E215" s="12">
        <f t="shared" si="184"/>
        <v>0</v>
      </c>
      <c r="F215" s="157"/>
      <c r="G215" s="14" t="str">
        <f t="shared" si="185"/>
        <v>#DIV/0!</v>
      </c>
      <c r="H215" s="37"/>
      <c r="I215" s="93"/>
      <c r="J215" s="37">
        <f t="shared" si="186"/>
        <v>0</v>
      </c>
      <c r="K215" s="52" t="str">
        <f t="shared" si="187"/>
        <v/>
      </c>
      <c r="L215" s="152" t="str">
        <f t="shared" si="188"/>
        <v>#DIV/0!</v>
      </c>
      <c r="M215" s="126"/>
      <c r="N215" s="131">
        <f t="shared" si="190"/>
        <v>0</v>
      </c>
    </row>
    <row r="216">
      <c r="A216" s="154"/>
      <c r="B216" s="156" t="s">
        <v>36</v>
      </c>
      <c r="C216" s="89"/>
      <c r="D216" s="158"/>
      <c r="E216" s="12">
        <f t="shared" si="184"/>
        <v>0</v>
      </c>
      <c r="F216" s="157"/>
      <c r="G216" s="14" t="str">
        <f t="shared" si="185"/>
        <v>#DIV/0!</v>
      </c>
      <c r="H216" s="89"/>
      <c r="I216" s="159"/>
      <c r="J216" s="89">
        <f t="shared" si="186"/>
        <v>0</v>
      </c>
      <c r="K216" s="52" t="str">
        <f t="shared" si="187"/>
        <v/>
      </c>
      <c r="L216" s="152" t="str">
        <f t="shared" si="188"/>
        <v>#DIV/0!</v>
      </c>
      <c r="M216" s="126"/>
      <c r="N216" s="131">
        <f t="shared" si="190"/>
        <v>0</v>
      </c>
    </row>
    <row r="217">
      <c r="A217" s="154"/>
      <c r="B217" s="63"/>
      <c r="C217" s="62"/>
      <c r="D217" s="64" t="s">
        <v>19</v>
      </c>
      <c r="E217" s="64">
        <f t="shared" ref="E217:F217" si="191">sum(E202:E216)</f>
        <v>0</v>
      </c>
      <c r="F217" s="64">
        <f t="shared" si="191"/>
        <v>220</v>
      </c>
      <c r="G217" s="65" t="str">
        <f>average(G202:G216)</f>
        <v>#DIV/0!</v>
      </c>
      <c r="H217" s="62"/>
      <c r="I217" s="66"/>
      <c r="J217" s="64">
        <f>sum(J202:J216)</f>
        <v>0</v>
      </c>
      <c r="K217" s="64">
        <f>sum(K210:K216)</f>
        <v>0</v>
      </c>
      <c r="L217" s="65" t="str">
        <f>average(L202:L216)</f>
        <v>#DIV/0!</v>
      </c>
      <c r="M217" s="68"/>
      <c r="N217" s="147">
        <f>sum(N210:N216)</f>
        <v>0</v>
      </c>
    </row>
    <row r="218">
      <c r="A218" s="154"/>
      <c r="B218" s="156" t="s">
        <v>67</v>
      </c>
      <c r="C218" s="89"/>
      <c r="D218" s="163"/>
      <c r="E218" s="38">
        <f t="shared" ref="E218:E224" si="192">D218-C218</f>
        <v>0</v>
      </c>
      <c r="F218" s="39"/>
      <c r="G218" s="124" t="str">
        <f t="shared" ref="G218:G224" si="193">(F218/E218)*100</f>
        <v>#DIV/0!</v>
      </c>
      <c r="H218" s="137"/>
      <c r="I218" s="138"/>
      <c r="J218" s="41">
        <f t="shared" ref="J218:J224" si="194">I218-H218</f>
        <v>0</v>
      </c>
      <c r="K218" s="52" t="str">
        <f t="shared" ref="K218:K224" si="195">F218</f>
        <v/>
      </c>
      <c r="L218" s="164" t="str">
        <f t="shared" ref="L218:L224" si="196">(K218/J218)*100</f>
        <v>#DIV/0!</v>
      </c>
      <c r="M218" s="72"/>
      <c r="N218" s="49">
        <f t="shared" ref="N218:N221" si="197">F218*M218</f>
        <v>0</v>
      </c>
    </row>
    <row r="219">
      <c r="A219" s="154"/>
      <c r="B219" s="156" t="s">
        <v>67</v>
      </c>
      <c r="C219" s="89"/>
      <c r="D219" s="13"/>
      <c r="E219" s="38">
        <f t="shared" si="192"/>
        <v>0</v>
      </c>
      <c r="F219" s="47"/>
      <c r="G219" s="14" t="str">
        <f t="shared" si="193"/>
        <v>#DIV/0!</v>
      </c>
      <c r="H219" s="40"/>
      <c r="I219" s="40"/>
      <c r="J219" s="37">
        <f t="shared" si="194"/>
        <v>0</v>
      </c>
      <c r="K219" s="52" t="str">
        <f t="shared" si="195"/>
        <v/>
      </c>
      <c r="L219" s="152" t="str">
        <f t="shared" si="196"/>
        <v>#DIV/0!</v>
      </c>
      <c r="M219" s="126"/>
      <c r="N219" s="49">
        <f t="shared" si="197"/>
        <v>0</v>
      </c>
    </row>
    <row r="220">
      <c r="A220" s="154"/>
      <c r="B220" s="156" t="s">
        <v>67</v>
      </c>
      <c r="C220" s="89"/>
      <c r="D220" s="89"/>
      <c r="E220" s="12">
        <f t="shared" si="192"/>
        <v>0</v>
      </c>
      <c r="F220" s="157"/>
      <c r="G220" s="14" t="str">
        <f t="shared" si="193"/>
        <v>#DIV/0!</v>
      </c>
      <c r="H220" s="37"/>
      <c r="I220" s="40"/>
      <c r="J220" s="37">
        <f t="shared" si="194"/>
        <v>0</v>
      </c>
      <c r="K220" s="52" t="str">
        <f t="shared" si="195"/>
        <v/>
      </c>
      <c r="L220" s="152" t="str">
        <f t="shared" si="196"/>
        <v>#DIV/0!</v>
      </c>
      <c r="M220" s="126"/>
      <c r="N220" s="49">
        <f t="shared" si="197"/>
        <v>0</v>
      </c>
    </row>
    <row r="221">
      <c r="A221" s="154"/>
      <c r="B221" s="156" t="s">
        <v>67</v>
      </c>
      <c r="C221" s="89"/>
      <c r="D221" s="89"/>
      <c r="E221" s="12">
        <f t="shared" si="192"/>
        <v>0</v>
      </c>
      <c r="F221" s="157"/>
      <c r="G221" s="14" t="str">
        <f t="shared" si="193"/>
        <v>#DIV/0!</v>
      </c>
      <c r="H221" s="37"/>
      <c r="I221" s="40"/>
      <c r="J221" s="37">
        <f t="shared" si="194"/>
        <v>0</v>
      </c>
      <c r="K221" s="52" t="str">
        <f t="shared" si="195"/>
        <v/>
      </c>
      <c r="L221" s="152" t="str">
        <f t="shared" si="196"/>
        <v>#DIV/0!</v>
      </c>
      <c r="M221" s="126"/>
      <c r="N221" s="49">
        <f t="shared" si="197"/>
        <v>0</v>
      </c>
    </row>
    <row r="222">
      <c r="A222" s="154"/>
      <c r="B222" s="156" t="s">
        <v>67</v>
      </c>
      <c r="C222" s="89"/>
      <c r="D222" s="89"/>
      <c r="E222" s="12">
        <f t="shared" si="192"/>
        <v>0</v>
      </c>
      <c r="F222" s="157"/>
      <c r="G222" s="14" t="str">
        <f t="shared" si="193"/>
        <v>#DIV/0!</v>
      </c>
      <c r="H222" s="37"/>
      <c r="I222" s="40"/>
      <c r="J222" s="37">
        <f t="shared" si="194"/>
        <v>0</v>
      </c>
      <c r="K222" s="52" t="str">
        <f t="shared" si="195"/>
        <v/>
      </c>
      <c r="L222" s="152" t="str">
        <f t="shared" si="196"/>
        <v>#DIV/0!</v>
      </c>
      <c r="M222" s="126"/>
      <c r="N222" s="131">
        <f t="shared" ref="N222:N224" si="198">M222*K222</f>
        <v>0</v>
      </c>
    </row>
    <row r="223">
      <c r="A223" s="154"/>
      <c r="B223" s="156" t="s">
        <v>67</v>
      </c>
      <c r="C223" s="89"/>
      <c r="D223" s="158"/>
      <c r="E223" s="12">
        <f t="shared" si="192"/>
        <v>0</v>
      </c>
      <c r="F223" s="157"/>
      <c r="G223" s="14" t="str">
        <f t="shared" si="193"/>
        <v>#DIV/0!</v>
      </c>
      <c r="H223" s="37"/>
      <c r="I223" s="93"/>
      <c r="J223" s="37">
        <f t="shared" si="194"/>
        <v>0</v>
      </c>
      <c r="K223" s="52" t="str">
        <f t="shared" si="195"/>
        <v/>
      </c>
      <c r="L223" s="152" t="str">
        <f t="shared" si="196"/>
        <v>#DIV/0!</v>
      </c>
      <c r="M223" s="126"/>
      <c r="N223" s="131">
        <f t="shared" si="198"/>
        <v>0</v>
      </c>
    </row>
    <row r="224">
      <c r="A224" s="154"/>
      <c r="B224" s="156" t="s">
        <v>67</v>
      </c>
      <c r="C224" s="89"/>
      <c r="D224" s="158"/>
      <c r="E224" s="12">
        <f t="shared" si="192"/>
        <v>0</v>
      </c>
      <c r="F224" s="157"/>
      <c r="G224" s="14" t="str">
        <f t="shared" si="193"/>
        <v>#DIV/0!</v>
      </c>
      <c r="H224" s="89"/>
      <c r="I224" s="159"/>
      <c r="J224" s="89">
        <f t="shared" si="194"/>
        <v>0</v>
      </c>
      <c r="K224" s="52" t="str">
        <f t="shared" si="195"/>
        <v/>
      </c>
      <c r="L224" s="152" t="str">
        <f t="shared" si="196"/>
        <v>#DIV/0!</v>
      </c>
      <c r="M224" s="126"/>
      <c r="N224" s="131">
        <f t="shared" si="198"/>
        <v>0</v>
      </c>
    </row>
    <row r="225">
      <c r="A225" s="154"/>
      <c r="B225" s="63"/>
      <c r="C225" s="62"/>
      <c r="D225" s="64" t="s">
        <v>19</v>
      </c>
      <c r="E225" s="64">
        <f t="shared" ref="E225:F225" si="199">sum(E210:E224)</f>
        <v>0</v>
      </c>
      <c r="F225" s="64">
        <f t="shared" si="199"/>
        <v>220</v>
      </c>
      <c r="G225" s="65" t="str">
        <f>average(G210:G224)</f>
        <v>#DIV/0!</v>
      </c>
      <c r="H225" s="62"/>
      <c r="I225" s="66"/>
      <c r="J225" s="64">
        <f>sum(J210:J224)</f>
        <v>0</v>
      </c>
      <c r="K225" s="64">
        <f>sum(K218:K224)</f>
        <v>0</v>
      </c>
      <c r="L225" s="65" t="str">
        <f>average(L210:L224)</f>
        <v>#DIV/0!</v>
      </c>
      <c r="M225" s="68"/>
      <c r="N225" s="147">
        <f>sum(N218:N224)</f>
        <v>0</v>
      </c>
    </row>
    <row r="226">
      <c r="A226" s="203"/>
      <c r="B226" s="204" t="s">
        <v>68</v>
      </c>
      <c r="C226" s="205"/>
      <c r="D226" s="206"/>
      <c r="E226" s="207">
        <f t="shared" ref="E226:E232" si="200">D226-C226</f>
        <v>0</v>
      </c>
      <c r="F226" s="208"/>
      <c r="G226" s="209" t="str">
        <f t="shared" ref="G226:G232" si="201">(F226/E226)*100</f>
        <v>#DIV/0!</v>
      </c>
      <c r="H226" s="210"/>
      <c r="I226" s="211"/>
      <c r="J226" s="212">
        <f t="shared" ref="J226:J232" si="202">I226-H226</f>
        <v>0</v>
      </c>
      <c r="K226" s="213" t="str">
        <f t="shared" ref="K226:K232" si="203">F226</f>
        <v/>
      </c>
      <c r="L226" s="214" t="str">
        <f t="shared" ref="L226:L232" si="204">(K226/J226)*100</f>
        <v>#DIV/0!</v>
      </c>
      <c r="M226" s="215"/>
      <c r="N226" s="216">
        <f t="shared" ref="N226:N229" si="205">F226*M226</f>
        <v>0</v>
      </c>
    </row>
    <row r="227">
      <c r="A227" s="203"/>
      <c r="B227" s="204" t="s">
        <v>68</v>
      </c>
      <c r="C227" s="205"/>
      <c r="D227" s="217"/>
      <c r="E227" s="207">
        <f t="shared" si="200"/>
        <v>0</v>
      </c>
      <c r="F227" s="218"/>
      <c r="G227" s="219" t="str">
        <f t="shared" si="201"/>
        <v>#DIV/0!</v>
      </c>
      <c r="H227" s="220"/>
      <c r="I227" s="220"/>
      <c r="J227" s="221">
        <f t="shared" si="202"/>
        <v>0</v>
      </c>
      <c r="K227" s="213" t="str">
        <f t="shared" si="203"/>
        <v/>
      </c>
      <c r="L227" s="222" t="str">
        <f t="shared" si="204"/>
        <v>#DIV/0!</v>
      </c>
      <c r="M227" s="223"/>
      <c r="N227" s="216">
        <f t="shared" si="205"/>
        <v>0</v>
      </c>
    </row>
    <row r="228">
      <c r="A228" s="203"/>
      <c r="B228" s="204" t="s">
        <v>68</v>
      </c>
      <c r="C228" s="205"/>
      <c r="D228" s="224"/>
      <c r="E228" s="225">
        <f t="shared" si="200"/>
        <v>0</v>
      </c>
      <c r="F228" s="226"/>
      <c r="G228" s="219" t="str">
        <f t="shared" si="201"/>
        <v>#DIV/0!</v>
      </c>
      <c r="H228" s="227"/>
      <c r="I228" s="220"/>
      <c r="J228" s="221">
        <f t="shared" si="202"/>
        <v>0</v>
      </c>
      <c r="K228" s="213" t="str">
        <f t="shared" si="203"/>
        <v/>
      </c>
      <c r="L228" s="222" t="str">
        <f t="shared" si="204"/>
        <v>#DIV/0!</v>
      </c>
      <c r="M228" s="223"/>
      <c r="N228" s="216">
        <f t="shared" si="205"/>
        <v>0</v>
      </c>
    </row>
    <row r="229">
      <c r="A229" s="203"/>
      <c r="B229" s="204" t="s">
        <v>68</v>
      </c>
      <c r="C229" s="205"/>
      <c r="D229" s="224"/>
      <c r="E229" s="225">
        <f t="shared" si="200"/>
        <v>0</v>
      </c>
      <c r="F229" s="226"/>
      <c r="G229" s="219" t="str">
        <f t="shared" si="201"/>
        <v>#DIV/0!</v>
      </c>
      <c r="H229" s="227"/>
      <c r="I229" s="220"/>
      <c r="J229" s="221">
        <f t="shared" si="202"/>
        <v>0</v>
      </c>
      <c r="K229" s="213" t="str">
        <f t="shared" si="203"/>
        <v/>
      </c>
      <c r="L229" s="222" t="str">
        <f t="shared" si="204"/>
        <v>#DIV/0!</v>
      </c>
      <c r="M229" s="223"/>
      <c r="N229" s="216">
        <f t="shared" si="205"/>
        <v>0</v>
      </c>
    </row>
    <row r="230">
      <c r="A230" s="203"/>
      <c r="B230" s="204" t="s">
        <v>68</v>
      </c>
      <c r="C230" s="205"/>
      <c r="D230" s="224"/>
      <c r="E230" s="225">
        <f t="shared" si="200"/>
        <v>0</v>
      </c>
      <c r="F230" s="226"/>
      <c r="G230" s="219" t="str">
        <f t="shared" si="201"/>
        <v>#DIV/0!</v>
      </c>
      <c r="H230" s="227"/>
      <c r="I230" s="220"/>
      <c r="J230" s="221">
        <f t="shared" si="202"/>
        <v>0</v>
      </c>
      <c r="K230" s="213" t="str">
        <f t="shared" si="203"/>
        <v/>
      </c>
      <c r="L230" s="222" t="str">
        <f t="shared" si="204"/>
        <v>#DIV/0!</v>
      </c>
      <c r="M230" s="223"/>
      <c r="N230" s="228">
        <f t="shared" ref="N230:N232" si="206">M230*K230</f>
        <v>0</v>
      </c>
    </row>
    <row r="231">
      <c r="A231" s="203"/>
      <c r="B231" s="204" t="s">
        <v>68</v>
      </c>
      <c r="C231" s="205"/>
      <c r="D231" s="224"/>
      <c r="E231" s="225">
        <f t="shared" si="200"/>
        <v>0</v>
      </c>
      <c r="F231" s="226"/>
      <c r="G231" s="219" t="str">
        <f t="shared" si="201"/>
        <v>#DIV/0!</v>
      </c>
      <c r="H231" s="227"/>
      <c r="I231" s="220"/>
      <c r="J231" s="221">
        <f t="shared" si="202"/>
        <v>0</v>
      </c>
      <c r="K231" s="213" t="str">
        <f t="shared" si="203"/>
        <v/>
      </c>
      <c r="L231" s="222" t="str">
        <f t="shared" si="204"/>
        <v>#DIV/0!</v>
      </c>
      <c r="M231" s="223"/>
      <c r="N231" s="228">
        <f t="shared" si="206"/>
        <v>0</v>
      </c>
    </row>
    <row r="232">
      <c r="A232" s="203"/>
      <c r="B232" s="204" t="s">
        <v>68</v>
      </c>
      <c r="C232" s="205"/>
      <c r="D232" s="224"/>
      <c r="E232" s="225">
        <f t="shared" si="200"/>
        <v>0</v>
      </c>
      <c r="F232" s="226"/>
      <c r="G232" s="219" t="str">
        <f t="shared" si="201"/>
        <v>#DIV/0!</v>
      </c>
      <c r="H232" s="205"/>
      <c r="I232" s="210"/>
      <c r="J232" s="229">
        <f t="shared" si="202"/>
        <v>0</v>
      </c>
      <c r="K232" s="213" t="str">
        <f t="shared" si="203"/>
        <v/>
      </c>
      <c r="L232" s="222" t="str">
        <f t="shared" si="204"/>
        <v>#DIV/0!</v>
      </c>
      <c r="M232" s="223"/>
      <c r="N232" s="228">
        <f t="shared" si="206"/>
        <v>0</v>
      </c>
    </row>
    <row r="233">
      <c r="A233" s="203"/>
      <c r="B233" s="230"/>
      <c r="C233" s="230"/>
      <c r="D233" s="231" t="s">
        <v>19</v>
      </c>
      <c r="E233" s="231">
        <f t="shared" ref="E233:F233" si="207">sum(E218:E232)</f>
        <v>0</v>
      </c>
      <c r="F233" s="231">
        <f t="shared" si="207"/>
        <v>220</v>
      </c>
      <c r="G233" s="232" t="str">
        <f>average(G218:G232)</f>
        <v>#DIV/0!</v>
      </c>
      <c r="H233" s="230"/>
      <c r="I233" s="233"/>
      <c r="J233" s="231">
        <f>sum(J218:J232)</f>
        <v>0</v>
      </c>
      <c r="K233" s="231">
        <f>sum(K226:K232)</f>
        <v>0</v>
      </c>
      <c r="L233" s="232" t="str">
        <f>average(L218:L232)</f>
        <v>#DIV/0!</v>
      </c>
      <c r="M233" s="230"/>
      <c r="N233" s="147">
        <f>sum(N226:N232)</f>
        <v>0</v>
      </c>
    </row>
    <row r="234">
      <c r="A234" s="154"/>
      <c r="B234" s="165"/>
      <c r="C234" s="165"/>
      <c r="D234" s="165"/>
      <c r="E234" s="165"/>
      <c r="F234" s="165"/>
      <c r="G234" s="165"/>
      <c r="H234" s="165"/>
      <c r="I234" s="165"/>
      <c r="J234" s="165"/>
      <c r="K234" s="165"/>
      <c r="L234" s="165"/>
      <c r="M234" s="166"/>
      <c r="N234" s="167">
        <f>sum(N3:N233)/2</f>
        <v>68062210</v>
      </c>
      <c r="R234" s="80" t="str">
        <f>Q234</f>
        <v/>
      </c>
    </row>
    <row r="235">
      <c r="A235" s="154"/>
      <c r="G235" s="168"/>
      <c r="L235" s="168"/>
      <c r="N235" s="169"/>
    </row>
    <row r="236" ht="31.5" customHeight="1">
      <c r="A236" s="154"/>
      <c r="D236" s="170" t="s">
        <v>45</v>
      </c>
      <c r="E236" s="171"/>
      <c r="G236" s="168"/>
      <c r="L236" s="168"/>
      <c r="N236" s="169"/>
    </row>
    <row r="237">
      <c r="A237" s="154"/>
      <c r="B237" s="172" t="s">
        <v>2</v>
      </c>
      <c r="C237" s="166"/>
      <c r="D237" s="166" t="s">
        <v>4</v>
      </c>
      <c r="E237" s="166" t="s">
        <v>5</v>
      </c>
      <c r="F237" s="166" t="s">
        <v>6</v>
      </c>
      <c r="G237" s="173" t="s">
        <v>7</v>
      </c>
      <c r="H237" s="174" t="s">
        <v>8</v>
      </c>
      <c r="I237" s="175" t="s">
        <v>8</v>
      </c>
      <c r="J237" s="166" t="s">
        <v>5</v>
      </c>
      <c r="K237" s="166" t="s">
        <v>6</v>
      </c>
      <c r="L237" s="173" t="s">
        <v>7</v>
      </c>
      <c r="M237" s="166"/>
      <c r="N237" s="176" t="s">
        <v>10</v>
      </c>
      <c r="O237" s="19">
        <v>1.0</v>
      </c>
      <c r="P237" s="177" t="s">
        <v>46</v>
      </c>
      <c r="Q237" s="178">
        <f>N243</f>
        <v>8999914.3</v>
      </c>
      <c r="R237" s="21">
        <f t="shared" ref="R237:R251" si="208">Q237</f>
        <v>8999914.3</v>
      </c>
    </row>
    <row r="238">
      <c r="A238" s="154">
        <v>46185.0</v>
      </c>
      <c r="B238" s="179" t="s">
        <v>46</v>
      </c>
      <c r="C238" s="13"/>
      <c r="D238" s="13"/>
      <c r="E238" s="12">
        <f t="shared" ref="E238:E242" si="209">D238-C238</f>
        <v>0</v>
      </c>
      <c r="F238" s="37">
        <v>347.89</v>
      </c>
      <c r="G238" s="14" t="str">
        <f t="shared" ref="G238:G242" si="210">(F238/E238)*100</f>
        <v>#DIV/0!</v>
      </c>
      <c r="H238" s="138">
        <v>419520.0</v>
      </c>
      <c r="I238" s="138">
        <v>420609.0</v>
      </c>
      <c r="J238" s="41">
        <f t="shared" ref="J238:J242" si="211">I238-H238</f>
        <v>1089</v>
      </c>
      <c r="K238" s="37">
        <v>347.89</v>
      </c>
      <c r="L238" s="71">
        <f t="shared" ref="L238:L242" si="212">(K238/J238)*100</f>
        <v>31.94582185</v>
      </c>
      <c r="M238" s="72">
        <v>25870.0</v>
      </c>
      <c r="N238" s="49">
        <f t="shared" ref="N238:N242" si="213">M238*K238</f>
        <v>8999914.3</v>
      </c>
      <c r="O238" s="19">
        <v>2.0</v>
      </c>
      <c r="P238" s="177" t="s">
        <v>47</v>
      </c>
      <c r="Q238" s="178">
        <f>N250</f>
        <v>12009690.6</v>
      </c>
      <c r="R238" s="21">
        <f t="shared" si="208"/>
        <v>12009690.6</v>
      </c>
    </row>
    <row r="239">
      <c r="A239" s="154"/>
      <c r="B239" s="180" t="s">
        <v>46</v>
      </c>
      <c r="C239" s="13"/>
      <c r="D239" s="13"/>
      <c r="E239" s="12">
        <f t="shared" si="209"/>
        <v>0</v>
      </c>
      <c r="F239" s="47"/>
      <c r="G239" s="14" t="str">
        <f t="shared" si="210"/>
        <v>#DIV/0!</v>
      </c>
      <c r="H239" s="138"/>
      <c r="I239" s="138"/>
      <c r="J239" s="37">
        <f t="shared" si="211"/>
        <v>0</v>
      </c>
      <c r="K239" s="52" t="str">
        <f t="shared" ref="K239:K242" si="214">F239</f>
        <v/>
      </c>
      <c r="L239" s="48" t="str">
        <f t="shared" si="212"/>
        <v>#DIV/0!</v>
      </c>
      <c r="M239" s="72"/>
      <c r="N239" s="49">
        <f t="shared" si="213"/>
        <v>0</v>
      </c>
      <c r="O239" s="19">
        <v>3.0</v>
      </c>
      <c r="P239" s="177" t="s">
        <v>48</v>
      </c>
      <c r="Q239" s="178">
        <f>N256</f>
        <v>6999904.6</v>
      </c>
      <c r="R239" s="21">
        <f t="shared" si="208"/>
        <v>6999904.6</v>
      </c>
    </row>
    <row r="240">
      <c r="A240" s="154"/>
      <c r="B240" s="180" t="s">
        <v>46</v>
      </c>
      <c r="C240" s="13"/>
      <c r="D240" s="37"/>
      <c r="E240" s="12">
        <f t="shared" si="209"/>
        <v>0</v>
      </c>
      <c r="F240" s="47"/>
      <c r="G240" s="14" t="str">
        <f t="shared" si="210"/>
        <v>#DIV/0!</v>
      </c>
      <c r="H240" s="37"/>
      <c r="I240" s="40"/>
      <c r="J240" s="37">
        <f t="shared" si="211"/>
        <v>0</v>
      </c>
      <c r="K240" s="37" t="str">
        <f t="shared" si="214"/>
        <v/>
      </c>
      <c r="L240" s="48" t="str">
        <f t="shared" si="212"/>
        <v>#DIV/0!</v>
      </c>
      <c r="M240" s="50"/>
      <c r="N240" s="49">
        <f t="shared" si="213"/>
        <v>0</v>
      </c>
      <c r="O240" s="19">
        <v>4.0</v>
      </c>
      <c r="P240" s="177" t="s">
        <v>49</v>
      </c>
      <c r="Q240" s="178">
        <f>N262</f>
        <v>6454834.4</v>
      </c>
      <c r="R240" s="21">
        <f t="shared" si="208"/>
        <v>6454834.4</v>
      </c>
    </row>
    <row r="241">
      <c r="A241" s="154"/>
      <c r="B241" s="180" t="s">
        <v>46</v>
      </c>
      <c r="C241" s="37"/>
      <c r="D241" s="37"/>
      <c r="E241" s="12">
        <f t="shared" si="209"/>
        <v>0</v>
      </c>
      <c r="F241" s="47"/>
      <c r="G241" s="14" t="str">
        <f t="shared" si="210"/>
        <v>#DIV/0!</v>
      </c>
      <c r="H241" s="37"/>
      <c r="I241" s="40"/>
      <c r="J241" s="37">
        <f t="shared" si="211"/>
        <v>0</v>
      </c>
      <c r="K241" s="37" t="str">
        <f t="shared" si="214"/>
        <v/>
      </c>
      <c r="L241" s="48" t="str">
        <f t="shared" si="212"/>
        <v>#DIV/0!</v>
      </c>
      <c r="M241" s="50"/>
      <c r="N241" s="49">
        <f t="shared" si="213"/>
        <v>0</v>
      </c>
      <c r="O241" s="19">
        <v>5.0</v>
      </c>
      <c r="P241" s="177" t="s">
        <v>50</v>
      </c>
      <c r="Q241" s="178">
        <f>N268</f>
        <v>5174000</v>
      </c>
      <c r="R241" s="21">
        <f t="shared" si="208"/>
        <v>5174000</v>
      </c>
    </row>
    <row r="242">
      <c r="A242" s="154"/>
      <c r="B242" s="180" t="s">
        <v>46</v>
      </c>
      <c r="C242" s="37"/>
      <c r="D242" s="37"/>
      <c r="E242" s="12">
        <f t="shared" si="209"/>
        <v>0</v>
      </c>
      <c r="F242" s="47"/>
      <c r="G242" s="14" t="str">
        <f t="shared" si="210"/>
        <v>#DIV/0!</v>
      </c>
      <c r="H242" s="37"/>
      <c r="I242" s="40"/>
      <c r="J242" s="37">
        <f t="shared" si="211"/>
        <v>0</v>
      </c>
      <c r="K242" s="37" t="str">
        <f t="shared" si="214"/>
        <v/>
      </c>
      <c r="L242" s="77" t="str">
        <f t="shared" si="212"/>
        <v>#DIV/0!</v>
      </c>
      <c r="M242" s="50"/>
      <c r="N242" s="49">
        <f t="shared" si="213"/>
        <v>0</v>
      </c>
      <c r="O242" s="19">
        <v>6.0</v>
      </c>
      <c r="P242" s="177" t="s">
        <v>51</v>
      </c>
      <c r="Q242" s="178">
        <f>N275</f>
        <v>9870062.5</v>
      </c>
      <c r="R242" s="21">
        <f t="shared" si="208"/>
        <v>9870062.5</v>
      </c>
    </row>
    <row r="243">
      <c r="A243" s="154"/>
      <c r="B243" s="63"/>
      <c r="C243" s="62"/>
      <c r="D243" s="64" t="s">
        <v>19</v>
      </c>
      <c r="E243" s="64">
        <f t="shared" ref="E243:F243" si="215">sum(E238:E242)</f>
        <v>0</v>
      </c>
      <c r="F243" s="64">
        <f t="shared" si="215"/>
        <v>347.89</v>
      </c>
      <c r="G243" s="65" t="str">
        <f>average(G238:G242)</f>
        <v>#DIV/0!</v>
      </c>
      <c r="H243" s="62"/>
      <c r="I243" s="66"/>
      <c r="J243" s="64">
        <f t="shared" ref="J243:K243" si="216">sum(J238:J242)</f>
        <v>1089</v>
      </c>
      <c r="K243" s="64">
        <f t="shared" si="216"/>
        <v>347.89</v>
      </c>
      <c r="L243" s="65" t="str">
        <f>average(L238:L242)</f>
        <v>#DIV/0!</v>
      </c>
      <c r="M243" s="68"/>
      <c r="N243" s="69">
        <f>sum(N238:N242)</f>
        <v>8999914.3</v>
      </c>
      <c r="O243" s="19">
        <v>7.0</v>
      </c>
      <c r="P243" s="181" t="s">
        <v>52</v>
      </c>
      <c r="Q243" s="178">
        <f>N309</f>
        <v>7599829.9</v>
      </c>
      <c r="R243" s="21">
        <f t="shared" si="208"/>
        <v>7599829.9</v>
      </c>
    </row>
    <row r="244">
      <c r="A244" s="154">
        <v>46181.0</v>
      </c>
      <c r="B244" s="182" t="s">
        <v>53</v>
      </c>
      <c r="C244" s="89">
        <v>516137.0</v>
      </c>
      <c r="D244" s="89">
        <v>516898.0</v>
      </c>
      <c r="E244" s="12">
        <f t="shared" ref="E244:E249" si="217">D244-C244</f>
        <v>761</v>
      </c>
      <c r="F244" s="157">
        <v>238.64</v>
      </c>
      <c r="G244" s="14">
        <f t="shared" ref="G244:G249" si="218">(F244/E244)*100</f>
        <v>31.3587385</v>
      </c>
      <c r="H244" s="137">
        <v>515575.0</v>
      </c>
      <c r="I244" s="137">
        <v>516310.0</v>
      </c>
      <c r="J244" s="89">
        <f t="shared" ref="J244:J249" si="219">I244-H244</f>
        <v>735</v>
      </c>
      <c r="K244" s="89">
        <f t="shared" ref="K244:K249" si="220">F244</f>
        <v>238.64</v>
      </c>
      <c r="L244" s="152">
        <f t="shared" ref="L244:L249" si="221">(K244/J244)*100</f>
        <v>32.46802721</v>
      </c>
      <c r="M244" s="126">
        <v>26860.0</v>
      </c>
      <c r="N244" s="44">
        <f t="shared" ref="N244:N247" si="222">F244*M244</f>
        <v>6409870.4</v>
      </c>
      <c r="O244" s="19">
        <v>8.0</v>
      </c>
      <c r="P244" s="183" t="s">
        <v>54</v>
      </c>
      <c r="Q244" s="178">
        <f>N293</f>
        <v>0</v>
      </c>
      <c r="R244" s="21">
        <f t="shared" si="208"/>
        <v>0</v>
      </c>
    </row>
    <row r="245">
      <c r="A245" s="154">
        <v>46190.0</v>
      </c>
      <c r="B245" s="182" t="s">
        <v>53</v>
      </c>
      <c r="C245" s="89">
        <v>516898.0</v>
      </c>
      <c r="D245" s="89">
        <v>517505.0</v>
      </c>
      <c r="E245" s="12">
        <f t="shared" si="217"/>
        <v>607</v>
      </c>
      <c r="F245" s="157">
        <v>216.46</v>
      </c>
      <c r="G245" s="14">
        <f t="shared" si="218"/>
        <v>35.66062603</v>
      </c>
      <c r="H245" s="137">
        <v>516310.0</v>
      </c>
      <c r="I245" s="137">
        <v>516897.0</v>
      </c>
      <c r="J245" s="89">
        <f t="shared" si="219"/>
        <v>587</v>
      </c>
      <c r="K245" s="89">
        <f t="shared" si="220"/>
        <v>216.46</v>
      </c>
      <c r="L245" s="152">
        <f t="shared" si="221"/>
        <v>36.87563884</v>
      </c>
      <c r="M245" s="126">
        <v>25870.0</v>
      </c>
      <c r="N245" s="49">
        <f t="shared" si="222"/>
        <v>5599820.2</v>
      </c>
      <c r="O245" s="19">
        <v>9.0</v>
      </c>
      <c r="P245" s="183" t="s">
        <v>69</v>
      </c>
      <c r="Q245" s="178">
        <f>N302</f>
        <v>0</v>
      </c>
      <c r="R245" s="21">
        <f t="shared" si="208"/>
        <v>0</v>
      </c>
    </row>
    <row r="246">
      <c r="A246" s="154"/>
      <c r="B246" s="182" t="s">
        <v>53</v>
      </c>
      <c r="C246" s="89"/>
      <c r="D246" s="89"/>
      <c r="E246" s="12">
        <f t="shared" si="217"/>
        <v>0</v>
      </c>
      <c r="F246" s="157"/>
      <c r="G246" s="14" t="str">
        <f t="shared" si="218"/>
        <v>#DIV/0!</v>
      </c>
      <c r="H246" s="137"/>
      <c r="I246" s="137"/>
      <c r="J246" s="89">
        <f t="shared" si="219"/>
        <v>0</v>
      </c>
      <c r="K246" s="89" t="str">
        <f t="shared" si="220"/>
        <v/>
      </c>
      <c r="L246" s="152" t="str">
        <f t="shared" si="221"/>
        <v>#DIV/0!</v>
      </c>
      <c r="M246" s="126"/>
      <c r="N246" s="49">
        <f t="shared" si="222"/>
        <v>0</v>
      </c>
      <c r="O246" s="19">
        <v>10.0</v>
      </c>
      <c r="P246" s="185" t="s">
        <v>56</v>
      </c>
      <c r="Q246" s="178">
        <f>N284</f>
        <v>0</v>
      </c>
      <c r="R246" s="21">
        <f t="shared" si="208"/>
        <v>0</v>
      </c>
    </row>
    <row r="247">
      <c r="A247" s="154"/>
      <c r="B247" s="182" t="s">
        <v>53</v>
      </c>
      <c r="C247" s="89"/>
      <c r="D247" s="89"/>
      <c r="E247" s="12">
        <f t="shared" si="217"/>
        <v>0</v>
      </c>
      <c r="F247" s="157"/>
      <c r="G247" s="14" t="str">
        <f t="shared" si="218"/>
        <v>#DIV/0!</v>
      </c>
      <c r="H247" s="137"/>
      <c r="I247" s="137"/>
      <c r="J247" s="89">
        <f t="shared" si="219"/>
        <v>0</v>
      </c>
      <c r="K247" s="89" t="str">
        <f t="shared" si="220"/>
        <v/>
      </c>
      <c r="L247" s="152" t="str">
        <f t="shared" si="221"/>
        <v>#DIV/0!</v>
      </c>
      <c r="M247" s="126"/>
      <c r="N247" s="49">
        <f t="shared" si="222"/>
        <v>0</v>
      </c>
      <c r="O247" s="19">
        <v>11.0</v>
      </c>
      <c r="P247" s="186" t="s">
        <v>57</v>
      </c>
      <c r="Q247" s="187">
        <f>N318</f>
        <v>9199983.5</v>
      </c>
      <c r="R247" s="21">
        <f t="shared" si="208"/>
        <v>9199983.5</v>
      </c>
    </row>
    <row r="248">
      <c r="A248" s="154"/>
      <c r="B248" s="182" t="s">
        <v>53</v>
      </c>
      <c r="C248" s="89"/>
      <c r="D248" s="89"/>
      <c r="E248" s="12">
        <f t="shared" si="217"/>
        <v>0</v>
      </c>
      <c r="F248" s="157"/>
      <c r="G248" s="14" t="str">
        <f t="shared" si="218"/>
        <v>#DIV/0!</v>
      </c>
      <c r="H248" s="137"/>
      <c r="I248" s="137"/>
      <c r="J248" s="89">
        <f t="shared" si="219"/>
        <v>0</v>
      </c>
      <c r="K248" s="89" t="str">
        <f t="shared" si="220"/>
        <v/>
      </c>
      <c r="L248" s="152" t="str">
        <f t="shared" si="221"/>
        <v>#DIV/0!</v>
      </c>
      <c r="M248" s="126"/>
      <c r="N248" s="49">
        <f t="shared" ref="N248:N249" si="223">M248*K248</f>
        <v>0</v>
      </c>
      <c r="O248" s="19">
        <v>12.0</v>
      </c>
      <c r="P248" s="186" t="s">
        <v>58</v>
      </c>
      <c r="Q248" s="187">
        <f>N328</f>
        <v>9899893.8</v>
      </c>
      <c r="R248" s="21">
        <f t="shared" si="208"/>
        <v>9899893.8</v>
      </c>
    </row>
    <row r="249">
      <c r="A249" s="154"/>
      <c r="B249" s="182" t="s">
        <v>53</v>
      </c>
      <c r="C249" s="89"/>
      <c r="D249" s="89"/>
      <c r="E249" s="12">
        <f t="shared" si="217"/>
        <v>0</v>
      </c>
      <c r="F249" s="157"/>
      <c r="G249" s="14" t="str">
        <f t="shared" si="218"/>
        <v>#DIV/0!</v>
      </c>
      <c r="H249" s="137"/>
      <c r="I249" s="137"/>
      <c r="J249" s="89">
        <f t="shared" si="219"/>
        <v>0</v>
      </c>
      <c r="K249" s="89" t="str">
        <f t="shared" si="220"/>
        <v/>
      </c>
      <c r="L249" s="152" t="str">
        <f t="shared" si="221"/>
        <v>#DIV/0!</v>
      </c>
      <c r="M249" s="126"/>
      <c r="N249" s="49">
        <f t="shared" si="223"/>
        <v>0</v>
      </c>
      <c r="O249" s="19">
        <v>13.0</v>
      </c>
      <c r="P249" s="188" t="s">
        <v>70</v>
      </c>
      <c r="Q249" s="187">
        <f>N335</f>
        <v>0</v>
      </c>
      <c r="R249" s="21">
        <f t="shared" si="208"/>
        <v>0</v>
      </c>
    </row>
    <row r="250">
      <c r="A250" s="154"/>
      <c r="B250" s="63"/>
      <c r="C250" s="62"/>
      <c r="D250" s="64" t="s">
        <v>19</v>
      </c>
      <c r="E250" s="64">
        <f>sum(E244:E248)</f>
        <v>1368</v>
      </c>
      <c r="F250" s="64">
        <f>sum(F244:F249)</f>
        <v>455.1</v>
      </c>
      <c r="G250" s="65" t="str">
        <f>average(G244:G248)</f>
        <v>#DIV/0!</v>
      </c>
      <c r="H250" s="62"/>
      <c r="I250" s="66"/>
      <c r="J250" s="64">
        <f t="shared" ref="J250:K250" si="224">sum(J244:J248)</f>
        <v>1322</v>
      </c>
      <c r="K250" s="64">
        <f t="shared" si="224"/>
        <v>455.1</v>
      </c>
      <c r="L250" s="65" t="str">
        <f>average(L244:L248)</f>
        <v>#DIV/0!</v>
      </c>
      <c r="M250" s="68"/>
      <c r="N250" s="69">
        <f>sum(N244:N249)</f>
        <v>12009690.6</v>
      </c>
      <c r="O250" s="19">
        <v>14.0</v>
      </c>
      <c r="P250" s="177" t="s">
        <v>60</v>
      </c>
      <c r="Q250" s="21">
        <f>N345</f>
        <v>11400653.4</v>
      </c>
      <c r="R250" s="21">
        <f t="shared" si="208"/>
        <v>11400653.4</v>
      </c>
    </row>
    <row r="251">
      <c r="A251" s="154">
        <v>46186.0</v>
      </c>
      <c r="B251" s="182" t="s">
        <v>48</v>
      </c>
      <c r="C251" s="13"/>
      <c r="D251" s="13"/>
      <c r="E251" s="38">
        <f t="shared" ref="E251:E255" si="225">D251-C251</f>
        <v>0</v>
      </c>
      <c r="F251" s="157">
        <v>270.58</v>
      </c>
      <c r="G251" s="14" t="str">
        <f t="shared" ref="G251:G255" si="226">(F251/E251)*100</f>
        <v>#DIV/0!</v>
      </c>
      <c r="H251" s="137">
        <v>8808.0</v>
      </c>
      <c r="I251" s="138">
        <v>9101.0</v>
      </c>
      <c r="J251" s="41">
        <f t="shared" ref="J251:J255" si="227">I251-H251</f>
        <v>293</v>
      </c>
      <c r="K251" s="41"/>
      <c r="L251" s="152">
        <f t="shared" ref="L251:L255" si="228">(K251/J251)*100</f>
        <v>0</v>
      </c>
      <c r="M251" s="72">
        <v>25870.0</v>
      </c>
      <c r="N251" s="131">
        <f t="shared" ref="N251:N255" si="229">F251*M251</f>
        <v>6999904.6</v>
      </c>
      <c r="O251" s="19">
        <v>15.0</v>
      </c>
      <c r="P251" s="177" t="s">
        <v>61</v>
      </c>
      <c r="Q251" s="21">
        <f>N352</f>
        <v>6399932.2</v>
      </c>
      <c r="R251" s="21">
        <f t="shared" si="208"/>
        <v>6399932.2</v>
      </c>
    </row>
    <row r="252">
      <c r="A252" s="154"/>
      <c r="B252" s="182" t="s">
        <v>48</v>
      </c>
      <c r="C252" s="13"/>
      <c r="D252" s="13"/>
      <c r="E252" s="12">
        <f t="shared" si="225"/>
        <v>0</v>
      </c>
      <c r="F252" s="157"/>
      <c r="G252" s="14" t="str">
        <f t="shared" si="226"/>
        <v>#DIV/0!</v>
      </c>
      <c r="H252" s="138"/>
      <c r="I252" s="137"/>
      <c r="J252" s="89">
        <f t="shared" si="227"/>
        <v>0</v>
      </c>
      <c r="K252" s="37"/>
      <c r="L252" s="152" t="str">
        <f t="shared" si="228"/>
        <v>#DIV/0!</v>
      </c>
      <c r="M252" s="126"/>
      <c r="N252" s="131">
        <f t="shared" si="229"/>
        <v>0</v>
      </c>
      <c r="O252" s="19"/>
      <c r="P252" s="189"/>
      <c r="Q252" s="60"/>
      <c r="R252" s="60"/>
    </row>
    <row r="253">
      <c r="A253" s="154"/>
      <c r="B253" s="182" t="s">
        <v>48</v>
      </c>
      <c r="C253" s="89"/>
      <c r="D253" s="89"/>
      <c r="E253" s="12">
        <f t="shared" si="225"/>
        <v>0</v>
      </c>
      <c r="F253" s="157"/>
      <c r="G253" s="14" t="str">
        <f t="shared" si="226"/>
        <v>#DIV/0!</v>
      </c>
      <c r="H253" s="137"/>
      <c r="I253" s="137"/>
      <c r="J253" s="89">
        <f t="shared" si="227"/>
        <v>0</v>
      </c>
      <c r="K253" s="37"/>
      <c r="L253" s="152" t="str">
        <f t="shared" si="228"/>
        <v>#DIV/0!</v>
      </c>
      <c r="M253" s="126"/>
      <c r="N253" s="131">
        <f t="shared" si="229"/>
        <v>0</v>
      </c>
      <c r="P253" s="79" t="s">
        <v>19</v>
      </c>
      <c r="Q253" s="21">
        <f>SUM(Q237:Q252)</f>
        <v>94008699.2</v>
      </c>
    </row>
    <row r="254">
      <c r="A254" s="154"/>
      <c r="B254" s="182" t="s">
        <v>48</v>
      </c>
      <c r="C254" s="89"/>
      <c r="D254" s="89"/>
      <c r="E254" s="12">
        <f t="shared" si="225"/>
        <v>0</v>
      </c>
      <c r="F254" s="157"/>
      <c r="G254" s="14" t="str">
        <f t="shared" si="226"/>
        <v>#DIV/0!</v>
      </c>
      <c r="H254" s="89"/>
      <c r="I254" s="137"/>
      <c r="J254" s="89">
        <f t="shared" si="227"/>
        <v>0</v>
      </c>
      <c r="K254" s="37"/>
      <c r="L254" s="152" t="str">
        <f t="shared" si="228"/>
        <v>#DIV/0!</v>
      </c>
      <c r="M254" s="126"/>
      <c r="N254" s="131">
        <f t="shared" si="229"/>
        <v>0</v>
      </c>
    </row>
    <row r="255">
      <c r="A255" s="154"/>
      <c r="B255" s="182" t="s">
        <v>48</v>
      </c>
      <c r="C255" s="89"/>
      <c r="D255" s="89"/>
      <c r="E255" s="12">
        <f t="shared" si="225"/>
        <v>0</v>
      </c>
      <c r="F255" s="157"/>
      <c r="G255" s="14" t="str">
        <f t="shared" si="226"/>
        <v>#DIV/0!</v>
      </c>
      <c r="H255" s="89"/>
      <c r="I255" s="137"/>
      <c r="J255" s="89">
        <f t="shared" si="227"/>
        <v>0</v>
      </c>
      <c r="K255" s="37"/>
      <c r="L255" s="152" t="str">
        <f t="shared" si="228"/>
        <v>#DIV/0!</v>
      </c>
      <c r="M255" s="126"/>
      <c r="N255" s="131">
        <f t="shared" si="229"/>
        <v>0</v>
      </c>
    </row>
    <row r="256">
      <c r="A256" s="154"/>
      <c r="B256" s="63"/>
      <c r="C256" s="62"/>
      <c r="D256" s="64" t="s">
        <v>19</v>
      </c>
      <c r="E256" s="64">
        <f t="shared" ref="E256:F256" si="230">sum(E251:E255)</f>
        <v>0</v>
      </c>
      <c r="F256" s="64">
        <f t="shared" si="230"/>
        <v>270.58</v>
      </c>
      <c r="G256" s="65" t="str">
        <f>average(G251:G255)</f>
        <v>#DIV/0!</v>
      </c>
      <c r="H256" s="62"/>
      <c r="I256" s="66"/>
      <c r="J256" s="64">
        <f t="shared" ref="J256:K256" si="231">sum(J251:J255)</f>
        <v>293</v>
      </c>
      <c r="K256" s="64">
        <f t="shared" si="231"/>
        <v>0</v>
      </c>
      <c r="L256" s="65" t="str">
        <f>average(L251:L255)</f>
        <v>#DIV/0!</v>
      </c>
      <c r="M256" s="68"/>
      <c r="N256" s="69">
        <f>sum(N251:N255)</f>
        <v>6999904.6</v>
      </c>
    </row>
    <row r="257">
      <c r="A257" s="154">
        <v>46174.0</v>
      </c>
      <c r="B257" s="156" t="s">
        <v>49</v>
      </c>
      <c r="C257" s="89"/>
      <c r="D257" s="13"/>
      <c r="E257" s="38">
        <f t="shared" ref="E257:E261" si="232">D257-C257</f>
        <v>0</v>
      </c>
      <c r="F257" s="39">
        <v>126.58</v>
      </c>
      <c r="G257" s="14" t="str">
        <f t="shared" ref="G257:G261" si="233">(F257/E257)*100</f>
        <v>#DIV/0!</v>
      </c>
      <c r="H257" s="89"/>
      <c r="I257" s="138"/>
      <c r="J257" s="41">
        <f t="shared" ref="J257:J261" si="234">I257-H257</f>
        <v>0</v>
      </c>
      <c r="K257" s="41">
        <f t="shared" ref="K257:K261" si="235">F257</f>
        <v>126.58</v>
      </c>
      <c r="L257" s="48" t="str">
        <f t="shared" ref="L257:L261" si="236">(K257/J257)*100</f>
        <v>#DIV/0!</v>
      </c>
      <c r="M257" s="72">
        <v>27650.0</v>
      </c>
      <c r="N257" s="131">
        <f t="shared" ref="N257:N260" si="237">M257*K257</f>
        <v>3499937</v>
      </c>
    </row>
    <row r="258">
      <c r="A258" s="154">
        <v>46191.0</v>
      </c>
      <c r="B258" s="156" t="s">
        <v>49</v>
      </c>
      <c r="C258" s="13"/>
      <c r="D258" s="89"/>
      <c r="E258" s="12">
        <f t="shared" si="232"/>
        <v>0</v>
      </c>
      <c r="F258" s="157">
        <v>125.58</v>
      </c>
      <c r="G258" s="14" t="str">
        <f t="shared" si="233"/>
        <v>#DIV/0!</v>
      </c>
      <c r="H258" s="89"/>
      <c r="I258" s="137"/>
      <c r="J258" s="89">
        <f t="shared" si="234"/>
        <v>0</v>
      </c>
      <c r="K258" s="89">
        <f t="shared" si="235"/>
        <v>125.58</v>
      </c>
      <c r="L258" s="152" t="str">
        <f t="shared" si="236"/>
        <v>#DIV/0!</v>
      </c>
      <c r="M258" s="126">
        <v>23530.0</v>
      </c>
      <c r="N258" s="131">
        <f t="shared" si="237"/>
        <v>2954897.4</v>
      </c>
    </row>
    <row r="259">
      <c r="A259" s="154"/>
      <c r="B259" s="156" t="s">
        <v>49</v>
      </c>
      <c r="C259" s="89"/>
      <c r="D259" s="89"/>
      <c r="E259" s="12">
        <f t="shared" si="232"/>
        <v>0</v>
      </c>
      <c r="F259" s="157"/>
      <c r="G259" s="14" t="str">
        <f t="shared" si="233"/>
        <v>#DIV/0!</v>
      </c>
      <c r="H259" s="89"/>
      <c r="I259" s="137"/>
      <c r="J259" s="89">
        <f t="shared" si="234"/>
        <v>0</v>
      </c>
      <c r="K259" s="89" t="str">
        <f t="shared" si="235"/>
        <v/>
      </c>
      <c r="L259" s="152" t="str">
        <f t="shared" si="236"/>
        <v>#DIV/0!</v>
      </c>
      <c r="M259" s="126"/>
      <c r="N259" s="131">
        <f t="shared" si="237"/>
        <v>0</v>
      </c>
    </row>
    <row r="260">
      <c r="A260" s="154"/>
      <c r="B260" s="156" t="s">
        <v>49</v>
      </c>
      <c r="C260" s="89"/>
      <c r="D260" s="89"/>
      <c r="E260" s="12">
        <f t="shared" si="232"/>
        <v>0</v>
      </c>
      <c r="F260" s="157"/>
      <c r="G260" s="14" t="str">
        <f t="shared" si="233"/>
        <v>#DIV/0!</v>
      </c>
      <c r="H260" s="89"/>
      <c r="I260" s="137"/>
      <c r="J260" s="89">
        <f t="shared" si="234"/>
        <v>0</v>
      </c>
      <c r="K260" s="89" t="str">
        <f t="shared" si="235"/>
        <v/>
      </c>
      <c r="L260" s="152" t="str">
        <f t="shared" si="236"/>
        <v>#DIV/0!</v>
      </c>
      <c r="M260" s="126"/>
      <c r="N260" s="131">
        <f t="shared" si="237"/>
        <v>0</v>
      </c>
    </row>
    <row r="261">
      <c r="A261" s="154"/>
      <c r="B261" s="156" t="s">
        <v>49</v>
      </c>
      <c r="C261" s="89"/>
      <c r="D261" s="89"/>
      <c r="E261" s="12">
        <f t="shared" si="232"/>
        <v>0</v>
      </c>
      <c r="F261" s="157"/>
      <c r="G261" s="14" t="str">
        <f t="shared" si="233"/>
        <v>#DIV/0!</v>
      </c>
      <c r="H261" s="89"/>
      <c r="I261" s="137"/>
      <c r="J261" s="89">
        <f t="shared" si="234"/>
        <v>0</v>
      </c>
      <c r="K261" s="89" t="str">
        <f t="shared" si="235"/>
        <v/>
      </c>
      <c r="L261" s="152" t="str">
        <f t="shared" si="236"/>
        <v>#DIV/0!</v>
      </c>
      <c r="M261" s="126"/>
      <c r="N261" s="131">
        <f>F261*M261</f>
        <v>0</v>
      </c>
    </row>
    <row r="262">
      <c r="A262" s="154"/>
      <c r="B262" s="63"/>
      <c r="C262" s="62"/>
      <c r="D262" s="64" t="s">
        <v>19</v>
      </c>
      <c r="E262" s="64">
        <f t="shared" ref="E262:F262" si="238">sum(E257:E261)</f>
        <v>0</v>
      </c>
      <c r="F262" s="64">
        <f t="shared" si="238"/>
        <v>252.16</v>
      </c>
      <c r="G262" s="65" t="str">
        <f>average(G257:G261)</f>
        <v>#DIV/0!</v>
      </c>
      <c r="H262" s="62"/>
      <c r="I262" s="66"/>
      <c r="J262" s="64">
        <f t="shared" ref="J262:K262" si="239">sum(J257:J261)</f>
        <v>0</v>
      </c>
      <c r="K262" s="64">
        <f t="shared" si="239"/>
        <v>252.16</v>
      </c>
      <c r="L262" s="65" t="str">
        <f>average(L257:L261)</f>
        <v>#DIV/0!</v>
      </c>
      <c r="M262" s="68"/>
      <c r="N262" s="69">
        <f>sum(N257:N261)</f>
        <v>6454834.4</v>
      </c>
    </row>
    <row r="263">
      <c r="A263" s="154">
        <v>46189.0</v>
      </c>
      <c r="B263" s="156" t="s">
        <v>50</v>
      </c>
      <c r="C263" s="89"/>
      <c r="D263" s="13"/>
      <c r="E263" s="38"/>
      <c r="F263" s="39">
        <v>200.0</v>
      </c>
      <c r="G263" s="14" t="str">
        <f t="shared" ref="G263:G267" si="240">(F263/E263)*100</f>
        <v>#DIV/0!</v>
      </c>
      <c r="H263" s="89"/>
      <c r="I263" s="138"/>
      <c r="J263" s="89">
        <f t="shared" ref="J263:J267" si="241">I263-H263</f>
        <v>0</v>
      </c>
      <c r="K263" s="89">
        <f t="shared" ref="K263:K267" si="242">F263</f>
        <v>200</v>
      </c>
      <c r="L263" s="152" t="str">
        <f t="shared" ref="L263:L267" si="243">(K263/J263)*100</f>
        <v>#DIV/0!</v>
      </c>
      <c r="M263" s="72">
        <v>25870.0</v>
      </c>
      <c r="N263" s="49">
        <f>F263*M263</f>
        <v>5174000</v>
      </c>
    </row>
    <row r="264">
      <c r="A264" s="154"/>
      <c r="B264" s="156" t="s">
        <v>50</v>
      </c>
      <c r="C264" s="89"/>
      <c r="D264" s="89"/>
      <c r="E264" s="12">
        <f t="shared" ref="E264:E267" si="244">D264-C264</f>
        <v>0</v>
      </c>
      <c r="F264" s="157"/>
      <c r="G264" s="14" t="str">
        <f t="shared" si="240"/>
        <v>#DIV/0!</v>
      </c>
      <c r="H264" s="89"/>
      <c r="I264" s="137"/>
      <c r="J264" s="89">
        <f t="shared" si="241"/>
        <v>0</v>
      </c>
      <c r="K264" s="89" t="str">
        <f t="shared" si="242"/>
        <v/>
      </c>
      <c r="L264" s="152" t="str">
        <f t="shared" si="243"/>
        <v>#DIV/0!</v>
      </c>
      <c r="M264" s="126"/>
      <c r="N264" s="49">
        <f>M264*K264</f>
        <v>0</v>
      </c>
    </row>
    <row r="265">
      <c r="A265" s="154"/>
      <c r="B265" s="156" t="s">
        <v>50</v>
      </c>
      <c r="C265" s="89"/>
      <c r="D265" s="89"/>
      <c r="E265" s="12">
        <f t="shared" si="244"/>
        <v>0</v>
      </c>
      <c r="F265" s="157"/>
      <c r="G265" s="14" t="str">
        <f t="shared" si="240"/>
        <v>#DIV/0!</v>
      </c>
      <c r="H265" s="89"/>
      <c r="I265" s="137"/>
      <c r="J265" s="89">
        <f t="shared" si="241"/>
        <v>0</v>
      </c>
      <c r="K265" s="89" t="str">
        <f t="shared" si="242"/>
        <v/>
      </c>
      <c r="L265" s="152" t="str">
        <f t="shared" si="243"/>
        <v>#DIV/0!</v>
      </c>
      <c r="M265" s="126"/>
      <c r="N265" s="49">
        <f t="shared" ref="N265:N267" si="245">F265*M265</f>
        <v>0</v>
      </c>
    </row>
    <row r="266">
      <c r="A266" s="154"/>
      <c r="B266" s="156" t="s">
        <v>50</v>
      </c>
      <c r="C266" s="89"/>
      <c r="D266" s="89"/>
      <c r="E266" s="12">
        <f t="shared" si="244"/>
        <v>0</v>
      </c>
      <c r="F266" s="157"/>
      <c r="G266" s="14" t="str">
        <f t="shared" si="240"/>
        <v>#DIV/0!</v>
      </c>
      <c r="H266" s="89"/>
      <c r="I266" s="137"/>
      <c r="J266" s="89">
        <f t="shared" si="241"/>
        <v>0</v>
      </c>
      <c r="K266" s="89" t="str">
        <f t="shared" si="242"/>
        <v/>
      </c>
      <c r="L266" s="152" t="str">
        <f t="shared" si="243"/>
        <v>#DIV/0!</v>
      </c>
      <c r="M266" s="126"/>
      <c r="N266" s="49">
        <f t="shared" si="245"/>
        <v>0</v>
      </c>
    </row>
    <row r="267">
      <c r="A267" s="154"/>
      <c r="B267" s="156" t="s">
        <v>50</v>
      </c>
      <c r="C267" s="89"/>
      <c r="D267" s="89"/>
      <c r="E267" s="12">
        <f t="shared" si="244"/>
        <v>0</v>
      </c>
      <c r="F267" s="157"/>
      <c r="G267" s="14" t="str">
        <f t="shared" si="240"/>
        <v>#DIV/0!</v>
      </c>
      <c r="H267" s="89"/>
      <c r="I267" s="137"/>
      <c r="J267" s="89">
        <f t="shared" si="241"/>
        <v>0</v>
      </c>
      <c r="K267" s="89" t="str">
        <f t="shared" si="242"/>
        <v/>
      </c>
      <c r="L267" s="152" t="str">
        <f t="shared" si="243"/>
        <v>#DIV/0!</v>
      </c>
      <c r="M267" s="126"/>
      <c r="N267" s="49">
        <f t="shared" si="245"/>
        <v>0</v>
      </c>
    </row>
    <row r="268">
      <c r="A268" s="154"/>
      <c r="B268" s="63"/>
      <c r="C268" s="62"/>
      <c r="D268" s="64" t="s">
        <v>19</v>
      </c>
      <c r="E268" s="64">
        <f t="shared" ref="E268:F268" si="246">sum(E263:E267)</f>
        <v>0</v>
      </c>
      <c r="F268" s="64">
        <f t="shared" si="246"/>
        <v>200</v>
      </c>
      <c r="G268" s="65" t="str">
        <f>average(G263:G267)</f>
        <v>#DIV/0!</v>
      </c>
      <c r="H268" s="62"/>
      <c r="I268" s="66"/>
      <c r="J268" s="64">
        <f t="shared" ref="J268:K268" si="247">sum(J263:J267)</f>
        <v>0</v>
      </c>
      <c r="K268" s="64">
        <f t="shared" si="247"/>
        <v>200</v>
      </c>
      <c r="L268" s="65" t="str">
        <f>average(L263:L267)</f>
        <v>#DIV/0!</v>
      </c>
      <c r="M268" s="68"/>
      <c r="N268" s="69">
        <f>sum(N263:N267)</f>
        <v>5174000</v>
      </c>
    </row>
    <row r="269">
      <c r="A269" s="154">
        <v>46174.0</v>
      </c>
      <c r="B269" s="182" t="s">
        <v>51</v>
      </c>
      <c r="C269" s="89">
        <v>311365.0</v>
      </c>
      <c r="D269" s="89">
        <v>311741.0</v>
      </c>
      <c r="E269" s="12">
        <f t="shared" ref="E269:E274" si="248">D269-C269</f>
        <v>376</v>
      </c>
      <c r="F269" s="39">
        <v>115.37</v>
      </c>
      <c r="G269" s="14">
        <f t="shared" ref="G269:G274" si="249">(F269/E269)*100</f>
        <v>30.68351064</v>
      </c>
      <c r="H269" s="137">
        <v>25353.0</v>
      </c>
      <c r="I269" s="137">
        <v>25612.0</v>
      </c>
      <c r="J269" s="41">
        <f t="shared" ref="J269:J274" si="250">I269-H269</f>
        <v>259</v>
      </c>
      <c r="K269" s="41">
        <f t="shared" ref="K269:K274" si="251">F269</f>
        <v>115.37</v>
      </c>
      <c r="L269" s="152">
        <f t="shared" ref="L269:L274" si="252">(K269/J269)*100</f>
        <v>44.54440154</v>
      </c>
      <c r="M269" s="72">
        <v>27650.0</v>
      </c>
      <c r="N269" s="49">
        <f t="shared" ref="N269:N272" si="253">F269*M269</f>
        <v>3189980.5</v>
      </c>
    </row>
    <row r="270">
      <c r="A270" s="154">
        <v>46179.0</v>
      </c>
      <c r="B270" s="182" t="s">
        <v>51</v>
      </c>
      <c r="C270" s="89">
        <v>311741.0</v>
      </c>
      <c r="D270" s="89">
        <v>312232.0</v>
      </c>
      <c r="E270" s="12">
        <f t="shared" si="248"/>
        <v>491</v>
      </c>
      <c r="F270" s="157">
        <v>145.2</v>
      </c>
      <c r="G270" s="14">
        <f t="shared" si="249"/>
        <v>29.57230143</v>
      </c>
      <c r="H270" s="137">
        <v>25612.0</v>
      </c>
      <c r="I270" s="89">
        <v>26153.0</v>
      </c>
      <c r="J270" s="89">
        <f t="shared" si="250"/>
        <v>541</v>
      </c>
      <c r="K270" s="89">
        <f t="shared" si="251"/>
        <v>145.2</v>
      </c>
      <c r="L270" s="152">
        <f t="shared" si="252"/>
        <v>26.83918669</v>
      </c>
      <c r="M270" s="126">
        <v>26860.0</v>
      </c>
      <c r="N270" s="49">
        <f t="shared" si="253"/>
        <v>3900072</v>
      </c>
    </row>
    <row r="271">
      <c r="A271" s="154">
        <v>46183.0</v>
      </c>
      <c r="B271" s="182" t="s">
        <v>51</v>
      </c>
      <c r="C271" s="89">
        <v>312232.0</v>
      </c>
      <c r="D271" s="89">
        <v>312562.0</v>
      </c>
      <c r="E271" s="12">
        <f t="shared" si="248"/>
        <v>330</v>
      </c>
      <c r="F271" s="157">
        <v>103.5</v>
      </c>
      <c r="G271" s="14">
        <f t="shared" si="249"/>
        <v>31.36363636</v>
      </c>
      <c r="H271" s="89">
        <v>26153.0</v>
      </c>
      <c r="I271" s="137">
        <v>26436.0</v>
      </c>
      <c r="J271" s="89">
        <f t="shared" si="250"/>
        <v>283</v>
      </c>
      <c r="K271" s="89">
        <f t="shared" si="251"/>
        <v>103.5</v>
      </c>
      <c r="L271" s="152">
        <f t="shared" si="252"/>
        <v>36.57243816</v>
      </c>
      <c r="M271" s="126">
        <v>26860.0</v>
      </c>
      <c r="N271" s="49">
        <f t="shared" si="253"/>
        <v>2780010</v>
      </c>
    </row>
    <row r="272">
      <c r="A272" s="154"/>
      <c r="B272" s="182" t="s">
        <v>51</v>
      </c>
      <c r="C272" s="89"/>
      <c r="D272" s="89"/>
      <c r="E272" s="12">
        <f t="shared" si="248"/>
        <v>0</v>
      </c>
      <c r="F272" s="157"/>
      <c r="G272" s="14" t="str">
        <f t="shared" si="249"/>
        <v>#DIV/0!</v>
      </c>
      <c r="H272" s="137"/>
      <c r="I272" s="137"/>
      <c r="J272" s="89">
        <f t="shared" si="250"/>
        <v>0</v>
      </c>
      <c r="K272" s="89" t="str">
        <f t="shared" si="251"/>
        <v/>
      </c>
      <c r="L272" s="152" t="str">
        <f t="shared" si="252"/>
        <v>#DIV/0!</v>
      </c>
      <c r="M272" s="126"/>
      <c r="N272" s="49">
        <f t="shared" si="253"/>
        <v>0</v>
      </c>
    </row>
    <row r="273">
      <c r="A273" s="154"/>
      <c r="B273" s="182" t="s">
        <v>51</v>
      </c>
      <c r="C273" s="89"/>
      <c r="D273" s="89"/>
      <c r="E273" s="12">
        <f t="shared" si="248"/>
        <v>0</v>
      </c>
      <c r="F273" s="157"/>
      <c r="G273" s="14" t="str">
        <f t="shared" si="249"/>
        <v>#DIV/0!</v>
      </c>
      <c r="H273" s="137"/>
      <c r="I273" s="137"/>
      <c r="J273" s="89">
        <f t="shared" si="250"/>
        <v>0</v>
      </c>
      <c r="K273" s="89" t="str">
        <f t="shared" si="251"/>
        <v/>
      </c>
      <c r="L273" s="152" t="str">
        <f t="shared" si="252"/>
        <v>#DIV/0!</v>
      </c>
      <c r="M273" s="126"/>
      <c r="N273" s="49">
        <f t="shared" ref="N273:N274" si="254">M273*K273</f>
        <v>0</v>
      </c>
    </row>
    <row r="274">
      <c r="A274" s="154"/>
      <c r="B274" s="182" t="s">
        <v>51</v>
      </c>
      <c r="C274" s="89"/>
      <c r="D274" s="89"/>
      <c r="E274" s="12">
        <f t="shared" si="248"/>
        <v>0</v>
      </c>
      <c r="F274" s="157"/>
      <c r="G274" s="14" t="str">
        <f t="shared" si="249"/>
        <v>#DIV/0!</v>
      </c>
      <c r="H274" s="137"/>
      <c r="I274" s="137"/>
      <c r="J274" s="89">
        <f t="shared" si="250"/>
        <v>0</v>
      </c>
      <c r="K274" s="89" t="str">
        <f t="shared" si="251"/>
        <v/>
      </c>
      <c r="L274" s="152" t="str">
        <f t="shared" si="252"/>
        <v>#DIV/0!</v>
      </c>
      <c r="M274" s="126"/>
      <c r="N274" s="49">
        <f t="shared" si="254"/>
        <v>0</v>
      </c>
    </row>
    <row r="275">
      <c r="A275" s="154"/>
      <c r="B275" s="63"/>
      <c r="C275" s="62"/>
      <c r="D275" s="64" t="s">
        <v>19</v>
      </c>
      <c r="E275" s="64">
        <f>sum(E269:E273)</f>
        <v>1197</v>
      </c>
      <c r="F275" s="64">
        <f>sum(F269:F274)</f>
        <v>364.07</v>
      </c>
      <c r="G275" s="65" t="str">
        <f>average(G269:G273)</f>
        <v>#DIV/0!</v>
      </c>
      <c r="H275" s="62"/>
      <c r="I275" s="66"/>
      <c r="J275" s="64">
        <f t="shared" ref="J275:K275" si="255">sum(J269:J273)</f>
        <v>1083</v>
      </c>
      <c r="K275" s="64">
        <f t="shared" si="255"/>
        <v>364.07</v>
      </c>
      <c r="L275" s="65" t="str">
        <f>average(L269:L273)</f>
        <v>#DIV/0!</v>
      </c>
      <c r="M275" s="68"/>
      <c r="N275" s="69">
        <f>sum(N269:N274)</f>
        <v>9870062.5</v>
      </c>
    </row>
    <row r="276">
      <c r="A276" s="154"/>
      <c r="B276" s="190" t="s">
        <v>62</v>
      </c>
      <c r="C276" s="89"/>
      <c r="D276" s="13"/>
      <c r="E276" s="38">
        <f t="shared" ref="E276:E283" si="256">D276-C276</f>
        <v>0</v>
      </c>
      <c r="F276" s="39"/>
      <c r="G276" s="14" t="str">
        <f t="shared" ref="G276:G283" si="257">(F276/E276)*100</f>
        <v>#DIV/0!</v>
      </c>
      <c r="H276" s="89"/>
      <c r="I276" s="138"/>
      <c r="J276" s="41">
        <f t="shared" ref="J276:J283" si="258">I276-H276</f>
        <v>0</v>
      </c>
      <c r="K276" s="41" t="str">
        <f t="shared" ref="K276:K283" si="259">F276</f>
        <v/>
      </c>
      <c r="L276" s="152" t="str">
        <f t="shared" ref="L276:L283" si="260">(K276/J276)*100</f>
        <v>#DIV/0!</v>
      </c>
      <c r="M276" s="72"/>
      <c r="N276" s="131"/>
    </row>
    <row r="277">
      <c r="A277" s="154"/>
      <c r="B277" s="190" t="s">
        <v>62</v>
      </c>
      <c r="C277" s="89"/>
      <c r="D277" s="89"/>
      <c r="E277" s="12">
        <f t="shared" si="256"/>
        <v>0</v>
      </c>
      <c r="F277" s="157"/>
      <c r="G277" s="14" t="str">
        <f t="shared" si="257"/>
        <v>#DIV/0!</v>
      </c>
      <c r="H277" s="89"/>
      <c r="I277" s="137"/>
      <c r="J277" s="89">
        <f t="shared" si="258"/>
        <v>0</v>
      </c>
      <c r="K277" s="89" t="str">
        <f t="shared" si="259"/>
        <v/>
      </c>
      <c r="L277" s="152" t="str">
        <f t="shared" si="260"/>
        <v>#DIV/0!</v>
      </c>
      <c r="M277" s="126"/>
      <c r="N277" s="131"/>
    </row>
    <row r="278">
      <c r="A278" s="154"/>
      <c r="B278" s="190" t="s">
        <v>62</v>
      </c>
      <c r="C278" s="89"/>
      <c r="D278" s="89"/>
      <c r="E278" s="12">
        <f t="shared" si="256"/>
        <v>0</v>
      </c>
      <c r="F278" s="157"/>
      <c r="G278" s="14" t="str">
        <f t="shared" si="257"/>
        <v>#DIV/0!</v>
      </c>
      <c r="H278" s="89"/>
      <c r="I278" s="137"/>
      <c r="J278" s="89">
        <f t="shared" si="258"/>
        <v>0</v>
      </c>
      <c r="K278" s="89" t="str">
        <f t="shared" si="259"/>
        <v/>
      </c>
      <c r="L278" s="152" t="str">
        <f t="shared" si="260"/>
        <v>#DIV/0!</v>
      </c>
      <c r="M278" s="126"/>
      <c r="N278" s="131"/>
    </row>
    <row r="279">
      <c r="A279" s="154"/>
      <c r="B279" s="190" t="s">
        <v>62</v>
      </c>
      <c r="C279" s="89"/>
      <c r="D279" s="89"/>
      <c r="E279" s="12">
        <f t="shared" si="256"/>
        <v>0</v>
      </c>
      <c r="F279" s="157"/>
      <c r="G279" s="14" t="str">
        <f t="shared" si="257"/>
        <v>#DIV/0!</v>
      </c>
      <c r="H279" s="89"/>
      <c r="I279" s="137"/>
      <c r="J279" s="89">
        <f t="shared" si="258"/>
        <v>0</v>
      </c>
      <c r="K279" s="89" t="str">
        <f t="shared" si="259"/>
        <v/>
      </c>
      <c r="L279" s="152" t="str">
        <f t="shared" si="260"/>
        <v>#DIV/0!</v>
      </c>
      <c r="M279" s="126"/>
      <c r="N279" s="131"/>
    </row>
    <row r="280">
      <c r="A280" s="154"/>
      <c r="B280" s="190" t="s">
        <v>62</v>
      </c>
      <c r="C280" s="89"/>
      <c r="D280" s="89"/>
      <c r="E280" s="12">
        <f t="shared" si="256"/>
        <v>0</v>
      </c>
      <c r="F280" s="157"/>
      <c r="G280" s="14" t="str">
        <f t="shared" si="257"/>
        <v>#DIV/0!</v>
      </c>
      <c r="H280" s="89"/>
      <c r="I280" s="137"/>
      <c r="J280" s="89">
        <f t="shared" si="258"/>
        <v>0</v>
      </c>
      <c r="K280" s="89" t="str">
        <f t="shared" si="259"/>
        <v/>
      </c>
      <c r="L280" s="152" t="str">
        <f t="shared" si="260"/>
        <v>#DIV/0!</v>
      </c>
      <c r="M280" s="126"/>
      <c r="N280" s="131"/>
    </row>
    <row r="281">
      <c r="A281" s="154"/>
      <c r="B281" s="190" t="s">
        <v>62</v>
      </c>
      <c r="C281" s="89"/>
      <c r="D281" s="89"/>
      <c r="E281" s="12">
        <f t="shared" si="256"/>
        <v>0</v>
      </c>
      <c r="F281" s="157"/>
      <c r="G281" s="14" t="str">
        <f t="shared" si="257"/>
        <v>#DIV/0!</v>
      </c>
      <c r="H281" s="89"/>
      <c r="I281" s="137"/>
      <c r="J281" s="89">
        <f t="shared" si="258"/>
        <v>0</v>
      </c>
      <c r="K281" s="89" t="str">
        <f t="shared" si="259"/>
        <v/>
      </c>
      <c r="L281" s="152" t="str">
        <f t="shared" si="260"/>
        <v>#DIV/0!</v>
      </c>
      <c r="M281" s="126"/>
      <c r="N281" s="131"/>
    </row>
    <row r="282">
      <c r="A282" s="154"/>
      <c r="B282" s="190" t="s">
        <v>62</v>
      </c>
      <c r="C282" s="89"/>
      <c r="D282" s="89"/>
      <c r="E282" s="12">
        <f t="shared" si="256"/>
        <v>0</v>
      </c>
      <c r="F282" s="157"/>
      <c r="G282" s="14" t="str">
        <f t="shared" si="257"/>
        <v>#DIV/0!</v>
      </c>
      <c r="H282" s="89"/>
      <c r="I282" s="137"/>
      <c r="J282" s="89">
        <f t="shared" si="258"/>
        <v>0</v>
      </c>
      <c r="K282" s="89" t="str">
        <f t="shared" si="259"/>
        <v/>
      </c>
      <c r="L282" s="152" t="str">
        <f t="shared" si="260"/>
        <v>#DIV/0!</v>
      </c>
      <c r="M282" s="126"/>
      <c r="N282" s="131"/>
    </row>
    <row r="283">
      <c r="A283" s="154"/>
      <c r="B283" s="190" t="s">
        <v>62</v>
      </c>
      <c r="C283" s="89"/>
      <c r="D283" s="89"/>
      <c r="E283" s="12">
        <f t="shared" si="256"/>
        <v>0</v>
      </c>
      <c r="F283" s="157"/>
      <c r="G283" s="14" t="str">
        <f t="shared" si="257"/>
        <v>#DIV/0!</v>
      </c>
      <c r="H283" s="89"/>
      <c r="I283" s="137"/>
      <c r="J283" s="89">
        <f t="shared" si="258"/>
        <v>0</v>
      </c>
      <c r="K283" s="89" t="str">
        <f t="shared" si="259"/>
        <v/>
      </c>
      <c r="L283" s="152" t="str">
        <f t="shared" si="260"/>
        <v>#DIV/0!</v>
      </c>
      <c r="M283" s="126"/>
      <c r="N283" s="131"/>
    </row>
    <row r="284">
      <c r="A284" s="62"/>
      <c r="B284" s="63"/>
      <c r="C284" s="62"/>
      <c r="D284" s="64"/>
      <c r="E284" s="64">
        <f t="shared" ref="E284:F284" si="261">sum(E276:E280)</f>
        <v>0</v>
      </c>
      <c r="F284" s="64">
        <f t="shared" si="261"/>
        <v>0</v>
      </c>
      <c r="G284" s="65" t="str">
        <f>average(G276:G280)</f>
        <v>#DIV/0!</v>
      </c>
      <c r="H284" s="62"/>
      <c r="I284" s="66"/>
      <c r="J284" s="64">
        <f t="shared" ref="J284:K284" si="262">sum(J276:J280)</f>
        <v>0</v>
      </c>
      <c r="K284" s="64">
        <f t="shared" si="262"/>
        <v>0</v>
      </c>
      <c r="L284" s="65" t="str">
        <f>average(L276:L280)</f>
        <v>#DIV/0!</v>
      </c>
      <c r="M284" s="68"/>
      <c r="N284" s="69">
        <f>sum(N276:N283)</f>
        <v>0</v>
      </c>
    </row>
    <row r="285">
      <c r="A285" s="70"/>
      <c r="B285" s="156" t="s">
        <v>54</v>
      </c>
      <c r="C285" s="89"/>
      <c r="D285" s="13"/>
      <c r="E285" s="38">
        <f t="shared" ref="E285:E290" si="263">D285-C285</f>
        <v>0</v>
      </c>
      <c r="F285" s="39"/>
      <c r="G285" s="14" t="str">
        <f t="shared" ref="G285:G290" si="264">(F285/E285)*100</f>
        <v>#DIV/0!</v>
      </c>
      <c r="H285" s="89"/>
      <c r="I285" s="138"/>
      <c r="J285" s="41">
        <f t="shared" ref="J285:J292" si="265">I285-H285</f>
        <v>0</v>
      </c>
      <c r="K285" s="41"/>
      <c r="L285" s="152" t="str">
        <f t="shared" ref="L285:L292" si="266">(K285/J285)*100</f>
        <v>#DIV/0!</v>
      </c>
      <c r="M285" s="72"/>
      <c r="N285" s="49"/>
    </row>
    <row r="286">
      <c r="A286" s="35"/>
      <c r="B286" s="156" t="s">
        <v>54</v>
      </c>
      <c r="C286" s="89"/>
      <c r="D286" s="89"/>
      <c r="E286" s="12">
        <f t="shared" si="263"/>
        <v>0</v>
      </c>
      <c r="F286" s="157"/>
      <c r="G286" s="14" t="str">
        <f t="shared" si="264"/>
        <v>#DIV/0!</v>
      </c>
      <c r="H286" s="89"/>
      <c r="I286" s="137"/>
      <c r="J286" s="89">
        <f t="shared" si="265"/>
        <v>0</v>
      </c>
      <c r="K286" s="89" t="str">
        <f t="shared" ref="K286:K292" si="267">F286</f>
        <v/>
      </c>
      <c r="L286" s="152" t="str">
        <f t="shared" si="266"/>
        <v>#DIV/0!</v>
      </c>
      <c r="M286" s="126"/>
      <c r="N286" s="49"/>
    </row>
    <row r="287">
      <c r="A287" s="35"/>
      <c r="B287" s="156" t="s">
        <v>54</v>
      </c>
      <c r="C287" s="89"/>
      <c r="D287" s="89"/>
      <c r="E287" s="12">
        <f t="shared" si="263"/>
        <v>0</v>
      </c>
      <c r="F287" s="157"/>
      <c r="G287" s="14" t="str">
        <f t="shared" si="264"/>
        <v>#DIV/0!</v>
      </c>
      <c r="H287" s="89"/>
      <c r="I287" s="137"/>
      <c r="J287" s="89">
        <f t="shared" si="265"/>
        <v>0</v>
      </c>
      <c r="K287" s="89" t="str">
        <f t="shared" si="267"/>
        <v/>
      </c>
      <c r="L287" s="152" t="str">
        <f t="shared" si="266"/>
        <v>#DIV/0!</v>
      </c>
      <c r="M287" s="126"/>
      <c r="N287" s="49"/>
    </row>
    <row r="288">
      <c r="A288" s="35"/>
      <c r="B288" s="156" t="s">
        <v>54</v>
      </c>
      <c r="C288" s="89"/>
      <c r="D288" s="89"/>
      <c r="E288" s="12">
        <f t="shared" si="263"/>
        <v>0</v>
      </c>
      <c r="F288" s="157"/>
      <c r="G288" s="14" t="str">
        <f t="shared" si="264"/>
        <v>#DIV/0!</v>
      </c>
      <c r="H288" s="89"/>
      <c r="I288" s="137"/>
      <c r="J288" s="89">
        <f t="shared" si="265"/>
        <v>0</v>
      </c>
      <c r="K288" s="89" t="str">
        <f t="shared" si="267"/>
        <v/>
      </c>
      <c r="L288" s="152" t="str">
        <f t="shared" si="266"/>
        <v>#DIV/0!</v>
      </c>
      <c r="M288" s="126"/>
      <c r="N288" s="49"/>
    </row>
    <row r="289">
      <c r="A289" s="35"/>
      <c r="B289" s="156" t="s">
        <v>54</v>
      </c>
      <c r="C289" s="89"/>
      <c r="D289" s="89"/>
      <c r="E289" s="12">
        <f t="shared" si="263"/>
        <v>0</v>
      </c>
      <c r="F289" s="157"/>
      <c r="G289" s="14" t="str">
        <f t="shared" si="264"/>
        <v>#DIV/0!</v>
      </c>
      <c r="H289" s="89"/>
      <c r="I289" s="137"/>
      <c r="J289" s="89">
        <f t="shared" si="265"/>
        <v>0</v>
      </c>
      <c r="K289" s="89" t="str">
        <f t="shared" si="267"/>
        <v/>
      </c>
      <c r="L289" s="152" t="str">
        <f t="shared" si="266"/>
        <v>#DIV/0!</v>
      </c>
      <c r="M289" s="126"/>
      <c r="N289" s="49"/>
    </row>
    <row r="290">
      <c r="A290" s="35"/>
      <c r="B290" s="156" t="s">
        <v>54</v>
      </c>
      <c r="C290" s="89"/>
      <c r="D290" s="89"/>
      <c r="E290" s="12">
        <f t="shared" si="263"/>
        <v>0</v>
      </c>
      <c r="F290" s="157"/>
      <c r="G290" s="14" t="str">
        <f t="shared" si="264"/>
        <v>#DIV/0!</v>
      </c>
      <c r="H290" s="89"/>
      <c r="I290" s="137"/>
      <c r="J290" s="89">
        <f t="shared" si="265"/>
        <v>0</v>
      </c>
      <c r="K290" s="89" t="str">
        <f t="shared" si="267"/>
        <v/>
      </c>
      <c r="L290" s="152" t="str">
        <f t="shared" si="266"/>
        <v>#DIV/0!</v>
      </c>
      <c r="M290" s="126"/>
      <c r="N290" s="49"/>
    </row>
    <row r="291">
      <c r="A291" s="35"/>
      <c r="B291" s="156" t="s">
        <v>54</v>
      </c>
      <c r="C291" s="89"/>
      <c r="D291" s="89"/>
      <c r="E291" s="12"/>
      <c r="F291" s="157"/>
      <c r="G291" s="14"/>
      <c r="H291" s="89"/>
      <c r="I291" s="137"/>
      <c r="J291" s="89">
        <f t="shared" si="265"/>
        <v>0</v>
      </c>
      <c r="K291" s="89" t="str">
        <f t="shared" si="267"/>
        <v/>
      </c>
      <c r="L291" s="152" t="str">
        <f t="shared" si="266"/>
        <v>#DIV/0!</v>
      </c>
      <c r="M291" s="126"/>
      <c r="N291" s="49"/>
    </row>
    <row r="292">
      <c r="A292" s="35"/>
      <c r="B292" s="156" t="s">
        <v>54</v>
      </c>
      <c r="C292" s="89"/>
      <c r="D292" s="89"/>
      <c r="E292" s="12">
        <f>D292-C292</f>
        <v>0</v>
      </c>
      <c r="F292" s="157"/>
      <c r="G292" s="14" t="str">
        <f>(F292/E292)*100</f>
        <v>#DIV/0!</v>
      </c>
      <c r="H292" s="89"/>
      <c r="I292" s="137"/>
      <c r="J292" s="89">
        <f t="shared" si="265"/>
        <v>0</v>
      </c>
      <c r="K292" s="89" t="str">
        <f t="shared" si="267"/>
        <v/>
      </c>
      <c r="L292" s="152" t="str">
        <f t="shared" si="266"/>
        <v>#DIV/0!</v>
      </c>
      <c r="M292" s="126"/>
      <c r="N292" s="49">
        <f>M292*F292</f>
        <v>0</v>
      </c>
    </row>
    <row r="293">
      <c r="A293" s="70"/>
      <c r="B293" s="63"/>
      <c r="C293" s="62"/>
      <c r="D293" s="64" t="s">
        <v>19</v>
      </c>
      <c r="E293" s="64">
        <f t="shared" ref="E293:F293" si="268">sum(E285:E292)</f>
        <v>0</v>
      </c>
      <c r="F293" s="64">
        <f t="shared" si="268"/>
        <v>0</v>
      </c>
      <c r="G293" s="65" t="str">
        <f>average(G285:G292)</f>
        <v>#DIV/0!</v>
      </c>
      <c r="H293" s="62"/>
      <c r="I293" s="66"/>
      <c r="J293" s="64">
        <f t="shared" ref="J293:K293" si="269">sum(J285:J292)</f>
        <v>0</v>
      </c>
      <c r="K293" s="64">
        <f t="shared" si="269"/>
        <v>0</v>
      </c>
      <c r="L293" s="65" t="str">
        <f>average(L285:L292)</f>
        <v>#DIV/0!</v>
      </c>
      <c r="M293" s="68"/>
      <c r="N293" s="69">
        <f>sum(N285:N292)</f>
        <v>0</v>
      </c>
    </row>
    <row r="294">
      <c r="A294" s="70"/>
      <c r="B294" s="156" t="s">
        <v>69</v>
      </c>
      <c r="C294" s="89"/>
      <c r="D294" s="13"/>
      <c r="E294" s="38">
        <f t="shared" ref="E294:E301" si="270">D294-C294</f>
        <v>0</v>
      </c>
      <c r="F294" s="39"/>
      <c r="G294" s="14" t="str">
        <f t="shared" ref="G294:G301" si="271">(F294/E294)*100</f>
        <v>#DIV/0!</v>
      </c>
      <c r="H294" s="89"/>
      <c r="I294" s="138"/>
      <c r="J294" s="41">
        <f t="shared" ref="J294:J301" si="272">I294-H294</f>
        <v>0</v>
      </c>
      <c r="K294" s="41" t="str">
        <f t="shared" ref="K294:K296" si="273">F294</f>
        <v/>
      </c>
      <c r="L294" s="71" t="str">
        <f t="shared" ref="L294:L301" si="274">(K294/J294)*100</f>
        <v>#DIV/0!</v>
      </c>
      <c r="M294" s="72"/>
      <c r="N294" s="49"/>
    </row>
    <row r="295">
      <c r="A295" s="35"/>
      <c r="B295" s="156" t="s">
        <v>69</v>
      </c>
      <c r="C295" s="89"/>
      <c r="D295" s="89"/>
      <c r="E295" s="12">
        <f t="shared" si="270"/>
        <v>0</v>
      </c>
      <c r="F295" s="157"/>
      <c r="G295" s="14" t="str">
        <f t="shared" si="271"/>
        <v>#DIV/0!</v>
      </c>
      <c r="H295" s="89"/>
      <c r="I295" s="137"/>
      <c r="J295" s="37">
        <f t="shared" si="272"/>
        <v>0</v>
      </c>
      <c r="K295" s="37" t="str">
        <f t="shared" si="273"/>
        <v/>
      </c>
      <c r="L295" s="48" t="str">
        <f t="shared" si="274"/>
        <v>#DIV/0!</v>
      </c>
      <c r="M295" s="126"/>
      <c r="N295" s="49"/>
    </row>
    <row r="296">
      <c r="A296" s="35"/>
      <c r="B296" s="156" t="s">
        <v>69</v>
      </c>
      <c r="C296" s="89"/>
      <c r="D296" s="13"/>
      <c r="E296" s="38">
        <f t="shared" si="270"/>
        <v>0</v>
      </c>
      <c r="F296" s="39"/>
      <c r="G296" s="14" t="str">
        <f t="shared" si="271"/>
        <v>#DIV/0!</v>
      </c>
      <c r="H296" s="89"/>
      <c r="I296" s="138"/>
      <c r="J296" s="41">
        <f t="shared" si="272"/>
        <v>0</v>
      </c>
      <c r="K296" s="41" t="str">
        <f t="shared" si="273"/>
        <v/>
      </c>
      <c r="L296" s="71" t="str">
        <f t="shared" si="274"/>
        <v>#DIV/0!</v>
      </c>
      <c r="M296" s="72"/>
      <c r="N296" s="49"/>
    </row>
    <row r="297">
      <c r="A297" s="35"/>
      <c r="B297" s="156" t="s">
        <v>69</v>
      </c>
      <c r="C297" s="89"/>
      <c r="D297" s="89"/>
      <c r="E297" s="12">
        <f t="shared" si="270"/>
        <v>0</v>
      </c>
      <c r="F297" s="157"/>
      <c r="G297" s="14" t="str">
        <f t="shared" si="271"/>
        <v>#DIV/0!</v>
      </c>
      <c r="H297" s="89"/>
      <c r="I297" s="137"/>
      <c r="J297" s="37">
        <f t="shared" si="272"/>
        <v>0</v>
      </c>
      <c r="K297" s="37"/>
      <c r="L297" s="48" t="str">
        <f t="shared" si="274"/>
        <v>#DIV/0!</v>
      </c>
      <c r="M297" s="126"/>
      <c r="N297" s="49"/>
    </row>
    <row r="298" ht="18.75" customHeight="1">
      <c r="A298" s="35"/>
      <c r="B298" s="156" t="s">
        <v>69</v>
      </c>
      <c r="C298" s="89"/>
      <c r="D298" s="89"/>
      <c r="E298" s="12">
        <f t="shared" si="270"/>
        <v>0</v>
      </c>
      <c r="F298" s="157"/>
      <c r="G298" s="14" t="str">
        <f t="shared" si="271"/>
        <v>#DIV/0!</v>
      </c>
      <c r="H298" s="89"/>
      <c r="I298" s="137"/>
      <c r="J298" s="37">
        <f t="shared" si="272"/>
        <v>0</v>
      </c>
      <c r="K298" s="37" t="str">
        <f t="shared" ref="K298:K301" si="275">F298</f>
        <v/>
      </c>
      <c r="L298" s="77" t="str">
        <f t="shared" si="274"/>
        <v>#DIV/0!</v>
      </c>
      <c r="M298" s="126"/>
      <c r="N298" s="49"/>
    </row>
    <row r="299">
      <c r="A299" s="35"/>
      <c r="B299" s="156" t="s">
        <v>69</v>
      </c>
      <c r="C299" s="89"/>
      <c r="D299" s="89"/>
      <c r="E299" s="12">
        <f t="shared" si="270"/>
        <v>0</v>
      </c>
      <c r="F299" s="157"/>
      <c r="G299" s="14" t="str">
        <f t="shared" si="271"/>
        <v>#DIV/0!</v>
      </c>
      <c r="H299" s="89"/>
      <c r="I299" s="137"/>
      <c r="J299" s="89">
        <f t="shared" si="272"/>
        <v>0</v>
      </c>
      <c r="K299" s="89" t="str">
        <f t="shared" si="275"/>
        <v/>
      </c>
      <c r="L299" s="152" t="str">
        <f t="shared" si="274"/>
        <v>#DIV/0!</v>
      </c>
      <c r="M299" s="126"/>
      <c r="N299" s="49"/>
    </row>
    <row r="300">
      <c r="A300" s="35"/>
      <c r="B300" s="156" t="s">
        <v>69</v>
      </c>
      <c r="C300" s="89"/>
      <c r="D300" s="89"/>
      <c r="E300" s="12">
        <f t="shared" si="270"/>
        <v>0</v>
      </c>
      <c r="F300" s="157"/>
      <c r="G300" s="14" t="str">
        <f t="shared" si="271"/>
        <v>#DIV/0!</v>
      </c>
      <c r="H300" s="89"/>
      <c r="I300" s="137"/>
      <c r="J300" s="89">
        <f t="shared" si="272"/>
        <v>0</v>
      </c>
      <c r="K300" s="89" t="str">
        <f t="shared" si="275"/>
        <v/>
      </c>
      <c r="L300" s="152" t="str">
        <f t="shared" si="274"/>
        <v>#DIV/0!</v>
      </c>
      <c r="M300" s="126"/>
      <c r="N300" s="49"/>
    </row>
    <row r="301">
      <c r="A301" s="35"/>
      <c r="B301" s="156" t="s">
        <v>69</v>
      </c>
      <c r="C301" s="89"/>
      <c r="D301" s="89"/>
      <c r="E301" s="12">
        <f t="shared" si="270"/>
        <v>0</v>
      </c>
      <c r="F301" s="157"/>
      <c r="G301" s="14" t="str">
        <f t="shared" si="271"/>
        <v>#DIV/0!</v>
      </c>
      <c r="H301" s="89"/>
      <c r="I301" s="137"/>
      <c r="J301" s="89">
        <f t="shared" si="272"/>
        <v>0</v>
      </c>
      <c r="K301" s="89" t="str">
        <f t="shared" si="275"/>
        <v/>
      </c>
      <c r="L301" s="152" t="str">
        <f t="shared" si="274"/>
        <v>#DIV/0!</v>
      </c>
      <c r="M301" s="126"/>
      <c r="N301" s="49"/>
    </row>
    <row r="302">
      <c r="A302" s="70"/>
      <c r="B302" s="63"/>
      <c r="C302" s="62"/>
      <c r="D302" s="64" t="s">
        <v>19</v>
      </c>
      <c r="E302" s="64">
        <f t="shared" ref="E302:F302" si="276">sum(E294:E299)</f>
        <v>0</v>
      </c>
      <c r="F302" s="64">
        <f t="shared" si="276"/>
        <v>0</v>
      </c>
      <c r="G302" s="65" t="str">
        <f>average(G294:G299)</f>
        <v>#DIV/0!</v>
      </c>
      <c r="H302" s="62"/>
      <c r="I302" s="66"/>
      <c r="J302" s="64">
        <f t="shared" ref="J302:K302" si="277">sum(J294:J299)</f>
        <v>0</v>
      </c>
      <c r="K302" s="64">
        <f t="shared" si="277"/>
        <v>0</v>
      </c>
      <c r="L302" s="65" t="str">
        <f>average(L294:L299)</f>
        <v>#DIV/0!</v>
      </c>
      <c r="M302" s="68"/>
      <c r="N302" s="69">
        <f>sum(N294:N301)</f>
        <v>0</v>
      </c>
    </row>
    <row r="303">
      <c r="A303" s="70">
        <v>46185.0</v>
      </c>
      <c r="B303" s="192" t="s">
        <v>63</v>
      </c>
      <c r="C303" s="89"/>
      <c r="D303" s="89">
        <v>159996.0</v>
      </c>
      <c r="E303" s="38">
        <f t="shared" ref="E303:E308" si="278">D303-C303</f>
        <v>159996</v>
      </c>
      <c r="F303" s="39">
        <v>293.77</v>
      </c>
      <c r="G303" s="14">
        <f t="shared" ref="G303:G308" si="279">(F303/E303)*100</f>
        <v>0.1836108403</v>
      </c>
      <c r="H303" s="89">
        <v>158040.0</v>
      </c>
      <c r="I303" s="89">
        <v>159750.0</v>
      </c>
      <c r="J303" s="41">
        <f t="shared" ref="J303:J308" si="280">I303-H303</f>
        <v>1710</v>
      </c>
      <c r="K303" s="41">
        <f t="shared" ref="K303:K308" si="281">F303</f>
        <v>293.77</v>
      </c>
      <c r="L303" s="152">
        <f t="shared" ref="L303:L308" si="282">(K303/J303)*100</f>
        <v>17.17953216</v>
      </c>
      <c r="M303" s="72">
        <v>25870.0</v>
      </c>
      <c r="N303" s="49">
        <f t="shared" ref="N303:N308" si="283">M303*F303</f>
        <v>7599829.9</v>
      </c>
    </row>
    <row r="304">
      <c r="A304" s="70"/>
      <c r="B304" s="192" t="s">
        <v>63</v>
      </c>
      <c r="C304" s="89"/>
      <c r="D304" s="13"/>
      <c r="E304" s="12">
        <f t="shared" si="278"/>
        <v>0</v>
      </c>
      <c r="F304" s="157"/>
      <c r="G304" s="14" t="str">
        <f t="shared" si="279"/>
        <v>#DIV/0!</v>
      </c>
      <c r="H304" s="89"/>
      <c r="I304" s="89"/>
      <c r="J304" s="41">
        <f t="shared" si="280"/>
        <v>0</v>
      </c>
      <c r="K304" s="37" t="str">
        <f t="shared" si="281"/>
        <v/>
      </c>
      <c r="L304" s="152" t="str">
        <f t="shared" si="282"/>
        <v>#DIV/0!</v>
      </c>
      <c r="M304" s="72"/>
      <c r="N304" s="49">
        <f t="shared" si="283"/>
        <v>0</v>
      </c>
    </row>
    <row r="305">
      <c r="A305" s="35"/>
      <c r="B305" s="192" t="s">
        <v>63</v>
      </c>
      <c r="C305" s="13"/>
      <c r="D305" s="89"/>
      <c r="E305" s="12">
        <f t="shared" si="278"/>
        <v>0</v>
      </c>
      <c r="F305" s="157"/>
      <c r="G305" s="14" t="str">
        <f t="shared" si="279"/>
        <v>#DIV/0!</v>
      </c>
      <c r="H305" s="89"/>
      <c r="I305" s="89"/>
      <c r="J305" s="89">
        <f t="shared" si="280"/>
        <v>0</v>
      </c>
      <c r="K305" s="37" t="str">
        <f t="shared" si="281"/>
        <v/>
      </c>
      <c r="L305" s="152" t="str">
        <f t="shared" si="282"/>
        <v>#DIV/0!</v>
      </c>
      <c r="M305" s="126"/>
      <c r="N305" s="49">
        <f t="shared" si="283"/>
        <v>0</v>
      </c>
    </row>
    <row r="306">
      <c r="A306" s="35"/>
      <c r="B306" s="192" t="s">
        <v>63</v>
      </c>
      <c r="C306" s="89"/>
      <c r="D306" s="89"/>
      <c r="E306" s="12">
        <f t="shared" si="278"/>
        <v>0</v>
      </c>
      <c r="F306" s="157"/>
      <c r="G306" s="14" t="str">
        <f t="shared" si="279"/>
        <v>#DIV/0!</v>
      </c>
      <c r="H306" s="89"/>
      <c r="I306" s="89"/>
      <c r="J306" s="89">
        <f t="shared" si="280"/>
        <v>0</v>
      </c>
      <c r="K306" s="37" t="str">
        <f t="shared" si="281"/>
        <v/>
      </c>
      <c r="L306" s="152" t="str">
        <f t="shared" si="282"/>
        <v>#DIV/0!</v>
      </c>
      <c r="M306" s="126"/>
      <c r="N306" s="49">
        <f t="shared" si="283"/>
        <v>0</v>
      </c>
    </row>
    <row r="307">
      <c r="A307" s="35"/>
      <c r="B307" s="192" t="s">
        <v>63</v>
      </c>
      <c r="C307" s="37"/>
      <c r="D307" s="89"/>
      <c r="E307" s="12">
        <f t="shared" si="278"/>
        <v>0</v>
      </c>
      <c r="F307" s="157"/>
      <c r="G307" s="14" t="str">
        <f t="shared" si="279"/>
        <v>#DIV/0!</v>
      </c>
      <c r="H307" s="89"/>
      <c r="I307" s="137"/>
      <c r="J307" s="89">
        <f t="shared" si="280"/>
        <v>0</v>
      </c>
      <c r="K307" s="37" t="str">
        <f t="shared" si="281"/>
        <v/>
      </c>
      <c r="L307" s="152" t="str">
        <f t="shared" si="282"/>
        <v>#DIV/0!</v>
      </c>
      <c r="M307" s="126"/>
      <c r="N307" s="49">
        <f t="shared" si="283"/>
        <v>0</v>
      </c>
    </row>
    <row r="308">
      <c r="A308" s="154"/>
      <c r="B308" s="192" t="s">
        <v>63</v>
      </c>
      <c r="C308" s="89"/>
      <c r="D308" s="89"/>
      <c r="E308" s="12">
        <f t="shared" si="278"/>
        <v>0</v>
      </c>
      <c r="F308" s="157"/>
      <c r="G308" s="14" t="str">
        <f t="shared" si="279"/>
        <v>#DIV/0!</v>
      </c>
      <c r="H308" s="89"/>
      <c r="I308" s="137"/>
      <c r="J308" s="89">
        <f t="shared" si="280"/>
        <v>0</v>
      </c>
      <c r="K308" s="37" t="str">
        <f t="shared" si="281"/>
        <v/>
      </c>
      <c r="L308" s="152" t="str">
        <f t="shared" si="282"/>
        <v>#DIV/0!</v>
      </c>
      <c r="M308" s="126"/>
      <c r="N308" s="49">
        <f t="shared" si="283"/>
        <v>0</v>
      </c>
    </row>
    <row r="309">
      <c r="A309" s="62"/>
      <c r="B309" s="63"/>
      <c r="C309" s="62"/>
      <c r="D309" s="64" t="s">
        <v>19</v>
      </c>
      <c r="E309" s="64">
        <f t="shared" ref="E309:F309" si="284">sum(E303:E308)</f>
        <v>159996</v>
      </c>
      <c r="F309" s="64">
        <f t="shared" si="284"/>
        <v>293.77</v>
      </c>
      <c r="G309" s="65" t="str">
        <f>average(G303:G308)</f>
        <v>#DIV/0!</v>
      </c>
      <c r="H309" s="62"/>
      <c r="I309" s="66"/>
      <c r="J309" s="64">
        <f t="shared" ref="J309:K309" si="285">sum(J303:J308)</f>
        <v>1710</v>
      </c>
      <c r="K309" s="64">
        <f t="shared" si="285"/>
        <v>293.77</v>
      </c>
      <c r="L309" s="65" t="str">
        <f>average(L303:L308)</f>
        <v>#DIV/0!</v>
      </c>
      <c r="M309" s="68"/>
      <c r="N309" s="69">
        <f>sum(N303:N308)</f>
        <v>7599829.9</v>
      </c>
    </row>
    <row r="310">
      <c r="A310" s="70">
        <v>46179.0</v>
      </c>
      <c r="B310" s="192" t="s">
        <v>57</v>
      </c>
      <c r="C310" s="89">
        <v>14630.0</v>
      </c>
      <c r="D310" s="89">
        <v>15216.0</v>
      </c>
      <c r="E310" s="12">
        <f t="shared" ref="E310:E317" si="286">D310-C310</f>
        <v>586</v>
      </c>
      <c r="F310" s="39">
        <v>186.15</v>
      </c>
      <c r="G310" s="14">
        <f t="shared" ref="G310:G317" si="287">(F310/E310)*100</f>
        <v>31.7662116</v>
      </c>
      <c r="H310" s="137">
        <v>7.0</v>
      </c>
      <c r="I310" s="137">
        <v>600.0</v>
      </c>
      <c r="J310" s="41">
        <f t="shared" ref="J310:J317" si="288">I310-H310</f>
        <v>593</v>
      </c>
      <c r="K310" s="39">
        <v>186.15</v>
      </c>
      <c r="L310" s="152">
        <f t="shared" ref="L310:L317" si="289">(K310/J310)*100</f>
        <v>31.39123103</v>
      </c>
      <c r="M310" s="72">
        <v>26860.0</v>
      </c>
      <c r="N310" s="49">
        <f t="shared" ref="N310:N317" si="290">M310*F310</f>
        <v>4999989</v>
      </c>
    </row>
    <row r="311">
      <c r="A311" s="70">
        <v>46188.0</v>
      </c>
      <c r="B311" s="192" t="s">
        <v>57</v>
      </c>
      <c r="C311" s="89">
        <v>15216.0</v>
      </c>
      <c r="D311" s="13">
        <v>15754.0</v>
      </c>
      <c r="E311" s="12">
        <f t="shared" si="286"/>
        <v>538</v>
      </c>
      <c r="F311" s="157">
        <v>162.35</v>
      </c>
      <c r="G311" s="14">
        <f t="shared" si="287"/>
        <v>30.17657993</v>
      </c>
      <c r="H311" s="137">
        <v>600.0</v>
      </c>
      <c r="I311" s="137">
        <v>1193.0</v>
      </c>
      <c r="J311" s="89">
        <f t="shared" si="288"/>
        <v>593</v>
      </c>
      <c r="K311" s="41"/>
      <c r="L311" s="152">
        <f t="shared" si="289"/>
        <v>0</v>
      </c>
      <c r="M311" s="72">
        <v>25870.0</v>
      </c>
      <c r="N311" s="49">
        <f t="shared" si="290"/>
        <v>4199994.5</v>
      </c>
    </row>
    <row r="312">
      <c r="A312" s="35"/>
      <c r="B312" s="192" t="s">
        <v>57</v>
      </c>
      <c r="C312" s="13"/>
      <c r="D312" s="89"/>
      <c r="E312" s="12">
        <f t="shared" si="286"/>
        <v>0</v>
      </c>
      <c r="F312" s="157"/>
      <c r="G312" s="14" t="str">
        <f t="shared" si="287"/>
        <v>#DIV/0!</v>
      </c>
      <c r="H312" s="137"/>
      <c r="I312" s="137"/>
      <c r="J312" s="89">
        <f t="shared" si="288"/>
        <v>0</v>
      </c>
      <c r="K312" s="37"/>
      <c r="L312" s="152" t="str">
        <f t="shared" si="289"/>
        <v>#DIV/0!</v>
      </c>
      <c r="M312" s="72"/>
      <c r="N312" s="49">
        <f t="shared" si="290"/>
        <v>0</v>
      </c>
    </row>
    <row r="313">
      <c r="A313" s="35"/>
      <c r="B313" s="192" t="s">
        <v>57</v>
      </c>
      <c r="C313" s="89"/>
      <c r="D313" s="89"/>
      <c r="E313" s="12">
        <f t="shared" si="286"/>
        <v>0</v>
      </c>
      <c r="F313" s="157"/>
      <c r="G313" s="14" t="str">
        <f t="shared" si="287"/>
        <v>#DIV/0!</v>
      </c>
      <c r="H313" s="137"/>
      <c r="I313" s="137"/>
      <c r="J313" s="89">
        <f t="shared" si="288"/>
        <v>0</v>
      </c>
      <c r="K313" s="37"/>
      <c r="L313" s="152" t="str">
        <f t="shared" si="289"/>
        <v>#DIV/0!</v>
      </c>
      <c r="M313" s="126"/>
      <c r="N313" s="49">
        <f t="shared" si="290"/>
        <v>0</v>
      </c>
    </row>
    <row r="314">
      <c r="A314" s="35"/>
      <c r="B314" s="192" t="s">
        <v>57</v>
      </c>
      <c r="C314" s="89"/>
      <c r="D314" s="89"/>
      <c r="E314" s="12">
        <f t="shared" si="286"/>
        <v>0</v>
      </c>
      <c r="F314" s="157"/>
      <c r="G314" s="14" t="str">
        <f t="shared" si="287"/>
        <v>#DIV/0!</v>
      </c>
      <c r="H314" s="137"/>
      <c r="I314" s="137"/>
      <c r="J314" s="89">
        <f t="shared" si="288"/>
        <v>0</v>
      </c>
      <c r="K314" s="37"/>
      <c r="L314" s="152" t="str">
        <f t="shared" si="289"/>
        <v>#DIV/0!</v>
      </c>
      <c r="M314" s="126"/>
      <c r="N314" s="49">
        <f t="shared" si="290"/>
        <v>0</v>
      </c>
    </row>
    <row r="315">
      <c r="A315" s="154"/>
      <c r="B315" s="192" t="s">
        <v>57</v>
      </c>
      <c r="C315" s="89"/>
      <c r="D315" s="89"/>
      <c r="E315" s="12">
        <f t="shared" si="286"/>
        <v>0</v>
      </c>
      <c r="F315" s="157"/>
      <c r="G315" s="14" t="str">
        <f t="shared" si="287"/>
        <v>#DIV/0!</v>
      </c>
      <c r="H315" s="137"/>
      <c r="I315" s="137"/>
      <c r="J315" s="89">
        <f t="shared" si="288"/>
        <v>0</v>
      </c>
      <c r="K315" s="37" t="str">
        <f t="shared" ref="K315:K317" si="291">F315</f>
        <v/>
      </c>
      <c r="L315" s="152" t="str">
        <f t="shared" si="289"/>
        <v>#DIV/0!</v>
      </c>
      <c r="M315" s="126"/>
      <c r="N315" s="49">
        <f t="shared" si="290"/>
        <v>0</v>
      </c>
    </row>
    <row r="316">
      <c r="A316" s="154"/>
      <c r="B316" s="192" t="s">
        <v>57</v>
      </c>
      <c r="C316" s="89"/>
      <c r="D316" s="89"/>
      <c r="E316" s="12">
        <f t="shared" si="286"/>
        <v>0</v>
      </c>
      <c r="F316" s="157"/>
      <c r="G316" s="14" t="str">
        <f t="shared" si="287"/>
        <v>#DIV/0!</v>
      </c>
      <c r="H316" s="137"/>
      <c r="I316" s="137"/>
      <c r="J316" s="89">
        <f t="shared" si="288"/>
        <v>0</v>
      </c>
      <c r="K316" s="37" t="str">
        <f t="shared" si="291"/>
        <v/>
      </c>
      <c r="L316" s="152" t="str">
        <f t="shared" si="289"/>
        <v>#DIV/0!</v>
      </c>
      <c r="M316" s="126"/>
      <c r="N316" s="49">
        <f t="shared" si="290"/>
        <v>0</v>
      </c>
    </row>
    <row r="317">
      <c r="A317" s="154"/>
      <c r="B317" s="192" t="s">
        <v>57</v>
      </c>
      <c r="C317" s="89"/>
      <c r="D317" s="89"/>
      <c r="E317" s="12">
        <f t="shared" si="286"/>
        <v>0</v>
      </c>
      <c r="F317" s="157"/>
      <c r="G317" s="14" t="str">
        <f t="shared" si="287"/>
        <v>#DIV/0!</v>
      </c>
      <c r="H317" s="137"/>
      <c r="I317" s="137"/>
      <c r="J317" s="89">
        <f t="shared" si="288"/>
        <v>0</v>
      </c>
      <c r="K317" s="37" t="str">
        <f t="shared" si="291"/>
        <v/>
      </c>
      <c r="L317" s="152" t="str">
        <f t="shared" si="289"/>
        <v>#DIV/0!</v>
      </c>
      <c r="M317" s="126"/>
      <c r="N317" s="49">
        <f t="shared" si="290"/>
        <v>0</v>
      </c>
    </row>
    <row r="318">
      <c r="A318" s="62"/>
      <c r="B318" s="63"/>
      <c r="C318" s="62"/>
      <c r="D318" s="64" t="s">
        <v>19</v>
      </c>
      <c r="E318" s="64">
        <f>sum(E310:E315)</f>
        <v>1124</v>
      </c>
      <c r="F318" s="64">
        <f>sum(F310:F317)</f>
        <v>348.5</v>
      </c>
      <c r="G318" s="65" t="str">
        <f>average(G310:G315)</f>
        <v>#DIV/0!</v>
      </c>
      <c r="H318" s="62"/>
      <c r="I318" s="66"/>
      <c r="J318" s="64">
        <f t="shared" ref="J318:K318" si="292">sum(J310:J315)</f>
        <v>1186</v>
      </c>
      <c r="K318" s="64">
        <f t="shared" si="292"/>
        <v>186.15</v>
      </c>
      <c r="L318" s="65" t="str">
        <f>average(L310:L315)</f>
        <v>#DIV/0!</v>
      </c>
      <c r="M318" s="68"/>
      <c r="N318" s="69">
        <f>sum(N310:N317)</f>
        <v>9199983.5</v>
      </c>
    </row>
    <row r="319">
      <c r="A319" s="70">
        <v>46183.0</v>
      </c>
      <c r="B319" s="192" t="s">
        <v>58</v>
      </c>
      <c r="C319" s="89">
        <v>14375.0</v>
      </c>
      <c r="D319" s="89">
        <v>14920.0</v>
      </c>
      <c r="E319" s="12">
        <f t="shared" ref="E319:E327" si="293">D319-C319</f>
        <v>545</v>
      </c>
      <c r="F319" s="39">
        <v>178.7</v>
      </c>
      <c r="G319" s="14">
        <f t="shared" ref="G319:G327" si="294">(F319/E319)*100</f>
        <v>32.78899083</v>
      </c>
      <c r="H319" s="137">
        <v>14128.0</v>
      </c>
      <c r="I319" s="137">
        <v>14746.0</v>
      </c>
      <c r="J319" s="89">
        <f t="shared" ref="J319:J327" si="295">I319-H319</f>
        <v>618</v>
      </c>
      <c r="K319" s="41">
        <f t="shared" ref="K319:K327" si="296">F319</f>
        <v>178.7</v>
      </c>
      <c r="L319" s="152">
        <f t="shared" ref="L319:L327" si="297">(K319/J319)*100</f>
        <v>28.91585761</v>
      </c>
      <c r="M319" s="72">
        <v>26860.0</v>
      </c>
      <c r="N319" s="49">
        <f t="shared" ref="N319:N327" si="298">M319*F319</f>
        <v>4799882</v>
      </c>
    </row>
    <row r="320">
      <c r="A320" s="35">
        <v>46190.0</v>
      </c>
      <c r="B320" s="192" t="s">
        <v>58</v>
      </c>
      <c r="C320" s="89">
        <v>14920.0</v>
      </c>
      <c r="D320" s="13">
        <v>15531.0</v>
      </c>
      <c r="E320" s="12">
        <f t="shared" si="293"/>
        <v>611</v>
      </c>
      <c r="F320" s="157">
        <v>197.14</v>
      </c>
      <c r="G320" s="14">
        <f t="shared" si="294"/>
        <v>32.26513912</v>
      </c>
      <c r="H320" s="137">
        <v>14746.0</v>
      </c>
      <c r="I320" s="137">
        <v>15306.0</v>
      </c>
      <c r="J320" s="89">
        <f t="shared" si="295"/>
        <v>560</v>
      </c>
      <c r="K320" s="37">
        <f t="shared" si="296"/>
        <v>197.14</v>
      </c>
      <c r="L320" s="152">
        <f t="shared" si="297"/>
        <v>35.20357143</v>
      </c>
      <c r="M320" s="72">
        <v>25870.0</v>
      </c>
      <c r="N320" s="49">
        <f t="shared" si="298"/>
        <v>5100011.8</v>
      </c>
    </row>
    <row r="321">
      <c r="A321" s="35"/>
      <c r="B321" s="192" t="s">
        <v>58</v>
      </c>
      <c r="C321" s="13"/>
      <c r="D321" s="89"/>
      <c r="E321" s="12">
        <f t="shared" si="293"/>
        <v>0</v>
      </c>
      <c r="F321" s="157"/>
      <c r="G321" s="14" t="str">
        <f t="shared" si="294"/>
        <v>#DIV/0!</v>
      </c>
      <c r="H321" s="137"/>
      <c r="I321" s="137"/>
      <c r="J321" s="89">
        <f t="shared" si="295"/>
        <v>0</v>
      </c>
      <c r="K321" s="37" t="str">
        <f t="shared" si="296"/>
        <v/>
      </c>
      <c r="L321" s="152" t="str">
        <f t="shared" si="297"/>
        <v>#DIV/0!</v>
      </c>
      <c r="M321" s="126"/>
      <c r="N321" s="49">
        <f t="shared" si="298"/>
        <v>0</v>
      </c>
    </row>
    <row r="322">
      <c r="A322" s="35"/>
      <c r="B322" s="192" t="s">
        <v>58</v>
      </c>
      <c r="C322" s="89"/>
      <c r="D322" s="89"/>
      <c r="E322" s="12">
        <f t="shared" si="293"/>
        <v>0</v>
      </c>
      <c r="F322" s="157"/>
      <c r="G322" s="14" t="str">
        <f t="shared" si="294"/>
        <v>#DIV/0!</v>
      </c>
      <c r="H322" s="137"/>
      <c r="I322" s="137"/>
      <c r="J322" s="89">
        <f t="shared" si="295"/>
        <v>0</v>
      </c>
      <c r="K322" s="37" t="str">
        <f t="shared" si="296"/>
        <v/>
      </c>
      <c r="L322" s="152" t="str">
        <f t="shared" si="297"/>
        <v>#DIV/0!</v>
      </c>
      <c r="M322" s="126"/>
      <c r="N322" s="49">
        <f t="shared" si="298"/>
        <v>0</v>
      </c>
    </row>
    <row r="323">
      <c r="A323" s="35"/>
      <c r="B323" s="192" t="s">
        <v>58</v>
      </c>
      <c r="C323" s="89"/>
      <c r="D323" s="89"/>
      <c r="E323" s="12">
        <f t="shared" si="293"/>
        <v>0</v>
      </c>
      <c r="F323" s="157"/>
      <c r="G323" s="14" t="str">
        <f t="shared" si="294"/>
        <v>#DIV/0!</v>
      </c>
      <c r="H323" s="137"/>
      <c r="I323" s="137"/>
      <c r="J323" s="89">
        <f t="shared" si="295"/>
        <v>0</v>
      </c>
      <c r="K323" s="37" t="str">
        <f t="shared" si="296"/>
        <v/>
      </c>
      <c r="L323" s="152" t="str">
        <f t="shared" si="297"/>
        <v>#DIV/0!</v>
      </c>
      <c r="M323" s="126"/>
      <c r="N323" s="49">
        <f t="shared" si="298"/>
        <v>0</v>
      </c>
    </row>
    <row r="324">
      <c r="A324" s="154"/>
      <c r="B324" s="192" t="s">
        <v>58</v>
      </c>
      <c r="C324" s="89"/>
      <c r="D324" s="89"/>
      <c r="E324" s="12">
        <f t="shared" si="293"/>
        <v>0</v>
      </c>
      <c r="F324" s="157"/>
      <c r="G324" s="14" t="str">
        <f t="shared" si="294"/>
        <v>#DIV/0!</v>
      </c>
      <c r="H324" s="137"/>
      <c r="I324" s="137"/>
      <c r="J324" s="89">
        <f t="shared" si="295"/>
        <v>0</v>
      </c>
      <c r="K324" s="37" t="str">
        <f t="shared" si="296"/>
        <v/>
      </c>
      <c r="L324" s="152" t="str">
        <f t="shared" si="297"/>
        <v>#DIV/0!</v>
      </c>
      <c r="M324" s="126"/>
      <c r="N324" s="49">
        <f t="shared" si="298"/>
        <v>0</v>
      </c>
    </row>
    <row r="325">
      <c r="A325" s="154"/>
      <c r="B325" s="192" t="s">
        <v>58</v>
      </c>
      <c r="C325" s="89"/>
      <c r="D325" s="89"/>
      <c r="E325" s="12">
        <f t="shared" si="293"/>
        <v>0</v>
      </c>
      <c r="F325" s="157"/>
      <c r="G325" s="14" t="str">
        <f t="shared" si="294"/>
        <v>#DIV/0!</v>
      </c>
      <c r="H325" s="137"/>
      <c r="I325" s="137"/>
      <c r="J325" s="89">
        <f t="shared" si="295"/>
        <v>0</v>
      </c>
      <c r="K325" s="37" t="str">
        <f t="shared" si="296"/>
        <v/>
      </c>
      <c r="L325" s="152" t="str">
        <f t="shared" si="297"/>
        <v>#DIV/0!</v>
      </c>
      <c r="M325" s="126"/>
      <c r="N325" s="49">
        <f t="shared" si="298"/>
        <v>0</v>
      </c>
    </row>
    <row r="326">
      <c r="A326" s="154"/>
      <c r="B326" s="192" t="s">
        <v>58</v>
      </c>
      <c r="C326" s="89"/>
      <c r="D326" s="89"/>
      <c r="E326" s="12">
        <f t="shared" si="293"/>
        <v>0</v>
      </c>
      <c r="F326" s="157"/>
      <c r="G326" s="14" t="str">
        <f t="shared" si="294"/>
        <v>#DIV/0!</v>
      </c>
      <c r="H326" s="137"/>
      <c r="I326" s="137"/>
      <c r="J326" s="89">
        <f t="shared" si="295"/>
        <v>0</v>
      </c>
      <c r="K326" s="37" t="str">
        <f t="shared" si="296"/>
        <v/>
      </c>
      <c r="L326" s="152" t="str">
        <f t="shared" si="297"/>
        <v>#DIV/0!</v>
      </c>
      <c r="M326" s="126"/>
      <c r="N326" s="49">
        <f t="shared" si="298"/>
        <v>0</v>
      </c>
    </row>
    <row r="327">
      <c r="A327" s="154"/>
      <c r="B327" s="192" t="s">
        <v>58</v>
      </c>
      <c r="C327" s="89"/>
      <c r="D327" s="89"/>
      <c r="E327" s="12">
        <f t="shared" si="293"/>
        <v>0</v>
      </c>
      <c r="F327" s="157"/>
      <c r="G327" s="14" t="str">
        <f t="shared" si="294"/>
        <v>#DIV/0!</v>
      </c>
      <c r="H327" s="137"/>
      <c r="I327" s="137"/>
      <c r="J327" s="89">
        <f t="shared" si="295"/>
        <v>0</v>
      </c>
      <c r="K327" s="37" t="str">
        <f t="shared" si="296"/>
        <v/>
      </c>
      <c r="L327" s="152" t="str">
        <f t="shared" si="297"/>
        <v>#DIV/0!</v>
      </c>
      <c r="M327" s="126"/>
      <c r="N327" s="49">
        <f t="shared" si="298"/>
        <v>0</v>
      </c>
    </row>
    <row r="328">
      <c r="A328" s="62"/>
      <c r="B328" s="63"/>
      <c r="C328" s="62"/>
      <c r="D328" s="64" t="s">
        <v>19</v>
      </c>
      <c r="E328" s="64">
        <f>sum(E319:E324)</f>
        <v>1156</v>
      </c>
      <c r="F328" s="64">
        <f>sum(F319:F325)</f>
        <v>375.84</v>
      </c>
      <c r="G328" s="65" t="str">
        <f>average(G319:G324)</f>
        <v>#DIV/0!</v>
      </c>
      <c r="H328" s="62"/>
      <c r="I328" s="66"/>
      <c r="J328" s="64">
        <f t="shared" ref="J328:K328" si="299">sum(J319:J324)</f>
        <v>1178</v>
      </c>
      <c r="K328" s="64">
        <f t="shared" si="299"/>
        <v>375.84</v>
      </c>
      <c r="L328" s="65" t="str">
        <f>average(L319:L324)</f>
        <v>#DIV/0!</v>
      </c>
      <c r="M328" s="68"/>
      <c r="N328" s="69">
        <f>sum(N319:N327)</f>
        <v>9899893.8</v>
      </c>
    </row>
    <row r="329">
      <c r="A329" s="70"/>
      <c r="B329" s="234" t="s">
        <v>70</v>
      </c>
      <c r="C329" s="89"/>
      <c r="D329" s="89"/>
      <c r="E329" s="12">
        <f t="shared" ref="E329:E334" si="300">D329-C329</f>
        <v>0</v>
      </c>
      <c r="F329" s="39"/>
      <c r="G329" s="14" t="str">
        <f t="shared" ref="G329:G334" si="301">(F329/E329)*100</f>
        <v>#DIV/0!</v>
      </c>
      <c r="H329" s="137"/>
      <c r="I329" s="137"/>
      <c r="J329" s="41">
        <f t="shared" ref="J329:J334" si="302">I329-H329</f>
        <v>0</v>
      </c>
      <c r="K329" s="41" t="str">
        <f t="shared" ref="K329:K334" si="303">F329</f>
        <v/>
      </c>
      <c r="L329" s="152" t="str">
        <f t="shared" ref="L329:L334" si="304">(K329/J329)*100</f>
        <v>#DIV/0!</v>
      </c>
      <c r="M329" s="72"/>
      <c r="N329" s="49"/>
    </row>
    <row r="330">
      <c r="A330" s="35"/>
      <c r="B330" s="234" t="s">
        <v>70</v>
      </c>
      <c r="C330" s="89"/>
      <c r="D330" s="13"/>
      <c r="E330" s="12">
        <f t="shared" si="300"/>
        <v>0</v>
      </c>
      <c r="F330" s="157"/>
      <c r="G330" s="14" t="str">
        <f t="shared" si="301"/>
        <v>#DIV/0!</v>
      </c>
      <c r="H330" s="137"/>
      <c r="I330" s="137"/>
      <c r="J330" s="89">
        <f t="shared" si="302"/>
        <v>0</v>
      </c>
      <c r="K330" s="37" t="str">
        <f t="shared" si="303"/>
        <v/>
      </c>
      <c r="L330" s="152" t="str">
        <f t="shared" si="304"/>
        <v>#DIV/0!</v>
      </c>
      <c r="M330" s="72"/>
      <c r="N330" s="49"/>
    </row>
    <row r="331">
      <c r="A331" s="35"/>
      <c r="B331" s="234" t="s">
        <v>70</v>
      </c>
      <c r="C331" s="13"/>
      <c r="D331" s="89"/>
      <c r="E331" s="12">
        <f t="shared" si="300"/>
        <v>0</v>
      </c>
      <c r="F331" s="157"/>
      <c r="G331" s="14" t="str">
        <f t="shared" si="301"/>
        <v>#DIV/0!</v>
      </c>
      <c r="H331" s="137"/>
      <c r="I331" s="137"/>
      <c r="J331" s="89">
        <f t="shared" si="302"/>
        <v>0</v>
      </c>
      <c r="K331" s="37" t="str">
        <f t="shared" si="303"/>
        <v/>
      </c>
      <c r="L331" s="152" t="str">
        <f t="shared" si="304"/>
        <v>#DIV/0!</v>
      </c>
      <c r="M331" s="126"/>
      <c r="N331" s="49">
        <f t="shared" ref="N331:N334" si="305">M331*F331</f>
        <v>0</v>
      </c>
    </row>
    <row r="332">
      <c r="A332" s="35"/>
      <c r="B332" s="234" t="s">
        <v>70</v>
      </c>
      <c r="C332" s="89"/>
      <c r="D332" s="89"/>
      <c r="E332" s="12">
        <f t="shared" si="300"/>
        <v>0</v>
      </c>
      <c r="F332" s="157"/>
      <c r="G332" s="14" t="str">
        <f t="shared" si="301"/>
        <v>#DIV/0!</v>
      </c>
      <c r="H332" s="137"/>
      <c r="I332" s="137"/>
      <c r="J332" s="89">
        <f t="shared" si="302"/>
        <v>0</v>
      </c>
      <c r="K332" s="37" t="str">
        <f t="shared" si="303"/>
        <v/>
      </c>
      <c r="L332" s="152" t="str">
        <f t="shared" si="304"/>
        <v>#DIV/0!</v>
      </c>
      <c r="M332" s="126"/>
      <c r="N332" s="49">
        <f t="shared" si="305"/>
        <v>0</v>
      </c>
    </row>
    <row r="333">
      <c r="A333" s="35"/>
      <c r="B333" s="234" t="s">
        <v>70</v>
      </c>
      <c r="C333" s="37"/>
      <c r="D333" s="89"/>
      <c r="E333" s="12">
        <f t="shared" si="300"/>
        <v>0</v>
      </c>
      <c r="F333" s="157"/>
      <c r="G333" s="14" t="str">
        <f t="shared" si="301"/>
        <v>#DIV/0!</v>
      </c>
      <c r="H333" s="89"/>
      <c r="I333" s="137"/>
      <c r="J333" s="89">
        <f t="shared" si="302"/>
        <v>0</v>
      </c>
      <c r="K333" s="37" t="str">
        <f t="shared" si="303"/>
        <v/>
      </c>
      <c r="L333" s="152" t="str">
        <f t="shared" si="304"/>
        <v>#DIV/0!</v>
      </c>
      <c r="M333" s="126"/>
      <c r="N333" s="49">
        <f t="shared" si="305"/>
        <v>0</v>
      </c>
    </row>
    <row r="334">
      <c r="A334" s="154"/>
      <c r="B334" s="234" t="s">
        <v>70</v>
      </c>
      <c r="C334" s="89"/>
      <c r="D334" s="89"/>
      <c r="E334" s="12">
        <f t="shared" si="300"/>
        <v>0</v>
      </c>
      <c r="F334" s="157"/>
      <c r="G334" s="14" t="str">
        <f t="shared" si="301"/>
        <v>#DIV/0!</v>
      </c>
      <c r="H334" s="89"/>
      <c r="I334" s="137"/>
      <c r="J334" s="89">
        <f t="shared" si="302"/>
        <v>0</v>
      </c>
      <c r="K334" s="37" t="str">
        <f t="shared" si="303"/>
        <v/>
      </c>
      <c r="L334" s="152" t="str">
        <f t="shared" si="304"/>
        <v>#DIV/0!</v>
      </c>
      <c r="M334" s="126"/>
      <c r="N334" s="49">
        <f t="shared" si="305"/>
        <v>0</v>
      </c>
    </row>
    <row r="335">
      <c r="A335" s="62"/>
      <c r="B335" s="63"/>
      <c r="C335" s="62"/>
      <c r="D335" s="64" t="s">
        <v>19</v>
      </c>
      <c r="E335" s="64">
        <f t="shared" ref="E335:F335" si="306">sum(E329:E334)</f>
        <v>0</v>
      </c>
      <c r="F335" s="64">
        <f t="shared" si="306"/>
        <v>0</v>
      </c>
      <c r="G335" s="65" t="str">
        <f>average(G329:G334)</f>
        <v>#DIV/0!</v>
      </c>
      <c r="H335" s="62"/>
      <c r="I335" s="66"/>
      <c r="J335" s="64">
        <f t="shared" ref="J335:K335" si="307">sum(J329:J334)</f>
        <v>0</v>
      </c>
      <c r="K335" s="64">
        <f t="shared" si="307"/>
        <v>0</v>
      </c>
      <c r="L335" s="65" t="str">
        <f>average(L329:L334)</f>
        <v>#DIV/0!</v>
      </c>
      <c r="M335" s="68"/>
      <c r="N335" s="69">
        <f>sum(N329:N334)</f>
        <v>0</v>
      </c>
    </row>
    <row r="336">
      <c r="A336" s="70">
        <v>46176.0</v>
      </c>
      <c r="B336" s="192" t="s">
        <v>60</v>
      </c>
      <c r="C336" s="89">
        <v>15945.0</v>
      </c>
      <c r="D336" s="89">
        <v>16853.0</v>
      </c>
      <c r="E336" s="12">
        <f t="shared" ref="E336:E344" si="308">D336-C336</f>
        <v>908</v>
      </c>
      <c r="F336" s="39">
        <v>216.99</v>
      </c>
      <c r="G336" s="14">
        <f t="shared" ref="G336:G344" si="309">(F336/E336)*100</f>
        <v>23.89757709</v>
      </c>
      <c r="H336" s="137"/>
      <c r="I336" s="137"/>
      <c r="J336" s="41">
        <f t="shared" ref="J336:J344" si="310">I336-H336</f>
        <v>0</v>
      </c>
      <c r="K336" s="41">
        <f t="shared" ref="K336:K344" si="311">F336</f>
        <v>216.99</v>
      </c>
      <c r="L336" s="152" t="str">
        <f t="shared" ref="L336:L344" si="312">(K336/J336)*100</f>
        <v>#DIV/0!</v>
      </c>
      <c r="M336" s="72">
        <v>27650.0</v>
      </c>
      <c r="N336" s="49">
        <f t="shared" ref="N336:N344" si="313">M336*F336</f>
        <v>5999773.5</v>
      </c>
    </row>
    <row r="337">
      <c r="A337" s="35">
        <v>46184.0</v>
      </c>
      <c r="B337" s="192" t="s">
        <v>60</v>
      </c>
      <c r="C337" s="89">
        <v>16853.0</v>
      </c>
      <c r="D337" s="13">
        <v>17616.0</v>
      </c>
      <c r="E337" s="12">
        <f t="shared" si="308"/>
        <v>763</v>
      </c>
      <c r="F337" s="157">
        <v>208.77</v>
      </c>
      <c r="G337" s="14">
        <f t="shared" si="309"/>
        <v>27.36173001</v>
      </c>
      <c r="H337" s="137"/>
      <c r="I337" s="137"/>
      <c r="J337" s="89">
        <f t="shared" si="310"/>
        <v>0</v>
      </c>
      <c r="K337" s="37">
        <f t="shared" si="311"/>
        <v>208.77</v>
      </c>
      <c r="L337" s="152" t="str">
        <f t="shared" si="312"/>
        <v>#DIV/0!</v>
      </c>
      <c r="M337" s="72">
        <v>25870.0</v>
      </c>
      <c r="N337" s="49">
        <f t="shared" si="313"/>
        <v>5400879.9</v>
      </c>
    </row>
    <row r="338">
      <c r="A338" s="35"/>
      <c r="B338" s="192" t="s">
        <v>60</v>
      </c>
      <c r="C338" s="13"/>
      <c r="D338" s="89"/>
      <c r="E338" s="12">
        <f t="shared" si="308"/>
        <v>0</v>
      </c>
      <c r="F338" s="157"/>
      <c r="G338" s="14" t="str">
        <f t="shared" si="309"/>
        <v>#DIV/0!</v>
      </c>
      <c r="H338" s="137"/>
      <c r="I338" s="137"/>
      <c r="J338" s="89">
        <f t="shared" si="310"/>
        <v>0</v>
      </c>
      <c r="K338" s="37" t="str">
        <f t="shared" si="311"/>
        <v/>
      </c>
      <c r="L338" s="152" t="str">
        <f t="shared" si="312"/>
        <v>#DIV/0!</v>
      </c>
      <c r="M338" s="126"/>
      <c r="N338" s="49">
        <f t="shared" si="313"/>
        <v>0</v>
      </c>
    </row>
    <row r="339">
      <c r="A339" s="35"/>
      <c r="B339" s="192" t="s">
        <v>60</v>
      </c>
      <c r="C339" s="89"/>
      <c r="D339" s="89"/>
      <c r="E339" s="12">
        <f t="shared" si="308"/>
        <v>0</v>
      </c>
      <c r="F339" s="157"/>
      <c r="G339" s="196" t="str">
        <f t="shared" si="309"/>
        <v>#DIV/0!</v>
      </c>
      <c r="H339" s="137"/>
      <c r="I339" s="137"/>
      <c r="J339" s="89">
        <f t="shared" si="310"/>
        <v>0</v>
      </c>
      <c r="K339" s="37" t="str">
        <f t="shared" si="311"/>
        <v/>
      </c>
      <c r="L339" s="152" t="str">
        <f t="shared" si="312"/>
        <v>#DIV/0!</v>
      </c>
      <c r="M339" s="126"/>
      <c r="N339" s="49">
        <f t="shared" si="313"/>
        <v>0</v>
      </c>
    </row>
    <row r="340">
      <c r="A340" s="35"/>
      <c r="B340" s="192" t="s">
        <v>60</v>
      </c>
      <c r="C340" s="89"/>
      <c r="D340" s="89"/>
      <c r="E340" s="12">
        <f t="shared" si="308"/>
        <v>0</v>
      </c>
      <c r="F340" s="157"/>
      <c r="G340" s="14" t="str">
        <f t="shared" si="309"/>
        <v>#DIV/0!</v>
      </c>
      <c r="H340" s="89"/>
      <c r="I340" s="137"/>
      <c r="J340" s="89">
        <f t="shared" si="310"/>
        <v>0</v>
      </c>
      <c r="K340" s="37" t="str">
        <f t="shared" si="311"/>
        <v/>
      </c>
      <c r="L340" s="152" t="str">
        <f t="shared" si="312"/>
        <v>#DIV/0!</v>
      </c>
      <c r="M340" s="126"/>
      <c r="N340" s="49">
        <f t="shared" si="313"/>
        <v>0</v>
      </c>
    </row>
    <row r="341">
      <c r="A341" s="154"/>
      <c r="B341" s="192" t="s">
        <v>60</v>
      </c>
      <c r="C341" s="89"/>
      <c r="D341" s="89"/>
      <c r="E341" s="12">
        <f t="shared" si="308"/>
        <v>0</v>
      </c>
      <c r="F341" s="157"/>
      <c r="G341" s="14" t="str">
        <f t="shared" si="309"/>
        <v>#DIV/0!</v>
      </c>
      <c r="H341" s="89"/>
      <c r="I341" s="137"/>
      <c r="J341" s="89">
        <f t="shared" si="310"/>
        <v>0</v>
      </c>
      <c r="K341" s="37" t="str">
        <f t="shared" si="311"/>
        <v/>
      </c>
      <c r="L341" s="152" t="str">
        <f t="shared" si="312"/>
        <v>#DIV/0!</v>
      </c>
      <c r="M341" s="126"/>
      <c r="N341" s="49">
        <f t="shared" si="313"/>
        <v>0</v>
      </c>
      <c r="R341" s="197">
        <v>75.0</v>
      </c>
    </row>
    <row r="342">
      <c r="A342" s="154"/>
      <c r="B342" s="192" t="s">
        <v>60</v>
      </c>
      <c r="C342" s="89"/>
      <c r="D342" s="89"/>
      <c r="E342" s="12">
        <f t="shared" si="308"/>
        <v>0</v>
      </c>
      <c r="F342" s="157"/>
      <c r="G342" s="14" t="str">
        <f t="shared" si="309"/>
        <v>#DIV/0!</v>
      </c>
      <c r="H342" s="89"/>
      <c r="I342" s="137"/>
      <c r="J342" s="89">
        <f t="shared" si="310"/>
        <v>0</v>
      </c>
      <c r="K342" s="37" t="str">
        <f t="shared" si="311"/>
        <v/>
      </c>
      <c r="L342" s="152" t="str">
        <f t="shared" si="312"/>
        <v>#DIV/0!</v>
      </c>
      <c r="M342" s="126"/>
      <c r="N342" s="49">
        <f t="shared" si="313"/>
        <v>0</v>
      </c>
    </row>
    <row r="343">
      <c r="A343" s="154"/>
      <c r="B343" s="192" t="s">
        <v>60</v>
      </c>
      <c r="C343" s="89"/>
      <c r="D343" s="89"/>
      <c r="E343" s="12">
        <f t="shared" si="308"/>
        <v>0</v>
      </c>
      <c r="F343" s="157"/>
      <c r="G343" s="14" t="str">
        <f t="shared" si="309"/>
        <v>#DIV/0!</v>
      </c>
      <c r="H343" s="89"/>
      <c r="I343" s="137"/>
      <c r="J343" s="89">
        <f t="shared" si="310"/>
        <v>0</v>
      </c>
      <c r="K343" s="37" t="str">
        <f t="shared" si="311"/>
        <v/>
      </c>
      <c r="L343" s="152" t="str">
        <f t="shared" si="312"/>
        <v>#DIV/0!</v>
      </c>
      <c r="M343" s="126"/>
      <c r="N343" s="49">
        <f t="shared" si="313"/>
        <v>0</v>
      </c>
    </row>
    <row r="344">
      <c r="A344" s="154"/>
      <c r="B344" s="192" t="s">
        <v>60</v>
      </c>
      <c r="C344" s="89"/>
      <c r="D344" s="89"/>
      <c r="E344" s="12">
        <f t="shared" si="308"/>
        <v>0</v>
      </c>
      <c r="F344" s="157"/>
      <c r="G344" s="14" t="str">
        <f t="shared" si="309"/>
        <v>#DIV/0!</v>
      </c>
      <c r="H344" s="89"/>
      <c r="I344" s="137"/>
      <c r="J344" s="89">
        <f t="shared" si="310"/>
        <v>0</v>
      </c>
      <c r="K344" s="37" t="str">
        <f t="shared" si="311"/>
        <v/>
      </c>
      <c r="L344" s="152" t="str">
        <f t="shared" si="312"/>
        <v>#DIV/0!</v>
      </c>
      <c r="M344" s="126"/>
      <c r="N344" s="49">
        <f t="shared" si="313"/>
        <v>0</v>
      </c>
    </row>
    <row r="345">
      <c r="A345" s="62"/>
      <c r="B345" s="63"/>
      <c r="C345" s="62"/>
      <c r="D345" s="64" t="s">
        <v>19</v>
      </c>
      <c r="E345" s="64">
        <f>sum(E336:E341)</f>
        <v>1671</v>
      </c>
      <c r="F345" s="64">
        <f>sum(F336:F344)</f>
        <v>425.76</v>
      </c>
      <c r="G345" s="65" t="str">
        <f>average(G336:G341)</f>
        <v>#DIV/0!</v>
      </c>
      <c r="H345" s="62"/>
      <c r="I345" s="66"/>
      <c r="J345" s="64">
        <f t="shared" ref="J345:K345" si="314">sum(J336:J341)</f>
        <v>0</v>
      </c>
      <c r="K345" s="64">
        <f t="shared" si="314"/>
        <v>425.76</v>
      </c>
      <c r="L345" s="65" t="str">
        <f>average(L336:L341)</f>
        <v>#DIV/0!</v>
      </c>
      <c r="M345" s="68"/>
      <c r="N345" s="69">
        <f>sum(N336:N344)</f>
        <v>11400653.4</v>
      </c>
    </row>
    <row r="346">
      <c r="A346" s="70">
        <v>46179.0</v>
      </c>
      <c r="B346" s="192" t="s">
        <v>61</v>
      </c>
      <c r="C346" s="89"/>
      <c r="D346" s="89"/>
      <c r="E346" s="12">
        <f t="shared" ref="E346:E351" si="315">D346-C346</f>
        <v>0</v>
      </c>
      <c r="F346" s="39">
        <v>238.27</v>
      </c>
      <c r="G346" s="14" t="str">
        <f t="shared" ref="G346:G351" si="316">(F346/E346)*100</f>
        <v>#DIV/0!</v>
      </c>
      <c r="H346" s="137"/>
      <c r="I346" s="137"/>
      <c r="J346" s="41">
        <f t="shared" ref="J346:J351" si="317">I346-H346</f>
        <v>0</v>
      </c>
      <c r="K346" s="41">
        <f t="shared" ref="K346:K351" si="318">F346</f>
        <v>238.27</v>
      </c>
      <c r="L346" s="152" t="str">
        <f t="shared" ref="L346:L351" si="319">(K346/J346)*100</f>
        <v>#DIV/0!</v>
      </c>
      <c r="M346" s="72">
        <v>26860.0</v>
      </c>
      <c r="N346" s="49">
        <f t="shared" ref="N346:N351" si="320">M346*F346</f>
        <v>6399932.2</v>
      </c>
    </row>
    <row r="347">
      <c r="A347" s="35"/>
      <c r="B347" s="192" t="s">
        <v>61</v>
      </c>
      <c r="C347" s="89"/>
      <c r="D347" s="13"/>
      <c r="E347" s="12">
        <f t="shared" si="315"/>
        <v>0</v>
      </c>
      <c r="F347" s="157"/>
      <c r="G347" s="14" t="str">
        <f t="shared" si="316"/>
        <v>#DIV/0!</v>
      </c>
      <c r="H347" s="137"/>
      <c r="I347" s="137"/>
      <c r="J347" s="89">
        <f t="shared" si="317"/>
        <v>0</v>
      </c>
      <c r="K347" s="37" t="str">
        <f t="shared" si="318"/>
        <v/>
      </c>
      <c r="L347" s="152" t="str">
        <f t="shared" si="319"/>
        <v>#DIV/0!</v>
      </c>
      <c r="M347" s="72"/>
      <c r="N347" s="49">
        <f t="shared" si="320"/>
        <v>0</v>
      </c>
    </row>
    <row r="348">
      <c r="A348" s="35"/>
      <c r="B348" s="192" t="s">
        <v>61</v>
      </c>
      <c r="C348" s="13"/>
      <c r="D348" s="89"/>
      <c r="E348" s="12">
        <f t="shared" si="315"/>
        <v>0</v>
      </c>
      <c r="F348" s="157"/>
      <c r="G348" s="14" t="str">
        <f t="shared" si="316"/>
        <v>#DIV/0!</v>
      </c>
      <c r="H348" s="137"/>
      <c r="I348" s="137"/>
      <c r="J348" s="89">
        <f t="shared" si="317"/>
        <v>0</v>
      </c>
      <c r="K348" s="37" t="str">
        <f t="shared" si="318"/>
        <v/>
      </c>
      <c r="L348" s="152" t="str">
        <f t="shared" si="319"/>
        <v>#DIV/0!</v>
      </c>
      <c r="M348" s="126"/>
      <c r="N348" s="49">
        <f t="shared" si="320"/>
        <v>0</v>
      </c>
    </row>
    <row r="349">
      <c r="A349" s="35"/>
      <c r="B349" s="192" t="s">
        <v>61</v>
      </c>
      <c r="C349" s="89"/>
      <c r="D349" s="89"/>
      <c r="E349" s="12">
        <f t="shared" si="315"/>
        <v>0</v>
      </c>
      <c r="F349" s="157"/>
      <c r="G349" s="14" t="str">
        <f t="shared" si="316"/>
        <v>#DIV/0!</v>
      </c>
      <c r="H349" s="137"/>
      <c r="I349" s="137"/>
      <c r="J349" s="89">
        <f t="shared" si="317"/>
        <v>0</v>
      </c>
      <c r="K349" s="37" t="str">
        <f t="shared" si="318"/>
        <v/>
      </c>
      <c r="L349" s="152" t="str">
        <f t="shared" si="319"/>
        <v>#DIV/0!</v>
      </c>
      <c r="M349" s="126"/>
      <c r="N349" s="49">
        <f t="shared" si="320"/>
        <v>0</v>
      </c>
    </row>
    <row r="350">
      <c r="A350" s="35"/>
      <c r="B350" s="192" t="s">
        <v>61</v>
      </c>
      <c r="C350" s="37"/>
      <c r="D350" s="89"/>
      <c r="E350" s="12">
        <f t="shared" si="315"/>
        <v>0</v>
      </c>
      <c r="F350" s="157"/>
      <c r="G350" s="14" t="str">
        <f t="shared" si="316"/>
        <v>#DIV/0!</v>
      </c>
      <c r="H350" s="89"/>
      <c r="I350" s="137"/>
      <c r="J350" s="89">
        <f t="shared" si="317"/>
        <v>0</v>
      </c>
      <c r="K350" s="37" t="str">
        <f t="shared" si="318"/>
        <v/>
      </c>
      <c r="L350" s="152" t="str">
        <f t="shared" si="319"/>
        <v>#DIV/0!</v>
      </c>
      <c r="M350" s="126"/>
      <c r="N350" s="49">
        <f t="shared" si="320"/>
        <v>0</v>
      </c>
    </row>
    <row r="351">
      <c r="A351" s="154"/>
      <c r="B351" s="192" t="s">
        <v>61</v>
      </c>
      <c r="C351" s="89"/>
      <c r="D351" s="89"/>
      <c r="E351" s="12">
        <f t="shared" si="315"/>
        <v>0</v>
      </c>
      <c r="F351" s="157"/>
      <c r="G351" s="14" t="str">
        <f t="shared" si="316"/>
        <v>#DIV/0!</v>
      </c>
      <c r="H351" s="89"/>
      <c r="I351" s="137"/>
      <c r="J351" s="89">
        <f t="shared" si="317"/>
        <v>0</v>
      </c>
      <c r="K351" s="37" t="str">
        <f t="shared" si="318"/>
        <v/>
      </c>
      <c r="L351" s="152" t="str">
        <f t="shared" si="319"/>
        <v>#DIV/0!</v>
      </c>
      <c r="M351" s="126"/>
      <c r="N351" s="49">
        <f t="shared" si="320"/>
        <v>0</v>
      </c>
    </row>
    <row r="352">
      <c r="A352" s="62"/>
      <c r="B352" s="63"/>
      <c r="C352" s="62"/>
      <c r="D352" s="64" t="s">
        <v>19</v>
      </c>
      <c r="E352" s="64">
        <f t="shared" ref="E352:F352" si="321">sum(E346:E351)</f>
        <v>0</v>
      </c>
      <c r="F352" s="64">
        <f t="shared" si="321"/>
        <v>238.27</v>
      </c>
      <c r="G352" s="65" t="str">
        <f>average(G346:G351)</f>
        <v>#DIV/0!</v>
      </c>
      <c r="H352" s="62"/>
      <c r="I352" s="66"/>
      <c r="J352" s="64">
        <f t="shared" ref="J352:K352" si="322">sum(J346:J351)</f>
        <v>0</v>
      </c>
      <c r="K352" s="64">
        <f t="shared" si="322"/>
        <v>238.27</v>
      </c>
      <c r="L352" s="65" t="str">
        <f>average(L346:L351)</f>
        <v>#DIV/0!</v>
      </c>
      <c r="M352" s="68"/>
      <c r="N352" s="69">
        <f>sum(N346:N351)</f>
        <v>6399932.2</v>
      </c>
    </row>
    <row r="353">
      <c r="A353" s="198" t="s">
        <v>64</v>
      </c>
      <c r="B353" s="199"/>
      <c r="C353" s="199"/>
      <c r="D353" s="199"/>
      <c r="E353" s="199"/>
      <c r="F353" s="199"/>
      <c r="G353" s="199"/>
      <c r="H353" s="199"/>
      <c r="I353" s="199"/>
      <c r="J353" s="199"/>
      <c r="K353" s="199"/>
      <c r="L353" s="200"/>
      <c r="M353" s="68"/>
      <c r="N353" s="69">
        <f>SUM(N238:N352)/2</f>
        <v>94008699.2</v>
      </c>
    </row>
    <row r="354">
      <c r="G354" s="168"/>
      <c r="L354" s="168"/>
      <c r="N354" s="169"/>
    </row>
    <row r="355">
      <c r="G355" s="168"/>
      <c r="L355" s="168"/>
      <c r="N355" s="169"/>
    </row>
    <row r="356">
      <c r="G356" s="168"/>
      <c r="L356" s="168"/>
      <c r="N356" s="169"/>
    </row>
    <row r="357">
      <c r="G357" s="168"/>
      <c r="L357" s="168"/>
      <c r="N357" s="169"/>
    </row>
    <row r="358">
      <c r="G358" s="168"/>
      <c r="L358" s="168"/>
      <c r="N358" s="169"/>
    </row>
    <row r="359">
      <c r="G359" s="168"/>
      <c r="L359" s="168"/>
      <c r="N359" s="169"/>
    </row>
    <row r="360">
      <c r="G360" s="168"/>
      <c r="L360" s="168"/>
      <c r="N360" s="169"/>
    </row>
    <row r="361">
      <c r="G361" s="168"/>
      <c r="L361" s="168"/>
      <c r="N361" s="169"/>
    </row>
    <row r="362">
      <c r="G362" s="168"/>
      <c r="L362" s="168"/>
      <c r="N362" s="169"/>
    </row>
    <row r="363">
      <c r="G363" s="168"/>
      <c r="L363" s="168"/>
      <c r="N363" s="169"/>
    </row>
    <row r="364">
      <c r="G364" s="168"/>
      <c r="L364" s="168"/>
      <c r="N364" s="169"/>
    </row>
    <row r="365">
      <c r="G365" s="168"/>
      <c r="L365" s="168"/>
      <c r="N365" s="169"/>
    </row>
    <row r="366">
      <c r="G366" s="168"/>
      <c r="L366" s="168"/>
      <c r="N366" s="169"/>
    </row>
    <row r="367">
      <c r="G367" s="168"/>
      <c r="L367" s="168"/>
      <c r="N367" s="169"/>
    </row>
    <row r="368">
      <c r="G368" s="168"/>
      <c r="L368" s="168"/>
      <c r="N368" s="169"/>
    </row>
    <row r="369">
      <c r="G369" s="168"/>
      <c r="L369" s="168"/>
      <c r="N369" s="169"/>
    </row>
    <row r="370">
      <c r="G370" s="168"/>
      <c r="L370" s="168"/>
      <c r="N370" s="169"/>
    </row>
    <row r="371">
      <c r="G371" s="168"/>
      <c r="L371" s="168"/>
      <c r="N371" s="169"/>
    </row>
    <row r="372">
      <c r="G372" s="168"/>
      <c r="L372" s="168"/>
      <c r="N372" s="169"/>
    </row>
    <row r="373">
      <c r="G373" s="168"/>
      <c r="L373" s="168"/>
      <c r="N373" s="169"/>
    </row>
    <row r="374">
      <c r="G374" s="168"/>
      <c r="L374" s="168"/>
      <c r="N374" s="169"/>
    </row>
    <row r="375">
      <c r="G375" s="168"/>
      <c r="L375" s="168"/>
      <c r="N375" s="169"/>
    </row>
    <row r="376">
      <c r="G376" s="168"/>
      <c r="L376" s="168"/>
      <c r="N376" s="169"/>
    </row>
    <row r="377">
      <c r="G377" s="168"/>
      <c r="L377" s="168"/>
      <c r="N377" s="169"/>
    </row>
    <row r="378">
      <c r="G378" s="168"/>
      <c r="L378" s="168"/>
      <c r="N378" s="169"/>
    </row>
    <row r="379">
      <c r="G379" s="168"/>
      <c r="L379" s="168"/>
      <c r="N379" s="169"/>
    </row>
    <row r="380">
      <c r="G380" s="168"/>
      <c r="L380" s="168"/>
      <c r="N380" s="169"/>
    </row>
    <row r="381">
      <c r="G381" s="168"/>
      <c r="L381" s="168"/>
      <c r="N381" s="169"/>
    </row>
    <row r="382">
      <c r="G382" s="168"/>
      <c r="L382" s="168"/>
      <c r="N382" s="169"/>
    </row>
    <row r="383">
      <c r="G383" s="168"/>
      <c r="L383" s="168"/>
      <c r="N383" s="169"/>
    </row>
    <row r="384">
      <c r="G384" s="168"/>
      <c r="L384" s="168"/>
      <c r="N384" s="169"/>
    </row>
    <row r="385">
      <c r="G385" s="168"/>
      <c r="L385" s="168"/>
      <c r="N385" s="169"/>
    </row>
    <row r="386">
      <c r="G386" s="168"/>
      <c r="L386" s="168"/>
      <c r="N386" s="169"/>
    </row>
    <row r="387">
      <c r="G387" s="168"/>
      <c r="L387" s="168"/>
      <c r="N387" s="169"/>
    </row>
    <row r="388">
      <c r="G388" s="168"/>
      <c r="L388" s="168"/>
      <c r="N388" s="169"/>
    </row>
    <row r="389">
      <c r="G389" s="168"/>
      <c r="L389" s="168"/>
      <c r="N389" s="169"/>
    </row>
    <row r="390">
      <c r="G390" s="168"/>
      <c r="L390" s="168"/>
      <c r="N390" s="169"/>
    </row>
    <row r="391">
      <c r="G391" s="168"/>
      <c r="L391" s="168"/>
      <c r="N391" s="169"/>
    </row>
    <row r="392">
      <c r="G392" s="168"/>
      <c r="L392" s="168"/>
      <c r="N392" s="169"/>
    </row>
    <row r="393">
      <c r="G393" s="168"/>
      <c r="L393" s="168"/>
      <c r="N393" s="169"/>
    </row>
    <row r="394">
      <c r="G394" s="168"/>
      <c r="L394" s="168"/>
      <c r="N394" s="169"/>
    </row>
    <row r="395">
      <c r="G395" s="168"/>
      <c r="L395" s="168"/>
      <c r="N395" s="169"/>
    </row>
    <row r="396">
      <c r="G396" s="168"/>
      <c r="L396" s="168"/>
      <c r="N396" s="169"/>
    </row>
    <row r="397">
      <c r="G397" s="168"/>
      <c r="L397" s="168"/>
      <c r="N397" s="169"/>
    </row>
    <row r="398">
      <c r="G398" s="168"/>
      <c r="L398" s="168"/>
      <c r="N398" s="169"/>
    </row>
    <row r="399">
      <c r="G399" s="168"/>
      <c r="L399" s="168"/>
      <c r="N399" s="169"/>
    </row>
    <row r="400">
      <c r="G400" s="168"/>
      <c r="L400" s="168"/>
      <c r="N400" s="169"/>
    </row>
    <row r="401">
      <c r="G401" s="168"/>
      <c r="L401" s="168"/>
      <c r="N401" s="169"/>
    </row>
    <row r="402">
      <c r="G402" s="168"/>
      <c r="L402" s="168"/>
      <c r="N402" s="169"/>
    </row>
    <row r="403">
      <c r="G403" s="168"/>
      <c r="L403" s="168"/>
      <c r="N403" s="169"/>
    </row>
    <row r="404">
      <c r="G404" s="168"/>
      <c r="L404" s="168"/>
      <c r="N404" s="169"/>
    </row>
    <row r="405">
      <c r="G405" s="168"/>
      <c r="L405" s="168"/>
      <c r="N405" s="169"/>
    </row>
    <row r="406">
      <c r="G406" s="168"/>
      <c r="L406" s="168"/>
      <c r="N406" s="169"/>
    </row>
    <row r="407">
      <c r="G407" s="168"/>
      <c r="L407" s="168"/>
      <c r="N407" s="169"/>
    </row>
    <row r="408">
      <c r="G408" s="168"/>
      <c r="L408" s="168"/>
      <c r="N408" s="169"/>
    </row>
    <row r="409">
      <c r="G409" s="168"/>
      <c r="L409" s="168"/>
      <c r="N409" s="169"/>
    </row>
    <row r="410">
      <c r="G410" s="168"/>
      <c r="L410" s="168"/>
      <c r="N410" s="169"/>
    </row>
    <row r="411">
      <c r="G411" s="168"/>
      <c r="L411" s="168"/>
      <c r="N411" s="169"/>
    </row>
    <row r="412">
      <c r="G412" s="168"/>
      <c r="L412" s="168"/>
      <c r="N412" s="169"/>
    </row>
    <row r="413">
      <c r="G413" s="168"/>
      <c r="L413" s="168"/>
      <c r="N413" s="169"/>
    </row>
    <row r="414">
      <c r="G414" s="168"/>
      <c r="L414" s="168"/>
      <c r="N414" s="169"/>
    </row>
    <row r="415">
      <c r="G415" s="168"/>
      <c r="L415" s="168"/>
      <c r="N415" s="169"/>
    </row>
    <row r="416">
      <c r="G416" s="168"/>
      <c r="L416" s="168"/>
      <c r="N416" s="169"/>
    </row>
    <row r="417">
      <c r="G417" s="168"/>
      <c r="L417" s="168"/>
      <c r="N417" s="169"/>
    </row>
    <row r="418">
      <c r="G418" s="168"/>
      <c r="L418" s="168"/>
      <c r="N418" s="169"/>
    </row>
    <row r="419">
      <c r="G419" s="168"/>
      <c r="L419" s="168"/>
      <c r="N419" s="169"/>
    </row>
    <row r="420">
      <c r="G420" s="168"/>
      <c r="L420" s="168"/>
      <c r="N420" s="169"/>
    </row>
    <row r="421">
      <c r="G421" s="168"/>
      <c r="L421" s="168"/>
      <c r="N421" s="169"/>
    </row>
    <row r="422">
      <c r="G422" s="168"/>
      <c r="L422" s="168"/>
      <c r="N422" s="169"/>
    </row>
    <row r="423">
      <c r="G423" s="168"/>
      <c r="L423" s="168"/>
      <c r="N423" s="169"/>
    </row>
    <row r="424">
      <c r="G424" s="168"/>
      <c r="L424" s="168"/>
      <c r="N424" s="169"/>
    </row>
    <row r="425">
      <c r="G425" s="168"/>
      <c r="L425" s="168"/>
      <c r="N425" s="169"/>
    </row>
    <row r="426">
      <c r="G426" s="168"/>
      <c r="L426" s="168"/>
      <c r="N426" s="169"/>
    </row>
    <row r="427">
      <c r="G427" s="168"/>
      <c r="L427" s="168"/>
      <c r="N427" s="169"/>
    </row>
    <row r="428">
      <c r="G428" s="168"/>
      <c r="L428" s="168"/>
      <c r="N428" s="169"/>
    </row>
    <row r="429">
      <c r="G429" s="168"/>
      <c r="L429" s="168"/>
      <c r="N429" s="169"/>
    </row>
    <row r="430">
      <c r="G430" s="168"/>
      <c r="L430" s="168"/>
      <c r="N430" s="169"/>
    </row>
    <row r="431">
      <c r="G431" s="168"/>
      <c r="L431" s="168"/>
      <c r="N431" s="169"/>
    </row>
    <row r="432">
      <c r="G432" s="168"/>
      <c r="L432" s="168"/>
      <c r="N432" s="169"/>
    </row>
    <row r="433">
      <c r="G433" s="168"/>
      <c r="L433" s="168"/>
      <c r="N433" s="169"/>
    </row>
    <row r="434">
      <c r="G434" s="168"/>
      <c r="L434" s="168"/>
      <c r="N434" s="169"/>
    </row>
    <row r="435">
      <c r="G435" s="168"/>
      <c r="L435" s="168"/>
      <c r="N435" s="169"/>
    </row>
    <row r="436">
      <c r="G436" s="168"/>
      <c r="L436" s="168"/>
      <c r="N436" s="169"/>
    </row>
    <row r="437">
      <c r="G437" s="168"/>
      <c r="L437" s="168"/>
      <c r="N437" s="169"/>
    </row>
    <row r="438">
      <c r="G438" s="168"/>
      <c r="L438" s="168"/>
      <c r="N438" s="169"/>
    </row>
    <row r="439">
      <c r="G439" s="168"/>
      <c r="L439" s="168"/>
      <c r="N439" s="169"/>
    </row>
    <row r="440">
      <c r="G440" s="168"/>
      <c r="L440" s="168"/>
      <c r="N440" s="169"/>
    </row>
    <row r="441">
      <c r="G441" s="168"/>
      <c r="L441" s="168"/>
      <c r="N441" s="169"/>
    </row>
    <row r="442">
      <c r="G442" s="168"/>
      <c r="L442" s="168"/>
      <c r="N442" s="169"/>
    </row>
    <row r="443">
      <c r="G443" s="168"/>
      <c r="L443" s="168"/>
      <c r="N443" s="169"/>
    </row>
    <row r="444">
      <c r="G444" s="168"/>
      <c r="L444" s="168"/>
      <c r="N444" s="169"/>
    </row>
    <row r="445">
      <c r="G445" s="168"/>
      <c r="L445" s="168"/>
      <c r="N445" s="169"/>
    </row>
    <row r="446">
      <c r="G446" s="168"/>
      <c r="L446" s="168"/>
      <c r="N446" s="169"/>
    </row>
    <row r="447">
      <c r="G447" s="168"/>
      <c r="L447" s="168"/>
      <c r="N447" s="169"/>
    </row>
    <row r="448">
      <c r="G448" s="168"/>
      <c r="L448" s="168"/>
      <c r="N448" s="169"/>
    </row>
    <row r="449">
      <c r="G449" s="168"/>
      <c r="L449" s="168"/>
      <c r="N449" s="169"/>
    </row>
    <row r="450">
      <c r="G450" s="168"/>
      <c r="L450" s="168"/>
      <c r="N450" s="169"/>
    </row>
    <row r="451">
      <c r="G451" s="168"/>
      <c r="L451" s="168"/>
      <c r="N451" s="169"/>
    </row>
    <row r="452">
      <c r="G452" s="168"/>
      <c r="L452" s="168"/>
      <c r="N452" s="169"/>
    </row>
    <row r="453">
      <c r="G453" s="168"/>
      <c r="L453" s="168"/>
      <c r="N453" s="169"/>
    </row>
    <row r="454">
      <c r="G454" s="168"/>
      <c r="L454" s="168"/>
      <c r="N454" s="169"/>
    </row>
    <row r="455">
      <c r="G455" s="168"/>
      <c r="L455" s="168"/>
      <c r="N455" s="169"/>
    </row>
    <row r="456">
      <c r="G456" s="168"/>
      <c r="L456" s="168"/>
      <c r="N456" s="169"/>
    </row>
    <row r="457">
      <c r="G457" s="168"/>
      <c r="L457" s="168"/>
      <c r="N457" s="169"/>
    </row>
    <row r="458">
      <c r="G458" s="168"/>
      <c r="L458" s="168"/>
      <c r="N458" s="169"/>
    </row>
    <row r="459">
      <c r="G459" s="168"/>
      <c r="L459" s="168"/>
      <c r="N459" s="169"/>
    </row>
    <row r="460">
      <c r="G460" s="168"/>
      <c r="L460" s="168"/>
      <c r="N460" s="169"/>
    </row>
    <row r="461">
      <c r="G461" s="168"/>
      <c r="L461" s="168"/>
      <c r="N461" s="169"/>
    </row>
    <row r="462">
      <c r="G462" s="168"/>
      <c r="L462" s="168"/>
      <c r="N462" s="169"/>
    </row>
    <row r="463">
      <c r="G463" s="168"/>
      <c r="L463" s="168"/>
      <c r="N463" s="169"/>
    </row>
    <row r="464">
      <c r="G464" s="168"/>
      <c r="L464" s="168"/>
      <c r="N464" s="169"/>
    </row>
    <row r="465">
      <c r="G465" s="168"/>
      <c r="L465" s="168"/>
      <c r="N465" s="169"/>
    </row>
    <row r="466">
      <c r="G466" s="168"/>
      <c r="L466" s="168"/>
      <c r="N466" s="169"/>
    </row>
    <row r="467">
      <c r="G467" s="168"/>
      <c r="L467" s="168"/>
      <c r="N467" s="169"/>
    </row>
    <row r="468">
      <c r="G468" s="168"/>
      <c r="L468" s="168"/>
      <c r="N468" s="169"/>
    </row>
    <row r="469">
      <c r="G469" s="168"/>
      <c r="L469" s="168"/>
      <c r="N469" s="169"/>
    </row>
    <row r="470">
      <c r="G470" s="168"/>
      <c r="L470" s="168"/>
      <c r="N470" s="169"/>
    </row>
    <row r="471">
      <c r="G471" s="168"/>
      <c r="L471" s="168"/>
      <c r="N471" s="169"/>
    </row>
    <row r="472">
      <c r="G472" s="168"/>
      <c r="L472" s="168"/>
      <c r="N472" s="169"/>
    </row>
    <row r="473">
      <c r="G473" s="168"/>
      <c r="L473" s="168"/>
      <c r="N473" s="169"/>
    </row>
    <row r="474">
      <c r="G474" s="168"/>
      <c r="L474" s="168"/>
      <c r="N474" s="169"/>
    </row>
    <row r="475">
      <c r="G475" s="168"/>
      <c r="L475" s="168"/>
      <c r="N475" s="169"/>
    </row>
    <row r="476">
      <c r="G476" s="168"/>
      <c r="L476" s="168"/>
      <c r="N476" s="169"/>
    </row>
    <row r="477">
      <c r="G477" s="168"/>
      <c r="L477" s="168"/>
      <c r="N477" s="169"/>
    </row>
    <row r="478">
      <c r="G478" s="168"/>
      <c r="L478" s="168"/>
      <c r="N478" s="169"/>
    </row>
    <row r="479">
      <c r="G479" s="168"/>
      <c r="L479" s="168"/>
      <c r="N479" s="169"/>
    </row>
    <row r="480">
      <c r="G480" s="168"/>
      <c r="L480" s="168"/>
      <c r="N480" s="169"/>
    </row>
    <row r="481">
      <c r="G481" s="168"/>
      <c r="L481" s="168"/>
      <c r="N481" s="169"/>
    </row>
    <row r="482">
      <c r="G482" s="168"/>
      <c r="L482" s="168"/>
      <c r="N482" s="169"/>
    </row>
    <row r="483">
      <c r="G483" s="168"/>
      <c r="L483" s="168"/>
      <c r="N483" s="169"/>
    </row>
    <row r="484">
      <c r="G484" s="168"/>
      <c r="L484" s="168"/>
      <c r="N484" s="169"/>
    </row>
    <row r="485">
      <c r="G485" s="168"/>
      <c r="L485" s="168"/>
      <c r="N485" s="169"/>
    </row>
    <row r="486">
      <c r="G486" s="168"/>
      <c r="L486" s="168"/>
      <c r="N486" s="169"/>
    </row>
    <row r="487">
      <c r="G487" s="168"/>
      <c r="L487" s="168"/>
      <c r="N487" s="169"/>
    </row>
    <row r="488">
      <c r="G488" s="168"/>
      <c r="L488" s="168"/>
      <c r="N488" s="169"/>
    </row>
    <row r="489">
      <c r="G489" s="168"/>
      <c r="L489" s="168"/>
      <c r="N489" s="169"/>
    </row>
    <row r="490">
      <c r="G490" s="168"/>
      <c r="L490" s="168"/>
      <c r="N490" s="169"/>
    </row>
    <row r="491">
      <c r="G491" s="168"/>
      <c r="L491" s="168"/>
      <c r="N491" s="169"/>
    </row>
    <row r="492">
      <c r="G492" s="168"/>
      <c r="L492" s="168"/>
      <c r="N492" s="169"/>
    </row>
    <row r="493">
      <c r="G493" s="168"/>
      <c r="L493" s="168"/>
      <c r="N493" s="169"/>
    </row>
    <row r="494">
      <c r="G494" s="168"/>
      <c r="L494" s="168"/>
      <c r="N494" s="169"/>
    </row>
    <row r="495">
      <c r="G495" s="168"/>
      <c r="L495" s="168"/>
      <c r="N495" s="169"/>
    </row>
    <row r="496">
      <c r="G496" s="168"/>
      <c r="L496" s="168"/>
      <c r="N496" s="169"/>
    </row>
    <row r="497">
      <c r="G497" s="168"/>
      <c r="L497" s="168"/>
      <c r="N497" s="169"/>
    </row>
    <row r="498">
      <c r="G498" s="168"/>
      <c r="L498" s="168"/>
      <c r="N498" s="169"/>
    </row>
    <row r="499">
      <c r="G499" s="168"/>
      <c r="L499" s="168"/>
      <c r="N499" s="169"/>
    </row>
    <row r="500">
      <c r="G500" s="168"/>
      <c r="L500" s="168"/>
      <c r="N500" s="169"/>
    </row>
    <row r="501">
      <c r="G501" s="168"/>
      <c r="L501" s="168"/>
      <c r="N501" s="169"/>
    </row>
    <row r="502">
      <c r="G502" s="168"/>
      <c r="L502" s="168"/>
      <c r="N502" s="169"/>
    </row>
    <row r="503">
      <c r="G503" s="168"/>
      <c r="L503" s="168"/>
      <c r="N503" s="169"/>
    </row>
    <row r="504">
      <c r="G504" s="168"/>
      <c r="L504" s="168"/>
      <c r="N504" s="169"/>
    </row>
    <row r="505">
      <c r="G505" s="168"/>
      <c r="L505" s="168"/>
      <c r="N505" s="169"/>
    </row>
    <row r="506">
      <c r="G506" s="168"/>
      <c r="L506" s="168"/>
      <c r="N506" s="169"/>
    </row>
    <row r="507">
      <c r="G507" s="168"/>
      <c r="L507" s="168"/>
      <c r="N507" s="169"/>
    </row>
    <row r="508">
      <c r="G508" s="168"/>
      <c r="L508" s="168"/>
      <c r="N508" s="169"/>
    </row>
    <row r="509">
      <c r="G509" s="168"/>
      <c r="L509" s="168"/>
      <c r="N509" s="169"/>
    </row>
    <row r="510">
      <c r="G510" s="168"/>
      <c r="L510" s="168"/>
      <c r="N510" s="169"/>
    </row>
    <row r="511">
      <c r="G511" s="168"/>
      <c r="L511" s="168"/>
      <c r="N511" s="169"/>
    </row>
    <row r="512">
      <c r="G512" s="168"/>
      <c r="L512" s="168"/>
      <c r="N512" s="169"/>
    </row>
    <row r="513">
      <c r="G513" s="168"/>
      <c r="L513" s="168"/>
      <c r="N513" s="169"/>
    </row>
    <row r="514">
      <c r="G514" s="168"/>
      <c r="L514" s="168"/>
      <c r="N514" s="169"/>
    </row>
    <row r="515">
      <c r="G515" s="168"/>
      <c r="L515" s="168"/>
      <c r="N515" s="169"/>
    </row>
    <row r="516">
      <c r="G516" s="168"/>
      <c r="L516" s="168"/>
      <c r="N516" s="169"/>
    </row>
    <row r="517">
      <c r="G517" s="168"/>
      <c r="L517" s="168"/>
      <c r="N517" s="169"/>
    </row>
    <row r="518">
      <c r="G518" s="168"/>
      <c r="L518" s="168"/>
      <c r="N518" s="169"/>
    </row>
    <row r="519">
      <c r="G519" s="168"/>
      <c r="L519" s="168"/>
      <c r="N519" s="169"/>
    </row>
    <row r="520">
      <c r="G520" s="168"/>
      <c r="L520" s="168"/>
      <c r="N520" s="169"/>
    </row>
    <row r="521">
      <c r="G521" s="168"/>
      <c r="L521" s="168"/>
      <c r="N521" s="169"/>
    </row>
    <row r="522">
      <c r="G522" s="168"/>
      <c r="L522" s="168"/>
      <c r="N522" s="169"/>
    </row>
    <row r="523">
      <c r="G523" s="168"/>
      <c r="L523" s="168"/>
      <c r="N523" s="169"/>
    </row>
    <row r="524">
      <c r="G524" s="168"/>
      <c r="L524" s="168"/>
      <c r="N524" s="169"/>
    </row>
    <row r="525">
      <c r="G525" s="168"/>
      <c r="L525" s="168"/>
      <c r="N525" s="169"/>
    </row>
    <row r="526">
      <c r="G526" s="168"/>
      <c r="L526" s="168"/>
      <c r="N526" s="169"/>
    </row>
    <row r="527">
      <c r="G527" s="168"/>
      <c r="L527" s="168"/>
      <c r="N527" s="169"/>
    </row>
    <row r="528">
      <c r="G528" s="168"/>
      <c r="L528" s="168"/>
      <c r="N528" s="169"/>
    </row>
    <row r="529">
      <c r="G529" s="168"/>
      <c r="L529" s="168"/>
      <c r="N529" s="169"/>
    </row>
    <row r="530">
      <c r="G530" s="168"/>
      <c r="L530" s="168"/>
      <c r="N530" s="169"/>
    </row>
    <row r="531">
      <c r="G531" s="168"/>
      <c r="L531" s="168"/>
      <c r="N531" s="169"/>
    </row>
    <row r="532">
      <c r="G532" s="168"/>
      <c r="L532" s="168"/>
      <c r="N532" s="169"/>
    </row>
    <row r="533">
      <c r="G533" s="168"/>
      <c r="L533" s="168"/>
      <c r="N533" s="169"/>
    </row>
    <row r="534">
      <c r="G534" s="168"/>
      <c r="L534" s="168"/>
      <c r="N534" s="169"/>
    </row>
    <row r="535">
      <c r="G535" s="168"/>
      <c r="L535" s="168"/>
      <c r="N535" s="169"/>
    </row>
    <row r="536">
      <c r="G536" s="168"/>
      <c r="L536" s="168"/>
      <c r="N536" s="169"/>
    </row>
    <row r="537">
      <c r="G537" s="168"/>
      <c r="L537" s="168"/>
      <c r="N537" s="169"/>
    </row>
    <row r="538">
      <c r="G538" s="168"/>
      <c r="L538" s="168"/>
      <c r="N538" s="169"/>
    </row>
    <row r="539">
      <c r="G539" s="168"/>
      <c r="L539" s="168"/>
      <c r="N539" s="169"/>
    </row>
    <row r="540">
      <c r="G540" s="168"/>
      <c r="L540" s="168"/>
      <c r="N540" s="169"/>
    </row>
    <row r="541">
      <c r="G541" s="168"/>
      <c r="L541" s="168"/>
      <c r="N541" s="169"/>
    </row>
    <row r="542">
      <c r="G542" s="168"/>
      <c r="L542" s="168"/>
      <c r="N542" s="169"/>
    </row>
    <row r="543">
      <c r="G543" s="168"/>
      <c r="L543" s="168"/>
      <c r="N543" s="169"/>
    </row>
    <row r="544">
      <c r="G544" s="168"/>
      <c r="L544" s="168"/>
      <c r="N544" s="169"/>
    </row>
    <row r="545">
      <c r="G545" s="168"/>
      <c r="L545" s="168"/>
      <c r="N545" s="169"/>
    </row>
    <row r="546">
      <c r="G546" s="168"/>
      <c r="L546" s="168"/>
      <c r="N546" s="169"/>
    </row>
    <row r="547">
      <c r="G547" s="168"/>
      <c r="L547" s="168"/>
      <c r="N547" s="169"/>
    </row>
    <row r="548">
      <c r="G548" s="168"/>
      <c r="L548" s="168"/>
      <c r="N548" s="169"/>
    </row>
    <row r="549">
      <c r="G549" s="168"/>
      <c r="L549" s="168"/>
      <c r="N549" s="169"/>
    </row>
    <row r="550">
      <c r="G550" s="168"/>
      <c r="L550" s="168"/>
      <c r="N550" s="169"/>
    </row>
    <row r="551">
      <c r="G551" s="168"/>
      <c r="L551" s="168"/>
      <c r="N551" s="169"/>
    </row>
    <row r="552">
      <c r="G552" s="168"/>
      <c r="L552" s="168"/>
      <c r="N552" s="169"/>
    </row>
    <row r="553">
      <c r="G553" s="168"/>
      <c r="L553" s="168"/>
      <c r="N553" s="169"/>
    </row>
    <row r="554">
      <c r="G554" s="168"/>
      <c r="L554" s="168"/>
      <c r="N554" s="169"/>
    </row>
    <row r="555">
      <c r="G555" s="168"/>
      <c r="L555" s="168"/>
      <c r="N555" s="169"/>
    </row>
    <row r="556">
      <c r="G556" s="168"/>
      <c r="L556" s="168"/>
      <c r="N556" s="169"/>
    </row>
    <row r="557">
      <c r="G557" s="168"/>
      <c r="L557" s="168"/>
      <c r="N557" s="169"/>
    </row>
    <row r="558">
      <c r="G558" s="168"/>
      <c r="L558" s="168"/>
      <c r="N558" s="169"/>
    </row>
    <row r="559">
      <c r="G559" s="168"/>
      <c r="L559" s="168"/>
      <c r="N559" s="169"/>
    </row>
    <row r="560">
      <c r="G560" s="168"/>
      <c r="L560" s="168"/>
      <c r="N560" s="169"/>
    </row>
    <row r="561">
      <c r="G561" s="168"/>
      <c r="L561" s="168"/>
      <c r="N561" s="169"/>
    </row>
    <row r="562">
      <c r="G562" s="168"/>
      <c r="L562" s="168"/>
      <c r="N562" s="169"/>
    </row>
    <row r="563">
      <c r="G563" s="168"/>
      <c r="L563" s="168"/>
      <c r="N563" s="169"/>
    </row>
    <row r="564">
      <c r="G564" s="168"/>
      <c r="L564" s="168"/>
      <c r="N564" s="169"/>
    </row>
    <row r="565">
      <c r="G565" s="168"/>
      <c r="L565" s="168"/>
      <c r="N565" s="169"/>
    </row>
    <row r="566">
      <c r="G566" s="168"/>
      <c r="L566" s="168"/>
      <c r="N566" s="169"/>
    </row>
    <row r="567">
      <c r="G567" s="168"/>
      <c r="L567" s="168"/>
      <c r="N567" s="169"/>
    </row>
    <row r="568">
      <c r="G568" s="168"/>
      <c r="L568" s="168"/>
      <c r="N568" s="169"/>
    </row>
    <row r="569">
      <c r="G569" s="168"/>
      <c r="L569" s="168"/>
      <c r="N569" s="169"/>
    </row>
    <row r="570">
      <c r="G570" s="168"/>
      <c r="L570" s="168"/>
      <c r="N570" s="169"/>
    </row>
    <row r="571">
      <c r="G571" s="168"/>
      <c r="L571" s="168"/>
      <c r="N571" s="169"/>
    </row>
    <row r="572">
      <c r="G572" s="168"/>
      <c r="L572" s="168"/>
      <c r="N572" s="169"/>
    </row>
    <row r="573">
      <c r="G573" s="168"/>
      <c r="L573" s="168"/>
      <c r="N573" s="169"/>
    </row>
    <row r="574">
      <c r="G574" s="168"/>
      <c r="L574" s="168"/>
      <c r="N574" s="169"/>
    </row>
    <row r="575">
      <c r="G575" s="168"/>
      <c r="L575" s="168"/>
      <c r="N575" s="169"/>
    </row>
    <row r="576">
      <c r="G576" s="168"/>
      <c r="L576" s="168"/>
      <c r="N576" s="169"/>
    </row>
    <row r="577">
      <c r="G577" s="168"/>
      <c r="L577" s="168"/>
      <c r="N577" s="169"/>
    </row>
    <row r="578">
      <c r="G578" s="168"/>
      <c r="L578" s="168"/>
      <c r="N578" s="169"/>
    </row>
    <row r="579">
      <c r="G579" s="168"/>
      <c r="L579" s="168"/>
      <c r="N579" s="169"/>
    </row>
    <row r="580">
      <c r="G580" s="168"/>
      <c r="L580" s="168"/>
      <c r="N580" s="169"/>
    </row>
    <row r="581">
      <c r="G581" s="168"/>
      <c r="L581" s="168"/>
      <c r="N581" s="169"/>
    </row>
    <row r="582">
      <c r="G582" s="168"/>
      <c r="L582" s="168"/>
      <c r="N582" s="169"/>
    </row>
    <row r="583">
      <c r="G583" s="168"/>
      <c r="L583" s="168"/>
      <c r="N583" s="169"/>
    </row>
    <row r="584">
      <c r="G584" s="168"/>
      <c r="L584" s="168"/>
      <c r="N584" s="169"/>
    </row>
    <row r="585">
      <c r="G585" s="168"/>
      <c r="L585" s="168"/>
      <c r="N585" s="169"/>
    </row>
    <row r="586">
      <c r="G586" s="168"/>
      <c r="L586" s="168"/>
      <c r="N586" s="169"/>
    </row>
    <row r="587">
      <c r="G587" s="168"/>
      <c r="L587" s="168"/>
      <c r="N587" s="169"/>
    </row>
    <row r="588">
      <c r="G588" s="168"/>
      <c r="L588" s="168"/>
      <c r="N588" s="169"/>
    </row>
    <row r="589">
      <c r="G589" s="168"/>
      <c r="L589" s="168"/>
      <c r="N589" s="169"/>
    </row>
    <row r="590">
      <c r="G590" s="168"/>
      <c r="L590" s="168"/>
      <c r="N590" s="169"/>
    </row>
    <row r="591">
      <c r="G591" s="168"/>
      <c r="L591" s="168"/>
      <c r="N591" s="169"/>
    </row>
    <row r="592">
      <c r="G592" s="168"/>
      <c r="L592" s="168"/>
      <c r="N592" s="169"/>
    </row>
    <row r="593">
      <c r="G593" s="168"/>
      <c r="L593" s="168"/>
      <c r="N593" s="169"/>
    </row>
    <row r="594">
      <c r="G594" s="168"/>
      <c r="L594" s="168"/>
      <c r="N594" s="169"/>
    </row>
    <row r="595">
      <c r="G595" s="168"/>
      <c r="L595" s="168"/>
      <c r="N595" s="169"/>
    </row>
    <row r="596">
      <c r="G596" s="168"/>
      <c r="L596" s="168"/>
      <c r="N596" s="169"/>
    </row>
    <row r="597">
      <c r="G597" s="168"/>
      <c r="L597" s="168"/>
      <c r="N597" s="169"/>
    </row>
    <row r="598">
      <c r="G598" s="168"/>
      <c r="L598" s="168"/>
      <c r="N598" s="169"/>
    </row>
    <row r="599">
      <c r="G599" s="168"/>
      <c r="L599" s="168"/>
      <c r="N599" s="169"/>
    </row>
    <row r="600">
      <c r="G600" s="168"/>
      <c r="L600" s="168"/>
      <c r="N600" s="169"/>
    </row>
    <row r="601">
      <c r="G601" s="168"/>
      <c r="L601" s="168"/>
      <c r="N601" s="169"/>
    </row>
    <row r="602">
      <c r="G602" s="168"/>
      <c r="L602" s="168"/>
      <c r="N602" s="169"/>
    </row>
    <row r="603">
      <c r="G603" s="168"/>
      <c r="L603" s="168"/>
      <c r="N603" s="169"/>
    </row>
    <row r="604">
      <c r="G604" s="168"/>
      <c r="L604" s="168"/>
      <c r="N604" s="169"/>
    </row>
    <row r="605">
      <c r="G605" s="168"/>
      <c r="L605" s="168"/>
      <c r="N605" s="169"/>
    </row>
    <row r="606">
      <c r="G606" s="168"/>
      <c r="L606" s="168"/>
      <c r="N606" s="169"/>
    </row>
    <row r="607">
      <c r="G607" s="168"/>
      <c r="L607" s="168"/>
      <c r="N607" s="169"/>
    </row>
    <row r="608">
      <c r="G608" s="168"/>
      <c r="L608" s="168"/>
      <c r="N608" s="169"/>
    </row>
    <row r="609">
      <c r="G609" s="168"/>
      <c r="L609" s="168"/>
      <c r="N609" s="169"/>
    </row>
    <row r="610">
      <c r="G610" s="168"/>
      <c r="L610" s="168"/>
      <c r="N610" s="169"/>
    </row>
    <row r="611">
      <c r="G611" s="168"/>
      <c r="L611" s="168"/>
      <c r="N611" s="169"/>
    </row>
    <row r="612">
      <c r="G612" s="168"/>
      <c r="L612" s="168"/>
      <c r="N612" s="169"/>
    </row>
    <row r="613">
      <c r="G613" s="168"/>
      <c r="L613" s="168"/>
      <c r="N613" s="169"/>
    </row>
    <row r="614">
      <c r="G614" s="168"/>
      <c r="L614" s="168"/>
      <c r="N614" s="169"/>
    </row>
    <row r="615">
      <c r="G615" s="168"/>
      <c r="L615" s="168"/>
      <c r="N615" s="169"/>
    </row>
    <row r="616">
      <c r="G616" s="168"/>
      <c r="L616" s="168"/>
      <c r="N616" s="169"/>
    </row>
    <row r="617">
      <c r="G617" s="168"/>
      <c r="L617" s="168"/>
      <c r="N617" s="169"/>
    </row>
    <row r="618">
      <c r="G618" s="168"/>
      <c r="L618" s="168"/>
      <c r="N618" s="169"/>
    </row>
    <row r="619">
      <c r="G619" s="168"/>
      <c r="L619" s="168"/>
      <c r="N619" s="169"/>
    </row>
    <row r="620">
      <c r="G620" s="168"/>
      <c r="L620" s="168"/>
      <c r="N620" s="169"/>
    </row>
    <row r="621">
      <c r="G621" s="168"/>
      <c r="L621" s="168"/>
      <c r="N621" s="169"/>
    </row>
    <row r="622">
      <c r="G622" s="168"/>
      <c r="L622" s="168"/>
      <c r="N622" s="169"/>
    </row>
    <row r="623">
      <c r="G623" s="168"/>
      <c r="L623" s="168"/>
      <c r="N623" s="169"/>
    </row>
    <row r="624">
      <c r="G624" s="168"/>
      <c r="L624" s="168"/>
      <c r="N624" s="169"/>
    </row>
    <row r="625">
      <c r="G625" s="168"/>
      <c r="L625" s="168"/>
      <c r="N625" s="169"/>
    </row>
    <row r="626">
      <c r="G626" s="168"/>
      <c r="L626" s="168"/>
      <c r="N626" s="169"/>
    </row>
    <row r="627">
      <c r="G627" s="168"/>
      <c r="L627" s="168"/>
      <c r="N627" s="169"/>
    </row>
    <row r="628">
      <c r="G628" s="168"/>
      <c r="L628" s="168"/>
      <c r="N628" s="169"/>
    </row>
    <row r="629">
      <c r="G629" s="168"/>
      <c r="L629" s="168"/>
      <c r="N629" s="169"/>
    </row>
    <row r="630">
      <c r="G630" s="168"/>
      <c r="L630" s="168"/>
      <c r="N630" s="169"/>
    </row>
    <row r="631">
      <c r="G631" s="168"/>
      <c r="L631" s="168"/>
      <c r="N631" s="169"/>
    </row>
    <row r="632">
      <c r="G632" s="168"/>
      <c r="L632" s="168"/>
      <c r="N632" s="169"/>
    </row>
    <row r="633">
      <c r="G633" s="168"/>
      <c r="L633" s="168"/>
      <c r="N633" s="169"/>
    </row>
    <row r="634">
      <c r="G634" s="168"/>
      <c r="L634" s="168"/>
      <c r="N634" s="169"/>
    </row>
    <row r="635">
      <c r="G635" s="168"/>
      <c r="L635" s="168"/>
      <c r="N635" s="169"/>
    </row>
    <row r="636">
      <c r="G636" s="168"/>
      <c r="L636" s="168"/>
      <c r="N636" s="169"/>
    </row>
    <row r="637">
      <c r="G637" s="168"/>
      <c r="L637" s="168"/>
      <c r="N637" s="169"/>
    </row>
    <row r="638">
      <c r="G638" s="168"/>
      <c r="L638" s="168"/>
      <c r="N638" s="169"/>
    </row>
    <row r="639">
      <c r="G639" s="168"/>
      <c r="L639" s="168"/>
      <c r="N639" s="169"/>
    </row>
    <row r="640">
      <c r="G640" s="168"/>
      <c r="L640" s="168"/>
      <c r="N640" s="169"/>
    </row>
    <row r="641">
      <c r="G641" s="168"/>
      <c r="L641" s="168"/>
      <c r="N641" s="169"/>
    </row>
    <row r="642">
      <c r="G642" s="168"/>
      <c r="L642" s="168"/>
      <c r="N642" s="169"/>
    </row>
    <row r="643">
      <c r="G643" s="168"/>
      <c r="L643" s="168"/>
      <c r="N643" s="169"/>
    </row>
    <row r="644">
      <c r="G644" s="168"/>
      <c r="L644" s="168"/>
      <c r="N644" s="169"/>
    </row>
    <row r="645">
      <c r="G645" s="168"/>
      <c r="L645" s="168"/>
      <c r="N645" s="169"/>
    </row>
    <row r="646">
      <c r="G646" s="168"/>
      <c r="L646" s="168"/>
      <c r="N646" s="169"/>
    </row>
    <row r="647">
      <c r="G647" s="168"/>
      <c r="L647" s="168"/>
      <c r="N647" s="169"/>
    </row>
    <row r="648">
      <c r="G648" s="168"/>
      <c r="L648" s="168"/>
      <c r="N648" s="169"/>
    </row>
    <row r="649">
      <c r="G649" s="168"/>
      <c r="L649" s="168"/>
      <c r="N649" s="169"/>
    </row>
    <row r="650">
      <c r="G650" s="168"/>
      <c r="L650" s="168"/>
      <c r="N650" s="169"/>
    </row>
    <row r="651">
      <c r="G651" s="168"/>
      <c r="L651" s="168"/>
      <c r="N651" s="169"/>
    </row>
    <row r="652">
      <c r="G652" s="168"/>
      <c r="L652" s="168"/>
      <c r="N652" s="169"/>
    </row>
    <row r="653">
      <c r="G653" s="168"/>
      <c r="L653" s="168"/>
      <c r="N653" s="169"/>
    </row>
    <row r="654">
      <c r="G654" s="168"/>
      <c r="L654" s="168"/>
      <c r="N654" s="169"/>
    </row>
    <row r="655">
      <c r="G655" s="168"/>
      <c r="L655" s="168"/>
      <c r="N655" s="169"/>
    </row>
    <row r="656">
      <c r="G656" s="168"/>
      <c r="L656" s="168"/>
      <c r="N656" s="169"/>
    </row>
    <row r="657">
      <c r="G657" s="168"/>
      <c r="L657" s="168"/>
      <c r="N657" s="169"/>
    </row>
    <row r="658">
      <c r="G658" s="168"/>
      <c r="L658" s="168"/>
      <c r="N658" s="169"/>
    </row>
    <row r="659">
      <c r="G659" s="168"/>
      <c r="L659" s="168"/>
      <c r="N659" s="169"/>
    </row>
    <row r="660">
      <c r="G660" s="168"/>
      <c r="L660" s="168"/>
      <c r="N660" s="169"/>
    </row>
    <row r="661">
      <c r="G661" s="168"/>
      <c r="L661" s="168"/>
      <c r="N661" s="169"/>
    </row>
    <row r="662">
      <c r="G662" s="168"/>
      <c r="L662" s="168"/>
      <c r="N662" s="169"/>
    </row>
    <row r="663">
      <c r="G663" s="168"/>
      <c r="L663" s="168"/>
      <c r="N663" s="169"/>
    </row>
    <row r="664">
      <c r="G664" s="168"/>
      <c r="L664" s="168"/>
      <c r="N664" s="169"/>
    </row>
    <row r="665">
      <c r="G665" s="168"/>
      <c r="L665" s="168"/>
      <c r="N665" s="169"/>
    </row>
    <row r="666">
      <c r="G666" s="168"/>
      <c r="L666" s="168"/>
      <c r="N666" s="169"/>
    </row>
    <row r="667">
      <c r="G667" s="168"/>
      <c r="L667" s="168"/>
      <c r="N667" s="169"/>
    </row>
    <row r="668">
      <c r="G668" s="168"/>
      <c r="L668" s="168"/>
      <c r="N668" s="169"/>
    </row>
    <row r="669">
      <c r="G669" s="168"/>
      <c r="L669" s="168"/>
      <c r="N669" s="169"/>
    </row>
    <row r="670">
      <c r="G670" s="168"/>
      <c r="L670" s="168"/>
      <c r="N670" s="169"/>
    </row>
    <row r="671">
      <c r="G671" s="168"/>
      <c r="L671" s="168"/>
      <c r="N671" s="169"/>
    </row>
    <row r="672">
      <c r="G672" s="168"/>
      <c r="L672" s="168"/>
      <c r="N672" s="169"/>
    </row>
    <row r="673">
      <c r="G673" s="168"/>
      <c r="L673" s="168"/>
      <c r="N673" s="169"/>
    </row>
    <row r="674">
      <c r="G674" s="168"/>
      <c r="L674" s="168"/>
      <c r="N674" s="169"/>
    </row>
    <row r="675">
      <c r="G675" s="168"/>
      <c r="L675" s="168"/>
      <c r="N675" s="169"/>
    </row>
    <row r="676">
      <c r="G676" s="168"/>
      <c r="L676" s="168"/>
      <c r="N676" s="169"/>
    </row>
    <row r="677">
      <c r="G677" s="168"/>
      <c r="L677" s="168"/>
      <c r="N677" s="169"/>
    </row>
    <row r="678">
      <c r="G678" s="168"/>
      <c r="L678" s="168"/>
      <c r="N678" s="169"/>
    </row>
    <row r="679">
      <c r="G679" s="168"/>
      <c r="L679" s="168"/>
      <c r="N679" s="169"/>
    </row>
    <row r="680">
      <c r="G680" s="168"/>
      <c r="L680" s="168"/>
      <c r="N680" s="169"/>
    </row>
    <row r="681">
      <c r="G681" s="168"/>
      <c r="L681" s="168"/>
      <c r="N681" s="169"/>
    </row>
    <row r="682">
      <c r="G682" s="168"/>
      <c r="L682" s="168"/>
      <c r="N682" s="169"/>
    </row>
    <row r="683">
      <c r="G683" s="168"/>
      <c r="L683" s="168"/>
      <c r="N683" s="169"/>
    </row>
    <row r="684">
      <c r="G684" s="168"/>
      <c r="L684" s="168"/>
      <c r="N684" s="169"/>
    </row>
    <row r="685">
      <c r="G685" s="168"/>
      <c r="L685" s="168"/>
      <c r="N685" s="169"/>
    </row>
    <row r="686">
      <c r="G686" s="168"/>
      <c r="L686" s="168"/>
      <c r="N686" s="169"/>
    </row>
    <row r="687">
      <c r="G687" s="168"/>
      <c r="L687" s="168"/>
      <c r="N687" s="169"/>
    </row>
    <row r="688">
      <c r="G688" s="168"/>
      <c r="L688" s="168"/>
      <c r="N688" s="169"/>
    </row>
    <row r="689">
      <c r="G689" s="168"/>
      <c r="L689" s="168"/>
      <c r="N689" s="169"/>
    </row>
    <row r="690">
      <c r="G690" s="168"/>
      <c r="L690" s="168"/>
      <c r="N690" s="169"/>
    </row>
    <row r="691">
      <c r="G691" s="168"/>
      <c r="L691" s="168"/>
      <c r="N691" s="169"/>
    </row>
    <row r="692">
      <c r="G692" s="168"/>
      <c r="L692" s="168"/>
      <c r="N692" s="169"/>
    </row>
    <row r="693">
      <c r="G693" s="168"/>
      <c r="L693" s="168"/>
      <c r="N693" s="169"/>
    </row>
    <row r="694">
      <c r="G694" s="168"/>
      <c r="L694" s="168"/>
      <c r="N694" s="169"/>
    </row>
    <row r="695">
      <c r="G695" s="168"/>
      <c r="L695" s="168"/>
      <c r="N695" s="169"/>
    </row>
    <row r="696">
      <c r="G696" s="168"/>
      <c r="L696" s="168"/>
      <c r="N696" s="169"/>
    </row>
    <row r="697">
      <c r="G697" s="168"/>
      <c r="L697" s="168"/>
      <c r="N697" s="169"/>
    </row>
    <row r="698">
      <c r="G698" s="168"/>
      <c r="L698" s="168"/>
      <c r="N698" s="169"/>
    </row>
    <row r="699">
      <c r="G699" s="168"/>
      <c r="L699" s="168"/>
      <c r="N699" s="169"/>
    </row>
    <row r="700">
      <c r="G700" s="168"/>
      <c r="L700" s="168"/>
      <c r="N700" s="169"/>
    </row>
    <row r="701">
      <c r="G701" s="168"/>
      <c r="L701" s="168"/>
      <c r="N701" s="169"/>
    </row>
    <row r="702">
      <c r="G702" s="168"/>
      <c r="L702" s="168"/>
      <c r="N702" s="169"/>
    </row>
    <row r="703">
      <c r="G703" s="168"/>
      <c r="L703" s="168"/>
      <c r="N703" s="169"/>
    </row>
    <row r="704">
      <c r="G704" s="168"/>
      <c r="L704" s="168"/>
      <c r="N704" s="169"/>
    </row>
    <row r="705">
      <c r="G705" s="168"/>
      <c r="L705" s="168"/>
      <c r="N705" s="169"/>
    </row>
    <row r="706">
      <c r="G706" s="168"/>
      <c r="L706" s="168"/>
      <c r="N706" s="169"/>
    </row>
    <row r="707">
      <c r="G707" s="168"/>
      <c r="L707" s="168"/>
      <c r="N707" s="169"/>
    </row>
    <row r="708">
      <c r="G708" s="168"/>
      <c r="L708" s="168"/>
      <c r="N708" s="169"/>
    </row>
    <row r="709">
      <c r="G709" s="168"/>
      <c r="L709" s="168"/>
      <c r="N709" s="169"/>
    </row>
    <row r="710">
      <c r="G710" s="168"/>
      <c r="L710" s="168"/>
      <c r="N710" s="169"/>
    </row>
    <row r="711">
      <c r="G711" s="168"/>
      <c r="L711" s="168"/>
      <c r="N711" s="169"/>
    </row>
    <row r="712">
      <c r="G712" s="168"/>
      <c r="L712" s="168"/>
      <c r="N712" s="169"/>
    </row>
    <row r="713">
      <c r="G713" s="168"/>
      <c r="L713" s="168"/>
      <c r="N713" s="169"/>
    </row>
    <row r="714">
      <c r="G714" s="168"/>
      <c r="L714" s="168"/>
      <c r="N714" s="169"/>
    </row>
    <row r="715">
      <c r="G715" s="168"/>
      <c r="L715" s="168"/>
      <c r="N715" s="169"/>
    </row>
    <row r="716">
      <c r="G716" s="168"/>
      <c r="L716" s="168"/>
      <c r="N716" s="169"/>
    </row>
    <row r="717">
      <c r="G717" s="168"/>
      <c r="L717" s="168"/>
      <c r="N717" s="169"/>
    </row>
    <row r="718">
      <c r="G718" s="168"/>
      <c r="L718" s="168"/>
      <c r="N718" s="169"/>
    </row>
    <row r="719">
      <c r="G719" s="168"/>
      <c r="L719" s="168"/>
      <c r="N719" s="169"/>
    </row>
    <row r="720">
      <c r="G720" s="168"/>
      <c r="L720" s="168"/>
      <c r="N720" s="169"/>
    </row>
    <row r="721">
      <c r="G721" s="168"/>
      <c r="L721" s="168"/>
      <c r="N721" s="169"/>
    </row>
    <row r="722">
      <c r="G722" s="168"/>
      <c r="L722" s="168"/>
      <c r="N722" s="169"/>
    </row>
    <row r="723">
      <c r="G723" s="168"/>
      <c r="L723" s="168"/>
      <c r="N723" s="169"/>
    </row>
    <row r="724">
      <c r="G724" s="168"/>
      <c r="L724" s="168"/>
      <c r="N724" s="169"/>
    </row>
    <row r="725">
      <c r="G725" s="168"/>
      <c r="L725" s="168"/>
      <c r="N725" s="169"/>
    </row>
    <row r="726">
      <c r="G726" s="168"/>
      <c r="L726" s="168"/>
      <c r="N726" s="169"/>
    </row>
    <row r="727">
      <c r="G727" s="168"/>
      <c r="L727" s="168"/>
      <c r="N727" s="169"/>
    </row>
    <row r="728">
      <c r="G728" s="168"/>
      <c r="L728" s="168"/>
      <c r="N728" s="169"/>
    </row>
    <row r="729">
      <c r="G729" s="168"/>
      <c r="L729" s="168"/>
      <c r="N729" s="169"/>
    </row>
    <row r="730">
      <c r="G730" s="168"/>
      <c r="L730" s="168"/>
      <c r="N730" s="169"/>
    </row>
    <row r="731">
      <c r="G731" s="168"/>
      <c r="L731" s="168"/>
      <c r="N731" s="169"/>
    </row>
    <row r="732">
      <c r="G732" s="168"/>
      <c r="L732" s="168"/>
      <c r="N732" s="169"/>
    </row>
    <row r="733">
      <c r="G733" s="168"/>
      <c r="L733" s="168"/>
      <c r="N733" s="169"/>
    </row>
    <row r="734">
      <c r="G734" s="168"/>
      <c r="L734" s="168"/>
      <c r="N734" s="169"/>
    </row>
    <row r="735">
      <c r="G735" s="168"/>
      <c r="L735" s="168"/>
      <c r="N735" s="169"/>
    </row>
    <row r="736">
      <c r="G736" s="168"/>
      <c r="L736" s="168"/>
      <c r="N736" s="169"/>
    </row>
    <row r="737">
      <c r="G737" s="168"/>
      <c r="L737" s="168"/>
      <c r="N737" s="169"/>
    </row>
    <row r="738">
      <c r="G738" s="168"/>
      <c r="L738" s="168"/>
      <c r="N738" s="169"/>
    </row>
    <row r="739">
      <c r="G739" s="168"/>
      <c r="L739" s="168"/>
      <c r="N739" s="169"/>
    </row>
    <row r="740">
      <c r="G740" s="168"/>
      <c r="L740" s="168"/>
      <c r="N740" s="169"/>
    </row>
    <row r="741">
      <c r="G741" s="168"/>
      <c r="L741" s="168"/>
      <c r="N741" s="169"/>
    </row>
    <row r="742">
      <c r="G742" s="168"/>
      <c r="L742" s="168"/>
      <c r="N742" s="169"/>
    </row>
    <row r="743">
      <c r="G743" s="168"/>
      <c r="L743" s="168"/>
      <c r="N743" s="169"/>
    </row>
    <row r="744">
      <c r="G744" s="168"/>
      <c r="L744" s="168"/>
      <c r="N744" s="169"/>
    </row>
    <row r="745">
      <c r="G745" s="168"/>
      <c r="L745" s="168"/>
      <c r="N745" s="169"/>
    </row>
    <row r="746">
      <c r="G746" s="168"/>
      <c r="L746" s="168"/>
      <c r="N746" s="169"/>
    </row>
    <row r="747">
      <c r="G747" s="168"/>
      <c r="L747" s="168"/>
      <c r="N747" s="169"/>
    </row>
    <row r="748">
      <c r="G748" s="168"/>
      <c r="L748" s="168"/>
      <c r="N748" s="169"/>
    </row>
    <row r="749">
      <c r="G749" s="168"/>
      <c r="L749" s="168"/>
      <c r="N749" s="169"/>
    </row>
    <row r="750">
      <c r="G750" s="168"/>
      <c r="L750" s="168"/>
      <c r="N750" s="169"/>
    </row>
    <row r="751">
      <c r="G751" s="168"/>
      <c r="L751" s="168"/>
      <c r="N751" s="169"/>
    </row>
    <row r="752">
      <c r="G752" s="168"/>
      <c r="L752" s="168"/>
      <c r="N752" s="169"/>
    </row>
    <row r="753">
      <c r="G753" s="168"/>
      <c r="L753" s="168"/>
      <c r="N753" s="169"/>
    </row>
    <row r="754">
      <c r="G754" s="168"/>
      <c r="L754" s="168"/>
      <c r="N754" s="169"/>
    </row>
    <row r="755">
      <c r="G755" s="168"/>
      <c r="L755" s="168"/>
      <c r="N755" s="169"/>
    </row>
    <row r="756">
      <c r="G756" s="168"/>
      <c r="L756" s="168"/>
      <c r="N756" s="169"/>
    </row>
    <row r="757">
      <c r="G757" s="168"/>
      <c r="L757" s="168"/>
      <c r="N757" s="169"/>
    </row>
    <row r="758">
      <c r="G758" s="168"/>
      <c r="L758" s="168"/>
      <c r="N758" s="169"/>
    </row>
    <row r="759">
      <c r="G759" s="168"/>
      <c r="L759" s="168"/>
      <c r="N759" s="169"/>
    </row>
    <row r="760">
      <c r="G760" s="168"/>
      <c r="L760" s="168"/>
      <c r="N760" s="169"/>
    </row>
    <row r="761">
      <c r="G761" s="168"/>
      <c r="L761" s="168"/>
      <c r="N761" s="169"/>
    </row>
    <row r="762">
      <c r="G762" s="168"/>
      <c r="L762" s="168"/>
      <c r="N762" s="169"/>
    </row>
    <row r="763">
      <c r="G763" s="168"/>
      <c r="L763" s="168"/>
      <c r="N763" s="169"/>
    </row>
    <row r="764">
      <c r="G764" s="168"/>
      <c r="L764" s="168"/>
      <c r="N764" s="169"/>
    </row>
    <row r="765">
      <c r="G765" s="168"/>
      <c r="L765" s="168"/>
      <c r="N765" s="169"/>
    </row>
    <row r="766">
      <c r="G766" s="168"/>
      <c r="L766" s="168"/>
      <c r="N766" s="169"/>
    </row>
    <row r="767">
      <c r="G767" s="168"/>
      <c r="L767" s="168"/>
      <c r="N767" s="169"/>
    </row>
    <row r="768">
      <c r="G768" s="168"/>
      <c r="L768" s="168"/>
      <c r="N768" s="169"/>
    </row>
    <row r="769">
      <c r="G769" s="168"/>
      <c r="L769" s="168"/>
      <c r="N769" s="169"/>
    </row>
    <row r="770">
      <c r="G770" s="168"/>
      <c r="L770" s="168"/>
      <c r="N770" s="169"/>
    </row>
    <row r="771">
      <c r="G771" s="168"/>
      <c r="L771" s="168"/>
      <c r="N771" s="169"/>
    </row>
    <row r="772">
      <c r="G772" s="168"/>
      <c r="L772" s="168"/>
      <c r="N772" s="169"/>
    </row>
    <row r="773">
      <c r="G773" s="168"/>
      <c r="L773" s="168"/>
      <c r="N773" s="169"/>
    </row>
    <row r="774">
      <c r="G774" s="168"/>
      <c r="L774" s="168"/>
      <c r="N774" s="169"/>
    </row>
    <row r="775">
      <c r="G775" s="168"/>
      <c r="L775" s="168"/>
      <c r="N775" s="169"/>
    </row>
    <row r="776">
      <c r="G776" s="168"/>
      <c r="L776" s="168"/>
      <c r="N776" s="169"/>
    </row>
    <row r="777">
      <c r="G777" s="168"/>
      <c r="L777" s="168"/>
      <c r="N777" s="169"/>
    </row>
    <row r="778">
      <c r="G778" s="168"/>
      <c r="L778" s="168"/>
      <c r="N778" s="169"/>
    </row>
    <row r="779">
      <c r="G779" s="168"/>
      <c r="L779" s="168"/>
      <c r="N779" s="169"/>
    </row>
    <row r="780">
      <c r="G780" s="168"/>
      <c r="L780" s="168"/>
      <c r="N780" s="169"/>
    </row>
    <row r="781">
      <c r="G781" s="168"/>
      <c r="L781" s="168"/>
      <c r="N781" s="169"/>
    </row>
    <row r="782">
      <c r="G782" s="168"/>
      <c r="L782" s="168"/>
      <c r="N782" s="169"/>
    </row>
    <row r="783">
      <c r="G783" s="168"/>
      <c r="L783" s="168"/>
      <c r="N783" s="169"/>
    </row>
    <row r="784">
      <c r="G784" s="168"/>
      <c r="L784" s="168"/>
      <c r="N784" s="169"/>
    </row>
    <row r="785">
      <c r="G785" s="168"/>
      <c r="L785" s="168"/>
      <c r="N785" s="169"/>
    </row>
    <row r="786">
      <c r="G786" s="168"/>
      <c r="L786" s="168"/>
      <c r="N786" s="169"/>
    </row>
    <row r="787">
      <c r="G787" s="168"/>
      <c r="L787" s="168"/>
      <c r="N787" s="169"/>
    </row>
    <row r="788">
      <c r="G788" s="168"/>
      <c r="L788" s="168"/>
      <c r="N788" s="169"/>
    </row>
    <row r="789">
      <c r="G789" s="168"/>
      <c r="L789" s="168"/>
      <c r="N789" s="169"/>
    </row>
    <row r="790">
      <c r="G790" s="168"/>
      <c r="L790" s="168"/>
      <c r="N790" s="169"/>
    </row>
    <row r="791">
      <c r="G791" s="168"/>
      <c r="L791" s="168"/>
      <c r="N791" s="169"/>
    </row>
    <row r="792">
      <c r="G792" s="168"/>
      <c r="L792" s="168"/>
      <c r="N792" s="169"/>
    </row>
    <row r="793">
      <c r="G793" s="168"/>
      <c r="L793" s="168"/>
      <c r="N793" s="169"/>
    </row>
    <row r="794">
      <c r="G794" s="168"/>
      <c r="L794" s="168"/>
      <c r="N794" s="169"/>
    </row>
    <row r="795">
      <c r="G795" s="168"/>
      <c r="L795" s="168"/>
      <c r="N795" s="169"/>
    </row>
    <row r="796">
      <c r="G796" s="168"/>
      <c r="L796" s="168"/>
      <c r="N796" s="169"/>
    </row>
    <row r="797">
      <c r="G797" s="168"/>
      <c r="L797" s="168"/>
      <c r="N797" s="169"/>
    </row>
    <row r="798">
      <c r="G798" s="168"/>
      <c r="L798" s="168"/>
      <c r="N798" s="169"/>
    </row>
    <row r="799">
      <c r="G799" s="168"/>
      <c r="L799" s="168"/>
      <c r="N799" s="169"/>
    </row>
    <row r="800">
      <c r="G800" s="168"/>
      <c r="L800" s="168"/>
      <c r="N800" s="169"/>
    </row>
    <row r="801">
      <c r="G801" s="168"/>
      <c r="L801" s="168"/>
      <c r="N801" s="169"/>
    </row>
    <row r="802">
      <c r="G802" s="168"/>
      <c r="L802" s="168"/>
      <c r="N802" s="169"/>
    </row>
    <row r="803">
      <c r="G803" s="168"/>
      <c r="L803" s="168"/>
      <c r="N803" s="169"/>
    </row>
    <row r="804">
      <c r="G804" s="168"/>
      <c r="L804" s="168"/>
      <c r="N804" s="169"/>
    </row>
    <row r="805">
      <c r="G805" s="168"/>
      <c r="L805" s="168"/>
      <c r="N805" s="169"/>
    </row>
    <row r="806">
      <c r="G806" s="168"/>
      <c r="L806" s="168"/>
      <c r="N806" s="169"/>
    </row>
    <row r="807">
      <c r="G807" s="168"/>
      <c r="L807" s="168"/>
      <c r="N807" s="169"/>
    </row>
    <row r="808">
      <c r="G808" s="168"/>
      <c r="L808" s="168"/>
      <c r="N808" s="169"/>
    </row>
    <row r="809">
      <c r="G809" s="168"/>
      <c r="L809" s="168"/>
      <c r="N809" s="169"/>
    </row>
    <row r="810">
      <c r="G810" s="168"/>
      <c r="L810" s="168"/>
      <c r="N810" s="169"/>
    </row>
    <row r="811">
      <c r="G811" s="168"/>
      <c r="L811" s="168"/>
      <c r="N811" s="169"/>
    </row>
    <row r="812">
      <c r="G812" s="168"/>
      <c r="L812" s="168"/>
      <c r="N812" s="169"/>
    </row>
    <row r="813">
      <c r="G813" s="168"/>
      <c r="L813" s="168"/>
      <c r="N813" s="169"/>
    </row>
    <row r="814">
      <c r="G814" s="168"/>
      <c r="L814" s="168"/>
      <c r="N814" s="169"/>
    </row>
    <row r="815">
      <c r="G815" s="168"/>
      <c r="L815" s="168"/>
      <c r="N815" s="169"/>
    </row>
    <row r="816">
      <c r="G816" s="168"/>
      <c r="L816" s="168"/>
      <c r="N816" s="169"/>
    </row>
    <row r="817">
      <c r="G817" s="168"/>
      <c r="L817" s="168"/>
      <c r="N817" s="169"/>
    </row>
    <row r="818">
      <c r="G818" s="168"/>
      <c r="L818" s="168"/>
      <c r="N818" s="169"/>
    </row>
    <row r="819">
      <c r="G819" s="168"/>
      <c r="L819" s="168"/>
      <c r="N819" s="169"/>
    </row>
    <row r="820">
      <c r="G820" s="168"/>
      <c r="L820" s="168"/>
      <c r="N820" s="169"/>
    </row>
    <row r="821">
      <c r="G821" s="168"/>
      <c r="L821" s="168"/>
      <c r="N821" s="169"/>
    </row>
    <row r="822">
      <c r="G822" s="168"/>
      <c r="L822" s="168"/>
      <c r="N822" s="169"/>
    </row>
    <row r="823">
      <c r="G823" s="168"/>
      <c r="L823" s="168"/>
      <c r="N823" s="169"/>
    </row>
    <row r="824">
      <c r="G824" s="168"/>
      <c r="L824" s="168"/>
      <c r="N824" s="169"/>
    </row>
    <row r="825">
      <c r="G825" s="168"/>
      <c r="L825" s="168"/>
      <c r="N825" s="169"/>
    </row>
    <row r="826">
      <c r="G826" s="168"/>
      <c r="L826" s="168"/>
      <c r="N826" s="169"/>
    </row>
    <row r="827">
      <c r="G827" s="168"/>
      <c r="L827" s="168"/>
      <c r="N827" s="169"/>
    </row>
    <row r="828">
      <c r="G828" s="168"/>
      <c r="L828" s="168"/>
      <c r="N828" s="169"/>
    </row>
    <row r="829">
      <c r="G829" s="168"/>
      <c r="L829" s="168"/>
      <c r="N829" s="169"/>
    </row>
    <row r="830">
      <c r="G830" s="168"/>
      <c r="L830" s="168"/>
      <c r="N830" s="169"/>
    </row>
    <row r="831">
      <c r="G831" s="168"/>
      <c r="L831" s="168"/>
      <c r="N831" s="169"/>
    </row>
    <row r="832">
      <c r="G832" s="168"/>
      <c r="L832" s="168"/>
      <c r="N832" s="169"/>
    </row>
    <row r="833">
      <c r="G833" s="168"/>
      <c r="L833" s="168"/>
      <c r="N833" s="169"/>
    </row>
    <row r="834">
      <c r="G834" s="168"/>
      <c r="L834" s="168"/>
      <c r="N834" s="169"/>
    </row>
    <row r="835">
      <c r="G835" s="168"/>
      <c r="L835" s="168"/>
      <c r="N835" s="169"/>
    </row>
    <row r="836">
      <c r="G836" s="168"/>
      <c r="L836" s="168"/>
      <c r="N836" s="169"/>
    </row>
    <row r="837">
      <c r="G837" s="168"/>
      <c r="L837" s="168"/>
      <c r="N837" s="169"/>
    </row>
    <row r="838">
      <c r="G838" s="168"/>
      <c r="L838" s="168"/>
      <c r="N838" s="169"/>
    </row>
    <row r="839">
      <c r="G839" s="168"/>
      <c r="L839" s="168"/>
      <c r="N839" s="169"/>
    </row>
    <row r="840">
      <c r="G840" s="168"/>
      <c r="L840" s="168"/>
      <c r="N840" s="169"/>
    </row>
    <row r="841">
      <c r="G841" s="168"/>
      <c r="L841" s="168"/>
      <c r="N841" s="169"/>
    </row>
    <row r="842">
      <c r="G842" s="168"/>
      <c r="L842" s="168"/>
      <c r="N842" s="169"/>
    </row>
    <row r="843">
      <c r="G843" s="168"/>
      <c r="L843" s="168"/>
      <c r="N843" s="169"/>
    </row>
    <row r="844">
      <c r="G844" s="168"/>
      <c r="L844" s="168"/>
      <c r="N844" s="169"/>
    </row>
    <row r="845">
      <c r="G845" s="168"/>
      <c r="L845" s="168"/>
      <c r="N845" s="169"/>
    </row>
    <row r="846">
      <c r="G846" s="168"/>
      <c r="L846" s="168"/>
      <c r="N846" s="169"/>
    </row>
    <row r="847">
      <c r="G847" s="168"/>
      <c r="L847" s="168"/>
      <c r="N847" s="169"/>
    </row>
    <row r="848">
      <c r="G848" s="168"/>
      <c r="L848" s="168"/>
      <c r="N848" s="169"/>
    </row>
    <row r="849">
      <c r="G849" s="168"/>
      <c r="L849" s="168"/>
      <c r="N849" s="169"/>
    </row>
    <row r="850">
      <c r="G850" s="168"/>
      <c r="L850" s="168"/>
      <c r="N850" s="169"/>
    </row>
    <row r="851">
      <c r="G851" s="168"/>
      <c r="L851" s="168"/>
      <c r="N851" s="169"/>
    </row>
    <row r="852">
      <c r="G852" s="168"/>
      <c r="L852" s="168"/>
      <c r="N852" s="169"/>
    </row>
    <row r="853">
      <c r="G853" s="168"/>
      <c r="L853" s="168"/>
      <c r="N853" s="169"/>
    </row>
    <row r="854">
      <c r="G854" s="168"/>
      <c r="L854" s="168"/>
      <c r="N854" s="169"/>
    </row>
    <row r="855">
      <c r="G855" s="168"/>
      <c r="L855" s="168"/>
      <c r="N855" s="169"/>
    </row>
    <row r="856">
      <c r="G856" s="168"/>
      <c r="L856" s="168"/>
      <c r="N856" s="169"/>
    </row>
    <row r="857">
      <c r="G857" s="168"/>
      <c r="L857" s="168"/>
      <c r="N857" s="169"/>
    </row>
    <row r="858">
      <c r="G858" s="168"/>
      <c r="L858" s="168"/>
      <c r="N858" s="169"/>
    </row>
    <row r="859">
      <c r="G859" s="168"/>
      <c r="L859" s="168"/>
      <c r="N859" s="169"/>
    </row>
    <row r="860">
      <c r="G860" s="168"/>
      <c r="L860" s="168"/>
      <c r="N860" s="169"/>
    </row>
    <row r="861">
      <c r="G861" s="168"/>
      <c r="L861" s="168"/>
      <c r="N861" s="169"/>
    </row>
    <row r="862">
      <c r="G862" s="168"/>
      <c r="L862" s="168"/>
      <c r="N862" s="169"/>
    </row>
    <row r="863">
      <c r="G863" s="168"/>
      <c r="L863" s="168"/>
      <c r="N863" s="169"/>
    </row>
    <row r="864">
      <c r="G864" s="168"/>
      <c r="L864" s="168"/>
      <c r="N864" s="169"/>
    </row>
    <row r="865">
      <c r="G865" s="168"/>
      <c r="L865" s="168"/>
      <c r="N865" s="169"/>
    </row>
    <row r="866">
      <c r="G866" s="168"/>
      <c r="L866" s="168"/>
      <c r="N866" s="169"/>
    </row>
    <row r="867">
      <c r="G867" s="168"/>
      <c r="L867" s="168"/>
      <c r="N867" s="169"/>
    </row>
    <row r="868">
      <c r="G868" s="168"/>
      <c r="L868" s="168"/>
      <c r="N868" s="169"/>
    </row>
    <row r="869">
      <c r="G869" s="168"/>
      <c r="L869" s="168"/>
      <c r="N869" s="169"/>
    </row>
    <row r="870">
      <c r="G870" s="168"/>
      <c r="L870" s="168"/>
      <c r="N870" s="169"/>
    </row>
    <row r="871">
      <c r="G871" s="168"/>
      <c r="L871" s="168"/>
      <c r="N871" s="169"/>
    </row>
    <row r="872">
      <c r="G872" s="168"/>
      <c r="L872" s="168"/>
      <c r="N872" s="169"/>
    </row>
    <row r="873">
      <c r="G873" s="168"/>
      <c r="L873" s="168"/>
      <c r="N873" s="169"/>
    </row>
    <row r="874">
      <c r="G874" s="168"/>
      <c r="L874" s="168"/>
      <c r="N874" s="169"/>
    </row>
    <row r="875">
      <c r="G875" s="168"/>
      <c r="L875" s="168"/>
      <c r="N875" s="169"/>
    </row>
    <row r="876">
      <c r="G876" s="168"/>
      <c r="L876" s="168"/>
      <c r="N876" s="169"/>
    </row>
    <row r="877">
      <c r="G877" s="168"/>
      <c r="L877" s="168"/>
      <c r="N877" s="169"/>
    </row>
    <row r="878">
      <c r="G878" s="168"/>
      <c r="L878" s="168"/>
      <c r="N878" s="169"/>
    </row>
    <row r="879">
      <c r="G879" s="168"/>
      <c r="L879" s="168"/>
      <c r="N879" s="169"/>
    </row>
    <row r="880">
      <c r="G880" s="168"/>
      <c r="L880" s="168"/>
      <c r="N880" s="169"/>
    </row>
    <row r="881">
      <c r="G881" s="168"/>
      <c r="L881" s="168"/>
      <c r="N881" s="169"/>
    </row>
    <row r="882">
      <c r="G882" s="168"/>
      <c r="L882" s="168"/>
      <c r="N882" s="169"/>
    </row>
    <row r="883">
      <c r="G883" s="168"/>
      <c r="L883" s="168"/>
      <c r="N883" s="169"/>
    </row>
    <row r="884">
      <c r="G884" s="168"/>
      <c r="L884" s="168"/>
      <c r="N884" s="169"/>
    </row>
    <row r="885">
      <c r="G885" s="168"/>
      <c r="L885" s="168"/>
      <c r="N885" s="169"/>
    </row>
    <row r="886">
      <c r="G886" s="168"/>
      <c r="L886" s="168"/>
      <c r="N886" s="169"/>
    </row>
    <row r="887">
      <c r="G887" s="168"/>
      <c r="L887" s="168"/>
      <c r="N887" s="169"/>
    </row>
    <row r="888">
      <c r="G888" s="168"/>
      <c r="L888" s="168"/>
      <c r="N888" s="169"/>
    </row>
    <row r="889">
      <c r="G889" s="168"/>
      <c r="L889" s="168"/>
      <c r="N889" s="169"/>
    </row>
    <row r="890">
      <c r="G890" s="168"/>
      <c r="L890" s="168"/>
      <c r="N890" s="169"/>
    </row>
    <row r="891">
      <c r="G891" s="168"/>
      <c r="L891" s="168"/>
      <c r="N891" s="169"/>
    </row>
    <row r="892">
      <c r="G892" s="168"/>
      <c r="L892" s="168"/>
      <c r="N892" s="169"/>
    </row>
    <row r="893">
      <c r="G893" s="168"/>
      <c r="L893" s="168"/>
      <c r="N893" s="169"/>
    </row>
    <row r="894">
      <c r="G894" s="168"/>
      <c r="L894" s="168"/>
      <c r="N894" s="169"/>
    </row>
    <row r="895">
      <c r="G895" s="168"/>
      <c r="L895" s="168"/>
      <c r="N895" s="169"/>
    </row>
    <row r="896">
      <c r="G896" s="168"/>
      <c r="L896" s="168"/>
      <c r="N896" s="169"/>
    </row>
    <row r="897">
      <c r="G897" s="168"/>
      <c r="L897" s="168"/>
      <c r="N897" s="169"/>
    </row>
    <row r="898">
      <c r="G898" s="168"/>
      <c r="L898" s="168"/>
      <c r="N898" s="169"/>
    </row>
    <row r="899">
      <c r="G899" s="168"/>
      <c r="L899" s="168"/>
      <c r="N899" s="169"/>
    </row>
    <row r="900">
      <c r="G900" s="168"/>
      <c r="L900" s="168"/>
      <c r="N900" s="169"/>
    </row>
    <row r="901">
      <c r="G901" s="168"/>
      <c r="L901" s="168"/>
      <c r="N901" s="169"/>
    </row>
    <row r="902">
      <c r="G902" s="168"/>
      <c r="L902" s="168"/>
      <c r="N902" s="169"/>
    </row>
    <row r="903">
      <c r="G903" s="168"/>
      <c r="L903" s="168"/>
      <c r="N903" s="169"/>
    </row>
    <row r="904">
      <c r="G904" s="168"/>
      <c r="L904" s="168"/>
      <c r="N904" s="169"/>
    </row>
    <row r="905">
      <c r="G905" s="168"/>
      <c r="L905" s="168"/>
      <c r="N905" s="169"/>
    </row>
    <row r="906">
      <c r="G906" s="168"/>
      <c r="L906" s="168"/>
      <c r="N906" s="169"/>
    </row>
    <row r="907">
      <c r="G907" s="168"/>
      <c r="L907" s="168"/>
      <c r="N907" s="169"/>
    </row>
    <row r="908">
      <c r="G908" s="168"/>
      <c r="L908" s="168"/>
      <c r="N908" s="169"/>
    </row>
    <row r="909">
      <c r="G909" s="168"/>
      <c r="L909" s="168"/>
      <c r="N909" s="169"/>
    </row>
    <row r="910">
      <c r="G910" s="168"/>
      <c r="L910" s="168"/>
      <c r="N910" s="169"/>
    </row>
    <row r="911">
      <c r="G911" s="168"/>
      <c r="L911" s="168"/>
      <c r="N911" s="169"/>
    </row>
    <row r="912">
      <c r="G912" s="168"/>
      <c r="L912" s="168"/>
      <c r="N912" s="169"/>
    </row>
    <row r="913">
      <c r="G913" s="168"/>
      <c r="L913" s="168"/>
      <c r="N913" s="169"/>
    </row>
    <row r="914">
      <c r="G914" s="168"/>
      <c r="L914" s="168"/>
      <c r="N914" s="169"/>
    </row>
    <row r="915">
      <c r="G915" s="168"/>
      <c r="L915" s="168"/>
      <c r="N915" s="169"/>
    </row>
    <row r="916">
      <c r="G916" s="168"/>
      <c r="L916" s="168"/>
      <c r="N916" s="169"/>
    </row>
    <row r="917">
      <c r="G917" s="168"/>
      <c r="L917" s="168"/>
      <c r="N917" s="169"/>
    </row>
    <row r="918">
      <c r="G918" s="168"/>
      <c r="L918" s="168"/>
      <c r="N918" s="169"/>
    </row>
    <row r="919">
      <c r="G919" s="168"/>
      <c r="L919" s="168"/>
      <c r="N919" s="169"/>
    </row>
    <row r="920">
      <c r="G920" s="168"/>
      <c r="L920" s="168"/>
      <c r="N920" s="169"/>
    </row>
    <row r="921">
      <c r="G921" s="168"/>
      <c r="L921" s="168"/>
      <c r="N921" s="169"/>
    </row>
    <row r="922">
      <c r="G922" s="168"/>
      <c r="L922" s="168"/>
      <c r="N922" s="169"/>
    </row>
    <row r="923">
      <c r="G923" s="168"/>
      <c r="L923" s="168"/>
      <c r="N923" s="169"/>
    </row>
    <row r="924">
      <c r="G924" s="168"/>
      <c r="L924" s="168"/>
      <c r="N924" s="169"/>
    </row>
    <row r="925">
      <c r="G925" s="168"/>
      <c r="L925" s="168"/>
      <c r="N925" s="169"/>
    </row>
    <row r="926">
      <c r="G926" s="168"/>
      <c r="L926" s="168"/>
      <c r="N926" s="169"/>
    </row>
    <row r="927">
      <c r="G927" s="168"/>
      <c r="L927" s="168"/>
      <c r="N927" s="169"/>
    </row>
    <row r="928">
      <c r="G928" s="168"/>
      <c r="L928" s="168"/>
      <c r="N928" s="169"/>
    </row>
    <row r="929">
      <c r="G929" s="168"/>
      <c r="L929" s="168"/>
      <c r="N929" s="169"/>
    </row>
    <row r="930">
      <c r="G930" s="168"/>
      <c r="L930" s="168"/>
      <c r="N930" s="169"/>
    </row>
    <row r="931">
      <c r="G931" s="168"/>
      <c r="L931" s="168"/>
      <c r="N931" s="169"/>
    </row>
    <row r="932">
      <c r="G932" s="168"/>
      <c r="L932" s="168"/>
      <c r="N932" s="169"/>
    </row>
    <row r="933">
      <c r="G933" s="168"/>
      <c r="L933" s="168"/>
      <c r="N933" s="169"/>
    </row>
    <row r="934">
      <c r="G934" s="168"/>
      <c r="L934" s="168"/>
      <c r="N934" s="169"/>
    </row>
    <row r="935">
      <c r="G935" s="168"/>
      <c r="L935" s="168"/>
      <c r="N935" s="169"/>
    </row>
    <row r="936">
      <c r="G936" s="168"/>
      <c r="L936" s="168"/>
      <c r="N936" s="169"/>
    </row>
    <row r="937">
      <c r="G937" s="168"/>
      <c r="L937" s="168"/>
      <c r="N937" s="169"/>
    </row>
    <row r="938">
      <c r="G938" s="168"/>
      <c r="L938" s="168"/>
      <c r="N938" s="169"/>
    </row>
    <row r="939">
      <c r="G939" s="168"/>
      <c r="L939" s="168"/>
      <c r="N939" s="169"/>
    </row>
    <row r="940">
      <c r="G940" s="168"/>
      <c r="L940" s="168"/>
      <c r="N940" s="169"/>
    </row>
    <row r="941">
      <c r="G941" s="168"/>
      <c r="L941" s="168"/>
      <c r="N941" s="169"/>
    </row>
    <row r="942">
      <c r="G942" s="168"/>
      <c r="L942" s="168"/>
      <c r="N942" s="169"/>
    </row>
    <row r="943">
      <c r="G943" s="168"/>
      <c r="L943" s="168"/>
      <c r="N943" s="169"/>
    </row>
    <row r="944">
      <c r="G944" s="168"/>
      <c r="L944" s="168"/>
      <c r="N944" s="169"/>
    </row>
    <row r="945">
      <c r="G945" s="168"/>
      <c r="L945" s="168"/>
      <c r="N945" s="169"/>
    </row>
    <row r="946">
      <c r="G946" s="168"/>
      <c r="L946" s="168"/>
      <c r="N946" s="169"/>
    </row>
    <row r="947">
      <c r="G947" s="168"/>
      <c r="L947" s="168"/>
      <c r="N947" s="169"/>
    </row>
    <row r="948">
      <c r="G948" s="168"/>
      <c r="L948" s="168"/>
      <c r="N948" s="169"/>
    </row>
    <row r="949">
      <c r="G949" s="168"/>
      <c r="L949" s="168"/>
      <c r="N949" s="169"/>
    </row>
    <row r="950">
      <c r="G950" s="168"/>
      <c r="L950" s="168"/>
      <c r="N950" s="169"/>
    </row>
    <row r="951">
      <c r="G951" s="168"/>
      <c r="L951" s="168"/>
      <c r="N951" s="169"/>
    </row>
    <row r="952">
      <c r="G952" s="168"/>
      <c r="L952" s="168"/>
      <c r="N952" s="169"/>
    </row>
    <row r="953">
      <c r="G953" s="168"/>
      <c r="L953" s="168"/>
      <c r="N953" s="169"/>
    </row>
    <row r="954">
      <c r="G954" s="168"/>
      <c r="L954" s="168"/>
      <c r="N954" s="169"/>
    </row>
    <row r="955">
      <c r="G955" s="168"/>
      <c r="L955" s="168"/>
      <c r="N955" s="169"/>
    </row>
    <row r="956">
      <c r="G956" s="168"/>
      <c r="L956" s="168"/>
      <c r="N956" s="169"/>
    </row>
    <row r="957">
      <c r="G957" s="168"/>
      <c r="L957" s="168"/>
      <c r="N957" s="169"/>
    </row>
    <row r="958">
      <c r="G958" s="168"/>
      <c r="L958" s="168"/>
      <c r="N958" s="169"/>
    </row>
    <row r="959">
      <c r="G959" s="168"/>
      <c r="L959" s="168"/>
      <c r="N959" s="169"/>
    </row>
    <row r="960">
      <c r="G960" s="168"/>
      <c r="L960" s="168"/>
      <c r="N960" s="169"/>
    </row>
    <row r="961">
      <c r="G961" s="168"/>
      <c r="L961" s="168"/>
      <c r="N961" s="169"/>
    </row>
    <row r="962">
      <c r="G962" s="168"/>
      <c r="L962" s="168"/>
      <c r="N962" s="169"/>
    </row>
    <row r="963">
      <c r="G963" s="168"/>
      <c r="L963" s="168"/>
      <c r="N963" s="169"/>
    </row>
    <row r="964">
      <c r="G964" s="168"/>
      <c r="L964" s="168"/>
      <c r="N964" s="169"/>
    </row>
    <row r="965">
      <c r="G965" s="168"/>
      <c r="L965" s="168"/>
      <c r="N965" s="169"/>
    </row>
    <row r="966">
      <c r="G966" s="168"/>
      <c r="L966" s="168"/>
      <c r="N966" s="169"/>
    </row>
    <row r="967">
      <c r="G967" s="168"/>
      <c r="L967" s="168"/>
      <c r="N967" s="169"/>
    </row>
    <row r="968">
      <c r="G968" s="168"/>
      <c r="L968" s="168"/>
      <c r="N968" s="169"/>
    </row>
    <row r="969">
      <c r="G969" s="168"/>
      <c r="L969" s="168"/>
      <c r="N969" s="169"/>
    </row>
    <row r="970">
      <c r="G970" s="168"/>
      <c r="L970" s="168"/>
      <c r="N970" s="169"/>
    </row>
    <row r="971">
      <c r="G971" s="168"/>
      <c r="L971" s="168"/>
      <c r="N971" s="169"/>
    </row>
    <row r="972">
      <c r="G972" s="168"/>
      <c r="L972" s="168"/>
      <c r="N972" s="169"/>
    </row>
    <row r="973">
      <c r="G973" s="168"/>
      <c r="L973" s="168"/>
      <c r="N973" s="169"/>
    </row>
    <row r="974">
      <c r="G974" s="168"/>
      <c r="L974" s="168"/>
      <c r="N974" s="169"/>
    </row>
    <row r="975">
      <c r="G975" s="168"/>
      <c r="L975" s="168"/>
      <c r="N975" s="169"/>
    </row>
    <row r="976">
      <c r="G976" s="168"/>
      <c r="L976" s="168"/>
      <c r="N976" s="169"/>
    </row>
    <row r="977">
      <c r="G977" s="168"/>
      <c r="L977" s="168"/>
      <c r="N977" s="169"/>
    </row>
    <row r="978">
      <c r="G978" s="168"/>
      <c r="L978" s="168"/>
      <c r="N978" s="169"/>
    </row>
    <row r="979">
      <c r="G979" s="168"/>
      <c r="L979" s="168"/>
      <c r="N979" s="169"/>
    </row>
    <row r="980">
      <c r="G980" s="168"/>
      <c r="L980" s="168"/>
      <c r="N980" s="169"/>
    </row>
    <row r="981">
      <c r="G981" s="168"/>
      <c r="L981" s="168"/>
      <c r="N981" s="169"/>
    </row>
    <row r="982">
      <c r="G982" s="168"/>
      <c r="L982" s="168"/>
      <c r="N982" s="169"/>
    </row>
    <row r="983">
      <c r="G983" s="168"/>
      <c r="L983" s="168"/>
      <c r="N983" s="169"/>
    </row>
    <row r="984">
      <c r="G984" s="168"/>
      <c r="L984" s="168"/>
      <c r="N984" s="169"/>
    </row>
    <row r="985">
      <c r="G985" s="168"/>
      <c r="L985" s="168"/>
      <c r="N985" s="169"/>
    </row>
    <row r="986">
      <c r="G986" s="168"/>
      <c r="L986" s="168"/>
      <c r="N986" s="169"/>
    </row>
    <row r="987">
      <c r="G987" s="168"/>
      <c r="L987" s="168"/>
      <c r="N987" s="169"/>
    </row>
    <row r="988">
      <c r="G988" s="168"/>
      <c r="L988" s="168"/>
      <c r="N988" s="169"/>
    </row>
    <row r="989">
      <c r="G989" s="168"/>
      <c r="L989" s="168"/>
      <c r="N989" s="169"/>
    </row>
    <row r="990">
      <c r="G990" s="168"/>
      <c r="L990" s="168"/>
      <c r="N990" s="169"/>
    </row>
    <row r="991">
      <c r="G991" s="168"/>
      <c r="L991" s="168"/>
      <c r="N991" s="169"/>
    </row>
    <row r="992">
      <c r="G992" s="168"/>
      <c r="L992" s="168"/>
      <c r="N992" s="169"/>
    </row>
    <row r="993">
      <c r="G993" s="168"/>
      <c r="L993" s="168"/>
      <c r="N993" s="169"/>
    </row>
    <row r="994">
      <c r="G994" s="168"/>
      <c r="L994" s="168"/>
      <c r="N994" s="169"/>
    </row>
    <row r="995">
      <c r="G995" s="168"/>
      <c r="L995" s="168"/>
      <c r="N995" s="169"/>
    </row>
    <row r="996">
      <c r="G996" s="168"/>
      <c r="L996" s="168"/>
      <c r="N996" s="169"/>
    </row>
    <row r="997">
      <c r="G997" s="168"/>
      <c r="L997" s="168"/>
      <c r="N997" s="169"/>
    </row>
    <row r="998">
      <c r="G998" s="168"/>
      <c r="L998" s="168"/>
      <c r="N998" s="169"/>
    </row>
    <row r="999">
      <c r="G999" s="168"/>
      <c r="L999" s="168"/>
      <c r="N999" s="169"/>
    </row>
    <row r="1000">
      <c r="G1000" s="168"/>
      <c r="L1000" s="168"/>
      <c r="N1000" s="169"/>
    </row>
    <row r="1001">
      <c r="G1001" s="168"/>
      <c r="L1001" s="168"/>
      <c r="N1001" s="169"/>
    </row>
    <row r="1002">
      <c r="G1002" s="168"/>
      <c r="L1002" s="168"/>
      <c r="N1002" s="169"/>
    </row>
    <row r="1003">
      <c r="G1003" s="168"/>
      <c r="L1003" s="168"/>
      <c r="N1003" s="169"/>
    </row>
    <row r="1004">
      <c r="G1004" s="168"/>
      <c r="L1004" s="168"/>
      <c r="N1004" s="169"/>
    </row>
    <row r="1005">
      <c r="G1005" s="168"/>
      <c r="L1005" s="168"/>
      <c r="N1005" s="169"/>
    </row>
    <row r="1006">
      <c r="G1006" s="168"/>
      <c r="L1006" s="168"/>
      <c r="N1006" s="169"/>
    </row>
    <row r="1007">
      <c r="G1007" s="168"/>
      <c r="L1007" s="168"/>
      <c r="N1007" s="169"/>
    </row>
    <row r="1008">
      <c r="G1008" s="168"/>
      <c r="L1008" s="168"/>
      <c r="N1008" s="169"/>
    </row>
    <row r="1009">
      <c r="G1009" s="168"/>
      <c r="L1009" s="168"/>
      <c r="N1009" s="169"/>
    </row>
    <row r="1010">
      <c r="G1010" s="168"/>
      <c r="L1010" s="168"/>
      <c r="N1010" s="169"/>
    </row>
    <row r="1011">
      <c r="G1011" s="168"/>
      <c r="L1011" s="168"/>
      <c r="N1011" s="169"/>
    </row>
    <row r="1012">
      <c r="G1012" s="168"/>
      <c r="L1012" s="168"/>
      <c r="N1012" s="169"/>
    </row>
    <row r="1013">
      <c r="G1013" s="168"/>
      <c r="L1013" s="168"/>
      <c r="N1013" s="169"/>
    </row>
    <row r="1014">
      <c r="G1014" s="168"/>
      <c r="L1014" s="168"/>
      <c r="N1014" s="169"/>
    </row>
    <row r="1015">
      <c r="G1015" s="168"/>
      <c r="L1015" s="168"/>
      <c r="N1015" s="169"/>
    </row>
    <row r="1016">
      <c r="G1016" s="168"/>
      <c r="L1016" s="168"/>
      <c r="N1016" s="169"/>
    </row>
    <row r="1017">
      <c r="G1017" s="168"/>
      <c r="L1017" s="168"/>
      <c r="N1017" s="169"/>
    </row>
    <row r="1018">
      <c r="G1018" s="168"/>
      <c r="L1018" s="168"/>
      <c r="N1018" s="169"/>
    </row>
    <row r="1019">
      <c r="G1019" s="168"/>
      <c r="L1019" s="168"/>
      <c r="N1019" s="169"/>
    </row>
    <row r="1020">
      <c r="G1020" s="168"/>
      <c r="L1020" s="168"/>
      <c r="N1020" s="169"/>
    </row>
    <row r="1021">
      <c r="G1021" s="168"/>
      <c r="L1021" s="168"/>
      <c r="N1021" s="169"/>
    </row>
    <row r="1022">
      <c r="G1022" s="168"/>
      <c r="L1022" s="168"/>
      <c r="N1022" s="169"/>
    </row>
    <row r="1023">
      <c r="G1023" s="168"/>
      <c r="L1023" s="168"/>
      <c r="N1023" s="169"/>
    </row>
    <row r="1024">
      <c r="G1024" s="168"/>
      <c r="L1024" s="168"/>
      <c r="N1024" s="169"/>
    </row>
    <row r="1025">
      <c r="G1025" s="168"/>
      <c r="L1025" s="168"/>
      <c r="N1025" s="169"/>
    </row>
    <row r="1026">
      <c r="G1026" s="168"/>
      <c r="L1026" s="168"/>
      <c r="N1026" s="169"/>
    </row>
    <row r="1027">
      <c r="G1027" s="168"/>
      <c r="L1027" s="168"/>
      <c r="N1027" s="169"/>
    </row>
    <row r="1028">
      <c r="G1028" s="168"/>
      <c r="L1028" s="168"/>
      <c r="N1028" s="169"/>
    </row>
    <row r="1029">
      <c r="G1029" s="168"/>
      <c r="L1029" s="168"/>
      <c r="N1029" s="169"/>
    </row>
    <row r="1030">
      <c r="G1030" s="168"/>
      <c r="L1030" s="168"/>
      <c r="N1030" s="169"/>
    </row>
    <row r="1031">
      <c r="G1031" s="168"/>
      <c r="L1031" s="168"/>
      <c r="N1031" s="169"/>
    </row>
    <row r="1032">
      <c r="G1032" s="168"/>
      <c r="L1032" s="168"/>
      <c r="N1032" s="169"/>
    </row>
    <row r="1033">
      <c r="G1033" s="168"/>
      <c r="L1033" s="168"/>
      <c r="N1033" s="169"/>
    </row>
    <row r="1034">
      <c r="G1034" s="168"/>
      <c r="L1034" s="168"/>
      <c r="N1034" s="169"/>
    </row>
    <row r="1035">
      <c r="G1035" s="168"/>
      <c r="L1035" s="168"/>
      <c r="N1035" s="169"/>
    </row>
    <row r="1036">
      <c r="G1036" s="168"/>
      <c r="L1036" s="168"/>
      <c r="N1036" s="169"/>
    </row>
    <row r="1037">
      <c r="G1037" s="168"/>
      <c r="L1037" s="168"/>
      <c r="N1037" s="169"/>
    </row>
    <row r="1038">
      <c r="G1038" s="168"/>
      <c r="L1038" s="168"/>
      <c r="N1038" s="169"/>
    </row>
    <row r="1039">
      <c r="G1039" s="168"/>
      <c r="L1039" s="168"/>
      <c r="N1039" s="169"/>
    </row>
    <row r="1040">
      <c r="G1040" s="168"/>
      <c r="L1040" s="168"/>
      <c r="N1040" s="169"/>
    </row>
    <row r="1041">
      <c r="G1041" s="168"/>
      <c r="L1041" s="168"/>
      <c r="N1041" s="169"/>
    </row>
    <row r="1042">
      <c r="G1042" s="168"/>
      <c r="L1042" s="168"/>
      <c r="N1042" s="169"/>
    </row>
    <row r="1043">
      <c r="G1043" s="168"/>
      <c r="L1043" s="168"/>
      <c r="N1043" s="169"/>
    </row>
    <row r="1044">
      <c r="G1044" s="168"/>
      <c r="L1044" s="168"/>
      <c r="N1044" s="169"/>
    </row>
    <row r="1045">
      <c r="G1045" s="168"/>
      <c r="L1045" s="168"/>
      <c r="N1045" s="169"/>
    </row>
    <row r="1046">
      <c r="G1046" s="168"/>
      <c r="L1046" s="168"/>
      <c r="N1046" s="169"/>
    </row>
    <row r="1047">
      <c r="G1047" s="168"/>
      <c r="L1047" s="168"/>
      <c r="N1047" s="169"/>
    </row>
    <row r="1048">
      <c r="G1048" s="168"/>
      <c r="L1048" s="168"/>
      <c r="N1048" s="169"/>
    </row>
    <row r="1049">
      <c r="G1049" s="168"/>
      <c r="L1049" s="168"/>
      <c r="N1049" s="169"/>
    </row>
    <row r="1050">
      <c r="G1050" s="168"/>
      <c r="L1050" s="168"/>
      <c r="N1050" s="169"/>
    </row>
    <row r="1051">
      <c r="G1051" s="168"/>
      <c r="L1051" s="168"/>
      <c r="N1051" s="169"/>
    </row>
    <row r="1052">
      <c r="G1052" s="168"/>
      <c r="L1052" s="168"/>
      <c r="N1052" s="169"/>
    </row>
    <row r="1053">
      <c r="G1053" s="168"/>
      <c r="L1053" s="168"/>
      <c r="N1053" s="169"/>
    </row>
    <row r="1054">
      <c r="G1054" s="168"/>
      <c r="L1054" s="168"/>
      <c r="N1054" s="169"/>
    </row>
    <row r="1055">
      <c r="G1055" s="168"/>
      <c r="L1055" s="168"/>
      <c r="N1055" s="169"/>
    </row>
    <row r="1056">
      <c r="G1056" s="168"/>
      <c r="L1056" s="168"/>
      <c r="N1056" s="169"/>
    </row>
    <row r="1057">
      <c r="G1057" s="168"/>
      <c r="L1057" s="168"/>
      <c r="N1057" s="169"/>
    </row>
    <row r="1058">
      <c r="G1058" s="168"/>
      <c r="L1058" s="168"/>
      <c r="N1058" s="169"/>
    </row>
    <row r="1059">
      <c r="G1059" s="168"/>
      <c r="L1059" s="168"/>
      <c r="N1059" s="169"/>
    </row>
    <row r="1060">
      <c r="G1060" s="168"/>
      <c r="L1060" s="168"/>
      <c r="N1060" s="169"/>
    </row>
    <row r="1061">
      <c r="G1061" s="168"/>
      <c r="L1061" s="168"/>
      <c r="N1061" s="169"/>
    </row>
    <row r="1062">
      <c r="G1062" s="168"/>
      <c r="L1062" s="168"/>
      <c r="N1062" s="169"/>
    </row>
    <row r="1063">
      <c r="G1063" s="168"/>
      <c r="L1063" s="168"/>
      <c r="N1063" s="169"/>
    </row>
    <row r="1064">
      <c r="G1064" s="168"/>
      <c r="L1064" s="168"/>
      <c r="N1064" s="169"/>
    </row>
    <row r="1065">
      <c r="G1065" s="168"/>
      <c r="L1065" s="168"/>
      <c r="N1065" s="169"/>
    </row>
    <row r="1066">
      <c r="G1066" s="168"/>
      <c r="L1066" s="168"/>
      <c r="N1066" s="169"/>
    </row>
    <row r="1067">
      <c r="G1067" s="168"/>
      <c r="L1067" s="168"/>
      <c r="N1067" s="169"/>
    </row>
    <row r="1068">
      <c r="G1068" s="168"/>
      <c r="L1068" s="168"/>
      <c r="N1068" s="169"/>
    </row>
    <row r="1069">
      <c r="G1069" s="168"/>
      <c r="L1069" s="168"/>
      <c r="N1069" s="169"/>
    </row>
    <row r="1070">
      <c r="G1070" s="168"/>
      <c r="L1070" s="168"/>
      <c r="N1070" s="169"/>
    </row>
    <row r="1071">
      <c r="G1071" s="168"/>
      <c r="L1071" s="168"/>
      <c r="N1071" s="169"/>
    </row>
    <row r="1072">
      <c r="G1072" s="168"/>
      <c r="L1072" s="168"/>
      <c r="N1072" s="169"/>
    </row>
    <row r="1073">
      <c r="G1073" s="168"/>
      <c r="L1073" s="168"/>
      <c r="N1073" s="169"/>
    </row>
    <row r="1074">
      <c r="G1074" s="168"/>
      <c r="L1074" s="168"/>
      <c r="N1074" s="169"/>
    </row>
    <row r="1075">
      <c r="G1075" s="168"/>
      <c r="L1075" s="168"/>
      <c r="N1075" s="169"/>
    </row>
    <row r="1076">
      <c r="G1076" s="168"/>
      <c r="L1076" s="168"/>
      <c r="N1076" s="169"/>
    </row>
    <row r="1077">
      <c r="G1077" s="168"/>
      <c r="L1077" s="168"/>
      <c r="N1077" s="169"/>
    </row>
    <row r="1078">
      <c r="G1078" s="168"/>
      <c r="L1078" s="168"/>
      <c r="N1078" s="169"/>
    </row>
    <row r="1079">
      <c r="G1079" s="168"/>
      <c r="L1079" s="168"/>
      <c r="N1079" s="169"/>
    </row>
    <row r="1080">
      <c r="G1080" s="168"/>
      <c r="L1080" s="168"/>
      <c r="N1080" s="169"/>
    </row>
    <row r="1081">
      <c r="G1081" s="168"/>
      <c r="L1081" s="168"/>
      <c r="N1081" s="169"/>
    </row>
    <row r="1082">
      <c r="G1082" s="168"/>
      <c r="L1082" s="168"/>
      <c r="N1082" s="169"/>
    </row>
    <row r="1083">
      <c r="G1083" s="168"/>
      <c r="L1083" s="168"/>
      <c r="N1083" s="169"/>
    </row>
    <row r="1084">
      <c r="G1084" s="168"/>
      <c r="L1084" s="168"/>
      <c r="N1084" s="169"/>
    </row>
    <row r="1085">
      <c r="G1085" s="168"/>
      <c r="L1085" s="168"/>
      <c r="N1085" s="169"/>
    </row>
    <row r="1086">
      <c r="G1086" s="168"/>
      <c r="L1086" s="168"/>
      <c r="N1086" s="169"/>
    </row>
    <row r="1087">
      <c r="G1087" s="168"/>
      <c r="L1087" s="168"/>
      <c r="N1087" s="169"/>
    </row>
    <row r="1088">
      <c r="G1088" s="168"/>
      <c r="L1088" s="168"/>
      <c r="N1088" s="169"/>
    </row>
    <row r="1089">
      <c r="G1089" s="168"/>
      <c r="L1089" s="168"/>
      <c r="N1089" s="169"/>
    </row>
    <row r="1090">
      <c r="G1090" s="168"/>
      <c r="L1090" s="168"/>
      <c r="N1090" s="169"/>
    </row>
    <row r="1091">
      <c r="G1091" s="168"/>
      <c r="L1091" s="168"/>
      <c r="N1091" s="169"/>
    </row>
    <row r="1092">
      <c r="G1092" s="168"/>
      <c r="L1092" s="168"/>
      <c r="N1092" s="169"/>
    </row>
    <row r="1093">
      <c r="G1093" s="168"/>
      <c r="L1093" s="168"/>
      <c r="N1093" s="169"/>
    </row>
    <row r="1094">
      <c r="G1094" s="168"/>
      <c r="L1094" s="168"/>
      <c r="N1094" s="169"/>
    </row>
    <row r="1095">
      <c r="G1095" s="168"/>
      <c r="L1095" s="168"/>
      <c r="N1095" s="169"/>
    </row>
    <row r="1096">
      <c r="G1096" s="168"/>
      <c r="L1096" s="168"/>
      <c r="N1096" s="169"/>
    </row>
    <row r="1097">
      <c r="G1097" s="168"/>
      <c r="L1097" s="168"/>
      <c r="N1097" s="169"/>
    </row>
    <row r="1098">
      <c r="G1098" s="168"/>
      <c r="L1098" s="168"/>
      <c r="N1098" s="169"/>
    </row>
    <row r="1099">
      <c r="G1099" s="168"/>
      <c r="L1099" s="168"/>
      <c r="N1099" s="169"/>
    </row>
    <row r="1100">
      <c r="G1100" s="168"/>
      <c r="L1100" s="168"/>
      <c r="N1100" s="169"/>
    </row>
    <row r="1101">
      <c r="G1101" s="168"/>
      <c r="L1101" s="168"/>
      <c r="N1101" s="169"/>
    </row>
    <row r="1102">
      <c r="G1102" s="168"/>
      <c r="L1102" s="168"/>
      <c r="N1102" s="169"/>
    </row>
    <row r="1103">
      <c r="G1103" s="168"/>
      <c r="L1103" s="168"/>
      <c r="N1103" s="169"/>
    </row>
    <row r="1104">
      <c r="G1104" s="168"/>
      <c r="L1104" s="168"/>
      <c r="N1104" s="169"/>
    </row>
    <row r="1105">
      <c r="G1105" s="168"/>
      <c r="L1105" s="168"/>
      <c r="N1105" s="169"/>
    </row>
    <row r="1106">
      <c r="G1106" s="168"/>
      <c r="L1106" s="168"/>
      <c r="N1106" s="169"/>
    </row>
    <row r="1107">
      <c r="G1107" s="168"/>
      <c r="L1107" s="168"/>
      <c r="N1107" s="169"/>
    </row>
    <row r="1108">
      <c r="G1108" s="168"/>
      <c r="L1108" s="168"/>
      <c r="N1108" s="169"/>
    </row>
    <row r="1109">
      <c r="G1109" s="168"/>
      <c r="L1109" s="168"/>
      <c r="N1109" s="169"/>
    </row>
    <row r="1110">
      <c r="G1110" s="168"/>
      <c r="L1110" s="168"/>
      <c r="N1110" s="169"/>
    </row>
    <row r="1111">
      <c r="G1111" s="168"/>
      <c r="L1111" s="168"/>
      <c r="N1111" s="169"/>
    </row>
    <row r="1112">
      <c r="G1112" s="168"/>
      <c r="L1112" s="168"/>
      <c r="N1112" s="169"/>
    </row>
    <row r="1113">
      <c r="G1113" s="168"/>
      <c r="L1113" s="168"/>
      <c r="N1113" s="169"/>
    </row>
    <row r="1114">
      <c r="G1114" s="168"/>
      <c r="L1114" s="168"/>
      <c r="N1114" s="169"/>
    </row>
    <row r="1115">
      <c r="G1115" s="168"/>
      <c r="L1115" s="168"/>
      <c r="N1115" s="169"/>
    </row>
    <row r="1116">
      <c r="G1116" s="168"/>
      <c r="L1116" s="168"/>
      <c r="N1116" s="169"/>
    </row>
    <row r="1117">
      <c r="G1117" s="168"/>
      <c r="L1117" s="168"/>
      <c r="N1117" s="169"/>
    </row>
    <row r="1118">
      <c r="G1118" s="168"/>
      <c r="L1118" s="168"/>
      <c r="N1118" s="169"/>
    </row>
    <row r="1119">
      <c r="G1119" s="168"/>
      <c r="L1119" s="168"/>
      <c r="N1119" s="169"/>
    </row>
    <row r="1120">
      <c r="G1120" s="168"/>
      <c r="L1120" s="168"/>
      <c r="N1120" s="169"/>
    </row>
    <row r="1121">
      <c r="G1121" s="168"/>
      <c r="L1121" s="168"/>
      <c r="N1121" s="169"/>
    </row>
    <row r="1122">
      <c r="G1122" s="168"/>
      <c r="L1122" s="168"/>
      <c r="N1122" s="169"/>
    </row>
    <row r="1123">
      <c r="G1123" s="168"/>
      <c r="L1123" s="168"/>
      <c r="N1123" s="169"/>
    </row>
    <row r="1124">
      <c r="G1124" s="168"/>
      <c r="L1124" s="168"/>
      <c r="N1124" s="169"/>
    </row>
    <row r="1125">
      <c r="G1125" s="168"/>
      <c r="L1125" s="168"/>
      <c r="N1125" s="169"/>
    </row>
    <row r="1126">
      <c r="G1126" s="168"/>
      <c r="L1126" s="168"/>
      <c r="N1126" s="169"/>
    </row>
    <row r="1127">
      <c r="G1127" s="168"/>
      <c r="L1127" s="168"/>
      <c r="N1127" s="169"/>
    </row>
    <row r="1128">
      <c r="G1128" s="168"/>
      <c r="L1128" s="168"/>
      <c r="N1128" s="169"/>
    </row>
    <row r="1129">
      <c r="G1129" s="168"/>
      <c r="L1129" s="168"/>
      <c r="N1129" s="169"/>
    </row>
    <row r="1130">
      <c r="G1130" s="168"/>
      <c r="L1130" s="168"/>
      <c r="N1130" s="169"/>
    </row>
    <row r="1131">
      <c r="G1131" s="168"/>
      <c r="L1131" s="168"/>
      <c r="N1131" s="169"/>
    </row>
    <row r="1132">
      <c r="G1132" s="168"/>
      <c r="L1132" s="168"/>
      <c r="N1132" s="169"/>
    </row>
    <row r="1133">
      <c r="G1133" s="168"/>
      <c r="L1133" s="168"/>
      <c r="N1133" s="169"/>
    </row>
    <row r="1134">
      <c r="G1134" s="168"/>
      <c r="L1134" s="168"/>
      <c r="N1134" s="169"/>
    </row>
    <row r="1135">
      <c r="G1135" s="168"/>
      <c r="L1135" s="168"/>
      <c r="N1135" s="169"/>
    </row>
    <row r="1136">
      <c r="G1136" s="168"/>
      <c r="L1136" s="168"/>
      <c r="N1136" s="169"/>
    </row>
    <row r="1137">
      <c r="G1137" s="168"/>
      <c r="L1137" s="168"/>
      <c r="N1137" s="169"/>
    </row>
    <row r="1138">
      <c r="G1138" s="168"/>
      <c r="L1138" s="168"/>
      <c r="N1138" s="169"/>
    </row>
    <row r="1139">
      <c r="G1139" s="168"/>
      <c r="L1139" s="168"/>
      <c r="N1139" s="169"/>
    </row>
    <row r="1140">
      <c r="G1140" s="168"/>
      <c r="L1140" s="168"/>
      <c r="N1140" s="169"/>
    </row>
    <row r="1141">
      <c r="G1141" s="168"/>
      <c r="L1141" s="168"/>
      <c r="N1141" s="169"/>
    </row>
    <row r="1142">
      <c r="G1142" s="168"/>
      <c r="L1142" s="168"/>
      <c r="N1142" s="169"/>
    </row>
    <row r="1143">
      <c r="G1143" s="168"/>
      <c r="L1143" s="168"/>
      <c r="N1143" s="169"/>
    </row>
    <row r="1144">
      <c r="G1144" s="168"/>
      <c r="L1144" s="168"/>
      <c r="N1144" s="169"/>
    </row>
    <row r="1145">
      <c r="G1145" s="168"/>
      <c r="L1145" s="168"/>
      <c r="N1145" s="169"/>
    </row>
    <row r="1146">
      <c r="G1146" s="168"/>
      <c r="L1146" s="168"/>
      <c r="N1146" s="169"/>
    </row>
    <row r="1147">
      <c r="G1147" s="168"/>
      <c r="L1147" s="168"/>
      <c r="N1147" s="169"/>
    </row>
    <row r="1148">
      <c r="G1148" s="168"/>
      <c r="L1148" s="168"/>
      <c r="N1148" s="169"/>
    </row>
    <row r="1149">
      <c r="G1149" s="168"/>
      <c r="L1149" s="168"/>
      <c r="N1149" s="169"/>
    </row>
    <row r="1150">
      <c r="G1150" s="168"/>
      <c r="L1150" s="168"/>
      <c r="N1150" s="169"/>
    </row>
    <row r="1151">
      <c r="G1151" s="168"/>
      <c r="L1151" s="168"/>
      <c r="N1151" s="169"/>
    </row>
    <row r="1152">
      <c r="G1152" s="168"/>
      <c r="L1152" s="168"/>
      <c r="N1152" s="169"/>
    </row>
    <row r="1153">
      <c r="G1153" s="168"/>
      <c r="L1153" s="168"/>
      <c r="N1153" s="169"/>
    </row>
    <row r="1154">
      <c r="G1154" s="168"/>
      <c r="L1154" s="168"/>
      <c r="N1154" s="169"/>
    </row>
    <row r="1155">
      <c r="G1155" s="168"/>
      <c r="L1155" s="168"/>
      <c r="N1155" s="169"/>
    </row>
    <row r="1156">
      <c r="G1156" s="168"/>
      <c r="L1156" s="168"/>
      <c r="N1156" s="169"/>
    </row>
    <row r="1157">
      <c r="G1157" s="168"/>
      <c r="L1157" s="168"/>
      <c r="N1157" s="169"/>
    </row>
    <row r="1158">
      <c r="G1158" s="168"/>
      <c r="L1158" s="168"/>
      <c r="N1158" s="169"/>
    </row>
    <row r="1159">
      <c r="G1159" s="168"/>
      <c r="L1159" s="168"/>
      <c r="N1159" s="169"/>
    </row>
    <row r="1160">
      <c r="G1160" s="168"/>
      <c r="L1160" s="168"/>
      <c r="N1160" s="169"/>
    </row>
    <row r="1161">
      <c r="G1161" s="168"/>
      <c r="L1161" s="168"/>
      <c r="N1161" s="169"/>
    </row>
    <row r="1162">
      <c r="G1162" s="168"/>
      <c r="L1162" s="168"/>
      <c r="N1162" s="169"/>
    </row>
    <row r="1163">
      <c r="G1163" s="168"/>
      <c r="L1163" s="168"/>
      <c r="N1163" s="169"/>
    </row>
    <row r="1164">
      <c r="G1164" s="168"/>
      <c r="L1164" s="168"/>
      <c r="N1164" s="169"/>
    </row>
    <row r="1165">
      <c r="G1165" s="168"/>
      <c r="L1165" s="168"/>
      <c r="N1165" s="169"/>
    </row>
    <row r="1166">
      <c r="G1166" s="168"/>
      <c r="L1166" s="168"/>
      <c r="N1166" s="169"/>
    </row>
    <row r="1167">
      <c r="G1167" s="168"/>
      <c r="L1167" s="168"/>
      <c r="N1167" s="169"/>
    </row>
    <row r="1168">
      <c r="G1168" s="168"/>
      <c r="L1168" s="168"/>
      <c r="N1168" s="169"/>
    </row>
    <row r="1169">
      <c r="G1169" s="168"/>
      <c r="L1169" s="168"/>
      <c r="N1169" s="169"/>
    </row>
    <row r="1170">
      <c r="G1170" s="168"/>
      <c r="L1170" s="168"/>
      <c r="N1170" s="169"/>
    </row>
    <row r="1171">
      <c r="G1171" s="168"/>
      <c r="L1171" s="168"/>
      <c r="N1171" s="169"/>
    </row>
  </sheetData>
  <mergeCells count="2">
    <mergeCell ref="A1:N1"/>
    <mergeCell ref="A353:L35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71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4" t="s">
        <v>7</v>
      </c>
      <c r="H2" s="5" t="s">
        <v>8</v>
      </c>
      <c r="I2" s="6" t="s">
        <v>8</v>
      </c>
      <c r="J2" s="3" t="s">
        <v>5</v>
      </c>
      <c r="K2" s="3" t="s">
        <v>6</v>
      </c>
      <c r="L2" s="4" t="s">
        <v>7</v>
      </c>
      <c r="M2" s="3" t="s">
        <v>9</v>
      </c>
      <c r="N2" s="7" t="s">
        <v>10</v>
      </c>
    </row>
    <row r="3">
      <c r="A3" s="8">
        <v>46113.0</v>
      </c>
      <c r="B3" s="9" t="s">
        <v>11</v>
      </c>
      <c r="C3" s="10">
        <v>203782.0</v>
      </c>
      <c r="D3" s="11">
        <v>204065.0</v>
      </c>
      <c r="E3" s="12">
        <f t="shared" ref="E3:E10" si="1">D3-C3</f>
        <v>283</v>
      </c>
      <c r="F3" s="13">
        <v>35.0</v>
      </c>
      <c r="G3" s="14">
        <f t="shared" ref="G3:G10" si="2">(F3/E3)*100</f>
        <v>12.36749117</v>
      </c>
      <c r="H3" s="15">
        <v>33404.0</v>
      </c>
      <c r="I3" s="16">
        <v>33718.0</v>
      </c>
      <c r="J3" s="13">
        <f t="shared" ref="J3:J10" si="3">I3-H3</f>
        <v>314</v>
      </c>
      <c r="K3" s="11">
        <f t="shared" ref="K3:K10" si="4">F3</f>
        <v>35</v>
      </c>
      <c r="L3" s="17">
        <f t="shared" ref="L3:L10" si="5">(K3/J3)*100</f>
        <v>11.14649682</v>
      </c>
      <c r="M3" s="18">
        <v>35440.0</v>
      </c>
      <c r="N3" s="18">
        <f t="shared" ref="N3:N10" si="6">F3*M3</f>
        <v>1240400</v>
      </c>
    </row>
    <row r="4">
      <c r="A4" s="8">
        <v>46119.0</v>
      </c>
      <c r="B4" s="9" t="s">
        <v>11</v>
      </c>
      <c r="C4" s="11">
        <v>204065.0</v>
      </c>
      <c r="D4" s="11">
        <v>204337.0</v>
      </c>
      <c r="E4" s="12">
        <f t="shared" si="1"/>
        <v>272</v>
      </c>
      <c r="F4" s="13">
        <v>40.0</v>
      </c>
      <c r="G4" s="14">
        <f t="shared" si="2"/>
        <v>14.70588235</v>
      </c>
      <c r="H4" s="16">
        <v>33718.0</v>
      </c>
      <c r="I4" s="16">
        <v>34023.0</v>
      </c>
      <c r="J4" s="13">
        <f t="shared" si="3"/>
        <v>305</v>
      </c>
      <c r="K4" s="11">
        <f t="shared" si="4"/>
        <v>40</v>
      </c>
      <c r="L4" s="17">
        <f t="shared" si="5"/>
        <v>13.1147541</v>
      </c>
      <c r="M4" s="18">
        <v>44780.0</v>
      </c>
      <c r="N4" s="18">
        <f t="shared" si="6"/>
        <v>1791200</v>
      </c>
      <c r="O4" s="19">
        <v>1.0</v>
      </c>
      <c r="P4" s="20" t="s">
        <v>12</v>
      </c>
      <c r="Q4" s="21">
        <f>N19</f>
        <v>9117510</v>
      </c>
      <c r="R4" s="21">
        <f t="shared" ref="R4:R15" si="7">Q4</f>
        <v>9117510</v>
      </c>
    </row>
    <row r="5">
      <c r="A5" s="8">
        <v>46122.0</v>
      </c>
      <c r="B5" s="9" t="s">
        <v>11</v>
      </c>
      <c r="C5" s="11">
        <v>204337.0</v>
      </c>
      <c r="D5" s="11">
        <v>204633.0</v>
      </c>
      <c r="E5" s="12">
        <f t="shared" si="1"/>
        <v>296</v>
      </c>
      <c r="F5" s="11">
        <v>40.0</v>
      </c>
      <c r="G5" s="14">
        <f t="shared" si="2"/>
        <v>13.51351351</v>
      </c>
      <c r="H5" s="16">
        <v>34023.0</v>
      </c>
      <c r="I5" s="16">
        <v>34396.0</v>
      </c>
      <c r="J5" s="13">
        <f t="shared" si="3"/>
        <v>373</v>
      </c>
      <c r="K5" s="11">
        <f t="shared" si="4"/>
        <v>40</v>
      </c>
      <c r="L5" s="17">
        <f t="shared" si="5"/>
        <v>10.72386059</v>
      </c>
      <c r="M5" s="18">
        <v>32960.0</v>
      </c>
      <c r="N5" s="18">
        <f t="shared" si="6"/>
        <v>1318400</v>
      </c>
      <c r="O5" s="19">
        <v>2.0</v>
      </c>
      <c r="P5" s="20" t="s">
        <v>13</v>
      </c>
      <c r="Q5" s="21">
        <f>N29</f>
        <v>8017710</v>
      </c>
      <c r="R5" s="21">
        <f t="shared" si="7"/>
        <v>8017710</v>
      </c>
    </row>
    <row r="6">
      <c r="A6" s="8">
        <v>46126.0</v>
      </c>
      <c r="B6" s="9" t="s">
        <v>11</v>
      </c>
      <c r="C6" s="11">
        <v>204633.0</v>
      </c>
      <c r="D6" s="11">
        <v>204950.0</v>
      </c>
      <c r="E6" s="12">
        <f t="shared" si="1"/>
        <v>317</v>
      </c>
      <c r="F6" s="11">
        <v>40.0</v>
      </c>
      <c r="G6" s="14">
        <f t="shared" si="2"/>
        <v>12.61829653</v>
      </c>
      <c r="H6" s="16">
        <v>34396.0</v>
      </c>
      <c r="I6" s="16">
        <v>34759.0</v>
      </c>
      <c r="J6" s="13">
        <f t="shared" si="3"/>
        <v>363</v>
      </c>
      <c r="K6" s="11">
        <f t="shared" si="4"/>
        <v>40</v>
      </c>
      <c r="L6" s="17">
        <f t="shared" si="5"/>
        <v>11.01928375</v>
      </c>
      <c r="M6" s="18">
        <v>32960.0</v>
      </c>
      <c r="N6" s="18">
        <f t="shared" si="6"/>
        <v>1318400</v>
      </c>
      <c r="O6" s="19">
        <v>3.0</v>
      </c>
      <c r="P6" s="20" t="s">
        <v>14</v>
      </c>
      <c r="Q6" s="21">
        <f>N38</f>
        <v>8655800</v>
      </c>
      <c r="R6" s="21">
        <f t="shared" si="7"/>
        <v>8655800</v>
      </c>
    </row>
    <row r="7">
      <c r="A7" s="8">
        <v>46130.0</v>
      </c>
      <c r="B7" s="9" t="s">
        <v>11</v>
      </c>
      <c r="C7" s="11">
        <v>204950.0</v>
      </c>
      <c r="D7" s="11">
        <v>205220.0</v>
      </c>
      <c r="E7" s="12">
        <f t="shared" si="1"/>
        <v>270</v>
      </c>
      <c r="F7" s="11">
        <v>40.0</v>
      </c>
      <c r="G7" s="14">
        <f t="shared" si="2"/>
        <v>14.81481481</v>
      </c>
      <c r="H7" s="16">
        <v>34759.0</v>
      </c>
      <c r="I7" s="16">
        <v>35169.0</v>
      </c>
      <c r="J7" s="13">
        <f t="shared" si="3"/>
        <v>410</v>
      </c>
      <c r="K7" s="11">
        <f t="shared" si="4"/>
        <v>40</v>
      </c>
      <c r="L7" s="17">
        <f t="shared" si="5"/>
        <v>9.756097561</v>
      </c>
      <c r="M7" s="22">
        <v>31040.0</v>
      </c>
      <c r="N7" s="18">
        <f t="shared" si="6"/>
        <v>1241600</v>
      </c>
      <c r="O7" s="19">
        <v>4.0</v>
      </c>
      <c r="P7" s="20" t="s">
        <v>15</v>
      </c>
      <c r="Q7" s="21">
        <f>N49</f>
        <v>8543770</v>
      </c>
      <c r="R7" s="21">
        <f t="shared" si="7"/>
        <v>8543770</v>
      </c>
    </row>
    <row r="8">
      <c r="A8" s="8">
        <v>46133.0</v>
      </c>
      <c r="B8" s="9" t="s">
        <v>11</v>
      </c>
      <c r="C8" s="11">
        <v>205220.0</v>
      </c>
      <c r="D8" s="11">
        <v>205489.0</v>
      </c>
      <c r="E8" s="12">
        <f t="shared" si="1"/>
        <v>269</v>
      </c>
      <c r="F8" s="11">
        <v>30.0</v>
      </c>
      <c r="G8" s="14">
        <f t="shared" si="2"/>
        <v>11.15241636</v>
      </c>
      <c r="H8" s="16">
        <v>35169.0</v>
      </c>
      <c r="I8" s="16">
        <v>35299.0</v>
      </c>
      <c r="J8" s="13">
        <f t="shared" si="3"/>
        <v>130</v>
      </c>
      <c r="K8" s="11">
        <f t="shared" si="4"/>
        <v>30</v>
      </c>
      <c r="L8" s="17">
        <f t="shared" si="5"/>
        <v>23.07692308</v>
      </c>
      <c r="M8" s="22">
        <v>31040.0</v>
      </c>
      <c r="N8" s="18">
        <f t="shared" si="6"/>
        <v>931200</v>
      </c>
      <c r="O8" s="19">
        <v>5.0</v>
      </c>
      <c r="P8" s="20" t="s">
        <v>16</v>
      </c>
      <c r="Q8" s="21">
        <f>N61</f>
        <v>13958870</v>
      </c>
      <c r="R8" s="21">
        <f t="shared" si="7"/>
        <v>13958870</v>
      </c>
    </row>
    <row r="9">
      <c r="A9" s="8">
        <v>46135.0</v>
      </c>
      <c r="B9" s="9" t="s">
        <v>11</v>
      </c>
      <c r="C9" s="11">
        <v>205489.0</v>
      </c>
      <c r="D9" s="11">
        <v>205805.0</v>
      </c>
      <c r="E9" s="12">
        <f t="shared" si="1"/>
        <v>316</v>
      </c>
      <c r="F9" s="11">
        <v>35.0</v>
      </c>
      <c r="G9" s="14">
        <f t="shared" si="2"/>
        <v>11.07594937</v>
      </c>
      <c r="H9" s="16">
        <v>35299.0</v>
      </c>
      <c r="I9" s="16">
        <v>35660.0</v>
      </c>
      <c r="J9" s="13">
        <f t="shared" si="3"/>
        <v>361</v>
      </c>
      <c r="K9" s="11">
        <f t="shared" si="4"/>
        <v>35</v>
      </c>
      <c r="L9" s="17">
        <f t="shared" si="5"/>
        <v>9.695290859</v>
      </c>
      <c r="M9" s="22">
        <v>26690.0</v>
      </c>
      <c r="N9" s="18">
        <f t="shared" si="6"/>
        <v>934150</v>
      </c>
      <c r="O9" s="19">
        <v>6.0</v>
      </c>
      <c r="P9" s="20" t="s">
        <v>17</v>
      </c>
      <c r="Q9" s="21">
        <f>N11</f>
        <v>9709500</v>
      </c>
      <c r="R9" s="21">
        <f t="shared" si="7"/>
        <v>9709500</v>
      </c>
    </row>
    <row r="10">
      <c r="A10" s="23">
        <v>46140.0</v>
      </c>
      <c r="B10" s="24" t="s">
        <v>11</v>
      </c>
      <c r="C10" s="11">
        <v>205805.0</v>
      </c>
      <c r="D10" s="10">
        <v>206058.0</v>
      </c>
      <c r="E10" s="25">
        <f t="shared" si="1"/>
        <v>253</v>
      </c>
      <c r="F10" s="10">
        <v>35.0</v>
      </c>
      <c r="G10" s="14">
        <f t="shared" si="2"/>
        <v>13.83399209</v>
      </c>
      <c r="H10" s="16">
        <v>35660.0</v>
      </c>
      <c r="I10" s="15">
        <v>35966.0</v>
      </c>
      <c r="J10" s="26">
        <f t="shared" si="3"/>
        <v>306</v>
      </c>
      <c r="K10" s="10">
        <f t="shared" si="4"/>
        <v>35</v>
      </c>
      <c r="L10" s="27">
        <f t="shared" si="5"/>
        <v>11.4379085</v>
      </c>
      <c r="M10" s="22">
        <v>26690.0</v>
      </c>
      <c r="N10" s="28">
        <f t="shared" si="6"/>
        <v>934150</v>
      </c>
      <c r="O10" s="19">
        <v>7.0</v>
      </c>
      <c r="P10" s="20" t="s">
        <v>18</v>
      </c>
      <c r="Q10" s="21">
        <f>N71</f>
        <v>9145120</v>
      </c>
      <c r="R10" s="21">
        <f t="shared" si="7"/>
        <v>9145120</v>
      </c>
    </row>
    <row r="11">
      <c r="A11" s="29"/>
      <c r="B11" s="29"/>
      <c r="C11" s="29"/>
      <c r="D11" s="30" t="s">
        <v>19</v>
      </c>
      <c r="E11" s="30">
        <f t="shared" ref="E11:F11" si="8">sum(E3:E10)</f>
        <v>2276</v>
      </c>
      <c r="F11" s="30">
        <f t="shared" si="8"/>
        <v>295</v>
      </c>
      <c r="G11" s="31" t="str">
        <f>G3:G10</f>
        <v>#VALUE!</v>
      </c>
      <c r="H11" s="29"/>
      <c r="I11" s="32"/>
      <c r="J11" s="30">
        <f t="shared" ref="J11:K11" si="9">sum(J3:J10)</f>
        <v>2562</v>
      </c>
      <c r="K11" s="33">
        <f t="shared" si="9"/>
        <v>295</v>
      </c>
      <c r="L11" s="31">
        <f>average(L3:L10)</f>
        <v>12.49632691</v>
      </c>
      <c r="M11" s="29"/>
      <c r="N11" s="34">
        <f>sum(N3:N10)</f>
        <v>9709500</v>
      </c>
      <c r="O11" s="19">
        <v>8.0</v>
      </c>
      <c r="P11" s="20" t="s">
        <v>20</v>
      </c>
      <c r="Q11" s="21">
        <f>N80</f>
        <v>11004780</v>
      </c>
      <c r="R11" s="21">
        <f t="shared" si="7"/>
        <v>11004780</v>
      </c>
    </row>
    <row r="12">
      <c r="A12" s="35">
        <v>46113.0</v>
      </c>
      <c r="B12" s="36" t="s">
        <v>12</v>
      </c>
      <c r="C12" s="37">
        <v>166179.0</v>
      </c>
      <c r="D12" s="37">
        <v>166532.0</v>
      </c>
      <c r="E12" s="38">
        <f t="shared" ref="E12:E18" si="10">D12-C12</f>
        <v>353</v>
      </c>
      <c r="F12" s="39">
        <v>51.0</v>
      </c>
      <c r="G12" s="14">
        <f t="shared" ref="G12:G18" si="11">(F12/E12)*100</f>
        <v>14.44759207</v>
      </c>
      <c r="H12" s="40">
        <v>33515.0</v>
      </c>
      <c r="I12" s="40">
        <v>33914.0</v>
      </c>
      <c r="J12" s="41">
        <f t="shared" ref="J12:J18" si="12">I12-H12</f>
        <v>399</v>
      </c>
      <c r="K12" s="11">
        <f t="shared" ref="K12:K18" si="13">F12</f>
        <v>51</v>
      </c>
      <c r="L12" s="42">
        <f t="shared" ref="L12:L18" si="14">(K12/J12)*100</f>
        <v>12.78195489</v>
      </c>
      <c r="M12" s="43">
        <v>35440.0</v>
      </c>
      <c r="N12" s="44">
        <f t="shared" ref="N12:N18" si="15">F12*M12</f>
        <v>1807440</v>
      </c>
      <c r="O12" s="19">
        <v>9.0</v>
      </c>
      <c r="P12" s="20" t="s">
        <v>21</v>
      </c>
      <c r="Q12" s="21">
        <f>N88</f>
        <v>9171790</v>
      </c>
      <c r="R12" s="21">
        <f t="shared" si="7"/>
        <v>9171790</v>
      </c>
    </row>
    <row r="13">
      <c r="A13" s="45">
        <v>46118.0</v>
      </c>
      <c r="B13" s="46" t="s">
        <v>12</v>
      </c>
      <c r="C13" s="37">
        <v>166532.0</v>
      </c>
      <c r="D13" s="37">
        <v>166818.0</v>
      </c>
      <c r="E13" s="12">
        <f t="shared" si="10"/>
        <v>286</v>
      </c>
      <c r="F13" s="47">
        <v>40.0</v>
      </c>
      <c r="G13" s="14">
        <f t="shared" si="11"/>
        <v>13.98601399</v>
      </c>
      <c r="H13" s="40">
        <v>33914.0</v>
      </c>
      <c r="I13" s="40">
        <v>34188.0</v>
      </c>
      <c r="J13" s="37">
        <f t="shared" si="12"/>
        <v>274</v>
      </c>
      <c r="K13" s="11">
        <f t="shared" si="13"/>
        <v>40</v>
      </c>
      <c r="L13" s="48">
        <f t="shared" si="14"/>
        <v>14.59854015</v>
      </c>
      <c r="M13" s="43">
        <v>44780.0</v>
      </c>
      <c r="N13" s="49">
        <f t="shared" si="15"/>
        <v>1791200</v>
      </c>
      <c r="O13" s="19">
        <v>10.0</v>
      </c>
      <c r="P13" s="20" t="s">
        <v>22</v>
      </c>
      <c r="Q13" s="21">
        <f>N97</f>
        <v>9376060</v>
      </c>
      <c r="R13" s="21">
        <f t="shared" si="7"/>
        <v>9376060</v>
      </c>
    </row>
    <row r="14">
      <c r="A14" s="45">
        <v>46122.0</v>
      </c>
      <c r="B14" s="46" t="s">
        <v>12</v>
      </c>
      <c r="C14" s="37">
        <v>166818.0</v>
      </c>
      <c r="D14" s="37">
        <v>167128.0</v>
      </c>
      <c r="E14" s="12">
        <f t="shared" si="10"/>
        <v>310</v>
      </c>
      <c r="F14" s="47">
        <v>41.0</v>
      </c>
      <c r="G14" s="14">
        <f t="shared" si="11"/>
        <v>13.22580645</v>
      </c>
      <c r="H14" s="40">
        <v>34188.0</v>
      </c>
      <c r="I14" s="40">
        <v>34557.0</v>
      </c>
      <c r="J14" s="37">
        <f t="shared" si="12"/>
        <v>369</v>
      </c>
      <c r="K14" s="11">
        <f t="shared" si="13"/>
        <v>41</v>
      </c>
      <c r="L14" s="48">
        <f t="shared" si="14"/>
        <v>11.11111111</v>
      </c>
      <c r="M14" s="50">
        <v>32960.0</v>
      </c>
      <c r="N14" s="49">
        <f t="shared" si="15"/>
        <v>1351360</v>
      </c>
      <c r="O14" s="19">
        <v>11.0</v>
      </c>
      <c r="P14" s="20" t="s">
        <v>23</v>
      </c>
      <c r="Q14" s="21">
        <f>N104</f>
        <v>9480220</v>
      </c>
      <c r="R14" s="21">
        <f t="shared" si="7"/>
        <v>9480220</v>
      </c>
    </row>
    <row r="15">
      <c r="A15" s="45">
        <v>46126.0</v>
      </c>
      <c r="B15" s="51" t="s">
        <v>12</v>
      </c>
      <c r="C15" s="37">
        <v>167128.0</v>
      </c>
      <c r="D15" s="52">
        <v>167520.0</v>
      </c>
      <c r="E15" s="53">
        <f t="shared" si="10"/>
        <v>392</v>
      </c>
      <c r="F15" s="54">
        <v>50.0</v>
      </c>
      <c r="G15" s="14">
        <f t="shared" si="11"/>
        <v>12.75510204</v>
      </c>
      <c r="H15" s="40">
        <v>34557.0</v>
      </c>
      <c r="I15" s="40">
        <v>34934.0</v>
      </c>
      <c r="J15" s="37">
        <f t="shared" si="12"/>
        <v>377</v>
      </c>
      <c r="K15" s="11">
        <f t="shared" si="13"/>
        <v>50</v>
      </c>
      <c r="L15" s="48">
        <f t="shared" si="14"/>
        <v>13.26259947</v>
      </c>
      <c r="M15" s="50">
        <v>32960.0</v>
      </c>
      <c r="N15" s="49">
        <f t="shared" si="15"/>
        <v>1648000</v>
      </c>
      <c r="O15" s="19">
        <v>12.0</v>
      </c>
      <c r="P15" s="20" t="s">
        <v>24</v>
      </c>
      <c r="Q15" s="21">
        <f>N112</f>
        <v>9057230</v>
      </c>
      <c r="R15" s="21">
        <f t="shared" si="7"/>
        <v>9057230</v>
      </c>
    </row>
    <row r="16">
      <c r="A16" s="45">
        <v>46130.0</v>
      </c>
      <c r="B16" s="46" t="s">
        <v>12</v>
      </c>
      <c r="C16" s="52">
        <v>167520.0</v>
      </c>
      <c r="D16" s="37">
        <v>167858.0</v>
      </c>
      <c r="E16" s="12">
        <f t="shared" si="10"/>
        <v>338</v>
      </c>
      <c r="F16" s="47">
        <v>39.0</v>
      </c>
      <c r="G16" s="14">
        <f t="shared" si="11"/>
        <v>11.53846154</v>
      </c>
      <c r="H16" s="40">
        <v>34934.0</v>
      </c>
      <c r="I16" s="40">
        <v>35399.0</v>
      </c>
      <c r="J16" s="37">
        <f t="shared" si="12"/>
        <v>465</v>
      </c>
      <c r="K16" s="11">
        <f t="shared" si="13"/>
        <v>39</v>
      </c>
      <c r="L16" s="48">
        <f t="shared" si="14"/>
        <v>8.387096774</v>
      </c>
      <c r="M16" s="50">
        <v>31040.0</v>
      </c>
      <c r="N16" s="49">
        <f t="shared" si="15"/>
        <v>1210560</v>
      </c>
      <c r="O16" s="19">
        <v>13.0</v>
      </c>
      <c r="P16" s="20" t="s">
        <v>25</v>
      </c>
      <c r="Q16" s="21">
        <f>N120</f>
        <v>9927130</v>
      </c>
      <c r="R16" s="21">
        <f>N120</f>
        <v>9927130</v>
      </c>
    </row>
    <row r="17">
      <c r="A17" s="45">
        <v>46135.0</v>
      </c>
      <c r="B17" s="46" t="s">
        <v>12</v>
      </c>
      <c r="C17" s="37">
        <v>167858.0</v>
      </c>
      <c r="D17" s="37">
        <v>168088.0</v>
      </c>
      <c r="E17" s="12">
        <f t="shared" si="10"/>
        <v>230</v>
      </c>
      <c r="F17" s="47">
        <v>47.0</v>
      </c>
      <c r="G17" s="14">
        <f t="shared" si="11"/>
        <v>20.43478261</v>
      </c>
      <c r="H17" s="40">
        <v>35399.0</v>
      </c>
      <c r="I17" s="40">
        <v>35596.0</v>
      </c>
      <c r="J17" s="37">
        <f t="shared" si="12"/>
        <v>197</v>
      </c>
      <c r="K17" s="11">
        <f t="shared" si="13"/>
        <v>47</v>
      </c>
      <c r="L17" s="48">
        <f t="shared" si="14"/>
        <v>23.85786802</v>
      </c>
      <c r="M17" s="50">
        <v>27850.0</v>
      </c>
      <c r="N17" s="49">
        <f t="shared" si="15"/>
        <v>1308950</v>
      </c>
      <c r="O17" s="19">
        <v>14.0</v>
      </c>
      <c r="P17" s="20" t="s">
        <v>26</v>
      </c>
      <c r="Q17" s="21">
        <f>N128</f>
        <v>8706120</v>
      </c>
      <c r="R17" s="21">
        <f t="shared" ref="R17:R28" si="16">Q17</f>
        <v>8706120</v>
      </c>
    </row>
    <row r="18">
      <c r="A18" s="45"/>
      <c r="B18" s="46" t="s">
        <v>12</v>
      </c>
      <c r="C18" s="37"/>
      <c r="D18" s="55"/>
      <c r="E18" s="25">
        <f t="shared" si="10"/>
        <v>0</v>
      </c>
      <c r="F18" s="47"/>
      <c r="G18" s="56" t="str">
        <f t="shared" si="11"/>
        <v>#DIV/0!</v>
      </c>
      <c r="H18" s="40"/>
      <c r="I18" s="57"/>
      <c r="J18" s="55">
        <f t="shared" si="12"/>
        <v>0</v>
      </c>
      <c r="K18" s="11" t="str">
        <f t="shared" si="13"/>
        <v/>
      </c>
      <c r="L18" s="48" t="str">
        <f t="shared" si="14"/>
        <v>#DIV/0!</v>
      </c>
      <c r="M18" s="58"/>
      <c r="N18" s="59">
        <f t="shared" si="15"/>
        <v>0</v>
      </c>
      <c r="O18" s="60">
        <f t="shared" ref="O18:O27" si="18">O17+1</f>
        <v>15</v>
      </c>
      <c r="P18" s="61" t="s">
        <v>27</v>
      </c>
      <c r="Q18" s="21">
        <f>N148</f>
        <v>20898000</v>
      </c>
      <c r="R18" s="21">
        <f t="shared" si="16"/>
        <v>20898000</v>
      </c>
    </row>
    <row r="19">
      <c r="A19" s="62"/>
      <c r="B19" s="63"/>
      <c r="C19" s="62"/>
      <c r="D19" s="64" t="s">
        <v>19</v>
      </c>
      <c r="E19" s="64">
        <f>sum(E12:E18)</f>
        <v>1909</v>
      </c>
      <c r="F19" s="64">
        <f>sum(F11:F18)</f>
        <v>563</v>
      </c>
      <c r="G19" s="65" t="str">
        <f>average(G12:G18)</f>
        <v>#DIV/0!</v>
      </c>
      <c r="H19" s="62"/>
      <c r="I19" s="66"/>
      <c r="J19" s="64">
        <f t="shared" ref="J19:K19" si="17">sum(J12:J18)</f>
        <v>2081</v>
      </c>
      <c r="K19" s="67">
        <f t="shared" si="17"/>
        <v>268</v>
      </c>
      <c r="L19" s="65" t="str">
        <f>average(L12:L18)</f>
        <v>#DIV/0!</v>
      </c>
      <c r="M19" s="68"/>
      <c r="N19" s="69">
        <f>sum(N12:N18)</f>
        <v>9117510</v>
      </c>
      <c r="O19" s="60">
        <f t="shared" si="18"/>
        <v>16</v>
      </c>
      <c r="P19" s="61" t="s">
        <v>28</v>
      </c>
      <c r="Q19" s="21">
        <f>N157</f>
        <v>4860000</v>
      </c>
      <c r="R19" s="21">
        <f t="shared" si="16"/>
        <v>4860000</v>
      </c>
    </row>
    <row r="20">
      <c r="A20" s="70">
        <v>46119.0</v>
      </c>
      <c r="B20" s="36" t="s">
        <v>13</v>
      </c>
      <c r="C20" s="37">
        <v>184746.0</v>
      </c>
      <c r="D20" s="37">
        <v>185011.0</v>
      </c>
      <c r="E20" s="12">
        <f t="shared" ref="E20:E28" si="19">D20-C20</f>
        <v>265</v>
      </c>
      <c r="F20" s="39">
        <v>35.0</v>
      </c>
      <c r="G20" s="14">
        <f t="shared" ref="G20:G28" si="20">(F20/E20)*100</f>
        <v>13.20754717</v>
      </c>
      <c r="H20" s="37">
        <v>36675.0</v>
      </c>
      <c r="I20" s="37">
        <v>37070.0</v>
      </c>
      <c r="J20" s="41">
        <f t="shared" ref="J20:J28" si="21">I20-H20</f>
        <v>395</v>
      </c>
      <c r="K20" s="41">
        <f t="shared" ref="K20:K28" si="22">F20</f>
        <v>35</v>
      </c>
      <c r="L20" s="71">
        <f t="shared" ref="L20:L28" si="23">(K20/J20)*100</f>
        <v>8.860759494</v>
      </c>
      <c r="M20" s="72">
        <v>44780.0</v>
      </c>
      <c r="N20" s="44">
        <f t="shared" ref="N20:N28" si="24">F20*M20</f>
        <v>1567300</v>
      </c>
      <c r="O20" s="60">
        <f t="shared" si="18"/>
        <v>17</v>
      </c>
      <c r="P20" s="61" t="s">
        <v>29</v>
      </c>
      <c r="Q20" s="21">
        <f>N166</f>
        <v>2126000</v>
      </c>
      <c r="R20" s="21">
        <f t="shared" si="16"/>
        <v>2126000</v>
      </c>
    </row>
    <row r="21">
      <c r="A21" s="70">
        <v>46121.0</v>
      </c>
      <c r="B21" s="46" t="s">
        <v>13</v>
      </c>
      <c r="C21" s="37">
        <v>185011.0</v>
      </c>
      <c r="D21" s="37">
        <v>185350.0</v>
      </c>
      <c r="E21" s="12">
        <f t="shared" si="19"/>
        <v>339</v>
      </c>
      <c r="F21" s="39">
        <v>47.0</v>
      </c>
      <c r="G21" s="14">
        <f t="shared" si="20"/>
        <v>13.86430678</v>
      </c>
      <c r="H21" s="37">
        <v>37070.0</v>
      </c>
      <c r="I21" s="37">
        <v>37327.0</v>
      </c>
      <c r="J21" s="37">
        <f t="shared" si="21"/>
        <v>257</v>
      </c>
      <c r="K21" s="37">
        <f t="shared" si="22"/>
        <v>47</v>
      </c>
      <c r="L21" s="48">
        <f t="shared" si="23"/>
        <v>18.28793774</v>
      </c>
      <c r="M21" s="72">
        <v>32960.0</v>
      </c>
      <c r="N21" s="49">
        <f t="shared" si="24"/>
        <v>1549120</v>
      </c>
      <c r="O21" s="60">
        <f t="shared" si="18"/>
        <v>18</v>
      </c>
      <c r="P21" s="61" t="s">
        <v>30</v>
      </c>
      <c r="Q21" s="21">
        <f>N175</f>
        <v>11638000</v>
      </c>
      <c r="R21" s="21">
        <f t="shared" si="16"/>
        <v>11638000</v>
      </c>
    </row>
    <row r="22">
      <c r="A22" s="35">
        <v>46129.0</v>
      </c>
      <c r="B22" s="46" t="s">
        <v>13</v>
      </c>
      <c r="C22" s="37">
        <v>185350.0</v>
      </c>
      <c r="D22" s="37">
        <v>185691.0</v>
      </c>
      <c r="E22" s="12">
        <f t="shared" si="19"/>
        <v>341</v>
      </c>
      <c r="F22" s="47">
        <v>49.0</v>
      </c>
      <c r="G22" s="14">
        <f t="shared" si="20"/>
        <v>14.36950147</v>
      </c>
      <c r="H22" s="37">
        <v>37327.0</v>
      </c>
      <c r="I22" s="37">
        <v>37770.0</v>
      </c>
      <c r="J22" s="37">
        <f t="shared" si="21"/>
        <v>443</v>
      </c>
      <c r="K22" s="37">
        <f t="shared" si="22"/>
        <v>49</v>
      </c>
      <c r="L22" s="48">
        <f t="shared" si="23"/>
        <v>11.06094808</v>
      </c>
      <c r="M22" s="72">
        <v>31040.0</v>
      </c>
      <c r="N22" s="49">
        <f t="shared" si="24"/>
        <v>1520960</v>
      </c>
      <c r="O22" s="60">
        <f t="shared" si="18"/>
        <v>19</v>
      </c>
      <c r="P22" s="61" t="s">
        <v>31</v>
      </c>
      <c r="Q22" s="21">
        <f>N184</f>
        <v>8197000</v>
      </c>
      <c r="R22" s="21">
        <f t="shared" si="16"/>
        <v>8197000</v>
      </c>
    </row>
    <row r="23">
      <c r="A23" s="35">
        <v>46133.0</v>
      </c>
      <c r="B23" s="46" t="s">
        <v>13</v>
      </c>
      <c r="C23" s="37">
        <v>185691.0</v>
      </c>
      <c r="D23" s="37">
        <v>185979.0</v>
      </c>
      <c r="E23" s="12">
        <f t="shared" si="19"/>
        <v>288</v>
      </c>
      <c r="F23" s="47">
        <v>38.0</v>
      </c>
      <c r="G23" s="14">
        <f t="shared" si="20"/>
        <v>13.19444444</v>
      </c>
      <c r="H23" s="37">
        <v>37770.0</v>
      </c>
      <c r="I23" s="37">
        <v>38095.0</v>
      </c>
      <c r="J23" s="37">
        <f t="shared" si="21"/>
        <v>325</v>
      </c>
      <c r="K23" s="52">
        <f t="shared" si="22"/>
        <v>38</v>
      </c>
      <c r="L23" s="48">
        <f t="shared" si="23"/>
        <v>11.69230769</v>
      </c>
      <c r="M23" s="50">
        <v>27850.0</v>
      </c>
      <c r="N23" s="49">
        <f t="shared" si="24"/>
        <v>1058300</v>
      </c>
      <c r="O23" s="60">
        <f t="shared" si="18"/>
        <v>20</v>
      </c>
      <c r="P23" s="61" t="s">
        <v>32</v>
      </c>
      <c r="Q23" s="21">
        <f>N193</f>
        <v>11514000</v>
      </c>
      <c r="R23" s="21">
        <f t="shared" si="16"/>
        <v>11514000</v>
      </c>
    </row>
    <row r="24">
      <c r="A24" s="35">
        <v>46136.0</v>
      </c>
      <c r="B24" s="46" t="s">
        <v>13</v>
      </c>
      <c r="C24" s="37">
        <v>185979.0</v>
      </c>
      <c r="D24" s="37">
        <v>186321.0</v>
      </c>
      <c r="E24" s="12">
        <f t="shared" si="19"/>
        <v>342</v>
      </c>
      <c r="F24" s="47">
        <v>46.0</v>
      </c>
      <c r="G24" s="14">
        <f t="shared" si="20"/>
        <v>13.4502924</v>
      </c>
      <c r="H24" s="37">
        <v>38095.0</v>
      </c>
      <c r="I24" s="37">
        <v>38603.0</v>
      </c>
      <c r="J24" s="37">
        <f t="shared" si="21"/>
        <v>508</v>
      </c>
      <c r="K24" s="52">
        <f t="shared" si="22"/>
        <v>46</v>
      </c>
      <c r="L24" s="48">
        <f t="shared" si="23"/>
        <v>9.05511811</v>
      </c>
      <c r="M24" s="50">
        <v>26690.0</v>
      </c>
      <c r="N24" s="49">
        <f t="shared" si="24"/>
        <v>1227740</v>
      </c>
      <c r="O24" s="60">
        <f t="shared" si="18"/>
        <v>21</v>
      </c>
      <c r="P24" s="61" t="s">
        <v>33</v>
      </c>
      <c r="Q24" s="21">
        <f>N201</f>
        <v>6970000</v>
      </c>
      <c r="R24" s="21">
        <f t="shared" si="16"/>
        <v>6970000</v>
      </c>
    </row>
    <row r="25">
      <c r="A25" s="35">
        <v>46140.0</v>
      </c>
      <c r="B25" s="46" t="s">
        <v>13</v>
      </c>
      <c r="C25" s="37">
        <v>186321.0</v>
      </c>
      <c r="D25" s="37">
        <v>186603.0</v>
      </c>
      <c r="E25" s="12">
        <f t="shared" si="19"/>
        <v>282</v>
      </c>
      <c r="F25" s="47">
        <v>41.0</v>
      </c>
      <c r="G25" s="14">
        <f t="shared" si="20"/>
        <v>14.53900709</v>
      </c>
      <c r="H25" s="37">
        <v>38603.0</v>
      </c>
      <c r="I25" s="37">
        <v>38726.0</v>
      </c>
      <c r="J25" s="37">
        <f t="shared" si="21"/>
        <v>123</v>
      </c>
      <c r="K25" s="52">
        <f t="shared" si="22"/>
        <v>41</v>
      </c>
      <c r="L25" s="48">
        <f t="shared" si="23"/>
        <v>33.33333333</v>
      </c>
      <c r="M25" s="50">
        <v>26690.0</v>
      </c>
      <c r="N25" s="49">
        <f t="shared" si="24"/>
        <v>1094290</v>
      </c>
      <c r="O25" s="60">
        <f t="shared" si="18"/>
        <v>22</v>
      </c>
      <c r="P25" s="61" t="s">
        <v>34</v>
      </c>
      <c r="Q25" s="21">
        <f>N209</f>
        <v>7561000</v>
      </c>
      <c r="R25" s="21">
        <f t="shared" si="16"/>
        <v>7561000</v>
      </c>
    </row>
    <row r="26">
      <c r="A26" s="35"/>
      <c r="B26" s="46" t="s">
        <v>13</v>
      </c>
      <c r="C26" s="37"/>
      <c r="D26" s="37"/>
      <c r="E26" s="12">
        <f t="shared" si="19"/>
        <v>0</v>
      </c>
      <c r="F26" s="47"/>
      <c r="G26" s="14" t="str">
        <f t="shared" si="20"/>
        <v>#DIV/0!</v>
      </c>
      <c r="H26" s="37"/>
      <c r="I26" s="37"/>
      <c r="J26" s="37">
        <f t="shared" si="21"/>
        <v>0</v>
      </c>
      <c r="K26" s="52" t="str">
        <f t="shared" si="22"/>
        <v/>
      </c>
      <c r="L26" s="48" t="str">
        <f t="shared" si="23"/>
        <v>#DIV/0!</v>
      </c>
      <c r="M26" s="50"/>
      <c r="N26" s="49">
        <f t="shared" si="24"/>
        <v>0</v>
      </c>
      <c r="O26" s="60">
        <f t="shared" si="18"/>
        <v>23</v>
      </c>
      <c r="P26" s="73" t="s">
        <v>35</v>
      </c>
      <c r="Q26" s="21">
        <f>N136</f>
        <v>8160570</v>
      </c>
      <c r="R26" s="21">
        <f t="shared" si="16"/>
        <v>8160570</v>
      </c>
    </row>
    <row r="27">
      <c r="A27" s="35"/>
      <c r="B27" s="46" t="s">
        <v>13</v>
      </c>
      <c r="C27" s="37"/>
      <c r="D27" s="37"/>
      <c r="E27" s="12">
        <f t="shared" si="19"/>
        <v>0</v>
      </c>
      <c r="F27" s="47"/>
      <c r="G27" s="14" t="str">
        <f t="shared" si="20"/>
        <v>#DIV/0!</v>
      </c>
      <c r="H27" s="37"/>
      <c r="I27" s="37"/>
      <c r="J27" s="37">
        <f t="shared" si="21"/>
        <v>0</v>
      </c>
      <c r="K27" s="52" t="str">
        <f t="shared" si="22"/>
        <v/>
      </c>
      <c r="L27" s="48" t="str">
        <f t="shared" si="23"/>
        <v>#DIV/0!</v>
      </c>
      <c r="M27" s="50"/>
      <c r="N27" s="49">
        <f t="shared" si="24"/>
        <v>0</v>
      </c>
      <c r="O27" s="60">
        <f t="shared" si="18"/>
        <v>24</v>
      </c>
      <c r="P27" s="61" t="s">
        <v>72</v>
      </c>
      <c r="Q27" s="21">
        <f>N217</f>
        <v>2552000</v>
      </c>
      <c r="R27" s="21">
        <f t="shared" si="16"/>
        <v>2552000</v>
      </c>
    </row>
    <row r="28">
      <c r="A28" s="74"/>
      <c r="B28" s="46" t="s">
        <v>13</v>
      </c>
      <c r="C28" s="37"/>
      <c r="D28" s="75"/>
      <c r="E28" s="12">
        <f t="shared" si="19"/>
        <v>0</v>
      </c>
      <c r="F28" s="47"/>
      <c r="G28" s="56" t="str">
        <f t="shared" si="20"/>
        <v>#DIV/0!</v>
      </c>
      <c r="H28" s="40"/>
      <c r="I28" s="76"/>
      <c r="J28" s="55">
        <f t="shared" si="21"/>
        <v>0</v>
      </c>
      <c r="K28" s="52" t="str">
        <f t="shared" si="22"/>
        <v/>
      </c>
      <c r="L28" s="77" t="str">
        <f t="shared" si="23"/>
        <v>#DIV/0!</v>
      </c>
      <c r="M28" s="78"/>
      <c r="N28" s="59">
        <f t="shared" si="24"/>
        <v>0</v>
      </c>
      <c r="O28" s="60">
        <f>O26+1</f>
        <v>24</v>
      </c>
      <c r="P28" s="60"/>
      <c r="Q28" s="60"/>
      <c r="R28" s="60" t="str">
        <f t="shared" si="16"/>
        <v/>
      </c>
    </row>
    <row r="29">
      <c r="A29" s="62"/>
      <c r="B29" s="63"/>
      <c r="C29" s="62"/>
      <c r="D29" s="64" t="s">
        <v>19</v>
      </c>
      <c r="E29" s="64">
        <f>sum(E20:E26)</f>
        <v>1857</v>
      </c>
      <c r="F29" s="64">
        <f>sum(F20:F28)</f>
        <v>256</v>
      </c>
      <c r="G29" s="65" t="str">
        <f>average(G20:G26)</f>
        <v>#DIV/0!</v>
      </c>
      <c r="H29" s="62"/>
      <c r="I29" s="66"/>
      <c r="J29" s="64">
        <f t="shared" ref="J29:K29" si="25">sum(J20:J26)</f>
        <v>2051</v>
      </c>
      <c r="K29" s="64">
        <f t="shared" si="25"/>
        <v>256</v>
      </c>
      <c r="L29" s="65" t="str">
        <f>average(L20:L26)</f>
        <v>#DIV/0!</v>
      </c>
      <c r="M29" s="68"/>
      <c r="N29" s="69">
        <f>sum(N20:N28)</f>
        <v>8017710</v>
      </c>
      <c r="O29" s="60"/>
      <c r="P29" s="79" t="s">
        <v>19</v>
      </c>
      <c r="Q29" s="21">
        <f>SUM(Q4:Q27)</f>
        <v>218348180</v>
      </c>
      <c r="R29" s="21"/>
    </row>
    <row r="30">
      <c r="A30" s="70">
        <v>46113.0</v>
      </c>
      <c r="B30" s="36" t="s">
        <v>14</v>
      </c>
      <c r="C30" s="37">
        <v>187524.0</v>
      </c>
      <c r="D30" s="55">
        <v>187807.0</v>
      </c>
      <c r="E30" s="38">
        <f t="shared" ref="E30:E37" si="26">D30-C30</f>
        <v>283</v>
      </c>
      <c r="F30" s="39">
        <v>40.0</v>
      </c>
      <c r="G30" s="14">
        <f t="shared" ref="G30:G37" si="27">(F30/E30)*100</f>
        <v>14.13427562</v>
      </c>
      <c r="H30" s="40">
        <v>28165.0</v>
      </c>
      <c r="I30" s="57">
        <v>28581.0</v>
      </c>
      <c r="J30" s="41">
        <f t="shared" ref="J30:J37" si="28">I30-H30</f>
        <v>416</v>
      </c>
      <c r="K30" s="52">
        <f t="shared" ref="K30:K37" si="29">F30</f>
        <v>40</v>
      </c>
      <c r="L30" s="71">
        <f t="shared" ref="L30:L37" si="30">(K30/J30)*100</f>
        <v>9.615384615</v>
      </c>
      <c r="M30" s="72">
        <v>35440.0</v>
      </c>
      <c r="N30" s="44">
        <f t="shared" ref="N30:N37" si="31">F30*M30</f>
        <v>1417600</v>
      </c>
      <c r="R30" s="80" t="str">
        <f t="shared" ref="R30:R44" si="32">Q30</f>
        <v/>
      </c>
    </row>
    <row r="31">
      <c r="A31" s="35">
        <v>46115.0</v>
      </c>
      <c r="B31" s="46" t="s">
        <v>14</v>
      </c>
      <c r="C31" s="55">
        <v>187807.0</v>
      </c>
      <c r="D31" s="37">
        <v>188108.0</v>
      </c>
      <c r="E31" s="12">
        <f t="shared" si="26"/>
        <v>301</v>
      </c>
      <c r="F31" s="47">
        <v>30.0</v>
      </c>
      <c r="G31" s="14">
        <f t="shared" si="27"/>
        <v>9.966777409</v>
      </c>
      <c r="H31" s="57">
        <v>28581.0</v>
      </c>
      <c r="I31" s="40">
        <v>28842.0</v>
      </c>
      <c r="J31" s="37">
        <f t="shared" si="28"/>
        <v>261</v>
      </c>
      <c r="K31" s="52">
        <f t="shared" si="29"/>
        <v>30</v>
      </c>
      <c r="L31" s="48">
        <f t="shared" si="30"/>
        <v>11.49425287</v>
      </c>
      <c r="M31" s="72">
        <v>40820.0</v>
      </c>
      <c r="N31" s="49">
        <f t="shared" si="31"/>
        <v>1224600</v>
      </c>
      <c r="R31" s="80" t="str">
        <f t="shared" si="32"/>
        <v/>
      </c>
    </row>
    <row r="32">
      <c r="A32" s="35">
        <v>46121.0</v>
      </c>
      <c r="B32" s="36" t="s">
        <v>14</v>
      </c>
      <c r="C32" s="37">
        <v>188108.0</v>
      </c>
      <c r="D32" s="37">
        <v>188430.0</v>
      </c>
      <c r="E32" s="12">
        <f t="shared" si="26"/>
        <v>322</v>
      </c>
      <c r="F32" s="47">
        <v>40.0</v>
      </c>
      <c r="G32" s="14">
        <f t="shared" si="27"/>
        <v>12.42236025</v>
      </c>
      <c r="H32" s="40">
        <v>28842.0</v>
      </c>
      <c r="I32" s="40">
        <v>29190.0</v>
      </c>
      <c r="J32" s="37">
        <f t="shared" si="28"/>
        <v>348</v>
      </c>
      <c r="K32" s="52">
        <f t="shared" si="29"/>
        <v>40</v>
      </c>
      <c r="L32" s="48">
        <f t="shared" si="30"/>
        <v>11.49425287</v>
      </c>
      <c r="M32" s="72">
        <v>32960.0</v>
      </c>
      <c r="N32" s="49">
        <f t="shared" si="31"/>
        <v>1318400</v>
      </c>
      <c r="R32" s="80" t="str">
        <f t="shared" si="32"/>
        <v/>
      </c>
    </row>
    <row r="33">
      <c r="A33" s="35">
        <v>46127.0</v>
      </c>
      <c r="B33" s="46" t="s">
        <v>14</v>
      </c>
      <c r="C33" s="37">
        <v>188430.0</v>
      </c>
      <c r="D33" s="37">
        <v>188741.0</v>
      </c>
      <c r="E33" s="12">
        <f t="shared" si="26"/>
        <v>311</v>
      </c>
      <c r="F33" s="47">
        <v>40.0</v>
      </c>
      <c r="G33" s="14">
        <f t="shared" si="27"/>
        <v>12.86173633</v>
      </c>
      <c r="H33" s="40">
        <v>29190.0</v>
      </c>
      <c r="I33" s="40">
        <v>29565.0</v>
      </c>
      <c r="J33" s="37">
        <f t="shared" si="28"/>
        <v>375</v>
      </c>
      <c r="K33" s="52">
        <f t="shared" si="29"/>
        <v>40</v>
      </c>
      <c r="L33" s="48">
        <f t="shared" si="30"/>
        <v>10.66666667</v>
      </c>
      <c r="M33" s="72">
        <v>32960.0</v>
      </c>
      <c r="N33" s="49">
        <f t="shared" si="31"/>
        <v>1318400</v>
      </c>
      <c r="R33" s="80" t="str">
        <f t="shared" si="32"/>
        <v/>
      </c>
    </row>
    <row r="34">
      <c r="A34" s="35">
        <v>46130.0</v>
      </c>
      <c r="B34" s="46" t="s">
        <v>14</v>
      </c>
      <c r="C34" s="37">
        <v>188741.0</v>
      </c>
      <c r="D34" s="37">
        <v>189113.0</v>
      </c>
      <c r="E34" s="12">
        <f t="shared" si="26"/>
        <v>372</v>
      </c>
      <c r="F34" s="47">
        <v>40.0</v>
      </c>
      <c r="G34" s="14">
        <f t="shared" si="27"/>
        <v>10.75268817</v>
      </c>
      <c r="H34" s="40">
        <v>29565.0</v>
      </c>
      <c r="I34" s="40">
        <v>29948.0</v>
      </c>
      <c r="J34" s="37">
        <f t="shared" si="28"/>
        <v>383</v>
      </c>
      <c r="K34" s="52">
        <f t="shared" si="29"/>
        <v>40</v>
      </c>
      <c r="L34" s="48">
        <f t="shared" si="30"/>
        <v>10.44386423</v>
      </c>
      <c r="M34" s="72">
        <v>31040.0</v>
      </c>
      <c r="N34" s="49">
        <f t="shared" si="31"/>
        <v>1241600</v>
      </c>
      <c r="R34" s="80" t="str">
        <f t="shared" si="32"/>
        <v/>
      </c>
    </row>
    <row r="35">
      <c r="A35" s="35">
        <v>46135.0</v>
      </c>
      <c r="B35" s="46" t="s">
        <v>14</v>
      </c>
      <c r="C35" s="37">
        <v>189113.0</v>
      </c>
      <c r="D35" s="37">
        <v>189386.0</v>
      </c>
      <c r="E35" s="12">
        <f t="shared" si="26"/>
        <v>273</v>
      </c>
      <c r="F35" s="47">
        <v>40.0</v>
      </c>
      <c r="G35" s="14">
        <f t="shared" si="27"/>
        <v>14.65201465</v>
      </c>
      <c r="H35" s="40">
        <v>29948.0</v>
      </c>
      <c r="I35" s="40">
        <v>30275.0</v>
      </c>
      <c r="J35" s="37">
        <f t="shared" si="28"/>
        <v>327</v>
      </c>
      <c r="K35" s="52">
        <f t="shared" si="29"/>
        <v>40</v>
      </c>
      <c r="L35" s="48">
        <f t="shared" si="30"/>
        <v>12.2324159</v>
      </c>
      <c r="M35" s="50">
        <v>26690.0</v>
      </c>
      <c r="N35" s="49">
        <f t="shared" si="31"/>
        <v>1067600</v>
      </c>
      <c r="R35" s="80" t="str">
        <f t="shared" si="32"/>
        <v/>
      </c>
    </row>
    <row r="36">
      <c r="A36" s="35">
        <v>46140.0</v>
      </c>
      <c r="B36" s="46" t="s">
        <v>14</v>
      </c>
      <c r="C36" s="37">
        <v>189386.0</v>
      </c>
      <c r="D36" s="37">
        <v>189686.0</v>
      </c>
      <c r="E36" s="12">
        <f t="shared" si="26"/>
        <v>300</v>
      </c>
      <c r="F36" s="47">
        <v>40.0</v>
      </c>
      <c r="G36" s="14">
        <f t="shared" si="27"/>
        <v>13.33333333</v>
      </c>
      <c r="H36" s="40">
        <v>30275.0</v>
      </c>
      <c r="I36" s="40">
        <v>30592.0</v>
      </c>
      <c r="J36" s="37">
        <f t="shared" si="28"/>
        <v>317</v>
      </c>
      <c r="K36" s="52">
        <f t="shared" si="29"/>
        <v>40</v>
      </c>
      <c r="L36" s="48">
        <f t="shared" si="30"/>
        <v>12.61829653</v>
      </c>
      <c r="M36" s="50">
        <v>26690.0</v>
      </c>
      <c r="N36" s="49">
        <f t="shared" si="31"/>
        <v>1067600</v>
      </c>
      <c r="R36" s="80" t="str">
        <f t="shared" si="32"/>
        <v/>
      </c>
    </row>
    <row r="37">
      <c r="A37" s="35"/>
      <c r="B37" s="46" t="s">
        <v>14</v>
      </c>
      <c r="C37" s="37"/>
      <c r="D37" s="55"/>
      <c r="E37" s="12">
        <f t="shared" si="26"/>
        <v>0</v>
      </c>
      <c r="F37" s="47"/>
      <c r="G37" s="56" t="str">
        <f t="shared" si="27"/>
        <v>#DIV/0!</v>
      </c>
      <c r="H37" s="40"/>
      <c r="I37" s="57"/>
      <c r="J37" s="55">
        <f t="shared" si="28"/>
        <v>0</v>
      </c>
      <c r="K37" s="52" t="str">
        <f t="shared" si="29"/>
        <v/>
      </c>
      <c r="L37" s="77" t="str">
        <f t="shared" si="30"/>
        <v>#DIV/0!</v>
      </c>
      <c r="M37" s="50"/>
      <c r="N37" s="59">
        <f t="shared" si="31"/>
        <v>0</v>
      </c>
      <c r="R37" s="80" t="str">
        <f t="shared" si="32"/>
        <v/>
      </c>
    </row>
    <row r="38">
      <c r="A38" s="62"/>
      <c r="B38" s="63"/>
      <c r="C38" s="62"/>
      <c r="D38" s="64" t="s">
        <v>19</v>
      </c>
      <c r="E38" s="64">
        <f>sum(E30:E37)</f>
        <v>2162</v>
      </c>
      <c r="F38" s="39"/>
      <c r="G38" s="65" t="str">
        <f>average(G30:G37)</f>
        <v>#DIV/0!</v>
      </c>
      <c r="H38" s="62"/>
      <c r="I38" s="66"/>
      <c r="J38" s="64">
        <f t="shared" ref="J38:K38" si="33">sum(J30:J37)</f>
        <v>2427</v>
      </c>
      <c r="K38" s="64">
        <f t="shared" si="33"/>
        <v>270</v>
      </c>
      <c r="L38" s="65" t="str">
        <f>average(L30:L37)</f>
        <v>#DIV/0!</v>
      </c>
      <c r="M38" s="68"/>
      <c r="N38" s="69">
        <f>sum(N30:N37)</f>
        <v>8655800</v>
      </c>
      <c r="R38" s="80" t="str">
        <f t="shared" si="32"/>
        <v/>
      </c>
    </row>
    <row r="39">
      <c r="A39" s="70">
        <v>46113.0</v>
      </c>
      <c r="B39" s="36" t="s">
        <v>15</v>
      </c>
      <c r="C39" s="55">
        <v>175984.0</v>
      </c>
      <c r="D39" s="37">
        <v>176348.0</v>
      </c>
      <c r="E39" s="38">
        <f t="shared" ref="E39:E48" si="34">D39-C39</f>
        <v>364</v>
      </c>
      <c r="F39" s="39">
        <v>40.0</v>
      </c>
      <c r="G39" s="14">
        <f t="shared" ref="G39:G48" si="35">(F39/E39)*100</f>
        <v>10.98901099</v>
      </c>
      <c r="H39" s="57">
        <v>35038.0</v>
      </c>
      <c r="I39" s="40">
        <v>35440.0</v>
      </c>
      <c r="J39" s="41">
        <f t="shared" ref="J39:J48" si="36">I39-H39</f>
        <v>402</v>
      </c>
      <c r="K39" s="81">
        <f t="shared" ref="K39:K48" si="37">F39</f>
        <v>40</v>
      </c>
      <c r="L39" s="71">
        <f t="shared" ref="L39:L48" si="38">(K39/J39)*100</f>
        <v>9.950248756</v>
      </c>
      <c r="M39" s="55">
        <v>35440.0</v>
      </c>
      <c r="N39" s="44">
        <f t="shared" ref="N39:N48" si="39">F39*M39</f>
        <v>1417600</v>
      </c>
      <c r="R39" s="80" t="str">
        <f t="shared" si="32"/>
        <v/>
      </c>
    </row>
    <row r="40">
      <c r="A40" s="35">
        <v>46116.0</v>
      </c>
      <c r="B40" s="46" t="s">
        <v>15</v>
      </c>
      <c r="C40" s="37">
        <v>176348.0</v>
      </c>
      <c r="D40" s="37">
        <v>176614.0</v>
      </c>
      <c r="E40" s="12">
        <f t="shared" si="34"/>
        <v>266</v>
      </c>
      <c r="F40" s="47">
        <v>37.0</v>
      </c>
      <c r="G40" s="14">
        <f t="shared" si="35"/>
        <v>13.90977444</v>
      </c>
      <c r="H40" s="40">
        <v>35440.0</v>
      </c>
      <c r="I40" s="40">
        <v>35706.0</v>
      </c>
      <c r="J40" s="37">
        <f t="shared" si="36"/>
        <v>266</v>
      </c>
      <c r="K40" s="52">
        <f t="shared" si="37"/>
        <v>37</v>
      </c>
      <c r="L40" s="48">
        <f t="shared" si="38"/>
        <v>13.90977444</v>
      </c>
      <c r="M40" s="55">
        <v>44780.0</v>
      </c>
      <c r="N40" s="49">
        <f t="shared" si="39"/>
        <v>1656860</v>
      </c>
      <c r="P40" s="82"/>
      <c r="R40" s="80" t="str">
        <f t="shared" si="32"/>
        <v/>
      </c>
    </row>
    <row r="41">
      <c r="A41" s="35">
        <v>46127.0</v>
      </c>
      <c r="B41" s="46" t="s">
        <v>15</v>
      </c>
      <c r="C41" s="37">
        <v>176614.0</v>
      </c>
      <c r="D41" s="37">
        <v>177041.0</v>
      </c>
      <c r="E41" s="12">
        <f t="shared" si="34"/>
        <v>427</v>
      </c>
      <c r="F41" s="47">
        <v>53.0</v>
      </c>
      <c r="G41" s="14">
        <f t="shared" si="35"/>
        <v>12.41217799</v>
      </c>
      <c r="H41" s="40">
        <v>35706.0</v>
      </c>
      <c r="I41" s="37">
        <v>36103.0</v>
      </c>
      <c r="J41" s="37">
        <f t="shared" si="36"/>
        <v>397</v>
      </c>
      <c r="K41" s="37">
        <f t="shared" si="37"/>
        <v>53</v>
      </c>
      <c r="L41" s="48">
        <f t="shared" si="38"/>
        <v>13.35012594</v>
      </c>
      <c r="M41" s="55">
        <v>32960.0</v>
      </c>
      <c r="N41" s="49">
        <f t="shared" si="39"/>
        <v>1746880</v>
      </c>
      <c r="R41" s="80" t="str">
        <f t="shared" si="32"/>
        <v/>
      </c>
    </row>
    <row r="42">
      <c r="A42" s="35">
        <v>46131.0</v>
      </c>
      <c r="B42" s="46" t="s">
        <v>15</v>
      </c>
      <c r="C42" s="37">
        <v>177041.0</v>
      </c>
      <c r="D42" s="37">
        <v>177471.0</v>
      </c>
      <c r="E42" s="12">
        <f t="shared" si="34"/>
        <v>430</v>
      </c>
      <c r="F42" s="47">
        <v>45.0</v>
      </c>
      <c r="G42" s="14">
        <f t="shared" si="35"/>
        <v>10.46511628</v>
      </c>
      <c r="H42" s="37">
        <v>36103.0</v>
      </c>
      <c r="I42" s="40">
        <v>36545.0</v>
      </c>
      <c r="J42" s="37">
        <f t="shared" si="36"/>
        <v>442</v>
      </c>
      <c r="K42" s="52">
        <f t="shared" si="37"/>
        <v>45</v>
      </c>
      <c r="L42" s="48">
        <f t="shared" si="38"/>
        <v>10.18099548</v>
      </c>
      <c r="M42" s="55">
        <v>31040.0</v>
      </c>
      <c r="N42" s="49">
        <f t="shared" si="39"/>
        <v>1396800</v>
      </c>
      <c r="R42" s="80" t="str">
        <f t="shared" si="32"/>
        <v/>
      </c>
    </row>
    <row r="43">
      <c r="A43" s="35">
        <v>46135.0</v>
      </c>
      <c r="B43" s="46" t="s">
        <v>15</v>
      </c>
      <c r="C43" s="37">
        <v>177471.0</v>
      </c>
      <c r="D43" s="37">
        <v>177823.0</v>
      </c>
      <c r="E43" s="12">
        <f t="shared" si="34"/>
        <v>352</v>
      </c>
      <c r="F43" s="47">
        <v>39.0</v>
      </c>
      <c r="G43" s="14">
        <f t="shared" si="35"/>
        <v>11.07954545</v>
      </c>
      <c r="H43" s="40">
        <v>36545.0</v>
      </c>
      <c r="I43" s="40">
        <v>36913.0</v>
      </c>
      <c r="J43" s="37">
        <f t="shared" si="36"/>
        <v>368</v>
      </c>
      <c r="K43" s="52">
        <f t="shared" si="37"/>
        <v>39</v>
      </c>
      <c r="L43" s="48">
        <f t="shared" si="38"/>
        <v>10.59782609</v>
      </c>
      <c r="M43" s="55">
        <v>27850.0</v>
      </c>
      <c r="N43" s="49">
        <f t="shared" si="39"/>
        <v>1086150</v>
      </c>
      <c r="R43" s="80" t="str">
        <f t="shared" si="32"/>
        <v/>
      </c>
    </row>
    <row r="44">
      <c r="A44" s="35">
        <v>46141.0</v>
      </c>
      <c r="B44" s="46" t="s">
        <v>15</v>
      </c>
      <c r="C44" s="37">
        <v>177823.0</v>
      </c>
      <c r="D44" s="37">
        <v>178214.0</v>
      </c>
      <c r="E44" s="12">
        <f t="shared" si="34"/>
        <v>391</v>
      </c>
      <c r="F44" s="47">
        <v>44.0</v>
      </c>
      <c r="G44" s="14">
        <f t="shared" si="35"/>
        <v>11.25319693</v>
      </c>
      <c r="H44" s="40">
        <v>36913.0</v>
      </c>
      <c r="I44" s="40">
        <v>37292.0</v>
      </c>
      <c r="J44" s="37">
        <f t="shared" si="36"/>
        <v>379</v>
      </c>
      <c r="K44" s="52">
        <f t="shared" si="37"/>
        <v>44</v>
      </c>
      <c r="L44" s="48">
        <f t="shared" si="38"/>
        <v>11.60949868</v>
      </c>
      <c r="M44" s="50">
        <v>28170.0</v>
      </c>
      <c r="N44" s="49">
        <f t="shared" si="39"/>
        <v>1239480</v>
      </c>
      <c r="R44" s="80" t="str">
        <f t="shared" si="32"/>
        <v/>
      </c>
    </row>
    <row r="45">
      <c r="A45" s="35"/>
      <c r="B45" s="46" t="s">
        <v>15</v>
      </c>
      <c r="C45" s="37"/>
      <c r="D45" s="37"/>
      <c r="E45" s="12">
        <f t="shared" si="34"/>
        <v>0</v>
      </c>
      <c r="F45" s="47"/>
      <c r="G45" s="14" t="str">
        <f t="shared" si="35"/>
        <v>#DIV/0!</v>
      </c>
      <c r="H45" s="40"/>
      <c r="I45" s="40"/>
      <c r="J45" s="37">
        <f t="shared" si="36"/>
        <v>0</v>
      </c>
      <c r="K45" s="52" t="str">
        <f t="shared" si="37"/>
        <v/>
      </c>
      <c r="L45" s="48" t="str">
        <f t="shared" si="38"/>
        <v>#DIV/0!</v>
      </c>
      <c r="M45" s="50"/>
      <c r="N45" s="49">
        <f t="shared" si="39"/>
        <v>0</v>
      </c>
    </row>
    <row r="46">
      <c r="A46" s="35"/>
      <c r="B46" s="46" t="s">
        <v>15</v>
      </c>
      <c r="C46" s="37"/>
      <c r="D46" s="37"/>
      <c r="E46" s="12">
        <f t="shared" si="34"/>
        <v>0</v>
      </c>
      <c r="F46" s="47"/>
      <c r="G46" s="14" t="str">
        <f t="shared" si="35"/>
        <v>#DIV/0!</v>
      </c>
      <c r="H46" s="40"/>
      <c r="I46" s="40"/>
      <c r="J46" s="37">
        <f t="shared" si="36"/>
        <v>0</v>
      </c>
      <c r="K46" s="52" t="str">
        <f t="shared" si="37"/>
        <v/>
      </c>
      <c r="L46" s="48" t="str">
        <f t="shared" si="38"/>
        <v>#DIV/0!</v>
      </c>
      <c r="M46" s="50"/>
      <c r="N46" s="49">
        <f t="shared" si="39"/>
        <v>0</v>
      </c>
    </row>
    <row r="47">
      <c r="A47" s="35"/>
      <c r="B47" s="83" t="s">
        <v>15</v>
      </c>
      <c r="C47" s="37"/>
      <c r="D47" s="55"/>
      <c r="E47" s="25">
        <f t="shared" si="34"/>
        <v>0</v>
      </c>
      <c r="F47" s="47"/>
      <c r="G47" s="56" t="str">
        <f t="shared" si="35"/>
        <v>#DIV/0!</v>
      </c>
      <c r="H47" s="40"/>
      <c r="I47" s="57"/>
      <c r="J47" s="55">
        <f t="shared" si="36"/>
        <v>0</v>
      </c>
      <c r="K47" s="52" t="str">
        <f t="shared" si="37"/>
        <v/>
      </c>
      <c r="L47" s="77" t="str">
        <f t="shared" si="38"/>
        <v>#DIV/0!</v>
      </c>
      <c r="M47" s="50"/>
      <c r="N47" s="59">
        <f t="shared" si="39"/>
        <v>0</v>
      </c>
      <c r="R47" s="80" t="str">
        <f t="shared" ref="R47:R57" si="40">Q47</f>
        <v/>
      </c>
    </row>
    <row r="48">
      <c r="A48" s="35"/>
      <c r="B48" s="83" t="s">
        <v>15</v>
      </c>
      <c r="C48" s="55"/>
      <c r="D48" s="55"/>
      <c r="E48" s="25">
        <f t="shared" si="34"/>
        <v>0</v>
      </c>
      <c r="F48" s="47"/>
      <c r="G48" s="56" t="str">
        <f t="shared" si="35"/>
        <v>#DIV/0!</v>
      </c>
      <c r="H48" s="57"/>
      <c r="I48" s="57"/>
      <c r="J48" s="55">
        <f t="shared" si="36"/>
        <v>0</v>
      </c>
      <c r="K48" s="52" t="str">
        <f t="shared" si="37"/>
        <v/>
      </c>
      <c r="L48" s="77" t="str">
        <f t="shared" si="38"/>
        <v>#DIV/0!</v>
      </c>
      <c r="M48" s="50"/>
      <c r="N48" s="59">
        <f t="shared" si="39"/>
        <v>0</v>
      </c>
      <c r="R48" s="80" t="str">
        <f t="shared" si="40"/>
        <v/>
      </c>
    </row>
    <row r="49">
      <c r="A49" s="62"/>
      <c r="B49" s="63"/>
      <c r="C49" s="62"/>
      <c r="D49" s="64" t="s">
        <v>19</v>
      </c>
      <c r="E49" s="64">
        <f>sum(E39:E47)</f>
        <v>2230</v>
      </c>
      <c r="F49" s="64">
        <f>sum(F39:F48)</f>
        <v>258</v>
      </c>
      <c r="G49" s="65" t="str">
        <f>average(G39:G47)</f>
        <v>#DIV/0!</v>
      </c>
      <c r="H49" s="62"/>
      <c r="I49" s="66"/>
      <c r="J49" s="64">
        <f t="shared" ref="J49:K49" si="41">sum(J39:J47)</f>
        <v>2254</v>
      </c>
      <c r="K49" s="64">
        <f t="shared" si="41"/>
        <v>258</v>
      </c>
      <c r="L49" s="65" t="str">
        <f>average(L39:L47)</f>
        <v>#DIV/0!</v>
      </c>
      <c r="M49" s="68"/>
      <c r="N49" s="69">
        <f>sum(N39:N48)</f>
        <v>8543770</v>
      </c>
      <c r="R49" s="80" t="str">
        <f t="shared" si="40"/>
        <v/>
      </c>
    </row>
    <row r="50">
      <c r="A50" s="70">
        <v>46114.0</v>
      </c>
      <c r="B50" s="36" t="s">
        <v>16</v>
      </c>
      <c r="C50" s="37">
        <v>152771.0</v>
      </c>
      <c r="D50" s="37">
        <v>153094.0</v>
      </c>
      <c r="E50" s="38">
        <f t="shared" ref="E50:E60" si="42">D50-C50</f>
        <v>323</v>
      </c>
      <c r="F50" s="39">
        <v>46.0</v>
      </c>
      <c r="G50" s="14">
        <f t="shared" ref="G50:G60" si="43">(F50/E50)*100</f>
        <v>14.24148607</v>
      </c>
      <c r="H50" s="40">
        <v>37927.0</v>
      </c>
      <c r="I50" s="40">
        <v>38318.0</v>
      </c>
      <c r="J50" s="41">
        <f t="shared" ref="J50:J60" si="44">I50-H50</f>
        <v>391</v>
      </c>
      <c r="K50" s="81">
        <f t="shared" ref="K50:K60" si="45">F50</f>
        <v>46</v>
      </c>
      <c r="L50" s="71">
        <f t="shared" ref="L50:L60" si="46">(K50/J50)*100</f>
        <v>11.76470588</v>
      </c>
      <c r="M50" s="72">
        <v>35440.0</v>
      </c>
      <c r="N50" s="44">
        <f t="shared" ref="N50:N60" si="47">F50*M50</f>
        <v>1630240</v>
      </c>
      <c r="R50" s="80" t="str">
        <f t="shared" si="40"/>
        <v/>
      </c>
    </row>
    <row r="51">
      <c r="A51" s="70">
        <v>46118.0</v>
      </c>
      <c r="B51" s="46" t="s">
        <v>16</v>
      </c>
      <c r="C51" s="37">
        <v>153094.0</v>
      </c>
      <c r="D51" s="37">
        <v>153385.0</v>
      </c>
      <c r="E51" s="12">
        <f t="shared" si="42"/>
        <v>291</v>
      </c>
      <c r="F51" s="47">
        <v>38.0</v>
      </c>
      <c r="G51" s="14">
        <f t="shared" si="43"/>
        <v>13.05841924</v>
      </c>
      <c r="H51" s="40">
        <v>38318.0</v>
      </c>
      <c r="I51" s="40">
        <v>38589.0</v>
      </c>
      <c r="J51" s="37">
        <f t="shared" si="44"/>
        <v>271</v>
      </c>
      <c r="K51" s="52">
        <f t="shared" si="45"/>
        <v>38</v>
      </c>
      <c r="L51" s="48">
        <f t="shared" si="46"/>
        <v>14.02214022</v>
      </c>
      <c r="M51" s="50">
        <v>44780.0</v>
      </c>
      <c r="N51" s="49">
        <f t="shared" si="47"/>
        <v>1701640</v>
      </c>
      <c r="R51" s="80" t="str">
        <f t="shared" si="40"/>
        <v/>
      </c>
    </row>
    <row r="52">
      <c r="A52" s="84">
        <v>46121.0</v>
      </c>
      <c r="B52" s="46" t="s">
        <v>16</v>
      </c>
      <c r="C52" s="37">
        <v>153385.0</v>
      </c>
      <c r="D52" s="37">
        <v>153666.0</v>
      </c>
      <c r="E52" s="12">
        <f t="shared" si="42"/>
        <v>281</v>
      </c>
      <c r="F52" s="47">
        <v>42.0</v>
      </c>
      <c r="G52" s="14">
        <f t="shared" si="43"/>
        <v>14.94661922</v>
      </c>
      <c r="H52" s="40">
        <v>38589.0</v>
      </c>
      <c r="I52" s="40">
        <v>38893.0</v>
      </c>
      <c r="J52" s="37">
        <f t="shared" si="44"/>
        <v>304</v>
      </c>
      <c r="K52" s="52">
        <f t="shared" si="45"/>
        <v>42</v>
      </c>
      <c r="L52" s="48">
        <f t="shared" si="46"/>
        <v>13.81578947</v>
      </c>
      <c r="M52" s="50">
        <v>42840.0</v>
      </c>
      <c r="N52" s="49">
        <f t="shared" si="47"/>
        <v>1799280</v>
      </c>
      <c r="R52" s="80" t="str">
        <f t="shared" si="40"/>
        <v/>
      </c>
    </row>
    <row r="53">
      <c r="A53" s="84">
        <v>46123.0</v>
      </c>
      <c r="B53" s="46" t="s">
        <v>16</v>
      </c>
      <c r="C53" s="37">
        <v>153666.0</v>
      </c>
      <c r="D53" s="37">
        <v>153965.0</v>
      </c>
      <c r="E53" s="12">
        <f t="shared" si="42"/>
        <v>299</v>
      </c>
      <c r="F53" s="47">
        <v>48.0</v>
      </c>
      <c r="G53" s="14">
        <f t="shared" si="43"/>
        <v>16.05351171</v>
      </c>
      <c r="H53" s="40">
        <v>38893.0</v>
      </c>
      <c r="I53" s="40">
        <v>39225.0</v>
      </c>
      <c r="J53" s="37">
        <f t="shared" si="44"/>
        <v>332</v>
      </c>
      <c r="K53" s="52">
        <f t="shared" si="45"/>
        <v>48</v>
      </c>
      <c r="L53" s="48">
        <f t="shared" si="46"/>
        <v>14.45783133</v>
      </c>
      <c r="M53" s="50">
        <v>32960.0</v>
      </c>
      <c r="N53" s="49">
        <f t="shared" si="47"/>
        <v>1582080</v>
      </c>
      <c r="R53" s="80" t="str">
        <f t="shared" si="40"/>
        <v/>
      </c>
    </row>
    <row r="54">
      <c r="A54" s="84">
        <v>46127.0</v>
      </c>
      <c r="B54" s="46" t="s">
        <v>16</v>
      </c>
      <c r="C54" s="37">
        <v>153965.0</v>
      </c>
      <c r="D54" s="37">
        <v>154328.0</v>
      </c>
      <c r="E54" s="12">
        <f t="shared" si="42"/>
        <v>363</v>
      </c>
      <c r="F54" s="47">
        <v>57.0</v>
      </c>
      <c r="G54" s="14">
        <f t="shared" si="43"/>
        <v>15.70247934</v>
      </c>
      <c r="H54" s="40">
        <v>39225.0</v>
      </c>
      <c r="I54" s="40">
        <v>39615.0</v>
      </c>
      <c r="J54" s="37">
        <f t="shared" si="44"/>
        <v>390</v>
      </c>
      <c r="K54" s="52">
        <f t="shared" si="45"/>
        <v>57</v>
      </c>
      <c r="L54" s="48">
        <f t="shared" si="46"/>
        <v>14.61538462</v>
      </c>
      <c r="M54" s="50">
        <v>32960.0</v>
      </c>
      <c r="N54" s="49">
        <f t="shared" si="47"/>
        <v>1878720</v>
      </c>
      <c r="P54" s="82"/>
      <c r="R54" s="80" t="str">
        <f t="shared" si="40"/>
        <v/>
      </c>
    </row>
    <row r="55">
      <c r="A55" s="84">
        <v>46132.0</v>
      </c>
      <c r="B55" s="46" t="s">
        <v>16</v>
      </c>
      <c r="C55" s="37">
        <v>154328.0</v>
      </c>
      <c r="D55" s="37">
        <v>154654.0</v>
      </c>
      <c r="E55" s="12">
        <f t="shared" si="42"/>
        <v>326</v>
      </c>
      <c r="F55" s="47">
        <v>48.0</v>
      </c>
      <c r="G55" s="14">
        <f t="shared" si="43"/>
        <v>14.72392638</v>
      </c>
      <c r="H55" s="40">
        <v>39615.0</v>
      </c>
      <c r="I55" s="40">
        <v>40084.0</v>
      </c>
      <c r="J55" s="37">
        <f t="shared" si="44"/>
        <v>469</v>
      </c>
      <c r="K55" s="52">
        <f t="shared" si="45"/>
        <v>48</v>
      </c>
      <c r="L55" s="48">
        <f t="shared" si="46"/>
        <v>10.23454158</v>
      </c>
      <c r="M55" s="50">
        <v>31040.0</v>
      </c>
      <c r="N55" s="49">
        <f t="shared" si="47"/>
        <v>1489920</v>
      </c>
      <c r="R55" s="80" t="str">
        <f t="shared" si="40"/>
        <v/>
      </c>
    </row>
    <row r="56">
      <c r="A56" s="84">
        <v>46134.0</v>
      </c>
      <c r="B56" s="46" t="s">
        <v>16</v>
      </c>
      <c r="C56" s="37">
        <v>154654.0</v>
      </c>
      <c r="D56" s="37">
        <v>155014.0</v>
      </c>
      <c r="E56" s="12">
        <f t="shared" si="42"/>
        <v>360</v>
      </c>
      <c r="F56" s="47">
        <v>52.0</v>
      </c>
      <c r="G56" s="14">
        <f t="shared" si="43"/>
        <v>14.44444444</v>
      </c>
      <c r="H56" s="40">
        <v>40084.0</v>
      </c>
      <c r="I56" s="40">
        <v>40392.0</v>
      </c>
      <c r="J56" s="37">
        <f t="shared" si="44"/>
        <v>308</v>
      </c>
      <c r="K56" s="52">
        <f t="shared" si="45"/>
        <v>52</v>
      </c>
      <c r="L56" s="48">
        <f t="shared" si="46"/>
        <v>16.88311688</v>
      </c>
      <c r="M56" s="50">
        <v>27850.0</v>
      </c>
      <c r="N56" s="49">
        <f t="shared" si="47"/>
        <v>1448200</v>
      </c>
      <c r="R56" s="80" t="str">
        <f t="shared" si="40"/>
        <v/>
      </c>
    </row>
    <row r="57">
      <c r="A57" s="84">
        <v>46137.0</v>
      </c>
      <c r="B57" s="46" t="s">
        <v>16</v>
      </c>
      <c r="C57" s="37">
        <v>155014.0</v>
      </c>
      <c r="D57" s="37">
        <v>155352.0</v>
      </c>
      <c r="E57" s="12">
        <f t="shared" si="42"/>
        <v>338</v>
      </c>
      <c r="F57" s="47">
        <v>51.0</v>
      </c>
      <c r="G57" s="14">
        <f t="shared" si="43"/>
        <v>15.0887574</v>
      </c>
      <c r="H57" s="40">
        <v>40392.0</v>
      </c>
      <c r="I57" s="40">
        <v>40860.0</v>
      </c>
      <c r="J57" s="37">
        <f t="shared" si="44"/>
        <v>468</v>
      </c>
      <c r="K57" s="52">
        <f t="shared" si="45"/>
        <v>51</v>
      </c>
      <c r="L57" s="48">
        <f t="shared" si="46"/>
        <v>10.8974359</v>
      </c>
      <c r="M57" s="50">
        <v>26690.0</v>
      </c>
      <c r="N57" s="49">
        <f t="shared" si="47"/>
        <v>1361190</v>
      </c>
      <c r="R57" s="80" t="str">
        <f t="shared" si="40"/>
        <v/>
      </c>
    </row>
    <row r="58">
      <c r="A58" s="84">
        <v>46140.0</v>
      </c>
      <c r="B58" s="46" t="s">
        <v>16</v>
      </c>
      <c r="C58" s="37">
        <v>155352.0</v>
      </c>
      <c r="D58" s="37">
        <v>155596.0</v>
      </c>
      <c r="E58" s="12">
        <f t="shared" si="42"/>
        <v>244</v>
      </c>
      <c r="F58" s="47">
        <v>40.0</v>
      </c>
      <c r="G58" s="14">
        <f t="shared" si="43"/>
        <v>16.39344262</v>
      </c>
      <c r="H58" s="40">
        <v>40860.0</v>
      </c>
      <c r="I58" s="40">
        <v>41052.0</v>
      </c>
      <c r="J58" s="37">
        <f t="shared" si="44"/>
        <v>192</v>
      </c>
      <c r="K58" s="52">
        <f t="shared" si="45"/>
        <v>40</v>
      </c>
      <c r="L58" s="48">
        <f t="shared" si="46"/>
        <v>20.83333333</v>
      </c>
      <c r="M58" s="50">
        <v>26690.0</v>
      </c>
      <c r="N58" s="49">
        <f t="shared" si="47"/>
        <v>1067600</v>
      </c>
    </row>
    <row r="59">
      <c r="A59" s="84"/>
      <c r="B59" s="46" t="s">
        <v>16</v>
      </c>
      <c r="C59" s="37"/>
      <c r="D59" s="37"/>
      <c r="E59" s="12">
        <f t="shared" si="42"/>
        <v>0</v>
      </c>
      <c r="F59" s="47"/>
      <c r="G59" s="14" t="str">
        <f t="shared" si="43"/>
        <v>#DIV/0!</v>
      </c>
      <c r="H59" s="40"/>
      <c r="I59" s="40"/>
      <c r="J59" s="37">
        <f t="shared" si="44"/>
        <v>0</v>
      </c>
      <c r="K59" s="52" t="str">
        <f t="shared" si="45"/>
        <v/>
      </c>
      <c r="L59" s="48" t="str">
        <f t="shared" si="46"/>
        <v>#DIV/0!</v>
      </c>
      <c r="M59" s="50"/>
      <c r="N59" s="49">
        <f t="shared" si="47"/>
        <v>0</v>
      </c>
      <c r="R59" s="80" t="str">
        <f t="shared" ref="R59:R64" si="48">Q59</f>
        <v/>
      </c>
    </row>
    <row r="60">
      <c r="A60" s="84"/>
      <c r="B60" s="46" t="s">
        <v>16</v>
      </c>
      <c r="C60" s="55"/>
      <c r="D60" s="55"/>
      <c r="E60" s="25">
        <f t="shared" si="42"/>
        <v>0</v>
      </c>
      <c r="F60" s="47"/>
      <c r="G60" s="56" t="str">
        <f t="shared" si="43"/>
        <v>#DIV/0!</v>
      </c>
      <c r="H60" s="55"/>
      <c r="I60" s="85"/>
      <c r="J60" s="55">
        <f t="shared" si="44"/>
        <v>0</v>
      </c>
      <c r="K60" s="52" t="str">
        <f t="shared" si="45"/>
        <v/>
      </c>
      <c r="L60" s="77" t="str">
        <f t="shared" si="46"/>
        <v>#DIV/0!</v>
      </c>
      <c r="M60" s="50"/>
      <c r="N60" s="59">
        <f t="shared" si="47"/>
        <v>0</v>
      </c>
      <c r="R60" s="80" t="str">
        <f t="shared" si="48"/>
        <v/>
      </c>
    </row>
    <row r="61">
      <c r="A61" s="62"/>
      <c r="B61" s="63"/>
      <c r="C61" s="86"/>
      <c r="D61" s="64" t="s">
        <v>19</v>
      </c>
      <c r="E61" s="64">
        <f>sum(E50:E60)</f>
        <v>2825</v>
      </c>
      <c r="F61" s="39"/>
      <c r="G61" s="65" t="str">
        <f>average(G50:G60)</f>
        <v>#DIV/0!</v>
      </c>
      <c r="H61" s="62"/>
      <c r="I61" s="66"/>
      <c r="J61" s="64">
        <f t="shared" ref="J61:K61" si="49">sum(J50:J60)</f>
        <v>3125</v>
      </c>
      <c r="K61" s="64">
        <f t="shared" si="49"/>
        <v>422</v>
      </c>
      <c r="L61" s="65" t="str">
        <f>average(L50:L60)</f>
        <v>#DIV/0!</v>
      </c>
      <c r="M61" s="68"/>
      <c r="N61" s="69">
        <f>sum(N50:N60)</f>
        <v>13958870</v>
      </c>
      <c r="R61" s="80" t="str">
        <f t="shared" si="48"/>
        <v/>
      </c>
    </row>
    <row r="62">
      <c r="A62" s="70">
        <v>46113.0</v>
      </c>
      <c r="B62" s="87" t="s">
        <v>18</v>
      </c>
      <c r="C62" s="52"/>
      <c r="D62" s="52"/>
      <c r="E62" s="38">
        <f t="shared" ref="E62:E70" si="50">D62-C62</f>
        <v>0</v>
      </c>
      <c r="F62" s="39">
        <v>15.0</v>
      </c>
      <c r="G62" s="14" t="str">
        <f t="shared" ref="G62:G70" si="51">(F62/E62)*100</f>
        <v>#DIV/0!</v>
      </c>
      <c r="H62" s="40"/>
      <c r="I62" s="40"/>
      <c r="J62" s="41">
        <f t="shared" ref="J62:J70" si="52">I62-H62</f>
        <v>0</v>
      </c>
      <c r="K62" s="81">
        <f t="shared" ref="K62:K70" si="53">F62</f>
        <v>15</v>
      </c>
      <c r="L62" s="71" t="str">
        <f t="shared" ref="L62:L70" si="54">(K62/J62)*100</f>
        <v>#DIV/0!</v>
      </c>
      <c r="M62" s="72">
        <v>35440.0</v>
      </c>
      <c r="N62" s="44">
        <f t="shared" ref="N62:N70" si="55">F62*M62</f>
        <v>531600</v>
      </c>
      <c r="R62" s="80" t="str">
        <f t="shared" si="48"/>
        <v/>
      </c>
    </row>
    <row r="63">
      <c r="A63" s="35">
        <v>46115.0</v>
      </c>
      <c r="B63" s="46" t="s">
        <v>18</v>
      </c>
      <c r="C63" s="52"/>
      <c r="D63" s="37"/>
      <c r="E63" s="12">
        <f t="shared" si="50"/>
        <v>0</v>
      </c>
      <c r="F63" s="47">
        <v>39.0</v>
      </c>
      <c r="G63" s="14" t="str">
        <f t="shared" si="51"/>
        <v>#DIV/0!</v>
      </c>
      <c r="H63" s="40"/>
      <c r="I63" s="40"/>
      <c r="J63" s="37">
        <f t="shared" si="52"/>
        <v>0</v>
      </c>
      <c r="K63" s="52">
        <f t="shared" si="53"/>
        <v>39</v>
      </c>
      <c r="L63" s="48" t="str">
        <f t="shared" si="54"/>
        <v>#DIV/0!</v>
      </c>
      <c r="M63" s="50">
        <v>40820.0</v>
      </c>
      <c r="N63" s="49">
        <f t="shared" si="55"/>
        <v>1591980</v>
      </c>
      <c r="R63" s="80" t="str">
        <f t="shared" si="48"/>
        <v/>
      </c>
    </row>
    <row r="64">
      <c r="A64" s="35">
        <v>46120.0</v>
      </c>
      <c r="B64" s="46" t="s">
        <v>18</v>
      </c>
      <c r="C64" s="37"/>
      <c r="D64" s="37">
        <v>157462.0</v>
      </c>
      <c r="E64" s="12">
        <f t="shared" si="50"/>
        <v>157462</v>
      </c>
      <c r="F64" s="47">
        <v>30.0</v>
      </c>
      <c r="G64" s="14">
        <f t="shared" si="51"/>
        <v>0.01905221577</v>
      </c>
      <c r="H64" s="40"/>
      <c r="I64" s="40">
        <v>30198.0</v>
      </c>
      <c r="J64" s="37">
        <f t="shared" si="52"/>
        <v>30198</v>
      </c>
      <c r="K64" s="52">
        <f t="shared" si="53"/>
        <v>30</v>
      </c>
      <c r="L64" s="48">
        <f t="shared" si="54"/>
        <v>0.09934432744</v>
      </c>
      <c r="M64" s="50">
        <v>42840.0</v>
      </c>
      <c r="N64" s="49">
        <f t="shared" si="55"/>
        <v>1285200</v>
      </c>
      <c r="R64" s="80" t="str">
        <f t="shared" si="48"/>
        <v/>
      </c>
    </row>
    <row r="65">
      <c r="A65" s="35">
        <v>46125.0</v>
      </c>
      <c r="B65" s="46" t="s">
        <v>18</v>
      </c>
      <c r="C65" s="37">
        <v>157462.0</v>
      </c>
      <c r="D65" s="37">
        <v>157608.0</v>
      </c>
      <c r="E65" s="12">
        <f t="shared" si="50"/>
        <v>146</v>
      </c>
      <c r="F65" s="47">
        <v>35.0</v>
      </c>
      <c r="G65" s="14">
        <f t="shared" si="51"/>
        <v>23.97260274</v>
      </c>
      <c r="H65" s="40">
        <v>30198.0</v>
      </c>
      <c r="I65" s="40">
        <v>30393.0</v>
      </c>
      <c r="J65" s="37">
        <f t="shared" si="52"/>
        <v>195</v>
      </c>
      <c r="K65" s="52">
        <f t="shared" si="53"/>
        <v>35</v>
      </c>
      <c r="L65" s="48">
        <f t="shared" si="54"/>
        <v>17.94871795</v>
      </c>
      <c r="M65" s="50">
        <v>32960.0</v>
      </c>
      <c r="N65" s="49">
        <f t="shared" si="55"/>
        <v>1153600</v>
      </c>
    </row>
    <row r="66">
      <c r="A66" s="35">
        <v>46129.0</v>
      </c>
      <c r="B66" s="46" t="s">
        <v>18</v>
      </c>
      <c r="C66" s="37">
        <v>157608.0</v>
      </c>
      <c r="D66" s="37">
        <v>157977.0</v>
      </c>
      <c r="E66" s="12">
        <f t="shared" si="50"/>
        <v>369</v>
      </c>
      <c r="F66" s="47">
        <v>55.0</v>
      </c>
      <c r="G66" s="14">
        <f t="shared" si="51"/>
        <v>14.90514905</v>
      </c>
      <c r="H66" s="40">
        <v>30393.0</v>
      </c>
      <c r="I66" s="40">
        <v>30773.0</v>
      </c>
      <c r="J66" s="37">
        <f t="shared" si="52"/>
        <v>380</v>
      </c>
      <c r="K66" s="52">
        <f t="shared" si="53"/>
        <v>55</v>
      </c>
      <c r="L66" s="48">
        <f t="shared" si="54"/>
        <v>14.47368421</v>
      </c>
      <c r="M66" s="50">
        <v>31040.0</v>
      </c>
      <c r="N66" s="49">
        <f t="shared" si="55"/>
        <v>1707200</v>
      </c>
      <c r="R66" s="80" t="str">
        <f t="shared" ref="R66:R128" si="56">Q66</f>
        <v/>
      </c>
    </row>
    <row r="67">
      <c r="A67" s="35">
        <v>46134.0</v>
      </c>
      <c r="B67" s="46" t="s">
        <v>18</v>
      </c>
      <c r="C67" s="37">
        <v>157977.0</v>
      </c>
      <c r="D67" s="37">
        <v>158293.0</v>
      </c>
      <c r="E67" s="12">
        <f t="shared" si="50"/>
        <v>316</v>
      </c>
      <c r="F67" s="47">
        <v>40.0</v>
      </c>
      <c r="G67" s="14">
        <f t="shared" si="51"/>
        <v>12.65822785</v>
      </c>
      <c r="H67" s="40">
        <v>30773.0</v>
      </c>
      <c r="I67" s="40">
        <v>31212.0</v>
      </c>
      <c r="J67" s="37">
        <f t="shared" si="52"/>
        <v>439</v>
      </c>
      <c r="K67" s="52">
        <f t="shared" si="53"/>
        <v>40</v>
      </c>
      <c r="L67" s="48">
        <f t="shared" si="54"/>
        <v>9.111617312</v>
      </c>
      <c r="M67" s="50">
        <v>27850.0</v>
      </c>
      <c r="N67" s="49">
        <f t="shared" si="55"/>
        <v>1114000</v>
      </c>
      <c r="R67" s="80" t="str">
        <f t="shared" si="56"/>
        <v/>
      </c>
    </row>
    <row r="68">
      <c r="A68" s="35">
        <v>46136.0</v>
      </c>
      <c r="B68" s="46" t="s">
        <v>18</v>
      </c>
      <c r="C68" s="37">
        <v>158293.0</v>
      </c>
      <c r="D68" s="37">
        <v>158549.0</v>
      </c>
      <c r="E68" s="53">
        <f t="shared" si="50"/>
        <v>256</v>
      </c>
      <c r="F68" s="47">
        <v>39.0</v>
      </c>
      <c r="G68" s="14">
        <f t="shared" si="51"/>
        <v>15.234375</v>
      </c>
      <c r="H68" s="40">
        <v>31212.0</v>
      </c>
      <c r="I68" s="40">
        <v>31468.0</v>
      </c>
      <c r="J68" s="37">
        <f t="shared" si="52"/>
        <v>256</v>
      </c>
      <c r="K68" s="52">
        <f t="shared" si="53"/>
        <v>39</v>
      </c>
      <c r="L68" s="48">
        <f t="shared" si="54"/>
        <v>15.234375</v>
      </c>
      <c r="M68" s="50">
        <v>26690.0</v>
      </c>
      <c r="N68" s="49">
        <f t="shared" si="55"/>
        <v>1040910</v>
      </c>
      <c r="R68" s="80" t="str">
        <f t="shared" si="56"/>
        <v/>
      </c>
    </row>
    <row r="69">
      <c r="A69" s="45">
        <v>46140.0</v>
      </c>
      <c r="B69" s="51" t="s">
        <v>18</v>
      </c>
      <c r="C69" s="37">
        <v>158549.0</v>
      </c>
      <c r="D69" s="52">
        <v>158736.0</v>
      </c>
      <c r="E69" s="53">
        <f t="shared" si="50"/>
        <v>187</v>
      </c>
      <c r="F69" s="47">
        <v>27.0</v>
      </c>
      <c r="G69" s="14">
        <f t="shared" si="51"/>
        <v>14.43850267</v>
      </c>
      <c r="H69" s="40">
        <v>31468.0</v>
      </c>
      <c r="I69" s="40">
        <v>31609.0</v>
      </c>
      <c r="J69" s="37">
        <f t="shared" si="52"/>
        <v>141</v>
      </c>
      <c r="K69" s="52">
        <f t="shared" si="53"/>
        <v>27</v>
      </c>
      <c r="L69" s="48">
        <f t="shared" si="54"/>
        <v>19.14893617</v>
      </c>
      <c r="M69" s="50">
        <v>26690.0</v>
      </c>
      <c r="N69" s="49">
        <f t="shared" si="55"/>
        <v>720630</v>
      </c>
      <c r="R69" s="80" t="str">
        <f t="shared" si="56"/>
        <v/>
      </c>
    </row>
    <row r="70">
      <c r="A70" s="35"/>
      <c r="B70" s="46" t="s">
        <v>18</v>
      </c>
      <c r="C70" s="13"/>
      <c r="D70" s="55"/>
      <c r="E70" s="25">
        <f t="shared" si="50"/>
        <v>0</v>
      </c>
      <c r="F70" s="47"/>
      <c r="G70" s="56" t="str">
        <f t="shared" si="51"/>
        <v>#DIV/0!</v>
      </c>
      <c r="H70" s="55"/>
      <c r="I70" s="57"/>
      <c r="J70" s="55">
        <f t="shared" si="52"/>
        <v>0</v>
      </c>
      <c r="K70" s="52" t="str">
        <f t="shared" si="53"/>
        <v/>
      </c>
      <c r="L70" s="77" t="str">
        <f t="shared" si="54"/>
        <v>#DIV/0!</v>
      </c>
      <c r="M70" s="50"/>
      <c r="N70" s="59">
        <f t="shared" si="55"/>
        <v>0</v>
      </c>
      <c r="R70" s="80" t="str">
        <f t="shared" si="56"/>
        <v/>
      </c>
    </row>
    <row r="71">
      <c r="A71" s="62"/>
      <c r="B71" s="63"/>
      <c r="C71" s="88"/>
      <c r="D71" s="64" t="s">
        <v>19</v>
      </c>
      <c r="E71" s="64">
        <f t="shared" ref="E71:F71" si="57">sum(E62:E70)</f>
        <v>158736</v>
      </c>
      <c r="F71" s="64">
        <f t="shared" si="57"/>
        <v>280</v>
      </c>
      <c r="G71" s="65" t="str">
        <f>average(G62:G70)</f>
        <v>#DIV/0!</v>
      </c>
      <c r="H71" s="62"/>
      <c r="I71" s="66"/>
      <c r="J71" s="64">
        <f t="shared" ref="J71:K71" si="58">sum(J62:J70)</f>
        <v>31609</v>
      </c>
      <c r="K71" s="64">
        <f t="shared" si="58"/>
        <v>280</v>
      </c>
      <c r="L71" s="65" t="str">
        <f>average(L62:L70)</f>
        <v>#DIV/0!</v>
      </c>
      <c r="M71" s="68"/>
      <c r="N71" s="69">
        <f>sum(N62:N70)</f>
        <v>9145120</v>
      </c>
      <c r="R71" s="80" t="str">
        <f t="shared" si="56"/>
        <v/>
      </c>
    </row>
    <row r="72">
      <c r="A72" s="70">
        <v>46113.0</v>
      </c>
      <c r="B72" s="36" t="s">
        <v>20</v>
      </c>
      <c r="C72" s="37">
        <v>402564.0</v>
      </c>
      <c r="D72" s="37">
        <v>402947.0</v>
      </c>
      <c r="E72" s="38">
        <f t="shared" ref="E72:E79" si="59">D72-C72</f>
        <v>383</v>
      </c>
      <c r="F72" s="39">
        <v>40.0</v>
      </c>
      <c r="G72" s="14">
        <f t="shared" ref="G72:G79" si="60">(F72/E72)*100</f>
        <v>10.44386423</v>
      </c>
      <c r="H72" s="40">
        <v>34562.0</v>
      </c>
      <c r="I72" s="40">
        <v>34959.0</v>
      </c>
      <c r="J72" s="41">
        <f t="shared" ref="J72:J79" si="61">I72-H72</f>
        <v>397</v>
      </c>
      <c r="K72" s="81">
        <f t="shared" ref="K72:K79" si="62">F72</f>
        <v>40</v>
      </c>
      <c r="L72" s="71">
        <f t="shared" ref="L72:L79" si="63">(K72/J72)*100</f>
        <v>10.07556675</v>
      </c>
      <c r="M72" s="72">
        <v>35440.0</v>
      </c>
      <c r="N72" s="44">
        <f t="shared" ref="N72:N79" si="64">F72*M72</f>
        <v>1417600</v>
      </c>
      <c r="R72" s="80" t="str">
        <f t="shared" si="56"/>
        <v/>
      </c>
    </row>
    <row r="73">
      <c r="A73" s="35">
        <v>46115.0</v>
      </c>
      <c r="B73" s="46" t="s">
        <v>20</v>
      </c>
      <c r="C73" s="37">
        <v>402947.0</v>
      </c>
      <c r="D73" s="37">
        <v>403203.0</v>
      </c>
      <c r="E73" s="12">
        <f t="shared" si="59"/>
        <v>256</v>
      </c>
      <c r="F73" s="47">
        <v>34.0</v>
      </c>
      <c r="G73" s="14">
        <f t="shared" si="60"/>
        <v>13.28125</v>
      </c>
      <c r="H73" s="40">
        <v>34959.0</v>
      </c>
      <c r="I73" s="89">
        <v>35327.0</v>
      </c>
      <c r="J73" s="37">
        <f t="shared" si="61"/>
        <v>368</v>
      </c>
      <c r="K73" s="52">
        <f t="shared" si="62"/>
        <v>34</v>
      </c>
      <c r="L73" s="48">
        <f t="shared" si="63"/>
        <v>9.239130435</v>
      </c>
      <c r="M73" s="50">
        <v>40820.0</v>
      </c>
      <c r="N73" s="49">
        <f t="shared" si="64"/>
        <v>1387880</v>
      </c>
      <c r="R73" s="80" t="str">
        <f t="shared" si="56"/>
        <v/>
      </c>
    </row>
    <row r="74">
      <c r="A74" s="35">
        <v>46119.0</v>
      </c>
      <c r="B74" s="46" t="s">
        <v>20</v>
      </c>
      <c r="C74" s="37">
        <v>403203.0</v>
      </c>
      <c r="D74" s="37">
        <v>403592.0</v>
      </c>
      <c r="E74" s="12">
        <f t="shared" si="59"/>
        <v>389</v>
      </c>
      <c r="F74" s="47">
        <v>46.0</v>
      </c>
      <c r="G74" s="14">
        <f t="shared" si="60"/>
        <v>11.8251928</v>
      </c>
      <c r="H74" s="89">
        <v>35327.0</v>
      </c>
      <c r="I74" s="40">
        <v>35571.0</v>
      </c>
      <c r="J74" s="37">
        <f t="shared" si="61"/>
        <v>244</v>
      </c>
      <c r="K74" s="52">
        <f t="shared" si="62"/>
        <v>46</v>
      </c>
      <c r="L74" s="48">
        <f t="shared" si="63"/>
        <v>18.85245902</v>
      </c>
      <c r="M74" s="50">
        <v>44780.0</v>
      </c>
      <c r="N74" s="49">
        <f t="shared" si="64"/>
        <v>2059880</v>
      </c>
      <c r="R74" s="80" t="str">
        <f t="shared" si="56"/>
        <v/>
      </c>
    </row>
    <row r="75">
      <c r="A75" s="35">
        <v>46125.0</v>
      </c>
      <c r="B75" s="46" t="s">
        <v>20</v>
      </c>
      <c r="C75" s="37">
        <v>403592.0</v>
      </c>
      <c r="D75" s="37">
        <v>404001.0</v>
      </c>
      <c r="E75" s="12">
        <f t="shared" si="59"/>
        <v>409</v>
      </c>
      <c r="F75" s="47">
        <v>44.0</v>
      </c>
      <c r="G75" s="14">
        <f t="shared" si="60"/>
        <v>10.75794621</v>
      </c>
      <c r="H75" s="40">
        <v>35571.0</v>
      </c>
      <c r="I75" s="40">
        <v>35969.0</v>
      </c>
      <c r="J75" s="37">
        <f t="shared" si="61"/>
        <v>398</v>
      </c>
      <c r="K75" s="52">
        <f t="shared" si="62"/>
        <v>44</v>
      </c>
      <c r="L75" s="48">
        <f t="shared" si="63"/>
        <v>11.05527638</v>
      </c>
      <c r="M75" s="50">
        <v>32960.0</v>
      </c>
      <c r="N75" s="49">
        <f t="shared" si="64"/>
        <v>1450240</v>
      </c>
      <c r="R75" s="80" t="str">
        <f t="shared" si="56"/>
        <v/>
      </c>
    </row>
    <row r="76">
      <c r="A76" s="35">
        <v>46128.0</v>
      </c>
      <c r="B76" s="46" t="s">
        <v>20</v>
      </c>
      <c r="C76" s="37">
        <v>404001.0</v>
      </c>
      <c r="D76" s="37">
        <v>404378.0</v>
      </c>
      <c r="E76" s="12">
        <f t="shared" si="59"/>
        <v>377</v>
      </c>
      <c r="F76" s="47">
        <v>40.0</v>
      </c>
      <c r="G76" s="14">
        <f t="shared" si="60"/>
        <v>10.61007958</v>
      </c>
      <c r="H76" s="40">
        <v>35969.0</v>
      </c>
      <c r="I76" s="40">
        <v>36341.0</v>
      </c>
      <c r="J76" s="37">
        <f t="shared" si="61"/>
        <v>372</v>
      </c>
      <c r="K76" s="52">
        <f t="shared" si="62"/>
        <v>40</v>
      </c>
      <c r="L76" s="48">
        <f t="shared" si="63"/>
        <v>10.75268817</v>
      </c>
      <c r="M76" s="50">
        <v>31040.0</v>
      </c>
      <c r="N76" s="49">
        <f t="shared" si="64"/>
        <v>1241600</v>
      </c>
      <c r="R76" s="80" t="str">
        <f t="shared" si="56"/>
        <v/>
      </c>
    </row>
    <row r="77">
      <c r="A77" s="35">
        <v>46132.0</v>
      </c>
      <c r="B77" s="46" t="s">
        <v>20</v>
      </c>
      <c r="C77" s="37">
        <v>404378.0</v>
      </c>
      <c r="D77" s="37">
        <v>404708.0</v>
      </c>
      <c r="E77" s="12">
        <f t="shared" si="59"/>
        <v>330</v>
      </c>
      <c r="F77" s="90">
        <v>44.0</v>
      </c>
      <c r="G77" s="14">
        <f t="shared" si="60"/>
        <v>13.33333333</v>
      </c>
      <c r="H77" s="40">
        <v>36341.0</v>
      </c>
      <c r="I77" s="40">
        <v>36670.0</v>
      </c>
      <c r="J77" s="37">
        <f t="shared" si="61"/>
        <v>329</v>
      </c>
      <c r="K77" s="52">
        <f t="shared" si="62"/>
        <v>44</v>
      </c>
      <c r="L77" s="48">
        <f t="shared" si="63"/>
        <v>13.37386018</v>
      </c>
      <c r="M77" s="50">
        <v>31040.0</v>
      </c>
      <c r="N77" s="49">
        <f t="shared" si="64"/>
        <v>1365760</v>
      </c>
      <c r="R77" s="80" t="str">
        <f t="shared" si="56"/>
        <v/>
      </c>
    </row>
    <row r="78">
      <c r="A78" s="35">
        <v>46136.0</v>
      </c>
      <c r="B78" s="46" t="s">
        <v>20</v>
      </c>
      <c r="C78" s="37">
        <v>404708.0</v>
      </c>
      <c r="D78" s="55">
        <v>405116.0</v>
      </c>
      <c r="E78" s="25">
        <f t="shared" si="59"/>
        <v>408</v>
      </c>
      <c r="F78" s="47">
        <v>45.0</v>
      </c>
      <c r="G78" s="56">
        <f t="shared" si="60"/>
        <v>11.02941176</v>
      </c>
      <c r="H78" s="40">
        <v>36670.0</v>
      </c>
      <c r="I78" s="57">
        <v>37130.0</v>
      </c>
      <c r="J78" s="55">
        <f t="shared" si="61"/>
        <v>460</v>
      </c>
      <c r="K78" s="52">
        <f t="shared" si="62"/>
        <v>45</v>
      </c>
      <c r="L78" s="77">
        <f t="shared" si="63"/>
        <v>9.782608696</v>
      </c>
      <c r="M78" s="58">
        <v>26690.0</v>
      </c>
      <c r="N78" s="59">
        <f t="shared" si="64"/>
        <v>1201050</v>
      </c>
      <c r="R78" s="80" t="str">
        <f t="shared" si="56"/>
        <v/>
      </c>
    </row>
    <row r="79">
      <c r="A79" s="35">
        <v>46140.0</v>
      </c>
      <c r="B79" s="46" t="s">
        <v>20</v>
      </c>
      <c r="C79" s="55">
        <v>405116.0</v>
      </c>
      <c r="D79" s="55">
        <v>405391.0</v>
      </c>
      <c r="E79" s="25">
        <f t="shared" si="59"/>
        <v>275</v>
      </c>
      <c r="F79" s="47">
        <v>33.0</v>
      </c>
      <c r="G79" s="56">
        <f t="shared" si="60"/>
        <v>12</v>
      </c>
      <c r="H79" s="57">
        <v>37130.0</v>
      </c>
      <c r="I79" s="57">
        <v>37340.0</v>
      </c>
      <c r="J79" s="55">
        <f t="shared" si="61"/>
        <v>210</v>
      </c>
      <c r="K79" s="52">
        <f t="shared" si="62"/>
        <v>33</v>
      </c>
      <c r="L79" s="77">
        <f t="shared" si="63"/>
        <v>15.71428571</v>
      </c>
      <c r="M79" s="58">
        <v>26690.0</v>
      </c>
      <c r="N79" s="59">
        <f t="shared" si="64"/>
        <v>880770</v>
      </c>
      <c r="R79" s="80" t="str">
        <f t="shared" si="56"/>
        <v/>
      </c>
    </row>
    <row r="80">
      <c r="A80" s="62"/>
      <c r="B80" s="63"/>
      <c r="C80" s="62"/>
      <c r="D80" s="64" t="s">
        <v>19</v>
      </c>
      <c r="E80" s="64">
        <f>sum(E72:E78)</f>
        <v>2552</v>
      </c>
      <c r="F80" s="39"/>
      <c r="G80" s="65">
        <f>average(G72:G78)</f>
        <v>11.61158256</v>
      </c>
      <c r="H80" s="62"/>
      <c r="I80" s="66"/>
      <c r="J80" s="64">
        <f>sum(J72:J78)</f>
        <v>2568</v>
      </c>
      <c r="K80" s="64">
        <f>sum(K73:K78)</f>
        <v>253</v>
      </c>
      <c r="L80" s="65">
        <f>average(L72:L78)</f>
        <v>11.87594138</v>
      </c>
      <c r="M80" s="68"/>
      <c r="N80" s="69">
        <f>sum(N72:N79)</f>
        <v>11004780</v>
      </c>
      <c r="R80" s="80" t="str">
        <f t="shared" si="56"/>
        <v/>
      </c>
    </row>
    <row r="81">
      <c r="A81" s="91">
        <v>46120.0</v>
      </c>
      <c r="B81" s="36" t="s">
        <v>21</v>
      </c>
      <c r="C81" s="37">
        <v>385578.0</v>
      </c>
      <c r="D81" s="37">
        <v>385887.0</v>
      </c>
      <c r="E81" s="38">
        <f t="shared" ref="E81:E87" si="65">D81-C81</f>
        <v>309</v>
      </c>
      <c r="F81" s="39">
        <v>30.0</v>
      </c>
      <c r="G81" s="14">
        <f t="shared" ref="G81:G87" si="66">(F81/E81)*100</f>
        <v>9.708737864</v>
      </c>
      <c r="H81" s="40">
        <v>28864.0</v>
      </c>
      <c r="I81" s="40">
        <v>29313.0</v>
      </c>
      <c r="J81" s="41">
        <f t="shared" ref="J81:J87" si="67">I81-H81</f>
        <v>449</v>
      </c>
      <c r="K81" s="81">
        <f t="shared" ref="K81:K87" si="68">F81</f>
        <v>30</v>
      </c>
      <c r="L81" s="71">
        <f t="shared" ref="L81:L87" si="69">(K81/J81)*100</f>
        <v>6.681514477</v>
      </c>
      <c r="M81" s="72">
        <v>42840.0</v>
      </c>
      <c r="N81" s="44">
        <f t="shared" ref="N81:N87" si="70">F81*M81</f>
        <v>1285200</v>
      </c>
      <c r="R81" s="80" t="str">
        <f t="shared" si="56"/>
        <v/>
      </c>
    </row>
    <row r="82">
      <c r="A82" s="92">
        <v>46122.0</v>
      </c>
      <c r="B82" s="46" t="s">
        <v>21</v>
      </c>
      <c r="C82" s="37">
        <v>385887.0</v>
      </c>
      <c r="D82" s="37"/>
      <c r="E82" s="12">
        <f t="shared" si="65"/>
        <v>-385887</v>
      </c>
      <c r="F82" s="47">
        <v>67.0</v>
      </c>
      <c r="G82" s="14">
        <f t="shared" si="66"/>
        <v>-0.01736259579</v>
      </c>
      <c r="H82" s="40">
        <v>29313.0</v>
      </c>
      <c r="I82" s="40">
        <v>29602.0</v>
      </c>
      <c r="J82" s="37">
        <f t="shared" si="67"/>
        <v>289</v>
      </c>
      <c r="K82" s="52">
        <f t="shared" si="68"/>
        <v>67</v>
      </c>
      <c r="L82" s="48">
        <f t="shared" si="69"/>
        <v>23.183391</v>
      </c>
      <c r="M82" s="72">
        <v>32980.0</v>
      </c>
      <c r="N82" s="49">
        <f t="shared" si="70"/>
        <v>2209660</v>
      </c>
      <c r="R82" s="80" t="str">
        <f t="shared" si="56"/>
        <v/>
      </c>
    </row>
    <row r="83">
      <c r="A83" s="92">
        <v>46128.0</v>
      </c>
      <c r="B83" s="46" t="s">
        <v>21</v>
      </c>
      <c r="C83" s="37"/>
      <c r="D83" s="37">
        <v>386689.0</v>
      </c>
      <c r="E83" s="12">
        <f t="shared" si="65"/>
        <v>386689</v>
      </c>
      <c r="F83" s="47">
        <v>71.0</v>
      </c>
      <c r="G83" s="14">
        <f t="shared" si="66"/>
        <v>0.01836100846</v>
      </c>
      <c r="H83" s="40">
        <v>29602.0</v>
      </c>
      <c r="I83" s="40"/>
      <c r="J83" s="37">
        <f t="shared" si="67"/>
        <v>-29602</v>
      </c>
      <c r="K83" s="52">
        <f t="shared" si="68"/>
        <v>71</v>
      </c>
      <c r="L83" s="48">
        <f t="shared" si="69"/>
        <v>-0.2398486589</v>
      </c>
      <c r="M83" s="50">
        <v>31040.0</v>
      </c>
      <c r="N83" s="49">
        <f t="shared" si="70"/>
        <v>2203840</v>
      </c>
      <c r="R83" s="80" t="str">
        <f t="shared" si="56"/>
        <v/>
      </c>
    </row>
    <row r="84">
      <c r="A84" s="92">
        <v>46133.0</v>
      </c>
      <c r="B84" s="46" t="s">
        <v>21</v>
      </c>
      <c r="C84" s="37">
        <v>386689.0</v>
      </c>
      <c r="D84" s="37">
        <v>387056.0</v>
      </c>
      <c r="E84" s="12">
        <f t="shared" si="65"/>
        <v>367</v>
      </c>
      <c r="F84" s="47">
        <v>56.0</v>
      </c>
      <c r="G84" s="14">
        <f t="shared" si="66"/>
        <v>15.25885559</v>
      </c>
      <c r="H84" s="40"/>
      <c r="I84" s="40">
        <v>30340.0</v>
      </c>
      <c r="J84" s="37">
        <f t="shared" si="67"/>
        <v>30340</v>
      </c>
      <c r="K84" s="52">
        <f t="shared" si="68"/>
        <v>56</v>
      </c>
      <c r="L84" s="48">
        <f t="shared" si="69"/>
        <v>0.1845748187</v>
      </c>
      <c r="M84" s="50">
        <v>31040.0</v>
      </c>
      <c r="N84" s="49">
        <f t="shared" si="70"/>
        <v>1738240</v>
      </c>
      <c r="R84" s="80" t="str">
        <f t="shared" si="56"/>
        <v/>
      </c>
    </row>
    <row r="85">
      <c r="A85" s="35">
        <v>46136.0</v>
      </c>
      <c r="B85" s="46" t="s">
        <v>21</v>
      </c>
      <c r="C85" s="37">
        <v>387056.0</v>
      </c>
      <c r="D85" s="37">
        <v>387477.0</v>
      </c>
      <c r="E85" s="12">
        <f t="shared" si="65"/>
        <v>421</v>
      </c>
      <c r="F85" s="47">
        <v>65.0</v>
      </c>
      <c r="G85" s="14">
        <f t="shared" si="66"/>
        <v>15.43942993</v>
      </c>
      <c r="H85" s="40">
        <v>30340.0</v>
      </c>
      <c r="I85" s="40">
        <v>30778.0</v>
      </c>
      <c r="J85" s="37">
        <f t="shared" si="67"/>
        <v>438</v>
      </c>
      <c r="K85" s="52">
        <f t="shared" si="68"/>
        <v>65</v>
      </c>
      <c r="L85" s="48">
        <f t="shared" si="69"/>
        <v>14.84018265</v>
      </c>
      <c r="M85" s="50">
        <v>26690.0</v>
      </c>
      <c r="N85" s="49">
        <f t="shared" si="70"/>
        <v>1734850</v>
      </c>
      <c r="R85" s="80" t="str">
        <f t="shared" si="56"/>
        <v/>
      </c>
    </row>
    <row r="86">
      <c r="A86" s="92"/>
      <c r="B86" s="46" t="s">
        <v>37</v>
      </c>
      <c r="C86" s="37"/>
      <c r="D86" s="37"/>
      <c r="E86" s="12">
        <f t="shared" si="65"/>
        <v>0</v>
      </c>
      <c r="F86" s="47"/>
      <c r="G86" s="14" t="str">
        <f t="shared" si="66"/>
        <v>#DIV/0!</v>
      </c>
      <c r="H86" s="37"/>
      <c r="I86" s="93"/>
      <c r="J86" s="37">
        <f t="shared" si="67"/>
        <v>0</v>
      </c>
      <c r="K86" s="52" t="str">
        <f t="shared" si="68"/>
        <v/>
      </c>
      <c r="L86" s="48" t="str">
        <f t="shared" si="69"/>
        <v>#DIV/0!</v>
      </c>
      <c r="M86" s="50"/>
      <c r="N86" s="49">
        <f t="shared" si="70"/>
        <v>0</v>
      </c>
      <c r="R86" s="80" t="str">
        <f t="shared" si="56"/>
        <v/>
      </c>
    </row>
    <row r="87">
      <c r="A87" s="94"/>
      <c r="B87" s="46" t="s">
        <v>37</v>
      </c>
      <c r="C87" s="55"/>
      <c r="D87" s="95"/>
      <c r="E87" s="25">
        <f t="shared" si="65"/>
        <v>0</v>
      </c>
      <c r="F87" s="47"/>
      <c r="G87" s="56" t="str">
        <f t="shared" si="66"/>
        <v>#DIV/0!</v>
      </c>
      <c r="H87" s="55"/>
      <c r="I87" s="85"/>
      <c r="J87" s="55">
        <f t="shared" si="67"/>
        <v>0</v>
      </c>
      <c r="K87" s="52" t="str">
        <f t="shared" si="68"/>
        <v/>
      </c>
      <c r="L87" s="77" t="str">
        <f t="shared" si="69"/>
        <v>#DIV/0!</v>
      </c>
      <c r="M87" s="96"/>
      <c r="N87" s="59">
        <f t="shared" si="70"/>
        <v>0</v>
      </c>
      <c r="R87" s="80" t="str">
        <f t="shared" si="56"/>
        <v/>
      </c>
    </row>
    <row r="88">
      <c r="A88" s="62"/>
      <c r="B88" s="63"/>
      <c r="C88" s="62"/>
      <c r="D88" s="64" t="s">
        <v>19</v>
      </c>
      <c r="E88" s="64">
        <f>sum(E81:E87)</f>
        <v>1899</v>
      </c>
      <c r="F88" s="39"/>
      <c r="G88" s="65" t="str">
        <f>average(G81:G87)</f>
        <v>#DIV/0!</v>
      </c>
      <c r="H88" s="62"/>
      <c r="I88" s="66"/>
      <c r="J88" s="64">
        <f t="shared" ref="J88:K88" si="71">sum(J81:J87)</f>
        <v>1914</v>
      </c>
      <c r="K88" s="64">
        <f t="shared" si="71"/>
        <v>289</v>
      </c>
      <c r="L88" s="65" t="str">
        <f>average(L81:L87)</f>
        <v>#DIV/0!</v>
      </c>
      <c r="M88" s="68"/>
      <c r="N88" s="69">
        <f>sum(N81:N87)</f>
        <v>9171790</v>
      </c>
      <c r="R88" s="80" t="str">
        <f t="shared" si="56"/>
        <v/>
      </c>
    </row>
    <row r="89">
      <c r="A89" s="35">
        <v>46113.0</v>
      </c>
      <c r="B89" s="87" t="s">
        <v>22</v>
      </c>
      <c r="C89" s="55">
        <v>219030.0</v>
      </c>
      <c r="D89" s="37">
        <v>219259.0</v>
      </c>
      <c r="E89" s="38">
        <f t="shared" ref="E89:E96" si="72">D89-C89</f>
        <v>229</v>
      </c>
      <c r="F89" s="39">
        <v>25.0</v>
      </c>
      <c r="G89" s="14">
        <f t="shared" ref="G89:G96" si="73">(F89/E89)*100</f>
        <v>10.91703057</v>
      </c>
      <c r="H89" s="57">
        <v>28112.0</v>
      </c>
      <c r="I89" s="40">
        <v>28313.0</v>
      </c>
      <c r="J89" s="41">
        <f t="shared" ref="J89:J96" si="74">I89-H89</f>
        <v>201</v>
      </c>
      <c r="K89" s="81">
        <f t="shared" ref="K89:K96" si="75">F89</f>
        <v>25</v>
      </c>
      <c r="L89" s="71">
        <f t="shared" ref="L89:L96" si="76">(K89/J89)*100</f>
        <v>12.43781095</v>
      </c>
      <c r="M89" s="72">
        <v>35440.0</v>
      </c>
      <c r="N89" s="44">
        <f t="shared" ref="N89:N96" si="77">F89*M89</f>
        <v>886000</v>
      </c>
      <c r="R89" s="80" t="str">
        <f t="shared" si="56"/>
        <v/>
      </c>
    </row>
    <row r="90">
      <c r="A90" s="35">
        <v>46115.0</v>
      </c>
      <c r="B90" s="46" t="s">
        <v>22</v>
      </c>
      <c r="C90" s="37">
        <v>219259.0</v>
      </c>
      <c r="D90" s="37">
        <v>219525.0</v>
      </c>
      <c r="E90" s="12">
        <f t="shared" si="72"/>
        <v>266</v>
      </c>
      <c r="F90" s="47">
        <v>35.0</v>
      </c>
      <c r="G90" s="14">
        <f t="shared" si="73"/>
        <v>13.15789474</v>
      </c>
      <c r="H90" s="40">
        <v>28313.0</v>
      </c>
      <c r="I90" s="40">
        <v>28609.0</v>
      </c>
      <c r="J90" s="37">
        <f t="shared" si="74"/>
        <v>296</v>
      </c>
      <c r="K90" s="52">
        <f t="shared" si="75"/>
        <v>35</v>
      </c>
      <c r="L90" s="48">
        <f t="shared" si="76"/>
        <v>11.82432432</v>
      </c>
      <c r="M90" s="50">
        <v>40820.0</v>
      </c>
      <c r="N90" s="49">
        <f t="shared" si="77"/>
        <v>1428700</v>
      </c>
      <c r="R90" s="80" t="str">
        <f t="shared" si="56"/>
        <v/>
      </c>
    </row>
    <row r="91">
      <c r="A91" s="35">
        <v>46121.0</v>
      </c>
      <c r="B91" s="46" t="s">
        <v>22</v>
      </c>
      <c r="C91" s="37">
        <v>219525.0</v>
      </c>
      <c r="D91" s="37">
        <v>219891.0</v>
      </c>
      <c r="E91" s="12">
        <f t="shared" si="72"/>
        <v>366</v>
      </c>
      <c r="F91" s="47">
        <v>50.0</v>
      </c>
      <c r="G91" s="14">
        <f t="shared" si="73"/>
        <v>13.66120219</v>
      </c>
      <c r="H91" s="40">
        <v>28609.0</v>
      </c>
      <c r="I91" s="40">
        <v>28942.0</v>
      </c>
      <c r="J91" s="37">
        <f t="shared" si="74"/>
        <v>333</v>
      </c>
      <c r="K91" s="52">
        <f t="shared" si="75"/>
        <v>50</v>
      </c>
      <c r="L91" s="48">
        <f t="shared" si="76"/>
        <v>15.01501502</v>
      </c>
      <c r="M91" s="50">
        <v>32960.0</v>
      </c>
      <c r="N91" s="49">
        <f t="shared" si="77"/>
        <v>1648000</v>
      </c>
      <c r="R91" s="80" t="str">
        <f t="shared" si="56"/>
        <v/>
      </c>
    </row>
    <row r="92">
      <c r="A92" s="35">
        <v>46127.0</v>
      </c>
      <c r="B92" s="46" t="s">
        <v>22</v>
      </c>
      <c r="C92" s="37">
        <v>219891.0</v>
      </c>
      <c r="D92" s="37">
        <v>220360.0</v>
      </c>
      <c r="E92" s="12">
        <f t="shared" si="72"/>
        <v>469</v>
      </c>
      <c r="F92" s="47">
        <v>52.0</v>
      </c>
      <c r="G92" s="14">
        <f t="shared" si="73"/>
        <v>11.08742004</v>
      </c>
      <c r="H92" s="40">
        <v>28942.0</v>
      </c>
      <c r="I92" s="40">
        <v>29398.0</v>
      </c>
      <c r="J92" s="37">
        <f t="shared" si="74"/>
        <v>456</v>
      </c>
      <c r="K92" s="52">
        <f t="shared" si="75"/>
        <v>52</v>
      </c>
      <c r="L92" s="48">
        <f t="shared" si="76"/>
        <v>11.40350877</v>
      </c>
      <c r="M92" s="50">
        <v>32960.0</v>
      </c>
      <c r="N92" s="49">
        <f t="shared" si="77"/>
        <v>1713920</v>
      </c>
      <c r="R92" s="80" t="str">
        <f t="shared" si="56"/>
        <v/>
      </c>
    </row>
    <row r="93">
      <c r="A93" s="35">
        <v>46134.0</v>
      </c>
      <c r="B93" s="46" t="s">
        <v>22</v>
      </c>
      <c r="C93" s="37">
        <v>220360.0</v>
      </c>
      <c r="D93" s="37">
        <v>220851.0</v>
      </c>
      <c r="E93" s="12">
        <f t="shared" si="72"/>
        <v>491</v>
      </c>
      <c r="F93" s="47">
        <v>60.0</v>
      </c>
      <c r="G93" s="14">
        <f t="shared" si="73"/>
        <v>12.21995927</v>
      </c>
      <c r="H93" s="40">
        <v>29398.0</v>
      </c>
      <c r="I93" s="40">
        <v>29883.0</v>
      </c>
      <c r="J93" s="37">
        <f t="shared" si="74"/>
        <v>485</v>
      </c>
      <c r="K93" s="52">
        <f t="shared" si="75"/>
        <v>60</v>
      </c>
      <c r="L93" s="48">
        <f t="shared" si="76"/>
        <v>12.37113402</v>
      </c>
      <c r="M93" s="50">
        <v>27850.0</v>
      </c>
      <c r="N93" s="49">
        <f t="shared" si="77"/>
        <v>1671000</v>
      </c>
      <c r="R93" s="80" t="str">
        <f t="shared" si="56"/>
        <v/>
      </c>
    </row>
    <row r="94">
      <c r="A94" s="92">
        <v>46140.0</v>
      </c>
      <c r="B94" s="46" t="s">
        <v>22</v>
      </c>
      <c r="C94" s="37">
        <v>220851.0</v>
      </c>
      <c r="D94" s="37">
        <v>221408.0</v>
      </c>
      <c r="E94" s="12">
        <f t="shared" si="72"/>
        <v>557</v>
      </c>
      <c r="F94" s="47">
        <v>76.0</v>
      </c>
      <c r="G94" s="14">
        <f t="shared" si="73"/>
        <v>13.64452424</v>
      </c>
      <c r="H94" s="40">
        <v>29883.0</v>
      </c>
      <c r="I94" s="40">
        <v>30506.0</v>
      </c>
      <c r="J94" s="37">
        <f t="shared" si="74"/>
        <v>623</v>
      </c>
      <c r="K94" s="52">
        <f t="shared" si="75"/>
        <v>76</v>
      </c>
      <c r="L94" s="48">
        <f t="shared" si="76"/>
        <v>12.19903692</v>
      </c>
      <c r="M94" s="50">
        <v>26690.0</v>
      </c>
      <c r="N94" s="49">
        <f t="shared" si="77"/>
        <v>2028440</v>
      </c>
      <c r="R94" s="80" t="str">
        <f t="shared" si="56"/>
        <v/>
      </c>
    </row>
    <row r="95">
      <c r="A95" s="97"/>
      <c r="B95" s="46" t="s">
        <v>22</v>
      </c>
      <c r="C95" s="37"/>
      <c r="D95" s="55"/>
      <c r="E95" s="25">
        <f t="shared" si="72"/>
        <v>0</v>
      </c>
      <c r="F95" s="47"/>
      <c r="G95" s="56" t="str">
        <f t="shared" si="73"/>
        <v>#DIV/0!</v>
      </c>
      <c r="H95" s="40"/>
      <c r="I95" s="57"/>
      <c r="J95" s="55">
        <f t="shared" si="74"/>
        <v>0</v>
      </c>
      <c r="K95" s="52" t="str">
        <f t="shared" si="75"/>
        <v/>
      </c>
      <c r="L95" s="77" t="str">
        <f t="shared" si="76"/>
        <v>#DIV/0!</v>
      </c>
      <c r="M95" s="58"/>
      <c r="N95" s="59">
        <f t="shared" si="77"/>
        <v>0</v>
      </c>
      <c r="R95" s="80" t="str">
        <f t="shared" si="56"/>
        <v/>
      </c>
    </row>
    <row r="96">
      <c r="A96" s="97"/>
      <c r="B96" s="46" t="s">
        <v>22</v>
      </c>
      <c r="C96" s="55"/>
      <c r="D96" s="55"/>
      <c r="E96" s="25">
        <f t="shared" si="72"/>
        <v>0</v>
      </c>
      <c r="F96" s="47"/>
      <c r="G96" s="56" t="str">
        <f t="shared" si="73"/>
        <v>#DIV/0!</v>
      </c>
      <c r="H96" s="57"/>
      <c r="I96" s="57"/>
      <c r="J96" s="55">
        <f t="shared" si="74"/>
        <v>0</v>
      </c>
      <c r="K96" s="52" t="str">
        <f t="shared" si="75"/>
        <v/>
      </c>
      <c r="L96" s="77" t="str">
        <f t="shared" si="76"/>
        <v>#DIV/0!</v>
      </c>
      <c r="M96" s="58"/>
      <c r="N96" s="59">
        <f t="shared" si="77"/>
        <v>0</v>
      </c>
      <c r="R96" s="80" t="str">
        <f t="shared" si="56"/>
        <v/>
      </c>
    </row>
    <row r="97">
      <c r="A97" s="62"/>
      <c r="B97" s="63"/>
      <c r="C97" s="62"/>
      <c r="D97" s="64" t="s">
        <v>19</v>
      </c>
      <c r="E97" s="64">
        <f>sum(E89:E95)</f>
        <v>2378</v>
      </c>
      <c r="F97" s="64">
        <f>sum(F88:F95)</f>
        <v>298</v>
      </c>
      <c r="G97" s="65" t="str">
        <f>average(G89:G95)</f>
        <v>#DIV/0!</v>
      </c>
      <c r="H97" s="62"/>
      <c r="I97" s="66"/>
      <c r="J97" s="64">
        <f t="shared" ref="J97:K97" si="78">sum(J89:J95)</f>
        <v>2394</v>
      </c>
      <c r="K97" s="64">
        <f t="shared" si="78"/>
        <v>298</v>
      </c>
      <c r="L97" s="65" t="str">
        <f>average(L89:L95)</f>
        <v>#DIV/0!</v>
      </c>
      <c r="M97" s="68"/>
      <c r="N97" s="69">
        <f>sum(N89:N96)</f>
        <v>9376060</v>
      </c>
      <c r="R97" s="80" t="str">
        <f t="shared" si="56"/>
        <v/>
      </c>
    </row>
    <row r="98">
      <c r="A98" s="98">
        <v>46113.0</v>
      </c>
      <c r="B98" s="99" t="s">
        <v>38</v>
      </c>
      <c r="C98" s="100">
        <v>174952.0</v>
      </c>
      <c r="D98" s="37">
        <v>175414.0</v>
      </c>
      <c r="E98" s="38">
        <f t="shared" ref="E98:E103" si="79">D98-C98</f>
        <v>462</v>
      </c>
      <c r="F98" s="39">
        <v>59.0</v>
      </c>
      <c r="G98" s="14">
        <f t="shared" ref="G98:G103" si="80">(F98/E98)*100</f>
        <v>12.77056277</v>
      </c>
      <c r="H98" s="40">
        <v>30330.0</v>
      </c>
      <c r="I98" s="40">
        <v>30811.0</v>
      </c>
      <c r="J98" s="41">
        <f t="shared" ref="J98:J103" si="81">I98-H98</f>
        <v>481</v>
      </c>
      <c r="K98" s="81">
        <f t="shared" ref="K98:K103" si="82">F98</f>
        <v>59</v>
      </c>
      <c r="L98" s="71">
        <f t="shared" ref="L98:L103" si="83">(K98/J98)*100</f>
        <v>12.26611227</v>
      </c>
      <c r="M98" s="72">
        <v>35440.0</v>
      </c>
      <c r="N98" s="44">
        <f t="shared" ref="N98:N103" si="84">F98*M98</f>
        <v>2090960</v>
      </c>
      <c r="R98" s="80" t="str">
        <f t="shared" si="56"/>
        <v/>
      </c>
    </row>
    <row r="99">
      <c r="A99" s="101">
        <v>46121.0</v>
      </c>
      <c r="B99" s="46" t="s">
        <v>38</v>
      </c>
      <c r="C99" s="37">
        <v>175414.0</v>
      </c>
      <c r="D99" s="37">
        <v>175991.0</v>
      </c>
      <c r="E99" s="12">
        <f t="shared" si="79"/>
        <v>577</v>
      </c>
      <c r="F99" s="47">
        <v>72.0</v>
      </c>
      <c r="G99" s="14">
        <f t="shared" si="80"/>
        <v>12.47833622</v>
      </c>
      <c r="H99" s="40">
        <v>30811.0</v>
      </c>
      <c r="I99" s="40">
        <v>31375.0</v>
      </c>
      <c r="J99" s="37">
        <f t="shared" si="81"/>
        <v>564</v>
      </c>
      <c r="K99" s="52">
        <f t="shared" si="82"/>
        <v>72</v>
      </c>
      <c r="L99" s="48">
        <f t="shared" si="83"/>
        <v>12.76595745</v>
      </c>
      <c r="M99" s="72">
        <v>32960.0</v>
      </c>
      <c r="N99" s="49">
        <f t="shared" si="84"/>
        <v>2373120</v>
      </c>
      <c r="R99" s="80" t="str">
        <f t="shared" si="56"/>
        <v/>
      </c>
    </row>
    <row r="100">
      <c r="A100" s="101">
        <v>46128.0</v>
      </c>
      <c r="B100" s="46" t="s">
        <v>38</v>
      </c>
      <c r="C100" s="37">
        <v>175991.0</v>
      </c>
      <c r="D100" s="37">
        <v>176573.0</v>
      </c>
      <c r="E100" s="12">
        <f t="shared" si="79"/>
        <v>582</v>
      </c>
      <c r="F100" s="47">
        <v>61.0</v>
      </c>
      <c r="G100" s="14">
        <f t="shared" si="80"/>
        <v>10.48109966</v>
      </c>
      <c r="H100" s="40">
        <v>31375.0</v>
      </c>
      <c r="I100" s="40">
        <v>31946.0</v>
      </c>
      <c r="J100" s="37">
        <f t="shared" si="81"/>
        <v>571</v>
      </c>
      <c r="K100" s="52">
        <f t="shared" si="82"/>
        <v>61</v>
      </c>
      <c r="L100" s="48">
        <f t="shared" si="83"/>
        <v>10.68301226</v>
      </c>
      <c r="M100" s="50">
        <v>31040.0</v>
      </c>
      <c r="N100" s="49">
        <f t="shared" si="84"/>
        <v>1893440</v>
      </c>
      <c r="R100" s="80" t="str">
        <f t="shared" si="56"/>
        <v/>
      </c>
    </row>
    <row r="101">
      <c r="A101" s="101">
        <v>46135.0</v>
      </c>
      <c r="B101" s="46" t="s">
        <v>38</v>
      </c>
      <c r="C101" s="37">
        <v>176573.0</v>
      </c>
      <c r="D101" s="37">
        <v>177098.0</v>
      </c>
      <c r="E101" s="12">
        <f t="shared" si="79"/>
        <v>525</v>
      </c>
      <c r="F101" s="47">
        <v>69.0</v>
      </c>
      <c r="G101" s="14">
        <f t="shared" si="80"/>
        <v>13.14285714</v>
      </c>
      <c r="H101" s="40">
        <v>31946.0</v>
      </c>
      <c r="I101" s="40">
        <v>32459.0</v>
      </c>
      <c r="J101" s="37">
        <f t="shared" si="81"/>
        <v>513</v>
      </c>
      <c r="K101" s="52">
        <f t="shared" si="82"/>
        <v>69</v>
      </c>
      <c r="L101" s="48">
        <f t="shared" si="83"/>
        <v>13.4502924</v>
      </c>
      <c r="M101" s="50">
        <v>27850.0</v>
      </c>
      <c r="N101" s="49">
        <f t="shared" si="84"/>
        <v>1921650</v>
      </c>
      <c r="R101" s="80" t="str">
        <f t="shared" si="56"/>
        <v/>
      </c>
    </row>
    <row r="102">
      <c r="A102" s="101">
        <v>46140.0</v>
      </c>
      <c r="B102" s="46" t="s">
        <v>38</v>
      </c>
      <c r="C102" s="37">
        <v>177098.0</v>
      </c>
      <c r="D102" s="100">
        <v>177438.0</v>
      </c>
      <c r="E102" s="12">
        <f t="shared" si="79"/>
        <v>340</v>
      </c>
      <c r="F102" s="47">
        <v>45.0</v>
      </c>
      <c r="G102" s="14">
        <f t="shared" si="80"/>
        <v>13.23529412</v>
      </c>
      <c r="H102" s="40">
        <v>32459.0</v>
      </c>
      <c r="I102" s="40">
        <v>32807.0</v>
      </c>
      <c r="J102" s="37">
        <f t="shared" si="81"/>
        <v>348</v>
      </c>
      <c r="K102" s="52">
        <f t="shared" si="82"/>
        <v>45</v>
      </c>
      <c r="L102" s="48">
        <f t="shared" si="83"/>
        <v>12.93103448</v>
      </c>
      <c r="M102" s="50">
        <v>26690.0</v>
      </c>
      <c r="N102" s="49">
        <f t="shared" si="84"/>
        <v>1201050</v>
      </c>
      <c r="R102" s="80" t="str">
        <f t="shared" si="56"/>
        <v/>
      </c>
    </row>
    <row r="103">
      <c r="A103" s="102"/>
      <c r="B103" s="103" t="s">
        <v>38</v>
      </c>
      <c r="C103" s="104"/>
      <c r="D103" s="105"/>
      <c r="E103" s="12">
        <f t="shared" si="79"/>
        <v>0</v>
      </c>
      <c r="F103" s="47"/>
      <c r="G103" s="106" t="str">
        <f t="shared" si="80"/>
        <v>#DIV/0!</v>
      </c>
      <c r="H103" s="107"/>
      <c r="I103" s="108"/>
      <c r="J103" s="107">
        <f t="shared" si="81"/>
        <v>0</v>
      </c>
      <c r="K103" s="52" t="str">
        <f t="shared" si="82"/>
        <v/>
      </c>
      <c r="L103" s="109" t="str">
        <f t="shared" si="83"/>
        <v>#DIV/0!</v>
      </c>
      <c r="M103" s="110"/>
      <c r="N103" s="111">
        <f t="shared" si="84"/>
        <v>0</v>
      </c>
      <c r="R103" s="80" t="str">
        <f t="shared" si="56"/>
        <v/>
      </c>
    </row>
    <row r="104">
      <c r="A104" s="112"/>
      <c r="B104" s="113"/>
      <c r="C104" s="114"/>
      <c r="D104" s="115" t="s">
        <v>19</v>
      </c>
      <c r="E104" s="116">
        <f>SUM(E98:E103)</f>
        <v>2486</v>
      </c>
      <c r="F104" s="64">
        <f>sum(F95:F103)</f>
        <v>604</v>
      </c>
      <c r="G104" s="117" t="str">
        <f>average(G98:G103)</f>
        <v>#DIV/0!</v>
      </c>
      <c r="H104" s="114"/>
      <c r="I104" s="118"/>
      <c r="J104" s="115">
        <f t="shared" ref="J104:K104" si="85">sum(J98:J103)</f>
        <v>2477</v>
      </c>
      <c r="K104" s="115">
        <f t="shared" si="85"/>
        <v>306</v>
      </c>
      <c r="L104" s="119" t="str">
        <f>average(L98:L103)</f>
        <v>#DIV/0!</v>
      </c>
      <c r="M104" s="120"/>
      <c r="N104" s="121">
        <f>sum(N98:N103)</f>
        <v>9480220</v>
      </c>
      <c r="R104" s="80" t="str">
        <f t="shared" si="56"/>
        <v/>
      </c>
    </row>
    <row r="105">
      <c r="A105" s="122">
        <v>46115.0</v>
      </c>
      <c r="B105" s="123" t="s">
        <v>39</v>
      </c>
      <c r="C105" s="55">
        <v>128551.0</v>
      </c>
      <c r="D105" s="37">
        <v>129021.0</v>
      </c>
      <c r="E105" s="38">
        <f t="shared" ref="E105:E111" si="86">D105-C105</f>
        <v>470</v>
      </c>
      <c r="F105" s="39">
        <v>52.0</v>
      </c>
      <c r="G105" s="124">
        <f t="shared" ref="G105:G111" si="87">(F105/E105)*100</f>
        <v>11.06382979</v>
      </c>
      <c r="H105" s="57">
        <v>32876.0</v>
      </c>
      <c r="I105" s="37">
        <v>33211.0</v>
      </c>
      <c r="J105" s="89">
        <f t="shared" ref="J105:J111" si="88">I105-H105</f>
        <v>335</v>
      </c>
      <c r="K105" s="81">
        <f t="shared" ref="K105:K111" si="89">F105</f>
        <v>52</v>
      </c>
      <c r="L105" s="125">
        <f t="shared" ref="L105:L111" si="90">(K105/J105)*100</f>
        <v>15.52238806</v>
      </c>
      <c r="M105" s="126">
        <v>40820.0</v>
      </c>
      <c r="N105" s="49">
        <f t="shared" ref="N105:N111" si="91">F105*M105</f>
        <v>2122640</v>
      </c>
      <c r="R105" s="80" t="str">
        <f t="shared" si="56"/>
        <v/>
      </c>
    </row>
    <row r="106">
      <c r="A106" s="127">
        <v>46122.0</v>
      </c>
      <c r="B106" s="46" t="s">
        <v>39</v>
      </c>
      <c r="C106" s="37">
        <v>129021.0</v>
      </c>
      <c r="D106" s="37">
        <v>129576.0</v>
      </c>
      <c r="E106" s="12">
        <f t="shared" si="86"/>
        <v>555</v>
      </c>
      <c r="F106" s="47">
        <v>63.0</v>
      </c>
      <c r="G106" s="14">
        <f t="shared" si="87"/>
        <v>11.35135135</v>
      </c>
      <c r="H106" s="37">
        <v>33211.0</v>
      </c>
      <c r="I106" s="13">
        <v>33790.0</v>
      </c>
      <c r="J106" s="37">
        <f t="shared" si="88"/>
        <v>579</v>
      </c>
      <c r="K106" s="81">
        <f t="shared" si="89"/>
        <v>63</v>
      </c>
      <c r="L106" s="48">
        <f t="shared" si="90"/>
        <v>10.88082902</v>
      </c>
      <c r="M106" s="50">
        <v>32960.0</v>
      </c>
      <c r="N106" s="49">
        <f t="shared" si="91"/>
        <v>2076480</v>
      </c>
      <c r="R106" s="80" t="str">
        <f t="shared" si="56"/>
        <v/>
      </c>
    </row>
    <row r="107">
      <c r="A107" s="127">
        <v>46127.0</v>
      </c>
      <c r="B107" s="46" t="s">
        <v>39</v>
      </c>
      <c r="C107" s="37">
        <v>129576.0</v>
      </c>
      <c r="D107" s="37">
        <v>130030.0</v>
      </c>
      <c r="E107" s="12">
        <f t="shared" si="86"/>
        <v>454</v>
      </c>
      <c r="F107" s="47">
        <v>54.0</v>
      </c>
      <c r="G107" s="14">
        <f t="shared" si="87"/>
        <v>11.89427313</v>
      </c>
      <c r="H107" s="13">
        <v>33790.0</v>
      </c>
      <c r="I107" s="37">
        <v>34255.0</v>
      </c>
      <c r="J107" s="37">
        <f t="shared" si="88"/>
        <v>465</v>
      </c>
      <c r="K107" s="81">
        <f t="shared" si="89"/>
        <v>54</v>
      </c>
      <c r="L107" s="48">
        <f t="shared" si="90"/>
        <v>11.61290323</v>
      </c>
      <c r="M107" s="50">
        <v>32960.0</v>
      </c>
      <c r="N107" s="49">
        <f t="shared" si="91"/>
        <v>1779840</v>
      </c>
      <c r="P107" s="82"/>
      <c r="R107" s="80" t="str">
        <f t="shared" si="56"/>
        <v/>
      </c>
    </row>
    <row r="108">
      <c r="A108" s="127">
        <v>46132.0</v>
      </c>
      <c r="B108" s="46" t="s">
        <v>39</v>
      </c>
      <c r="C108" s="37">
        <v>130030.0</v>
      </c>
      <c r="D108" s="37">
        <v>130405.0</v>
      </c>
      <c r="E108" s="12">
        <f t="shared" si="86"/>
        <v>375</v>
      </c>
      <c r="F108" s="47">
        <v>45.0</v>
      </c>
      <c r="G108" s="14">
        <f t="shared" si="87"/>
        <v>12</v>
      </c>
      <c r="H108" s="37">
        <v>34255.0</v>
      </c>
      <c r="I108" s="37">
        <v>34640.0</v>
      </c>
      <c r="J108" s="37">
        <f t="shared" si="88"/>
        <v>385</v>
      </c>
      <c r="K108" s="52">
        <f t="shared" si="89"/>
        <v>45</v>
      </c>
      <c r="L108" s="48">
        <f t="shared" si="90"/>
        <v>11.68831169</v>
      </c>
      <c r="M108" s="50">
        <v>31040.0</v>
      </c>
      <c r="N108" s="49">
        <f t="shared" si="91"/>
        <v>1396800</v>
      </c>
      <c r="R108" s="80" t="str">
        <f t="shared" si="56"/>
        <v/>
      </c>
    </row>
    <row r="109">
      <c r="A109" s="35">
        <v>46140.0</v>
      </c>
      <c r="B109" s="46" t="s">
        <v>39</v>
      </c>
      <c r="C109" s="37">
        <v>130405.0</v>
      </c>
      <c r="D109" s="37">
        <v>130976.0</v>
      </c>
      <c r="E109" s="12">
        <f t="shared" si="86"/>
        <v>571</v>
      </c>
      <c r="F109" s="47">
        <v>63.0</v>
      </c>
      <c r="G109" s="14">
        <f t="shared" si="87"/>
        <v>11.03327496</v>
      </c>
      <c r="H109" s="37">
        <v>34640.0</v>
      </c>
      <c r="I109" s="40">
        <v>35213.0</v>
      </c>
      <c r="J109" s="37">
        <f t="shared" si="88"/>
        <v>573</v>
      </c>
      <c r="K109" s="52">
        <f t="shared" si="89"/>
        <v>63</v>
      </c>
      <c r="L109" s="48">
        <f t="shared" si="90"/>
        <v>10.9947644</v>
      </c>
      <c r="M109" s="50">
        <v>26690.0</v>
      </c>
      <c r="N109" s="49">
        <f t="shared" si="91"/>
        <v>1681470</v>
      </c>
      <c r="R109" s="80" t="str">
        <f t="shared" si="56"/>
        <v/>
      </c>
    </row>
    <row r="110">
      <c r="A110" s="35"/>
      <c r="B110" s="46" t="s">
        <v>39</v>
      </c>
      <c r="C110" s="37"/>
      <c r="D110" s="37"/>
      <c r="E110" s="12">
        <f t="shared" si="86"/>
        <v>0</v>
      </c>
      <c r="F110" s="47"/>
      <c r="G110" s="14" t="str">
        <f t="shared" si="87"/>
        <v>#DIV/0!</v>
      </c>
      <c r="H110" s="40"/>
      <c r="I110" s="40"/>
      <c r="J110" s="37">
        <f t="shared" si="88"/>
        <v>0</v>
      </c>
      <c r="K110" s="52" t="str">
        <f t="shared" si="89"/>
        <v/>
      </c>
      <c r="L110" s="48" t="str">
        <f t="shared" si="90"/>
        <v>#DIV/0!</v>
      </c>
      <c r="M110" s="50"/>
      <c r="N110" s="49">
        <f t="shared" si="91"/>
        <v>0</v>
      </c>
      <c r="R110" s="80" t="str">
        <f t="shared" si="56"/>
        <v/>
      </c>
    </row>
    <row r="111">
      <c r="A111" s="35"/>
      <c r="B111" s="46" t="s">
        <v>39</v>
      </c>
      <c r="C111" s="37"/>
      <c r="D111" s="55"/>
      <c r="E111" s="25">
        <f t="shared" si="86"/>
        <v>0</v>
      </c>
      <c r="F111" s="47"/>
      <c r="G111" s="56" t="str">
        <f t="shared" si="87"/>
        <v>#DIV/0!</v>
      </c>
      <c r="H111" s="40"/>
      <c r="I111" s="57"/>
      <c r="J111" s="55">
        <f t="shared" si="88"/>
        <v>0</v>
      </c>
      <c r="K111" s="52" t="str">
        <f t="shared" si="89"/>
        <v/>
      </c>
      <c r="L111" s="77" t="str">
        <f t="shared" si="90"/>
        <v>#DIV/0!</v>
      </c>
      <c r="M111" s="58"/>
      <c r="N111" s="49">
        <f t="shared" si="91"/>
        <v>0</v>
      </c>
      <c r="R111" s="80" t="str">
        <f t="shared" si="56"/>
        <v/>
      </c>
    </row>
    <row r="112">
      <c r="A112" s="62"/>
      <c r="B112" s="63"/>
      <c r="C112" s="62"/>
      <c r="D112" s="64" t="s">
        <v>19</v>
      </c>
      <c r="E112" s="64">
        <f>sum(E98:E111)</f>
        <v>7397</v>
      </c>
      <c r="F112" s="64">
        <f>sum(F104:F111)</f>
        <v>881</v>
      </c>
      <c r="G112" s="65" t="str">
        <f>average(G98:G111)</f>
        <v>#DIV/0!</v>
      </c>
      <c r="H112" s="62"/>
      <c r="I112" s="66"/>
      <c r="J112" s="64">
        <f t="shared" ref="J112:K112" si="92">sum(J98:J111)</f>
        <v>7291</v>
      </c>
      <c r="K112" s="64">
        <f t="shared" si="92"/>
        <v>889</v>
      </c>
      <c r="L112" s="65" t="str">
        <f>average(L98:L111)</f>
        <v>#DIV/0!</v>
      </c>
      <c r="M112" s="68"/>
      <c r="N112" s="69">
        <f>sum(N105:N111)</f>
        <v>9057230</v>
      </c>
      <c r="R112" s="80" t="str">
        <f t="shared" si="56"/>
        <v/>
      </c>
    </row>
    <row r="113">
      <c r="A113" s="70">
        <v>46115.0</v>
      </c>
      <c r="B113" s="99" t="s">
        <v>40</v>
      </c>
      <c r="C113" s="37">
        <v>124263.0</v>
      </c>
      <c r="D113" s="13">
        <v>124731.0</v>
      </c>
      <c r="E113" s="38">
        <f t="shared" ref="E113:E119" si="93">D113-C113</f>
        <v>468</v>
      </c>
      <c r="F113" s="39">
        <v>54.0</v>
      </c>
      <c r="G113" s="14">
        <f t="shared" ref="G113:G119" si="94">(F113/E113)*100</f>
        <v>11.53846154</v>
      </c>
      <c r="H113" s="40">
        <v>122267.0</v>
      </c>
      <c r="I113" s="40">
        <v>122744.0</v>
      </c>
      <c r="J113" s="41">
        <f t="shared" ref="J113:J119" si="95">I113-H113</f>
        <v>477</v>
      </c>
      <c r="K113" s="81">
        <f t="shared" ref="K113:K119" si="96">F113</f>
        <v>54</v>
      </c>
      <c r="L113" s="71">
        <f t="shared" ref="L113:L119" si="97">(K113/J113)*100</f>
        <v>11.32075472</v>
      </c>
      <c r="M113" s="72">
        <v>40820.0</v>
      </c>
      <c r="N113" s="44">
        <f t="shared" ref="N113:N119" si="98">F113*M113</f>
        <v>2204280</v>
      </c>
      <c r="R113" s="80" t="str">
        <f t="shared" si="56"/>
        <v/>
      </c>
    </row>
    <row r="114">
      <c r="A114" s="45">
        <v>46123.0</v>
      </c>
      <c r="B114" s="51" t="s">
        <v>40</v>
      </c>
      <c r="C114" s="13">
        <v>124731.0</v>
      </c>
      <c r="D114" s="11">
        <v>125363.0</v>
      </c>
      <c r="E114" s="53">
        <f t="shared" si="93"/>
        <v>632</v>
      </c>
      <c r="F114" s="54">
        <v>75.0</v>
      </c>
      <c r="G114" s="14">
        <f t="shared" si="94"/>
        <v>11.86708861</v>
      </c>
      <c r="H114" s="40">
        <v>122744.0</v>
      </c>
      <c r="I114" s="40">
        <v>123355.0</v>
      </c>
      <c r="J114" s="37">
        <f t="shared" si="95"/>
        <v>611</v>
      </c>
      <c r="K114" s="52">
        <f t="shared" si="96"/>
        <v>75</v>
      </c>
      <c r="L114" s="48">
        <f t="shared" si="97"/>
        <v>12.27495908</v>
      </c>
      <c r="M114" s="50">
        <v>32960.0</v>
      </c>
      <c r="N114" s="49">
        <f t="shared" si="98"/>
        <v>2472000</v>
      </c>
      <c r="R114" s="80" t="str">
        <f t="shared" si="56"/>
        <v/>
      </c>
    </row>
    <row r="115">
      <c r="A115" s="35">
        <v>46129.0</v>
      </c>
      <c r="B115" s="46" t="s">
        <v>40</v>
      </c>
      <c r="C115" s="11">
        <v>125363.0</v>
      </c>
      <c r="D115" s="13">
        <v>125936.0</v>
      </c>
      <c r="E115" s="12">
        <f t="shared" si="93"/>
        <v>573</v>
      </c>
      <c r="F115" s="47">
        <v>72.0</v>
      </c>
      <c r="G115" s="14">
        <f t="shared" si="94"/>
        <v>12.56544503</v>
      </c>
      <c r="H115" s="40">
        <v>123355.0</v>
      </c>
      <c r="I115" s="40">
        <v>123951.0</v>
      </c>
      <c r="J115" s="37">
        <f t="shared" si="95"/>
        <v>596</v>
      </c>
      <c r="K115" s="52">
        <f t="shared" si="96"/>
        <v>72</v>
      </c>
      <c r="L115" s="48">
        <f t="shared" si="97"/>
        <v>12.08053691</v>
      </c>
      <c r="M115" s="50">
        <v>31040.0</v>
      </c>
      <c r="N115" s="49">
        <f t="shared" si="98"/>
        <v>2234880</v>
      </c>
      <c r="R115" s="80" t="str">
        <f t="shared" si="56"/>
        <v/>
      </c>
    </row>
    <row r="116">
      <c r="A116" s="35">
        <v>46136.0</v>
      </c>
      <c r="B116" s="46" t="s">
        <v>40</v>
      </c>
      <c r="C116" s="13">
        <v>125936.0</v>
      </c>
      <c r="D116" s="13">
        <v>126617.0</v>
      </c>
      <c r="E116" s="12">
        <f t="shared" si="93"/>
        <v>681</v>
      </c>
      <c r="F116" s="47">
        <v>76.0</v>
      </c>
      <c r="G116" s="14">
        <f t="shared" si="94"/>
        <v>11.16005874</v>
      </c>
      <c r="H116" s="40">
        <v>123951.0</v>
      </c>
      <c r="I116" s="40">
        <v>124577.0</v>
      </c>
      <c r="J116" s="37">
        <f t="shared" si="95"/>
        <v>626</v>
      </c>
      <c r="K116" s="52">
        <f t="shared" si="96"/>
        <v>76</v>
      </c>
      <c r="L116" s="48">
        <f t="shared" si="97"/>
        <v>12.14057508</v>
      </c>
      <c r="M116" s="50">
        <v>26690.0</v>
      </c>
      <c r="N116" s="49">
        <f t="shared" si="98"/>
        <v>2028440</v>
      </c>
      <c r="R116" s="80" t="str">
        <f t="shared" si="56"/>
        <v/>
      </c>
    </row>
    <row r="117">
      <c r="A117" s="35">
        <v>46140.0</v>
      </c>
      <c r="B117" s="46" t="s">
        <v>40</v>
      </c>
      <c r="C117" s="13">
        <v>126617.0</v>
      </c>
      <c r="D117" s="37">
        <v>126905.0</v>
      </c>
      <c r="E117" s="12">
        <f t="shared" si="93"/>
        <v>288</v>
      </c>
      <c r="F117" s="47">
        <v>37.0</v>
      </c>
      <c r="G117" s="14">
        <f t="shared" si="94"/>
        <v>12.84722222</v>
      </c>
      <c r="H117" s="40">
        <v>124577.0</v>
      </c>
      <c r="I117" s="40">
        <v>124883.0</v>
      </c>
      <c r="J117" s="37">
        <f t="shared" si="95"/>
        <v>306</v>
      </c>
      <c r="K117" s="52">
        <f t="shared" si="96"/>
        <v>37</v>
      </c>
      <c r="L117" s="48">
        <f t="shared" si="97"/>
        <v>12.09150327</v>
      </c>
      <c r="M117" s="50">
        <v>26690.0</v>
      </c>
      <c r="N117" s="49">
        <f t="shared" si="98"/>
        <v>987530</v>
      </c>
      <c r="R117" s="80" t="str">
        <f t="shared" si="56"/>
        <v/>
      </c>
    </row>
    <row r="118">
      <c r="A118" s="35"/>
      <c r="B118" s="46" t="s">
        <v>40</v>
      </c>
      <c r="C118" s="37"/>
      <c r="D118" s="37"/>
      <c r="E118" s="12">
        <f t="shared" si="93"/>
        <v>0</v>
      </c>
      <c r="F118" s="47"/>
      <c r="G118" s="14" t="str">
        <f t="shared" si="94"/>
        <v>#DIV/0!</v>
      </c>
      <c r="H118" s="40"/>
      <c r="I118" s="40"/>
      <c r="J118" s="37">
        <f t="shared" si="95"/>
        <v>0</v>
      </c>
      <c r="K118" s="52" t="str">
        <f t="shared" si="96"/>
        <v/>
      </c>
      <c r="L118" s="48" t="str">
        <f t="shared" si="97"/>
        <v>#DIV/0!</v>
      </c>
      <c r="M118" s="50"/>
      <c r="N118" s="49">
        <f t="shared" si="98"/>
        <v>0</v>
      </c>
      <c r="R118" s="80" t="str">
        <f t="shared" si="56"/>
        <v/>
      </c>
    </row>
    <row r="119">
      <c r="A119" s="94"/>
      <c r="B119" s="46" t="s">
        <v>40</v>
      </c>
      <c r="C119" s="55"/>
      <c r="D119" s="95"/>
      <c r="E119" s="25">
        <f t="shared" si="93"/>
        <v>0</v>
      </c>
      <c r="F119" s="47"/>
      <c r="G119" s="56" t="str">
        <f t="shared" si="94"/>
        <v>#DIV/0!</v>
      </c>
      <c r="H119" s="55"/>
      <c r="I119" s="85"/>
      <c r="J119" s="55">
        <f t="shared" si="95"/>
        <v>0</v>
      </c>
      <c r="K119" s="52" t="str">
        <f t="shared" si="96"/>
        <v/>
      </c>
      <c r="L119" s="77" t="str">
        <f t="shared" si="97"/>
        <v>#DIV/0!</v>
      </c>
      <c r="M119" s="96"/>
      <c r="N119" s="59">
        <f t="shared" si="98"/>
        <v>0</v>
      </c>
      <c r="R119" s="80" t="str">
        <f t="shared" si="56"/>
        <v/>
      </c>
    </row>
    <row r="120">
      <c r="A120" s="62"/>
      <c r="B120" s="63"/>
      <c r="C120" s="62"/>
      <c r="D120" s="64" t="s">
        <v>19</v>
      </c>
      <c r="E120" s="64">
        <f>sum(E113:E119)</f>
        <v>2642</v>
      </c>
      <c r="F120" s="39"/>
      <c r="G120" s="65" t="str">
        <f>average(G113:G119)</f>
        <v>#DIV/0!</v>
      </c>
      <c r="H120" s="62"/>
      <c r="I120" s="66"/>
      <c r="J120" s="64">
        <f t="shared" ref="J120:K120" si="99">sum(J113:J119)</f>
        <v>2616</v>
      </c>
      <c r="K120" s="64">
        <f t="shared" si="99"/>
        <v>314</v>
      </c>
      <c r="L120" s="65" t="str">
        <f>average(L113:L119)</f>
        <v>#DIV/0!</v>
      </c>
      <c r="M120" s="68"/>
      <c r="N120" s="69">
        <f>sum(N113:N119)</f>
        <v>9927130</v>
      </c>
      <c r="R120" s="80" t="str">
        <f t="shared" si="56"/>
        <v/>
      </c>
    </row>
    <row r="121">
      <c r="A121" s="70">
        <v>46121.0</v>
      </c>
      <c r="B121" s="99" t="s">
        <v>41</v>
      </c>
      <c r="C121" s="52">
        <v>177289.0</v>
      </c>
      <c r="D121" s="37">
        <v>178057.0</v>
      </c>
      <c r="E121" s="38">
        <f t="shared" ref="E121:E127" si="100">D121-C121</f>
        <v>768</v>
      </c>
      <c r="F121" s="39">
        <v>83.0</v>
      </c>
      <c r="G121" s="14">
        <f t="shared" ref="G121:G127" si="101">(F121/E121)*100</f>
        <v>10.80729167</v>
      </c>
      <c r="H121" s="40">
        <v>20958.0</v>
      </c>
      <c r="I121" s="40">
        <v>21708.0</v>
      </c>
      <c r="J121" s="41">
        <f t="shared" ref="J121:J127" si="102">I121-H121</f>
        <v>750</v>
      </c>
      <c r="K121" s="81">
        <f t="shared" ref="K121:K127" si="103">F121</f>
        <v>83</v>
      </c>
      <c r="L121" s="71">
        <f t="shared" ref="L121:L127" si="104">(K121/J121)*100</f>
        <v>11.06666667</v>
      </c>
      <c r="M121" s="43">
        <v>32960.0</v>
      </c>
      <c r="N121" s="44">
        <f t="shared" ref="N121:N127" si="105">F121*M121</f>
        <v>2735680</v>
      </c>
      <c r="R121" s="80" t="str">
        <f t="shared" si="56"/>
        <v/>
      </c>
    </row>
    <row r="122">
      <c r="A122" s="128">
        <v>46127.0</v>
      </c>
      <c r="B122" s="129" t="s">
        <v>41</v>
      </c>
      <c r="C122" s="37">
        <v>178057.0</v>
      </c>
      <c r="D122" s="53">
        <v>178683.0</v>
      </c>
      <c r="E122" s="53">
        <f t="shared" si="100"/>
        <v>626</v>
      </c>
      <c r="F122" s="130">
        <v>72.0</v>
      </c>
      <c r="G122" s="14">
        <f t="shared" si="101"/>
        <v>11.50159744</v>
      </c>
      <c r="H122" s="40">
        <v>21708.0</v>
      </c>
      <c r="I122" s="40">
        <v>22327.0</v>
      </c>
      <c r="J122" s="37">
        <f t="shared" si="102"/>
        <v>619</v>
      </c>
      <c r="K122" s="52">
        <f t="shared" si="103"/>
        <v>72</v>
      </c>
      <c r="L122" s="48">
        <f t="shared" si="104"/>
        <v>11.63166397</v>
      </c>
      <c r="M122" s="50">
        <v>32960.0</v>
      </c>
      <c r="N122" s="131">
        <f t="shared" si="105"/>
        <v>2373120</v>
      </c>
      <c r="R122" s="80" t="str">
        <f t="shared" si="56"/>
        <v/>
      </c>
    </row>
    <row r="123">
      <c r="A123" s="128">
        <v>46134.0</v>
      </c>
      <c r="B123" s="129" t="s">
        <v>41</v>
      </c>
      <c r="C123" s="53">
        <v>178683.0</v>
      </c>
      <c r="D123" s="53">
        <v>179243.0</v>
      </c>
      <c r="E123" s="53">
        <f t="shared" si="100"/>
        <v>560</v>
      </c>
      <c r="F123" s="130">
        <v>64.0</v>
      </c>
      <c r="G123" s="14">
        <f t="shared" si="101"/>
        <v>11.42857143</v>
      </c>
      <c r="H123" s="40">
        <v>22327.0</v>
      </c>
      <c r="I123" s="37">
        <v>22974.0</v>
      </c>
      <c r="J123" s="37">
        <f t="shared" si="102"/>
        <v>647</v>
      </c>
      <c r="K123" s="52">
        <f t="shared" si="103"/>
        <v>64</v>
      </c>
      <c r="L123" s="48">
        <f t="shared" si="104"/>
        <v>9.891808346</v>
      </c>
      <c r="M123" s="50">
        <v>27850.0</v>
      </c>
      <c r="N123" s="131">
        <f t="shared" si="105"/>
        <v>1782400</v>
      </c>
      <c r="R123" s="80" t="str">
        <f t="shared" si="56"/>
        <v/>
      </c>
    </row>
    <row r="124">
      <c r="A124" s="35">
        <v>46140.0</v>
      </c>
      <c r="B124" s="46" t="s">
        <v>41</v>
      </c>
      <c r="C124" s="53">
        <v>179243.0</v>
      </c>
      <c r="D124" s="37">
        <v>179863.0</v>
      </c>
      <c r="E124" s="12">
        <f t="shared" si="100"/>
        <v>620</v>
      </c>
      <c r="F124" s="47">
        <v>68.0</v>
      </c>
      <c r="G124" s="14">
        <f t="shared" si="101"/>
        <v>10.96774194</v>
      </c>
      <c r="H124" s="37">
        <v>22974.0</v>
      </c>
      <c r="I124" s="40">
        <v>23486.0</v>
      </c>
      <c r="J124" s="37">
        <f t="shared" si="102"/>
        <v>512</v>
      </c>
      <c r="K124" s="52">
        <f t="shared" si="103"/>
        <v>68</v>
      </c>
      <c r="L124" s="48">
        <f t="shared" si="104"/>
        <v>13.28125</v>
      </c>
      <c r="M124" s="50">
        <v>26690.0</v>
      </c>
      <c r="N124" s="131">
        <f t="shared" si="105"/>
        <v>1814920</v>
      </c>
      <c r="R124" s="80" t="str">
        <f t="shared" si="56"/>
        <v/>
      </c>
    </row>
    <row r="125">
      <c r="A125" s="35"/>
      <c r="B125" s="51" t="s">
        <v>41</v>
      </c>
      <c r="C125" s="37"/>
      <c r="D125" s="52"/>
      <c r="E125" s="12">
        <f t="shared" si="100"/>
        <v>0</v>
      </c>
      <c r="F125" s="47"/>
      <c r="G125" s="14" t="str">
        <f t="shared" si="101"/>
        <v>#DIV/0!</v>
      </c>
      <c r="H125" s="40"/>
      <c r="I125" s="40"/>
      <c r="J125" s="37">
        <f t="shared" si="102"/>
        <v>0</v>
      </c>
      <c r="K125" s="52" t="str">
        <f t="shared" si="103"/>
        <v/>
      </c>
      <c r="L125" s="48" t="str">
        <f t="shared" si="104"/>
        <v>#DIV/0!</v>
      </c>
      <c r="M125" s="50"/>
      <c r="N125" s="131">
        <f t="shared" si="105"/>
        <v>0</v>
      </c>
      <c r="R125" s="80" t="str">
        <f t="shared" si="56"/>
        <v/>
      </c>
    </row>
    <row r="126">
      <c r="A126" s="132"/>
      <c r="B126" s="46" t="s">
        <v>41</v>
      </c>
      <c r="C126" s="37"/>
      <c r="D126" s="133"/>
      <c r="E126" s="12">
        <f t="shared" si="100"/>
        <v>0</v>
      </c>
      <c r="F126" s="47"/>
      <c r="G126" s="14" t="str">
        <f t="shared" si="101"/>
        <v>#DIV/0!</v>
      </c>
      <c r="H126" s="37"/>
      <c r="I126" s="40"/>
      <c r="J126" s="37">
        <f t="shared" si="102"/>
        <v>0</v>
      </c>
      <c r="K126" s="52" t="str">
        <f t="shared" si="103"/>
        <v/>
      </c>
      <c r="L126" s="48" t="str">
        <f t="shared" si="104"/>
        <v>#DIV/0!</v>
      </c>
      <c r="M126" s="134"/>
      <c r="N126" s="131">
        <f t="shared" si="105"/>
        <v>0</v>
      </c>
      <c r="R126" s="80" t="str">
        <f t="shared" si="56"/>
        <v/>
      </c>
    </row>
    <row r="127">
      <c r="A127" s="94"/>
      <c r="B127" s="46" t="s">
        <v>41</v>
      </c>
      <c r="C127" s="55"/>
      <c r="D127" s="95"/>
      <c r="E127" s="25">
        <f t="shared" si="100"/>
        <v>0</v>
      </c>
      <c r="F127" s="47"/>
      <c r="G127" s="56" t="str">
        <f t="shared" si="101"/>
        <v>#DIV/0!</v>
      </c>
      <c r="H127" s="55"/>
      <c r="I127" s="85"/>
      <c r="J127" s="55">
        <f t="shared" si="102"/>
        <v>0</v>
      </c>
      <c r="K127" s="52" t="str">
        <f t="shared" si="103"/>
        <v/>
      </c>
      <c r="L127" s="77" t="str">
        <f t="shared" si="104"/>
        <v>#DIV/0!</v>
      </c>
      <c r="M127" s="96"/>
      <c r="N127" s="135">
        <f t="shared" si="105"/>
        <v>0</v>
      </c>
      <c r="R127" s="80" t="str">
        <f t="shared" si="56"/>
        <v/>
      </c>
    </row>
    <row r="128">
      <c r="A128" s="62"/>
      <c r="B128" s="63"/>
      <c r="C128" s="62"/>
      <c r="D128" s="64" t="s">
        <v>19</v>
      </c>
      <c r="E128" s="64">
        <f>sum(E121:E127)</f>
        <v>2574</v>
      </c>
      <c r="F128" s="64">
        <f>sum(F120:F127)</f>
        <v>287</v>
      </c>
      <c r="G128" s="65" t="str">
        <f>average(G121:G127)</f>
        <v>#DIV/0!</v>
      </c>
      <c r="H128" s="62"/>
      <c r="I128" s="66"/>
      <c r="J128" s="64">
        <f t="shared" ref="J128:K128" si="106">sum(J121:J127)</f>
        <v>2528</v>
      </c>
      <c r="K128" s="64">
        <f t="shared" si="106"/>
        <v>287</v>
      </c>
      <c r="L128" s="65" t="str">
        <f>average(L121:L127)</f>
        <v>#DIV/0!</v>
      </c>
      <c r="M128" s="68"/>
      <c r="N128" s="69">
        <f>sum(N121:N127)</f>
        <v>8706120</v>
      </c>
      <c r="R128" s="80" t="str">
        <f t="shared" si="56"/>
        <v/>
      </c>
    </row>
    <row r="129">
      <c r="A129" s="70">
        <v>46113.0</v>
      </c>
      <c r="B129" s="99" t="s">
        <v>42</v>
      </c>
      <c r="C129" s="37">
        <v>147039.0</v>
      </c>
      <c r="D129" s="37">
        <v>147602.0</v>
      </c>
      <c r="E129" s="38">
        <f t="shared" ref="E129:E135" si="107">D129-C129</f>
        <v>563</v>
      </c>
      <c r="F129" s="39">
        <v>65.0</v>
      </c>
      <c r="G129" s="14">
        <f t="shared" ref="G129:G135" si="108">(F129/E129)*100</f>
        <v>11.54529307</v>
      </c>
      <c r="H129" s="37"/>
      <c r="I129" s="40"/>
      <c r="J129" s="41">
        <f t="shared" ref="J129:J135" si="109">I129-H129</f>
        <v>0</v>
      </c>
      <c r="K129" s="81">
        <f t="shared" ref="K129:K135" si="110">F129</f>
        <v>65</v>
      </c>
      <c r="L129" s="71" t="str">
        <f t="shared" ref="L129:L135" si="111">(K129/J129)*100</f>
        <v>#DIV/0!</v>
      </c>
      <c r="M129" s="43">
        <v>35440.0</v>
      </c>
      <c r="N129" s="44">
        <f t="shared" ref="N129:N135" si="112">F129*M129</f>
        <v>2303600</v>
      </c>
    </row>
    <row r="130">
      <c r="A130" s="128">
        <v>46121.0</v>
      </c>
      <c r="B130" s="99" t="s">
        <v>42</v>
      </c>
      <c r="C130" s="37">
        <v>147602.0</v>
      </c>
      <c r="D130" s="53">
        <v>148212.0</v>
      </c>
      <c r="E130" s="53">
        <f t="shared" si="107"/>
        <v>610</v>
      </c>
      <c r="F130" s="130">
        <v>70.0</v>
      </c>
      <c r="G130" s="14">
        <f t="shared" si="108"/>
        <v>11.47540984</v>
      </c>
      <c r="H130" s="40"/>
      <c r="I130" s="40"/>
      <c r="J130" s="37">
        <f t="shared" si="109"/>
        <v>0</v>
      </c>
      <c r="K130" s="52">
        <f t="shared" si="110"/>
        <v>70</v>
      </c>
      <c r="L130" s="48" t="str">
        <f t="shared" si="111"/>
        <v>#DIV/0!</v>
      </c>
      <c r="M130" s="50">
        <v>32960.0</v>
      </c>
      <c r="N130" s="131">
        <f t="shared" si="112"/>
        <v>2307200</v>
      </c>
    </row>
    <row r="131">
      <c r="A131" s="128">
        <v>46127.0</v>
      </c>
      <c r="B131" s="99" t="s">
        <v>42</v>
      </c>
      <c r="C131" s="53">
        <v>148212.0</v>
      </c>
      <c r="D131" s="53">
        <v>148822.0</v>
      </c>
      <c r="E131" s="53">
        <f t="shared" si="107"/>
        <v>610</v>
      </c>
      <c r="F131" s="130">
        <v>67.0</v>
      </c>
      <c r="G131" s="14">
        <f t="shared" si="108"/>
        <v>10.98360656</v>
      </c>
      <c r="H131" s="40"/>
      <c r="I131" s="37"/>
      <c r="J131" s="37">
        <f t="shared" si="109"/>
        <v>0</v>
      </c>
      <c r="K131" s="52">
        <f t="shared" si="110"/>
        <v>67</v>
      </c>
      <c r="L131" s="48" t="str">
        <f t="shared" si="111"/>
        <v>#DIV/0!</v>
      </c>
      <c r="M131" s="50">
        <v>26690.0</v>
      </c>
      <c r="N131" s="131">
        <f t="shared" si="112"/>
        <v>1788230</v>
      </c>
    </row>
    <row r="132">
      <c r="A132" s="35">
        <v>46135.0</v>
      </c>
      <c r="B132" s="99" t="s">
        <v>42</v>
      </c>
      <c r="C132" s="53">
        <v>148822.0</v>
      </c>
      <c r="D132" s="37">
        <v>149384.0</v>
      </c>
      <c r="E132" s="12">
        <f t="shared" si="107"/>
        <v>562</v>
      </c>
      <c r="F132" s="47">
        <v>66.0</v>
      </c>
      <c r="G132" s="14">
        <f t="shared" si="108"/>
        <v>11.74377224</v>
      </c>
      <c r="H132" s="37"/>
      <c r="I132" s="40"/>
      <c r="J132" s="37">
        <f t="shared" si="109"/>
        <v>0</v>
      </c>
      <c r="K132" s="52">
        <f t="shared" si="110"/>
        <v>66</v>
      </c>
      <c r="L132" s="48" t="str">
        <f t="shared" si="111"/>
        <v>#DIV/0!</v>
      </c>
      <c r="M132" s="50">
        <v>26690.0</v>
      </c>
      <c r="N132" s="131">
        <f t="shared" si="112"/>
        <v>1761540</v>
      </c>
    </row>
    <row r="133">
      <c r="A133" s="136"/>
      <c r="B133" s="99" t="s">
        <v>42</v>
      </c>
      <c r="C133" s="52"/>
      <c r="D133" s="52"/>
      <c r="E133" s="12">
        <f t="shared" si="107"/>
        <v>0</v>
      </c>
      <c r="F133" s="47"/>
      <c r="G133" s="14" t="str">
        <f t="shared" si="108"/>
        <v>#DIV/0!</v>
      </c>
      <c r="H133" s="37"/>
      <c r="I133" s="40"/>
      <c r="J133" s="37">
        <f t="shared" si="109"/>
        <v>0</v>
      </c>
      <c r="K133" s="52" t="str">
        <f t="shared" si="110"/>
        <v/>
      </c>
      <c r="L133" s="48" t="str">
        <f t="shared" si="111"/>
        <v>#DIV/0!</v>
      </c>
      <c r="M133" s="50"/>
      <c r="N133" s="131">
        <f t="shared" si="112"/>
        <v>0</v>
      </c>
    </row>
    <row r="134">
      <c r="A134" s="132"/>
      <c r="B134" s="99" t="s">
        <v>42</v>
      </c>
      <c r="C134" s="37"/>
      <c r="D134" s="133"/>
      <c r="E134" s="12">
        <f t="shared" si="107"/>
        <v>0</v>
      </c>
      <c r="F134" s="47"/>
      <c r="G134" s="14" t="str">
        <f t="shared" si="108"/>
        <v>#DIV/0!</v>
      </c>
      <c r="H134" s="37"/>
      <c r="I134" s="40"/>
      <c r="J134" s="37">
        <f t="shared" si="109"/>
        <v>0</v>
      </c>
      <c r="K134" s="52" t="str">
        <f t="shared" si="110"/>
        <v/>
      </c>
      <c r="L134" s="48" t="str">
        <f t="shared" si="111"/>
        <v>#DIV/0!</v>
      </c>
      <c r="M134" s="134"/>
      <c r="N134" s="131">
        <f t="shared" si="112"/>
        <v>0</v>
      </c>
    </row>
    <row r="135">
      <c r="A135" s="94"/>
      <c r="B135" s="99" t="s">
        <v>42</v>
      </c>
      <c r="C135" s="55"/>
      <c r="D135" s="95"/>
      <c r="E135" s="25">
        <f t="shared" si="107"/>
        <v>0</v>
      </c>
      <c r="F135" s="47"/>
      <c r="G135" s="56" t="str">
        <f t="shared" si="108"/>
        <v>#DIV/0!</v>
      </c>
      <c r="H135" s="55"/>
      <c r="I135" s="85"/>
      <c r="J135" s="55">
        <f t="shared" si="109"/>
        <v>0</v>
      </c>
      <c r="K135" s="52" t="str">
        <f t="shared" si="110"/>
        <v/>
      </c>
      <c r="L135" s="77" t="str">
        <f t="shared" si="111"/>
        <v>#DIV/0!</v>
      </c>
      <c r="M135" s="96"/>
      <c r="N135" s="135">
        <f t="shared" si="112"/>
        <v>0</v>
      </c>
    </row>
    <row r="136">
      <c r="A136" s="62"/>
      <c r="B136" s="63"/>
      <c r="C136" s="62"/>
      <c r="D136" s="64" t="s">
        <v>19</v>
      </c>
      <c r="E136" s="64">
        <f>sum(E129:E135)</f>
        <v>2345</v>
      </c>
      <c r="F136" s="64">
        <f>sum(F128:F135)</f>
        <v>555</v>
      </c>
      <c r="G136" s="65" t="str">
        <f>average(G129:G135)</f>
        <v>#DIV/0!</v>
      </c>
      <c r="H136" s="62"/>
      <c r="I136" s="66"/>
      <c r="J136" s="64">
        <f t="shared" ref="J136:K136" si="113">sum(J129:J135)</f>
        <v>0</v>
      </c>
      <c r="K136" s="64">
        <f t="shared" si="113"/>
        <v>268</v>
      </c>
      <c r="L136" s="65" t="str">
        <f>average(L129:L135)</f>
        <v>#DIV/0!</v>
      </c>
      <c r="M136" s="68"/>
      <c r="N136" s="69">
        <f>sum(N129:N135)</f>
        <v>8160570</v>
      </c>
    </row>
    <row r="137">
      <c r="A137" s="70">
        <v>46114.0</v>
      </c>
      <c r="B137" s="99" t="s">
        <v>27</v>
      </c>
      <c r="C137" s="89"/>
      <c r="D137" s="13"/>
      <c r="E137" s="38">
        <f t="shared" ref="E137:E147" si="114">D137-C137</f>
        <v>0</v>
      </c>
      <c r="F137" s="39"/>
      <c r="G137" s="14" t="str">
        <f t="shared" ref="G137:G147" si="115">(F137/E137)*100</f>
        <v>#DIV/0!</v>
      </c>
      <c r="H137" s="137"/>
      <c r="I137" s="138"/>
      <c r="J137" s="41">
        <f t="shared" ref="J137:J147" si="116">I137-H137</f>
        <v>0</v>
      </c>
      <c r="K137" s="52" t="str">
        <f t="shared" ref="K137:K141" si="117">F137</f>
        <v/>
      </c>
      <c r="L137" s="71" t="str">
        <f t="shared" ref="L137:L147" si="118">(K137/J137)*100</f>
        <v>#DIV/0!</v>
      </c>
      <c r="M137" s="72"/>
      <c r="N137" s="44">
        <v>1772000.0</v>
      </c>
      <c r="R137" s="80" t="str">
        <f t="shared" ref="R137:R144" si="119">Q137</f>
        <v/>
      </c>
    </row>
    <row r="138">
      <c r="A138" s="35">
        <v>46117.0</v>
      </c>
      <c r="B138" s="46" t="s">
        <v>27</v>
      </c>
      <c r="C138" s="37"/>
      <c r="D138" s="13"/>
      <c r="E138" s="12">
        <f t="shared" si="114"/>
        <v>0</v>
      </c>
      <c r="F138" s="47"/>
      <c r="G138" s="14" t="str">
        <f t="shared" si="115"/>
        <v>#DIV/0!</v>
      </c>
      <c r="H138" s="40"/>
      <c r="I138" s="40"/>
      <c r="J138" s="37">
        <f t="shared" si="116"/>
        <v>0</v>
      </c>
      <c r="K138" s="52" t="str">
        <f t="shared" si="117"/>
        <v/>
      </c>
      <c r="L138" s="48" t="str">
        <f t="shared" si="118"/>
        <v>#DIV/0!</v>
      </c>
      <c r="M138" s="50"/>
      <c r="N138" s="49">
        <v>1343000.0</v>
      </c>
      <c r="R138" s="80" t="str">
        <f t="shared" si="119"/>
        <v/>
      </c>
    </row>
    <row r="139">
      <c r="A139" s="35">
        <v>46119.0</v>
      </c>
      <c r="B139" s="46" t="s">
        <v>27</v>
      </c>
      <c r="C139" s="37"/>
      <c r="D139" s="37"/>
      <c r="E139" s="12">
        <f t="shared" si="114"/>
        <v>0</v>
      </c>
      <c r="F139" s="47"/>
      <c r="G139" s="14" t="str">
        <f t="shared" si="115"/>
        <v>#DIV/0!</v>
      </c>
      <c r="H139" s="37"/>
      <c r="I139" s="40"/>
      <c r="J139" s="37">
        <f t="shared" si="116"/>
        <v>0</v>
      </c>
      <c r="K139" s="52" t="str">
        <f t="shared" si="117"/>
        <v/>
      </c>
      <c r="L139" s="48" t="str">
        <f t="shared" si="118"/>
        <v>#DIV/0!</v>
      </c>
      <c r="M139" s="50"/>
      <c r="N139" s="49">
        <v>1343000.0</v>
      </c>
      <c r="R139" s="80" t="str">
        <f t="shared" si="119"/>
        <v/>
      </c>
    </row>
    <row r="140">
      <c r="A140" s="35">
        <v>46120.0</v>
      </c>
      <c r="B140" s="46" t="s">
        <v>27</v>
      </c>
      <c r="C140" s="37"/>
      <c r="D140" s="37"/>
      <c r="E140" s="12">
        <f t="shared" si="114"/>
        <v>0</v>
      </c>
      <c r="F140" s="47"/>
      <c r="G140" s="14" t="str">
        <f t="shared" si="115"/>
        <v>#DIV/0!</v>
      </c>
      <c r="H140" s="37"/>
      <c r="I140" s="40"/>
      <c r="J140" s="37">
        <f t="shared" si="116"/>
        <v>0</v>
      </c>
      <c r="K140" s="52" t="str">
        <f t="shared" si="117"/>
        <v/>
      </c>
      <c r="L140" s="48" t="str">
        <f t="shared" si="118"/>
        <v>#DIV/0!</v>
      </c>
      <c r="M140" s="50"/>
      <c r="N140" s="49">
        <v>2528000.0</v>
      </c>
      <c r="R140" s="80" t="str">
        <f t="shared" si="119"/>
        <v/>
      </c>
    </row>
    <row r="141">
      <c r="A141" s="35">
        <v>46124.0</v>
      </c>
      <c r="B141" s="46" t="s">
        <v>27</v>
      </c>
      <c r="C141" s="37"/>
      <c r="D141" s="37"/>
      <c r="E141" s="12">
        <f t="shared" si="114"/>
        <v>0</v>
      </c>
      <c r="F141" s="47"/>
      <c r="G141" s="14" t="str">
        <f t="shared" si="115"/>
        <v>#DIV/0!</v>
      </c>
      <c r="H141" s="37"/>
      <c r="I141" s="40"/>
      <c r="J141" s="37">
        <f t="shared" si="116"/>
        <v>0</v>
      </c>
      <c r="K141" s="52" t="str">
        <f t="shared" si="117"/>
        <v/>
      </c>
      <c r="L141" s="48" t="str">
        <f t="shared" si="118"/>
        <v>#DIV/0!</v>
      </c>
      <c r="M141" s="50"/>
      <c r="N141" s="49">
        <v>1945000.0</v>
      </c>
      <c r="R141" s="80" t="str">
        <f t="shared" si="119"/>
        <v/>
      </c>
    </row>
    <row r="142">
      <c r="A142" s="35">
        <v>46128.0</v>
      </c>
      <c r="B142" s="46" t="s">
        <v>27</v>
      </c>
      <c r="C142" s="37"/>
      <c r="D142" s="133"/>
      <c r="E142" s="12">
        <f t="shared" si="114"/>
        <v>0</v>
      </c>
      <c r="F142" s="47"/>
      <c r="G142" s="14" t="str">
        <f t="shared" si="115"/>
        <v>#DIV/0!</v>
      </c>
      <c r="H142" s="37"/>
      <c r="I142" s="93"/>
      <c r="J142" s="37">
        <f t="shared" si="116"/>
        <v>0</v>
      </c>
      <c r="K142" s="52"/>
      <c r="L142" s="48" t="str">
        <f t="shared" si="118"/>
        <v>#DIV/0!</v>
      </c>
      <c r="M142" s="50"/>
      <c r="N142" s="49">
        <v>1862000.0</v>
      </c>
      <c r="R142" s="80" t="str">
        <f t="shared" si="119"/>
        <v/>
      </c>
    </row>
    <row r="143">
      <c r="A143" s="8">
        <v>46132.0</v>
      </c>
      <c r="B143" s="9" t="s">
        <v>27</v>
      </c>
      <c r="C143" s="13"/>
      <c r="D143" s="139"/>
      <c r="E143" s="12">
        <f t="shared" si="114"/>
        <v>0</v>
      </c>
      <c r="F143" s="13"/>
      <c r="G143" s="14" t="str">
        <f t="shared" si="115"/>
        <v>#DIV/0!</v>
      </c>
      <c r="H143" s="13"/>
      <c r="I143" s="140"/>
      <c r="J143" s="13">
        <f t="shared" si="116"/>
        <v>0</v>
      </c>
      <c r="K143" s="11"/>
      <c r="L143" s="17" t="str">
        <f t="shared" si="118"/>
        <v>#DIV/0!</v>
      </c>
      <c r="M143" s="18"/>
      <c r="N143" s="18">
        <v>2018000.0</v>
      </c>
      <c r="R143" s="80" t="str">
        <f t="shared" si="119"/>
        <v/>
      </c>
    </row>
    <row r="144">
      <c r="A144" s="8">
        <v>46136.0</v>
      </c>
      <c r="B144" s="9" t="s">
        <v>27</v>
      </c>
      <c r="C144" s="13"/>
      <c r="D144" s="139"/>
      <c r="E144" s="12">
        <f t="shared" si="114"/>
        <v>0</v>
      </c>
      <c r="F144" s="13"/>
      <c r="G144" s="14" t="str">
        <f t="shared" si="115"/>
        <v>#DIV/0!</v>
      </c>
      <c r="H144" s="13"/>
      <c r="I144" s="140"/>
      <c r="J144" s="13">
        <f t="shared" si="116"/>
        <v>0</v>
      </c>
      <c r="K144" s="11"/>
      <c r="L144" s="17" t="str">
        <f t="shared" si="118"/>
        <v>#DIV/0!</v>
      </c>
      <c r="M144" s="18"/>
      <c r="N144" s="18">
        <v>1628000.0</v>
      </c>
      <c r="R144" s="80" t="str">
        <f t="shared" si="119"/>
        <v/>
      </c>
    </row>
    <row r="145">
      <c r="A145" s="8">
        <v>46140.0</v>
      </c>
      <c r="B145" s="9" t="s">
        <v>27</v>
      </c>
      <c r="C145" s="13"/>
      <c r="D145" s="139"/>
      <c r="E145" s="12">
        <f t="shared" si="114"/>
        <v>0</v>
      </c>
      <c r="F145" s="13"/>
      <c r="G145" s="14" t="str">
        <f t="shared" si="115"/>
        <v>#DIV/0!</v>
      </c>
      <c r="H145" s="13"/>
      <c r="I145" s="140"/>
      <c r="J145" s="13">
        <f t="shared" si="116"/>
        <v>0</v>
      </c>
      <c r="K145" s="11"/>
      <c r="L145" s="17" t="str">
        <f t="shared" si="118"/>
        <v>#DIV/0!</v>
      </c>
      <c r="M145" s="18"/>
      <c r="N145" s="18">
        <v>1655000.0</v>
      </c>
    </row>
    <row r="146">
      <c r="A146" s="8">
        <v>46140.0</v>
      </c>
      <c r="B146" s="9" t="s">
        <v>27</v>
      </c>
      <c r="C146" s="13"/>
      <c r="D146" s="139"/>
      <c r="E146" s="12">
        <f t="shared" si="114"/>
        <v>0</v>
      </c>
      <c r="F146" s="13"/>
      <c r="G146" s="14" t="str">
        <f t="shared" si="115"/>
        <v>#DIV/0!</v>
      </c>
      <c r="H146" s="13"/>
      <c r="I146" s="140"/>
      <c r="J146" s="13">
        <f t="shared" si="116"/>
        <v>0</v>
      </c>
      <c r="K146" s="11"/>
      <c r="L146" s="17" t="str">
        <f t="shared" si="118"/>
        <v>#DIV/0!</v>
      </c>
      <c r="M146" s="18"/>
      <c r="N146" s="18">
        <v>4137000.0</v>
      </c>
    </row>
    <row r="147">
      <c r="A147" s="8">
        <v>46141.0</v>
      </c>
      <c r="B147" s="9" t="s">
        <v>27</v>
      </c>
      <c r="C147" s="13"/>
      <c r="D147" s="139"/>
      <c r="E147" s="12">
        <f t="shared" si="114"/>
        <v>0</v>
      </c>
      <c r="F147" s="13"/>
      <c r="G147" s="14" t="str">
        <f t="shared" si="115"/>
        <v>#DIV/0!</v>
      </c>
      <c r="H147" s="13"/>
      <c r="I147" s="140"/>
      <c r="J147" s="13">
        <f t="shared" si="116"/>
        <v>0</v>
      </c>
      <c r="K147" s="11"/>
      <c r="L147" s="17" t="str">
        <f t="shared" si="118"/>
        <v>#DIV/0!</v>
      </c>
      <c r="M147" s="18"/>
      <c r="N147" s="18">
        <v>667000.0</v>
      </c>
    </row>
    <row r="148">
      <c r="A148" s="88"/>
      <c r="B148" s="141"/>
      <c r="C148" s="88"/>
      <c r="D148" s="67" t="s">
        <v>19</v>
      </c>
      <c r="E148" s="67">
        <f t="shared" ref="E148:F148" si="120">sum(E137:E144)</f>
        <v>0</v>
      </c>
      <c r="F148" s="67">
        <f t="shared" si="120"/>
        <v>0</v>
      </c>
      <c r="G148" s="142" t="str">
        <f>average(G137:G144)</f>
        <v>#DIV/0!</v>
      </c>
      <c r="H148" s="88"/>
      <c r="I148" s="143"/>
      <c r="J148" s="67">
        <f t="shared" ref="J148:K148" si="121">sum(J137:J144)</f>
        <v>0</v>
      </c>
      <c r="K148" s="67">
        <f t="shared" si="121"/>
        <v>0</v>
      </c>
      <c r="L148" s="142" t="str">
        <f>average(L137:L144)</f>
        <v>#DIV/0!</v>
      </c>
      <c r="M148" s="144"/>
      <c r="N148" s="145">
        <f>sum(N137:N147)</f>
        <v>20898000</v>
      </c>
      <c r="R148" s="80" t="str">
        <f t="shared" ref="R148:R175" si="122">Q148</f>
        <v/>
      </c>
    </row>
    <row r="149">
      <c r="A149" s="70">
        <v>46119.0</v>
      </c>
      <c r="B149" s="99" t="s">
        <v>28</v>
      </c>
      <c r="C149" s="89"/>
      <c r="D149" s="13"/>
      <c r="E149" s="38">
        <f t="shared" ref="E149:E156" si="123">D149-C149</f>
        <v>0</v>
      </c>
      <c r="F149" s="39"/>
      <c r="G149" s="14" t="str">
        <f t="shared" ref="G149:G156" si="124">(F149/E149)*100</f>
        <v>#DIV/0!</v>
      </c>
      <c r="H149" s="137"/>
      <c r="I149" s="138"/>
      <c r="J149" s="41">
        <f t="shared" ref="J149:J156" si="125">I149-H149</f>
        <v>0</v>
      </c>
      <c r="K149" s="81"/>
      <c r="L149" s="71" t="str">
        <f t="shared" ref="L149:L156" si="126">(K149/J149)*100</f>
        <v>#DIV/0!</v>
      </c>
      <c r="M149" s="72"/>
      <c r="N149" s="49">
        <v>2687000.0</v>
      </c>
      <c r="R149" s="80" t="str">
        <f t="shared" si="122"/>
        <v/>
      </c>
    </row>
    <row r="150">
      <c r="A150" s="35">
        <v>46133.0</v>
      </c>
      <c r="B150" s="99" t="s">
        <v>28</v>
      </c>
      <c r="C150" s="37"/>
      <c r="D150" s="13"/>
      <c r="E150" s="12">
        <f t="shared" si="123"/>
        <v>0</v>
      </c>
      <c r="F150" s="47"/>
      <c r="G150" s="14" t="str">
        <f t="shared" si="124"/>
        <v>#DIV/0!</v>
      </c>
      <c r="H150" s="40"/>
      <c r="I150" s="40"/>
      <c r="J150" s="37">
        <f t="shared" si="125"/>
        <v>0</v>
      </c>
      <c r="K150" s="52"/>
      <c r="L150" s="71" t="str">
        <f t="shared" si="126"/>
        <v>#DIV/0!</v>
      </c>
      <c r="M150" s="50"/>
      <c r="N150" s="49">
        <v>2173000.0</v>
      </c>
      <c r="R150" s="80" t="str">
        <f t="shared" si="122"/>
        <v/>
      </c>
    </row>
    <row r="151">
      <c r="A151" s="35"/>
      <c r="B151" s="99" t="s">
        <v>28</v>
      </c>
      <c r="C151" s="37"/>
      <c r="D151" s="37"/>
      <c r="E151" s="12">
        <f t="shared" si="123"/>
        <v>0</v>
      </c>
      <c r="F151" s="47"/>
      <c r="G151" s="14" t="str">
        <f t="shared" si="124"/>
        <v>#DIV/0!</v>
      </c>
      <c r="H151" s="37"/>
      <c r="I151" s="40"/>
      <c r="J151" s="37">
        <f t="shared" si="125"/>
        <v>0</v>
      </c>
      <c r="K151" s="52"/>
      <c r="L151" s="48" t="str">
        <f t="shared" si="126"/>
        <v>#DIV/0!</v>
      </c>
      <c r="M151" s="50"/>
      <c r="N151" s="49"/>
      <c r="R151" s="80" t="str">
        <f t="shared" si="122"/>
        <v/>
      </c>
    </row>
    <row r="152">
      <c r="A152" s="35"/>
      <c r="B152" s="99" t="s">
        <v>28</v>
      </c>
      <c r="C152" s="37"/>
      <c r="D152" s="37"/>
      <c r="E152" s="12">
        <f t="shared" si="123"/>
        <v>0</v>
      </c>
      <c r="F152" s="47"/>
      <c r="G152" s="14" t="str">
        <f t="shared" si="124"/>
        <v>#DIV/0!</v>
      </c>
      <c r="H152" s="37"/>
      <c r="I152" s="40"/>
      <c r="J152" s="37">
        <f t="shared" si="125"/>
        <v>0</v>
      </c>
      <c r="K152" s="52"/>
      <c r="L152" s="48" t="str">
        <f t="shared" si="126"/>
        <v>#DIV/0!</v>
      </c>
      <c r="M152" s="50"/>
      <c r="N152" s="49">
        <f t="shared" ref="N152:N154" si="127">M152*K152</f>
        <v>0</v>
      </c>
      <c r="R152" s="80" t="str">
        <f t="shared" si="122"/>
        <v/>
      </c>
    </row>
    <row r="153">
      <c r="A153" s="35"/>
      <c r="B153" s="99" t="s">
        <v>28</v>
      </c>
      <c r="C153" s="37"/>
      <c r="D153" s="37"/>
      <c r="E153" s="12">
        <f t="shared" si="123"/>
        <v>0</v>
      </c>
      <c r="F153" s="47"/>
      <c r="G153" s="14" t="str">
        <f t="shared" si="124"/>
        <v>#DIV/0!</v>
      </c>
      <c r="H153" s="37"/>
      <c r="I153" s="40"/>
      <c r="J153" s="37">
        <f t="shared" si="125"/>
        <v>0</v>
      </c>
      <c r="K153" s="52"/>
      <c r="L153" s="48" t="str">
        <f t="shared" si="126"/>
        <v>#DIV/0!</v>
      </c>
      <c r="M153" s="50"/>
      <c r="N153" s="49">
        <f t="shared" si="127"/>
        <v>0</v>
      </c>
      <c r="R153" s="80" t="str">
        <f t="shared" si="122"/>
        <v/>
      </c>
    </row>
    <row r="154">
      <c r="A154" s="35"/>
      <c r="B154" s="99" t="s">
        <v>28</v>
      </c>
      <c r="C154" s="37"/>
      <c r="D154" s="133"/>
      <c r="E154" s="12">
        <f t="shared" si="123"/>
        <v>0</v>
      </c>
      <c r="F154" s="47"/>
      <c r="G154" s="14" t="str">
        <f t="shared" si="124"/>
        <v>#DIV/0!</v>
      </c>
      <c r="H154" s="37"/>
      <c r="I154" s="93"/>
      <c r="J154" s="37">
        <f t="shared" si="125"/>
        <v>0</v>
      </c>
      <c r="K154" s="52"/>
      <c r="L154" s="48" t="str">
        <f t="shared" si="126"/>
        <v>#DIV/0!</v>
      </c>
      <c r="M154" s="50"/>
      <c r="N154" s="49">
        <f t="shared" si="127"/>
        <v>0</v>
      </c>
      <c r="R154" s="80" t="str">
        <f t="shared" si="122"/>
        <v/>
      </c>
    </row>
    <row r="155">
      <c r="A155" s="35"/>
      <c r="B155" s="99" t="s">
        <v>28</v>
      </c>
      <c r="C155" s="37"/>
      <c r="D155" s="133"/>
      <c r="E155" s="12">
        <f t="shared" si="123"/>
        <v>0</v>
      </c>
      <c r="F155" s="47"/>
      <c r="G155" s="14" t="str">
        <f t="shared" si="124"/>
        <v>#DIV/0!</v>
      </c>
      <c r="H155" s="37"/>
      <c r="I155" s="93"/>
      <c r="J155" s="37">
        <f t="shared" si="125"/>
        <v>0</v>
      </c>
      <c r="K155" s="52" t="str">
        <f t="shared" ref="K155:K156" si="128">F155</f>
        <v/>
      </c>
      <c r="L155" s="48" t="str">
        <f t="shared" si="126"/>
        <v>#DIV/0!</v>
      </c>
      <c r="M155" s="50"/>
      <c r="N155" s="49">
        <f>F155*M155</f>
        <v>0</v>
      </c>
      <c r="R155" s="80" t="str">
        <f t="shared" si="122"/>
        <v/>
      </c>
    </row>
    <row r="156">
      <c r="A156" s="146"/>
      <c r="B156" s="99" t="s">
        <v>28</v>
      </c>
      <c r="C156" s="55"/>
      <c r="D156" s="95"/>
      <c r="E156" s="25">
        <f t="shared" si="123"/>
        <v>0</v>
      </c>
      <c r="F156" s="47"/>
      <c r="G156" s="56" t="str">
        <f t="shared" si="124"/>
        <v>#DIV/0!</v>
      </c>
      <c r="H156" s="55"/>
      <c r="I156" s="85"/>
      <c r="J156" s="55">
        <f t="shared" si="125"/>
        <v>0</v>
      </c>
      <c r="K156" s="52" t="str">
        <f t="shared" si="128"/>
        <v/>
      </c>
      <c r="L156" s="77" t="str">
        <f t="shared" si="126"/>
        <v>#DIV/0!</v>
      </c>
      <c r="M156" s="58"/>
      <c r="N156" s="49">
        <f>M156*K156</f>
        <v>0</v>
      </c>
      <c r="R156" s="80" t="str">
        <f t="shared" si="122"/>
        <v/>
      </c>
    </row>
    <row r="157">
      <c r="A157" s="62"/>
      <c r="B157" s="63"/>
      <c r="C157" s="62"/>
      <c r="D157" s="64" t="s">
        <v>19</v>
      </c>
      <c r="E157" s="64">
        <f t="shared" ref="E157:F157" si="129">sum(E149:E156)</f>
        <v>0</v>
      </c>
      <c r="F157" s="64">
        <f t="shared" si="129"/>
        <v>0</v>
      </c>
      <c r="G157" s="65" t="str">
        <f>average(G149:G156)</f>
        <v>#DIV/0!</v>
      </c>
      <c r="H157" s="62"/>
      <c r="I157" s="66"/>
      <c r="J157" s="64">
        <f t="shared" ref="J157:K157" si="130">sum(J149:J156)</f>
        <v>0</v>
      </c>
      <c r="K157" s="64">
        <f t="shared" si="130"/>
        <v>0</v>
      </c>
      <c r="L157" s="65" t="str">
        <f>average(L149:L156)</f>
        <v>#DIV/0!</v>
      </c>
      <c r="M157" s="68"/>
      <c r="N157" s="147">
        <f>sum(N149:N156)</f>
        <v>4860000</v>
      </c>
      <c r="R157" s="80" t="str">
        <f t="shared" si="122"/>
        <v/>
      </c>
    </row>
    <row r="158">
      <c r="A158" s="91">
        <v>46113.0</v>
      </c>
      <c r="B158" s="99" t="s">
        <v>43</v>
      </c>
      <c r="C158" s="89"/>
      <c r="D158" s="13"/>
      <c r="E158" s="38">
        <f t="shared" ref="E158:E165" si="131">D158-C158</f>
        <v>0</v>
      </c>
      <c r="F158" s="39"/>
      <c r="G158" s="14" t="str">
        <f t="shared" ref="G158:G165" si="132">(F158/E158)*100</f>
        <v>#DIV/0!</v>
      </c>
      <c r="H158" s="137"/>
      <c r="I158" s="138"/>
      <c r="J158" s="41">
        <f t="shared" ref="J158:J165" si="133">I158-H158</f>
        <v>0</v>
      </c>
      <c r="K158" s="52" t="str">
        <f t="shared" ref="K158:K160" si="134">F158</f>
        <v/>
      </c>
      <c r="L158" s="71" t="str">
        <f t="shared" ref="L158:L165" si="135">(K158/J158)*100</f>
        <v>#DIV/0!</v>
      </c>
      <c r="M158" s="72"/>
      <c r="N158" s="49">
        <v>2126000.0</v>
      </c>
      <c r="R158" s="80" t="str">
        <f t="shared" si="122"/>
        <v/>
      </c>
    </row>
    <row r="159">
      <c r="A159" s="35"/>
      <c r="B159" s="46" t="s">
        <v>43</v>
      </c>
      <c r="C159" s="37"/>
      <c r="D159" s="13"/>
      <c r="E159" s="12">
        <f t="shared" si="131"/>
        <v>0</v>
      </c>
      <c r="F159" s="47"/>
      <c r="G159" s="14" t="str">
        <f t="shared" si="132"/>
        <v>#DIV/0!</v>
      </c>
      <c r="H159" s="40"/>
      <c r="I159" s="40"/>
      <c r="J159" s="37">
        <f t="shared" si="133"/>
        <v>0</v>
      </c>
      <c r="K159" s="52" t="str">
        <f t="shared" si="134"/>
        <v/>
      </c>
      <c r="L159" s="48" t="str">
        <f t="shared" si="135"/>
        <v>#DIV/0!</v>
      </c>
      <c r="M159" s="50"/>
      <c r="N159" s="49"/>
      <c r="R159" s="80" t="str">
        <f t="shared" si="122"/>
        <v/>
      </c>
    </row>
    <row r="160">
      <c r="A160" s="35"/>
      <c r="B160" s="46" t="s">
        <v>43</v>
      </c>
      <c r="C160" s="37"/>
      <c r="D160" s="37"/>
      <c r="E160" s="12">
        <f t="shared" si="131"/>
        <v>0</v>
      </c>
      <c r="F160" s="47"/>
      <c r="G160" s="14" t="str">
        <f t="shared" si="132"/>
        <v>#DIV/0!</v>
      </c>
      <c r="H160" s="37"/>
      <c r="I160" s="40"/>
      <c r="J160" s="37">
        <f t="shared" si="133"/>
        <v>0</v>
      </c>
      <c r="K160" s="52" t="str">
        <f t="shared" si="134"/>
        <v/>
      </c>
      <c r="L160" s="48" t="str">
        <f t="shared" si="135"/>
        <v>#DIV/0!</v>
      </c>
      <c r="M160" s="50"/>
      <c r="N160" s="49"/>
      <c r="R160" s="80" t="str">
        <f t="shared" si="122"/>
        <v/>
      </c>
    </row>
    <row r="161">
      <c r="A161" s="35"/>
      <c r="B161" s="46" t="s">
        <v>43</v>
      </c>
      <c r="C161" s="37"/>
      <c r="D161" s="37"/>
      <c r="E161" s="12">
        <f t="shared" si="131"/>
        <v>0</v>
      </c>
      <c r="F161" s="47"/>
      <c r="G161" s="14" t="str">
        <f t="shared" si="132"/>
        <v>#DIV/0!</v>
      </c>
      <c r="H161" s="37"/>
      <c r="I161" s="40"/>
      <c r="J161" s="37">
        <f t="shared" si="133"/>
        <v>0</v>
      </c>
      <c r="K161" s="52"/>
      <c r="L161" s="48" t="str">
        <f t="shared" si="135"/>
        <v>#DIV/0!</v>
      </c>
      <c r="M161" s="50"/>
      <c r="N161" s="49"/>
      <c r="R161" s="80" t="str">
        <f t="shared" si="122"/>
        <v/>
      </c>
    </row>
    <row r="162">
      <c r="A162" s="35"/>
      <c r="B162" s="46" t="s">
        <v>43</v>
      </c>
      <c r="C162" s="37"/>
      <c r="D162" s="37"/>
      <c r="E162" s="12">
        <f t="shared" si="131"/>
        <v>0</v>
      </c>
      <c r="F162" s="47"/>
      <c r="G162" s="14" t="str">
        <f t="shared" si="132"/>
        <v>#DIV/0!</v>
      </c>
      <c r="H162" s="37"/>
      <c r="I162" s="40"/>
      <c r="J162" s="37">
        <f t="shared" si="133"/>
        <v>0</v>
      </c>
      <c r="K162" s="52"/>
      <c r="L162" s="48" t="str">
        <f t="shared" si="135"/>
        <v>#DIV/0!</v>
      </c>
      <c r="M162" s="50"/>
      <c r="N162" s="49"/>
      <c r="R162" s="80" t="str">
        <f t="shared" si="122"/>
        <v/>
      </c>
    </row>
    <row r="163">
      <c r="A163" s="35"/>
      <c r="B163" s="46" t="s">
        <v>43</v>
      </c>
      <c r="C163" s="37"/>
      <c r="D163" s="133"/>
      <c r="E163" s="12">
        <f t="shared" si="131"/>
        <v>0</v>
      </c>
      <c r="F163" s="47"/>
      <c r="G163" s="14" t="str">
        <f t="shared" si="132"/>
        <v>#DIV/0!</v>
      </c>
      <c r="H163" s="37"/>
      <c r="I163" s="93"/>
      <c r="J163" s="37">
        <f t="shared" si="133"/>
        <v>0</v>
      </c>
      <c r="K163" s="52" t="str">
        <f t="shared" ref="K163:K165" si="136">F163</f>
        <v/>
      </c>
      <c r="L163" s="48" t="str">
        <f t="shared" si="135"/>
        <v>#DIV/0!</v>
      </c>
      <c r="M163" s="50"/>
      <c r="N163" s="49">
        <f t="shared" ref="N163:N164" si="137">F163*M163</f>
        <v>0</v>
      </c>
      <c r="R163" s="80" t="str">
        <f t="shared" si="122"/>
        <v/>
      </c>
    </row>
    <row r="164">
      <c r="A164" s="35"/>
      <c r="B164" s="46" t="s">
        <v>43</v>
      </c>
      <c r="C164" s="37"/>
      <c r="D164" s="133"/>
      <c r="E164" s="12">
        <f t="shared" si="131"/>
        <v>0</v>
      </c>
      <c r="F164" s="47"/>
      <c r="G164" s="14" t="str">
        <f t="shared" si="132"/>
        <v>#DIV/0!</v>
      </c>
      <c r="H164" s="37"/>
      <c r="I164" s="93"/>
      <c r="J164" s="37">
        <f t="shared" si="133"/>
        <v>0</v>
      </c>
      <c r="K164" s="52" t="str">
        <f t="shared" si="136"/>
        <v/>
      </c>
      <c r="L164" s="48" t="str">
        <f t="shared" si="135"/>
        <v>#DIV/0!</v>
      </c>
      <c r="M164" s="50"/>
      <c r="N164" s="49">
        <f t="shared" si="137"/>
        <v>0</v>
      </c>
      <c r="R164" s="80" t="str">
        <f t="shared" si="122"/>
        <v/>
      </c>
    </row>
    <row r="165">
      <c r="A165" s="146"/>
      <c r="B165" s="46" t="s">
        <v>43</v>
      </c>
      <c r="C165" s="55"/>
      <c r="D165" s="95"/>
      <c r="E165" s="25">
        <f t="shared" si="131"/>
        <v>0</v>
      </c>
      <c r="F165" s="47"/>
      <c r="G165" s="56" t="str">
        <f t="shared" si="132"/>
        <v>#DIV/0!</v>
      </c>
      <c r="H165" s="55"/>
      <c r="I165" s="85"/>
      <c r="J165" s="55">
        <f t="shared" si="133"/>
        <v>0</v>
      </c>
      <c r="K165" s="52" t="str">
        <f t="shared" si="136"/>
        <v/>
      </c>
      <c r="L165" s="77" t="str">
        <f t="shared" si="135"/>
        <v>#DIV/0!</v>
      </c>
      <c r="M165" s="50"/>
      <c r="N165" s="49">
        <f>M165*K165</f>
        <v>0</v>
      </c>
      <c r="R165" s="80" t="str">
        <f t="shared" si="122"/>
        <v/>
      </c>
    </row>
    <row r="166">
      <c r="A166" s="62"/>
      <c r="B166" s="63"/>
      <c r="C166" s="62"/>
      <c r="D166" s="64" t="s">
        <v>19</v>
      </c>
      <c r="E166" s="64">
        <f>sum(E158:E165)</f>
        <v>0</v>
      </c>
      <c r="F166" s="39"/>
      <c r="G166" s="65" t="str">
        <f>average(G158:G165)</f>
        <v>#DIV/0!</v>
      </c>
      <c r="H166" s="62"/>
      <c r="I166" s="66"/>
      <c r="J166" s="64">
        <f t="shared" ref="J166:K166" si="138">sum(J158:J165)</f>
        <v>0</v>
      </c>
      <c r="K166" s="64">
        <f t="shared" si="138"/>
        <v>0</v>
      </c>
      <c r="L166" s="65" t="str">
        <f>average(L158:L165)</f>
        <v>#DIV/0!</v>
      </c>
      <c r="M166" s="72"/>
      <c r="N166" s="147">
        <f>sum(N158:N165)</f>
        <v>2126000</v>
      </c>
      <c r="R166" s="80" t="str">
        <f t="shared" si="122"/>
        <v/>
      </c>
    </row>
    <row r="167">
      <c r="A167" s="70">
        <v>46113.0</v>
      </c>
      <c r="B167" s="99" t="s">
        <v>30</v>
      </c>
      <c r="C167" s="89"/>
      <c r="D167" s="13"/>
      <c r="E167" s="38">
        <f t="shared" ref="E167:E174" si="139">D167-C167</f>
        <v>0</v>
      </c>
      <c r="F167" s="39"/>
      <c r="G167" s="14" t="str">
        <f t="shared" ref="G167:G174" si="140">(F167/E167)*100</f>
        <v>#DIV/0!</v>
      </c>
      <c r="H167" s="137"/>
      <c r="I167" s="138"/>
      <c r="J167" s="41">
        <f t="shared" ref="J167:J174" si="141">I167-H167</f>
        <v>0</v>
      </c>
      <c r="K167" s="52" t="str">
        <f t="shared" ref="K167:K174" si="142">F167</f>
        <v/>
      </c>
      <c r="L167" s="71" t="str">
        <f t="shared" ref="L167:L174" si="143">(K167/J167)*100</f>
        <v>#DIV/0!</v>
      </c>
      <c r="M167" s="72"/>
      <c r="N167" s="49">
        <v>2587000.0</v>
      </c>
      <c r="R167" s="80" t="str">
        <f t="shared" si="122"/>
        <v/>
      </c>
    </row>
    <row r="168">
      <c r="A168" s="70">
        <v>46123.0</v>
      </c>
      <c r="B168" s="46" t="s">
        <v>30</v>
      </c>
      <c r="C168" s="37"/>
      <c r="D168" s="13"/>
      <c r="E168" s="12">
        <f t="shared" si="139"/>
        <v>0</v>
      </c>
      <c r="F168" s="47"/>
      <c r="G168" s="14" t="str">
        <f t="shared" si="140"/>
        <v>#DIV/0!</v>
      </c>
      <c r="H168" s="40"/>
      <c r="I168" s="40"/>
      <c r="J168" s="37">
        <f t="shared" si="141"/>
        <v>0</v>
      </c>
      <c r="K168" s="52" t="str">
        <f t="shared" si="142"/>
        <v/>
      </c>
      <c r="L168" s="48" t="str">
        <f t="shared" si="143"/>
        <v>#DIV/0!</v>
      </c>
      <c r="M168" s="50"/>
      <c r="N168" s="49">
        <v>2439000.0</v>
      </c>
      <c r="R168" s="80" t="str">
        <f t="shared" si="122"/>
        <v/>
      </c>
    </row>
    <row r="169">
      <c r="A169" s="35">
        <v>46129.0</v>
      </c>
      <c r="B169" s="46" t="s">
        <v>30</v>
      </c>
      <c r="C169" s="37"/>
      <c r="D169" s="37"/>
      <c r="E169" s="12">
        <f t="shared" si="139"/>
        <v>0</v>
      </c>
      <c r="F169" s="47"/>
      <c r="G169" s="14" t="str">
        <f t="shared" si="140"/>
        <v>#DIV/0!</v>
      </c>
      <c r="H169" s="37"/>
      <c r="I169" s="40"/>
      <c r="J169" s="37">
        <f t="shared" si="141"/>
        <v>0</v>
      </c>
      <c r="K169" s="52" t="str">
        <f t="shared" si="142"/>
        <v/>
      </c>
      <c r="L169" s="48" t="str">
        <f t="shared" si="143"/>
        <v>#DIV/0!</v>
      </c>
      <c r="M169" s="50"/>
      <c r="N169" s="49">
        <v>2421000.0</v>
      </c>
      <c r="R169" s="80" t="str">
        <f t="shared" si="122"/>
        <v/>
      </c>
    </row>
    <row r="170">
      <c r="A170" s="35">
        <v>46136.0</v>
      </c>
      <c r="B170" s="46" t="s">
        <v>30</v>
      </c>
      <c r="C170" s="37"/>
      <c r="D170" s="37"/>
      <c r="E170" s="12">
        <f t="shared" si="139"/>
        <v>0</v>
      </c>
      <c r="F170" s="47"/>
      <c r="G170" s="14" t="str">
        <f t="shared" si="140"/>
        <v>#DIV/0!</v>
      </c>
      <c r="H170" s="37"/>
      <c r="I170" s="40"/>
      <c r="J170" s="37">
        <f t="shared" si="141"/>
        <v>0</v>
      </c>
      <c r="K170" s="52" t="str">
        <f t="shared" si="142"/>
        <v/>
      </c>
      <c r="L170" s="48" t="str">
        <f t="shared" si="143"/>
        <v>#DIV/0!</v>
      </c>
      <c r="M170" s="50"/>
      <c r="N170" s="49">
        <v>2109000.0</v>
      </c>
      <c r="R170" s="80" t="str">
        <f t="shared" si="122"/>
        <v/>
      </c>
    </row>
    <row r="171">
      <c r="A171" s="35">
        <v>46140.0</v>
      </c>
      <c r="B171" s="46" t="s">
        <v>30</v>
      </c>
      <c r="C171" s="37"/>
      <c r="D171" s="37"/>
      <c r="E171" s="12">
        <f t="shared" si="139"/>
        <v>0</v>
      </c>
      <c r="F171" s="47"/>
      <c r="G171" s="14" t="str">
        <f t="shared" si="140"/>
        <v>#DIV/0!</v>
      </c>
      <c r="H171" s="37"/>
      <c r="I171" s="40"/>
      <c r="J171" s="37">
        <f t="shared" si="141"/>
        <v>0</v>
      </c>
      <c r="K171" s="52" t="str">
        <f t="shared" si="142"/>
        <v/>
      </c>
      <c r="L171" s="48" t="str">
        <f t="shared" si="143"/>
        <v>#DIV/0!</v>
      </c>
      <c r="M171" s="50"/>
      <c r="N171" s="49">
        <v>2082000.0</v>
      </c>
      <c r="R171" s="80" t="str">
        <f t="shared" si="122"/>
        <v/>
      </c>
    </row>
    <row r="172">
      <c r="A172" s="35"/>
      <c r="B172" s="46" t="s">
        <v>30</v>
      </c>
      <c r="C172" s="37"/>
      <c r="D172" s="133"/>
      <c r="E172" s="12">
        <f t="shared" si="139"/>
        <v>0</v>
      </c>
      <c r="F172" s="47"/>
      <c r="G172" s="14" t="str">
        <f t="shared" si="140"/>
        <v>#DIV/0!</v>
      </c>
      <c r="H172" s="37"/>
      <c r="I172" s="93"/>
      <c r="J172" s="37">
        <f t="shared" si="141"/>
        <v>0</v>
      </c>
      <c r="K172" s="52" t="str">
        <f t="shared" si="142"/>
        <v/>
      </c>
      <c r="L172" s="48" t="str">
        <f t="shared" si="143"/>
        <v>#DIV/0!</v>
      </c>
      <c r="M172" s="50"/>
      <c r="N172" s="49">
        <f t="shared" ref="N172:N173" si="144">F172*M172</f>
        <v>0</v>
      </c>
      <c r="R172" s="80" t="str">
        <f t="shared" si="122"/>
        <v/>
      </c>
    </row>
    <row r="173">
      <c r="A173" s="35"/>
      <c r="B173" s="46" t="s">
        <v>30</v>
      </c>
      <c r="C173" s="37"/>
      <c r="D173" s="133"/>
      <c r="E173" s="12">
        <f t="shared" si="139"/>
        <v>0</v>
      </c>
      <c r="F173" s="47"/>
      <c r="G173" s="14" t="str">
        <f t="shared" si="140"/>
        <v>#DIV/0!</v>
      </c>
      <c r="H173" s="37"/>
      <c r="I173" s="93"/>
      <c r="J173" s="37">
        <f t="shared" si="141"/>
        <v>0</v>
      </c>
      <c r="K173" s="52" t="str">
        <f t="shared" si="142"/>
        <v/>
      </c>
      <c r="L173" s="77" t="str">
        <f t="shared" si="143"/>
        <v>#DIV/0!</v>
      </c>
      <c r="M173" s="50"/>
      <c r="N173" s="49">
        <f t="shared" si="144"/>
        <v>0</v>
      </c>
      <c r="R173" s="80" t="str">
        <f t="shared" si="122"/>
        <v/>
      </c>
    </row>
    <row r="174">
      <c r="A174" s="148"/>
      <c r="B174" s="46" t="s">
        <v>30</v>
      </c>
      <c r="C174" s="149"/>
      <c r="D174" s="150"/>
      <c r="E174" s="25">
        <f t="shared" si="139"/>
        <v>0</v>
      </c>
      <c r="F174" s="39"/>
      <c r="G174" s="56" t="str">
        <f t="shared" si="140"/>
        <v>#DIV/0!</v>
      </c>
      <c r="H174" s="149"/>
      <c r="I174" s="151"/>
      <c r="J174" s="149">
        <f t="shared" si="141"/>
        <v>0</v>
      </c>
      <c r="K174" s="52" t="str">
        <f t="shared" si="142"/>
        <v/>
      </c>
      <c r="L174" s="152" t="str">
        <f t="shared" si="143"/>
        <v>#DIV/0!</v>
      </c>
      <c r="M174" s="153"/>
      <c r="N174" s="49">
        <f>M174*K174</f>
        <v>0</v>
      </c>
      <c r="R174" s="80" t="str">
        <f t="shared" si="122"/>
        <v/>
      </c>
    </row>
    <row r="175">
      <c r="A175" s="62"/>
      <c r="B175" s="63"/>
      <c r="C175" s="62"/>
      <c r="D175" s="64" t="s">
        <v>19</v>
      </c>
      <c r="E175" s="64">
        <f t="shared" ref="E175:F175" si="145">sum(E167:E174)</f>
        <v>0</v>
      </c>
      <c r="F175" s="64">
        <f t="shared" si="145"/>
        <v>0</v>
      </c>
      <c r="G175" s="65" t="str">
        <f>average(G167:G174)</f>
        <v>#DIV/0!</v>
      </c>
      <c r="H175" s="62"/>
      <c r="I175" s="66"/>
      <c r="J175" s="64">
        <f t="shared" ref="J175:K175" si="146">sum(J167:J174)</f>
        <v>0</v>
      </c>
      <c r="K175" s="64">
        <f t="shared" si="146"/>
        <v>0</v>
      </c>
      <c r="L175" s="65" t="str">
        <f>average(L167:L174)</f>
        <v>#DIV/0!</v>
      </c>
      <c r="M175" s="68"/>
      <c r="N175" s="69">
        <f>sum(N167:N174)</f>
        <v>11638000</v>
      </c>
      <c r="R175" s="80" t="str">
        <f t="shared" si="122"/>
        <v/>
      </c>
    </row>
    <row r="176">
      <c r="A176" s="154">
        <v>46124.0</v>
      </c>
      <c r="B176" s="99" t="s">
        <v>44</v>
      </c>
      <c r="C176" s="89"/>
      <c r="D176" s="13"/>
      <c r="E176" s="12">
        <f t="shared" ref="E176:E183" si="147">D176-C176</f>
        <v>0</v>
      </c>
      <c r="F176" s="39"/>
      <c r="G176" s="14" t="str">
        <f t="shared" ref="G176:G183" si="148">(F176/E176)*100</f>
        <v>#DIV/0!</v>
      </c>
      <c r="H176" s="137"/>
      <c r="I176" s="138"/>
      <c r="J176" s="41">
        <f t="shared" ref="J176:J183" si="149">I176-H176</f>
        <v>0</v>
      </c>
      <c r="K176" s="52" t="str">
        <f t="shared" ref="K176:K183" si="150">F176</f>
        <v/>
      </c>
      <c r="L176" s="71" t="str">
        <f t="shared" ref="L176:L183" si="151">(K176/J176)*100</f>
        <v>#DIV/0!</v>
      </c>
      <c r="M176" s="72"/>
      <c r="N176" s="131">
        <v>1978000.0</v>
      </c>
    </row>
    <row r="177">
      <c r="A177" s="35">
        <v>46129.0</v>
      </c>
      <c r="B177" s="99" t="s">
        <v>44</v>
      </c>
      <c r="C177" s="37"/>
      <c r="D177" s="13"/>
      <c r="E177" s="12">
        <f t="shared" si="147"/>
        <v>0</v>
      </c>
      <c r="F177" s="47"/>
      <c r="G177" s="14" t="str">
        <f t="shared" si="148"/>
        <v>#DIV/0!</v>
      </c>
      <c r="H177" s="40"/>
      <c r="I177" s="40"/>
      <c r="J177" s="37">
        <f t="shared" si="149"/>
        <v>0</v>
      </c>
      <c r="K177" s="52" t="str">
        <f t="shared" si="150"/>
        <v/>
      </c>
      <c r="L177" s="48" t="str">
        <f t="shared" si="151"/>
        <v>#DIV/0!</v>
      </c>
      <c r="M177" s="72"/>
      <c r="N177" s="131">
        <v>2483000.0</v>
      </c>
    </row>
    <row r="178">
      <c r="A178" s="35">
        <v>46138.0</v>
      </c>
      <c r="B178" s="99" t="s">
        <v>44</v>
      </c>
      <c r="C178" s="37"/>
      <c r="D178" s="37"/>
      <c r="E178" s="12">
        <f t="shared" si="147"/>
        <v>0</v>
      </c>
      <c r="F178" s="47"/>
      <c r="G178" s="14" t="str">
        <f t="shared" si="148"/>
        <v>#DIV/0!</v>
      </c>
      <c r="H178" s="37"/>
      <c r="I178" s="40"/>
      <c r="J178" s="37">
        <f t="shared" si="149"/>
        <v>0</v>
      </c>
      <c r="K178" s="52" t="str">
        <f t="shared" si="150"/>
        <v/>
      </c>
      <c r="L178" s="48" t="str">
        <f t="shared" si="151"/>
        <v>#DIV/0!</v>
      </c>
      <c r="M178" s="72"/>
      <c r="N178" s="131">
        <v>1601000.0</v>
      </c>
    </row>
    <row r="179">
      <c r="A179" s="35">
        <v>46140.0</v>
      </c>
      <c r="B179" s="99" t="s">
        <v>44</v>
      </c>
      <c r="C179" s="37"/>
      <c r="D179" s="37"/>
      <c r="E179" s="12">
        <f t="shared" si="147"/>
        <v>0</v>
      </c>
      <c r="F179" s="47"/>
      <c r="G179" s="14" t="str">
        <f t="shared" si="148"/>
        <v>#DIV/0!</v>
      </c>
      <c r="H179" s="37"/>
      <c r="I179" s="40"/>
      <c r="J179" s="37">
        <f t="shared" si="149"/>
        <v>0</v>
      </c>
      <c r="K179" s="52" t="str">
        <f t="shared" si="150"/>
        <v/>
      </c>
      <c r="L179" s="48" t="str">
        <f t="shared" si="151"/>
        <v>#DIV/0!</v>
      </c>
      <c r="M179" s="72"/>
      <c r="N179" s="131">
        <v>2135000.0</v>
      </c>
    </row>
    <row r="180">
      <c r="A180" s="35"/>
      <c r="B180" s="99" t="s">
        <v>44</v>
      </c>
      <c r="C180" s="37"/>
      <c r="D180" s="37"/>
      <c r="E180" s="12">
        <f t="shared" si="147"/>
        <v>0</v>
      </c>
      <c r="F180" s="47"/>
      <c r="G180" s="14" t="str">
        <f t="shared" si="148"/>
        <v>#DIV/0!</v>
      </c>
      <c r="H180" s="37"/>
      <c r="I180" s="40"/>
      <c r="J180" s="37">
        <f t="shared" si="149"/>
        <v>0</v>
      </c>
      <c r="K180" s="52" t="str">
        <f t="shared" si="150"/>
        <v/>
      </c>
      <c r="L180" s="48" t="str">
        <f t="shared" si="151"/>
        <v>#DIV/0!</v>
      </c>
      <c r="M180" s="72"/>
      <c r="N180" s="131"/>
    </row>
    <row r="181">
      <c r="A181" s="35"/>
      <c r="B181" s="99" t="s">
        <v>44</v>
      </c>
      <c r="C181" s="37"/>
      <c r="D181" s="133"/>
      <c r="E181" s="12">
        <f t="shared" si="147"/>
        <v>0</v>
      </c>
      <c r="F181" s="47"/>
      <c r="G181" s="14" t="str">
        <f t="shared" si="148"/>
        <v>#DIV/0!</v>
      </c>
      <c r="H181" s="37"/>
      <c r="I181" s="93"/>
      <c r="J181" s="37">
        <f t="shared" si="149"/>
        <v>0</v>
      </c>
      <c r="K181" s="52" t="str">
        <f t="shared" si="150"/>
        <v/>
      </c>
      <c r="L181" s="48" t="str">
        <f t="shared" si="151"/>
        <v>#DIV/0!</v>
      </c>
      <c r="M181" s="72"/>
      <c r="N181" s="131">
        <f t="shared" ref="N181:N183" si="152">M181*K181</f>
        <v>0</v>
      </c>
    </row>
    <row r="182">
      <c r="A182" s="35"/>
      <c r="B182" s="99" t="s">
        <v>44</v>
      </c>
      <c r="C182" s="37"/>
      <c r="D182" s="133"/>
      <c r="E182" s="12">
        <f t="shared" si="147"/>
        <v>0</v>
      </c>
      <c r="F182" s="47"/>
      <c r="G182" s="14" t="str">
        <f t="shared" si="148"/>
        <v>#DIV/0!</v>
      </c>
      <c r="H182" s="37"/>
      <c r="I182" s="93"/>
      <c r="J182" s="37">
        <f t="shared" si="149"/>
        <v>0</v>
      </c>
      <c r="K182" s="52" t="str">
        <f t="shared" si="150"/>
        <v/>
      </c>
      <c r="L182" s="48" t="str">
        <f t="shared" si="151"/>
        <v>#DIV/0!</v>
      </c>
      <c r="M182" s="50"/>
      <c r="N182" s="131">
        <f t="shared" si="152"/>
        <v>0</v>
      </c>
    </row>
    <row r="183">
      <c r="A183" s="146"/>
      <c r="B183" s="99" t="s">
        <v>44</v>
      </c>
      <c r="C183" s="55"/>
      <c r="D183" s="95"/>
      <c r="E183" s="25">
        <f t="shared" si="147"/>
        <v>0</v>
      </c>
      <c r="F183" s="47"/>
      <c r="G183" s="56" t="str">
        <f t="shared" si="148"/>
        <v>#DIV/0!</v>
      </c>
      <c r="H183" s="55"/>
      <c r="I183" s="85"/>
      <c r="J183" s="55">
        <f t="shared" si="149"/>
        <v>0</v>
      </c>
      <c r="K183" s="52" t="str">
        <f t="shared" si="150"/>
        <v/>
      </c>
      <c r="L183" s="77" t="str">
        <f t="shared" si="151"/>
        <v>#DIV/0!</v>
      </c>
      <c r="M183" s="58"/>
      <c r="N183" s="49">
        <f t="shared" si="152"/>
        <v>0</v>
      </c>
    </row>
    <row r="184">
      <c r="A184" s="62"/>
      <c r="B184" s="63"/>
      <c r="C184" s="62"/>
      <c r="D184" s="64" t="s">
        <v>19</v>
      </c>
      <c r="E184" s="64">
        <f t="shared" ref="E184:F184" si="153">sum(E176:E183)</f>
        <v>0</v>
      </c>
      <c r="F184" s="64">
        <f t="shared" si="153"/>
        <v>0</v>
      </c>
      <c r="G184" s="65" t="str">
        <f>average(G176:G183)</f>
        <v>#DIV/0!</v>
      </c>
      <c r="H184" s="62"/>
      <c r="I184" s="66"/>
      <c r="J184" s="64">
        <f t="shared" ref="J184:K184" si="154">sum(J176:J183)</f>
        <v>0</v>
      </c>
      <c r="K184" s="64">
        <f t="shared" si="154"/>
        <v>0</v>
      </c>
      <c r="L184" s="65" t="str">
        <f>average(L176:L183)</f>
        <v>#DIV/0!</v>
      </c>
      <c r="M184" s="68"/>
      <c r="N184" s="69">
        <f>sum(N176:N183)</f>
        <v>8197000</v>
      </c>
    </row>
    <row r="185">
      <c r="A185" s="155">
        <v>46114.0</v>
      </c>
      <c r="B185" s="156" t="s">
        <v>32</v>
      </c>
      <c r="C185" s="89"/>
      <c r="D185" s="13"/>
      <c r="E185" s="38">
        <f t="shared" ref="E185:E192" si="155">D185-C185</f>
        <v>0</v>
      </c>
      <c r="F185" s="39"/>
      <c r="G185" s="14" t="str">
        <f t="shared" ref="G185:G192" si="156">(F185/E185)*100</f>
        <v>#DIV/0!</v>
      </c>
      <c r="H185" s="137"/>
      <c r="I185" s="138"/>
      <c r="J185" s="41">
        <f t="shared" ref="J185:J192" si="157">I185-H185</f>
        <v>0</v>
      </c>
      <c r="K185" s="52" t="str">
        <f t="shared" ref="K185:K189" si="158">F185</f>
        <v/>
      </c>
      <c r="L185" s="152" t="str">
        <f t="shared" ref="L185:L192" si="159">(K185/J185)*100</f>
        <v>#DIV/0!</v>
      </c>
      <c r="M185" s="72"/>
      <c r="N185" s="131">
        <v>2942000.0</v>
      </c>
    </row>
    <row r="186">
      <c r="A186" s="154">
        <v>46122.0</v>
      </c>
      <c r="B186" s="156" t="s">
        <v>32</v>
      </c>
      <c r="C186" s="89"/>
      <c r="D186" s="13"/>
      <c r="E186" s="38">
        <f t="shared" si="155"/>
        <v>0</v>
      </c>
      <c r="F186" s="47"/>
      <c r="G186" s="14" t="str">
        <f t="shared" si="156"/>
        <v>#DIV/0!</v>
      </c>
      <c r="H186" s="40"/>
      <c r="I186" s="40"/>
      <c r="J186" s="37">
        <f t="shared" si="157"/>
        <v>0</v>
      </c>
      <c r="K186" s="52" t="str">
        <f t="shared" si="158"/>
        <v/>
      </c>
      <c r="L186" s="152" t="str">
        <f t="shared" si="159"/>
        <v>#DIV/0!</v>
      </c>
      <c r="M186" s="126"/>
      <c r="N186" s="131">
        <v>2637000.0</v>
      </c>
    </row>
    <row r="187">
      <c r="A187" s="154">
        <v>46129.0</v>
      </c>
      <c r="B187" s="156" t="s">
        <v>32</v>
      </c>
      <c r="C187" s="89"/>
      <c r="D187" s="89"/>
      <c r="E187" s="12">
        <f t="shared" si="155"/>
        <v>0</v>
      </c>
      <c r="F187" s="157"/>
      <c r="G187" s="14" t="str">
        <f t="shared" si="156"/>
        <v>#DIV/0!</v>
      </c>
      <c r="H187" s="37"/>
      <c r="I187" s="40"/>
      <c r="J187" s="37">
        <f t="shared" si="157"/>
        <v>0</v>
      </c>
      <c r="K187" s="52" t="str">
        <f t="shared" si="158"/>
        <v/>
      </c>
      <c r="L187" s="152" t="str">
        <f t="shared" si="159"/>
        <v>#DIV/0!</v>
      </c>
      <c r="M187" s="126"/>
      <c r="N187" s="131">
        <v>2545000.0</v>
      </c>
    </row>
    <row r="188">
      <c r="A188" s="154">
        <v>46136.0</v>
      </c>
      <c r="B188" s="156" t="s">
        <v>32</v>
      </c>
      <c r="C188" s="89"/>
      <c r="D188" s="89"/>
      <c r="E188" s="12">
        <f t="shared" si="155"/>
        <v>0</v>
      </c>
      <c r="F188" s="157"/>
      <c r="G188" s="14" t="str">
        <f t="shared" si="156"/>
        <v>#DIV/0!</v>
      </c>
      <c r="H188" s="37"/>
      <c r="I188" s="40"/>
      <c r="J188" s="37">
        <f t="shared" si="157"/>
        <v>0</v>
      </c>
      <c r="K188" s="52" t="str">
        <f t="shared" si="158"/>
        <v/>
      </c>
      <c r="L188" s="152" t="str">
        <f t="shared" si="159"/>
        <v>#DIV/0!</v>
      </c>
      <c r="M188" s="126"/>
      <c r="N188" s="131">
        <v>1735000.0</v>
      </c>
    </row>
    <row r="189">
      <c r="A189" s="154">
        <v>46141.0</v>
      </c>
      <c r="B189" s="156" t="s">
        <v>32</v>
      </c>
      <c r="C189" s="89"/>
      <c r="D189" s="89"/>
      <c r="E189" s="12">
        <f t="shared" si="155"/>
        <v>0</v>
      </c>
      <c r="F189" s="157"/>
      <c r="G189" s="14" t="str">
        <f t="shared" si="156"/>
        <v>#DIV/0!</v>
      </c>
      <c r="H189" s="37"/>
      <c r="I189" s="40"/>
      <c r="J189" s="37">
        <f t="shared" si="157"/>
        <v>0</v>
      </c>
      <c r="K189" s="52" t="str">
        <f t="shared" si="158"/>
        <v/>
      </c>
      <c r="L189" s="152" t="str">
        <f t="shared" si="159"/>
        <v>#DIV/0!</v>
      </c>
      <c r="M189" s="126"/>
      <c r="N189" s="131">
        <v>1655000.0</v>
      </c>
    </row>
    <row r="190">
      <c r="A190" s="154"/>
      <c r="B190" s="156" t="s">
        <v>32</v>
      </c>
      <c r="C190" s="89"/>
      <c r="D190" s="158"/>
      <c r="E190" s="12">
        <f t="shared" si="155"/>
        <v>0</v>
      </c>
      <c r="F190" s="157"/>
      <c r="G190" s="14" t="str">
        <f t="shared" si="156"/>
        <v>#DIV/0!</v>
      </c>
      <c r="H190" s="37"/>
      <c r="I190" s="93"/>
      <c r="J190" s="37">
        <f t="shared" si="157"/>
        <v>0</v>
      </c>
      <c r="K190" s="52"/>
      <c r="L190" s="152" t="str">
        <f t="shared" si="159"/>
        <v>#DIV/0!</v>
      </c>
      <c r="M190" s="126"/>
      <c r="N190" s="131">
        <f t="shared" ref="N190:N192" si="160">M190*K190</f>
        <v>0</v>
      </c>
    </row>
    <row r="191">
      <c r="A191" s="154"/>
      <c r="B191" s="156" t="s">
        <v>32</v>
      </c>
      <c r="C191" s="89"/>
      <c r="D191" s="158"/>
      <c r="E191" s="12">
        <f t="shared" si="155"/>
        <v>0</v>
      </c>
      <c r="F191" s="157"/>
      <c r="G191" s="14" t="str">
        <f t="shared" si="156"/>
        <v>#DIV/0!</v>
      </c>
      <c r="H191" s="89"/>
      <c r="I191" s="159"/>
      <c r="J191" s="89">
        <f t="shared" si="157"/>
        <v>0</v>
      </c>
      <c r="K191" s="52"/>
      <c r="L191" s="152" t="str">
        <f t="shared" si="159"/>
        <v>#DIV/0!</v>
      </c>
      <c r="M191" s="126"/>
      <c r="N191" s="131">
        <f t="shared" si="160"/>
        <v>0</v>
      </c>
    </row>
    <row r="192">
      <c r="A192" s="160"/>
      <c r="B192" s="156" t="s">
        <v>32</v>
      </c>
      <c r="C192" s="149"/>
      <c r="D192" s="150"/>
      <c r="E192" s="25">
        <f t="shared" si="155"/>
        <v>0</v>
      </c>
      <c r="F192" s="161"/>
      <c r="G192" s="56" t="str">
        <f t="shared" si="156"/>
        <v>#DIV/0!</v>
      </c>
      <c r="H192" s="149"/>
      <c r="I192" s="151"/>
      <c r="J192" s="149">
        <f t="shared" si="157"/>
        <v>0</v>
      </c>
      <c r="K192" s="52"/>
      <c r="L192" s="152" t="str">
        <f t="shared" si="159"/>
        <v>#DIV/0!</v>
      </c>
      <c r="M192" s="153"/>
      <c r="N192" s="49">
        <f t="shared" si="160"/>
        <v>0</v>
      </c>
    </row>
    <row r="193">
      <c r="A193" s="160"/>
      <c r="B193" s="63"/>
      <c r="C193" s="62"/>
      <c r="D193" s="64" t="s">
        <v>19</v>
      </c>
      <c r="E193" s="64">
        <f t="shared" ref="E193:F193" si="161">sum(E185:E192)</f>
        <v>0</v>
      </c>
      <c r="F193" s="64">
        <f t="shared" si="161"/>
        <v>0</v>
      </c>
      <c r="G193" s="65" t="str">
        <f>average(G185:G192)</f>
        <v>#DIV/0!</v>
      </c>
      <c r="H193" s="62"/>
      <c r="I193" s="66"/>
      <c r="J193" s="64">
        <f t="shared" ref="J193:K193" si="162">sum(J185:J192)</f>
        <v>0</v>
      </c>
      <c r="K193" s="64">
        <f t="shared" si="162"/>
        <v>0</v>
      </c>
      <c r="L193" s="65" t="str">
        <f>average(L185:L192)</f>
        <v>#DIV/0!</v>
      </c>
      <c r="M193" s="68"/>
      <c r="N193" s="69">
        <f>sum(N185:N192)</f>
        <v>11514000</v>
      </c>
    </row>
    <row r="194">
      <c r="A194" s="155">
        <v>46113.0</v>
      </c>
      <c r="B194" s="162" t="s">
        <v>33</v>
      </c>
      <c r="C194" s="89"/>
      <c r="D194" s="163"/>
      <c r="E194" s="38">
        <f t="shared" ref="E194:E200" si="163">D194-C194</f>
        <v>0</v>
      </c>
      <c r="F194" s="39"/>
      <c r="G194" s="124" t="str">
        <f t="shared" ref="G194:G200" si="164">(F194/E194)*100</f>
        <v>#DIV/0!</v>
      </c>
      <c r="H194" s="137"/>
      <c r="I194" s="138"/>
      <c r="J194" s="41">
        <f t="shared" ref="J194:J200" si="165">I194-H194</f>
        <v>0</v>
      </c>
      <c r="K194" s="52" t="str">
        <f t="shared" ref="K194:K200" si="166">F194</f>
        <v/>
      </c>
      <c r="L194" s="164" t="str">
        <f t="shared" ref="L194:L200" si="167">(K194/J194)*100</f>
        <v>#DIV/0!</v>
      </c>
      <c r="M194" s="72"/>
      <c r="N194" s="131">
        <v>3083000.0</v>
      </c>
      <c r="R194" s="80" t="str">
        <f t="shared" ref="R194:R200" si="168">Q194</f>
        <v/>
      </c>
    </row>
    <row r="195">
      <c r="A195" s="154">
        <v>46118.0</v>
      </c>
      <c r="B195" s="156" t="s">
        <v>33</v>
      </c>
      <c r="C195" s="89"/>
      <c r="D195" s="13"/>
      <c r="E195" s="38">
        <f t="shared" si="163"/>
        <v>0</v>
      </c>
      <c r="F195" s="47"/>
      <c r="G195" s="14" t="str">
        <f t="shared" si="164"/>
        <v>#DIV/0!</v>
      </c>
      <c r="H195" s="40"/>
      <c r="I195" s="40"/>
      <c r="J195" s="37">
        <f t="shared" si="165"/>
        <v>0</v>
      </c>
      <c r="K195" s="52" t="str">
        <f t="shared" si="166"/>
        <v/>
      </c>
      <c r="L195" s="152" t="str">
        <f t="shared" si="167"/>
        <v>#DIV/0!</v>
      </c>
      <c r="M195" s="126"/>
      <c r="N195" s="131">
        <v>2239000.0</v>
      </c>
      <c r="R195" s="80" t="str">
        <f t="shared" si="168"/>
        <v/>
      </c>
    </row>
    <row r="196">
      <c r="A196" s="154">
        <v>46123.0</v>
      </c>
      <c r="B196" s="156" t="s">
        <v>33</v>
      </c>
      <c r="C196" s="89"/>
      <c r="D196" s="89"/>
      <c r="E196" s="12">
        <f t="shared" si="163"/>
        <v>0</v>
      </c>
      <c r="F196" s="157"/>
      <c r="G196" s="14" t="str">
        <f t="shared" si="164"/>
        <v>#DIV/0!</v>
      </c>
      <c r="H196" s="37"/>
      <c r="I196" s="40"/>
      <c r="J196" s="37">
        <f t="shared" si="165"/>
        <v>0</v>
      </c>
      <c r="K196" s="52" t="str">
        <f t="shared" si="166"/>
        <v/>
      </c>
      <c r="L196" s="152" t="str">
        <f t="shared" si="167"/>
        <v>#DIV/0!</v>
      </c>
      <c r="M196" s="126"/>
      <c r="N196" s="131">
        <v>1648000.0</v>
      </c>
      <c r="R196" s="80" t="str">
        <f t="shared" si="168"/>
        <v/>
      </c>
    </row>
    <row r="197">
      <c r="A197" s="154"/>
      <c r="B197" s="156" t="s">
        <v>33</v>
      </c>
      <c r="C197" s="89"/>
      <c r="D197" s="89"/>
      <c r="E197" s="12">
        <f t="shared" si="163"/>
        <v>0</v>
      </c>
      <c r="F197" s="157"/>
      <c r="G197" s="14" t="str">
        <f t="shared" si="164"/>
        <v>#DIV/0!</v>
      </c>
      <c r="H197" s="37"/>
      <c r="I197" s="40"/>
      <c r="J197" s="37">
        <f t="shared" si="165"/>
        <v>0</v>
      </c>
      <c r="K197" s="52" t="str">
        <f t="shared" si="166"/>
        <v/>
      </c>
      <c r="L197" s="152" t="str">
        <f t="shared" si="167"/>
        <v>#DIV/0!</v>
      </c>
      <c r="M197" s="126"/>
      <c r="N197" s="131">
        <f t="shared" ref="N197:N200" si="169">M197*K197</f>
        <v>0</v>
      </c>
      <c r="R197" s="80" t="str">
        <f t="shared" si="168"/>
        <v/>
      </c>
    </row>
    <row r="198">
      <c r="A198" s="154"/>
      <c r="B198" s="156" t="s">
        <v>33</v>
      </c>
      <c r="C198" s="89"/>
      <c r="D198" s="89"/>
      <c r="E198" s="12">
        <f t="shared" si="163"/>
        <v>0</v>
      </c>
      <c r="F198" s="157"/>
      <c r="G198" s="14" t="str">
        <f t="shared" si="164"/>
        <v>#DIV/0!</v>
      </c>
      <c r="H198" s="37"/>
      <c r="I198" s="40"/>
      <c r="J198" s="37">
        <f t="shared" si="165"/>
        <v>0</v>
      </c>
      <c r="K198" s="52" t="str">
        <f t="shared" si="166"/>
        <v/>
      </c>
      <c r="L198" s="152" t="str">
        <f t="shared" si="167"/>
        <v>#DIV/0!</v>
      </c>
      <c r="M198" s="126"/>
      <c r="N198" s="131">
        <f t="shared" si="169"/>
        <v>0</v>
      </c>
      <c r="R198" s="80" t="str">
        <f t="shared" si="168"/>
        <v/>
      </c>
    </row>
    <row r="199">
      <c r="A199" s="154"/>
      <c r="B199" s="156" t="s">
        <v>33</v>
      </c>
      <c r="C199" s="89"/>
      <c r="D199" s="158"/>
      <c r="E199" s="12">
        <f t="shared" si="163"/>
        <v>0</v>
      </c>
      <c r="F199" s="157"/>
      <c r="G199" s="14" t="str">
        <f t="shared" si="164"/>
        <v>#DIV/0!</v>
      </c>
      <c r="H199" s="37"/>
      <c r="I199" s="93"/>
      <c r="J199" s="37">
        <f t="shared" si="165"/>
        <v>0</v>
      </c>
      <c r="K199" s="52" t="str">
        <f t="shared" si="166"/>
        <v/>
      </c>
      <c r="L199" s="152" t="str">
        <f t="shared" si="167"/>
        <v>#DIV/0!</v>
      </c>
      <c r="M199" s="126"/>
      <c r="N199" s="131">
        <f t="shared" si="169"/>
        <v>0</v>
      </c>
      <c r="R199" s="80" t="str">
        <f t="shared" si="168"/>
        <v/>
      </c>
    </row>
    <row r="200">
      <c r="A200" s="154"/>
      <c r="B200" s="156" t="s">
        <v>33</v>
      </c>
      <c r="C200" s="89"/>
      <c r="D200" s="158"/>
      <c r="E200" s="12">
        <f t="shared" si="163"/>
        <v>0</v>
      </c>
      <c r="F200" s="157"/>
      <c r="G200" s="14" t="str">
        <f t="shared" si="164"/>
        <v>#DIV/0!</v>
      </c>
      <c r="H200" s="89"/>
      <c r="I200" s="159"/>
      <c r="J200" s="89">
        <f t="shared" si="165"/>
        <v>0</v>
      </c>
      <c r="K200" s="52" t="str">
        <f t="shared" si="166"/>
        <v/>
      </c>
      <c r="L200" s="152" t="str">
        <f t="shared" si="167"/>
        <v>#DIV/0!</v>
      </c>
      <c r="M200" s="126"/>
      <c r="N200" s="131">
        <f t="shared" si="169"/>
        <v>0</v>
      </c>
      <c r="R200" s="80" t="str">
        <f t="shared" si="168"/>
        <v/>
      </c>
    </row>
    <row r="201">
      <c r="A201" s="154"/>
      <c r="B201" s="63"/>
      <c r="C201" s="62"/>
      <c r="D201" s="64" t="s">
        <v>19</v>
      </c>
      <c r="E201" s="64">
        <f t="shared" ref="E201:F201" si="170">sum(E188:E200)</f>
        <v>0</v>
      </c>
      <c r="F201" s="64">
        <f t="shared" si="170"/>
        <v>0</v>
      </c>
      <c r="G201" s="65" t="str">
        <f>average(G188:G200)</f>
        <v>#DIV/0!</v>
      </c>
      <c r="H201" s="62"/>
      <c r="I201" s="66"/>
      <c r="J201" s="64">
        <f>sum(J188:J200)</f>
        <v>0</v>
      </c>
      <c r="K201" s="64">
        <f>sum(K194:K200)</f>
        <v>0</v>
      </c>
      <c r="L201" s="65" t="str">
        <f>average(L188:L200)</f>
        <v>#DIV/0!</v>
      </c>
      <c r="M201" s="68"/>
      <c r="N201" s="147">
        <f>sum(N194:N200)</f>
        <v>6970000</v>
      </c>
    </row>
    <row r="202">
      <c r="A202" s="154">
        <v>46121.0</v>
      </c>
      <c r="B202" s="156" t="s">
        <v>34</v>
      </c>
      <c r="C202" s="89"/>
      <c r="D202" s="163"/>
      <c r="E202" s="38">
        <f t="shared" ref="E202:E208" si="171">D202-C202</f>
        <v>0</v>
      </c>
      <c r="F202" s="39"/>
      <c r="G202" s="124" t="str">
        <f t="shared" ref="G202:G208" si="172">(F202/E202)*100</f>
        <v>#DIV/0!</v>
      </c>
      <c r="H202" s="137"/>
      <c r="I202" s="138"/>
      <c r="J202" s="41">
        <f t="shared" ref="J202:J208" si="173">I202-H202</f>
        <v>0</v>
      </c>
      <c r="K202" s="52" t="str">
        <f t="shared" ref="K202:K208" si="174">F202</f>
        <v/>
      </c>
      <c r="L202" s="164" t="str">
        <f t="shared" ref="L202:L208" si="175">(K202/J202)*100</f>
        <v>#DIV/0!</v>
      </c>
      <c r="M202" s="72"/>
      <c r="N202" s="131">
        <v>2999000.0</v>
      </c>
    </row>
    <row r="203">
      <c r="A203" s="154">
        <v>46127.0</v>
      </c>
      <c r="B203" s="156" t="s">
        <v>34</v>
      </c>
      <c r="C203" s="89"/>
      <c r="D203" s="13"/>
      <c r="E203" s="38">
        <f t="shared" si="171"/>
        <v>0</v>
      </c>
      <c r="F203" s="47"/>
      <c r="G203" s="14" t="str">
        <f t="shared" si="172"/>
        <v>#DIV/0!</v>
      </c>
      <c r="H203" s="40"/>
      <c r="I203" s="40"/>
      <c r="J203" s="37">
        <f t="shared" si="173"/>
        <v>0</v>
      </c>
      <c r="K203" s="52" t="str">
        <f t="shared" si="174"/>
        <v/>
      </c>
      <c r="L203" s="152" t="str">
        <f t="shared" si="175"/>
        <v>#DIV/0!</v>
      </c>
      <c r="M203" s="126"/>
      <c r="N203" s="131">
        <v>2373000.0</v>
      </c>
    </row>
    <row r="204">
      <c r="A204" s="154">
        <v>46140.0</v>
      </c>
      <c r="B204" s="156" t="s">
        <v>34</v>
      </c>
      <c r="C204" s="89"/>
      <c r="D204" s="89"/>
      <c r="E204" s="12">
        <f t="shared" si="171"/>
        <v>0</v>
      </c>
      <c r="F204" s="157"/>
      <c r="G204" s="14" t="str">
        <f t="shared" si="172"/>
        <v>#DIV/0!</v>
      </c>
      <c r="H204" s="37"/>
      <c r="I204" s="40"/>
      <c r="J204" s="37">
        <f t="shared" si="173"/>
        <v>0</v>
      </c>
      <c r="K204" s="52" t="str">
        <f t="shared" si="174"/>
        <v/>
      </c>
      <c r="L204" s="152" t="str">
        <f t="shared" si="175"/>
        <v>#DIV/0!</v>
      </c>
      <c r="M204" s="126"/>
      <c r="N204" s="131">
        <v>2189000.0</v>
      </c>
    </row>
    <row r="205">
      <c r="A205" s="154"/>
      <c r="B205" s="156" t="s">
        <v>34</v>
      </c>
      <c r="C205" s="89"/>
      <c r="D205" s="89"/>
      <c r="E205" s="12">
        <f t="shared" si="171"/>
        <v>0</v>
      </c>
      <c r="F205" s="157"/>
      <c r="G205" s="14" t="str">
        <f t="shared" si="172"/>
        <v>#DIV/0!</v>
      </c>
      <c r="H205" s="37"/>
      <c r="I205" s="40"/>
      <c r="J205" s="37">
        <f t="shared" si="173"/>
        <v>0</v>
      </c>
      <c r="K205" s="52" t="str">
        <f t="shared" si="174"/>
        <v/>
      </c>
      <c r="L205" s="152" t="str">
        <f t="shared" si="175"/>
        <v>#DIV/0!</v>
      </c>
      <c r="M205" s="126"/>
      <c r="N205" s="131"/>
    </row>
    <row r="206">
      <c r="A206" s="154"/>
      <c r="B206" s="156" t="s">
        <v>34</v>
      </c>
      <c r="C206" s="89"/>
      <c r="D206" s="89"/>
      <c r="E206" s="12">
        <f t="shared" si="171"/>
        <v>0</v>
      </c>
      <c r="F206" s="157"/>
      <c r="G206" s="14" t="str">
        <f t="shared" si="172"/>
        <v>#DIV/0!</v>
      </c>
      <c r="H206" s="37"/>
      <c r="I206" s="40"/>
      <c r="J206" s="37">
        <f t="shared" si="173"/>
        <v>0</v>
      </c>
      <c r="K206" s="52" t="str">
        <f t="shared" si="174"/>
        <v/>
      </c>
      <c r="L206" s="152" t="str">
        <f t="shared" si="175"/>
        <v>#DIV/0!</v>
      </c>
      <c r="M206" s="126"/>
      <c r="N206" s="131">
        <f t="shared" ref="N206:N208" si="176">M206*K206</f>
        <v>0</v>
      </c>
    </row>
    <row r="207">
      <c r="A207" s="154"/>
      <c r="B207" s="156" t="s">
        <v>34</v>
      </c>
      <c r="C207" s="89"/>
      <c r="D207" s="158"/>
      <c r="E207" s="12">
        <f t="shared" si="171"/>
        <v>0</v>
      </c>
      <c r="F207" s="157"/>
      <c r="G207" s="14" t="str">
        <f t="shared" si="172"/>
        <v>#DIV/0!</v>
      </c>
      <c r="H207" s="37"/>
      <c r="I207" s="93"/>
      <c r="J207" s="37">
        <f t="shared" si="173"/>
        <v>0</v>
      </c>
      <c r="K207" s="52" t="str">
        <f t="shared" si="174"/>
        <v/>
      </c>
      <c r="L207" s="152" t="str">
        <f t="shared" si="175"/>
        <v>#DIV/0!</v>
      </c>
      <c r="M207" s="126"/>
      <c r="N207" s="131">
        <f t="shared" si="176"/>
        <v>0</v>
      </c>
    </row>
    <row r="208">
      <c r="A208" s="154"/>
      <c r="B208" s="156" t="s">
        <v>34</v>
      </c>
      <c r="C208" s="89"/>
      <c r="D208" s="158"/>
      <c r="E208" s="12">
        <f t="shared" si="171"/>
        <v>0</v>
      </c>
      <c r="F208" s="157"/>
      <c r="G208" s="14" t="str">
        <f t="shared" si="172"/>
        <v>#DIV/0!</v>
      </c>
      <c r="H208" s="89"/>
      <c r="I208" s="159"/>
      <c r="J208" s="89">
        <f t="shared" si="173"/>
        <v>0</v>
      </c>
      <c r="K208" s="52" t="str">
        <f t="shared" si="174"/>
        <v/>
      </c>
      <c r="L208" s="152" t="str">
        <f t="shared" si="175"/>
        <v>#DIV/0!</v>
      </c>
      <c r="M208" s="126"/>
      <c r="N208" s="131">
        <f t="shared" si="176"/>
        <v>0</v>
      </c>
      <c r="R208" s="80" t="str">
        <f>Q208</f>
        <v/>
      </c>
    </row>
    <row r="209">
      <c r="A209" s="154"/>
      <c r="B209" s="63"/>
      <c r="C209" s="62"/>
      <c r="D209" s="64" t="s">
        <v>19</v>
      </c>
      <c r="E209" s="64">
        <f t="shared" ref="E209:F209" si="177">sum(E194:E208)</f>
        <v>0</v>
      </c>
      <c r="F209" s="64">
        <f t="shared" si="177"/>
        <v>0</v>
      </c>
      <c r="G209" s="65" t="str">
        <f>average(G194:G208)</f>
        <v>#DIV/0!</v>
      </c>
      <c r="H209" s="62"/>
      <c r="I209" s="66"/>
      <c r="J209" s="64">
        <f>sum(J194:J208)</f>
        <v>0</v>
      </c>
      <c r="K209" s="64">
        <f>sum(K202:K208)</f>
        <v>0</v>
      </c>
      <c r="L209" s="65" t="str">
        <f>average(L194:L208)</f>
        <v>#DIV/0!</v>
      </c>
      <c r="M209" s="68"/>
      <c r="N209" s="147">
        <f>sum(N202:N208)</f>
        <v>7561000</v>
      </c>
    </row>
    <row r="210">
      <c r="A210" s="154">
        <v>46113.0</v>
      </c>
      <c r="B210" s="156" t="s">
        <v>72</v>
      </c>
      <c r="C210" s="89"/>
      <c r="D210" s="163"/>
      <c r="E210" s="38">
        <f t="shared" ref="E210:E216" si="178">D210-C210</f>
        <v>0</v>
      </c>
      <c r="F210" s="39"/>
      <c r="G210" s="124" t="str">
        <f t="shared" ref="G210:G216" si="179">(F210/E210)*100</f>
        <v>#DIV/0!</v>
      </c>
      <c r="H210" s="137"/>
      <c r="I210" s="138"/>
      <c r="J210" s="41">
        <f t="shared" ref="J210:J216" si="180">I210-H210</f>
        <v>0</v>
      </c>
      <c r="K210" s="52" t="str">
        <f t="shared" ref="K210:K216" si="181">F210</f>
        <v/>
      </c>
      <c r="L210" s="164" t="str">
        <f t="shared" ref="L210:L216" si="182">(K210/J210)*100</f>
        <v>#DIV/0!</v>
      </c>
      <c r="M210" s="72"/>
      <c r="N210" s="131">
        <v>2552000.0</v>
      </c>
    </row>
    <row r="211">
      <c r="A211" s="154"/>
      <c r="B211" s="156" t="s">
        <v>72</v>
      </c>
      <c r="C211" s="89"/>
      <c r="D211" s="13"/>
      <c r="E211" s="38">
        <f t="shared" si="178"/>
        <v>0</v>
      </c>
      <c r="F211" s="47"/>
      <c r="G211" s="14" t="str">
        <f t="shared" si="179"/>
        <v>#DIV/0!</v>
      </c>
      <c r="H211" s="40"/>
      <c r="I211" s="40"/>
      <c r="J211" s="37">
        <f t="shared" si="180"/>
        <v>0</v>
      </c>
      <c r="K211" s="52" t="str">
        <f t="shared" si="181"/>
        <v/>
      </c>
      <c r="L211" s="152" t="str">
        <f t="shared" si="182"/>
        <v>#DIV/0!</v>
      </c>
      <c r="M211" s="126"/>
      <c r="N211" s="131"/>
    </row>
    <row r="212">
      <c r="A212" s="154"/>
      <c r="B212" s="156" t="s">
        <v>72</v>
      </c>
      <c r="C212" s="89"/>
      <c r="D212" s="89"/>
      <c r="E212" s="12">
        <f t="shared" si="178"/>
        <v>0</v>
      </c>
      <c r="F212" s="157"/>
      <c r="G212" s="14" t="str">
        <f t="shared" si="179"/>
        <v>#DIV/0!</v>
      </c>
      <c r="H212" s="37"/>
      <c r="I212" s="40"/>
      <c r="J212" s="37">
        <f t="shared" si="180"/>
        <v>0</v>
      </c>
      <c r="K212" s="52" t="str">
        <f t="shared" si="181"/>
        <v/>
      </c>
      <c r="L212" s="152" t="str">
        <f t="shared" si="182"/>
        <v>#DIV/0!</v>
      </c>
      <c r="M212" s="126"/>
      <c r="N212" s="131"/>
    </row>
    <row r="213">
      <c r="A213" s="154"/>
      <c r="B213" s="156" t="s">
        <v>72</v>
      </c>
      <c r="C213" s="89"/>
      <c r="D213" s="89"/>
      <c r="E213" s="12">
        <f t="shared" si="178"/>
        <v>0</v>
      </c>
      <c r="F213" s="157"/>
      <c r="G213" s="14" t="str">
        <f t="shared" si="179"/>
        <v>#DIV/0!</v>
      </c>
      <c r="H213" s="37"/>
      <c r="I213" s="40"/>
      <c r="J213" s="37">
        <f t="shared" si="180"/>
        <v>0</v>
      </c>
      <c r="K213" s="52" t="str">
        <f t="shared" si="181"/>
        <v/>
      </c>
      <c r="L213" s="152" t="str">
        <f t="shared" si="182"/>
        <v>#DIV/0!</v>
      </c>
      <c r="M213" s="126"/>
      <c r="N213" s="131"/>
    </row>
    <row r="214">
      <c r="A214" s="154"/>
      <c r="B214" s="156" t="s">
        <v>72</v>
      </c>
      <c r="C214" s="89"/>
      <c r="D214" s="89"/>
      <c r="E214" s="12">
        <f t="shared" si="178"/>
        <v>0</v>
      </c>
      <c r="F214" s="157"/>
      <c r="G214" s="14" t="str">
        <f t="shared" si="179"/>
        <v>#DIV/0!</v>
      </c>
      <c r="H214" s="37"/>
      <c r="I214" s="40"/>
      <c r="J214" s="37">
        <f t="shared" si="180"/>
        <v>0</v>
      </c>
      <c r="K214" s="52" t="str">
        <f t="shared" si="181"/>
        <v/>
      </c>
      <c r="L214" s="152" t="str">
        <f t="shared" si="182"/>
        <v>#DIV/0!</v>
      </c>
      <c r="M214" s="126"/>
      <c r="N214" s="131">
        <f t="shared" ref="N214:N216" si="183">M214*K214</f>
        <v>0</v>
      </c>
    </row>
    <row r="215">
      <c r="A215" s="154"/>
      <c r="B215" s="156" t="s">
        <v>72</v>
      </c>
      <c r="C215" s="89"/>
      <c r="D215" s="158"/>
      <c r="E215" s="12">
        <f t="shared" si="178"/>
        <v>0</v>
      </c>
      <c r="F215" s="157"/>
      <c r="G215" s="14" t="str">
        <f t="shared" si="179"/>
        <v>#DIV/0!</v>
      </c>
      <c r="H215" s="37"/>
      <c r="I215" s="93"/>
      <c r="J215" s="37">
        <f t="shared" si="180"/>
        <v>0</v>
      </c>
      <c r="K215" s="52" t="str">
        <f t="shared" si="181"/>
        <v/>
      </c>
      <c r="L215" s="152" t="str">
        <f t="shared" si="182"/>
        <v>#DIV/0!</v>
      </c>
      <c r="M215" s="126"/>
      <c r="N215" s="131">
        <f t="shared" si="183"/>
        <v>0</v>
      </c>
    </row>
    <row r="216">
      <c r="A216" s="154"/>
      <c r="B216" s="156" t="s">
        <v>72</v>
      </c>
      <c r="C216" s="89"/>
      <c r="D216" s="158"/>
      <c r="E216" s="12">
        <f t="shared" si="178"/>
        <v>0</v>
      </c>
      <c r="F216" s="157"/>
      <c r="G216" s="14" t="str">
        <f t="shared" si="179"/>
        <v>#DIV/0!</v>
      </c>
      <c r="H216" s="89"/>
      <c r="I216" s="159"/>
      <c r="J216" s="89">
        <f t="shared" si="180"/>
        <v>0</v>
      </c>
      <c r="K216" s="52" t="str">
        <f t="shared" si="181"/>
        <v/>
      </c>
      <c r="L216" s="152" t="str">
        <f t="shared" si="182"/>
        <v>#DIV/0!</v>
      </c>
      <c r="M216" s="126"/>
      <c r="N216" s="131">
        <f t="shared" si="183"/>
        <v>0</v>
      </c>
    </row>
    <row r="217">
      <c r="A217" s="154"/>
      <c r="B217" s="63"/>
      <c r="C217" s="62"/>
      <c r="D217" s="64" t="s">
        <v>19</v>
      </c>
      <c r="E217" s="64">
        <f t="shared" ref="E217:F217" si="184">sum(E202:E216)</f>
        <v>0</v>
      </c>
      <c r="F217" s="64">
        <f t="shared" si="184"/>
        <v>0</v>
      </c>
      <c r="G217" s="65" t="str">
        <f>average(G202:G216)</f>
        <v>#DIV/0!</v>
      </c>
      <c r="H217" s="62"/>
      <c r="I217" s="66"/>
      <c r="J217" s="64">
        <f>sum(J202:J216)</f>
        <v>0</v>
      </c>
      <c r="K217" s="64">
        <f>sum(K210:K216)</f>
        <v>0</v>
      </c>
      <c r="L217" s="65" t="str">
        <f>average(L202:L216)</f>
        <v>#DIV/0!</v>
      </c>
      <c r="M217" s="68"/>
      <c r="N217" s="147">
        <f>sum(N210:N216)</f>
        <v>2552000</v>
      </c>
    </row>
    <row r="218">
      <c r="A218" s="154"/>
      <c r="B218" s="165"/>
      <c r="C218" s="165"/>
      <c r="D218" s="165"/>
      <c r="E218" s="165"/>
      <c r="F218" s="165"/>
      <c r="G218" s="165"/>
      <c r="H218" s="165"/>
      <c r="I218" s="165"/>
      <c r="J218" s="165"/>
      <c r="K218" s="165"/>
      <c r="L218" s="165"/>
      <c r="M218" s="166"/>
      <c r="N218" s="167">
        <f>sum(N3:N217)/2</f>
        <v>218348180</v>
      </c>
      <c r="R218" s="80" t="str">
        <f>Q218</f>
        <v/>
      </c>
    </row>
    <row r="219">
      <c r="A219" s="154"/>
      <c r="G219" s="168"/>
      <c r="L219" s="168"/>
      <c r="N219" s="169"/>
    </row>
    <row r="220" ht="31.5" customHeight="1">
      <c r="A220" s="154"/>
      <c r="D220" s="170" t="s">
        <v>45</v>
      </c>
      <c r="E220" s="171"/>
      <c r="G220" s="168"/>
      <c r="L220" s="168"/>
      <c r="N220" s="169"/>
    </row>
    <row r="221">
      <c r="A221" s="154"/>
      <c r="B221" s="172" t="s">
        <v>2</v>
      </c>
      <c r="C221" s="166" t="s">
        <v>3</v>
      </c>
      <c r="D221" s="166" t="s">
        <v>4</v>
      </c>
      <c r="E221" s="166" t="s">
        <v>5</v>
      </c>
      <c r="F221" s="166" t="s">
        <v>6</v>
      </c>
      <c r="G221" s="173" t="s">
        <v>7</v>
      </c>
      <c r="H221" s="174" t="s">
        <v>8</v>
      </c>
      <c r="I221" s="175" t="s">
        <v>8</v>
      </c>
      <c r="J221" s="166" t="s">
        <v>5</v>
      </c>
      <c r="K221" s="166" t="s">
        <v>6</v>
      </c>
      <c r="L221" s="173" t="s">
        <v>7</v>
      </c>
      <c r="M221" s="166" t="s">
        <v>9</v>
      </c>
      <c r="N221" s="176" t="s">
        <v>10</v>
      </c>
      <c r="O221" s="19">
        <v>1.0</v>
      </c>
      <c r="P221" s="177" t="s">
        <v>46</v>
      </c>
      <c r="Q221" s="178">
        <f>N227</f>
        <v>14500337.5</v>
      </c>
      <c r="R221" s="21">
        <f t="shared" ref="R221:R235" si="185">Q221</f>
        <v>14500337.5</v>
      </c>
    </row>
    <row r="222">
      <c r="A222" s="154">
        <v>46127.0</v>
      </c>
      <c r="B222" s="179" t="s">
        <v>46</v>
      </c>
      <c r="C222" s="13"/>
      <c r="D222" s="13"/>
      <c r="E222" s="12">
        <f t="shared" ref="E222:E226" si="186">D222-C222</f>
        <v>0</v>
      </c>
      <c r="F222" s="37">
        <v>151.7</v>
      </c>
      <c r="G222" s="14" t="str">
        <f t="shared" ref="G222:G226" si="187">(F222/E222)*100</f>
        <v>#DIV/0!</v>
      </c>
      <c r="H222" s="138"/>
      <c r="I222" s="138"/>
      <c r="J222" s="41">
        <f t="shared" ref="J222:J226" si="188">I222-H222</f>
        <v>0</v>
      </c>
      <c r="K222" s="37">
        <v>151.7</v>
      </c>
      <c r="L222" s="71" t="str">
        <f t="shared" ref="L222:L226" si="189">(K222/J222)*100</f>
        <v>#DIV/0!</v>
      </c>
      <c r="M222" s="72">
        <v>32960.0</v>
      </c>
      <c r="N222" s="49">
        <f t="shared" ref="N222:N226" si="190">M222*K222</f>
        <v>5000032</v>
      </c>
      <c r="O222" s="19">
        <v>2.0</v>
      </c>
      <c r="P222" s="177" t="s">
        <v>47</v>
      </c>
      <c r="Q222" s="178">
        <f>N234</f>
        <v>25499507.2</v>
      </c>
      <c r="R222" s="21">
        <f t="shared" si="185"/>
        <v>25499507.2</v>
      </c>
    </row>
    <row r="223">
      <c r="A223" s="154">
        <v>46140.0</v>
      </c>
      <c r="B223" s="180" t="s">
        <v>46</v>
      </c>
      <c r="C223" s="13"/>
      <c r="D223" s="13"/>
      <c r="E223" s="12">
        <f t="shared" si="186"/>
        <v>0</v>
      </c>
      <c r="F223" s="47">
        <v>355.95</v>
      </c>
      <c r="G223" s="14" t="str">
        <f t="shared" si="187"/>
        <v>#DIV/0!</v>
      </c>
      <c r="H223" s="138"/>
      <c r="I223" s="40">
        <v>417489.0</v>
      </c>
      <c r="J223" s="37">
        <f t="shared" si="188"/>
        <v>417489</v>
      </c>
      <c r="K223" s="52">
        <f t="shared" ref="K223:K226" si="191">F223</f>
        <v>355.95</v>
      </c>
      <c r="L223" s="48">
        <f t="shared" si="189"/>
        <v>0.08525973139</v>
      </c>
      <c r="M223" s="50">
        <v>26690.0</v>
      </c>
      <c r="N223" s="49">
        <f t="shared" si="190"/>
        <v>9500305.5</v>
      </c>
      <c r="O223" s="19">
        <v>3.0</v>
      </c>
      <c r="P223" s="177" t="s">
        <v>48</v>
      </c>
      <c r="Q223" s="178">
        <f>N240</f>
        <v>13500619.4</v>
      </c>
      <c r="R223" s="21">
        <f t="shared" si="185"/>
        <v>13500619.4</v>
      </c>
    </row>
    <row r="224">
      <c r="A224" s="154"/>
      <c r="B224" s="180" t="s">
        <v>46</v>
      </c>
      <c r="C224" s="13"/>
      <c r="D224" s="37"/>
      <c r="E224" s="12">
        <f t="shared" si="186"/>
        <v>0</v>
      </c>
      <c r="F224" s="47"/>
      <c r="G224" s="14" t="str">
        <f t="shared" si="187"/>
        <v>#DIV/0!</v>
      </c>
      <c r="H224" s="37"/>
      <c r="I224" s="40"/>
      <c r="J224" s="37">
        <f t="shared" si="188"/>
        <v>0</v>
      </c>
      <c r="K224" s="37" t="str">
        <f t="shared" si="191"/>
        <v/>
      </c>
      <c r="L224" s="48" t="str">
        <f t="shared" si="189"/>
        <v>#DIV/0!</v>
      </c>
      <c r="M224" s="50"/>
      <c r="N224" s="49">
        <f t="shared" si="190"/>
        <v>0</v>
      </c>
      <c r="O224" s="19">
        <v>4.0</v>
      </c>
      <c r="P224" s="177" t="s">
        <v>49</v>
      </c>
      <c r="Q224" s="178">
        <f>N246</f>
        <v>7950684.4</v>
      </c>
      <c r="R224" s="21">
        <f t="shared" si="185"/>
        <v>7950684.4</v>
      </c>
    </row>
    <row r="225">
      <c r="A225" s="154"/>
      <c r="B225" s="180" t="s">
        <v>46</v>
      </c>
      <c r="C225" s="37"/>
      <c r="D225" s="37"/>
      <c r="E225" s="12">
        <f t="shared" si="186"/>
        <v>0</v>
      </c>
      <c r="F225" s="47"/>
      <c r="G225" s="14" t="str">
        <f t="shared" si="187"/>
        <v>#DIV/0!</v>
      </c>
      <c r="H225" s="37"/>
      <c r="I225" s="40"/>
      <c r="J225" s="37">
        <f t="shared" si="188"/>
        <v>0</v>
      </c>
      <c r="K225" s="37" t="str">
        <f t="shared" si="191"/>
        <v/>
      </c>
      <c r="L225" s="48" t="str">
        <f t="shared" si="189"/>
        <v>#DIV/0!</v>
      </c>
      <c r="M225" s="50"/>
      <c r="N225" s="49">
        <f t="shared" si="190"/>
        <v>0</v>
      </c>
      <c r="O225" s="19">
        <v>5.0</v>
      </c>
      <c r="P225" s="177" t="s">
        <v>50</v>
      </c>
      <c r="Q225" s="178">
        <f>N252</f>
        <v>15799596.6</v>
      </c>
      <c r="R225" s="21">
        <f t="shared" si="185"/>
        <v>15799596.6</v>
      </c>
    </row>
    <row r="226">
      <c r="A226" s="154"/>
      <c r="B226" s="180" t="s">
        <v>46</v>
      </c>
      <c r="C226" s="37"/>
      <c r="D226" s="37"/>
      <c r="E226" s="12">
        <f t="shared" si="186"/>
        <v>0</v>
      </c>
      <c r="F226" s="47"/>
      <c r="G226" s="14" t="str">
        <f t="shared" si="187"/>
        <v>#DIV/0!</v>
      </c>
      <c r="H226" s="37"/>
      <c r="I226" s="40"/>
      <c r="J226" s="37">
        <f t="shared" si="188"/>
        <v>0</v>
      </c>
      <c r="K226" s="37" t="str">
        <f t="shared" si="191"/>
        <v/>
      </c>
      <c r="L226" s="77" t="str">
        <f t="shared" si="189"/>
        <v>#DIV/0!</v>
      </c>
      <c r="M226" s="50"/>
      <c r="N226" s="49">
        <f t="shared" si="190"/>
        <v>0</v>
      </c>
      <c r="O226" s="19">
        <v>6.0</v>
      </c>
      <c r="P226" s="177" t="s">
        <v>51</v>
      </c>
      <c r="Q226" s="178">
        <f>N259</f>
        <v>23215724.2</v>
      </c>
      <c r="R226" s="21">
        <f t="shared" si="185"/>
        <v>23215724.2</v>
      </c>
    </row>
    <row r="227">
      <c r="A227" s="154"/>
      <c r="B227" s="63"/>
      <c r="C227" s="62"/>
      <c r="D227" s="64" t="s">
        <v>19</v>
      </c>
      <c r="E227" s="64">
        <f t="shared" ref="E227:F227" si="192">sum(E222:E226)</f>
        <v>0</v>
      </c>
      <c r="F227" s="64">
        <f t="shared" si="192"/>
        <v>507.65</v>
      </c>
      <c r="G227" s="65" t="str">
        <f>average(G222:G226)</f>
        <v>#DIV/0!</v>
      </c>
      <c r="H227" s="62"/>
      <c r="I227" s="66"/>
      <c r="J227" s="64">
        <f t="shared" ref="J227:K227" si="193">sum(J222:J226)</f>
        <v>417489</v>
      </c>
      <c r="K227" s="64">
        <f t="shared" si="193"/>
        <v>507.65</v>
      </c>
      <c r="L227" s="65" t="str">
        <f>average(L222:L226)</f>
        <v>#DIV/0!</v>
      </c>
      <c r="M227" s="68"/>
      <c r="N227" s="69">
        <f>sum(N222:N226)</f>
        <v>14500337.5</v>
      </c>
      <c r="O227" s="19">
        <v>7.0</v>
      </c>
      <c r="P227" s="181" t="s">
        <v>52</v>
      </c>
      <c r="Q227" s="178">
        <f>N293</f>
        <v>17926996</v>
      </c>
      <c r="R227" s="21">
        <f t="shared" si="185"/>
        <v>17926996</v>
      </c>
    </row>
    <row r="228">
      <c r="A228" s="154">
        <v>46113.0</v>
      </c>
      <c r="B228" s="182" t="s">
        <v>53</v>
      </c>
      <c r="C228" s="89">
        <v>512370.0</v>
      </c>
      <c r="D228" s="89">
        <v>512655.0</v>
      </c>
      <c r="E228" s="12">
        <f t="shared" ref="E228:E233" si="194">D228-C228</f>
        <v>285</v>
      </c>
      <c r="F228" s="157">
        <v>84.65</v>
      </c>
      <c r="G228" s="14">
        <f t="shared" ref="G228:G233" si="195">(F228/E228)*100</f>
        <v>29.70175439</v>
      </c>
      <c r="H228" s="137">
        <v>511930.0</v>
      </c>
      <c r="I228" s="137">
        <v>512202.0</v>
      </c>
      <c r="J228" s="89">
        <f t="shared" ref="J228:J233" si="196">I228-H228</f>
        <v>272</v>
      </c>
      <c r="K228" s="89">
        <f t="shared" ref="K228:K233" si="197">F228</f>
        <v>84.65</v>
      </c>
      <c r="L228" s="152">
        <f t="shared" ref="L228:L233" si="198">(K228/J228)*100</f>
        <v>31.12132353</v>
      </c>
      <c r="M228" s="126">
        <v>35440.0</v>
      </c>
      <c r="N228" s="44">
        <f t="shared" ref="N228:N231" si="199">F228*M228</f>
        <v>2999996</v>
      </c>
      <c r="O228" s="19">
        <v>8.0</v>
      </c>
      <c r="P228" s="177" t="s">
        <v>54</v>
      </c>
      <c r="Q228" s="178">
        <f>N277</f>
        <v>35800000</v>
      </c>
      <c r="R228" s="21">
        <f t="shared" si="185"/>
        <v>35800000</v>
      </c>
    </row>
    <row r="229">
      <c r="A229" s="154">
        <v>46118.0</v>
      </c>
      <c r="B229" s="182" t="s">
        <v>53</v>
      </c>
      <c r="C229" s="89">
        <v>512655.0</v>
      </c>
      <c r="D229" s="89">
        <v>512914.0</v>
      </c>
      <c r="E229" s="12">
        <f t="shared" si="194"/>
        <v>259</v>
      </c>
      <c r="F229" s="157">
        <v>189.82</v>
      </c>
      <c r="G229" s="14">
        <f t="shared" si="195"/>
        <v>73.28957529</v>
      </c>
      <c r="H229" s="137">
        <v>512202.0</v>
      </c>
      <c r="I229" s="137">
        <v>512456.0</v>
      </c>
      <c r="J229" s="89">
        <f t="shared" si="196"/>
        <v>254</v>
      </c>
      <c r="K229" s="89">
        <f t="shared" si="197"/>
        <v>189.82</v>
      </c>
      <c r="L229" s="152">
        <f t="shared" si="198"/>
        <v>74.73228346</v>
      </c>
      <c r="M229" s="126">
        <v>44780.0</v>
      </c>
      <c r="N229" s="49">
        <f t="shared" si="199"/>
        <v>8500139.6</v>
      </c>
      <c r="O229" s="19">
        <v>9.0</v>
      </c>
      <c r="P229" s="177" t="s">
        <v>69</v>
      </c>
      <c r="Q229" s="178">
        <f>N286</f>
        <v>14000000</v>
      </c>
      <c r="R229" s="21">
        <f t="shared" si="185"/>
        <v>14000000</v>
      </c>
    </row>
    <row r="230">
      <c r="A230" s="154">
        <v>46125.0</v>
      </c>
      <c r="B230" s="182" t="s">
        <v>53</v>
      </c>
      <c r="C230" s="89">
        <v>512914.0</v>
      </c>
      <c r="D230" s="89">
        <v>513403.0</v>
      </c>
      <c r="E230" s="12">
        <f t="shared" si="194"/>
        <v>489</v>
      </c>
      <c r="F230" s="157">
        <v>163.83</v>
      </c>
      <c r="G230" s="14">
        <f t="shared" si="195"/>
        <v>33.50306748</v>
      </c>
      <c r="H230" s="137">
        <v>512456.0</v>
      </c>
      <c r="I230" s="137">
        <v>512930.0</v>
      </c>
      <c r="J230" s="89">
        <f t="shared" si="196"/>
        <v>474</v>
      </c>
      <c r="K230" s="89">
        <f t="shared" si="197"/>
        <v>163.83</v>
      </c>
      <c r="L230" s="152">
        <f t="shared" si="198"/>
        <v>34.56329114</v>
      </c>
      <c r="M230" s="126">
        <v>32960.0</v>
      </c>
      <c r="N230" s="49">
        <f t="shared" si="199"/>
        <v>5399836.8</v>
      </c>
      <c r="O230" s="19">
        <v>10.0</v>
      </c>
      <c r="P230" s="181" t="s">
        <v>56</v>
      </c>
      <c r="Q230" s="178">
        <f>N268</f>
        <v>36000000</v>
      </c>
      <c r="R230" s="21">
        <f t="shared" si="185"/>
        <v>36000000</v>
      </c>
    </row>
    <row r="231">
      <c r="A231" s="154">
        <v>46134.0</v>
      </c>
      <c r="B231" s="182" t="s">
        <v>53</v>
      </c>
      <c r="C231" s="89">
        <v>513403.0</v>
      </c>
      <c r="D231" s="89">
        <v>513988.0</v>
      </c>
      <c r="E231" s="12">
        <f t="shared" si="194"/>
        <v>585</v>
      </c>
      <c r="F231" s="157">
        <v>215.43</v>
      </c>
      <c r="G231" s="14">
        <f t="shared" si="195"/>
        <v>36.82564103</v>
      </c>
      <c r="H231" s="137">
        <v>512930.0</v>
      </c>
      <c r="I231" s="137">
        <v>513497.0</v>
      </c>
      <c r="J231" s="89">
        <f t="shared" si="196"/>
        <v>567</v>
      </c>
      <c r="K231" s="89">
        <f t="shared" si="197"/>
        <v>215.43</v>
      </c>
      <c r="L231" s="152">
        <f t="shared" si="198"/>
        <v>37.99470899</v>
      </c>
      <c r="M231" s="126">
        <v>27850.0</v>
      </c>
      <c r="N231" s="49">
        <f t="shared" si="199"/>
        <v>5999725.5</v>
      </c>
      <c r="O231" s="19">
        <v>11.0</v>
      </c>
      <c r="P231" s="186" t="s">
        <v>57</v>
      </c>
      <c r="Q231" s="187">
        <f>N300</f>
        <v>25656301.6</v>
      </c>
      <c r="R231" s="21">
        <f t="shared" si="185"/>
        <v>25656301.6</v>
      </c>
    </row>
    <row r="232">
      <c r="A232" s="154">
        <v>46141.0</v>
      </c>
      <c r="B232" s="182" t="s">
        <v>53</v>
      </c>
      <c r="C232" s="89">
        <v>513988.0</v>
      </c>
      <c r="D232" s="89">
        <v>514281.0</v>
      </c>
      <c r="E232" s="12">
        <f t="shared" si="194"/>
        <v>293</v>
      </c>
      <c r="F232" s="157">
        <v>92.29</v>
      </c>
      <c r="G232" s="14">
        <f t="shared" si="195"/>
        <v>31.49829352</v>
      </c>
      <c r="H232" s="137">
        <v>513497.0</v>
      </c>
      <c r="I232" s="137">
        <v>513799.0</v>
      </c>
      <c r="J232" s="89">
        <f t="shared" si="196"/>
        <v>302</v>
      </c>
      <c r="K232" s="89">
        <f t="shared" si="197"/>
        <v>92.29</v>
      </c>
      <c r="L232" s="152">
        <f t="shared" si="198"/>
        <v>30.55960265</v>
      </c>
      <c r="M232" s="126">
        <v>28170.0</v>
      </c>
      <c r="N232" s="49">
        <f t="shared" ref="N232:N233" si="200">M232*K232</f>
        <v>2599809.3</v>
      </c>
      <c r="O232" s="19">
        <v>12.0</v>
      </c>
      <c r="P232" s="186" t="s">
        <v>58</v>
      </c>
      <c r="Q232" s="187">
        <f>N310</f>
        <v>26599656</v>
      </c>
      <c r="R232" s="21">
        <f t="shared" si="185"/>
        <v>26599656</v>
      </c>
    </row>
    <row r="233">
      <c r="A233" s="154"/>
      <c r="B233" s="182" t="s">
        <v>53</v>
      </c>
      <c r="C233" s="89"/>
      <c r="D233" s="89"/>
      <c r="E233" s="12">
        <f t="shared" si="194"/>
        <v>0</v>
      </c>
      <c r="F233" s="157"/>
      <c r="G233" s="14" t="str">
        <f t="shared" si="195"/>
        <v>#DIV/0!</v>
      </c>
      <c r="H233" s="137"/>
      <c r="I233" s="137"/>
      <c r="J233" s="89">
        <f t="shared" si="196"/>
        <v>0</v>
      </c>
      <c r="K233" s="89" t="str">
        <f t="shared" si="197"/>
        <v/>
      </c>
      <c r="L233" s="152" t="str">
        <f t="shared" si="198"/>
        <v>#DIV/0!</v>
      </c>
      <c r="M233" s="126"/>
      <c r="N233" s="49">
        <f t="shared" si="200"/>
        <v>0</v>
      </c>
      <c r="O233" s="19">
        <v>13.0</v>
      </c>
      <c r="P233" s="186" t="s">
        <v>70</v>
      </c>
      <c r="Q233" s="187">
        <f>N317</f>
        <v>9000000</v>
      </c>
      <c r="R233" s="21">
        <f t="shared" si="185"/>
        <v>9000000</v>
      </c>
    </row>
    <row r="234">
      <c r="A234" s="154"/>
      <c r="B234" s="63"/>
      <c r="C234" s="62"/>
      <c r="D234" s="64" t="s">
        <v>19</v>
      </c>
      <c r="E234" s="64">
        <f>sum(E228:E232)</f>
        <v>1911</v>
      </c>
      <c r="F234" s="64">
        <f>sum(F228:F233)</f>
        <v>746.02</v>
      </c>
      <c r="G234" s="65">
        <f>average(G228:G232)</f>
        <v>40.96366634</v>
      </c>
      <c r="H234" s="62"/>
      <c r="I234" s="66"/>
      <c r="J234" s="64">
        <f t="shared" ref="J234:K234" si="201">sum(J228:J232)</f>
        <v>1869</v>
      </c>
      <c r="K234" s="64">
        <f t="shared" si="201"/>
        <v>746.02</v>
      </c>
      <c r="L234" s="65">
        <f>average(L228:L232)</f>
        <v>41.79424196</v>
      </c>
      <c r="M234" s="68"/>
      <c r="N234" s="69">
        <f>sum(N228:N233)</f>
        <v>25499507.2</v>
      </c>
      <c r="O234" s="19">
        <v>14.0</v>
      </c>
      <c r="P234" s="177" t="s">
        <v>60</v>
      </c>
      <c r="Q234" s="21">
        <f>N327</f>
        <v>46100019.32</v>
      </c>
      <c r="R234" s="21">
        <f t="shared" si="185"/>
        <v>46100019.32</v>
      </c>
    </row>
    <row r="235">
      <c r="A235" s="154">
        <v>46118.0</v>
      </c>
      <c r="B235" s="182" t="s">
        <v>48</v>
      </c>
      <c r="C235" s="89">
        <v>458452.0</v>
      </c>
      <c r="D235" s="13">
        <v>458795.0</v>
      </c>
      <c r="E235" s="38">
        <f t="shared" ref="E235:E239" si="202">D235-C235</f>
        <v>343</v>
      </c>
      <c r="F235" s="157">
        <v>189.83</v>
      </c>
      <c r="G235" s="14">
        <f t="shared" ref="G235:G239" si="203">(F235/E235)*100</f>
        <v>55.34402332</v>
      </c>
      <c r="H235" s="89"/>
      <c r="I235" s="138">
        <v>7747.0</v>
      </c>
      <c r="J235" s="41">
        <f t="shared" ref="J235:J239" si="204">I235-H235</f>
        <v>7747</v>
      </c>
      <c r="K235" s="41"/>
      <c r="L235" s="152">
        <f t="shared" ref="L235:L239" si="205">(K235/J235)*100</f>
        <v>0</v>
      </c>
      <c r="M235" s="72">
        <v>44780.0</v>
      </c>
      <c r="N235" s="131">
        <f t="shared" ref="N235:N239" si="206">F235*M235</f>
        <v>8500587.4</v>
      </c>
      <c r="O235" s="19">
        <v>15.0</v>
      </c>
      <c r="P235" s="177" t="s">
        <v>61</v>
      </c>
      <c r="Q235" s="21">
        <f>N334</f>
        <v>19349715.6</v>
      </c>
      <c r="R235" s="21">
        <f t="shared" si="185"/>
        <v>19349715.6</v>
      </c>
    </row>
    <row r="236">
      <c r="A236" s="154">
        <v>46126.0</v>
      </c>
      <c r="B236" s="182" t="s">
        <v>48</v>
      </c>
      <c r="C236" s="13">
        <v>458795.0</v>
      </c>
      <c r="D236" s="13"/>
      <c r="E236" s="12">
        <f t="shared" si="202"/>
        <v>-458795</v>
      </c>
      <c r="F236" s="157">
        <v>151.7</v>
      </c>
      <c r="G236" s="14">
        <f t="shared" si="203"/>
        <v>-0.03306487647</v>
      </c>
      <c r="H236" s="138">
        <v>7747.0</v>
      </c>
      <c r="I236" s="137">
        <v>7915.0</v>
      </c>
      <c r="J236" s="89">
        <f t="shared" si="204"/>
        <v>168</v>
      </c>
      <c r="K236" s="37"/>
      <c r="L236" s="152">
        <f t="shared" si="205"/>
        <v>0</v>
      </c>
      <c r="M236" s="126">
        <v>32960.0</v>
      </c>
      <c r="N236" s="131">
        <f t="shared" si="206"/>
        <v>5000032</v>
      </c>
      <c r="O236" s="19"/>
      <c r="P236" s="189"/>
      <c r="Q236" s="60"/>
      <c r="R236" s="60"/>
    </row>
    <row r="237">
      <c r="A237" s="154"/>
      <c r="B237" s="182" t="s">
        <v>48</v>
      </c>
      <c r="C237" s="89"/>
      <c r="D237" s="89"/>
      <c r="E237" s="12">
        <f t="shared" si="202"/>
        <v>0</v>
      </c>
      <c r="F237" s="157"/>
      <c r="G237" s="14" t="str">
        <f t="shared" si="203"/>
        <v>#DIV/0!</v>
      </c>
      <c r="H237" s="89"/>
      <c r="I237" s="137"/>
      <c r="J237" s="89">
        <f t="shared" si="204"/>
        <v>0</v>
      </c>
      <c r="K237" s="37"/>
      <c r="L237" s="152" t="str">
        <f t="shared" si="205"/>
        <v>#DIV/0!</v>
      </c>
      <c r="M237" s="126"/>
      <c r="N237" s="131">
        <f t="shared" si="206"/>
        <v>0</v>
      </c>
      <c r="P237" s="79" t="s">
        <v>19</v>
      </c>
      <c r="Q237" s="21">
        <f>SUM(Q221:Q236)</f>
        <v>330899157.8</v>
      </c>
    </row>
    <row r="238">
      <c r="A238" s="154"/>
      <c r="B238" s="182" t="s">
        <v>48</v>
      </c>
      <c r="C238" s="89"/>
      <c r="D238" s="89"/>
      <c r="E238" s="12">
        <f t="shared" si="202"/>
        <v>0</v>
      </c>
      <c r="F238" s="157"/>
      <c r="G238" s="14" t="str">
        <f t="shared" si="203"/>
        <v>#DIV/0!</v>
      </c>
      <c r="H238" s="89"/>
      <c r="I238" s="137"/>
      <c r="J238" s="89">
        <f t="shared" si="204"/>
        <v>0</v>
      </c>
      <c r="K238" s="37"/>
      <c r="L238" s="152" t="str">
        <f t="shared" si="205"/>
        <v>#DIV/0!</v>
      </c>
      <c r="M238" s="126"/>
      <c r="N238" s="131">
        <f t="shared" si="206"/>
        <v>0</v>
      </c>
    </row>
    <row r="239">
      <c r="A239" s="154"/>
      <c r="B239" s="182" t="s">
        <v>48</v>
      </c>
      <c r="C239" s="89"/>
      <c r="D239" s="89"/>
      <c r="E239" s="12">
        <f t="shared" si="202"/>
        <v>0</v>
      </c>
      <c r="F239" s="157"/>
      <c r="G239" s="14" t="str">
        <f t="shared" si="203"/>
        <v>#DIV/0!</v>
      </c>
      <c r="H239" s="89"/>
      <c r="I239" s="137"/>
      <c r="J239" s="89">
        <f t="shared" si="204"/>
        <v>0</v>
      </c>
      <c r="K239" s="37"/>
      <c r="L239" s="152" t="str">
        <f t="shared" si="205"/>
        <v>#DIV/0!</v>
      </c>
      <c r="M239" s="126"/>
      <c r="N239" s="131">
        <f t="shared" si="206"/>
        <v>0</v>
      </c>
    </row>
    <row r="240">
      <c r="A240" s="154"/>
      <c r="B240" s="63"/>
      <c r="C240" s="62"/>
      <c r="D240" s="64" t="s">
        <v>19</v>
      </c>
      <c r="E240" s="64">
        <f t="shared" ref="E240:F240" si="207">sum(E235:E239)</f>
        <v>-458452</v>
      </c>
      <c r="F240" s="64">
        <f t="shared" si="207"/>
        <v>341.53</v>
      </c>
      <c r="G240" s="65" t="str">
        <f>average(G235:G239)</f>
        <v>#DIV/0!</v>
      </c>
      <c r="H240" s="62"/>
      <c r="I240" s="66"/>
      <c r="J240" s="64">
        <f t="shared" ref="J240:K240" si="208">sum(J235:J239)</f>
        <v>7915</v>
      </c>
      <c r="K240" s="64">
        <f t="shared" si="208"/>
        <v>0</v>
      </c>
      <c r="L240" s="65" t="str">
        <f>average(L235:L239)</f>
        <v>#DIV/0!</v>
      </c>
      <c r="M240" s="68"/>
      <c r="N240" s="69">
        <f>sum(N235:N239)</f>
        <v>13500619.4</v>
      </c>
    </row>
    <row r="241">
      <c r="A241" s="154">
        <v>46113.0</v>
      </c>
      <c r="B241" s="156" t="s">
        <v>49</v>
      </c>
      <c r="C241" s="89"/>
      <c r="D241" s="13"/>
      <c r="E241" s="38">
        <f t="shared" ref="E241:E245" si="209">D241-C241</f>
        <v>0</v>
      </c>
      <c r="F241" s="39">
        <v>70.54</v>
      </c>
      <c r="G241" s="14" t="str">
        <f t="shared" ref="G241:G245" si="210">(F241/E241)*100</f>
        <v>#DIV/0!</v>
      </c>
      <c r="H241" s="89"/>
      <c r="I241" s="138"/>
      <c r="J241" s="41">
        <f t="shared" ref="J241:J245" si="211">I241-H241</f>
        <v>0</v>
      </c>
      <c r="K241" s="41">
        <f t="shared" ref="K241:K245" si="212">F241</f>
        <v>70.54</v>
      </c>
      <c r="L241" s="48" t="str">
        <f t="shared" ref="L241:L245" si="213">(K241/J241)*100</f>
        <v>#DIV/0!</v>
      </c>
      <c r="M241" s="72">
        <v>35440.0</v>
      </c>
      <c r="N241" s="131">
        <f t="shared" ref="N241:N244" si="214">M241*K241</f>
        <v>2499937.6</v>
      </c>
    </row>
    <row r="242">
      <c r="A242" s="154">
        <v>46115.0</v>
      </c>
      <c r="B242" s="156" t="s">
        <v>49</v>
      </c>
      <c r="C242" s="13"/>
      <c r="D242" s="89"/>
      <c r="E242" s="12">
        <f t="shared" si="209"/>
        <v>0</v>
      </c>
      <c r="F242" s="157">
        <v>26.94</v>
      </c>
      <c r="G242" s="14" t="str">
        <f t="shared" si="210"/>
        <v>#DIV/0!</v>
      </c>
      <c r="H242" s="89"/>
      <c r="I242" s="137"/>
      <c r="J242" s="89">
        <f t="shared" si="211"/>
        <v>0</v>
      </c>
      <c r="K242" s="89">
        <f t="shared" si="212"/>
        <v>26.94</v>
      </c>
      <c r="L242" s="152" t="str">
        <f t="shared" si="213"/>
        <v>#DIV/0!</v>
      </c>
      <c r="M242" s="126">
        <v>40820.0</v>
      </c>
      <c r="N242" s="131">
        <f t="shared" si="214"/>
        <v>1099690.8</v>
      </c>
    </row>
    <row r="243">
      <c r="A243" s="154">
        <v>46122.0</v>
      </c>
      <c r="B243" s="156" t="s">
        <v>49</v>
      </c>
      <c r="C243" s="89"/>
      <c r="D243" s="89"/>
      <c r="E243" s="12">
        <f t="shared" si="209"/>
        <v>0</v>
      </c>
      <c r="F243" s="157">
        <v>77.37</v>
      </c>
      <c r="G243" s="14" t="str">
        <f t="shared" si="210"/>
        <v>#DIV/0!</v>
      </c>
      <c r="H243" s="89"/>
      <c r="I243" s="137"/>
      <c r="J243" s="89">
        <f t="shared" si="211"/>
        <v>0</v>
      </c>
      <c r="K243" s="89">
        <f t="shared" si="212"/>
        <v>77.37</v>
      </c>
      <c r="L243" s="152" t="str">
        <f t="shared" si="213"/>
        <v>#DIV/0!</v>
      </c>
      <c r="M243" s="126">
        <v>32960.0</v>
      </c>
      <c r="N243" s="131">
        <f t="shared" si="214"/>
        <v>2550115.2</v>
      </c>
    </row>
    <row r="244">
      <c r="A244" s="154">
        <v>46133.0</v>
      </c>
      <c r="B244" s="156" t="s">
        <v>49</v>
      </c>
      <c r="C244" s="89"/>
      <c r="D244" s="89"/>
      <c r="E244" s="12">
        <f t="shared" si="209"/>
        <v>0</v>
      </c>
      <c r="F244" s="157">
        <v>58.02</v>
      </c>
      <c r="G244" s="14" t="str">
        <f t="shared" si="210"/>
        <v>#DIV/0!</v>
      </c>
      <c r="H244" s="89"/>
      <c r="I244" s="137"/>
      <c r="J244" s="89">
        <f t="shared" si="211"/>
        <v>0</v>
      </c>
      <c r="K244" s="89">
        <f t="shared" si="212"/>
        <v>58.02</v>
      </c>
      <c r="L244" s="152" t="str">
        <f t="shared" si="213"/>
        <v>#DIV/0!</v>
      </c>
      <c r="M244" s="126">
        <v>31040.0</v>
      </c>
      <c r="N244" s="131">
        <f t="shared" si="214"/>
        <v>1800940.8</v>
      </c>
    </row>
    <row r="245">
      <c r="A245" s="154"/>
      <c r="B245" s="156" t="s">
        <v>49</v>
      </c>
      <c r="C245" s="89"/>
      <c r="D245" s="89"/>
      <c r="E245" s="12">
        <f t="shared" si="209"/>
        <v>0</v>
      </c>
      <c r="F245" s="157"/>
      <c r="G245" s="14" t="str">
        <f t="shared" si="210"/>
        <v>#DIV/0!</v>
      </c>
      <c r="H245" s="89"/>
      <c r="I245" s="137"/>
      <c r="J245" s="89">
        <f t="shared" si="211"/>
        <v>0</v>
      </c>
      <c r="K245" s="89" t="str">
        <f t="shared" si="212"/>
        <v/>
      </c>
      <c r="L245" s="152" t="str">
        <f t="shared" si="213"/>
        <v>#DIV/0!</v>
      </c>
      <c r="M245" s="126"/>
      <c r="N245" s="131">
        <f>F245*M245</f>
        <v>0</v>
      </c>
    </row>
    <row r="246">
      <c r="A246" s="154"/>
      <c r="B246" s="63"/>
      <c r="C246" s="62"/>
      <c r="D246" s="64" t="s">
        <v>19</v>
      </c>
      <c r="E246" s="64">
        <f t="shared" ref="E246:F246" si="215">sum(E241:E245)</f>
        <v>0</v>
      </c>
      <c r="F246" s="64">
        <f t="shared" si="215"/>
        <v>232.87</v>
      </c>
      <c r="G246" s="65" t="str">
        <f>average(G241:G245)</f>
        <v>#DIV/0!</v>
      </c>
      <c r="H246" s="62"/>
      <c r="I246" s="66"/>
      <c r="J246" s="64">
        <f t="shared" ref="J246:K246" si="216">sum(J241:J245)</f>
        <v>0</v>
      </c>
      <c r="K246" s="64">
        <f t="shared" si="216"/>
        <v>232.87</v>
      </c>
      <c r="L246" s="65" t="str">
        <f>average(L241:L245)</f>
        <v>#DIV/0!</v>
      </c>
      <c r="M246" s="68"/>
      <c r="N246" s="69">
        <f>sum(N241:N245)</f>
        <v>7950684.4</v>
      </c>
    </row>
    <row r="247">
      <c r="A247" s="154">
        <v>46115.0</v>
      </c>
      <c r="B247" s="156" t="s">
        <v>50</v>
      </c>
      <c r="C247" s="89"/>
      <c r="D247" s="13"/>
      <c r="E247" s="38"/>
      <c r="F247" s="39">
        <v>97.99</v>
      </c>
      <c r="G247" s="14" t="str">
        <f t="shared" ref="G247:G251" si="217">(F247/E247)*100</f>
        <v>#DIV/0!</v>
      </c>
      <c r="H247" s="89"/>
      <c r="I247" s="138"/>
      <c r="J247" s="89">
        <f t="shared" ref="J247:J251" si="218">I247-H247</f>
        <v>0</v>
      </c>
      <c r="K247" s="89">
        <f t="shared" ref="K247:K251" si="219">F247</f>
        <v>97.99</v>
      </c>
      <c r="L247" s="152" t="str">
        <f t="shared" ref="L247:L251" si="220">(K247/J247)*100</f>
        <v>#DIV/0!</v>
      </c>
      <c r="M247" s="72">
        <v>40820.0</v>
      </c>
      <c r="N247" s="49">
        <f>F247*M247</f>
        <v>3999951.8</v>
      </c>
    </row>
    <row r="248">
      <c r="A248" s="154">
        <v>46122.0</v>
      </c>
      <c r="B248" s="156" t="s">
        <v>50</v>
      </c>
      <c r="C248" s="89"/>
      <c r="D248" s="89"/>
      <c r="E248" s="12">
        <f t="shared" ref="E248:E251" si="221">D248-C248</f>
        <v>0</v>
      </c>
      <c r="F248" s="157">
        <v>212.37</v>
      </c>
      <c r="G248" s="14" t="str">
        <f t="shared" si="217"/>
        <v>#DIV/0!</v>
      </c>
      <c r="H248" s="89"/>
      <c r="I248" s="137"/>
      <c r="J248" s="89">
        <f t="shared" si="218"/>
        <v>0</v>
      </c>
      <c r="K248" s="89">
        <f t="shared" si="219"/>
        <v>212.37</v>
      </c>
      <c r="L248" s="152" t="str">
        <f t="shared" si="220"/>
        <v>#DIV/0!</v>
      </c>
      <c r="M248" s="126">
        <v>32960.0</v>
      </c>
      <c r="N248" s="49">
        <f>M248*K248</f>
        <v>6999715.2</v>
      </c>
    </row>
    <row r="249">
      <c r="A249" s="154">
        <v>46137.0</v>
      </c>
      <c r="B249" s="156" t="s">
        <v>50</v>
      </c>
      <c r="C249" s="89"/>
      <c r="D249" s="89"/>
      <c r="E249" s="12">
        <f t="shared" si="221"/>
        <v>0</v>
      </c>
      <c r="F249" s="157">
        <v>179.84</v>
      </c>
      <c r="G249" s="14" t="str">
        <f t="shared" si="217"/>
        <v>#DIV/0!</v>
      </c>
      <c r="H249" s="89"/>
      <c r="I249" s="137"/>
      <c r="J249" s="89">
        <f t="shared" si="218"/>
        <v>0</v>
      </c>
      <c r="K249" s="89">
        <f t="shared" si="219"/>
        <v>179.84</v>
      </c>
      <c r="L249" s="152" t="str">
        <f t="shared" si="220"/>
        <v>#DIV/0!</v>
      </c>
      <c r="M249" s="126">
        <v>26690.0</v>
      </c>
      <c r="N249" s="49">
        <f t="shared" ref="N249:N251" si="222">F249*M249</f>
        <v>4799929.6</v>
      </c>
    </row>
    <row r="250">
      <c r="A250" s="154"/>
      <c r="B250" s="156" t="s">
        <v>50</v>
      </c>
      <c r="C250" s="89"/>
      <c r="D250" s="89"/>
      <c r="E250" s="12">
        <f t="shared" si="221"/>
        <v>0</v>
      </c>
      <c r="F250" s="157"/>
      <c r="G250" s="14" t="str">
        <f t="shared" si="217"/>
        <v>#DIV/0!</v>
      </c>
      <c r="H250" s="89"/>
      <c r="I250" s="137"/>
      <c r="J250" s="89">
        <f t="shared" si="218"/>
        <v>0</v>
      </c>
      <c r="K250" s="89" t="str">
        <f t="shared" si="219"/>
        <v/>
      </c>
      <c r="L250" s="152" t="str">
        <f t="shared" si="220"/>
        <v>#DIV/0!</v>
      </c>
      <c r="M250" s="126"/>
      <c r="N250" s="49">
        <f t="shared" si="222"/>
        <v>0</v>
      </c>
    </row>
    <row r="251">
      <c r="A251" s="154"/>
      <c r="B251" s="156" t="s">
        <v>50</v>
      </c>
      <c r="C251" s="89"/>
      <c r="D251" s="89"/>
      <c r="E251" s="12">
        <f t="shared" si="221"/>
        <v>0</v>
      </c>
      <c r="F251" s="157"/>
      <c r="G251" s="14" t="str">
        <f t="shared" si="217"/>
        <v>#DIV/0!</v>
      </c>
      <c r="H251" s="89"/>
      <c r="I251" s="137"/>
      <c r="J251" s="89">
        <f t="shared" si="218"/>
        <v>0</v>
      </c>
      <c r="K251" s="89" t="str">
        <f t="shared" si="219"/>
        <v/>
      </c>
      <c r="L251" s="152" t="str">
        <f t="shared" si="220"/>
        <v>#DIV/0!</v>
      </c>
      <c r="M251" s="126"/>
      <c r="N251" s="49">
        <f t="shared" si="222"/>
        <v>0</v>
      </c>
    </row>
    <row r="252">
      <c r="A252" s="154"/>
      <c r="B252" s="63"/>
      <c r="C252" s="62"/>
      <c r="D252" s="64" t="s">
        <v>19</v>
      </c>
      <c r="E252" s="64">
        <f t="shared" ref="E252:F252" si="223">sum(E247:E251)</f>
        <v>0</v>
      </c>
      <c r="F252" s="64">
        <f t="shared" si="223"/>
        <v>490.2</v>
      </c>
      <c r="G252" s="65" t="str">
        <f>average(G247:G251)</f>
        <v>#DIV/0!</v>
      </c>
      <c r="H252" s="62"/>
      <c r="I252" s="66"/>
      <c r="J252" s="64">
        <f t="shared" ref="J252:K252" si="224">sum(J247:J251)</f>
        <v>0</v>
      </c>
      <c r="K252" s="64">
        <f t="shared" si="224"/>
        <v>490.2</v>
      </c>
      <c r="L252" s="65" t="str">
        <f>average(L247:L251)</f>
        <v>#DIV/0!</v>
      </c>
      <c r="M252" s="68"/>
      <c r="N252" s="69">
        <f>sum(N247:N251)</f>
        <v>15799596.6</v>
      </c>
    </row>
    <row r="253">
      <c r="A253" s="154">
        <v>46114.0</v>
      </c>
      <c r="B253" s="182" t="s">
        <v>51</v>
      </c>
      <c r="C253" s="89">
        <v>306297.0</v>
      </c>
      <c r="D253" s="89">
        <v>306559.0</v>
      </c>
      <c r="E253" s="12">
        <f t="shared" ref="E253:E258" si="225">D253-C253</f>
        <v>262</v>
      </c>
      <c r="F253" s="39">
        <v>80.84</v>
      </c>
      <c r="G253" s="14">
        <f t="shared" ref="G253:G258" si="226">(F253/E253)*100</f>
        <v>30.85496183</v>
      </c>
      <c r="H253" s="137">
        <v>20466.0</v>
      </c>
      <c r="I253" s="137">
        <v>20679.0</v>
      </c>
      <c r="J253" s="41">
        <f t="shared" ref="J253:J258" si="227">I253-H253</f>
        <v>213</v>
      </c>
      <c r="K253" s="41">
        <f t="shared" ref="K253:K258" si="228">F253</f>
        <v>80.84</v>
      </c>
      <c r="L253" s="152">
        <f t="shared" ref="L253:L258" si="229">(K253/J253)*100</f>
        <v>37.95305164</v>
      </c>
      <c r="M253" s="72">
        <v>35440.0</v>
      </c>
      <c r="N253" s="49">
        <f t="shared" ref="N253:N256" si="230">F253*M253</f>
        <v>2864969.6</v>
      </c>
    </row>
    <row r="254">
      <c r="A254" s="154">
        <v>46119.0</v>
      </c>
      <c r="B254" s="182" t="s">
        <v>51</v>
      </c>
      <c r="C254" s="89">
        <v>306559.0</v>
      </c>
      <c r="D254" s="89">
        <v>307032.0</v>
      </c>
      <c r="E254" s="12">
        <f t="shared" si="225"/>
        <v>473</v>
      </c>
      <c r="F254" s="157">
        <v>115.24</v>
      </c>
      <c r="G254" s="14">
        <f t="shared" si="226"/>
        <v>24.36363636</v>
      </c>
      <c r="H254" s="137">
        <v>20679.0</v>
      </c>
      <c r="I254" s="89">
        <v>21439.0</v>
      </c>
      <c r="J254" s="89">
        <f t="shared" si="227"/>
        <v>760</v>
      </c>
      <c r="K254" s="89">
        <f t="shared" si="228"/>
        <v>115.24</v>
      </c>
      <c r="L254" s="152">
        <f t="shared" si="229"/>
        <v>15.16315789</v>
      </c>
      <c r="M254" s="126">
        <v>44780.0</v>
      </c>
      <c r="N254" s="49">
        <f t="shared" si="230"/>
        <v>5160447.2</v>
      </c>
    </row>
    <row r="255">
      <c r="A255" s="154">
        <v>46125.0</v>
      </c>
      <c r="B255" s="182" t="s">
        <v>51</v>
      </c>
      <c r="C255" s="89">
        <v>307032.0</v>
      </c>
      <c r="D255" s="89">
        <v>307572.0</v>
      </c>
      <c r="E255" s="12">
        <f t="shared" si="225"/>
        <v>540</v>
      </c>
      <c r="F255" s="157">
        <v>140.17</v>
      </c>
      <c r="G255" s="14">
        <f t="shared" si="226"/>
        <v>25.95740741</v>
      </c>
      <c r="H255" s="89">
        <v>21439.0</v>
      </c>
      <c r="I255" s="137">
        <v>21866.0</v>
      </c>
      <c r="J255" s="89">
        <f t="shared" si="227"/>
        <v>427</v>
      </c>
      <c r="K255" s="89">
        <f t="shared" si="228"/>
        <v>140.17</v>
      </c>
      <c r="L255" s="152">
        <f t="shared" si="229"/>
        <v>32.82669789</v>
      </c>
      <c r="M255" s="126">
        <v>32960.0</v>
      </c>
      <c r="N255" s="49">
        <f t="shared" si="230"/>
        <v>4620003.2</v>
      </c>
    </row>
    <row r="256">
      <c r="A256" s="154">
        <v>46128.0</v>
      </c>
      <c r="B256" s="182" t="s">
        <v>51</v>
      </c>
      <c r="C256" s="89">
        <v>307572.0</v>
      </c>
      <c r="D256" s="89">
        <v>308016.0</v>
      </c>
      <c r="E256" s="12">
        <f t="shared" si="225"/>
        <v>444</v>
      </c>
      <c r="F256" s="157">
        <v>139.18</v>
      </c>
      <c r="G256" s="14">
        <f t="shared" si="226"/>
        <v>31.34684685</v>
      </c>
      <c r="H256" s="137">
        <v>21866.0</v>
      </c>
      <c r="I256" s="137">
        <v>22132.0</v>
      </c>
      <c r="J256" s="89">
        <f t="shared" si="227"/>
        <v>266</v>
      </c>
      <c r="K256" s="89">
        <f t="shared" si="228"/>
        <v>139.18</v>
      </c>
      <c r="L256" s="152">
        <f t="shared" si="229"/>
        <v>52.32330827</v>
      </c>
      <c r="M256" s="126">
        <v>31040.0</v>
      </c>
      <c r="N256" s="49">
        <f t="shared" si="230"/>
        <v>4320147.2</v>
      </c>
    </row>
    <row r="257">
      <c r="A257" s="154">
        <v>46134.0</v>
      </c>
      <c r="B257" s="182" t="s">
        <v>51</v>
      </c>
      <c r="C257" s="89">
        <v>308016.0</v>
      </c>
      <c r="D257" s="89">
        <v>308432.0</v>
      </c>
      <c r="E257" s="12">
        <f t="shared" si="225"/>
        <v>416</v>
      </c>
      <c r="F257" s="157">
        <v>113.11</v>
      </c>
      <c r="G257" s="14">
        <f t="shared" si="226"/>
        <v>27.18990385</v>
      </c>
      <c r="H257" s="137">
        <v>22132.0</v>
      </c>
      <c r="I257" s="137">
        <v>22974.0</v>
      </c>
      <c r="J257" s="89">
        <f t="shared" si="227"/>
        <v>842</v>
      </c>
      <c r="K257" s="89">
        <f t="shared" si="228"/>
        <v>113.11</v>
      </c>
      <c r="L257" s="152">
        <f t="shared" si="229"/>
        <v>13.43349169</v>
      </c>
      <c r="M257" s="126">
        <v>27850.0</v>
      </c>
      <c r="N257" s="49">
        <f t="shared" ref="N257:N258" si="231">M257*K257</f>
        <v>3150113.5</v>
      </c>
    </row>
    <row r="258">
      <c r="A258" s="154">
        <v>46139.0</v>
      </c>
      <c r="B258" s="182" t="s">
        <v>51</v>
      </c>
      <c r="C258" s="89">
        <v>308432.0</v>
      </c>
      <c r="D258" s="89">
        <v>308843.0</v>
      </c>
      <c r="E258" s="12">
        <f t="shared" si="225"/>
        <v>411</v>
      </c>
      <c r="F258" s="157">
        <v>116.15</v>
      </c>
      <c r="G258" s="14">
        <f t="shared" si="226"/>
        <v>28.26034063</v>
      </c>
      <c r="H258" s="137"/>
      <c r="I258" s="137">
        <v>22882.0</v>
      </c>
      <c r="J258" s="89">
        <f t="shared" si="227"/>
        <v>22882</v>
      </c>
      <c r="K258" s="89">
        <f t="shared" si="228"/>
        <v>116.15</v>
      </c>
      <c r="L258" s="152">
        <f t="shared" si="229"/>
        <v>0.5076042304</v>
      </c>
      <c r="M258" s="126">
        <v>26690.0</v>
      </c>
      <c r="N258" s="49">
        <f t="shared" si="231"/>
        <v>3100043.5</v>
      </c>
    </row>
    <row r="259">
      <c r="A259" s="154"/>
      <c r="B259" s="63"/>
      <c r="C259" s="62"/>
      <c r="D259" s="64" t="s">
        <v>19</v>
      </c>
      <c r="E259" s="64">
        <f>sum(E253:E257)</f>
        <v>2135</v>
      </c>
      <c r="F259" s="64">
        <f>sum(F253:F258)</f>
        <v>704.69</v>
      </c>
      <c r="G259" s="65">
        <f>average(G253:G257)</f>
        <v>27.94255126</v>
      </c>
      <c r="H259" s="62"/>
      <c r="I259" s="66"/>
      <c r="J259" s="64">
        <f t="shared" ref="J259:K259" si="232">sum(J253:J257)</f>
        <v>2508</v>
      </c>
      <c r="K259" s="64">
        <f t="shared" si="232"/>
        <v>588.54</v>
      </c>
      <c r="L259" s="65">
        <f>average(L253:L257)</f>
        <v>30.33994148</v>
      </c>
      <c r="M259" s="68"/>
      <c r="N259" s="69">
        <f>sum(N253:N258)</f>
        <v>23215724.2</v>
      </c>
    </row>
    <row r="260">
      <c r="A260" s="154">
        <v>46113.0</v>
      </c>
      <c r="B260" s="190" t="s">
        <v>62</v>
      </c>
      <c r="C260" s="89"/>
      <c r="D260" s="13"/>
      <c r="E260" s="38">
        <f t="shared" ref="E260:E267" si="233">D260-C260</f>
        <v>0</v>
      </c>
      <c r="F260" s="39"/>
      <c r="G260" s="14" t="str">
        <f t="shared" ref="G260:G267" si="234">(F260/E260)*100</f>
        <v>#DIV/0!</v>
      </c>
      <c r="H260" s="89"/>
      <c r="I260" s="138"/>
      <c r="J260" s="41">
        <f t="shared" ref="J260:J267" si="235">I260-H260</f>
        <v>0</v>
      </c>
      <c r="K260" s="41" t="str">
        <f t="shared" ref="K260:K267" si="236">F260</f>
        <v/>
      </c>
      <c r="L260" s="152" t="str">
        <f t="shared" ref="L260:L267" si="237">(K260/J260)*100</f>
        <v>#DIV/0!</v>
      </c>
      <c r="M260" s="72"/>
      <c r="N260" s="131">
        <v>3000000.0</v>
      </c>
    </row>
    <row r="261">
      <c r="A261" s="154">
        <v>46115.0</v>
      </c>
      <c r="B261" s="190" t="s">
        <v>62</v>
      </c>
      <c r="C261" s="89"/>
      <c r="D261" s="89"/>
      <c r="E261" s="12">
        <f t="shared" si="233"/>
        <v>0</v>
      </c>
      <c r="F261" s="157"/>
      <c r="G261" s="14" t="str">
        <f t="shared" si="234"/>
        <v>#DIV/0!</v>
      </c>
      <c r="H261" s="89"/>
      <c r="I261" s="137"/>
      <c r="J261" s="89">
        <f t="shared" si="235"/>
        <v>0</v>
      </c>
      <c r="K261" s="89" t="str">
        <f t="shared" si="236"/>
        <v/>
      </c>
      <c r="L261" s="152" t="str">
        <f t="shared" si="237"/>
        <v>#DIV/0!</v>
      </c>
      <c r="M261" s="126"/>
      <c r="N261" s="131">
        <v>5000000.0</v>
      </c>
    </row>
    <row r="262">
      <c r="A262" s="154">
        <v>46118.0</v>
      </c>
      <c r="B262" s="190" t="s">
        <v>62</v>
      </c>
      <c r="C262" s="89"/>
      <c r="D262" s="89"/>
      <c r="E262" s="12">
        <f t="shared" si="233"/>
        <v>0</v>
      </c>
      <c r="F262" s="157"/>
      <c r="G262" s="14" t="str">
        <f t="shared" si="234"/>
        <v>#DIV/0!</v>
      </c>
      <c r="H262" s="89"/>
      <c r="I262" s="137"/>
      <c r="J262" s="89">
        <f t="shared" si="235"/>
        <v>0</v>
      </c>
      <c r="K262" s="89" t="str">
        <f t="shared" si="236"/>
        <v/>
      </c>
      <c r="L262" s="152" t="str">
        <f t="shared" si="237"/>
        <v>#DIV/0!</v>
      </c>
      <c r="M262" s="126"/>
      <c r="N262" s="131">
        <v>5000000.0</v>
      </c>
    </row>
    <row r="263">
      <c r="A263" s="154">
        <v>46121.0</v>
      </c>
      <c r="B263" s="190" t="s">
        <v>62</v>
      </c>
      <c r="C263" s="89"/>
      <c r="D263" s="89"/>
      <c r="E263" s="12">
        <f t="shared" si="233"/>
        <v>0</v>
      </c>
      <c r="F263" s="157"/>
      <c r="G263" s="14" t="str">
        <f t="shared" si="234"/>
        <v>#DIV/0!</v>
      </c>
      <c r="H263" s="89"/>
      <c r="I263" s="137"/>
      <c r="J263" s="89">
        <f t="shared" si="235"/>
        <v>0</v>
      </c>
      <c r="K263" s="89" t="str">
        <f t="shared" si="236"/>
        <v/>
      </c>
      <c r="L263" s="152" t="str">
        <f t="shared" si="237"/>
        <v>#DIV/0!</v>
      </c>
      <c r="M263" s="126"/>
      <c r="N263" s="131">
        <v>3000000.0</v>
      </c>
    </row>
    <row r="264">
      <c r="A264" s="154">
        <v>46122.0</v>
      </c>
      <c r="B264" s="190" t="s">
        <v>62</v>
      </c>
      <c r="C264" s="89"/>
      <c r="D264" s="89"/>
      <c r="E264" s="12">
        <f t="shared" si="233"/>
        <v>0</v>
      </c>
      <c r="F264" s="157"/>
      <c r="G264" s="14" t="str">
        <f t="shared" si="234"/>
        <v>#DIV/0!</v>
      </c>
      <c r="H264" s="89"/>
      <c r="I264" s="137"/>
      <c r="J264" s="89">
        <f t="shared" si="235"/>
        <v>0</v>
      </c>
      <c r="K264" s="89" t="str">
        <f t="shared" si="236"/>
        <v/>
      </c>
      <c r="L264" s="152" t="str">
        <f t="shared" si="237"/>
        <v>#DIV/0!</v>
      </c>
      <c r="M264" s="126"/>
      <c r="N264" s="131">
        <v>1.0E7</v>
      </c>
    </row>
    <row r="265">
      <c r="A265" s="154">
        <v>46130.0</v>
      </c>
      <c r="B265" s="190" t="s">
        <v>62</v>
      </c>
      <c r="C265" s="89"/>
      <c r="D265" s="89"/>
      <c r="E265" s="12">
        <f t="shared" si="233"/>
        <v>0</v>
      </c>
      <c r="F265" s="157"/>
      <c r="G265" s="14" t="str">
        <f t="shared" si="234"/>
        <v>#DIV/0!</v>
      </c>
      <c r="H265" s="89"/>
      <c r="I265" s="137"/>
      <c r="J265" s="89">
        <f t="shared" si="235"/>
        <v>0</v>
      </c>
      <c r="K265" s="89" t="str">
        <f t="shared" si="236"/>
        <v/>
      </c>
      <c r="L265" s="152" t="str">
        <f t="shared" si="237"/>
        <v>#DIV/0!</v>
      </c>
      <c r="M265" s="126"/>
      <c r="N265" s="131">
        <v>3000000.0</v>
      </c>
    </row>
    <row r="266">
      <c r="A266" s="154">
        <v>46135.0</v>
      </c>
      <c r="B266" s="190" t="s">
        <v>62</v>
      </c>
      <c r="C266" s="89"/>
      <c r="D266" s="89"/>
      <c r="E266" s="12">
        <f t="shared" si="233"/>
        <v>0</v>
      </c>
      <c r="F266" s="157"/>
      <c r="G266" s="14" t="str">
        <f t="shared" si="234"/>
        <v>#DIV/0!</v>
      </c>
      <c r="H266" s="89"/>
      <c r="I266" s="137"/>
      <c r="J266" s="89">
        <f t="shared" si="235"/>
        <v>0</v>
      </c>
      <c r="K266" s="89" t="str">
        <f t="shared" si="236"/>
        <v/>
      </c>
      <c r="L266" s="152" t="str">
        <f t="shared" si="237"/>
        <v>#DIV/0!</v>
      </c>
      <c r="M266" s="126"/>
      <c r="N266" s="131">
        <v>3000000.0</v>
      </c>
    </row>
    <row r="267">
      <c r="A267" s="154">
        <v>46141.0</v>
      </c>
      <c r="B267" s="190" t="s">
        <v>62</v>
      </c>
      <c r="C267" s="89"/>
      <c r="D267" s="89"/>
      <c r="E267" s="12">
        <f t="shared" si="233"/>
        <v>0</v>
      </c>
      <c r="F267" s="157"/>
      <c r="G267" s="14" t="str">
        <f t="shared" si="234"/>
        <v>#DIV/0!</v>
      </c>
      <c r="H267" s="89"/>
      <c r="I267" s="137"/>
      <c r="J267" s="89">
        <f t="shared" si="235"/>
        <v>0</v>
      </c>
      <c r="K267" s="89" t="str">
        <f t="shared" si="236"/>
        <v/>
      </c>
      <c r="L267" s="152" t="str">
        <f t="shared" si="237"/>
        <v>#DIV/0!</v>
      </c>
      <c r="M267" s="126"/>
      <c r="N267" s="131">
        <v>4000000.0</v>
      </c>
    </row>
    <row r="268">
      <c r="A268" s="62"/>
      <c r="B268" s="63"/>
      <c r="C268" s="62"/>
      <c r="D268" s="64"/>
      <c r="E268" s="64">
        <f t="shared" ref="E268:F268" si="238">sum(E260:E264)</f>
        <v>0</v>
      </c>
      <c r="F268" s="64">
        <f t="shared" si="238"/>
        <v>0</v>
      </c>
      <c r="G268" s="65" t="str">
        <f>average(G260:G264)</f>
        <v>#DIV/0!</v>
      </c>
      <c r="H268" s="62"/>
      <c r="I268" s="66"/>
      <c r="J268" s="64">
        <f t="shared" ref="J268:K268" si="239">sum(J260:J264)</f>
        <v>0</v>
      </c>
      <c r="K268" s="64">
        <f t="shared" si="239"/>
        <v>0</v>
      </c>
      <c r="L268" s="65" t="str">
        <f>average(L260:L264)</f>
        <v>#DIV/0!</v>
      </c>
      <c r="M268" s="68"/>
      <c r="N268" s="69">
        <f>sum(N260:N267)</f>
        <v>36000000</v>
      </c>
    </row>
    <row r="269">
      <c r="A269" s="70">
        <v>46113.0</v>
      </c>
      <c r="B269" s="156" t="s">
        <v>54</v>
      </c>
      <c r="C269" s="89"/>
      <c r="D269" s="13"/>
      <c r="E269" s="38">
        <f t="shared" ref="E269:E274" si="240">D269-C269</f>
        <v>0</v>
      </c>
      <c r="F269" s="39"/>
      <c r="G269" s="14" t="str">
        <f t="shared" ref="G269:G274" si="241">(F269/E269)*100</f>
        <v>#DIV/0!</v>
      </c>
      <c r="H269" s="89"/>
      <c r="I269" s="138"/>
      <c r="J269" s="41">
        <f t="shared" ref="J269:J276" si="242">I269-H269</f>
        <v>0</v>
      </c>
      <c r="K269" s="41"/>
      <c r="L269" s="152" t="str">
        <f t="shared" ref="L269:L276" si="243">(K269/J269)*100</f>
        <v>#DIV/0!</v>
      </c>
      <c r="M269" s="72"/>
      <c r="N269" s="49">
        <v>3000000.0</v>
      </c>
    </row>
    <row r="270">
      <c r="A270" s="35">
        <v>46115.0</v>
      </c>
      <c r="B270" s="156" t="s">
        <v>54</v>
      </c>
      <c r="C270" s="89"/>
      <c r="D270" s="89"/>
      <c r="E270" s="12">
        <f t="shared" si="240"/>
        <v>0</v>
      </c>
      <c r="F270" s="157"/>
      <c r="G270" s="14" t="str">
        <f t="shared" si="241"/>
        <v>#DIV/0!</v>
      </c>
      <c r="H270" s="89"/>
      <c r="I270" s="137"/>
      <c r="J270" s="89">
        <f t="shared" si="242"/>
        <v>0</v>
      </c>
      <c r="K270" s="89" t="str">
        <f t="shared" ref="K270:K276" si="244">F270</f>
        <v/>
      </c>
      <c r="L270" s="152" t="str">
        <f t="shared" si="243"/>
        <v>#DIV/0!</v>
      </c>
      <c r="M270" s="126"/>
      <c r="N270" s="49">
        <v>3000000.0</v>
      </c>
    </row>
    <row r="271">
      <c r="A271" s="35">
        <v>46115.0</v>
      </c>
      <c r="B271" s="156" t="s">
        <v>54</v>
      </c>
      <c r="C271" s="89"/>
      <c r="D271" s="89"/>
      <c r="E271" s="12">
        <f t="shared" si="240"/>
        <v>0</v>
      </c>
      <c r="F271" s="157"/>
      <c r="G271" s="14" t="str">
        <f t="shared" si="241"/>
        <v>#DIV/0!</v>
      </c>
      <c r="H271" s="89"/>
      <c r="I271" s="137"/>
      <c r="J271" s="89">
        <f t="shared" si="242"/>
        <v>0</v>
      </c>
      <c r="K271" s="89" t="str">
        <f t="shared" si="244"/>
        <v/>
      </c>
      <c r="L271" s="152" t="str">
        <f t="shared" si="243"/>
        <v>#DIV/0!</v>
      </c>
      <c r="M271" s="126"/>
      <c r="N271" s="49">
        <v>3000000.0</v>
      </c>
    </row>
    <row r="272">
      <c r="A272" s="35">
        <v>46120.0</v>
      </c>
      <c r="B272" s="156" t="s">
        <v>54</v>
      </c>
      <c r="C272" s="89"/>
      <c r="D272" s="89"/>
      <c r="E272" s="12">
        <f t="shared" si="240"/>
        <v>0</v>
      </c>
      <c r="F272" s="157"/>
      <c r="G272" s="14" t="str">
        <f t="shared" si="241"/>
        <v>#DIV/0!</v>
      </c>
      <c r="H272" s="89"/>
      <c r="I272" s="137"/>
      <c r="J272" s="89">
        <f t="shared" si="242"/>
        <v>0</v>
      </c>
      <c r="K272" s="89" t="str">
        <f t="shared" si="244"/>
        <v/>
      </c>
      <c r="L272" s="152" t="str">
        <f t="shared" si="243"/>
        <v>#DIV/0!</v>
      </c>
      <c r="M272" s="126"/>
      <c r="N272" s="49">
        <v>3000000.0</v>
      </c>
    </row>
    <row r="273">
      <c r="A273" s="35">
        <v>46122.0</v>
      </c>
      <c r="B273" s="156" t="s">
        <v>54</v>
      </c>
      <c r="C273" s="89"/>
      <c r="D273" s="89"/>
      <c r="E273" s="12">
        <f t="shared" si="240"/>
        <v>0</v>
      </c>
      <c r="F273" s="157"/>
      <c r="G273" s="14" t="str">
        <f t="shared" si="241"/>
        <v>#DIV/0!</v>
      </c>
      <c r="H273" s="89"/>
      <c r="I273" s="137"/>
      <c r="J273" s="89">
        <f t="shared" si="242"/>
        <v>0</v>
      </c>
      <c r="K273" s="89" t="str">
        <f t="shared" si="244"/>
        <v/>
      </c>
      <c r="L273" s="152" t="str">
        <f t="shared" si="243"/>
        <v>#DIV/0!</v>
      </c>
      <c r="M273" s="126"/>
      <c r="N273" s="49">
        <v>1.38E7</v>
      </c>
    </row>
    <row r="274">
      <c r="A274" s="35">
        <v>46135.0</v>
      </c>
      <c r="B274" s="156" t="s">
        <v>54</v>
      </c>
      <c r="C274" s="89"/>
      <c r="D274" s="89"/>
      <c r="E274" s="12">
        <f t="shared" si="240"/>
        <v>0</v>
      </c>
      <c r="F274" s="157"/>
      <c r="G274" s="14" t="str">
        <f t="shared" si="241"/>
        <v>#DIV/0!</v>
      </c>
      <c r="H274" s="89"/>
      <c r="I274" s="137"/>
      <c r="J274" s="89">
        <f t="shared" si="242"/>
        <v>0</v>
      </c>
      <c r="K274" s="89" t="str">
        <f t="shared" si="244"/>
        <v/>
      </c>
      <c r="L274" s="152" t="str">
        <f t="shared" si="243"/>
        <v>#DIV/0!</v>
      </c>
      <c r="M274" s="126"/>
      <c r="N274" s="49">
        <v>5000000.0</v>
      </c>
    </row>
    <row r="275">
      <c r="A275" s="35">
        <v>46137.0</v>
      </c>
      <c r="B275" s="156" t="s">
        <v>54</v>
      </c>
      <c r="C275" s="89"/>
      <c r="D275" s="89"/>
      <c r="E275" s="12"/>
      <c r="F275" s="157"/>
      <c r="G275" s="14"/>
      <c r="H275" s="89"/>
      <c r="I275" s="137"/>
      <c r="J275" s="89">
        <f t="shared" si="242"/>
        <v>0</v>
      </c>
      <c r="K275" s="89" t="str">
        <f t="shared" si="244"/>
        <v/>
      </c>
      <c r="L275" s="152" t="str">
        <f t="shared" si="243"/>
        <v>#DIV/0!</v>
      </c>
      <c r="M275" s="126"/>
      <c r="N275" s="49">
        <v>5000000.0</v>
      </c>
    </row>
    <row r="276">
      <c r="A276" s="35"/>
      <c r="B276" s="156" t="s">
        <v>54</v>
      </c>
      <c r="C276" s="89"/>
      <c r="D276" s="89"/>
      <c r="E276" s="12">
        <f>D276-C276</f>
        <v>0</v>
      </c>
      <c r="F276" s="157"/>
      <c r="G276" s="14" t="str">
        <f>(F276/E276)*100</f>
        <v>#DIV/0!</v>
      </c>
      <c r="H276" s="89"/>
      <c r="I276" s="137"/>
      <c r="J276" s="89">
        <f t="shared" si="242"/>
        <v>0</v>
      </c>
      <c r="K276" s="89" t="str">
        <f t="shared" si="244"/>
        <v/>
      </c>
      <c r="L276" s="152" t="str">
        <f t="shared" si="243"/>
        <v>#DIV/0!</v>
      </c>
      <c r="M276" s="126"/>
      <c r="N276" s="49">
        <f>M276*F276</f>
        <v>0</v>
      </c>
    </row>
    <row r="277">
      <c r="A277" s="70"/>
      <c r="B277" s="63"/>
      <c r="C277" s="62"/>
      <c r="D277" s="64" t="s">
        <v>19</v>
      </c>
      <c r="E277" s="64">
        <f t="shared" ref="E277:F277" si="245">sum(E269:E276)</f>
        <v>0</v>
      </c>
      <c r="F277" s="64">
        <f t="shared" si="245"/>
        <v>0</v>
      </c>
      <c r="G277" s="65" t="str">
        <f>average(G269:G276)</f>
        <v>#DIV/0!</v>
      </c>
      <c r="H277" s="62"/>
      <c r="I277" s="66"/>
      <c r="J277" s="64">
        <f t="shared" ref="J277:K277" si="246">sum(J269:J276)</f>
        <v>0</v>
      </c>
      <c r="K277" s="64">
        <f t="shared" si="246"/>
        <v>0</v>
      </c>
      <c r="L277" s="65" t="str">
        <f>average(L269:L276)</f>
        <v>#DIV/0!</v>
      </c>
      <c r="M277" s="68"/>
      <c r="N277" s="69">
        <f>sum(N269:N276)</f>
        <v>35800000</v>
      </c>
    </row>
    <row r="278">
      <c r="A278" s="70">
        <v>46113.0</v>
      </c>
      <c r="B278" s="156" t="s">
        <v>69</v>
      </c>
      <c r="C278" s="89"/>
      <c r="D278" s="13"/>
      <c r="E278" s="38">
        <f t="shared" ref="E278:E285" si="247">D278-C278</f>
        <v>0</v>
      </c>
      <c r="F278" s="39"/>
      <c r="G278" s="14" t="str">
        <f t="shared" ref="G278:G285" si="248">(F278/E278)*100</f>
        <v>#DIV/0!</v>
      </c>
      <c r="H278" s="89"/>
      <c r="I278" s="138"/>
      <c r="J278" s="41">
        <f t="shared" ref="J278:J285" si="249">I278-H278</f>
        <v>0</v>
      </c>
      <c r="K278" s="41" t="str">
        <f t="shared" ref="K278:K280" si="250">F278</f>
        <v/>
      </c>
      <c r="L278" s="71" t="str">
        <f t="shared" ref="L278:L285" si="251">(K278/J278)*100</f>
        <v>#DIV/0!</v>
      </c>
      <c r="M278" s="72"/>
      <c r="N278" s="49">
        <v>3000000.0</v>
      </c>
    </row>
    <row r="279">
      <c r="A279" s="35">
        <v>46113.0</v>
      </c>
      <c r="B279" s="156" t="s">
        <v>69</v>
      </c>
      <c r="C279" s="89"/>
      <c r="D279" s="89"/>
      <c r="E279" s="12">
        <f t="shared" si="247"/>
        <v>0</v>
      </c>
      <c r="F279" s="157"/>
      <c r="G279" s="14" t="str">
        <f t="shared" si="248"/>
        <v>#DIV/0!</v>
      </c>
      <c r="H279" s="89"/>
      <c r="I279" s="137"/>
      <c r="J279" s="37">
        <f t="shared" si="249"/>
        <v>0</v>
      </c>
      <c r="K279" s="37" t="str">
        <f t="shared" si="250"/>
        <v/>
      </c>
      <c r="L279" s="48" t="str">
        <f t="shared" si="251"/>
        <v>#DIV/0!</v>
      </c>
      <c r="M279" s="126"/>
      <c r="N279" s="49">
        <v>1000000.0</v>
      </c>
    </row>
    <row r="280">
      <c r="A280" s="35">
        <v>46114.0</v>
      </c>
      <c r="B280" s="156" t="s">
        <v>69</v>
      </c>
      <c r="C280" s="89"/>
      <c r="D280" s="13"/>
      <c r="E280" s="38">
        <f t="shared" si="247"/>
        <v>0</v>
      </c>
      <c r="F280" s="39"/>
      <c r="G280" s="14" t="str">
        <f t="shared" si="248"/>
        <v>#DIV/0!</v>
      </c>
      <c r="H280" s="89"/>
      <c r="I280" s="138"/>
      <c r="J280" s="41">
        <f t="shared" si="249"/>
        <v>0</v>
      </c>
      <c r="K280" s="41" t="str">
        <f t="shared" si="250"/>
        <v/>
      </c>
      <c r="L280" s="71" t="str">
        <f t="shared" si="251"/>
        <v>#DIV/0!</v>
      </c>
      <c r="M280" s="72"/>
      <c r="N280" s="49">
        <v>3000000.0</v>
      </c>
    </row>
    <row r="281">
      <c r="A281" s="35">
        <v>46115.0</v>
      </c>
      <c r="B281" s="156" t="s">
        <v>69</v>
      </c>
      <c r="C281" s="89"/>
      <c r="D281" s="89"/>
      <c r="E281" s="12">
        <f t="shared" si="247"/>
        <v>0</v>
      </c>
      <c r="F281" s="157"/>
      <c r="G281" s="14" t="str">
        <f t="shared" si="248"/>
        <v>#DIV/0!</v>
      </c>
      <c r="H281" s="89"/>
      <c r="I281" s="137"/>
      <c r="J281" s="37">
        <f t="shared" si="249"/>
        <v>0</v>
      </c>
      <c r="K281" s="37"/>
      <c r="L281" s="48" t="str">
        <f t="shared" si="251"/>
        <v>#DIV/0!</v>
      </c>
      <c r="M281" s="126"/>
      <c r="N281" s="49">
        <v>3000000.0</v>
      </c>
    </row>
    <row r="282" ht="18.75" customHeight="1">
      <c r="A282" s="35">
        <v>46119.0</v>
      </c>
      <c r="B282" s="156" t="s">
        <v>69</v>
      </c>
      <c r="C282" s="89"/>
      <c r="D282" s="89"/>
      <c r="E282" s="12">
        <f t="shared" si="247"/>
        <v>0</v>
      </c>
      <c r="F282" s="157"/>
      <c r="G282" s="14" t="str">
        <f t="shared" si="248"/>
        <v>#DIV/0!</v>
      </c>
      <c r="H282" s="89"/>
      <c r="I282" s="137"/>
      <c r="J282" s="37">
        <f t="shared" si="249"/>
        <v>0</v>
      </c>
      <c r="K282" s="37" t="str">
        <f t="shared" ref="K282:K285" si="252">F282</f>
        <v/>
      </c>
      <c r="L282" s="77" t="str">
        <f t="shared" si="251"/>
        <v>#DIV/0!</v>
      </c>
      <c r="M282" s="126"/>
      <c r="N282" s="49">
        <v>2000000.0</v>
      </c>
    </row>
    <row r="283">
      <c r="A283" s="35">
        <v>46121.0</v>
      </c>
      <c r="B283" s="156" t="s">
        <v>69</v>
      </c>
      <c r="C283" s="89"/>
      <c r="D283" s="89"/>
      <c r="E283" s="12">
        <f t="shared" si="247"/>
        <v>0</v>
      </c>
      <c r="F283" s="157"/>
      <c r="G283" s="14" t="str">
        <f t="shared" si="248"/>
        <v>#DIV/0!</v>
      </c>
      <c r="H283" s="89"/>
      <c r="I283" s="137"/>
      <c r="J283" s="89">
        <f t="shared" si="249"/>
        <v>0</v>
      </c>
      <c r="K283" s="89" t="str">
        <f t="shared" si="252"/>
        <v/>
      </c>
      <c r="L283" s="152" t="str">
        <f t="shared" si="251"/>
        <v>#DIV/0!</v>
      </c>
      <c r="M283" s="126"/>
      <c r="N283" s="49">
        <v>2000000.0</v>
      </c>
    </row>
    <row r="284">
      <c r="A284" s="35"/>
      <c r="B284" s="156" t="s">
        <v>69</v>
      </c>
      <c r="C284" s="89"/>
      <c r="D284" s="89"/>
      <c r="E284" s="12">
        <f t="shared" si="247"/>
        <v>0</v>
      </c>
      <c r="F284" s="157"/>
      <c r="G284" s="14" t="str">
        <f t="shared" si="248"/>
        <v>#DIV/0!</v>
      </c>
      <c r="H284" s="89"/>
      <c r="I284" s="137"/>
      <c r="J284" s="89">
        <f t="shared" si="249"/>
        <v>0</v>
      </c>
      <c r="K284" s="89" t="str">
        <f t="shared" si="252"/>
        <v/>
      </c>
      <c r="L284" s="152" t="str">
        <f t="shared" si="251"/>
        <v>#DIV/0!</v>
      </c>
      <c r="M284" s="126"/>
      <c r="N284" s="49"/>
    </row>
    <row r="285">
      <c r="A285" s="35"/>
      <c r="B285" s="156" t="s">
        <v>69</v>
      </c>
      <c r="C285" s="89"/>
      <c r="D285" s="89"/>
      <c r="E285" s="12">
        <f t="shared" si="247"/>
        <v>0</v>
      </c>
      <c r="F285" s="157"/>
      <c r="G285" s="14" t="str">
        <f t="shared" si="248"/>
        <v>#DIV/0!</v>
      </c>
      <c r="H285" s="89"/>
      <c r="I285" s="137"/>
      <c r="J285" s="89">
        <f t="shared" si="249"/>
        <v>0</v>
      </c>
      <c r="K285" s="89" t="str">
        <f t="shared" si="252"/>
        <v/>
      </c>
      <c r="L285" s="152" t="str">
        <f t="shared" si="251"/>
        <v>#DIV/0!</v>
      </c>
      <c r="M285" s="126"/>
      <c r="N285" s="49"/>
    </row>
    <row r="286">
      <c r="A286" s="70"/>
      <c r="B286" s="63"/>
      <c r="C286" s="62"/>
      <c r="D286" s="64" t="s">
        <v>19</v>
      </c>
      <c r="E286" s="64">
        <f t="shared" ref="E286:F286" si="253">sum(E278:E283)</f>
        <v>0</v>
      </c>
      <c r="F286" s="64">
        <f t="shared" si="253"/>
        <v>0</v>
      </c>
      <c r="G286" s="65" t="str">
        <f>average(G278:G283)</f>
        <v>#DIV/0!</v>
      </c>
      <c r="H286" s="62"/>
      <c r="I286" s="66"/>
      <c r="J286" s="64">
        <f t="shared" ref="J286:K286" si="254">sum(J278:J283)</f>
        <v>0</v>
      </c>
      <c r="K286" s="64">
        <f t="shared" si="254"/>
        <v>0</v>
      </c>
      <c r="L286" s="65" t="str">
        <f>average(L278:L283)</f>
        <v>#DIV/0!</v>
      </c>
      <c r="M286" s="68"/>
      <c r="N286" s="69">
        <f>sum(N278:N285)</f>
        <v>14000000</v>
      </c>
    </row>
    <row r="287">
      <c r="A287" s="70">
        <v>46114.0</v>
      </c>
      <c r="B287" s="192" t="s">
        <v>63</v>
      </c>
      <c r="C287" s="89">
        <v>154172.0</v>
      </c>
      <c r="D287" s="89"/>
      <c r="E287" s="38">
        <f t="shared" ref="E287:E292" si="255">D287-C287</f>
        <v>-154172</v>
      </c>
      <c r="F287" s="39">
        <v>84.65</v>
      </c>
      <c r="G287" s="14">
        <f t="shared" ref="G287:G292" si="256">(F287/E287)*100</f>
        <v>-0.05490620865</v>
      </c>
      <c r="H287" s="89">
        <v>154017.0</v>
      </c>
      <c r="I287" s="89">
        <v>154963.0</v>
      </c>
      <c r="J287" s="41">
        <f t="shared" ref="J287:J292" si="257">I287-H287</f>
        <v>946</v>
      </c>
      <c r="K287" s="41">
        <f t="shared" ref="K287:K292" si="258">F287</f>
        <v>84.65</v>
      </c>
      <c r="L287" s="152">
        <f t="shared" ref="L287:L292" si="259">(K287/J287)*100</f>
        <v>8.94820296</v>
      </c>
      <c r="M287" s="72">
        <v>35440.0</v>
      </c>
      <c r="N287" s="49">
        <f>M287*F287</f>
        <v>2999996</v>
      </c>
    </row>
    <row r="288">
      <c r="A288" s="35">
        <v>46131.0</v>
      </c>
      <c r="B288" s="192" t="s">
        <v>63</v>
      </c>
      <c r="C288" s="89"/>
      <c r="D288" s="13"/>
      <c r="E288" s="12">
        <f t="shared" si="255"/>
        <v>0</v>
      </c>
      <c r="F288" s="157">
        <v>291.32</v>
      </c>
      <c r="G288" s="14" t="str">
        <f t="shared" si="256"/>
        <v>#DIV/0!</v>
      </c>
      <c r="H288" s="89"/>
      <c r="I288" s="89"/>
      <c r="J288" s="41">
        <f t="shared" si="257"/>
        <v>0</v>
      </c>
      <c r="K288" s="37">
        <f t="shared" si="258"/>
        <v>291.32</v>
      </c>
      <c r="L288" s="152" t="str">
        <f t="shared" si="259"/>
        <v>#DIV/0!</v>
      </c>
      <c r="M288" s="72">
        <v>31040.0</v>
      </c>
      <c r="N288" s="49">
        <v>2042000.0</v>
      </c>
    </row>
    <row r="289">
      <c r="A289" s="35">
        <v>46119.0</v>
      </c>
      <c r="B289" s="192" t="s">
        <v>63</v>
      </c>
      <c r="C289" s="13"/>
      <c r="D289" s="89"/>
      <c r="E289" s="12">
        <f t="shared" si="255"/>
        <v>0</v>
      </c>
      <c r="F289" s="157"/>
      <c r="G289" s="14" t="str">
        <f t="shared" si="256"/>
        <v>#DIV/0!</v>
      </c>
      <c r="H289" s="89"/>
      <c r="I289" s="89"/>
      <c r="J289" s="89">
        <f t="shared" si="257"/>
        <v>0</v>
      </c>
      <c r="K289" s="37" t="str">
        <f t="shared" si="258"/>
        <v/>
      </c>
      <c r="L289" s="152" t="str">
        <f t="shared" si="259"/>
        <v>#DIV/0!</v>
      </c>
      <c r="M289" s="126"/>
      <c r="N289" s="49">
        <v>1.2885E7</v>
      </c>
    </row>
    <row r="290">
      <c r="A290" s="35"/>
      <c r="B290" s="192" t="s">
        <v>63</v>
      </c>
      <c r="C290" s="89"/>
      <c r="D290" s="89"/>
      <c r="E290" s="12">
        <f t="shared" si="255"/>
        <v>0</v>
      </c>
      <c r="F290" s="157"/>
      <c r="G290" s="14" t="str">
        <f t="shared" si="256"/>
        <v>#DIV/0!</v>
      </c>
      <c r="H290" s="89"/>
      <c r="I290" s="89"/>
      <c r="J290" s="89">
        <f t="shared" si="257"/>
        <v>0</v>
      </c>
      <c r="K290" s="37" t="str">
        <f t="shared" si="258"/>
        <v/>
      </c>
      <c r="L290" s="152" t="str">
        <f t="shared" si="259"/>
        <v>#DIV/0!</v>
      </c>
      <c r="M290" s="126"/>
      <c r="N290" s="49">
        <f t="shared" ref="N290:N292" si="260">M290*F290</f>
        <v>0</v>
      </c>
    </row>
    <row r="291">
      <c r="A291" s="35"/>
      <c r="B291" s="192" t="s">
        <v>63</v>
      </c>
      <c r="C291" s="37"/>
      <c r="D291" s="89"/>
      <c r="E291" s="12">
        <f t="shared" si="255"/>
        <v>0</v>
      </c>
      <c r="F291" s="157"/>
      <c r="G291" s="14" t="str">
        <f t="shared" si="256"/>
        <v>#DIV/0!</v>
      </c>
      <c r="H291" s="89"/>
      <c r="I291" s="137"/>
      <c r="J291" s="89">
        <f t="shared" si="257"/>
        <v>0</v>
      </c>
      <c r="K291" s="37" t="str">
        <f t="shared" si="258"/>
        <v/>
      </c>
      <c r="L291" s="152" t="str">
        <f t="shared" si="259"/>
        <v>#DIV/0!</v>
      </c>
      <c r="M291" s="126"/>
      <c r="N291" s="49">
        <f t="shared" si="260"/>
        <v>0</v>
      </c>
    </row>
    <row r="292">
      <c r="A292" s="154"/>
      <c r="B292" s="192" t="s">
        <v>63</v>
      </c>
      <c r="C292" s="89"/>
      <c r="D292" s="89"/>
      <c r="E292" s="12">
        <f t="shared" si="255"/>
        <v>0</v>
      </c>
      <c r="F292" s="157"/>
      <c r="G292" s="14" t="str">
        <f t="shared" si="256"/>
        <v>#DIV/0!</v>
      </c>
      <c r="H292" s="89"/>
      <c r="I292" s="137"/>
      <c r="J292" s="89">
        <f t="shared" si="257"/>
        <v>0</v>
      </c>
      <c r="K292" s="37" t="str">
        <f t="shared" si="258"/>
        <v/>
      </c>
      <c r="L292" s="152" t="str">
        <f t="shared" si="259"/>
        <v>#DIV/0!</v>
      </c>
      <c r="M292" s="126"/>
      <c r="N292" s="49">
        <f t="shared" si="260"/>
        <v>0</v>
      </c>
    </row>
    <row r="293">
      <c r="A293" s="62"/>
      <c r="B293" s="63"/>
      <c r="C293" s="62"/>
      <c r="D293" s="64" t="s">
        <v>19</v>
      </c>
      <c r="E293" s="64">
        <f t="shared" ref="E293:F293" si="261">sum(E287:E292)</f>
        <v>-154172</v>
      </c>
      <c r="F293" s="64">
        <f t="shared" si="261"/>
        <v>375.97</v>
      </c>
      <c r="G293" s="65" t="str">
        <f>average(G287:G292)</f>
        <v>#DIV/0!</v>
      </c>
      <c r="H293" s="62"/>
      <c r="I293" s="66"/>
      <c r="J293" s="64">
        <f t="shared" ref="J293:K293" si="262">sum(J287:J292)</f>
        <v>946</v>
      </c>
      <c r="K293" s="64">
        <f t="shared" si="262"/>
        <v>375.97</v>
      </c>
      <c r="L293" s="65" t="str">
        <f>average(L287:L292)</f>
        <v>#DIV/0!</v>
      </c>
      <c r="M293" s="68"/>
      <c r="N293" s="69">
        <f>sum(N287:N292)</f>
        <v>17926996</v>
      </c>
    </row>
    <row r="294">
      <c r="A294" s="70">
        <v>46113.0</v>
      </c>
      <c r="B294" s="192" t="s">
        <v>57</v>
      </c>
      <c r="C294" s="89">
        <v>9931.0</v>
      </c>
      <c r="D294" s="89">
        <v>10073.0</v>
      </c>
      <c r="E294" s="12">
        <f t="shared" ref="E294:E299" si="263">D294-C294</f>
        <v>142</v>
      </c>
      <c r="F294" s="39">
        <v>84.65</v>
      </c>
      <c r="G294" s="14">
        <f t="shared" ref="G294:G299" si="264">(F294/E294)*100</f>
        <v>59.61267606</v>
      </c>
      <c r="H294" s="137">
        <v>9937.0</v>
      </c>
      <c r="I294" s="137">
        <v>10200.0</v>
      </c>
      <c r="J294" s="41">
        <f t="shared" ref="J294:J299" si="265">I294-H294</f>
        <v>263</v>
      </c>
      <c r="K294" s="41">
        <f t="shared" ref="K294:K299" si="266">F294</f>
        <v>84.65</v>
      </c>
      <c r="L294" s="152">
        <f t="shared" ref="L294:L299" si="267">(K294/J294)*100</f>
        <v>32.18631179</v>
      </c>
      <c r="M294" s="72">
        <v>35440.0</v>
      </c>
      <c r="N294" s="49">
        <f t="shared" ref="N294:N299" si="268">M294*F294</f>
        <v>2999996</v>
      </c>
    </row>
    <row r="295">
      <c r="A295" s="70">
        <v>46114.0</v>
      </c>
      <c r="B295" s="192" t="s">
        <v>57</v>
      </c>
      <c r="C295" s="89">
        <v>10073.0</v>
      </c>
      <c r="D295" s="13">
        <v>10256.0</v>
      </c>
      <c r="E295" s="12">
        <f t="shared" si="263"/>
        <v>183</v>
      </c>
      <c r="F295" s="157">
        <v>84.65</v>
      </c>
      <c r="G295" s="14">
        <f t="shared" si="264"/>
        <v>46.2568306</v>
      </c>
      <c r="H295" s="137">
        <v>10200.0</v>
      </c>
      <c r="I295" s="137">
        <v>10254.0</v>
      </c>
      <c r="J295" s="89">
        <f t="shared" si="265"/>
        <v>54</v>
      </c>
      <c r="K295" s="41">
        <f t="shared" si="266"/>
        <v>84.65</v>
      </c>
      <c r="L295" s="152">
        <f t="shared" si="267"/>
        <v>156.7592593</v>
      </c>
      <c r="M295" s="72">
        <v>35440.0</v>
      </c>
      <c r="N295" s="49">
        <f t="shared" si="268"/>
        <v>2999996</v>
      </c>
    </row>
    <row r="296">
      <c r="A296" s="35">
        <v>46118.0</v>
      </c>
      <c r="B296" s="192" t="s">
        <v>57</v>
      </c>
      <c r="C296" s="13">
        <v>10256.0</v>
      </c>
      <c r="D296" s="89">
        <v>10543.0</v>
      </c>
      <c r="E296" s="12">
        <f t="shared" si="263"/>
        <v>287</v>
      </c>
      <c r="F296" s="157">
        <v>107.51</v>
      </c>
      <c r="G296" s="14">
        <f t="shared" si="264"/>
        <v>37.45993031</v>
      </c>
      <c r="H296" s="137">
        <v>10254.0</v>
      </c>
      <c r="I296" s="137">
        <v>10549.0</v>
      </c>
      <c r="J296" s="89">
        <f t="shared" si="265"/>
        <v>295</v>
      </c>
      <c r="K296" s="37">
        <f t="shared" si="266"/>
        <v>107.51</v>
      </c>
      <c r="L296" s="152">
        <f t="shared" si="267"/>
        <v>36.4440678</v>
      </c>
      <c r="M296" s="72">
        <v>44780.0</v>
      </c>
      <c r="N296" s="49">
        <f t="shared" si="268"/>
        <v>4814297.8</v>
      </c>
    </row>
    <row r="297">
      <c r="A297" s="35">
        <v>46123.0</v>
      </c>
      <c r="B297" s="192" t="s">
        <v>57</v>
      </c>
      <c r="C297" s="89">
        <v>10543.0</v>
      </c>
      <c r="D297" s="89">
        <v>11064.0</v>
      </c>
      <c r="E297" s="12">
        <f t="shared" si="263"/>
        <v>521</v>
      </c>
      <c r="F297" s="157">
        <v>157.78</v>
      </c>
      <c r="G297" s="14">
        <f t="shared" si="264"/>
        <v>30.2840691</v>
      </c>
      <c r="H297" s="137">
        <v>10549.0</v>
      </c>
      <c r="I297" s="137">
        <v>11084.0</v>
      </c>
      <c r="J297" s="89">
        <f t="shared" si="265"/>
        <v>535</v>
      </c>
      <c r="K297" s="37">
        <f t="shared" si="266"/>
        <v>157.78</v>
      </c>
      <c r="L297" s="152">
        <f t="shared" si="267"/>
        <v>29.49158879</v>
      </c>
      <c r="M297" s="126">
        <v>32960.0</v>
      </c>
      <c r="N297" s="49">
        <f t="shared" si="268"/>
        <v>5200428.8</v>
      </c>
    </row>
    <row r="298">
      <c r="A298" s="35">
        <v>46130.0</v>
      </c>
      <c r="B298" s="192" t="s">
        <v>57</v>
      </c>
      <c r="C298" s="89">
        <v>11064.0</v>
      </c>
      <c r="D298" s="89">
        <v>11600.0</v>
      </c>
      <c r="E298" s="12">
        <f t="shared" si="263"/>
        <v>536</v>
      </c>
      <c r="F298" s="157">
        <v>172.37</v>
      </c>
      <c r="G298" s="14">
        <f t="shared" si="264"/>
        <v>32.15858209</v>
      </c>
      <c r="H298" s="137">
        <v>11084.0</v>
      </c>
      <c r="I298" s="137">
        <v>11661.0</v>
      </c>
      <c r="J298" s="89">
        <f t="shared" si="265"/>
        <v>577</v>
      </c>
      <c r="K298" s="37">
        <f t="shared" si="266"/>
        <v>172.37</v>
      </c>
      <c r="L298" s="152">
        <f t="shared" si="267"/>
        <v>29.87348354</v>
      </c>
      <c r="M298" s="126">
        <v>31040.0</v>
      </c>
      <c r="N298" s="49">
        <f t="shared" si="268"/>
        <v>5350364.8</v>
      </c>
    </row>
    <row r="299">
      <c r="A299" s="154">
        <v>46137.0</v>
      </c>
      <c r="B299" s="192" t="s">
        <v>57</v>
      </c>
      <c r="C299" s="89">
        <v>11600.0</v>
      </c>
      <c r="D299" s="89">
        <v>12096.0</v>
      </c>
      <c r="E299" s="12">
        <f t="shared" si="263"/>
        <v>496</v>
      </c>
      <c r="F299" s="157">
        <v>160.78</v>
      </c>
      <c r="G299" s="14">
        <f t="shared" si="264"/>
        <v>32.41532258</v>
      </c>
      <c r="H299" s="137">
        <v>11661.0</v>
      </c>
      <c r="I299" s="137">
        <v>12226.0</v>
      </c>
      <c r="J299" s="89">
        <f t="shared" si="265"/>
        <v>565</v>
      </c>
      <c r="K299" s="37">
        <f t="shared" si="266"/>
        <v>160.78</v>
      </c>
      <c r="L299" s="152">
        <f t="shared" si="267"/>
        <v>28.45663717</v>
      </c>
      <c r="M299" s="126">
        <v>26690.0</v>
      </c>
      <c r="N299" s="49">
        <f t="shared" si="268"/>
        <v>4291218.2</v>
      </c>
    </row>
    <row r="300">
      <c r="A300" s="62"/>
      <c r="B300" s="63"/>
      <c r="C300" s="62"/>
      <c r="D300" s="64" t="s">
        <v>19</v>
      </c>
      <c r="E300" s="64">
        <f t="shared" ref="E300:F300" si="269">sum(E294:E299)</f>
        <v>2165</v>
      </c>
      <c r="F300" s="64">
        <f t="shared" si="269"/>
        <v>767.74</v>
      </c>
      <c r="G300" s="65">
        <f>average(G294:G299)</f>
        <v>39.69790179</v>
      </c>
      <c r="H300" s="62"/>
      <c r="I300" s="66"/>
      <c r="J300" s="64">
        <f t="shared" ref="J300:K300" si="270">sum(J294:J299)</f>
        <v>2289</v>
      </c>
      <c r="K300" s="64">
        <f t="shared" si="270"/>
        <v>767.74</v>
      </c>
      <c r="L300" s="65">
        <f>average(L294:L299)</f>
        <v>52.20189139</v>
      </c>
      <c r="M300" s="68"/>
      <c r="N300" s="69">
        <f>sum(N294:N299)</f>
        <v>25656301.6</v>
      </c>
    </row>
    <row r="301">
      <c r="A301" s="70">
        <v>46113.0</v>
      </c>
      <c r="B301" s="192" t="s">
        <v>58</v>
      </c>
      <c r="C301" s="89">
        <v>10168.0</v>
      </c>
      <c r="D301" s="89">
        <v>10283.0</v>
      </c>
      <c r="E301" s="12">
        <f t="shared" ref="E301:E309" si="271">D301-C301</f>
        <v>115</v>
      </c>
      <c r="F301" s="39">
        <v>84.65</v>
      </c>
      <c r="G301" s="14">
        <f t="shared" ref="G301:G309" si="272">(F301/E301)*100</f>
        <v>73.60869565</v>
      </c>
      <c r="H301" s="137">
        <v>9934.0</v>
      </c>
      <c r="I301" s="137">
        <v>9982.0</v>
      </c>
      <c r="J301" s="89">
        <f t="shared" ref="J301:J309" si="273">I301-H301</f>
        <v>48</v>
      </c>
      <c r="K301" s="41">
        <f t="shared" ref="K301:K309" si="274">F301</f>
        <v>84.65</v>
      </c>
      <c r="L301" s="152">
        <f t="shared" ref="L301:L309" si="275">(K301/J301)*100</f>
        <v>176.3541667</v>
      </c>
      <c r="M301" s="72">
        <v>35440.0</v>
      </c>
      <c r="N301" s="49">
        <f t="shared" ref="N301:N309" si="276">M301*F301</f>
        <v>2999996</v>
      </c>
    </row>
    <row r="302">
      <c r="A302" s="35">
        <v>46118.0</v>
      </c>
      <c r="B302" s="192" t="s">
        <v>58</v>
      </c>
      <c r="C302" s="89">
        <v>10283.0</v>
      </c>
      <c r="D302" s="13">
        <v>10843.0</v>
      </c>
      <c r="E302" s="12">
        <f t="shared" si="271"/>
        <v>560</v>
      </c>
      <c r="F302" s="157">
        <v>147.38</v>
      </c>
      <c r="G302" s="14">
        <f t="shared" si="272"/>
        <v>26.31785714</v>
      </c>
      <c r="H302" s="137">
        <v>9982.0</v>
      </c>
      <c r="I302" s="137">
        <v>10344.0</v>
      </c>
      <c r="J302" s="89">
        <f t="shared" si="273"/>
        <v>362</v>
      </c>
      <c r="K302" s="37">
        <f t="shared" si="274"/>
        <v>147.38</v>
      </c>
      <c r="L302" s="152">
        <f t="shared" si="275"/>
        <v>40.71270718</v>
      </c>
      <c r="M302" s="72">
        <v>44780.0</v>
      </c>
      <c r="N302" s="49">
        <f t="shared" si="276"/>
        <v>6599676.4</v>
      </c>
    </row>
    <row r="303">
      <c r="A303" s="35">
        <v>46123.0</v>
      </c>
      <c r="B303" s="192" t="s">
        <v>58</v>
      </c>
      <c r="C303" s="13">
        <v>10843.0</v>
      </c>
      <c r="D303" s="89">
        <v>11233.0</v>
      </c>
      <c r="E303" s="12">
        <f t="shared" si="271"/>
        <v>390</v>
      </c>
      <c r="F303" s="157">
        <v>197.21</v>
      </c>
      <c r="G303" s="14">
        <f t="shared" si="272"/>
        <v>50.56666667</v>
      </c>
      <c r="H303" s="137">
        <v>10344.0</v>
      </c>
      <c r="I303" s="137">
        <v>10953.0</v>
      </c>
      <c r="J303" s="89">
        <f t="shared" si="273"/>
        <v>609</v>
      </c>
      <c r="K303" s="37">
        <f t="shared" si="274"/>
        <v>197.21</v>
      </c>
      <c r="L303" s="152">
        <f t="shared" si="275"/>
        <v>32.38259442</v>
      </c>
      <c r="M303" s="126">
        <v>32960.0</v>
      </c>
      <c r="N303" s="49">
        <f t="shared" si="276"/>
        <v>6500041.6</v>
      </c>
    </row>
    <row r="304">
      <c r="A304" s="35">
        <v>46129.0</v>
      </c>
      <c r="B304" s="192" t="s">
        <v>58</v>
      </c>
      <c r="C304" s="89">
        <v>11233.0</v>
      </c>
      <c r="D304" s="89">
        <v>11704.0</v>
      </c>
      <c r="E304" s="12">
        <f t="shared" si="271"/>
        <v>471</v>
      </c>
      <c r="F304" s="157">
        <v>154.64</v>
      </c>
      <c r="G304" s="14">
        <f t="shared" si="272"/>
        <v>32.83227176</v>
      </c>
      <c r="H304" s="137">
        <v>10953.0</v>
      </c>
      <c r="I304" s="137">
        <v>11510.0</v>
      </c>
      <c r="J304" s="89">
        <f t="shared" si="273"/>
        <v>557</v>
      </c>
      <c r="K304" s="37">
        <f t="shared" si="274"/>
        <v>154.64</v>
      </c>
      <c r="L304" s="152">
        <f t="shared" si="275"/>
        <v>27.76301616</v>
      </c>
      <c r="M304" s="126">
        <v>31040.0</v>
      </c>
      <c r="N304" s="49">
        <f t="shared" si="276"/>
        <v>4800025.6</v>
      </c>
    </row>
    <row r="305">
      <c r="A305" s="35">
        <v>46136.0</v>
      </c>
      <c r="B305" s="192" t="s">
        <v>58</v>
      </c>
      <c r="C305" s="89">
        <v>11704.0</v>
      </c>
      <c r="D305" s="89">
        <v>12372.0</v>
      </c>
      <c r="E305" s="12">
        <f t="shared" si="271"/>
        <v>668</v>
      </c>
      <c r="F305" s="157">
        <v>213.56</v>
      </c>
      <c r="G305" s="14">
        <f t="shared" si="272"/>
        <v>31.97005988</v>
      </c>
      <c r="H305" s="137">
        <v>11510.0</v>
      </c>
      <c r="I305" s="137">
        <v>12100.0</v>
      </c>
      <c r="J305" s="89">
        <f t="shared" si="273"/>
        <v>590</v>
      </c>
      <c r="K305" s="37">
        <f t="shared" si="274"/>
        <v>213.56</v>
      </c>
      <c r="L305" s="152">
        <f t="shared" si="275"/>
        <v>36.19661017</v>
      </c>
      <c r="M305" s="126">
        <v>26690.0</v>
      </c>
      <c r="N305" s="49">
        <f t="shared" si="276"/>
        <v>5699916.4</v>
      </c>
    </row>
    <row r="306">
      <c r="A306" s="154"/>
      <c r="B306" s="192" t="s">
        <v>58</v>
      </c>
      <c r="C306" s="89"/>
      <c r="D306" s="89"/>
      <c r="E306" s="12">
        <f t="shared" si="271"/>
        <v>0</v>
      </c>
      <c r="F306" s="157"/>
      <c r="G306" s="14" t="str">
        <f t="shared" si="272"/>
        <v>#DIV/0!</v>
      </c>
      <c r="H306" s="137"/>
      <c r="I306" s="137"/>
      <c r="J306" s="89">
        <f t="shared" si="273"/>
        <v>0</v>
      </c>
      <c r="K306" s="37" t="str">
        <f t="shared" si="274"/>
        <v/>
      </c>
      <c r="L306" s="152" t="str">
        <f t="shared" si="275"/>
        <v>#DIV/0!</v>
      </c>
      <c r="M306" s="126"/>
      <c r="N306" s="49">
        <f t="shared" si="276"/>
        <v>0</v>
      </c>
    </row>
    <row r="307">
      <c r="A307" s="154"/>
      <c r="B307" s="192" t="s">
        <v>58</v>
      </c>
      <c r="C307" s="89"/>
      <c r="D307" s="89"/>
      <c r="E307" s="12">
        <f t="shared" si="271"/>
        <v>0</v>
      </c>
      <c r="F307" s="157"/>
      <c r="G307" s="14" t="str">
        <f t="shared" si="272"/>
        <v>#DIV/0!</v>
      </c>
      <c r="H307" s="137"/>
      <c r="I307" s="137"/>
      <c r="J307" s="89">
        <f t="shared" si="273"/>
        <v>0</v>
      </c>
      <c r="K307" s="37" t="str">
        <f t="shared" si="274"/>
        <v/>
      </c>
      <c r="L307" s="152" t="str">
        <f t="shared" si="275"/>
        <v>#DIV/0!</v>
      </c>
      <c r="M307" s="126"/>
      <c r="N307" s="49">
        <f t="shared" si="276"/>
        <v>0</v>
      </c>
    </row>
    <row r="308">
      <c r="A308" s="154"/>
      <c r="B308" s="192" t="s">
        <v>58</v>
      </c>
      <c r="C308" s="89"/>
      <c r="D308" s="89"/>
      <c r="E308" s="12">
        <f t="shared" si="271"/>
        <v>0</v>
      </c>
      <c r="F308" s="157"/>
      <c r="G308" s="14" t="str">
        <f t="shared" si="272"/>
        <v>#DIV/0!</v>
      </c>
      <c r="H308" s="137"/>
      <c r="I308" s="137"/>
      <c r="J308" s="89">
        <f t="shared" si="273"/>
        <v>0</v>
      </c>
      <c r="K308" s="37" t="str">
        <f t="shared" si="274"/>
        <v/>
      </c>
      <c r="L308" s="152" t="str">
        <f t="shared" si="275"/>
        <v>#DIV/0!</v>
      </c>
      <c r="M308" s="126"/>
      <c r="N308" s="49">
        <f t="shared" si="276"/>
        <v>0</v>
      </c>
    </row>
    <row r="309">
      <c r="A309" s="154"/>
      <c r="B309" s="192" t="s">
        <v>58</v>
      </c>
      <c r="C309" s="89"/>
      <c r="D309" s="89"/>
      <c r="E309" s="12">
        <f t="shared" si="271"/>
        <v>0</v>
      </c>
      <c r="F309" s="157"/>
      <c r="G309" s="14" t="str">
        <f t="shared" si="272"/>
        <v>#DIV/0!</v>
      </c>
      <c r="H309" s="137"/>
      <c r="I309" s="137"/>
      <c r="J309" s="89">
        <f t="shared" si="273"/>
        <v>0</v>
      </c>
      <c r="K309" s="37" t="str">
        <f t="shared" si="274"/>
        <v/>
      </c>
      <c r="L309" s="152" t="str">
        <f t="shared" si="275"/>
        <v>#DIV/0!</v>
      </c>
      <c r="M309" s="126"/>
      <c r="N309" s="49">
        <f t="shared" si="276"/>
        <v>0</v>
      </c>
    </row>
    <row r="310">
      <c r="A310" s="62"/>
      <c r="B310" s="63"/>
      <c r="C310" s="62"/>
      <c r="D310" s="64" t="s">
        <v>19</v>
      </c>
      <c r="E310" s="64">
        <f>sum(E301:E306)</f>
        <v>2204</v>
      </c>
      <c r="F310" s="64">
        <f>sum(F301:F307)</f>
        <v>797.44</v>
      </c>
      <c r="G310" s="65" t="str">
        <f>average(G301:G306)</f>
        <v>#DIV/0!</v>
      </c>
      <c r="H310" s="62"/>
      <c r="I310" s="66"/>
      <c r="J310" s="64">
        <f t="shared" ref="J310:K310" si="277">sum(J301:J306)</f>
        <v>2166</v>
      </c>
      <c r="K310" s="64">
        <f t="shared" si="277"/>
        <v>797.44</v>
      </c>
      <c r="L310" s="65" t="str">
        <f>average(L301:L306)</f>
        <v>#DIV/0!</v>
      </c>
      <c r="M310" s="68"/>
      <c r="N310" s="69">
        <f>sum(N301:N309)</f>
        <v>26599656</v>
      </c>
    </row>
    <row r="311">
      <c r="A311" s="70">
        <v>46115.0</v>
      </c>
      <c r="B311" s="234" t="s">
        <v>70</v>
      </c>
      <c r="C311" s="89"/>
      <c r="D311" s="89"/>
      <c r="E311" s="12">
        <f t="shared" ref="E311:E316" si="278">D311-C311</f>
        <v>0</v>
      </c>
      <c r="F311" s="39"/>
      <c r="G311" s="14" t="str">
        <f t="shared" ref="G311:G316" si="279">(F311/E311)*100</f>
        <v>#DIV/0!</v>
      </c>
      <c r="H311" s="137"/>
      <c r="I311" s="137"/>
      <c r="J311" s="41">
        <f t="shared" ref="J311:J316" si="280">I311-H311</f>
        <v>0</v>
      </c>
      <c r="K311" s="41" t="str">
        <f t="shared" ref="K311:K316" si="281">F311</f>
        <v/>
      </c>
      <c r="L311" s="152" t="str">
        <f t="shared" ref="L311:L316" si="282">(K311/J311)*100</f>
        <v>#DIV/0!</v>
      </c>
      <c r="M311" s="72"/>
      <c r="N311" s="49">
        <v>4000000.0</v>
      </c>
    </row>
    <row r="312">
      <c r="A312" s="35">
        <v>46130.0</v>
      </c>
      <c r="B312" s="234" t="s">
        <v>70</v>
      </c>
      <c r="C312" s="89"/>
      <c r="D312" s="13"/>
      <c r="E312" s="12">
        <f t="shared" si="278"/>
        <v>0</v>
      </c>
      <c r="F312" s="157"/>
      <c r="G312" s="14" t="str">
        <f t="shared" si="279"/>
        <v>#DIV/0!</v>
      </c>
      <c r="H312" s="137"/>
      <c r="I312" s="137"/>
      <c r="J312" s="89">
        <f t="shared" si="280"/>
        <v>0</v>
      </c>
      <c r="K312" s="37" t="str">
        <f t="shared" si="281"/>
        <v/>
      </c>
      <c r="L312" s="152" t="str">
        <f t="shared" si="282"/>
        <v>#DIV/0!</v>
      </c>
      <c r="M312" s="72"/>
      <c r="N312" s="49">
        <v>5000000.0</v>
      </c>
    </row>
    <row r="313">
      <c r="A313" s="35"/>
      <c r="B313" s="234" t="s">
        <v>70</v>
      </c>
      <c r="C313" s="13"/>
      <c r="D313" s="89"/>
      <c r="E313" s="12">
        <f t="shared" si="278"/>
        <v>0</v>
      </c>
      <c r="F313" s="157"/>
      <c r="G313" s="14" t="str">
        <f t="shared" si="279"/>
        <v>#DIV/0!</v>
      </c>
      <c r="H313" s="137"/>
      <c r="I313" s="137"/>
      <c r="J313" s="89">
        <f t="shared" si="280"/>
        <v>0</v>
      </c>
      <c r="K313" s="37" t="str">
        <f t="shared" si="281"/>
        <v/>
      </c>
      <c r="L313" s="152" t="str">
        <f t="shared" si="282"/>
        <v>#DIV/0!</v>
      </c>
      <c r="M313" s="126"/>
      <c r="N313" s="49">
        <f t="shared" ref="N313:N316" si="283">M313*F313</f>
        <v>0</v>
      </c>
    </row>
    <row r="314">
      <c r="A314" s="35"/>
      <c r="B314" s="234" t="s">
        <v>70</v>
      </c>
      <c r="C314" s="89"/>
      <c r="D314" s="89"/>
      <c r="E314" s="12">
        <f t="shared" si="278"/>
        <v>0</v>
      </c>
      <c r="F314" s="157"/>
      <c r="G314" s="14" t="str">
        <f t="shared" si="279"/>
        <v>#DIV/0!</v>
      </c>
      <c r="H314" s="137"/>
      <c r="I314" s="137"/>
      <c r="J314" s="89">
        <f t="shared" si="280"/>
        <v>0</v>
      </c>
      <c r="K314" s="37" t="str">
        <f t="shared" si="281"/>
        <v/>
      </c>
      <c r="L314" s="152" t="str">
        <f t="shared" si="282"/>
        <v>#DIV/0!</v>
      </c>
      <c r="M314" s="126"/>
      <c r="N314" s="49">
        <f t="shared" si="283"/>
        <v>0</v>
      </c>
    </row>
    <row r="315">
      <c r="A315" s="35"/>
      <c r="B315" s="234" t="s">
        <v>70</v>
      </c>
      <c r="C315" s="37"/>
      <c r="D315" s="89"/>
      <c r="E315" s="12">
        <f t="shared" si="278"/>
        <v>0</v>
      </c>
      <c r="F315" s="157"/>
      <c r="G315" s="14" t="str">
        <f t="shared" si="279"/>
        <v>#DIV/0!</v>
      </c>
      <c r="H315" s="89"/>
      <c r="I315" s="137"/>
      <c r="J315" s="89">
        <f t="shared" si="280"/>
        <v>0</v>
      </c>
      <c r="K315" s="37" t="str">
        <f t="shared" si="281"/>
        <v/>
      </c>
      <c r="L315" s="152" t="str">
        <f t="shared" si="282"/>
        <v>#DIV/0!</v>
      </c>
      <c r="M315" s="126"/>
      <c r="N315" s="49">
        <f t="shared" si="283"/>
        <v>0</v>
      </c>
    </row>
    <row r="316">
      <c r="A316" s="154"/>
      <c r="B316" s="234" t="s">
        <v>70</v>
      </c>
      <c r="C316" s="89"/>
      <c r="D316" s="89"/>
      <c r="E316" s="12">
        <f t="shared" si="278"/>
        <v>0</v>
      </c>
      <c r="F316" s="157"/>
      <c r="G316" s="14" t="str">
        <f t="shared" si="279"/>
        <v>#DIV/0!</v>
      </c>
      <c r="H316" s="89"/>
      <c r="I316" s="137"/>
      <c r="J316" s="89">
        <f t="shared" si="280"/>
        <v>0</v>
      </c>
      <c r="K316" s="37" t="str">
        <f t="shared" si="281"/>
        <v/>
      </c>
      <c r="L316" s="152" t="str">
        <f t="shared" si="282"/>
        <v>#DIV/0!</v>
      </c>
      <c r="M316" s="126"/>
      <c r="N316" s="49">
        <f t="shared" si="283"/>
        <v>0</v>
      </c>
    </row>
    <row r="317">
      <c r="A317" s="62"/>
      <c r="B317" s="63"/>
      <c r="C317" s="62"/>
      <c r="D317" s="64" t="s">
        <v>19</v>
      </c>
      <c r="E317" s="64">
        <f t="shared" ref="E317:F317" si="284">sum(E311:E316)</f>
        <v>0</v>
      </c>
      <c r="F317" s="64">
        <f t="shared" si="284"/>
        <v>0</v>
      </c>
      <c r="G317" s="65" t="str">
        <f>average(G311:G316)</f>
        <v>#DIV/0!</v>
      </c>
      <c r="H317" s="62"/>
      <c r="I317" s="66"/>
      <c r="J317" s="64">
        <f t="shared" ref="J317:K317" si="285">sum(J311:J316)</f>
        <v>0</v>
      </c>
      <c r="K317" s="64">
        <f t="shared" si="285"/>
        <v>0</v>
      </c>
      <c r="L317" s="65" t="str">
        <f>average(L311:L316)</f>
        <v>#DIV/0!</v>
      </c>
      <c r="M317" s="68"/>
      <c r="N317" s="69">
        <f>sum(N311:N316)</f>
        <v>9000000</v>
      </c>
    </row>
    <row r="318">
      <c r="A318" s="70">
        <v>46113.0</v>
      </c>
      <c r="B318" s="192" t="s">
        <v>60</v>
      </c>
      <c r="C318" s="89">
        <v>7583.0</v>
      </c>
      <c r="D318" s="89">
        <v>8462.0</v>
      </c>
      <c r="E318" s="12">
        <f t="shared" ref="E318:E326" si="286">D318-C318</f>
        <v>879</v>
      </c>
      <c r="F318" s="39">
        <v>84.65</v>
      </c>
      <c r="G318" s="14">
        <f t="shared" ref="G318:G326" si="287">(F318/E318)*100</f>
        <v>9.630261661</v>
      </c>
      <c r="H318" s="137"/>
      <c r="I318" s="137"/>
      <c r="J318" s="41">
        <f t="shared" ref="J318:J326" si="288">I318-H318</f>
        <v>0</v>
      </c>
      <c r="K318" s="41">
        <f t="shared" ref="K318:K326" si="289">F318</f>
        <v>84.65</v>
      </c>
      <c r="L318" s="152" t="str">
        <f t="shared" ref="L318:L326" si="290">(K318/J318)*100</f>
        <v>#DIV/0!</v>
      </c>
      <c r="M318" s="72">
        <v>35440.0</v>
      </c>
      <c r="N318" s="49">
        <f t="shared" ref="N318:N326" si="291">M318*F318</f>
        <v>2999996</v>
      </c>
    </row>
    <row r="319">
      <c r="A319" s="35">
        <v>46114.0</v>
      </c>
      <c r="B319" s="192" t="s">
        <v>60</v>
      </c>
      <c r="C319" s="89">
        <v>8462.0</v>
      </c>
      <c r="D319" s="13">
        <v>8557.0</v>
      </c>
      <c r="E319" s="12">
        <f t="shared" si="286"/>
        <v>95</v>
      </c>
      <c r="F319" s="157">
        <v>84.65</v>
      </c>
      <c r="G319" s="14">
        <f t="shared" si="287"/>
        <v>89.10526316</v>
      </c>
      <c r="H319" s="137"/>
      <c r="I319" s="137"/>
      <c r="J319" s="89">
        <f t="shared" si="288"/>
        <v>0</v>
      </c>
      <c r="K319" s="37">
        <f t="shared" si="289"/>
        <v>84.65</v>
      </c>
      <c r="L319" s="152" t="str">
        <f t="shared" si="290"/>
        <v>#DIV/0!</v>
      </c>
      <c r="M319" s="72">
        <v>35440.0</v>
      </c>
      <c r="N319" s="49">
        <f t="shared" si="291"/>
        <v>2999996</v>
      </c>
    </row>
    <row r="320">
      <c r="A320" s="35">
        <v>46115.0</v>
      </c>
      <c r="B320" s="192" t="s">
        <v>60</v>
      </c>
      <c r="C320" s="13">
        <v>8557.0</v>
      </c>
      <c r="D320" s="89">
        <v>8807.0</v>
      </c>
      <c r="E320" s="12">
        <f t="shared" si="286"/>
        <v>250</v>
      </c>
      <c r="F320" s="157">
        <v>97.99</v>
      </c>
      <c r="G320" s="14">
        <f t="shared" si="287"/>
        <v>39.196</v>
      </c>
      <c r="H320" s="137"/>
      <c r="I320" s="137"/>
      <c r="J320" s="89">
        <f t="shared" si="288"/>
        <v>0</v>
      </c>
      <c r="K320" s="37">
        <f t="shared" si="289"/>
        <v>97.99</v>
      </c>
      <c r="L320" s="152" t="str">
        <f t="shared" si="290"/>
        <v>#DIV/0!</v>
      </c>
      <c r="M320" s="126">
        <v>40820.0</v>
      </c>
      <c r="N320" s="49">
        <f t="shared" si="291"/>
        <v>3999951.8</v>
      </c>
    </row>
    <row r="321">
      <c r="A321" s="35">
        <v>46119.0</v>
      </c>
      <c r="B321" s="192" t="s">
        <v>60</v>
      </c>
      <c r="C321" s="89">
        <v>8807.0</v>
      </c>
      <c r="D321" s="89">
        <v>9102.0</v>
      </c>
      <c r="E321" s="12">
        <f t="shared" si="286"/>
        <v>295</v>
      </c>
      <c r="F321" s="157">
        <v>165.25</v>
      </c>
      <c r="G321" s="196">
        <f t="shared" si="287"/>
        <v>56.01694915</v>
      </c>
      <c r="H321" s="137"/>
      <c r="I321" s="137"/>
      <c r="J321" s="89">
        <f t="shared" si="288"/>
        <v>0</v>
      </c>
      <c r="K321" s="37">
        <f t="shared" si="289"/>
        <v>165.25</v>
      </c>
      <c r="L321" s="152" t="str">
        <f t="shared" si="290"/>
        <v>#DIV/0!</v>
      </c>
      <c r="M321" s="126">
        <v>44780.0</v>
      </c>
      <c r="N321" s="49">
        <f t="shared" si="291"/>
        <v>7399895</v>
      </c>
    </row>
    <row r="322">
      <c r="A322" s="35">
        <v>46123.0</v>
      </c>
      <c r="B322" s="192" t="s">
        <v>60</v>
      </c>
      <c r="C322" s="89">
        <v>9102.0</v>
      </c>
      <c r="D322" s="89">
        <v>10025.0</v>
      </c>
      <c r="E322" s="12">
        <f t="shared" si="286"/>
        <v>923</v>
      </c>
      <c r="F322" s="157">
        <v>254.85</v>
      </c>
      <c r="G322" s="14">
        <f t="shared" si="287"/>
        <v>27.61105092</v>
      </c>
      <c r="H322" s="89"/>
      <c r="I322" s="137"/>
      <c r="J322" s="89">
        <f t="shared" si="288"/>
        <v>0</v>
      </c>
      <c r="K322" s="37">
        <f t="shared" si="289"/>
        <v>254.85</v>
      </c>
      <c r="L322" s="152" t="str">
        <f t="shared" si="290"/>
        <v>#DIV/0!</v>
      </c>
      <c r="M322" s="126">
        <v>32960.0</v>
      </c>
      <c r="N322" s="49">
        <f t="shared" si="291"/>
        <v>8399856</v>
      </c>
    </row>
    <row r="323">
      <c r="A323" s="154">
        <v>46127.0</v>
      </c>
      <c r="B323" s="192" t="s">
        <v>60</v>
      </c>
      <c r="C323" s="89">
        <v>10025.0</v>
      </c>
      <c r="D323" s="89">
        <v>10296.0</v>
      </c>
      <c r="E323" s="12">
        <f t="shared" si="286"/>
        <v>271</v>
      </c>
      <c r="F323" s="157">
        <v>74.332</v>
      </c>
      <c r="G323" s="14">
        <f t="shared" si="287"/>
        <v>27.42878229</v>
      </c>
      <c r="H323" s="89"/>
      <c r="I323" s="137"/>
      <c r="J323" s="89">
        <f t="shared" si="288"/>
        <v>0</v>
      </c>
      <c r="K323" s="37">
        <f t="shared" si="289"/>
        <v>74.332</v>
      </c>
      <c r="L323" s="152" t="str">
        <f t="shared" si="290"/>
        <v>#DIV/0!</v>
      </c>
      <c r="M323" s="126">
        <v>32960.0</v>
      </c>
      <c r="N323" s="49">
        <f t="shared" si="291"/>
        <v>2449982.72</v>
      </c>
      <c r="R323" s="197">
        <v>75.0</v>
      </c>
    </row>
    <row r="324">
      <c r="A324" s="154">
        <v>46131.0</v>
      </c>
      <c r="B324" s="192" t="s">
        <v>60</v>
      </c>
      <c r="C324" s="89">
        <v>10296.0</v>
      </c>
      <c r="D324" s="89">
        <v>11168.0</v>
      </c>
      <c r="E324" s="12">
        <f t="shared" si="286"/>
        <v>872</v>
      </c>
      <c r="F324" s="157">
        <v>222.31</v>
      </c>
      <c r="G324" s="14">
        <f t="shared" si="287"/>
        <v>25.49426606</v>
      </c>
      <c r="H324" s="89"/>
      <c r="I324" s="137"/>
      <c r="J324" s="89">
        <f t="shared" si="288"/>
        <v>0</v>
      </c>
      <c r="K324" s="37">
        <f t="shared" si="289"/>
        <v>222.31</v>
      </c>
      <c r="L324" s="152" t="str">
        <f t="shared" si="290"/>
        <v>#DIV/0!</v>
      </c>
      <c r="M324" s="126">
        <v>31040.0</v>
      </c>
      <c r="N324" s="49">
        <f t="shared" si="291"/>
        <v>6900502.4</v>
      </c>
    </row>
    <row r="325">
      <c r="A325" s="154">
        <v>46131.0</v>
      </c>
      <c r="B325" s="192" t="s">
        <v>60</v>
      </c>
      <c r="C325" s="89">
        <v>11168.0</v>
      </c>
      <c r="D325" s="89">
        <v>11948.0</v>
      </c>
      <c r="E325" s="12">
        <f t="shared" si="286"/>
        <v>780</v>
      </c>
      <c r="F325" s="157">
        <v>207.94</v>
      </c>
      <c r="G325" s="14">
        <f t="shared" si="287"/>
        <v>26.65897436</v>
      </c>
      <c r="H325" s="89"/>
      <c r="I325" s="137"/>
      <c r="J325" s="89">
        <f t="shared" si="288"/>
        <v>0</v>
      </c>
      <c r="K325" s="37">
        <f t="shared" si="289"/>
        <v>207.94</v>
      </c>
      <c r="L325" s="152" t="str">
        <f t="shared" si="290"/>
        <v>#DIV/0!</v>
      </c>
      <c r="M325" s="126">
        <v>26690.0</v>
      </c>
      <c r="N325" s="49">
        <f t="shared" si="291"/>
        <v>5549918.6</v>
      </c>
    </row>
    <row r="326">
      <c r="A326" s="154">
        <v>46141.0</v>
      </c>
      <c r="B326" s="192" t="s">
        <v>60</v>
      </c>
      <c r="C326" s="89">
        <v>11948.0</v>
      </c>
      <c r="D326" s="89">
        <v>12801.0</v>
      </c>
      <c r="E326" s="12">
        <f t="shared" si="286"/>
        <v>853</v>
      </c>
      <c r="F326" s="157">
        <v>202.32</v>
      </c>
      <c r="G326" s="14">
        <f t="shared" si="287"/>
        <v>23.71864009</v>
      </c>
      <c r="H326" s="89"/>
      <c r="I326" s="137"/>
      <c r="J326" s="89">
        <f t="shared" si="288"/>
        <v>0</v>
      </c>
      <c r="K326" s="37">
        <f t="shared" si="289"/>
        <v>202.32</v>
      </c>
      <c r="L326" s="152" t="str">
        <f t="shared" si="290"/>
        <v>#DIV/0!</v>
      </c>
      <c r="M326" s="126">
        <v>26690.0</v>
      </c>
      <c r="N326" s="49">
        <f t="shared" si="291"/>
        <v>5399920.8</v>
      </c>
    </row>
    <row r="327">
      <c r="A327" s="62"/>
      <c r="B327" s="63"/>
      <c r="C327" s="62"/>
      <c r="D327" s="64" t="s">
        <v>19</v>
      </c>
      <c r="E327" s="64">
        <f>sum(E318:E323)</f>
        <v>2713</v>
      </c>
      <c r="F327" s="64">
        <f>sum(F318:F326)</f>
        <v>1394.292</v>
      </c>
      <c r="G327" s="65">
        <f>average(G318:G323)</f>
        <v>41.4980512</v>
      </c>
      <c r="H327" s="62"/>
      <c r="I327" s="66"/>
      <c r="J327" s="64">
        <f t="shared" ref="J327:K327" si="292">sum(J318:J323)</f>
        <v>0</v>
      </c>
      <c r="K327" s="64">
        <f t="shared" si="292"/>
        <v>761.722</v>
      </c>
      <c r="L327" s="65" t="str">
        <f>average(L318:L323)</f>
        <v>#DIV/0!</v>
      </c>
      <c r="M327" s="68"/>
      <c r="N327" s="69">
        <f>sum(N318:N326)</f>
        <v>46100019.32</v>
      </c>
    </row>
    <row r="328">
      <c r="A328" s="70">
        <v>46113.0</v>
      </c>
      <c r="B328" s="192" t="s">
        <v>61</v>
      </c>
      <c r="C328" s="89"/>
      <c r="D328" s="89"/>
      <c r="E328" s="12">
        <f t="shared" ref="E328:E333" si="293">D328-C328</f>
        <v>0</v>
      </c>
      <c r="F328" s="39"/>
      <c r="G328" s="14" t="str">
        <f t="shared" ref="G328:G333" si="294">(F328/E328)*100</f>
        <v>#DIV/0!</v>
      </c>
      <c r="H328" s="137"/>
      <c r="I328" s="137"/>
      <c r="J328" s="41">
        <f t="shared" ref="J328:J333" si="295">I328-H328</f>
        <v>0</v>
      </c>
      <c r="K328" s="41" t="str">
        <f t="shared" ref="K328:K333" si="296">F328</f>
        <v/>
      </c>
      <c r="L328" s="152" t="str">
        <f t="shared" ref="L328:L333" si="297">(K328/J328)*100</f>
        <v>#DIV/0!</v>
      </c>
      <c r="M328" s="72"/>
      <c r="N328" s="49">
        <v>3000000.0</v>
      </c>
    </row>
    <row r="329">
      <c r="A329" s="35">
        <v>46115.0</v>
      </c>
      <c r="B329" s="192" t="s">
        <v>61</v>
      </c>
      <c r="C329" s="89"/>
      <c r="D329" s="13"/>
      <c r="E329" s="12">
        <f t="shared" si="293"/>
        <v>0</v>
      </c>
      <c r="F329" s="157">
        <v>97.99</v>
      </c>
      <c r="G329" s="14" t="str">
        <f t="shared" si="294"/>
        <v>#DIV/0!</v>
      </c>
      <c r="H329" s="137"/>
      <c r="I329" s="137"/>
      <c r="J329" s="89">
        <f t="shared" si="295"/>
        <v>0</v>
      </c>
      <c r="K329" s="37">
        <f t="shared" si="296"/>
        <v>97.99</v>
      </c>
      <c r="L329" s="152" t="str">
        <f t="shared" si="297"/>
        <v>#DIV/0!</v>
      </c>
      <c r="M329" s="72">
        <v>40820.0</v>
      </c>
      <c r="N329" s="49">
        <f t="shared" ref="N329:N333" si="298">M329*F329</f>
        <v>3999951.8</v>
      </c>
    </row>
    <row r="330">
      <c r="A330" s="35">
        <v>46122.0</v>
      </c>
      <c r="B330" s="192" t="s">
        <v>61</v>
      </c>
      <c r="C330" s="13"/>
      <c r="D330" s="89"/>
      <c r="E330" s="12">
        <f t="shared" si="293"/>
        <v>0</v>
      </c>
      <c r="F330" s="157">
        <v>186.58</v>
      </c>
      <c r="G330" s="14" t="str">
        <f t="shared" si="294"/>
        <v>#DIV/0!</v>
      </c>
      <c r="H330" s="137"/>
      <c r="I330" s="137"/>
      <c r="J330" s="89">
        <f t="shared" si="295"/>
        <v>0</v>
      </c>
      <c r="K330" s="37">
        <f t="shared" si="296"/>
        <v>186.58</v>
      </c>
      <c r="L330" s="152" t="str">
        <f t="shared" si="297"/>
        <v>#DIV/0!</v>
      </c>
      <c r="M330" s="126">
        <v>32960.0</v>
      </c>
      <c r="N330" s="49">
        <f t="shared" si="298"/>
        <v>6149676.8</v>
      </c>
    </row>
    <row r="331">
      <c r="A331" s="35">
        <v>46140.0</v>
      </c>
      <c r="B331" s="192" t="s">
        <v>61</v>
      </c>
      <c r="C331" s="89"/>
      <c r="D331" s="89"/>
      <c r="E331" s="12">
        <f t="shared" si="293"/>
        <v>0</v>
      </c>
      <c r="F331" s="157">
        <v>232.3</v>
      </c>
      <c r="G331" s="14" t="str">
        <f t="shared" si="294"/>
        <v>#DIV/0!</v>
      </c>
      <c r="H331" s="137"/>
      <c r="I331" s="137"/>
      <c r="J331" s="89">
        <f t="shared" si="295"/>
        <v>0</v>
      </c>
      <c r="K331" s="37">
        <f t="shared" si="296"/>
        <v>232.3</v>
      </c>
      <c r="L331" s="152" t="str">
        <f t="shared" si="297"/>
        <v>#DIV/0!</v>
      </c>
      <c r="M331" s="126">
        <v>26690.0</v>
      </c>
      <c r="N331" s="49">
        <f t="shared" si="298"/>
        <v>6200087</v>
      </c>
    </row>
    <row r="332">
      <c r="A332" s="35"/>
      <c r="B332" s="192" t="s">
        <v>61</v>
      </c>
      <c r="C332" s="37"/>
      <c r="D332" s="89"/>
      <c r="E332" s="12">
        <f t="shared" si="293"/>
        <v>0</v>
      </c>
      <c r="F332" s="157"/>
      <c r="G332" s="14" t="str">
        <f t="shared" si="294"/>
        <v>#DIV/0!</v>
      </c>
      <c r="H332" s="89"/>
      <c r="I332" s="137"/>
      <c r="J332" s="89">
        <f t="shared" si="295"/>
        <v>0</v>
      </c>
      <c r="K332" s="37" t="str">
        <f t="shared" si="296"/>
        <v/>
      </c>
      <c r="L332" s="152" t="str">
        <f t="shared" si="297"/>
        <v>#DIV/0!</v>
      </c>
      <c r="M332" s="126"/>
      <c r="N332" s="49">
        <f t="shared" si="298"/>
        <v>0</v>
      </c>
    </row>
    <row r="333">
      <c r="A333" s="154"/>
      <c r="B333" s="192" t="s">
        <v>61</v>
      </c>
      <c r="C333" s="89"/>
      <c r="D333" s="89"/>
      <c r="E333" s="12">
        <f t="shared" si="293"/>
        <v>0</v>
      </c>
      <c r="F333" s="157"/>
      <c r="G333" s="14" t="str">
        <f t="shared" si="294"/>
        <v>#DIV/0!</v>
      </c>
      <c r="H333" s="89"/>
      <c r="I333" s="137"/>
      <c r="J333" s="89">
        <f t="shared" si="295"/>
        <v>0</v>
      </c>
      <c r="K333" s="37" t="str">
        <f t="shared" si="296"/>
        <v/>
      </c>
      <c r="L333" s="152" t="str">
        <f t="shared" si="297"/>
        <v>#DIV/0!</v>
      </c>
      <c r="M333" s="126"/>
      <c r="N333" s="49">
        <f t="shared" si="298"/>
        <v>0</v>
      </c>
    </row>
    <row r="334">
      <c r="A334" s="62"/>
      <c r="B334" s="63"/>
      <c r="C334" s="62"/>
      <c r="D334" s="64" t="s">
        <v>19</v>
      </c>
      <c r="E334" s="64">
        <f t="shared" ref="E334:F334" si="299">sum(E328:E333)</f>
        <v>0</v>
      </c>
      <c r="F334" s="64">
        <f t="shared" si="299"/>
        <v>516.87</v>
      </c>
      <c r="G334" s="65" t="str">
        <f>average(G328:G333)</f>
        <v>#DIV/0!</v>
      </c>
      <c r="H334" s="62"/>
      <c r="I334" s="66"/>
      <c r="J334" s="64">
        <f t="shared" ref="J334:K334" si="300">sum(J328:J333)</f>
        <v>0</v>
      </c>
      <c r="K334" s="64">
        <f t="shared" si="300"/>
        <v>516.87</v>
      </c>
      <c r="L334" s="65" t="str">
        <f>average(L328:L333)</f>
        <v>#DIV/0!</v>
      </c>
      <c r="M334" s="68"/>
      <c r="N334" s="69">
        <f>sum(N328:N333)</f>
        <v>19349715.6</v>
      </c>
    </row>
    <row r="335">
      <c r="A335" s="198" t="s">
        <v>64</v>
      </c>
      <c r="B335" s="199"/>
      <c r="C335" s="199"/>
      <c r="D335" s="199"/>
      <c r="E335" s="199"/>
      <c r="F335" s="199"/>
      <c r="G335" s="199"/>
      <c r="H335" s="199"/>
      <c r="I335" s="199"/>
      <c r="J335" s="199"/>
      <c r="K335" s="199"/>
      <c r="L335" s="200"/>
      <c r="M335" s="68"/>
      <c r="N335" s="69">
        <f>SUM(N222:N334)/2</f>
        <v>330899157.8</v>
      </c>
    </row>
    <row r="336">
      <c r="G336" s="168"/>
      <c r="L336" s="168"/>
      <c r="N336" s="169"/>
    </row>
    <row r="337">
      <c r="G337" s="168"/>
      <c r="L337" s="168"/>
      <c r="N337" s="169"/>
    </row>
    <row r="338">
      <c r="G338" s="168"/>
      <c r="L338" s="168"/>
      <c r="N338" s="169"/>
    </row>
    <row r="339">
      <c r="G339" s="168"/>
      <c r="L339" s="168"/>
      <c r="N339" s="169"/>
    </row>
    <row r="340">
      <c r="G340" s="168"/>
      <c r="L340" s="168"/>
      <c r="N340" s="169"/>
    </row>
    <row r="341">
      <c r="G341" s="168"/>
      <c r="L341" s="168"/>
      <c r="N341" s="169"/>
    </row>
    <row r="342">
      <c r="G342" s="168"/>
      <c r="L342" s="168"/>
      <c r="N342" s="169"/>
    </row>
    <row r="343">
      <c r="G343" s="168"/>
      <c r="L343" s="168"/>
      <c r="N343" s="169"/>
    </row>
    <row r="344">
      <c r="G344" s="168"/>
      <c r="L344" s="168"/>
      <c r="N344" s="169"/>
    </row>
    <row r="345">
      <c r="G345" s="168"/>
      <c r="L345" s="168"/>
      <c r="N345" s="169"/>
    </row>
    <row r="346">
      <c r="G346" s="168"/>
      <c r="L346" s="168"/>
      <c r="N346" s="169"/>
    </row>
    <row r="347">
      <c r="G347" s="168"/>
      <c r="L347" s="168"/>
      <c r="N347" s="169"/>
    </row>
    <row r="348">
      <c r="G348" s="168"/>
      <c r="L348" s="168"/>
      <c r="N348" s="169"/>
    </row>
    <row r="349">
      <c r="G349" s="168"/>
      <c r="L349" s="168"/>
      <c r="N349" s="169"/>
    </row>
    <row r="350">
      <c r="G350" s="168"/>
      <c r="L350" s="168"/>
      <c r="N350" s="169"/>
    </row>
    <row r="351">
      <c r="G351" s="168"/>
      <c r="L351" s="168"/>
      <c r="N351" s="169"/>
    </row>
    <row r="352">
      <c r="G352" s="168"/>
      <c r="L352" s="168"/>
      <c r="N352" s="169"/>
    </row>
    <row r="353">
      <c r="G353" s="168"/>
      <c r="L353" s="168"/>
      <c r="N353" s="169"/>
    </row>
    <row r="354">
      <c r="G354" s="168"/>
      <c r="L354" s="168"/>
      <c r="N354" s="169"/>
    </row>
    <row r="355">
      <c r="G355" s="168"/>
      <c r="L355" s="168"/>
      <c r="N355" s="169"/>
    </row>
    <row r="356">
      <c r="G356" s="168"/>
      <c r="L356" s="168"/>
      <c r="N356" s="169"/>
    </row>
    <row r="357">
      <c r="G357" s="168"/>
      <c r="L357" s="168"/>
      <c r="N357" s="169"/>
    </row>
    <row r="358">
      <c r="G358" s="168"/>
      <c r="L358" s="168"/>
      <c r="N358" s="169"/>
    </row>
    <row r="359">
      <c r="G359" s="168"/>
      <c r="L359" s="168"/>
      <c r="N359" s="169"/>
    </row>
    <row r="360">
      <c r="G360" s="168"/>
      <c r="L360" s="168"/>
      <c r="N360" s="169"/>
    </row>
    <row r="361">
      <c r="G361" s="168"/>
      <c r="L361" s="168"/>
      <c r="N361" s="169"/>
    </row>
    <row r="362">
      <c r="G362" s="168"/>
      <c r="L362" s="168"/>
      <c r="N362" s="169"/>
    </row>
    <row r="363">
      <c r="G363" s="168"/>
      <c r="L363" s="168"/>
      <c r="N363" s="169"/>
    </row>
    <row r="364">
      <c r="G364" s="168"/>
      <c r="L364" s="168"/>
      <c r="N364" s="169"/>
    </row>
    <row r="365">
      <c r="G365" s="168"/>
      <c r="L365" s="168"/>
      <c r="N365" s="169"/>
    </row>
    <row r="366">
      <c r="G366" s="168"/>
      <c r="L366" s="168"/>
      <c r="N366" s="169"/>
    </row>
    <row r="367">
      <c r="G367" s="168"/>
      <c r="L367" s="168"/>
      <c r="N367" s="169"/>
    </row>
    <row r="368">
      <c r="G368" s="168"/>
      <c r="L368" s="168"/>
      <c r="N368" s="169"/>
    </row>
    <row r="369">
      <c r="G369" s="168"/>
      <c r="L369" s="168"/>
      <c r="N369" s="169"/>
    </row>
    <row r="370">
      <c r="G370" s="168"/>
      <c r="L370" s="168"/>
      <c r="N370" s="169"/>
    </row>
    <row r="371">
      <c r="G371" s="168"/>
      <c r="L371" s="168"/>
      <c r="N371" s="169"/>
    </row>
    <row r="372">
      <c r="G372" s="168"/>
      <c r="L372" s="168"/>
      <c r="N372" s="169"/>
    </row>
    <row r="373">
      <c r="G373" s="168"/>
      <c r="L373" s="168"/>
      <c r="N373" s="169"/>
    </row>
    <row r="374">
      <c r="G374" s="168"/>
      <c r="L374" s="168"/>
      <c r="N374" s="169"/>
    </row>
    <row r="375">
      <c r="G375" s="168"/>
      <c r="L375" s="168"/>
      <c r="N375" s="169"/>
    </row>
    <row r="376">
      <c r="G376" s="168"/>
      <c r="L376" s="168"/>
      <c r="N376" s="169"/>
    </row>
    <row r="377">
      <c r="G377" s="168"/>
      <c r="L377" s="168"/>
      <c r="N377" s="169"/>
    </row>
    <row r="378">
      <c r="G378" s="168"/>
      <c r="L378" s="168"/>
      <c r="N378" s="169"/>
    </row>
    <row r="379">
      <c r="G379" s="168"/>
      <c r="L379" s="168"/>
      <c r="N379" s="169"/>
    </row>
    <row r="380">
      <c r="G380" s="168"/>
      <c r="L380" s="168"/>
      <c r="N380" s="169"/>
    </row>
    <row r="381">
      <c r="G381" s="168"/>
      <c r="L381" s="168"/>
      <c r="N381" s="169"/>
    </row>
    <row r="382">
      <c r="G382" s="168"/>
      <c r="L382" s="168"/>
      <c r="N382" s="169"/>
    </row>
    <row r="383">
      <c r="G383" s="168"/>
      <c r="L383" s="168"/>
      <c r="N383" s="169"/>
    </row>
    <row r="384">
      <c r="G384" s="168"/>
      <c r="L384" s="168"/>
      <c r="N384" s="169"/>
    </row>
    <row r="385">
      <c r="G385" s="168"/>
      <c r="L385" s="168"/>
      <c r="N385" s="169"/>
    </row>
    <row r="386">
      <c r="G386" s="168"/>
      <c r="L386" s="168"/>
      <c r="N386" s="169"/>
    </row>
    <row r="387">
      <c r="G387" s="168"/>
      <c r="L387" s="168"/>
      <c r="N387" s="169"/>
    </row>
    <row r="388">
      <c r="G388" s="168"/>
      <c r="L388" s="168"/>
      <c r="N388" s="169"/>
    </row>
    <row r="389">
      <c r="G389" s="168"/>
      <c r="L389" s="168"/>
      <c r="N389" s="169"/>
    </row>
    <row r="390">
      <c r="G390" s="168"/>
      <c r="L390" s="168"/>
      <c r="N390" s="169"/>
    </row>
    <row r="391">
      <c r="G391" s="168"/>
      <c r="L391" s="168"/>
      <c r="N391" s="169"/>
    </row>
    <row r="392">
      <c r="G392" s="168"/>
      <c r="L392" s="168"/>
      <c r="N392" s="169"/>
    </row>
    <row r="393">
      <c r="G393" s="168"/>
      <c r="L393" s="168"/>
      <c r="N393" s="169"/>
    </row>
    <row r="394">
      <c r="G394" s="168"/>
      <c r="L394" s="168"/>
      <c r="N394" s="169"/>
    </row>
    <row r="395">
      <c r="G395" s="168"/>
      <c r="L395" s="168"/>
      <c r="N395" s="169"/>
    </row>
    <row r="396">
      <c r="G396" s="168"/>
      <c r="L396" s="168"/>
      <c r="N396" s="169"/>
    </row>
    <row r="397">
      <c r="G397" s="168"/>
      <c r="L397" s="168"/>
      <c r="N397" s="169"/>
    </row>
    <row r="398">
      <c r="G398" s="168"/>
      <c r="L398" s="168"/>
      <c r="N398" s="169"/>
    </row>
    <row r="399">
      <c r="G399" s="168"/>
      <c r="L399" s="168"/>
      <c r="N399" s="169"/>
    </row>
    <row r="400">
      <c r="G400" s="168"/>
      <c r="L400" s="168"/>
      <c r="N400" s="169"/>
    </row>
    <row r="401">
      <c r="G401" s="168"/>
      <c r="L401" s="168"/>
      <c r="N401" s="169"/>
    </row>
    <row r="402">
      <c r="G402" s="168"/>
      <c r="L402" s="168"/>
      <c r="N402" s="169"/>
    </row>
    <row r="403">
      <c r="G403" s="168"/>
      <c r="L403" s="168"/>
      <c r="N403" s="169"/>
    </row>
    <row r="404">
      <c r="G404" s="168"/>
      <c r="L404" s="168"/>
      <c r="N404" s="169"/>
    </row>
    <row r="405">
      <c r="G405" s="168"/>
      <c r="L405" s="168"/>
      <c r="N405" s="169"/>
    </row>
    <row r="406">
      <c r="G406" s="168"/>
      <c r="L406" s="168"/>
      <c r="N406" s="169"/>
    </row>
    <row r="407">
      <c r="G407" s="168"/>
      <c r="L407" s="168"/>
      <c r="N407" s="169"/>
    </row>
    <row r="408">
      <c r="G408" s="168"/>
      <c r="L408" s="168"/>
      <c r="N408" s="169"/>
    </row>
    <row r="409">
      <c r="G409" s="168"/>
      <c r="L409" s="168"/>
      <c r="N409" s="169"/>
    </row>
    <row r="410">
      <c r="G410" s="168"/>
      <c r="L410" s="168"/>
      <c r="N410" s="169"/>
    </row>
    <row r="411">
      <c r="G411" s="168"/>
      <c r="L411" s="168"/>
      <c r="N411" s="169"/>
    </row>
    <row r="412">
      <c r="G412" s="168"/>
      <c r="L412" s="168"/>
      <c r="N412" s="169"/>
    </row>
    <row r="413">
      <c r="G413" s="168"/>
      <c r="L413" s="168"/>
      <c r="N413" s="169"/>
    </row>
    <row r="414">
      <c r="G414" s="168"/>
      <c r="L414" s="168"/>
      <c r="N414" s="169"/>
    </row>
    <row r="415">
      <c r="G415" s="168"/>
      <c r="L415" s="168"/>
      <c r="N415" s="169"/>
    </row>
    <row r="416">
      <c r="G416" s="168"/>
      <c r="L416" s="168"/>
      <c r="N416" s="169"/>
    </row>
    <row r="417">
      <c r="G417" s="168"/>
      <c r="L417" s="168"/>
      <c r="N417" s="169"/>
    </row>
    <row r="418">
      <c r="G418" s="168"/>
      <c r="L418" s="168"/>
      <c r="N418" s="169"/>
    </row>
    <row r="419">
      <c r="G419" s="168"/>
      <c r="L419" s="168"/>
      <c r="N419" s="169"/>
    </row>
    <row r="420">
      <c r="G420" s="168"/>
      <c r="L420" s="168"/>
      <c r="N420" s="169"/>
    </row>
    <row r="421">
      <c r="G421" s="168"/>
      <c r="L421" s="168"/>
      <c r="N421" s="169"/>
    </row>
    <row r="422">
      <c r="G422" s="168"/>
      <c r="L422" s="168"/>
      <c r="N422" s="169"/>
    </row>
    <row r="423">
      <c r="G423" s="168"/>
      <c r="L423" s="168"/>
      <c r="N423" s="169"/>
    </row>
    <row r="424">
      <c r="G424" s="168"/>
      <c r="L424" s="168"/>
      <c r="N424" s="169"/>
    </row>
    <row r="425">
      <c r="G425" s="168"/>
      <c r="L425" s="168"/>
      <c r="N425" s="169"/>
    </row>
    <row r="426">
      <c r="G426" s="168"/>
      <c r="L426" s="168"/>
      <c r="N426" s="169"/>
    </row>
    <row r="427">
      <c r="G427" s="168"/>
      <c r="L427" s="168"/>
      <c r="N427" s="169"/>
    </row>
    <row r="428">
      <c r="G428" s="168"/>
      <c r="L428" s="168"/>
      <c r="N428" s="169"/>
    </row>
    <row r="429">
      <c r="G429" s="168"/>
      <c r="L429" s="168"/>
      <c r="N429" s="169"/>
    </row>
    <row r="430">
      <c r="G430" s="168"/>
      <c r="L430" s="168"/>
      <c r="N430" s="169"/>
    </row>
    <row r="431">
      <c r="G431" s="168"/>
      <c r="L431" s="168"/>
      <c r="N431" s="169"/>
    </row>
    <row r="432">
      <c r="G432" s="168"/>
      <c r="L432" s="168"/>
      <c r="N432" s="169"/>
    </row>
    <row r="433">
      <c r="G433" s="168"/>
      <c r="L433" s="168"/>
      <c r="N433" s="169"/>
    </row>
    <row r="434">
      <c r="G434" s="168"/>
      <c r="L434" s="168"/>
      <c r="N434" s="169"/>
    </row>
    <row r="435">
      <c r="G435" s="168"/>
      <c r="L435" s="168"/>
      <c r="N435" s="169"/>
    </row>
    <row r="436">
      <c r="G436" s="168"/>
      <c r="L436" s="168"/>
      <c r="N436" s="169"/>
    </row>
    <row r="437">
      <c r="G437" s="168"/>
      <c r="L437" s="168"/>
      <c r="N437" s="169"/>
    </row>
    <row r="438">
      <c r="G438" s="168"/>
      <c r="L438" s="168"/>
      <c r="N438" s="169"/>
    </row>
    <row r="439">
      <c r="G439" s="168"/>
      <c r="L439" s="168"/>
      <c r="N439" s="169"/>
    </row>
    <row r="440">
      <c r="G440" s="168"/>
      <c r="L440" s="168"/>
      <c r="N440" s="169"/>
    </row>
    <row r="441">
      <c r="G441" s="168"/>
      <c r="L441" s="168"/>
      <c r="N441" s="169"/>
    </row>
    <row r="442">
      <c r="G442" s="168"/>
      <c r="L442" s="168"/>
      <c r="N442" s="169"/>
    </row>
    <row r="443">
      <c r="G443" s="168"/>
      <c r="L443" s="168"/>
      <c r="N443" s="169"/>
    </row>
    <row r="444">
      <c r="G444" s="168"/>
      <c r="L444" s="168"/>
      <c r="N444" s="169"/>
    </row>
    <row r="445">
      <c r="G445" s="168"/>
      <c r="L445" s="168"/>
      <c r="N445" s="169"/>
    </row>
    <row r="446">
      <c r="G446" s="168"/>
      <c r="L446" s="168"/>
      <c r="N446" s="169"/>
    </row>
    <row r="447">
      <c r="G447" s="168"/>
      <c r="L447" s="168"/>
      <c r="N447" s="169"/>
    </row>
    <row r="448">
      <c r="G448" s="168"/>
      <c r="L448" s="168"/>
      <c r="N448" s="169"/>
    </row>
    <row r="449">
      <c r="G449" s="168"/>
      <c r="L449" s="168"/>
      <c r="N449" s="169"/>
    </row>
    <row r="450">
      <c r="G450" s="168"/>
      <c r="L450" s="168"/>
      <c r="N450" s="169"/>
    </row>
    <row r="451">
      <c r="G451" s="168"/>
      <c r="L451" s="168"/>
      <c r="N451" s="169"/>
    </row>
    <row r="452">
      <c r="G452" s="168"/>
      <c r="L452" s="168"/>
      <c r="N452" s="169"/>
    </row>
    <row r="453">
      <c r="G453" s="168"/>
      <c r="L453" s="168"/>
      <c r="N453" s="169"/>
    </row>
    <row r="454">
      <c r="G454" s="168"/>
      <c r="L454" s="168"/>
      <c r="N454" s="169"/>
    </row>
    <row r="455">
      <c r="G455" s="168"/>
      <c r="L455" s="168"/>
      <c r="N455" s="169"/>
    </row>
    <row r="456">
      <c r="G456" s="168"/>
      <c r="L456" s="168"/>
      <c r="N456" s="169"/>
    </row>
    <row r="457">
      <c r="G457" s="168"/>
      <c r="L457" s="168"/>
      <c r="N457" s="169"/>
    </row>
    <row r="458">
      <c r="G458" s="168"/>
      <c r="L458" s="168"/>
      <c r="N458" s="169"/>
    </row>
    <row r="459">
      <c r="G459" s="168"/>
      <c r="L459" s="168"/>
      <c r="N459" s="169"/>
    </row>
    <row r="460">
      <c r="G460" s="168"/>
      <c r="L460" s="168"/>
      <c r="N460" s="169"/>
    </row>
    <row r="461">
      <c r="G461" s="168"/>
      <c r="L461" s="168"/>
      <c r="N461" s="169"/>
    </row>
    <row r="462">
      <c r="G462" s="168"/>
      <c r="L462" s="168"/>
      <c r="N462" s="169"/>
    </row>
    <row r="463">
      <c r="G463" s="168"/>
      <c r="L463" s="168"/>
      <c r="N463" s="169"/>
    </row>
    <row r="464">
      <c r="G464" s="168"/>
      <c r="L464" s="168"/>
      <c r="N464" s="169"/>
    </row>
    <row r="465">
      <c r="G465" s="168"/>
      <c r="L465" s="168"/>
      <c r="N465" s="169"/>
    </row>
    <row r="466">
      <c r="G466" s="168"/>
      <c r="L466" s="168"/>
      <c r="N466" s="169"/>
    </row>
    <row r="467">
      <c r="G467" s="168"/>
      <c r="L467" s="168"/>
      <c r="N467" s="169"/>
    </row>
    <row r="468">
      <c r="G468" s="168"/>
      <c r="L468" s="168"/>
      <c r="N468" s="169"/>
    </row>
    <row r="469">
      <c r="G469" s="168"/>
      <c r="L469" s="168"/>
      <c r="N469" s="169"/>
    </row>
    <row r="470">
      <c r="G470" s="168"/>
      <c r="L470" s="168"/>
      <c r="N470" s="169"/>
    </row>
    <row r="471">
      <c r="G471" s="168"/>
      <c r="L471" s="168"/>
      <c r="N471" s="169"/>
    </row>
    <row r="472">
      <c r="G472" s="168"/>
      <c r="L472" s="168"/>
      <c r="N472" s="169"/>
    </row>
    <row r="473">
      <c r="G473" s="168"/>
      <c r="L473" s="168"/>
      <c r="N473" s="169"/>
    </row>
    <row r="474">
      <c r="G474" s="168"/>
      <c r="L474" s="168"/>
      <c r="N474" s="169"/>
    </row>
    <row r="475">
      <c r="G475" s="168"/>
      <c r="L475" s="168"/>
      <c r="N475" s="169"/>
    </row>
    <row r="476">
      <c r="G476" s="168"/>
      <c r="L476" s="168"/>
      <c r="N476" s="169"/>
    </row>
    <row r="477">
      <c r="G477" s="168"/>
      <c r="L477" s="168"/>
      <c r="N477" s="169"/>
    </row>
    <row r="478">
      <c r="G478" s="168"/>
      <c r="L478" s="168"/>
      <c r="N478" s="169"/>
    </row>
    <row r="479">
      <c r="G479" s="168"/>
      <c r="L479" s="168"/>
      <c r="N479" s="169"/>
    </row>
    <row r="480">
      <c r="G480" s="168"/>
      <c r="L480" s="168"/>
      <c r="N480" s="169"/>
    </row>
    <row r="481">
      <c r="G481" s="168"/>
      <c r="L481" s="168"/>
      <c r="N481" s="169"/>
    </row>
    <row r="482">
      <c r="G482" s="168"/>
      <c r="L482" s="168"/>
      <c r="N482" s="169"/>
    </row>
    <row r="483">
      <c r="G483" s="168"/>
      <c r="L483" s="168"/>
      <c r="N483" s="169"/>
    </row>
    <row r="484">
      <c r="G484" s="168"/>
      <c r="L484" s="168"/>
      <c r="N484" s="169"/>
    </row>
    <row r="485">
      <c r="G485" s="168"/>
      <c r="L485" s="168"/>
      <c r="N485" s="169"/>
    </row>
    <row r="486">
      <c r="G486" s="168"/>
      <c r="L486" s="168"/>
      <c r="N486" s="169"/>
    </row>
    <row r="487">
      <c r="G487" s="168"/>
      <c r="L487" s="168"/>
      <c r="N487" s="169"/>
    </row>
    <row r="488">
      <c r="G488" s="168"/>
      <c r="L488" s="168"/>
      <c r="N488" s="169"/>
    </row>
    <row r="489">
      <c r="G489" s="168"/>
      <c r="L489" s="168"/>
      <c r="N489" s="169"/>
    </row>
    <row r="490">
      <c r="G490" s="168"/>
      <c r="L490" s="168"/>
      <c r="N490" s="169"/>
    </row>
    <row r="491">
      <c r="G491" s="168"/>
      <c r="L491" s="168"/>
      <c r="N491" s="169"/>
    </row>
    <row r="492">
      <c r="G492" s="168"/>
      <c r="L492" s="168"/>
      <c r="N492" s="169"/>
    </row>
    <row r="493">
      <c r="G493" s="168"/>
      <c r="L493" s="168"/>
      <c r="N493" s="169"/>
    </row>
    <row r="494">
      <c r="G494" s="168"/>
      <c r="L494" s="168"/>
      <c r="N494" s="169"/>
    </row>
    <row r="495">
      <c r="G495" s="168"/>
      <c r="L495" s="168"/>
      <c r="N495" s="169"/>
    </row>
    <row r="496">
      <c r="G496" s="168"/>
      <c r="L496" s="168"/>
      <c r="N496" s="169"/>
    </row>
    <row r="497">
      <c r="G497" s="168"/>
      <c r="L497" s="168"/>
      <c r="N497" s="169"/>
    </row>
    <row r="498">
      <c r="G498" s="168"/>
      <c r="L498" s="168"/>
      <c r="N498" s="169"/>
    </row>
    <row r="499">
      <c r="G499" s="168"/>
      <c r="L499" s="168"/>
      <c r="N499" s="169"/>
    </row>
    <row r="500">
      <c r="G500" s="168"/>
      <c r="L500" s="168"/>
      <c r="N500" s="169"/>
    </row>
    <row r="501">
      <c r="G501" s="168"/>
      <c r="L501" s="168"/>
      <c r="N501" s="169"/>
    </row>
    <row r="502">
      <c r="G502" s="168"/>
      <c r="L502" s="168"/>
      <c r="N502" s="169"/>
    </row>
    <row r="503">
      <c r="G503" s="168"/>
      <c r="L503" s="168"/>
      <c r="N503" s="169"/>
    </row>
    <row r="504">
      <c r="G504" s="168"/>
      <c r="L504" s="168"/>
      <c r="N504" s="169"/>
    </row>
    <row r="505">
      <c r="G505" s="168"/>
      <c r="L505" s="168"/>
      <c r="N505" s="169"/>
    </row>
    <row r="506">
      <c r="G506" s="168"/>
      <c r="L506" s="168"/>
      <c r="N506" s="169"/>
    </row>
    <row r="507">
      <c r="G507" s="168"/>
      <c r="L507" s="168"/>
      <c r="N507" s="169"/>
    </row>
    <row r="508">
      <c r="G508" s="168"/>
      <c r="L508" s="168"/>
      <c r="N508" s="169"/>
    </row>
    <row r="509">
      <c r="G509" s="168"/>
      <c r="L509" s="168"/>
      <c r="N509" s="169"/>
    </row>
    <row r="510">
      <c r="G510" s="168"/>
      <c r="L510" s="168"/>
      <c r="N510" s="169"/>
    </row>
    <row r="511">
      <c r="G511" s="168"/>
      <c r="L511" s="168"/>
      <c r="N511" s="169"/>
    </row>
    <row r="512">
      <c r="G512" s="168"/>
      <c r="L512" s="168"/>
      <c r="N512" s="169"/>
    </row>
    <row r="513">
      <c r="G513" s="168"/>
      <c r="L513" s="168"/>
      <c r="N513" s="169"/>
    </row>
    <row r="514">
      <c r="G514" s="168"/>
      <c r="L514" s="168"/>
      <c r="N514" s="169"/>
    </row>
    <row r="515">
      <c r="G515" s="168"/>
      <c r="L515" s="168"/>
      <c r="N515" s="169"/>
    </row>
    <row r="516">
      <c r="G516" s="168"/>
      <c r="L516" s="168"/>
      <c r="N516" s="169"/>
    </row>
    <row r="517">
      <c r="G517" s="168"/>
      <c r="L517" s="168"/>
      <c r="N517" s="169"/>
    </row>
    <row r="518">
      <c r="G518" s="168"/>
      <c r="L518" s="168"/>
      <c r="N518" s="169"/>
    </row>
    <row r="519">
      <c r="G519" s="168"/>
      <c r="L519" s="168"/>
      <c r="N519" s="169"/>
    </row>
    <row r="520">
      <c r="G520" s="168"/>
      <c r="L520" s="168"/>
      <c r="N520" s="169"/>
    </row>
    <row r="521">
      <c r="G521" s="168"/>
      <c r="L521" s="168"/>
      <c r="N521" s="169"/>
    </row>
    <row r="522">
      <c r="G522" s="168"/>
      <c r="L522" s="168"/>
      <c r="N522" s="169"/>
    </row>
    <row r="523">
      <c r="G523" s="168"/>
      <c r="L523" s="168"/>
      <c r="N523" s="169"/>
    </row>
    <row r="524">
      <c r="G524" s="168"/>
      <c r="L524" s="168"/>
      <c r="N524" s="169"/>
    </row>
    <row r="525">
      <c r="G525" s="168"/>
      <c r="L525" s="168"/>
      <c r="N525" s="169"/>
    </row>
    <row r="526">
      <c r="G526" s="168"/>
      <c r="L526" s="168"/>
      <c r="N526" s="169"/>
    </row>
    <row r="527">
      <c r="G527" s="168"/>
      <c r="L527" s="168"/>
      <c r="N527" s="169"/>
    </row>
    <row r="528">
      <c r="G528" s="168"/>
      <c r="L528" s="168"/>
      <c r="N528" s="169"/>
    </row>
    <row r="529">
      <c r="G529" s="168"/>
      <c r="L529" s="168"/>
      <c r="N529" s="169"/>
    </row>
    <row r="530">
      <c r="G530" s="168"/>
      <c r="L530" s="168"/>
      <c r="N530" s="169"/>
    </row>
    <row r="531">
      <c r="G531" s="168"/>
      <c r="L531" s="168"/>
      <c r="N531" s="169"/>
    </row>
    <row r="532">
      <c r="G532" s="168"/>
      <c r="L532" s="168"/>
      <c r="N532" s="169"/>
    </row>
    <row r="533">
      <c r="G533" s="168"/>
      <c r="L533" s="168"/>
      <c r="N533" s="169"/>
    </row>
    <row r="534">
      <c r="G534" s="168"/>
      <c r="L534" s="168"/>
      <c r="N534" s="169"/>
    </row>
    <row r="535">
      <c r="G535" s="168"/>
      <c r="L535" s="168"/>
      <c r="N535" s="169"/>
    </row>
    <row r="536">
      <c r="G536" s="168"/>
      <c r="L536" s="168"/>
      <c r="N536" s="169"/>
    </row>
    <row r="537">
      <c r="G537" s="168"/>
      <c r="L537" s="168"/>
      <c r="N537" s="169"/>
    </row>
    <row r="538">
      <c r="G538" s="168"/>
      <c r="L538" s="168"/>
      <c r="N538" s="169"/>
    </row>
    <row r="539">
      <c r="G539" s="168"/>
      <c r="L539" s="168"/>
      <c r="N539" s="169"/>
    </row>
    <row r="540">
      <c r="G540" s="168"/>
      <c r="L540" s="168"/>
      <c r="N540" s="169"/>
    </row>
    <row r="541">
      <c r="G541" s="168"/>
      <c r="L541" s="168"/>
      <c r="N541" s="169"/>
    </row>
    <row r="542">
      <c r="G542" s="168"/>
      <c r="L542" s="168"/>
      <c r="N542" s="169"/>
    </row>
    <row r="543">
      <c r="G543" s="168"/>
      <c r="L543" s="168"/>
      <c r="N543" s="169"/>
    </row>
    <row r="544">
      <c r="G544" s="168"/>
      <c r="L544" s="168"/>
      <c r="N544" s="169"/>
    </row>
    <row r="545">
      <c r="G545" s="168"/>
      <c r="L545" s="168"/>
      <c r="N545" s="169"/>
    </row>
    <row r="546">
      <c r="G546" s="168"/>
      <c r="L546" s="168"/>
      <c r="N546" s="169"/>
    </row>
    <row r="547">
      <c r="G547" s="168"/>
      <c r="L547" s="168"/>
      <c r="N547" s="169"/>
    </row>
    <row r="548">
      <c r="G548" s="168"/>
      <c r="L548" s="168"/>
      <c r="N548" s="169"/>
    </row>
    <row r="549">
      <c r="G549" s="168"/>
      <c r="L549" s="168"/>
      <c r="N549" s="169"/>
    </row>
    <row r="550">
      <c r="G550" s="168"/>
      <c r="L550" s="168"/>
      <c r="N550" s="169"/>
    </row>
    <row r="551">
      <c r="G551" s="168"/>
      <c r="L551" s="168"/>
      <c r="N551" s="169"/>
    </row>
    <row r="552">
      <c r="G552" s="168"/>
      <c r="L552" s="168"/>
      <c r="N552" s="169"/>
    </row>
    <row r="553">
      <c r="G553" s="168"/>
      <c r="L553" s="168"/>
      <c r="N553" s="169"/>
    </row>
    <row r="554">
      <c r="G554" s="168"/>
      <c r="L554" s="168"/>
      <c r="N554" s="169"/>
    </row>
    <row r="555">
      <c r="G555" s="168"/>
      <c r="L555" s="168"/>
      <c r="N555" s="169"/>
    </row>
    <row r="556">
      <c r="G556" s="168"/>
      <c r="L556" s="168"/>
      <c r="N556" s="169"/>
    </row>
    <row r="557">
      <c r="G557" s="168"/>
      <c r="L557" s="168"/>
      <c r="N557" s="169"/>
    </row>
    <row r="558">
      <c r="G558" s="168"/>
      <c r="L558" s="168"/>
      <c r="N558" s="169"/>
    </row>
    <row r="559">
      <c r="G559" s="168"/>
      <c r="L559" s="168"/>
      <c r="N559" s="169"/>
    </row>
    <row r="560">
      <c r="G560" s="168"/>
      <c r="L560" s="168"/>
      <c r="N560" s="169"/>
    </row>
    <row r="561">
      <c r="G561" s="168"/>
      <c r="L561" s="168"/>
      <c r="N561" s="169"/>
    </row>
    <row r="562">
      <c r="G562" s="168"/>
      <c r="L562" s="168"/>
      <c r="N562" s="169"/>
    </row>
    <row r="563">
      <c r="G563" s="168"/>
      <c r="L563" s="168"/>
      <c r="N563" s="169"/>
    </row>
    <row r="564">
      <c r="G564" s="168"/>
      <c r="L564" s="168"/>
      <c r="N564" s="169"/>
    </row>
    <row r="565">
      <c r="G565" s="168"/>
      <c r="L565" s="168"/>
      <c r="N565" s="169"/>
    </row>
    <row r="566">
      <c r="G566" s="168"/>
      <c r="L566" s="168"/>
      <c r="N566" s="169"/>
    </row>
    <row r="567">
      <c r="G567" s="168"/>
      <c r="L567" s="168"/>
      <c r="N567" s="169"/>
    </row>
    <row r="568">
      <c r="G568" s="168"/>
      <c r="L568" s="168"/>
      <c r="N568" s="169"/>
    </row>
    <row r="569">
      <c r="G569" s="168"/>
      <c r="L569" s="168"/>
      <c r="N569" s="169"/>
    </row>
    <row r="570">
      <c r="G570" s="168"/>
      <c r="L570" s="168"/>
      <c r="N570" s="169"/>
    </row>
    <row r="571">
      <c r="G571" s="168"/>
      <c r="L571" s="168"/>
      <c r="N571" s="169"/>
    </row>
    <row r="572">
      <c r="G572" s="168"/>
      <c r="L572" s="168"/>
      <c r="N572" s="169"/>
    </row>
    <row r="573">
      <c r="G573" s="168"/>
      <c r="L573" s="168"/>
      <c r="N573" s="169"/>
    </row>
    <row r="574">
      <c r="G574" s="168"/>
      <c r="L574" s="168"/>
      <c r="N574" s="169"/>
    </row>
    <row r="575">
      <c r="G575" s="168"/>
      <c r="L575" s="168"/>
      <c r="N575" s="169"/>
    </row>
    <row r="576">
      <c r="G576" s="168"/>
      <c r="L576" s="168"/>
      <c r="N576" s="169"/>
    </row>
    <row r="577">
      <c r="G577" s="168"/>
      <c r="L577" s="168"/>
      <c r="N577" s="169"/>
    </row>
    <row r="578">
      <c r="G578" s="168"/>
      <c r="L578" s="168"/>
      <c r="N578" s="169"/>
    </row>
    <row r="579">
      <c r="G579" s="168"/>
      <c r="L579" s="168"/>
      <c r="N579" s="169"/>
    </row>
    <row r="580">
      <c r="G580" s="168"/>
      <c r="L580" s="168"/>
      <c r="N580" s="169"/>
    </row>
    <row r="581">
      <c r="G581" s="168"/>
      <c r="L581" s="168"/>
      <c r="N581" s="169"/>
    </row>
    <row r="582">
      <c r="G582" s="168"/>
      <c r="L582" s="168"/>
      <c r="N582" s="169"/>
    </row>
    <row r="583">
      <c r="G583" s="168"/>
      <c r="L583" s="168"/>
      <c r="N583" s="169"/>
    </row>
    <row r="584">
      <c r="G584" s="168"/>
      <c r="L584" s="168"/>
      <c r="N584" s="169"/>
    </row>
    <row r="585">
      <c r="G585" s="168"/>
      <c r="L585" s="168"/>
      <c r="N585" s="169"/>
    </row>
    <row r="586">
      <c r="G586" s="168"/>
      <c r="L586" s="168"/>
      <c r="N586" s="169"/>
    </row>
    <row r="587">
      <c r="G587" s="168"/>
      <c r="L587" s="168"/>
      <c r="N587" s="169"/>
    </row>
    <row r="588">
      <c r="G588" s="168"/>
      <c r="L588" s="168"/>
      <c r="N588" s="169"/>
    </row>
    <row r="589">
      <c r="G589" s="168"/>
      <c r="L589" s="168"/>
      <c r="N589" s="169"/>
    </row>
    <row r="590">
      <c r="G590" s="168"/>
      <c r="L590" s="168"/>
      <c r="N590" s="169"/>
    </row>
    <row r="591">
      <c r="G591" s="168"/>
      <c r="L591" s="168"/>
      <c r="N591" s="169"/>
    </row>
    <row r="592">
      <c r="G592" s="168"/>
      <c r="L592" s="168"/>
      <c r="N592" s="169"/>
    </row>
    <row r="593">
      <c r="G593" s="168"/>
      <c r="L593" s="168"/>
      <c r="N593" s="169"/>
    </row>
    <row r="594">
      <c r="G594" s="168"/>
      <c r="L594" s="168"/>
      <c r="N594" s="169"/>
    </row>
    <row r="595">
      <c r="G595" s="168"/>
      <c r="L595" s="168"/>
      <c r="N595" s="169"/>
    </row>
    <row r="596">
      <c r="G596" s="168"/>
      <c r="L596" s="168"/>
      <c r="N596" s="169"/>
    </row>
    <row r="597">
      <c r="G597" s="168"/>
      <c r="L597" s="168"/>
      <c r="N597" s="169"/>
    </row>
    <row r="598">
      <c r="G598" s="168"/>
      <c r="L598" s="168"/>
      <c r="N598" s="169"/>
    </row>
    <row r="599">
      <c r="G599" s="168"/>
      <c r="L599" s="168"/>
      <c r="N599" s="169"/>
    </row>
    <row r="600">
      <c r="G600" s="168"/>
      <c r="L600" s="168"/>
      <c r="N600" s="169"/>
    </row>
    <row r="601">
      <c r="G601" s="168"/>
      <c r="L601" s="168"/>
      <c r="N601" s="169"/>
    </row>
    <row r="602">
      <c r="G602" s="168"/>
      <c r="L602" s="168"/>
      <c r="N602" s="169"/>
    </row>
    <row r="603">
      <c r="G603" s="168"/>
      <c r="L603" s="168"/>
      <c r="N603" s="169"/>
    </row>
    <row r="604">
      <c r="G604" s="168"/>
      <c r="L604" s="168"/>
      <c r="N604" s="169"/>
    </row>
    <row r="605">
      <c r="G605" s="168"/>
      <c r="L605" s="168"/>
      <c r="N605" s="169"/>
    </row>
    <row r="606">
      <c r="G606" s="168"/>
      <c r="L606" s="168"/>
      <c r="N606" s="169"/>
    </row>
    <row r="607">
      <c r="G607" s="168"/>
      <c r="L607" s="168"/>
      <c r="N607" s="169"/>
    </row>
    <row r="608">
      <c r="G608" s="168"/>
      <c r="L608" s="168"/>
      <c r="N608" s="169"/>
    </row>
    <row r="609">
      <c r="G609" s="168"/>
      <c r="L609" s="168"/>
      <c r="N609" s="169"/>
    </row>
    <row r="610">
      <c r="G610" s="168"/>
      <c r="L610" s="168"/>
      <c r="N610" s="169"/>
    </row>
    <row r="611">
      <c r="G611" s="168"/>
      <c r="L611" s="168"/>
      <c r="N611" s="169"/>
    </row>
    <row r="612">
      <c r="G612" s="168"/>
      <c r="L612" s="168"/>
      <c r="N612" s="169"/>
    </row>
    <row r="613">
      <c r="G613" s="168"/>
      <c r="L613" s="168"/>
      <c r="N613" s="169"/>
    </row>
    <row r="614">
      <c r="G614" s="168"/>
      <c r="L614" s="168"/>
      <c r="N614" s="169"/>
    </row>
    <row r="615">
      <c r="G615" s="168"/>
      <c r="L615" s="168"/>
      <c r="N615" s="169"/>
    </row>
    <row r="616">
      <c r="G616" s="168"/>
      <c r="L616" s="168"/>
      <c r="N616" s="169"/>
    </row>
    <row r="617">
      <c r="G617" s="168"/>
      <c r="L617" s="168"/>
      <c r="N617" s="169"/>
    </row>
    <row r="618">
      <c r="G618" s="168"/>
      <c r="L618" s="168"/>
      <c r="N618" s="169"/>
    </row>
    <row r="619">
      <c r="G619" s="168"/>
      <c r="L619" s="168"/>
      <c r="N619" s="169"/>
    </row>
    <row r="620">
      <c r="G620" s="168"/>
      <c r="L620" s="168"/>
      <c r="N620" s="169"/>
    </row>
    <row r="621">
      <c r="G621" s="168"/>
      <c r="L621" s="168"/>
      <c r="N621" s="169"/>
    </row>
    <row r="622">
      <c r="G622" s="168"/>
      <c r="L622" s="168"/>
      <c r="N622" s="169"/>
    </row>
    <row r="623">
      <c r="G623" s="168"/>
      <c r="L623" s="168"/>
      <c r="N623" s="169"/>
    </row>
    <row r="624">
      <c r="G624" s="168"/>
      <c r="L624" s="168"/>
      <c r="N624" s="169"/>
    </row>
    <row r="625">
      <c r="G625" s="168"/>
      <c r="L625" s="168"/>
      <c r="N625" s="169"/>
    </row>
    <row r="626">
      <c r="G626" s="168"/>
      <c r="L626" s="168"/>
      <c r="N626" s="169"/>
    </row>
    <row r="627">
      <c r="G627" s="168"/>
      <c r="L627" s="168"/>
      <c r="N627" s="169"/>
    </row>
    <row r="628">
      <c r="G628" s="168"/>
      <c r="L628" s="168"/>
      <c r="N628" s="169"/>
    </row>
    <row r="629">
      <c r="G629" s="168"/>
      <c r="L629" s="168"/>
      <c r="N629" s="169"/>
    </row>
    <row r="630">
      <c r="G630" s="168"/>
      <c r="L630" s="168"/>
      <c r="N630" s="169"/>
    </row>
    <row r="631">
      <c r="G631" s="168"/>
      <c r="L631" s="168"/>
      <c r="N631" s="169"/>
    </row>
    <row r="632">
      <c r="G632" s="168"/>
      <c r="L632" s="168"/>
      <c r="N632" s="169"/>
    </row>
    <row r="633">
      <c r="G633" s="168"/>
      <c r="L633" s="168"/>
      <c r="N633" s="169"/>
    </row>
    <row r="634">
      <c r="G634" s="168"/>
      <c r="L634" s="168"/>
      <c r="N634" s="169"/>
    </row>
    <row r="635">
      <c r="G635" s="168"/>
      <c r="L635" s="168"/>
      <c r="N635" s="169"/>
    </row>
    <row r="636">
      <c r="G636" s="168"/>
      <c r="L636" s="168"/>
      <c r="N636" s="169"/>
    </row>
    <row r="637">
      <c r="G637" s="168"/>
      <c r="L637" s="168"/>
      <c r="N637" s="169"/>
    </row>
    <row r="638">
      <c r="G638" s="168"/>
      <c r="L638" s="168"/>
      <c r="N638" s="169"/>
    </row>
    <row r="639">
      <c r="G639" s="168"/>
      <c r="L639" s="168"/>
      <c r="N639" s="169"/>
    </row>
    <row r="640">
      <c r="G640" s="168"/>
      <c r="L640" s="168"/>
      <c r="N640" s="169"/>
    </row>
    <row r="641">
      <c r="G641" s="168"/>
      <c r="L641" s="168"/>
      <c r="N641" s="169"/>
    </row>
    <row r="642">
      <c r="G642" s="168"/>
      <c r="L642" s="168"/>
      <c r="N642" s="169"/>
    </row>
    <row r="643">
      <c r="G643" s="168"/>
      <c r="L643" s="168"/>
      <c r="N643" s="169"/>
    </row>
    <row r="644">
      <c r="G644" s="168"/>
      <c r="L644" s="168"/>
      <c r="N644" s="169"/>
    </row>
    <row r="645">
      <c r="G645" s="168"/>
      <c r="L645" s="168"/>
      <c r="N645" s="169"/>
    </row>
    <row r="646">
      <c r="G646" s="168"/>
      <c r="L646" s="168"/>
      <c r="N646" s="169"/>
    </row>
    <row r="647">
      <c r="G647" s="168"/>
      <c r="L647" s="168"/>
      <c r="N647" s="169"/>
    </row>
    <row r="648">
      <c r="G648" s="168"/>
      <c r="L648" s="168"/>
      <c r="N648" s="169"/>
    </row>
    <row r="649">
      <c r="G649" s="168"/>
      <c r="L649" s="168"/>
      <c r="N649" s="169"/>
    </row>
    <row r="650">
      <c r="G650" s="168"/>
      <c r="L650" s="168"/>
      <c r="N650" s="169"/>
    </row>
    <row r="651">
      <c r="G651" s="168"/>
      <c r="L651" s="168"/>
      <c r="N651" s="169"/>
    </row>
    <row r="652">
      <c r="G652" s="168"/>
      <c r="L652" s="168"/>
      <c r="N652" s="169"/>
    </row>
    <row r="653">
      <c r="G653" s="168"/>
      <c r="L653" s="168"/>
      <c r="N653" s="169"/>
    </row>
    <row r="654">
      <c r="G654" s="168"/>
      <c r="L654" s="168"/>
      <c r="N654" s="169"/>
    </row>
    <row r="655">
      <c r="G655" s="168"/>
      <c r="L655" s="168"/>
      <c r="N655" s="169"/>
    </row>
    <row r="656">
      <c r="G656" s="168"/>
      <c r="L656" s="168"/>
      <c r="N656" s="169"/>
    </row>
    <row r="657">
      <c r="G657" s="168"/>
      <c r="L657" s="168"/>
      <c r="N657" s="169"/>
    </row>
    <row r="658">
      <c r="G658" s="168"/>
      <c r="L658" s="168"/>
      <c r="N658" s="169"/>
    </row>
    <row r="659">
      <c r="G659" s="168"/>
      <c r="L659" s="168"/>
      <c r="N659" s="169"/>
    </row>
    <row r="660">
      <c r="G660" s="168"/>
      <c r="L660" s="168"/>
      <c r="N660" s="169"/>
    </row>
    <row r="661">
      <c r="G661" s="168"/>
      <c r="L661" s="168"/>
      <c r="N661" s="169"/>
    </row>
    <row r="662">
      <c r="G662" s="168"/>
      <c r="L662" s="168"/>
      <c r="N662" s="169"/>
    </row>
    <row r="663">
      <c r="G663" s="168"/>
      <c r="L663" s="168"/>
      <c r="N663" s="169"/>
    </row>
    <row r="664">
      <c r="G664" s="168"/>
      <c r="L664" s="168"/>
      <c r="N664" s="169"/>
    </row>
    <row r="665">
      <c r="G665" s="168"/>
      <c r="L665" s="168"/>
      <c r="N665" s="169"/>
    </row>
    <row r="666">
      <c r="G666" s="168"/>
      <c r="L666" s="168"/>
      <c r="N666" s="169"/>
    </row>
    <row r="667">
      <c r="G667" s="168"/>
      <c r="L667" s="168"/>
      <c r="N667" s="169"/>
    </row>
    <row r="668">
      <c r="G668" s="168"/>
      <c r="L668" s="168"/>
      <c r="N668" s="169"/>
    </row>
    <row r="669">
      <c r="G669" s="168"/>
      <c r="L669" s="168"/>
      <c r="N669" s="169"/>
    </row>
    <row r="670">
      <c r="G670" s="168"/>
      <c r="L670" s="168"/>
      <c r="N670" s="169"/>
    </row>
    <row r="671">
      <c r="G671" s="168"/>
      <c r="L671" s="168"/>
      <c r="N671" s="169"/>
    </row>
    <row r="672">
      <c r="G672" s="168"/>
      <c r="L672" s="168"/>
      <c r="N672" s="169"/>
    </row>
    <row r="673">
      <c r="G673" s="168"/>
      <c r="L673" s="168"/>
      <c r="N673" s="169"/>
    </row>
    <row r="674">
      <c r="G674" s="168"/>
      <c r="L674" s="168"/>
      <c r="N674" s="169"/>
    </row>
    <row r="675">
      <c r="G675" s="168"/>
      <c r="L675" s="168"/>
      <c r="N675" s="169"/>
    </row>
    <row r="676">
      <c r="G676" s="168"/>
      <c r="L676" s="168"/>
      <c r="N676" s="169"/>
    </row>
    <row r="677">
      <c r="G677" s="168"/>
      <c r="L677" s="168"/>
      <c r="N677" s="169"/>
    </row>
    <row r="678">
      <c r="G678" s="168"/>
      <c r="L678" s="168"/>
      <c r="N678" s="169"/>
    </row>
    <row r="679">
      <c r="G679" s="168"/>
      <c r="L679" s="168"/>
      <c r="N679" s="169"/>
    </row>
    <row r="680">
      <c r="G680" s="168"/>
      <c r="L680" s="168"/>
      <c r="N680" s="169"/>
    </row>
    <row r="681">
      <c r="G681" s="168"/>
      <c r="L681" s="168"/>
      <c r="N681" s="169"/>
    </row>
    <row r="682">
      <c r="G682" s="168"/>
      <c r="L682" s="168"/>
      <c r="N682" s="169"/>
    </row>
    <row r="683">
      <c r="G683" s="168"/>
      <c r="L683" s="168"/>
      <c r="N683" s="169"/>
    </row>
    <row r="684">
      <c r="G684" s="168"/>
      <c r="L684" s="168"/>
      <c r="N684" s="169"/>
    </row>
    <row r="685">
      <c r="G685" s="168"/>
      <c r="L685" s="168"/>
      <c r="N685" s="169"/>
    </row>
    <row r="686">
      <c r="G686" s="168"/>
      <c r="L686" s="168"/>
      <c r="N686" s="169"/>
    </row>
    <row r="687">
      <c r="G687" s="168"/>
      <c r="L687" s="168"/>
      <c r="N687" s="169"/>
    </row>
    <row r="688">
      <c r="G688" s="168"/>
      <c r="L688" s="168"/>
      <c r="N688" s="169"/>
    </row>
    <row r="689">
      <c r="G689" s="168"/>
      <c r="L689" s="168"/>
      <c r="N689" s="169"/>
    </row>
    <row r="690">
      <c r="G690" s="168"/>
      <c r="L690" s="168"/>
      <c r="N690" s="169"/>
    </row>
    <row r="691">
      <c r="G691" s="168"/>
      <c r="L691" s="168"/>
      <c r="N691" s="169"/>
    </row>
    <row r="692">
      <c r="G692" s="168"/>
      <c r="L692" s="168"/>
      <c r="N692" s="169"/>
    </row>
    <row r="693">
      <c r="G693" s="168"/>
      <c r="L693" s="168"/>
      <c r="N693" s="169"/>
    </row>
    <row r="694">
      <c r="G694" s="168"/>
      <c r="L694" s="168"/>
      <c r="N694" s="169"/>
    </row>
    <row r="695">
      <c r="G695" s="168"/>
      <c r="L695" s="168"/>
      <c r="N695" s="169"/>
    </row>
    <row r="696">
      <c r="G696" s="168"/>
      <c r="L696" s="168"/>
      <c r="N696" s="169"/>
    </row>
    <row r="697">
      <c r="G697" s="168"/>
      <c r="L697" s="168"/>
      <c r="N697" s="169"/>
    </row>
    <row r="698">
      <c r="G698" s="168"/>
      <c r="L698" s="168"/>
      <c r="N698" s="169"/>
    </row>
    <row r="699">
      <c r="G699" s="168"/>
      <c r="L699" s="168"/>
      <c r="N699" s="169"/>
    </row>
    <row r="700">
      <c r="G700" s="168"/>
      <c r="L700" s="168"/>
      <c r="N700" s="169"/>
    </row>
    <row r="701">
      <c r="G701" s="168"/>
      <c r="L701" s="168"/>
      <c r="N701" s="169"/>
    </row>
    <row r="702">
      <c r="G702" s="168"/>
      <c r="L702" s="168"/>
      <c r="N702" s="169"/>
    </row>
    <row r="703">
      <c r="G703" s="168"/>
      <c r="L703" s="168"/>
      <c r="N703" s="169"/>
    </row>
    <row r="704">
      <c r="G704" s="168"/>
      <c r="L704" s="168"/>
      <c r="N704" s="169"/>
    </row>
    <row r="705">
      <c r="G705" s="168"/>
      <c r="L705" s="168"/>
      <c r="N705" s="169"/>
    </row>
    <row r="706">
      <c r="G706" s="168"/>
      <c r="L706" s="168"/>
      <c r="N706" s="169"/>
    </row>
    <row r="707">
      <c r="G707" s="168"/>
      <c r="L707" s="168"/>
      <c r="N707" s="169"/>
    </row>
    <row r="708">
      <c r="G708" s="168"/>
      <c r="L708" s="168"/>
      <c r="N708" s="169"/>
    </row>
    <row r="709">
      <c r="G709" s="168"/>
      <c r="L709" s="168"/>
      <c r="N709" s="169"/>
    </row>
    <row r="710">
      <c r="G710" s="168"/>
      <c r="L710" s="168"/>
      <c r="N710" s="169"/>
    </row>
    <row r="711">
      <c r="G711" s="168"/>
      <c r="L711" s="168"/>
      <c r="N711" s="169"/>
    </row>
    <row r="712">
      <c r="G712" s="168"/>
      <c r="L712" s="168"/>
      <c r="N712" s="169"/>
    </row>
    <row r="713">
      <c r="G713" s="168"/>
      <c r="L713" s="168"/>
      <c r="N713" s="169"/>
    </row>
    <row r="714">
      <c r="G714" s="168"/>
      <c r="L714" s="168"/>
      <c r="N714" s="169"/>
    </row>
    <row r="715">
      <c r="G715" s="168"/>
      <c r="L715" s="168"/>
      <c r="N715" s="169"/>
    </row>
    <row r="716">
      <c r="G716" s="168"/>
      <c r="L716" s="168"/>
      <c r="N716" s="169"/>
    </row>
    <row r="717">
      <c r="G717" s="168"/>
      <c r="L717" s="168"/>
      <c r="N717" s="169"/>
    </row>
    <row r="718">
      <c r="G718" s="168"/>
      <c r="L718" s="168"/>
      <c r="N718" s="169"/>
    </row>
    <row r="719">
      <c r="G719" s="168"/>
      <c r="L719" s="168"/>
      <c r="N719" s="169"/>
    </row>
    <row r="720">
      <c r="G720" s="168"/>
      <c r="L720" s="168"/>
      <c r="N720" s="169"/>
    </row>
    <row r="721">
      <c r="G721" s="168"/>
      <c r="L721" s="168"/>
      <c r="N721" s="169"/>
    </row>
    <row r="722">
      <c r="G722" s="168"/>
      <c r="L722" s="168"/>
      <c r="N722" s="169"/>
    </row>
    <row r="723">
      <c r="G723" s="168"/>
      <c r="L723" s="168"/>
      <c r="N723" s="169"/>
    </row>
    <row r="724">
      <c r="G724" s="168"/>
      <c r="L724" s="168"/>
      <c r="N724" s="169"/>
    </row>
    <row r="725">
      <c r="G725" s="168"/>
      <c r="L725" s="168"/>
      <c r="N725" s="169"/>
    </row>
    <row r="726">
      <c r="G726" s="168"/>
      <c r="L726" s="168"/>
      <c r="N726" s="169"/>
    </row>
    <row r="727">
      <c r="G727" s="168"/>
      <c r="L727" s="168"/>
      <c r="N727" s="169"/>
    </row>
    <row r="728">
      <c r="G728" s="168"/>
      <c r="L728" s="168"/>
      <c r="N728" s="169"/>
    </row>
    <row r="729">
      <c r="G729" s="168"/>
      <c r="L729" s="168"/>
      <c r="N729" s="169"/>
    </row>
    <row r="730">
      <c r="G730" s="168"/>
      <c r="L730" s="168"/>
      <c r="N730" s="169"/>
    </row>
    <row r="731">
      <c r="G731" s="168"/>
      <c r="L731" s="168"/>
      <c r="N731" s="169"/>
    </row>
    <row r="732">
      <c r="G732" s="168"/>
      <c r="L732" s="168"/>
      <c r="N732" s="169"/>
    </row>
    <row r="733">
      <c r="G733" s="168"/>
      <c r="L733" s="168"/>
      <c r="N733" s="169"/>
    </row>
    <row r="734">
      <c r="G734" s="168"/>
      <c r="L734" s="168"/>
      <c r="N734" s="169"/>
    </row>
    <row r="735">
      <c r="G735" s="168"/>
      <c r="L735" s="168"/>
      <c r="N735" s="169"/>
    </row>
    <row r="736">
      <c r="G736" s="168"/>
      <c r="L736" s="168"/>
      <c r="N736" s="169"/>
    </row>
    <row r="737">
      <c r="G737" s="168"/>
      <c r="L737" s="168"/>
      <c r="N737" s="169"/>
    </row>
    <row r="738">
      <c r="G738" s="168"/>
      <c r="L738" s="168"/>
      <c r="N738" s="169"/>
    </row>
    <row r="739">
      <c r="G739" s="168"/>
      <c r="L739" s="168"/>
      <c r="N739" s="169"/>
    </row>
    <row r="740">
      <c r="G740" s="168"/>
      <c r="L740" s="168"/>
      <c r="N740" s="169"/>
    </row>
    <row r="741">
      <c r="G741" s="168"/>
      <c r="L741" s="168"/>
      <c r="N741" s="169"/>
    </row>
    <row r="742">
      <c r="G742" s="168"/>
      <c r="L742" s="168"/>
      <c r="N742" s="169"/>
    </row>
    <row r="743">
      <c r="G743" s="168"/>
      <c r="L743" s="168"/>
      <c r="N743" s="169"/>
    </row>
    <row r="744">
      <c r="G744" s="168"/>
      <c r="L744" s="168"/>
      <c r="N744" s="169"/>
    </row>
    <row r="745">
      <c r="G745" s="168"/>
      <c r="L745" s="168"/>
      <c r="N745" s="169"/>
    </row>
    <row r="746">
      <c r="G746" s="168"/>
      <c r="L746" s="168"/>
      <c r="N746" s="169"/>
    </row>
    <row r="747">
      <c r="G747" s="168"/>
      <c r="L747" s="168"/>
      <c r="N747" s="169"/>
    </row>
    <row r="748">
      <c r="G748" s="168"/>
      <c r="L748" s="168"/>
      <c r="N748" s="169"/>
    </row>
    <row r="749">
      <c r="G749" s="168"/>
      <c r="L749" s="168"/>
      <c r="N749" s="169"/>
    </row>
    <row r="750">
      <c r="G750" s="168"/>
      <c r="L750" s="168"/>
      <c r="N750" s="169"/>
    </row>
    <row r="751">
      <c r="G751" s="168"/>
      <c r="L751" s="168"/>
      <c r="N751" s="169"/>
    </row>
    <row r="752">
      <c r="G752" s="168"/>
      <c r="L752" s="168"/>
      <c r="N752" s="169"/>
    </row>
    <row r="753">
      <c r="G753" s="168"/>
      <c r="L753" s="168"/>
      <c r="N753" s="169"/>
    </row>
    <row r="754">
      <c r="G754" s="168"/>
      <c r="L754" s="168"/>
      <c r="N754" s="169"/>
    </row>
    <row r="755">
      <c r="G755" s="168"/>
      <c r="L755" s="168"/>
      <c r="N755" s="169"/>
    </row>
    <row r="756">
      <c r="G756" s="168"/>
      <c r="L756" s="168"/>
      <c r="N756" s="169"/>
    </row>
    <row r="757">
      <c r="G757" s="168"/>
      <c r="L757" s="168"/>
      <c r="N757" s="169"/>
    </row>
    <row r="758">
      <c r="G758" s="168"/>
      <c r="L758" s="168"/>
      <c r="N758" s="169"/>
    </row>
    <row r="759">
      <c r="G759" s="168"/>
      <c r="L759" s="168"/>
      <c r="N759" s="169"/>
    </row>
    <row r="760">
      <c r="G760" s="168"/>
      <c r="L760" s="168"/>
      <c r="N760" s="169"/>
    </row>
    <row r="761">
      <c r="G761" s="168"/>
      <c r="L761" s="168"/>
      <c r="N761" s="169"/>
    </row>
    <row r="762">
      <c r="G762" s="168"/>
      <c r="L762" s="168"/>
      <c r="N762" s="169"/>
    </row>
    <row r="763">
      <c r="G763" s="168"/>
      <c r="L763" s="168"/>
      <c r="N763" s="169"/>
    </row>
    <row r="764">
      <c r="G764" s="168"/>
      <c r="L764" s="168"/>
      <c r="N764" s="169"/>
    </row>
    <row r="765">
      <c r="G765" s="168"/>
      <c r="L765" s="168"/>
      <c r="N765" s="169"/>
    </row>
    <row r="766">
      <c r="G766" s="168"/>
      <c r="L766" s="168"/>
      <c r="N766" s="169"/>
    </row>
    <row r="767">
      <c r="G767" s="168"/>
      <c r="L767" s="168"/>
      <c r="N767" s="169"/>
    </row>
    <row r="768">
      <c r="G768" s="168"/>
      <c r="L768" s="168"/>
      <c r="N768" s="169"/>
    </row>
    <row r="769">
      <c r="G769" s="168"/>
      <c r="L769" s="168"/>
      <c r="N769" s="169"/>
    </row>
    <row r="770">
      <c r="G770" s="168"/>
      <c r="L770" s="168"/>
      <c r="N770" s="169"/>
    </row>
    <row r="771">
      <c r="G771" s="168"/>
      <c r="L771" s="168"/>
      <c r="N771" s="169"/>
    </row>
    <row r="772">
      <c r="G772" s="168"/>
      <c r="L772" s="168"/>
      <c r="N772" s="169"/>
    </row>
    <row r="773">
      <c r="G773" s="168"/>
      <c r="L773" s="168"/>
      <c r="N773" s="169"/>
    </row>
    <row r="774">
      <c r="G774" s="168"/>
      <c r="L774" s="168"/>
      <c r="N774" s="169"/>
    </row>
    <row r="775">
      <c r="G775" s="168"/>
      <c r="L775" s="168"/>
      <c r="N775" s="169"/>
    </row>
    <row r="776">
      <c r="G776" s="168"/>
      <c r="L776" s="168"/>
      <c r="N776" s="169"/>
    </row>
    <row r="777">
      <c r="G777" s="168"/>
      <c r="L777" s="168"/>
      <c r="N777" s="169"/>
    </row>
    <row r="778">
      <c r="G778" s="168"/>
      <c r="L778" s="168"/>
      <c r="N778" s="169"/>
    </row>
    <row r="779">
      <c r="G779" s="168"/>
      <c r="L779" s="168"/>
      <c r="N779" s="169"/>
    </row>
    <row r="780">
      <c r="G780" s="168"/>
      <c r="L780" s="168"/>
      <c r="N780" s="169"/>
    </row>
    <row r="781">
      <c r="G781" s="168"/>
      <c r="L781" s="168"/>
      <c r="N781" s="169"/>
    </row>
    <row r="782">
      <c r="G782" s="168"/>
      <c r="L782" s="168"/>
      <c r="N782" s="169"/>
    </row>
    <row r="783">
      <c r="G783" s="168"/>
      <c r="L783" s="168"/>
      <c r="N783" s="169"/>
    </row>
    <row r="784">
      <c r="G784" s="168"/>
      <c r="L784" s="168"/>
      <c r="N784" s="169"/>
    </row>
    <row r="785">
      <c r="G785" s="168"/>
      <c r="L785" s="168"/>
      <c r="N785" s="169"/>
    </row>
    <row r="786">
      <c r="G786" s="168"/>
      <c r="L786" s="168"/>
      <c r="N786" s="169"/>
    </row>
    <row r="787">
      <c r="G787" s="168"/>
      <c r="L787" s="168"/>
      <c r="N787" s="169"/>
    </row>
    <row r="788">
      <c r="G788" s="168"/>
      <c r="L788" s="168"/>
      <c r="N788" s="169"/>
    </row>
    <row r="789">
      <c r="G789" s="168"/>
      <c r="L789" s="168"/>
      <c r="N789" s="169"/>
    </row>
    <row r="790">
      <c r="G790" s="168"/>
      <c r="L790" s="168"/>
      <c r="N790" s="169"/>
    </row>
    <row r="791">
      <c r="G791" s="168"/>
      <c r="L791" s="168"/>
      <c r="N791" s="169"/>
    </row>
    <row r="792">
      <c r="G792" s="168"/>
      <c r="L792" s="168"/>
      <c r="N792" s="169"/>
    </row>
    <row r="793">
      <c r="G793" s="168"/>
      <c r="L793" s="168"/>
      <c r="N793" s="169"/>
    </row>
    <row r="794">
      <c r="G794" s="168"/>
      <c r="L794" s="168"/>
      <c r="N794" s="169"/>
    </row>
    <row r="795">
      <c r="G795" s="168"/>
      <c r="L795" s="168"/>
      <c r="N795" s="169"/>
    </row>
    <row r="796">
      <c r="G796" s="168"/>
      <c r="L796" s="168"/>
      <c r="N796" s="169"/>
    </row>
    <row r="797">
      <c r="G797" s="168"/>
      <c r="L797" s="168"/>
      <c r="N797" s="169"/>
    </row>
    <row r="798">
      <c r="G798" s="168"/>
      <c r="L798" s="168"/>
      <c r="N798" s="169"/>
    </row>
    <row r="799">
      <c r="G799" s="168"/>
      <c r="L799" s="168"/>
      <c r="N799" s="169"/>
    </row>
    <row r="800">
      <c r="G800" s="168"/>
      <c r="L800" s="168"/>
      <c r="N800" s="169"/>
    </row>
    <row r="801">
      <c r="G801" s="168"/>
      <c r="L801" s="168"/>
      <c r="N801" s="169"/>
    </row>
    <row r="802">
      <c r="G802" s="168"/>
      <c r="L802" s="168"/>
      <c r="N802" s="169"/>
    </row>
    <row r="803">
      <c r="G803" s="168"/>
      <c r="L803" s="168"/>
      <c r="N803" s="169"/>
    </row>
    <row r="804">
      <c r="G804" s="168"/>
      <c r="L804" s="168"/>
      <c r="N804" s="169"/>
    </row>
    <row r="805">
      <c r="G805" s="168"/>
      <c r="L805" s="168"/>
      <c r="N805" s="169"/>
    </row>
    <row r="806">
      <c r="G806" s="168"/>
      <c r="L806" s="168"/>
      <c r="N806" s="169"/>
    </row>
    <row r="807">
      <c r="G807" s="168"/>
      <c r="L807" s="168"/>
      <c r="N807" s="169"/>
    </row>
    <row r="808">
      <c r="G808" s="168"/>
      <c r="L808" s="168"/>
      <c r="N808" s="169"/>
    </row>
    <row r="809">
      <c r="G809" s="168"/>
      <c r="L809" s="168"/>
      <c r="N809" s="169"/>
    </row>
    <row r="810">
      <c r="G810" s="168"/>
      <c r="L810" s="168"/>
      <c r="N810" s="169"/>
    </row>
    <row r="811">
      <c r="G811" s="168"/>
      <c r="L811" s="168"/>
      <c r="N811" s="169"/>
    </row>
    <row r="812">
      <c r="G812" s="168"/>
      <c r="L812" s="168"/>
      <c r="N812" s="169"/>
    </row>
    <row r="813">
      <c r="G813" s="168"/>
      <c r="L813" s="168"/>
      <c r="N813" s="169"/>
    </row>
    <row r="814">
      <c r="G814" s="168"/>
      <c r="L814" s="168"/>
      <c r="N814" s="169"/>
    </row>
    <row r="815">
      <c r="G815" s="168"/>
      <c r="L815" s="168"/>
      <c r="N815" s="169"/>
    </row>
    <row r="816">
      <c r="G816" s="168"/>
      <c r="L816" s="168"/>
      <c r="N816" s="169"/>
    </row>
    <row r="817">
      <c r="G817" s="168"/>
      <c r="L817" s="168"/>
      <c r="N817" s="169"/>
    </row>
    <row r="818">
      <c r="G818" s="168"/>
      <c r="L818" s="168"/>
      <c r="N818" s="169"/>
    </row>
    <row r="819">
      <c r="G819" s="168"/>
      <c r="L819" s="168"/>
      <c r="N819" s="169"/>
    </row>
    <row r="820">
      <c r="G820" s="168"/>
      <c r="L820" s="168"/>
      <c r="N820" s="169"/>
    </row>
    <row r="821">
      <c r="G821" s="168"/>
      <c r="L821" s="168"/>
      <c r="N821" s="169"/>
    </row>
    <row r="822">
      <c r="G822" s="168"/>
      <c r="L822" s="168"/>
      <c r="N822" s="169"/>
    </row>
    <row r="823">
      <c r="G823" s="168"/>
      <c r="L823" s="168"/>
      <c r="N823" s="169"/>
    </row>
    <row r="824">
      <c r="G824" s="168"/>
      <c r="L824" s="168"/>
      <c r="N824" s="169"/>
    </row>
    <row r="825">
      <c r="G825" s="168"/>
      <c r="L825" s="168"/>
      <c r="N825" s="169"/>
    </row>
    <row r="826">
      <c r="G826" s="168"/>
      <c r="L826" s="168"/>
      <c r="N826" s="169"/>
    </row>
    <row r="827">
      <c r="G827" s="168"/>
      <c r="L827" s="168"/>
      <c r="N827" s="169"/>
    </row>
    <row r="828">
      <c r="G828" s="168"/>
      <c r="L828" s="168"/>
      <c r="N828" s="169"/>
    </row>
    <row r="829">
      <c r="G829" s="168"/>
      <c r="L829" s="168"/>
      <c r="N829" s="169"/>
    </row>
    <row r="830">
      <c r="G830" s="168"/>
      <c r="L830" s="168"/>
      <c r="N830" s="169"/>
    </row>
    <row r="831">
      <c r="G831" s="168"/>
      <c r="L831" s="168"/>
      <c r="N831" s="169"/>
    </row>
    <row r="832">
      <c r="G832" s="168"/>
      <c r="L832" s="168"/>
      <c r="N832" s="169"/>
    </row>
    <row r="833">
      <c r="G833" s="168"/>
      <c r="L833" s="168"/>
      <c r="N833" s="169"/>
    </row>
    <row r="834">
      <c r="G834" s="168"/>
      <c r="L834" s="168"/>
      <c r="N834" s="169"/>
    </row>
    <row r="835">
      <c r="G835" s="168"/>
      <c r="L835" s="168"/>
      <c r="N835" s="169"/>
    </row>
    <row r="836">
      <c r="G836" s="168"/>
      <c r="L836" s="168"/>
      <c r="N836" s="169"/>
    </row>
    <row r="837">
      <c r="G837" s="168"/>
      <c r="L837" s="168"/>
      <c r="N837" s="169"/>
    </row>
    <row r="838">
      <c r="G838" s="168"/>
      <c r="L838" s="168"/>
      <c r="N838" s="169"/>
    </row>
    <row r="839">
      <c r="G839" s="168"/>
      <c r="L839" s="168"/>
      <c r="N839" s="169"/>
    </row>
    <row r="840">
      <c r="G840" s="168"/>
      <c r="L840" s="168"/>
      <c r="N840" s="169"/>
    </row>
    <row r="841">
      <c r="G841" s="168"/>
      <c r="L841" s="168"/>
      <c r="N841" s="169"/>
    </row>
    <row r="842">
      <c r="G842" s="168"/>
      <c r="L842" s="168"/>
      <c r="N842" s="169"/>
    </row>
    <row r="843">
      <c r="G843" s="168"/>
      <c r="L843" s="168"/>
      <c r="N843" s="169"/>
    </row>
    <row r="844">
      <c r="G844" s="168"/>
      <c r="L844" s="168"/>
      <c r="N844" s="169"/>
    </row>
    <row r="845">
      <c r="G845" s="168"/>
      <c r="L845" s="168"/>
      <c r="N845" s="169"/>
    </row>
    <row r="846">
      <c r="G846" s="168"/>
      <c r="L846" s="168"/>
      <c r="N846" s="169"/>
    </row>
    <row r="847">
      <c r="G847" s="168"/>
      <c r="L847" s="168"/>
      <c r="N847" s="169"/>
    </row>
    <row r="848">
      <c r="G848" s="168"/>
      <c r="L848" s="168"/>
      <c r="N848" s="169"/>
    </row>
    <row r="849">
      <c r="G849" s="168"/>
      <c r="L849" s="168"/>
      <c r="N849" s="169"/>
    </row>
    <row r="850">
      <c r="G850" s="168"/>
      <c r="L850" s="168"/>
      <c r="N850" s="169"/>
    </row>
    <row r="851">
      <c r="G851" s="168"/>
      <c r="L851" s="168"/>
      <c r="N851" s="169"/>
    </row>
    <row r="852">
      <c r="G852" s="168"/>
      <c r="L852" s="168"/>
      <c r="N852" s="169"/>
    </row>
    <row r="853">
      <c r="G853" s="168"/>
      <c r="L853" s="168"/>
      <c r="N853" s="169"/>
    </row>
    <row r="854">
      <c r="G854" s="168"/>
      <c r="L854" s="168"/>
      <c r="N854" s="169"/>
    </row>
    <row r="855">
      <c r="G855" s="168"/>
      <c r="L855" s="168"/>
      <c r="N855" s="169"/>
    </row>
    <row r="856">
      <c r="G856" s="168"/>
      <c r="L856" s="168"/>
      <c r="N856" s="169"/>
    </row>
    <row r="857">
      <c r="G857" s="168"/>
      <c r="L857" s="168"/>
      <c r="N857" s="169"/>
    </row>
    <row r="858">
      <c r="G858" s="168"/>
      <c r="L858" s="168"/>
      <c r="N858" s="169"/>
    </row>
    <row r="859">
      <c r="G859" s="168"/>
      <c r="L859" s="168"/>
      <c r="N859" s="169"/>
    </row>
    <row r="860">
      <c r="G860" s="168"/>
      <c r="L860" s="168"/>
      <c r="N860" s="169"/>
    </row>
    <row r="861">
      <c r="G861" s="168"/>
      <c r="L861" s="168"/>
      <c r="N861" s="169"/>
    </row>
    <row r="862">
      <c r="G862" s="168"/>
      <c r="L862" s="168"/>
      <c r="N862" s="169"/>
    </row>
    <row r="863">
      <c r="G863" s="168"/>
      <c r="L863" s="168"/>
      <c r="N863" s="169"/>
    </row>
    <row r="864">
      <c r="G864" s="168"/>
      <c r="L864" s="168"/>
      <c r="N864" s="169"/>
    </row>
    <row r="865">
      <c r="G865" s="168"/>
      <c r="L865" s="168"/>
      <c r="N865" s="169"/>
    </row>
    <row r="866">
      <c r="G866" s="168"/>
      <c r="L866" s="168"/>
      <c r="N866" s="169"/>
    </row>
    <row r="867">
      <c r="G867" s="168"/>
      <c r="L867" s="168"/>
      <c r="N867" s="169"/>
    </row>
    <row r="868">
      <c r="G868" s="168"/>
      <c r="L868" s="168"/>
      <c r="N868" s="169"/>
    </row>
    <row r="869">
      <c r="G869" s="168"/>
      <c r="L869" s="168"/>
      <c r="N869" s="169"/>
    </row>
    <row r="870">
      <c r="G870" s="168"/>
      <c r="L870" s="168"/>
      <c r="N870" s="169"/>
    </row>
    <row r="871">
      <c r="G871" s="168"/>
      <c r="L871" s="168"/>
      <c r="N871" s="169"/>
    </row>
    <row r="872">
      <c r="G872" s="168"/>
      <c r="L872" s="168"/>
      <c r="N872" s="169"/>
    </row>
    <row r="873">
      <c r="G873" s="168"/>
      <c r="L873" s="168"/>
      <c r="N873" s="169"/>
    </row>
    <row r="874">
      <c r="G874" s="168"/>
      <c r="L874" s="168"/>
      <c r="N874" s="169"/>
    </row>
    <row r="875">
      <c r="G875" s="168"/>
      <c r="L875" s="168"/>
      <c r="N875" s="169"/>
    </row>
    <row r="876">
      <c r="G876" s="168"/>
      <c r="L876" s="168"/>
      <c r="N876" s="169"/>
    </row>
    <row r="877">
      <c r="G877" s="168"/>
      <c r="L877" s="168"/>
      <c r="N877" s="169"/>
    </row>
    <row r="878">
      <c r="G878" s="168"/>
      <c r="L878" s="168"/>
      <c r="N878" s="169"/>
    </row>
    <row r="879">
      <c r="G879" s="168"/>
      <c r="L879" s="168"/>
      <c r="N879" s="169"/>
    </row>
    <row r="880">
      <c r="G880" s="168"/>
      <c r="L880" s="168"/>
      <c r="N880" s="169"/>
    </row>
    <row r="881">
      <c r="G881" s="168"/>
      <c r="L881" s="168"/>
      <c r="N881" s="169"/>
    </row>
    <row r="882">
      <c r="G882" s="168"/>
      <c r="L882" s="168"/>
      <c r="N882" s="169"/>
    </row>
    <row r="883">
      <c r="G883" s="168"/>
      <c r="L883" s="168"/>
      <c r="N883" s="169"/>
    </row>
    <row r="884">
      <c r="G884" s="168"/>
      <c r="L884" s="168"/>
      <c r="N884" s="169"/>
    </row>
    <row r="885">
      <c r="G885" s="168"/>
      <c r="L885" s="168"/>
      <c r="N885" s="169"/>
    </row>
    <row r="886">
      <c r="G886" s="168"/>
      <c r="L886" s="168"/>
      <c r="N886" s="169"/>
    </row>
    <row r="887">
      <c r="G887" s="168"/>
      <c r="L887" s="168"/>
      <c r="N887" s="169"/>
    </row>
    <row r="888">
      <c r="G888" s="168"/>
      <c r="L888" s="168"/>
      <c r="N888" s="169"/>
    </row>
    <row r="889">
      <c r="G889" s="168"/>
      <c r="L889" s="168"/>
      <c r="N889" s="169"/>
    </row>
    <row r="890">
      <c r="G890" s="168"/>
      <c r="L890" s="168"/>
      <c r="N890" s="169"/>
    </row>
    <row r="891">
      <c r="G891" s="168"/>
      <c r="L891" s="168"/>
      <c r="N891" s="169"/>
    </row>
    <row r="892">
      <c r="G892" s="168"/>
      <c r="L892" s="168"/>
      <c r="N892" s="169"/>
    </row>
    <row r="893">
      <c r="G893" s="168"/>
      <c r="L893" s="168"/>
      <c r="N893" s="169"/>
    </row>
    <row r="894">
      <c r="G894" s="168"/>
      <c r="L894" s="168"/>
      <c r="N894" s="169"/>
    </row>
    <row r="895">
      <c r="G895" s="168"/>
      <c r="L895" s="168"/>
      <c r="N895" s="169"/>
    </row>
    <row r="896">
      <c r="G896" s="168"/>
      <c r="L896" s="168"/>
      <c r="N896" s="169"/>
    </row>
    <row r="897">
      <c r="G897" s="168"/>
      <c r="L897" s="168"/>
      <c r="N897" s="169"/>
    </row>
    <row r="898">
      <c r="G898" s="168"/>
      <c r="L898" s="168"/>
      <c r="N898" s="169"/>
    </row>
    <row r="899">
      <c r="G899" s="168"/>
      <c r="L899" s="168"/>
      <c r="N899" s="169"/>
    </row>
    <row r="900">
      <c r="G900" s="168"/>
      <c r="L900" s="168"/>
      <c r="N900" s="169"/>
    </row>
    <row r="901">
      <c r="G901" s="168"/>
      <c r="L901" s="168"/>
      <c r="N901" s="169"/>
    </row>
    <row r="902">
      <c r="G902" s="168"/>
      <c r="L902" s="168"/>
      <c r="N902" s="169"/>
    </row>
    <row r="903">
      <c r="G903" s="168"/>
      <c r="L903" s="168"/>
      <c r="N903" s="169"/>
    </row>
    <row r="904">
      <c r="G904" s="168"/>
      <c r="L904" s="168"/>
      <c r="N904" s="169"/>
    </row>
    <row r="905">
      <c r="G905" s="168"/>
      <c r="L905" s="168"/>
      <c r="N905" s="169"/>
    </row>
    <row r="906">
      <c r="G906" s="168"/>
      <c r="L906" s="168"/>
      <c r="N906" s="169"/>
    </row>
    <row r="907">
      <c r="G907" s="168"/>
      <c r="L907" s="168"/>
      <c r="N907" s="169"/>
    </row>
    <row r="908">
      <c r="G908" s="168"/>
      <c r="L908" s="168"/>
      <c r="N908" s="169"/>
    </row>
    <row r="909">
      <c r="G909" s="168"/>
      <c r="L909" s="168"/>
      <c r="N909" s="169"/>
    </row>
    <row r="910">
      <c r="G910" s="168"/>
      <c r="L910" s="168"/>
      <c r="N910" s="169"/>
    </row>
    <row r="911">
      <c r="G911" s="168"/>
      <c r="L911" s="168"/>
      <c r="N911" s="169"/>
    </row>
    <row r="912">
      <c r="G912" s="168"/>
      <c r="L912" s="168"/>
      <c r="N912" s="169"/>
    </row>
    <row r="913">
      <c r="G913" s="168"/>
      <c r="L913" s="168"/>
      <c r="N913" s="169"/>
    </row>
    <row r="914">
      <c r="G914" s="168"/>
      <c r="L914" s="168"/>
      <c r="N914" s="169"/>
    </row>
    <row r="915">
      <c r="G915" s="168"/>
      <c r="L915" s="168"/>
      <c r="N915" s="169"/>
    </row>
    <row r="916">
      <c r="G916" s="168"/>
      <c r="L916" s="168"/>
      <c r="N916" s="169"/>
    </row>
    <row r="917">
      <c r="G917" s="168"/>
      <c r="L917" s="168"/>
      <c r="N917" s="169"/>
    </row>
    <row r="918">
      <c r="G918" s="168"/>
      <c r="L918" s="168"/>
      <c r="N918" s="169"/>
    </row>
    <row r="919">
      <c r="G919" s="168"/>
      <c r="L919" s="168"/>
      <c r="N919" s="169"/>
    </row>
    <row r="920">
      <c r="G920" s="168"/>
      <c r="L920" s="168"/>
      <c r="N920" s="169"/>
    </row>
    <row r="921">
      <c r="G921" s="168"/>
      <c r="L921" s="168"/>
      <c r="N921" s="169"/>
    </row>
    <row r="922">
      <c r="G922" s="168"/>
      <c r="L922" s="168"/>
      <c r="N922" s="169"/>
    </row>
    <row r="923">
      <c r="G923" s="168"/>
      <c r="L923" s="168"/>
      <c r="N923" s="169"/>
    </row>
    <row r="924">
      <c r="G924" s="168"/>
      <c r="L924" s="168"/>
      <c r="N924" s="169"/>
    </row>
    <row r="925">
      <c r="G925" s="168"/>
      <c r="L925" s="168"/>
      <c r="N925" s="169"/>
    </row>
    <row r="926">
      <c r="G926" s="168"/>
      <c r="L926" s="168"/>
      <c r="N926" s="169"/>
    </row>
    <row r="927">
      <c r="G927" s="168"/>
      <c r="L927" s="168"/>
      <c r="N927" s="169"/>
    </row>
    <row r="928">
      <c r="G928" s="168"/>
      <c r="L928" s="168"/>
      <c r="N928" s="169"/>
    </row>
    <row r="929">
      <c r="G929" s="168"/>
      <c r="L929" s="168"/>
      <c r="N929" s="169"/>
    </row>
    <row r="930">
      <c r="G930" s="168"/>
      <c r="L930" s="168"/>
      <c r="N930" s="169"/>
    </row>
    <row r="931">
      <c r="G931" s="168"/>
      <c r="L931" s="168"/>
      <c r="N931" s="169"/>
    </row>
    <row r="932">
      <c r="G932" s="168"/>
      <c r="L932" s="168"/>
      <c r="N932" s="169"/>
    </row>
    <row r="933">
      <c r="G933" s="168"/>
      <c r="L933" s="168"/>
      <c r="N933" s="169"/>
    </row>
    <row r="934">
      <c r="G934" s="168"/>
      <c r="L934" s="168"/>
      <c r="N934" s="169"/>
    </row>
    <row r="935">
      <c r="G935" s="168"/>
      <c r="L935" s="168"/>
      <c r="N935" s="169"/>
    </row>
    <row r="936">
      <c r="G936" s="168"/>
      <c r="L936" s="168"/>
      <c r="N936" s="169"/>
    </row>
    <row r="937">
      <c r="G937" s="168"/>
      <c r="L937" s="168"/>
      <c r="N937" s="169"/>
    </row>
    <row r="938">
      <c r="G938" s="168"/>
      <c r="L938" s="168"/>
      <c r="N938" s="169"/>
    </row>
    <row r="939">
      <c r="G939" s="168"/>
      <c r="L939" s="168"/>
      <c r="N939" s="169"/>
    </row>
    <row r="940">
      <c r="G940" s="168"/>
      <c r="L940" s="168"/>
      <c r="N940" s="169"/>
    </row>
    <row r="941">
      <c r="G941" s="168"/>
      <c r="L941" s="168"/>
      <c r="N941" s="169"/>
    </row>
    <row r="942">
      <c r="G942" s="168"/>
      <c r="L942" s="168"/>
      <c r="N942" s="169"/>
    </row>
    <row r="943">
      <c r="G943" s="168"/>
      <c r="L943" s="168"/>
      <c r="N943" s="169"/>
    </row>
    <row r="944">
      <c r="G944" s="168"/>
      <c r="L944" s="168"/>
      <c r="N944" s="169"/>
    </row>
    <row r="945">
      <c r="G945" s="168"/>
      <c r="L945" s="168"/>
      <c r="N945" s="169"/>
    </row>
    <row r="946">
      <c r="G946" s="168"/>
      <c r="L946" s="168"/>
      <c r="N946" s="169"/>
    </row>
    <row r="947">
      <c r="G947" s="168"/>
      <c r="L947" s="168"/>
      <c r="N947" s="169"/>
    </row>
    <row r="948">
      <c r="G948" s="168"/>
      <c r="L948" s="168"/>
      <c r="N948" s="169"/>
    </row>
    <row r="949">
      <c r="G949" s="168"/>
      <c r="L949" s="168"/>
      <c r="N949" s="169"/>
    </row>
    <row r="950">
      <c r="G950" s="168"/>
      <c r="L950" s="168"/>
      <c r="N950" s="169"/>
    </row>
    <row r="951">
      <c r="G951" s="168"/>
      <c r="L951" s="168"/>
      <c r="N951" s="169"/>
    </row>
    <row r="952">
      <c r="G952" s="168"/>
      <c r="L952" s="168"/>
      <c r="N952" s="169"/>
    </row>
    <row r="953">
      <c r="G953" s="168"/>
      <c r="L953" s="168"/>
      <c r="N953" s="169"/>
    </row>
    <row r="954">
      <c r="G954" s="168"/>
      <c r="L954" s="168"/>
      <c r="N954" s="169"/>
    </row>
    <row r="955">
      <c r="G955" s="168"/>
      <c r="L955" s="168"/>
      <c r="N955" s="169"/>
    </row>
    <row r="956">
      <c r="G956" s="168"/>
      <c r="L956" s="168"/>
      <c r="N956" s="169"/>
    </row>
    <row r="957">
      <c r="G957" s="168"/>
      <c r="L957" s="168"/>
      <c r="N957" s="169"/>
    </row>
    <row r="958">
      <c r="G958" s="168"/>
      <c r="L958" s="168"/>
      <c r="N958" s="169"/>
    </row>
    <row r="959">
      <c r="G959" s="168"/>
      <c r="L959" s="168"/>
      <c r="N959" s="169"/>
    </row>
    <row r="960">
      <c r="G960" s="168"/>
      <c r="L960" s="168"/>
      <c r="N960" s="169"/>
    </row>
    <row r="961">
      <c r="G961" s="168"/>
      <c r="L961" s="168"/>
      <c r="N961" s="169"/>
    </row>
    <row r="962">
      <c r="G962" s="168"/>
      <c r="L962" s="168"/>
      <c r="N962" s="169"/>
    </row>
    <row r="963">
      <c r="G963" s="168"/>
      <c r="L963" s="168"/>
      <c r="N963" s="169"/>
    </row>
    <row r="964">
      <c r="G964" s="168"/>
      <c r="L964" s="168"/>
      <c r="N964" s="169"/>
    </row>
    <row r="965">
      <c r="G965" s="168"/>
      <c r="L965" s="168"/>
      <c r="N965" s="169"/>
    </row>
    <row r="966">
      <c r="G966" s="168"/>
      <c r="L966" s="168"/>
      <c r="N966" s="169"/>
    </row>
    <row r="967">
      <c r="G967" s="168"/>
      <c r="L967" s="168"/>
      <c r="N967" s="169"/>
    </row>
    <row r="968">
      <c r="G968" s="168"/>
      <c r="L968" s="168"/>
      <c r="N968" s="169"/>
    </row>
    <row r="969">
      <c r="G969" s="168"/>
      <c r="L969" s="168"/>
      <c r="N969" s="169"/>
    </row>
    <row r="970">
      <c r="G970" s="168"/>
      <c r="L970" s="168"/>
      <c r="N970" s="169"/>
    </row>
    <row r="971">
      <c r="G971" s="168"/>
      <c r="L971" s="168"/>
      <c r="N971" s="169"/>
    </row>
    <row r="972">
      <c r="G972" s="168"/>
      <c r="L972" s="168"/>
      <c r="N972" s="169"/>
    </row>
    <row r="973">
      <c r="G973" s="168"/>
      <c r="L973" s="168"/>
      <c r="N973" s="169"/>
    </row>
    <row r="974">
      <c r="G974" s="168"/>
      <c r="L974" s="168"/>
      <c r="N974" s="169"/>
    </row>
    <row r="975">
      <c r="G975" s="168"/>
      <c r="L975" s="168"/>
      <c r="N975" s="169"/>
    </row>
    <row r="976">
      <c r="G976" s="168"/>
      <c r="L976" s="168"/>
      <c r="N976" s="169"/>
    </row>
    <row r="977">
      <c r="G977" s="168"/>
      <c r="L977" s="168"/>
      <c r="N977" s="169"/>
    </row>
    <row r="978">
      <c r="G978" s="168"/>
      <c r="L978" s="168"/>
      <c r="N978" s="169"/>
    </row>
    <row r="979">
      <c r="G979" s="168"/>
      <c r="L979" s="168"/>
      <c r="N979" s="169"/>
    </row>
    <row r="980">
      <c r="G980" s="168"/>
      <c r="L980" s="168"/>
      <c r="N980" s="169"/>
    </row>
    <row r="981">
      <c r="G981" s="168"/>
      <c r="L981" s="168"/>
      <c r="N981" s="169"/>
    </row>
    <row r="982">
      <c r="G982" s="168"/>
      <c r="L982" s="168"/>
      <c r="N982" s="169"/>
    </row>
    <row r="983">
      <c r="G983" s="168"/>
      <c r="L983" s="168"/>
      <c r="N983" s="169"/>
    </row>
    <row r="984">
      <c r="G984" s="168"/>
      <c r="L984" s="168"/>
      <c r="N984" s="169"/>
    </row>
    <row r="985">
      <c r="G985" s="168"/>
      <c r="L985" s="168"/>
      <c r="N985" s="169"/>
    </row>
    <row r="986">
      <c r="G986" s="168"/>
      <c r="L986" s="168"/>
      <c r="N986" s="169"/>
    </row>
    <row r="987">
      <c r="G987" s="168"/>
      <c r="L987" s="168"/>
      <c r="N987" s="169"/>
    </row>
    <row r="988">
      <c r="G988" s="168"/>
      <c r="L988" s="168"/>
      <c r="N988" s="169"/>
    </row>
    <row r="989">
      <c r="G989" s="168"/>
      <c r="L989" s="168"/>
      <c r="N989" s="169"/>
    </row>
    <row r="990">
      <c r="G990" s="168"/>
      <c r="L990" s="168"/>
      <c r="N990" s="169"/>
    </row>
    <row r="991">
      <c r="G991" s="168"/>
      <c r="L991" s="168"/>
      <c r="N991" s="169"/>
    </row>
    <row r="992">
      <c r="G992" s="168"/>
      <c r="L992" s="168"/>
      <c r="N992" s="169"/>
    </row>
    <row r="993">
      <c r="G993" s="168"/>
      <c r="L993" s="168"/>
      <c r="N993" s="169"/>
    </row>
    <row r="994">
      <c r="G994" s="168"/>
      <c r="L994" s="168"/>
      <c r="N994" s="169"/>
    </row>
    <row r="995">
      <c r="G995" s="168"/>
      <c r="L995" s="168"/>
      <c r="N995" s="169"/>
    </row>
    <row r="996">
      <c r="G996" s="168"/>
      <c r="L996" s="168"/>
      <c r="N996" s="169"/>
    </row>
    <row r="997">
      <c r="G997" s="168"/>
      <c r="L997" s="168"/>
      <c r="N997" s="169"/>
    </row>
    <row r="998">
      <c r="G998" s="168"/>
      <c r="L998" s="168"/>
      <c r="N998" s="169"/>
    </row>
    <row r="999">
      <c r="G999" s="168"/>
      <c r="L999" s="168"/>
      <c r="N999" s="169"/>
    </row>
    <row r="1000">
      <c r="G1000" s="168"/>
      <c r="L1000" s="168"/>
      <c r="N1000" s="169"/>
    </row>
    <row r="1001">
      <c r="G1001" s="168"/>
      <c r="L1001" s="168"/>
      <c r="N1001" s="169"/>
    </row>
    <row r="1002">
      <c r="G1002" s="168"/>
      <c r="L1002" s="168"/>
      <c r="N1002" s="169"/>
    </row>
    <row r="1003">
      <c r="G1003" s="168"/>
      <c r="L1003" s="168"/>
      <c r="N1003" s="169"/>
    </row>
    <row r="1004">
      <c r="G1004" s="168"/>
      <c r="L1004" s="168"/>
      <c r="N1004" s="169"/>
    </row>
    <row r="1005">
      <c r="G1005" s="168"/>
      <c r="L1005" s="168"/>
      <c r="N1005" s="169"/>
    </row>
    <row r="1006">
      <c r="G1006" s="168"/>
      <c r="L1006" s="168"/>
      <c r="N1006" s="169"/>
    </row>
    <row r="1007">
      <c r="G1007" s="168"/>
      <c r="L1007" s="168"/>
      <c r="N1007" s="169"/>
    </row>
    <row r="1008">
      <c r="G1008" s="168"/>
      <c r="L1008" s="168"/>
      <c r="N1008" s="169"/>
    </row>
    <row r="1009">
      <c r="G1009" s="168"/>
      <c r="L1009" s="168"/>
      <c r="N1009" s="169"/>
    </row>
    <row r="1010">
      <c r="G1010" s="168"/>
      <c r="L1010" s="168"/>
      <c r="N1010" s="169"/>
    </row>
    <row r="1011">
      <c r="G1011" s="168"/>
      <c r="L1011" s="168"/>
      <c r="N1011" s="169"/>
    </row>
    <row r="1012">
      <c r="G1012" s="168"/>
      <c r="L1012" s="168"/>
      <c r="N1012" s="169"/>
    </row>
    <row r="1013">
      <c r="G1013" s="168"/>
      <c r="L1013" s="168"/>
      <c r="N1013" s="169"/>
    </row>
    <row r="1014">
      <c r="G1014" s="168"/>
      <c r="L1014" s="168"/>
      <c r="N1014" s="169"/>
    </row>
    <row r="1015">
      <c r="G1015" s="168"/>
      <c r="L1015" s="168"/>
      <c r="N1015" s="169"/>
    </row>
    <row r="1016">
      <c r="G1016" s="168"/>
      <c r="L1016" s="168"/>
      <c r="N1016" s="169"/>
    </row>
    <row r="1017">
      <c r="G1017" s="168"/>
      <c r="L1017" s="168"/>
      <c r="N1017" s="169"/>
    </row>
    <row r="1018">
      <c r="G1018" s="168"/>
      <c r="L1018" s="168"/>
      <c r="N1018" s="169"/>
    </row>
    <row r="1019">
      <c r="G1019" s="168"/>
      <c r="L1019" s="168"/>
      <c r="N1019" s="169"/>
    </row>
    <row r="1020">
      <c r="G1020" s="168"/>
      <c r="L1020" s="168"/>
      <c r="N1020" s="169"/>
    </row>
    <row r="1021">
      <c r="G1021" s="168"/>
      <c r="L1021" s="168"/>
      <c r="N1021" s="169"/>
    </row>
    <row r="1022">
      <c r="G1022" s="168"/>
      <c r="L1022" s="168"/>
      <c r="N1022" s="169"/>
    </row>
    <row r="1023">
      <c r="G1023" s="168"/>
      <c r="L1023" s="168"/>
      <c r="N1023" s="169"/>
    </row>
    <row r="1024">
      <c r="G1024" s="168"/>
      <c r="L1024" s="168"/>
      <c r="N1024" s="169"/>
    </row>
    <row r="1025">
      <c r="G1025" s="168"/>
      <c r="L1025" s="168"/>
      <c r="N1025" s="169"/>
    </row>
    <row r="1026">
      <c r="G1026" s="168"/>
      <c r="L1026" s="168"/>
      <c r="N1026" s="169"/>
    </row>
    <row r="1027">
      <c r="G1027" s="168"/>
      <c r="L1027" s="168"/>
      <c r="N1027" s="169"/>
    </row>
    <row r="1028">
      <c r="G1028" s="168"/>
      <c r="L1028" s="168"/>
      <c r="N1028" s="169"/>
    </row>
    <row r="1029">
      <c r="G1029" s="168"/>
      <c r="L1029" s="168"/>
      <c r="N1029" s="169"/>
    </row>
    <row r="1030">
      <c r="G1030" s="168"/>
      <c r="L1030" s="168"/>
      <c r="N1030" s="169"/>
    </row>
    <row r="1031">
      <c r="G1031" s="168"/>
      <c r="L1031" s="168"/>
      <c r="N1031" s="169"/>
    </row>
    <row r="1032">
      <c r="G1032" s="168"/>
      <c r="L1032" s="168"/>
      <c r="N1032" s="169"/>
    </row>
    <row r="1033">
      <c r="G1033" s="168"/>
      <c r="L1033" s="168"/>
      <c r="N1033" s="169"/>
    </row>
    <row r="1034">
      <c r="G1034" s="168"/>
      <c r="L1034" s="168"/>
      <c r="N1034" s="169"/>
    </row>
    <row r="1035">
      <c r="G1035" s="168"/>
      <c r="L1035" s="168"/>
      <c r="N1035" s="169"/>
    </row>
    <row r="1036">
      <c r="G1036" s="168"/>
      <c r="L1036" s="168"/>
      <c r="N1036" s="169"/>
    </row>
    <row r="1037">
      <c r="G1037" s="168"/>
      <c r="L1037" s="168"/>
      <c r="N1037" s="169"/>
    </row>
    <row r="1038">
      <c r="G1038" s="168"/>
      <c r="L1038" s="168"/>
      <c r="N1038" s="169"/>
    </row>
    <row r="1039">
      <c r="G1039" s="168"/>
      <c r="L1039" s="168"/>
      <c r="N1039" s="169"/>
    </row>
    <row r="1040">
      <c r="G1040" s="168"/>
      <c r="L1040" s="168"/>
      <c r="N1040" s="169"/>
    </row>
    <row r="1041">
      <c r="G1041" s="168"/>
      <c r="L1041" s="168"/>
      <c r="N1041" s="169"/>
    </row>
    <row r="1042">
      <c r="G1042" s="168"/>
      <c r="L1042" s="168"/>
      <c r="N1042" s="169"/>
    </row>
    <row r="1043">
      <c r="G1043" s="168"/>
      <c r="L1043" s="168"/>
      <c r="N1043" s="169"/>
    </row>
    <row r="1044">
      <c r="G1044" s="168"/>
      <c r="L1044" s="168"/>
      <c r="N1044" s="169"/>
    </row>
    <row r="1045">
      <c r="G1045" s="168"/>
      <c r="L1045" s="168"/>
      <c r="N1045" s="169"/>
    </row>
    <row r="1046">
      <c r="G1046" s="168"/>
      <c r="L1046" s="168"/>
      <c r="N1046" s="169"/>
    </row>
    <row r="1047">
      <c r="G1047" s="168"/>
      <c r="L1047" s="168"/>
      <c r="N1047" s="169"/>
    </row>
    <row r="1048">
      <c r="G1048" s="168"/>
      <c r="L1048" s="168"/>
      <c r="N1048" s="169"/>
    </row>
    <row r="1049">
      <c r="G1049" s="168"/>
      <c r="L1049" s="168"/>
      <c r="N1049" s="169"/>
    </row>
    <row r="1050">
      <c r="G1050" s="168"/>
      <c r="L1050" s="168"/>
      <c r="N1050" s="169"/>
    </row>
    <row r="1051">
      <c r="G1051" s="168"/>
      <c r="L1051" s="168"/>
      <c r="N1051" s="169"/>
    </row>
    <row r="1052">
      <c r="G1052" s="168"/>
      <c r="L1052" s="168"/>
      <c r="N1052" s="169"/>
    </row>
    <row r="1053">
      <c r="G1053" s="168"/>
      <c r="L1053" s="168"/>
      <c r="N1053" s="169"/>
    </row>
    <row r="1054">
      <c r="G1054" s="168"/>
      <c r="L1054" s="168"/>
      <c r="N1054" s="169"/>
    </row>
    <row r="1055">
      <c r="G1055" s="168"/>
      <c r="L1055" s="168"/>
      <c r="N1055" s="169"/>
    </row>
    <row r="1056">
      <c r="G1056" s="168"/>
      <c r="L1056" s="168"/>
      <c r="N1056" s="169"/>
    </row>
    <row r="1057">
      <c r="G1057" s="168"/>
      <c r="L1057" s="168"/>
      <c r="N1057" s="169"/>
    </row>
    <row r="1058">
      <c r="G1058" s="168"/>
      <c r="L1058" s="168"/>
      <c r="N1058" s="169"/>
    </row>
    <row r="1059">
      <c r="G1059" s="168"/>
      <c r="L1059" s="168"/>
      <c r="N1059" s="169"/>
    </row>
    <row r="1060">
      <c r="G1060" s="168"/>
      <c r="L1060" s="168"/>
      <c r="N1060" s="169"/>
    </row>
    <row r="1061">
      <c r="G1061" s="168"/>
      <c r="L1061" s="168"/>
      <c r="N1061" s="169"/>
    </row>
    <row r="1062">
      <c r="G1062" s="168"/>
      <c r="L1062" s="168"/>
      <c r="N1062" s="169"/>
    </row>
    <row r="1063">
      <c r="G1063" s="168"/>
      <c r="L1063" s="168"/>
      <c r="N1063" s="169"/>
    </row>
    <row r="1064">
      <c r="G1064" s="168"/>
      <c r="L1064" s="168"/>
      <c r="N1064" s="169"/>
    </row>
    <row r="1065">
      <c r="G1065" s="168"/>
      <c r="L1065" s="168"/>
      <c r="N1065" s="169"/>
    </row>
    <row r="1066">
      <c r="G1066" s="168"/>
      <c r="L1066" s="168"/>
      <c r="N1066" s="169"/>
    </row>
    <row r="1067">
      <c r="G1067" s="168"/>
      <c r="L1067" s="168"/>
      <c r="N1067" s="169"/>
    </row>
    <row r="1068">
      <c r="G1068" s="168"/>
      <c r="L1068" s="168"/>
      <c r="N1068" s="169"/>
    </row>
    <row r="1069">
      <c r="G1069" s="168"/>
      <c r="L1069" s="168"/>
      <c r="N1069" s="169"/>
    </row>
    <row r="1070">
      <c r="G1070" s="168"/>
      <c r="L1070" s="168"/>
      <c r="N1070" s="169"/>
    </row>
    <row r="1071">
      <c r="G1071" s="168"/>
      <c r="L1071" s="168"/>
      <c r="N1071" s="169"/>
    </row>
    <row r="1072">
      <c r="G1072" s="168"/>
      <c r="L1072" s="168"/>
      <c r="N1072" s="169"/>
    </row>
    <row r="1073">
      <c r="G1073" s="168"/>
      <c r="L1073" s="168"/>
      <c r="N1073" s="169"/>
    </row>
    <row r="1074">
      <c r="G1074" s="168"/>
      <c r="L1074" s="168"/>
      <c r="N1074" s="169"/>
    </row>
    <row r="1075">
      <c r="G1075" s="168"/>
      <c r="L1075" s="168"/>
      <c r="N1075" s="169"/>
    </row>
    <row r="1076">
      <c r="G1076" s="168"/>
      <c r="L1076" s="168"/>
      <c r="N1076" s="169"/>
    </row>
    <row r="1077">
      <c r="G1077" s="168"/>
      <c r="L1077" s="168"/>
      <c r="N1077" s="169"/>
    </row>
    <row r="1078">
      <c r="G1078" s="168"/>
      <c r="L1078" s="168"/>
      <c r="N1078" s="169"/>
    </row>
    <row r="1079">
      <c r="G1079" s="168"/>
      <c r="L1079" s="168"/>
      <c r="N1079" s="169"/>
    </row>
    <row r="1080">
      <c r="G1080" s="168"/>
      <c r="L1080" s="168"/>
      <c r="N1080" s="169"/>
    </row>
    <row r="1081">
      <c r="G1081" s="168"/>
      <c r="L1081" s="168"/>
      <c r="N1081" s="169"/>
    </row>
    <row r="1082">
      <c r="G1082" s="168"/>
      <c r="L1082" s="168"/>
      <c r="N1082" s="169"/>
    </row>
    <row r="1083">
      <c r="G1083" s="168"/>
      <c r="L1083" s="168"/>
      <c r="N1083" s="169"/>
    </row>
    <row r="1084">
      <c r="G1084" s="168"/>
      <c r="L1084" s="168"/>
      <c r="N1084" s="169"/>
    </row>
    <row r="1085">
      <c r="G1085" s="168"/>
      <c r="L1085" s="168"/>
      <c r="N1085" s="169"/>
    </row>
    <row r="1086">
      <c r="G1086" s="168"/>
      <c r="L1086" s="168"/>
      <c r="N1086" s="169"/>
    </row>
    <row r="1087">
      <c r="G1087" s="168"/>
      <c r="L1087" s="168"/>
      <c r="N1087" s="169"/>
    </row>
    <row r="1088">
      <c r="G1088" s="168"/>
      <c r="L1088" s="168"/>
      <c r="N1088" s="169"/>
    </row>
    <row r="1089">
      <c r="G1089" s="168"/>
      <c r="L1089" s="168"/>
      <c r="N1089" s="169"/>
    </row>
    <row r="1090">
      <c r="G1090" s="168"/>
      <c r="L1090" s="168"/>
      <c r="N1090" s="169"/>
    </row>
    <row r="1091">
      <c r="G1091" s="168"/>
      <c r="L1091" s="168"/>
      <c r="N1091" s="169"/>
    </row>
    <row r="1092">
      <c r="G1092" s="168"/>
      <c r="L1092" s="168"/>
      <c r="N1092" s="169"/>
    </row>
    <row r="1093">
      <c r="G1093" s="168"/>
      <c r="L1093" s="168"/>
      <c r="N1093" s="169"/>
    </row>
    <row r="1094">
      <c r="G1094" s="168"/>
      <c r="L1094" s="168"/>
      <c r="N1094" s="169"/>
    </row>
    <row r="1095">
      <c r="G1095" s="168"/>
      <c r="L1095" s="168"/>
      <c r="N1095" s="169"/>
    </row>
    <row r="1096">
      <c r="G1096" s="168"/>
      <c r="L1096" s="168"/>
      <c r="N1096" s="169"/>
    </row>
    <row r="1097">
      <c r="G1097" s="168"/>
      <c r="L1097" s="168"/>
      <c r="N1097" s="169"/>
    </row>
    <row r="1098">
      <c r="G1098" s="168"/>
      <c r="L1098" s="168"/>
      <c r="N1098" s="169"/>
    </row>
    <row r="1099">
      <c r="G1099" s="168"/>
      <c r="L1099" s="168"/>
      <c r="N1099" s="169"/>
    </row>
    <row r="1100">
      <c r="G1100" s="168"/>
      <c r="L1100" s="168"/>
      <c r="N1100" s="169"/>
    </row>
    <row r="1101">
      <c r="G1101" s="168"/>
      <c r="L1101" s="168"/>
      <c r="N1101" s="169"/>
    </row>
    <row r="1102">
      <c r="G1102" s="168"/>
      <c r="L1102" s="168"/>
      <c r="N1102" s="169"/>
    </row>
    <row r="1103">
      <c r="G1103" s="168"/>
      <c r="L1103" s="168"/>
      <c r="N1103" s="169"/>
    </row>
    <row r="1104">
      <c r="G1104" s="168"/>
      <c r="L1104" s="168"/>
      <c r="N1104" s="169"/>
    </row>
    <row r="1105">
      <c r="G1105" s="168"/>
      <c r="L1105" s="168"/>
      <c r="N1105" s="169"/>
    </row>
    <row r="1106">
      <c r="G1106" s="168"/>
      <c r="L1106" s="168"/>
      <c r="N1106" s="169"/>
    </row>
    <row r="1107">
      <c r="G1107" s="168"/>
      <c r="L1107" s="168"/>
      <c r="N1107" s="169"/>
    </row>
    <row r="1108">
      <c r="G1108" s="168"/>
      <c r="L1108" s="168"/>
      <c r="N1108" s="169"/>
    </row>
    <row r="1109">
      <c r="G1109" s="168"/>
      <c r="L1109" s="168"/>
      <c r="N1109" s="169"/>
    </row>
    <row r="1110">
      <c r="G1110" s="168"/>
      <c r="L1110" s="168"/>
      <c r="N1110" s="169"/>
    </row>
    <row r="1111">
      <c r="G1111" s="168"/>
      <c r="L1111" s="168"/>
      <c r="N1111" s="169"/>
    </row>
    <row r="1112">
      <c r="G1112" s="168"/>
      <c r="L1112" s="168"/>
      <c r="N1112" s="169"/>
    </row>
    <row r="1113">
      <c r="G1113" s="168"/>
      <c r="L1113" s="168"/>
      <c r="N1113" s="169"/>
    </row>
    <row r="1114">
      <c r="G1114" s="168"/>
      <c r="L1114" s="168"/>
      <c r="N1114" s="169"/>
    </row>
    <row r="1115">
      <c r="G1115" s="168"/>
      <c r="L1115" s="168"/>
      <c r="N1115" s="169"/>
    </row>
    <row r="1116">
      <c r="G1116" s="168"/>
      <c r="L1116" s="168"/>
      <c r="N1116" s="169"/>
    </row>
    <row r="1117">
      <c r="G1117" s="168"/>
      <c r="L1117" s="168"/>
      <c r="N1117" s="169"/>
    </row>
    <row r="1118">
      <c r="G1118" s="168"/>
      <c r="L1118" s="168"/>
      <c r="N1118" s="169"/>
    </row>
    <row r="1119">
      <c r="G1119" s="168"/>
      <c r="L1119" s="168"/>
      <c r="N1119" s="169"/>
    </row>
    <row r="1120">
      <c r="G1120" s="168"/>
      <c r="L1120" s="168"/>
      <c r="N1120" s="169"/>
    </row>
    <row r="1121">
      <c r="G1121" s="168"/>
      <c r="L1121" s="168"/>
      <c r="N1121" s="169"/>
    </row>
    <row r="1122">
      <c r="G1122" s="168"/>
      <c r="L1122" s="168"/>
      <c r="N1122" s="169"/>
    </row>
    <row r="1123">
      <c r="G1123" s="168"/>
      <c r="L1123" s="168"/>
      <c r="N1123" s="169"/>
    </row>
    <row r="1124">
      <c r="G1124" s="168"/>
      <c r="L1124" s="168"/>
      <c r="N1124" s="169"/>
    </row>
    <row r="1125">
      <c r="G1125" s="168"/>
      <c r="L1125" s="168"/>
      <c r="N1125" s="169"/>
    </row>
    <row r="1126">
      <c r="G1126" s="168"/>
      <c r="L1126" s="168"/>
      <c r="N1126" s="169"/>
    </row>
    <row r="1127">
      <c r="G1127" s="168"/>
      <c r="L1127" s="168"/>
      <c r="N1127" s="169"/>
    </row>
    <row r="1128">
      <c r="G1128" s="168"/>
      <c r="L1128" s="168"/>
      <c r="N1128" s="169"/>
    </row>
    <row r="1129">
      <c r="G1129" s="168"/>
      <c r="L1129" s="168"/>
      <c r="N1129" s="169"/>
    </row>
    <row r="1130">
      <c r="G1130" s="168"/>
      <c r="L1130" s="168"/>
      <c r="N1130" s="169"/>
    </row>
    <row r="1131">
      <c r="G1131" s="168"/>
      <c r="L1131" s="168"/>
      <c r="N1131" s="169"/>
    </row>
    <row r="1132">
      <c r="G1132" s="168"/>
      <c r="L1132" s="168"/>
      <c r="N1132" s="169"/>
    </row>
    <row r="1133">
      <c r="G1133" s="168"/>
      <c r="L1133" s="168"/>
      <c r="N1133" s="169"/>
    </row>
    <row r="1134">
      <c r="G1134" s="168"/>
      <c r="L1134" s="168"/>
      <c r="N1134" s="169"/>
    </row>
    <row r="1135">
      <c r="G1135" s="168"/>
      <c r="L1135" s="168"/>
      <c r="N1135" s="169"/>
    </row>
    <row r="1136">
      <c r="G1136" s="168"/>
      <c r="L1136" s="168"/>
      <c r="N1136" s="169"/>
    </row>
    <row r="1137">
      <c r="G1137" s="168"/>
      <c r="L1137" s="168"/>
      <c r="N1137" s="169"/>
    </row>
    <row r="1138">
      <c r="G1138" s="168"/>
      <c r="L1138" s="168"/>
      <c r="N1138" s="169"/>
    </row>
    <row r="1139">
      <c r="G1139" s="168"/>
      <c r="L1139" s="168"/>
      <c r="N1139" s="169"/>
    </row>
    <row r="1140">
      <c r="G1140" s="168"/>
      <c r="L1140" s="168"/>
      <c r="N1140" s="169"/>
    </row>
    <row r="1141">
      <c r="G1141" s="168"/>
      <c r="L1141" s="168"/>
      <c r="N1141" s="169"/>
    </row>
    <row r="1142">
      <c r="G1142" s="168"/>
      <c r="L1142" s="168"/>
      <c r="N1142" s="169"/>
    </row>
    <row r="1143">
      <c r="G1143" s="168"/>
      <c r="L1143" s="168"/>
      <c r="N1143" s="169"/>
    </row>
    <row r="1144">
      <c r="G1144" s="168"/>
      <c r="L1144" s="168"/>
      <c r="N1144" s="169"/>
    </row>
    <row r="1145">
      <c r="G1145" s="168"/>
      <c r="L1145" s="168"/>
      <c r="N1145" s="169"/>
    </row>
    <row r="1146">
      <c r="G1146" s="168"/>
      <c r="L1146" s="168"/>
      <c r="N1146" s="169"/>
    </row>
    <row r="1147">
      <c r="G1147" s="168"/>
      <c r="L1147" s="168"/>
      <c r="N1147" s="169"/>
    </row>
    <row r="1148">
      <c r="G1148" s="168"/>
      <c r="L1148" s="168"/>
      <c r="N1148" s="169"/>
    </row>
    <row r="1149">
      <c r="G1149" s="168"/>
      <c r="L1149" s="168"/>
      <c r="N1149" s="169"/>
    </row>
    <row r="1150">
      <c r="G1150" s="168"/>
      <c r="L1150" s="168"/>
      <c r="N1150" s="169"/>
    </row>
    <row r="1151">
      <c r="G1151" s="168"/>
      <c r="L1151" s="168"/>
      <c r="N1151" s="169"/>
    </row>
    <row r="1152">
      <c r="G1152" s="168"/>
      <c r="L1152" s="168"/>
      <c r="N1152" s="169"/>
    </row>
    <row r="1153">
      <c r="G1153" s="168"/>
      <c r="L1153" s="168"/>
      <c r="N1153" s="169"/>
    </row>
  </sheetData>
  <mergeCells count="2">
    <mergeCell ref="A1:N1"/>
    <mergeCell ref="A335:L33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73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4" t="s">
        <v>7</v>
      </c>
      <c r="H2" s="5" t="s">
        <v>8</v>
      </c>
      <c r="I2" s="6" t="s">
        <v>8</v>
      </c>
      <c r="J2" s="3" t="s">
        <v>5</v>
      </c>
      <c r="K2" s="3" t="s">
        <v>6</v>
      </c>
      <c r="L2" s="4" t="s">
        <v>7</v>
      </c>
      <c r="M2" s="3" t="s">
        <v>9</v>
      </c>
      <c r="N2" s="7" t="s">
        <v>10</v>
      </c>
    </row>
    <row r="3">
      <c r="A3" s="8">
        <v>46085.0</v>
      </c>
      <c r="B3" s="9" t="s">
        <v>11</v>
      </c>
      <c r="C3" s="11">
        <v>201481.0</v>
      </c>
      <c r="D3" s="11">
        <v>201702.0</v>
      </c>
      <c r="E3" s="12">
        <f t="shared" ref="E3:E10" si="1">D3-C3</f>
        <v>221</v>
      </c>
      <c r="F3" s="13">
        <v>35.0</v>
      </c>
      <c r="G3" s="14">
        <f t="shared" ref="G3:G10" si="2">(F3/E3)*100</f>
        <v>15.83710407</v>
      </c>
      <c r="H3" s="16">
        <v>30842.0</v>
      </c>
      <c r="I3" s="16">
        <v>31079.0</v>
      </c>
      <c r="J3" s="13">
        <f t="shared" ref="J3:J10" si="3">I3-H3</f>
        <v>237</v>
      </c>
      <c r="K3" s="11">
        <f t="shared" ref="K3:K10" si="4">F3</f>
        <v>35</v>
      </c>
      <c r="L3" s="17">
        <f t="shared" ref="L3:L10" si="5">(K3/J3)*100</f>
        <v>14.76793249</v>
      </c>
      <c r="M3" s="18">
        <v>19270.0</v>
      </c>
      <c r="N3" s="18">
        <f t="shared" ref="N3:N10" si="6">F3*M3</f>
        <v>674450</v>
      </c>
    </row>
    <row r="4">
      <c r="A4" s="8">
        <v>46090.0</v>
      </c>
      <c r="B4" s="9" t="s">
        <v>11</v>
      </c>
      <c r="C4" s="11">
        <v>201702.0</v>
      </c>
      <c r="D4" s="11">
        <v>202019.0</v>
      </c>
      <c r="E4" s="12">
        <f t="shared" si="1"/>
        <v>317</v>
      </c>
      <c r="F4" s="13">
        <v>35.0</v>
      </c>
      <c r="G4" s="14">
        <f t="shared" si="2"/>
        <v>11.04100946</v>
      </c>
      <c r="H4" s="16">
        <v>31079.0</v>
      </c>
      <c r="I4" s="16">
        <v>31447.0</v>
      </c>
      <c r="J4" s="13">
        <f t="shared" si="3"/>
        <v>368</v>
      </c>
      <c r="K4" s="11">
        <f t="shared" si="4"/>
        <v>35</v>
      </c>
      <c r="L4" s="17">
        <f t="shared" si="5"/>
        <v>9.510869565</v>
      </c>
      <c r="M4" s="18">
        <v>30230.0</v>
      </c>
      <c r="N4" s="18">
        <f t="shared" si="6"/>
        <v>1058050</v>
      </c>
      <c r="O4" s="19">
        <v>1.0</v>
      </c>
      <c r="P4" s="20" t="s">
        <v>12</v>
      </c>
      <c r="Q4" s="21">
        <f>N19</f>
        <v>5541440</v>
      </c>
      <c r="R4" s="21">
        <f t="shared" ref="R4:R15" si="7">Q4</f>
        <v>5541440</v>
      </c>
    </row>
    <row r="5">
      <c r="A5" s="8">
        <v>46093.0</v>
      </c>
      <c r="B5" s="9" t="s">
        <v>11</v>
      </c>
      <c r="C5" s="11">
        <v>202019.0</v>
      </c>
      <c r="D5" s="11">
        <v>202298.0</v>
      </c>
      <c r="E5" s="12">
        <f t="shared" si="1"/>
        <v>279</v>
      </c>
      <c r="F5" s="11">
        <v>35.0</v>
      </c>
      <c r="G5" s="14">
        <f t="shared" si="2"/>
        <v>12.54480287</v>
      </c>
      <c r="H5" s="16">
        <v>31447.0</v>
      </c>
      <c r="I5" s="16">
        <v>31790.0</v>
      </c>
      <c r="J5" s="13">
        <f t="shared" si="3"/>
        <v>343</v>
      </c>
      <c r="K5" s="11">
        <f t="shared" si="4"/>
        <v>35</v>
      </c>
      <c r="L5" s="17">
        <f t="shared" si="5"/>
        <v>10.20408163</v>
      </c>
      <c r="M5" s="18">
        <v>26470.0</v>
      </c>
      <c r="N5" s="18">
        <f t="shared" si="6"/>
        <v>926450</v>
      </c>
      <c r="O5" s="19">
        <v>2.0</v>
      </c>
      <c r="P5" s="20" t="s">
        <v>13</v>
      </c>
      <c r="Q5" s="21">
        <f>N29</f>
        <v>10149060</v>
      </c>
      <c r="R5" s="21">
        <f t="shared" si="7"/>
        <v>10149060</v>
      </c>
    </row>
    <row r="6">
      <c r="A6" s="8">
        <v>46097.0</v>
      </c>
      <c r="B6" s="9" t="s">
        <v>11</v>
      </c>
      <c r="C6" s="11">
        <v>202298.0</v>
      </c>
      <c r="D6" s="11">
        <v>202558.0</v>
      </c>
      <c r="E6" s="12">
        <f t="shared" si="1"/>
        <v>260</v>
      </c>
      <c r="F6" s="11">
        <v>40.0</v>
      </c>
      <c r="G6" s="14">
        <f t="shared" si="2"/>
        <v>15.38461538</v>
      </c>
      <c r="H6" s="16">
        <v>31790.0</v>
      </c>
      <c r="I6" s="16">
        <v>32185.0</v>
      </c>
      <c r="J6" s="13">
        <f t="shared" si="3"/>
        <v>395</v>
      </c>
      <c r="K6" s="11">
        <f t="shared" si="4"/>
        <v>40</v>
      </c>
      <c r="L6" s="17">
        <f t="shared" si="5"/>
        <v>10.12658228</v>
      </c>
      <c r="M6" s="18">
        <v>27020.0</v>
      </c>
      <c r="N6" s="18">
        <f t="shared" si="6"/>
        <v>1080800</v>
      </c>
      <c r="O6" s="19">
        <v>3.0</v>
      </c>
      <c r="P6" s="20" t="s">
        <v>14</v>
      </c>
      <c r="Q6" s="21">
        <f>N38</f>
        <v>7316140</v>
      </c>
      <c r="R6" s="21">
        <f t="shared" si="7"/>
        <v>7316140</v>
      </c>
    </row>
    <row r="7">
      <c r="A7" s="8">
        <v>46100.0</v>
      </c>
      <c r="B7" s="9" t="s">
        <v>11</v>
      </c>
      <c r="C7" s="11">
        <v>202558.0</v>
      </c>
      <c r="D7" s="11">
        <v>202939.0</v>
      </c>
      <c r="E7" s="12">
        <f t="shared" si="1"/>
        <v>381</v>
      </c>
      <c r="F7" s="11">
        <v>40.0</v>
      </c>
      <c r="G7" s="14">
        <f t="shared" si="2"/>
        <v>10.49868766</v>
      </c>
      <c r="H7" s="16">
        <v>32185.0</v>
      </c>
      <c r="I7" s="16">
        <v>32462.0</v>
      </c>
      <c r="J7" s="13">
        <f t="shared" si="3"/>
        <v>277</v>
      </c>
      <c r="K7" s="11">
        <f t="shared" si="4"/>
        <v>40</v>
      </c>
      <c r="L7" s="17">
        <f t="shared" si="5"/>
        <v>14.44043321</v>
      </c>
      <c r="M7" s="22">
        <v>27020.0</v>
      </c>
      <c r="N7" s="18">
        <f t="shared" si="6"/>
        <v>1080800</v>
      </c>
      <c r="O7" s="19">
        <v>4.0</v>
      </c>
      <c r="P7" s="20" t="s">
        <v>15</v>
      </c>
      <c r="Q7" s="21">
        <f>N49</f>
        <v>10020590</v>
      </c>
      <c r="R7" s="21">
        <f t="shared" si="7"/>
        <v>10020590</v>
      </c>
    </row>
    <row r="8">
      <c r="A8" s="8">
        <v>46105.0</v>
      </c>
      <c r="B8" s="9" t="s">
        <v>11</v>
      </c>
      <c r="C8" s="11">
        <v>202939.0</v>
      </c>
      <c r="D8" s="11">
        <v>203276.0</v>
      </c>
      <c r="E8" s="12">
        <f t="shared" si="1"/>
        <v>337</v>
      </c>
      <c r="F8" s="11">
        <v>40.0</v>
      </c>
      <c r="G8" s="14">
        <f t="shared" si="2"/>
        <v>11.8694362</v>
      </c>
      <c r="H8" s="16">
        <v>32462.0</v>
      </c>
      <c r="I8" s="16">
        <v>32873.0</v>
      </c>
      <c r="J8" s="13">
        <f t="shared" si="3"/>
        <v>411</v>
      </c>
      <c r="K8" s="11">
        <f t="shared" si="4"/>
        <v>40</v>
      </c>
      <c r="L8" s="17">
        <f t="shared" si="5"/>
        <v>9.732360097</v>
      </c>
      <c r="M8" s="22">
        <v>33420.0</v>
      </c>
      <c r="N8" s="18">
        <f t="shared" si="6"/>
        <v>1336800</v>
      </c>
      <c r="O8" s="19">
        <v>5.0</v>
      </c>
      <c r="P8" s="20" t="s">
        <v>16</v>
      </c>
      <c r="Q8" s="21">
        <f>N61</f>
        <v>10925560</v>
      </c>
      <c r="R8" s="21">
        <f t="shared" si="7"/>
        <v>10925560</v>
      </c>
    </row>
    <row r="9">
      <c r="A9" s="8">
        <v>46108.0</v>
      </c>
      <c r="B9" s="9" t="s">
        <v>11</v>
      </c>
      <c r="C9" s="11">
        <v>203276.0</v>
      </c>
      <c r="D9" s="11">
        <v>203568.0</v>
      </c>
      <c r="E9" s="12">
        <f t="shared" si="1"/>
        <v>292</v>
      </c>
      <c r="F9" s="11">
        <v>35.0</v>
      </c>
      <c r="G9" s="14">
        <f t="shared" si="2"/>
        <v>11.98630137</v>
      </c>
      <c r="H9" s="16">
        <v>32873.0</v>
      </c>
      <c r="I9" s="16">
        <v>33166.0</v>
      </c>
      <c r="J9" s="13">
        <f t="shared" si="3"/>
        <v>293</v>
      </c>
      <c r="K9" s="11">
        <f t="shared" si="4"/>
        <v>35</v>
      </c>
      <c r="L9" s="17">
        <f t="shared" si="5"/>
        <v>11.94539249</v>
      </c>
      <c r="M9" s="22">
        <v>35440.0</v>
      </c>
      <c r="N9" s="18">
        <f t="shared" si="6"/>
        <v>1240400</v>
      </c>
      <c r="O9" s="19">
        <v>6.0</v>
      </c>
      <c r="P9" s="20" t="s">
        <v>17</v>
      </c>
      <c r="Q9" s="21">
        <f>N11</f>
        <v>8460950</v>
      </c>
      <c r="R9" s="21">
        <f t="shared" si="7"/>
        <v>8460950</v>
      </c>
    </row>
    <row r="10">
      <c r="A10" s="23">
        <v>46111.0</v>
      </c>
      <c r="B10" s="24" t="s">
        <v>11</v>
      </c>
      <c r="C10" s="11">
        <v>203568.0</v>
      </c>
      <c r="D10" s="10">
        <v>203782.0</v>
      </c>
      <c r="E10" s="25">
        <f t="shared" si="1"/>
        <v>214</v>
      </c>
      <c r="F10" s="10">
        <v>30.0</v>
      </c>
      <c r="G10" s="14">
        <f t="shared" si="2"/>
        <v>14.01869159</v>
      </c>
      <c r="H10" s="16">
        <v>33166.0</v>
      </c>
      <c r="I10" s="15">
        <v>33404.0</v>
      </c>
      <c r="J10" s="26">
        <f t="shared" si="3"/>
        <v>238</v>
      </c>
      <c r="K10" s="10">
        <f t="shared" si="4"/>
        <v>30</v>
      </c>
      <c r="L10" s="27">
        <f t="shared" si="5"/>
        <v>12.60504202</v>
      </c>
      <c r="M10" s="235">
        <v>35440.0</v>
      </c>
      <c r="N10" s="28">
        <f t="shared" si="6"/>
        <v>1063200</v>
      </c>
      <c r="O10" s="19">
        <v>7.0</v>
      </c>
      <c r="P10" s="20" t="s">
        <v>18</v>
      </c>
      <c r="Q10" s="21">
        <f>N71</f>
        <v>9197150</v>
      </c>
      <c r="R10" s="21">
        <f t="shared" si="7"/>
        <v>9197150</v>
      </c>
    </row>
    <row r="11">
      <c r="A11" s="29"/>
      <c r="B11" s="29"/>
      <c r="C11" s="29"/>
      <c r="D11" s="30" t="s">
        <v>19</v>
      </c>
      <c r="E11" s="30">
        <f t="shared" ref="E11:F11" si="8">sum(E3:E10)</f>
        <v>2301</v>
      </c>
      <c r="F11" s="30">
        <f t="shared" si="8"/>
        <v>290</v>
      </c>
      <c r="G11" s="31" t="str">
        <f>G3:G10</f>
        <v>#VALUE!</v>
      </c>
      <c r="H11" s="29"/>
      <c r="I11" s="32"/>
      <c r="J11" s="30">
        <f t="shared" ref="J11:K11" si="9">sum(J3:J10)</f>
        <v>2562</v>
      </c>
      <c r="K11" s="33">
        <f t="shared" si="9"/>
        <v>290</v>
      </c>
      <c r="L11" s="31">
        <f>average(L3:L10)</f>
        <v>11.66658672</v>
      </c>
      <c r="M11" s="29"/>
      <c r="N11" s="34">
        <f>sum(N3:N10)</f>
        <v>8460950</v>
      </c>
      <c r="O11" s="19">
        <v>8.0</v>
      </c>
      <c r="P11" s="20" t="s">
        <v>20</v>
      </c>
      <c r="Q11" s="21">
        <f>N79</f>
        <v>7667160</v>
      </c>
      <c r="R11" s="21">
        <f t="shared" si="7"/>
        <v>7667160</v>
      </c>
    </row>
    <row r="12">
      <c r="A12" s="35">
        <v>46085.0</v>
      </c>
      <c r="B12" s="36" t="s">
        <v>12</v>
      </c>
      <c r="C12" s="37">
        <v>164687.0</v>
      </c>
      <c r="D12" s="37">
        <v>164958.0</v>
      </c>
      <c r="E12" s="38">
        <f t="shared" ref="E12:E18" si="10">D12-C12</f>
        <v>271</v>
      </c>
      <c r="F12" s="39">
        <v>38.0</v>
      </c>
      <c r="G12" s="14">
        <f t="shared" ref="G12:G18" si="11">(F12/E12)*100</f>
        <v>14.02214022</v>
      </c>
      <c r="H12" s="40">
        <v>31857.0</v>
      </c>
      <c r="I12" s="40">
        <v>32209.0</v>
      </c>
      <c r="J12" s="41">
        <f t="shared" ref="J12:J18" si="12">I12-H12</f>
        <v>352</v>
      </c>
      <c r="K12" s="11">
        <f t="shared" ref="K12:K18" si="13">F12</f>
        <v>38</v>
      </c>
      <c r="L12" s="42">
        <f t="shared" ref="L12:L18" si="14">(K12/J12)*100</f>
        <v>10.79545455</v>
      </c>
      <c r="M12" s="43">
        <v>19270.0</v>
      </c>
      <c r="N12" s="44">
        <f t="shared" ref="N12:N18" si="15">F12*M12</f>
        <v>732260</v>
      </c>
      <c r="O12" s="19">
        <v>9.0</v>
      </c>
      <c r="P12" s="20" t="s">
        <v>21</v>
      </c>
      <c r="Q12" s="21">
        <f>N87</f>
        <v>10392160</v>
      </c>
      <c r="R12" s="21">
        <f t="shared" si="7"/>
        <v>10392160</v>
      </c>
    </row>
    <row r="13">
      <c r="A13" s="45">
        <v>46088.0</v>
      </c>
      <c r="B13" s="46" t="s">
        <v>12</v>
      </c>
      <c r="C13" s="37">
        <v>164958.0</v>
      </c>
      <c r="D13" s="37">
        <v>165238.0</v>
      </c>
      <c r="E13" s="12">
        <f t="shared" si="10"/>
        <v>280</v>
      </c>
      <c r="F13" s="47">
        <v>44.0</v>
      </c>
      <c r="G13" s="14">
        <f t="shared" si="11"/>
        <v>15.71428571</v>
      </c>
      <c r="H13" s="40">
        <v>32209.0</v>
      </c>
      <c r="I13" s="40">
        <v>32526.0</v>
      </c>
      <c r="J13" s="37">
        <f t="shared" si="12"/>
        <v>317</v>
      </c>
      <c r="K13" s="11">
        <f t="shared" si="13"/>
        <v>44</v>
      </c>
      <c r="L13" s="48">
        <f t="shared" si="14"/>
        <v>13.88012618</v>
      </c>
      <c r="M13" s="43">
        <v>23030.0</v>
      </c>
      <c r="N13" s="49">
        <f t="shared" si="15"/>
        <v>1013320</v>
      </c>
      <c r="O13" s="19">
        <v>10.0</v>
      </c>
      <c r="P13" s="20" t="s">
        <v>22</v>
      </c>
      <c r="Q13" s="21">
        <f>N96</f>
        <v>10195950</v>
      </c>
      <c r="R13" s="21">
        <f t="shared" si="7"/>
        <v>10195950</v>
      </c>
    </row>
    <row r="14">
      <c r="A14" s="45">
        <v>46092.0</v>
      </c>
      <c r="B14" s="46" t="s">
        <v>12</v>
      </c>
      <c r="C14" s="37">
        <v>165238.0</v>
      </c>
      <c r="D14" s="37">
        <v>165559.0</v>
      </c>
      <c r="E14" s="12">
        <f t="shared" si="10"/>
        <v>321</v>
      </c>
      <c r="F14" s="47">
        <v>44.0</v>
      </c>
      <c r="G14" s="14">
        <f t="shared" si="11"/>
        <v>13.70716511</v>
      </c>
      <c r="H14" s="40">
        <v>32526.0</v>
      </c>
      <c r="I14" s="40">
        <v>32870.0</v>
      </c>
      <c r="J14" s="37">
        <f t="shared" si="12"/>
        <v>344</v>
      </c>
      <c r="K14" s="11">
        <f t="shared" si="13"/>
        <v>44</v>
      </c>
      <c r="L14" s="48">
        <f t="shared" si="14"/>
        <v>12.79069767</v>
      </c>
      <c r="M14" s="50">
        <v>30710.0</v>
      </c>
      <c r="N14" s="49">
        <f t="shared" si="15"/>
        <v>1351240</v>
      </c>
      <c r="O14" s="19">
        <v>11.0</v>
      </c>
      <c r="P14" s="20" t="s">
        <v>23</v>
      </c>
      <c r="Q14" s="21">
        <f>N103</f>
        <v>8963640</v>
      </c>
      <c r="R14" s="21">
        <f t="shared" si="7"/>
        <v>8963640</v>
      </c>
    </row>
    <row r="15">
      <c r="A15" s="45">
        <v>46097.0</v>
      </c>
      <c r="B15" s="51" t="s">
        <v>12</v>
      </c>
      <c r="C15" s="37">
        <v>165559.0</v>
      </c>
      <c r="D15" s="52">
        <v>165893.0</v>
      </c>
      <c r="E15" s="53">
        <f t="shared" si="10"/>
        <v>334</v>
      </c>
      <c r="F15" s="54">
        <v>41.0</v>
      </c>
      <c r="G15" s="14">
        <f t="shared" si="11"/>
        <v>12.2754491</v>
      </c>
      <c r="H15" s="40">
        <v>32870.0</v>
      </c>
      <c r="I15" s="40">
        <v>33174.0</v>
      </c>
      <c r="J15" s="37">
        <f t="shared" si="12"/>
        <v>304</v>
      </c>
      <c r="K15" s="11">
        <f t="shared" si="13"/>
        <v>41</v>
      </c>
      <c r="L15" s="48">
        <f t="shared" si="14"/>
        <v>13.48684211</v>
      </c>
      <c r="M15" s="50">
        <v>27020.0</v>
      </c>
      <c r="N15" s="49">
        <f t="shared" si="15"/>
        <v>1107820</v>
      </c>
      <c r="O15" s="19">
        <v>12.0</v>
      </c>
      <c r="P15" s="20" t="s">
        <v>24</v>
      </c>
      <c r="Q15" s="21">
        <f>N111</f>
        <v>11045650</v>
      </c>
      <c r="R15" s="21">
        <f t="shared" si="7"/>
        <v>11045650</v>
      </c>
    </row>
    <row r="16">
      <c r="A16" s="45">
        <v>46102.0</v>
      </c>
      <c r="B16" s="46" t="s">
        <v>12</v>
      </c>
      <c r="C16" s="52">
        <v>165893.0</v>
      </c>
      <c r="D16" s="37">
        <v>166179.0</v>
      </c>
      <c r="E16" s="12">
        <f t="shared" si="10"/>
        <v>286</v>
      </c>
      <c r="F16" s="47">
        <v>40.0</v>
      </c>
      <c r="G16" s="14">
        <f t="shared" si="11"/>
        <v>13.98601399</v>
      </c>
      <c r="H16" s="40">
        <v>33174.0</v>
      </c>
      <c r="I16" s="40">
        <v>33515.0</v>
      </c>
      <c r="J16" s="37">
        <f t="shared" si="12"/>
        <v>341</v>
      </c>
      <c r="K16" s="11">
        <f t="shared" si="13"/>
        <v>40</v>
      </c>
      <c r="L16" s="48">
        <f t="shared" si="14"/>
        <v>11.73020528</v>
      </c>
      <c r="M16" s="50">
        <v>33420.0</v>
      </c>
      <c r="N16" s="49">
        <f t="shared" si="15"/>
        <v>1336800</v>
      </c>
      <c r="O16" s="19">
        <v>13.0</v>
      </c>
      <c r="P16" s="20" t="s">
        <v>25</v>
      </c>
      <c r="Q16" s="21">
        <f>N119</f>
        <v>11519520</v>
      </c>
      <c r="R16" s="21">
        <f>N119</f>
        <v>11519520</v>
      </c>
    </row>
    <row r="17">
      <c r="A17" s="45"/>
      <c r="B17" s="46" t="s">
        <v>12</v>
      </c>
      <c r="C17" s="37"/>
      <c r="D17" s="37"/>
      <c r="E17" s="12">
        <f t="shared" si="10"/>
        <v>0</v>
      </c>
      <c r="F17" s="47"/>
      <c r="G17" s="14" t="str">
        <f t="shared" si="11"/>
        <v>#DIV/0!</v>
      </c>
      <c r="H17" s="40"/>
      <c r="I17" s="40"/>
      <c r="J17" s="37">
        <f t="shared" si="12"/>
        <v>0</v>
      </c>
      <c r="K17" s="11" t="str">
        <f t="shared" si="13"/>
        <v/>
      </c>
      <c r="L17" s="48" t="str">
        <f t="shared" si="14"/>
        <v>#DIV/0!</v>
      </c>
      <c r="M17" s="50"/>
      <c r="N17" s="49">
        <f t="shared" si="15"/>
        <v>0</v>
      </c>
      <c r="O17" s="19">
        <v>14.0</v>
      </c>
      <c r="P17" s="20" t="s">
        <v>26</v>
      </c>
      <c r="Q17" s="21">
        <f>N127</f>
        <v>9235740</v>
      </c>
      <c r="R17" s="21">
        <f t="shared" ref="R17:R28" si="16">Q17</f>
        <v>9235740</v>
      </c>
    </row>
    <row r="18">
      <c r="A18" s="45"/>
      <c r="B18" s="46" t="s">
        <v>12</v>
      </c>
      <c r="C18" s="37"/>
      <c r="D18" s="55"/>
      <c r="E18" s="25">
        <f t="shared" si="10"/>
        <v>0</v>
      </c>
      <c r="F18" s="47"/>
      <c r="G18" s="56" t="str">
        <f t="shared" si="11"/>
        <v>#DIV/0!</v>
      </c>
      <c r="H18" s="40"/>
      <c r="I18" s="57"/>
      <c r="J18" s="55">
        <f t="shared" si="12"/>
        <v>0</v>
      </c>
      <c r="K18" s="11" t="str">
        <f t="shared" si="13"/>
        <v/>
      </c>
      <c r="L18" s="48" t="str">
        <f t="shared" si="14"/>
        <v>#DIV/0!</v>
      </c>
      <c r="M18" s="58"/>
      <c r="N18" s="59">
        <f t="shared" si="15"/>
        <v>0</v>
      </c>
      <c r="O18" s="60">
        <f t="shared" ref="O18:O27" si="18">O17+1</f>
        <v>15</v>
      </c>
      <c r="P18" s="61" t="s">
        <v>27</v>
      </c>
      <c r="Q18" s="21">
        <f>N148</f>
        <v>17317000</v>
      </c>
      <c r="R18" s="21">
        <f t="shared" si="16"/>
        <v>17317000</v>
      </c>
    </row>
    <row r="19">
      <c r="A19" s="62"/>
      <c r="B19" s="63"/>
      <c r="C19" s="62"/>
      <c r="D19" s="64" t="s">
        <v>19</v>
      </c>
      <c r="E19" s="64">
        <f>sum(E12:E18)</f>
        <v>1492</v>
      </c>
      <c r="F19" s="64">
        <f>sum(F11:F18)</f>
        <v>497</v>
      </c>
      <c r="G19" s="65" t="str">
        <f>average(G12:G18)</f>
        <v>#DIV/0!</v>
      </c>
      <c r="H19" s="62"/>
      <c r="I19" s="66"/>
      <c r="J19" s="64">
        <f t="shared" ref="J19:K19" si="17">sum(J12:J18)</f>
        <v>1658</v>
      </c>
      <c r="K19" s="67">
        <f t="shared" si="17"/>
        <v>207</v>
      </c>
      <c r="L19" s="65" t="str">
        <f>average(L12:L18)</f>
        <v>#DIV/0!</v>
      </c>
      <c r="M19" s="68"/>
      <c r="N19" s="69">
        <f>sum(N12:N18)</f>
        <v>5541440</v>
      </c>
      <c r="O19" s="60">
        <f t="shared" si="18"/>
        <v>16</v>
      </c>
      <c r="P19" s="61" t="s">
        <v>28</v>
      </c>
      <c r="Q19" s="21">
        <f>N157</f>
        <v>1612000</v>
      </c>
      <c r="R19" s="21">
        <f t="shared" si="16"/>
        <v>1612000</v>
      </c>
    </row>
    <row r="20">
      <c r="A20" s="70">
        <v>46085.0</v>
      </c>
      <c r="B20" s="36" t="s">
        <v>13</v>
      </c>
      <c r="C20" s="37">
        <v>182224.0</v>
      </c>
      <c r="D20" s="37">
        <v>182544.0</v>
      </c>
      <c r="E20" s="12">
        <f t="shared" ref="E20:E28" si="19">D20-C20</f>
        <v>320</v>
      </c>
      <c r="F20" s="39">
        <v>45.0</v>
      </c>
      <c r="G20" s="14">
        <f t="shared" ref="G20:G28" si="20">(F20/E20)*100</f>
        <v>14.0625</v>
      </c>
      <c r="H20" s="37">
        <v>33998.0</v>
      </c>
      <c r="I20" s="37">
        <v>34369.0</v>
      </c>
      <c r="J20" s="41">
        <f t="shared" ref="J20:J28" si="21">I20-H20</f>
        <v>371</v>
      </c>
      <c r="K20" s="41">
        <f t="shared" ref="K20:K28" si="22">F20</f>
        <v>45</v>
      </c>
      <c r="L20" s="71">
        <f t="shared" ref="L20:L28" si="23">(K20/J20)*100</f>
        <v>12.12938005</v>
      </c>
      <c r="M20" s="72">
        <v>19270.0</v>
      </c>
      <c r="N20" s="44">
        <f t="shared" ref="N20:N28" si="24">F20*M20</f>
        <v>867150</v>
      </c>
      <c r="O20" s="60">
        <f t="shared" si="18"/>
        <v>17</v>
      </c>
      <c r="P20" s="61" t="s">
        <v>29</v>
      </c>
      <c r="Q20" s="21">
        <f>N166</f>
        <v>8439000</v>
      </c>
      <c r="R20" s="21">
        <f t="shared" si="16"/>
        <v>8439000</v>
      </c>
    </row>
    <row r="21">
      <c r="A21" s="70">
        <v>46087.0</v>
      </c>
      <c r="B21" s="46" t="s">
        <v>13</v>
      </c>
      <c r="C21" s="37">
        <v>182544.0</v>
      </c>
      <c r="D21" s="37">
        <v>182889.0</v>
      </c>
      <c r="E21" s="12">
        <f t="shared" si="19"/>
        <v>345</v>
      </c>
      <c r="F21" s="39">
        <v>49.0</v>
      </c>
      <c r="G21" s="14">
        <f t="shared" si="20"/>
        <v>14.20289855</v>
      </c>
      <c r="H21" s="37">
        <v>34369.0</v>
      </c>
      <c r="I21" s="37">
        <v>34691.0</v>
      </c>
      <c r="J21" s="37">
        <f t="shared" si="21"/>
        <v>322</v>
      </c>
      <c r="K21" s="37">
        <f t="shared" si="22"/>
        <v>49</v>
      </c>
      <c r="L21" s="48">
        <f t="shared" si="23"/>
        <v>15.2173913</v>
      </c>
      <c r="M21" s="72">
        <v>23030.0</v>
      </c>
      <c r="N21" s="49">
        <f t="shared" si="24"/>
        <v>1128470</v>
      </c>
      <c r="O21" s="60">
        <f t="shared" si="18"/>
        <v>18</v>
      </c>
      <c r="P21" s="61" t="s">
        <v>30</v>
      </c>
      <c r="Q21" s="21">
        <f>N175</f>
        <v>8235000</v>
      </c>
      <c r="R21" s="21">
        <f t="shared" si="16"/>
        <v>8235000</v>
      </c>
    </row>
    <row r="22">
      <c r="A22" s="35">
        <v>46092.0</v>
      </c>
      <c r="B22" s="46" t="s">
        <v>13</v>
      </c>
      <c r="C22" s="37">
        <v>182889.0</v>
      </c>
      <c r="D22" s="37">
        <v>183181.0</v>
      </c>
      <c r="E22" s="12">
        <f t="shared" si="19"/>
        <v>292</v>
      </c>
      <c r="F22" s="47">
        <v>40.0</v>
      </c>
      <c r="G22" s="14">
        <f t="shared" si="20"/>
        <v>13.69863014</v>
      </c>
      <c r="H22" s="37">
        <v>34691.0</v>
      </c>
      <c r="I22" s="37">
        <v>34988.0</v>
      </c>
      <c r="J22" s="37">
        <f t="shared" si="21"/>
        <v>297</v>
      </c>
      <c r="K22" s="37">
        <f t="shared" si="22"/>
        <v>40</v>
      </c>
      <c r="L22" s="48">
        <f t="shared" si="23"/>
        <v>13.46801347</v>
      </c>
      <c r="M22" s="72">
        <v>30710.0</v>
      </c>
      <c r="N22" s="49">
        <f t="shared" si="24"/>
        <v>1228400</v>
      </c>
      <c r="O22" s="60">
        <f t="shared" si="18"/>
        <v>19</v>
      </c>
      <c r="P22" s="61" t="s">
        <v>31</v>
      </c>
      <c r="Q22" s="21">
        <f>N184</f>
        <v>10652000</v>
      </c>
      <c r="R22" s="21">
        <f t="shared" si="16"/>
        <v>10652000</v>
      </c>
    </row>
    <row r="23">
      <c r="A23" s="35">
        <v>46095.0</v>
      </c>
      <c r="B23" s="46" t="s">
        <v>13</v>
      </c>
      <c r="C23" s="37">
        <v>183181.0</v>
      </c>
      <c r="D23" s="37">
        <v>183482.0</v>
      </c>
      <c r="E23" s="12">
        <f t="shared" si="19"/>
        <v>301</v>
      </c>
      <c r="F23" s="47">
        <v>40.0</v>
      </c>
      <c r="G23" s="14">
        <f t="shared" si="20"/>
        <v>13.28903654</v>
      </c>
      <c r="H23" s="37">
        <v>34988.0</v>
      </c>
      <c r="I23" s="37">
        <v>35311.0</v>
      </c>
      <c r="J23" s="37">
        <f t="shared" si="21"/>
        <v>323</v>
      </c>
      <c r="K23" s="52">
        <f t="shared" si="22"/>
        <v>40</v>
      </c>
      <c r="L23" s="48">
        <f t="shared" si="23"/>
        <v>12.38390093</v>
      </c>
      <c r="M23" s="50">
        <v>27020.0</v>
      </c>
      <c r="N23" s="49">
        <f t="shared" si="24"/>
        <v>1080800</v>
      </c>
      <c r="O23" s="60">
        <f t="shared" si="18"/>
        <v>20</v>
      </c>
      <c r="P23" s="61" t="s">
        <v>32</v>
      </c>
      <c r="Q23" s="21">
        <f>N193</f>
        <v>9177000</v>
      </c>
      <c r="R23" s="21">
        <f t="shared" si="16"/>
        <v>9177000</v>
      </c>
    </row>
    <row r="24">
      <c r="A24" s="35">
        <v>46100.0</v>
      </c>
      <c r="B24" s="46" t="s">
        <v>13</v>
      </c>
      <c r="C24" s="37">
        <v>183482.0</v>
      </c>
      <c r="D24" s="37">
        <v>183829.0</v>
      </c>
      <c r="E24" s="12">
        <f t="shared" si="19"/>
        <v>347</v>
      </c>
      <c r="F24" s="47">
        <v>45.0</v>
      </c>
      <c r="G24" s="14">
        <f t="shared" si="20"/>
        <v>12.96829971</v>
      </c>
      <c r="H24" s="37">
        <v>35311.0</v>
      </c>
      <c r="I24" s="37"/>
      <c r="J24" s="37">
        <f t="shared" si="21"/>
        <v>-35311</v>
      </c>
      <c r="K24" s="52">
        <f t="shared" si="22"/>
        <v>45</v>
      </c>
      <c r="L24" s="48">
        <f t="shared" si="23"/>
        <v>-0.1274390417</v>
      </c>
      <c r="M24" s="50">
        <v>27020.0</v>
      </c>
      <c r="N24" s="49">
        <f t="shared" si="24"/>
        <v>1215900</v>
      </c>
      <c r="O24" s="60">
        <f t="shared" si="18"/>
        <v>21</v>
      </c>
      <c r="P24" s="61" t="s">
        <v>33</v>
      </c>
      <c r="Q24" s="21">
        <f>N201</f>
        <v>3183000</v>
      </c>
      <c r="R24" s="21">
        <f t="shared" si="16"/>
        <v>3183000</v>
      </c>
    </row>
    <row r="25">
      <c r="A25" s="35">
        <v>46106.0</v>
      </c>
      <c r="B25" s="46" t="s">
        <v>13</v>
      </c>
      <c r="C25" s="37">
        <v>183829.0</v>
      </c>
      <c r="D25" s="37">
        <v>184197.0</v>
      </c>
      <c r="E25" s="12">
        <f t="shared" si="19"/>
        <v>368</v>
      </c>
      <c r="F25" s="47">
        <v>47.0</v>
      </c>
      <c r="G25" s="14">
        <f t="shared" si="20"/>
        <v>12.77173913</v>
      </c>
      <c r="H25" s="37"/>
      <c r="I25" s="37">
        <v>36038.0</v>
      </c>
      <c r="J25" s="37">
        <f t="shared" si="21"/>
        <v>36038</v>
      </c>
      <c r="K25" s="52">
        <f t="shared" si="22"/>
        <v>47</v>
      </c>
      <c r="L25" s="48">
        <f t="shared" si="23"/>
        <v>0.1304178922</v>
      </c>
      <c r="M25" s="50">
        <v>39660.0</v>
      </c>
      <c r="N25" s="49">
        <f t="shared" si="24"/>
        <v>1864020</v>
      </c>
      <c r="O25" s="60">
        <f t="shared" si="18"/>
        <v>22</v>
      </c>
      <c r="P25" s="61" t="s">
        <v>34</v>
      </c>
      <c r="Q25" s="21">
        <f>N209</f>
        <v>10762000</v>
      </c>
      <c r="R25" s="21">
        <f t="shared" si="16"/>
        <v>10762000</v>
      </c>
    </row>
    <row r="26">
      <c r="A26" s="35">
        <v>46108.0</v>
      </c>
      <c r="B26" s="46" t="s">
        <v>13</v>
      </c>
      <c r="C26" s="37">
        <v>184197.0</v>
      </c>
      <c r="D26" s="37">
        <v>184474.0</v>
      </c>
      <c r="E26" s="12">
        <f t="shared" si="19"/>
        <v>277</v>
      </c>
      <c r="F26" s="47">
        <v>36.0</v>
      </c>
      <c r="G26" s="14">
        <f t="shared" si="20"/>
        <v>12.99638989</v>
      </c>
      <c r="H26" s="37">
        <v>36038.0</v>
      </c>
      <c r="I26" s="37">
        <v>36445.0</v>
      </c>
      <c r="J26" s="37">
        <f t="shared" si="21"/>
        <v>407</v>
      </c>
      <c r="K26" s="52">
        <f t="shared" si="22"/>
        <v>36</v>
      </c>
      <c r="L26" s="48">
        <f t="shared" si="23"/>
        <v>8.845208845</v>
      </c>
      <c r="M26" s="50">
        <v>35440.0</v>
      </c>
      <c r="N26" s="49">
        <f t="shared" si="24"/>
        <v>1275840</v>
      </c>
      <c r="O26" s="60">
        <f t="shared" si="18"/>
        <v>23</v>
      </c>
      <c r="P26" s="73" t="s">
        <v>35</v>
      </c>
      <c r="Q26" s="21">
        <f>N135</f>
        <v>2303600</v>
      </c>
      <c r="R26" s="21">
        <f t="shared" si="16"/>
        <v>2303600</v>
      </c>
    </row>
    <row r="27">
      <c r="A27" s="35">
        <v>46112.0</v>
      </c>
      <c r="B27" s="46" t="s">
        <v>13</v>
      </c>
      <c r="C27" s="37">
        <v>184474.0</v>
      </c>
      <c r="D27" s="37">
        <v>184746.0</v>
      </c>
      <c r="E27" s="12">
        <f t="shared" si="19"/>
        <v>272</v>
      </c>
      <c r="F27" s="47">
        <v>42.0</v>
      </c>
      <c r="G27" s="14">
        <f t="shared" si="20"/>
        <v>15.44117647</v>
      </c>
      <c r="H27" s="37">
        <v>36445.0</v>
      </c>
      <c r="I27" s="37">
        <v>36675.0</v>
      </c>
      <c r="J27" s="37">
        <f t="shared" si="21"/>
        <v>230</v>
      </c>
      <c r="K27" s="52">
        <f t="shared" si="22"/>
        <v>42</v>
      </c>
      <c r="L27" s="48">
        <f t="shared" si="23"/>
        <v>18.26086957</v>
      </c>
      <c r="M27" s="50">
        <v>35440.0</v>
      </c>
      <c r="N27" s="49">
        <f t="shared" si="24"/>
        <v>1488480</v>
      </c>
      <c r="O27" s="60">
        <f t="shared" si="18"/>
        <v>24</v>
      </c>
      <c r="P27" s="60"/>
      <c r="Q27" s="60"/>
      <c r="R27" s="60" t="str">
        <f t="shared" si="16"/>
        <v/>
      </c>
    </row>
    <row r="28">
      <c r="A28" s="74"/>
      <c r="B28" s="46" t="s">
        <v>13</v>
      </c>
      <c r="C28" s="37"/>
      <c r="D28" s="75"/>
      <c r="E28" s="12">
        <f t="shared" si="19"/>
        <v>0</v>
      </c>
      <c r="F28" s="47"/>
      <c r="G28" s="56" t="str">
        <f t="shared" si="20"/>
        <v>#DIV/0!</v>
      </c>
      <c r="H28" s="40"/>
      <c r="I28" s="76"/>
      <c r="J28" s="55">
        <f t="shared" si="21"/>
        <v>0</v>
      </c>
      <c r="K28" s="52" t="str">
        <f t="shared" si="22"/>
        <v/>
      </c>
      <c r="L28" s="77" t="str">
        <f t="shared" si="23"/>
        <v>#DIV/0!</v>
      </c>
      <c r="M28" s="78"/>
      <c r="N28" s="59">
        <f t="shared" si="24"/>
        <v>0</v>
      </c>
      <c r="O28" s="60">
        <f>O26+1</f>
        <v>24</v>
      </c>
      <c r="P28" s="60"/>
      <c r="Q28" s="60"/>
      <c r="R28" s="60" t="str">
        <f t="shared" si="16"/>
        <v/>
      </c>
    </row>
    <row r="29">
      <c r="A29" s="62"/>
      <c r="B29" s="63"/>
      <c r="C29" s="62"/>
      <c r="D29" s="64" t="s">
        <v>19</v>
      </c>
      <c r="E29" s="64">
        <f>sum(E20:E26)</f>
        <v>2250</v>
      </c>
      <c r="F29" s="64">
        <f>sum(F20:F28)</f>
        <v>344</v>
      </c>
      <c r="G29" s="65">
        <f>average(G20:G26)</f>
        <v>13.42707057</v>
      </c>
      <c r="H29" s="62"/>
      <c r="I29" s="66"/>
      <c r="J29" s="64">
        <f t="shared" ref="J29:K29" si="25">sum(J20:J26)</f>
        <v>2447</v>
      </c>
      <c r="K29" s="64">
        <f t="shared" si="25"/>
        <v>302</v>
      </c>
      <c r="L29" s="65">
        <f>average(L20:L26)</f>
        <v>8.863839064</v>
      </c>
      <c r="M29" s="68"/>
      <c r="N29" s="69">
        <f>sum(N20:N28)</f>
        <v>10149060</v>
      </c>
      <c r="O29" s="60"/>
      <c r="P29" s="79" t="s">
        <v>19</v>
      </c>
      <c r="Q29" s="21">
        <f>SUM(Q4:Q26)</f>
        <v>202311310</v>
      </c>
      <c r="R29" s="21"/>
    </row>
    <row r="30">
      <c r="A30" s="70">
        <v>46084.0</v>
      </c>
      <c r="B30" s="36" t="s">
        <v>14</v>
      </c>
      <c r="C30" s="37">
        <v>185368.0</v>
      </c>
      <c r="D30" s="55">
        <v>185718.0</v>
      </c>
      <c r="E30" s="38">
        <f t="shared" ref="E30:E37" si="26">D30-C30</f>
        <v>350</v>
      </c>
      <c r="F30" s="39">
        <v>50.0</v>
      </c>
      <c r="G30" s="14">
        <f t="shared" ref="G30:G37" si="27">(F30/E30)*100</f>
        <v>14.28571429</v>
      </c>
      <c r="H30" s="40">
        <v>25754.0</v>
      </c>
      <c r="I30" s="57">
        <v>26143.0</v>
      </c>
      <c r="J30" s="41">
        <f t="shared" ref="J30:J37" si="28">I30-H30</f>
        <v>389</v>
      </c>
      <c r="K30" s="52">
        <f t="shared" ref="K30:K37" si="29">F30</f>
        <v>50</v>
      </c>
      <c r="L30" s="71">
        <f t="shared" ref="L30:L37" si="30">(K30/J30)*100</f>
        <v>12.85347044</v>
      </c>
      <c r="M30" s="72">
        <v>19270.0</v>
      </c>
      <c r="N30" s="44">
        <f t="shared" ref="N30:N37" si="31">F30*M30</f>
        <v>963500</v>
      </c>
      <c r="R30" s="80" t="str">
        <f t="shared" ref="R30:R44" si="32">Q30</f>
        <v/>
      </c>
    </row>
    <row r="31">
      <c r="A31" s="35">
        <v>46085.0</v>
      </c>
      <c r="B31" s="46" t="s">
        <v>14</v>
      </c>
      <c r="C31" s="55">
        <v>185718.0</v>
      </c>
      <c r="D31" s="37">
        <v>185882.0</v>
      </c>
      <c r="E31" s="12">
        <f t="shared" si="26"/>
        <v>164</v>
      </c>
      <c r="F31" s="47">
        <v>25.0</v>
      </c>
      <c r="G31" s="14">
        <f t="shared" si="27"/>
        <v>15.24390244</v>
      </c>
      <c r="H31" s="57">
        <v>26143.0</v>
      </c>
      <c r="I31" s="40">
        <v>26330.0</v>
      </c>
      <c r="J31" s="37">
        <f t="shared" si="28"/>
        <v>187</v>
      </c>
      <c r="K31" s="52">
        <f t="shared" si="29"/>
        <v>25</v>
      </c>
      <c r="L31" s="48">
        <f t="shared" si="30"/>
        <v>13.36898396</v>
      </c>
      <c r="M31" s="72">
        <v>19270.0</v>
      </c>
      <c r="N31" s="49">
        <f t="shared" si="31"/>
        <v>481750</v>
      </c>
      <c r="R31" s="80" t="str">
        <f t="shared" si="32"/>
        <v/>
      </c>
    </row>
    <row r="32">
      <c r="A32" s="35">
        <v>46088.0</v>
      </c>
      <c r="B32" s="36" t="s">
        <v>14</v>
      </c>
      <c r="C32" s="37">
        <v>185882.0</v>
      </c>
      <c r="D32" s="37">
        <v>186100.0</v>
      </c>
      <c r="E32" s="12">
        <f t="shared" si="26"/>
        <v>218</v>
      </c>
      <c r="F32" s="47">
        <v>25.0</v>
      </c>
      <c r="G32" s="14">
        <f t="shared" si="27"/>
        <v>11.46788991</v>
      </c>
      <c r="H32" s="40">
        <v>26330.0</v>
      </c>
      <c r="I32" s="40">
        <v>26571.0</v>
      </c>
      <c r="J32" s="37">
        <f t="shared" si="28"/>
        <v>241</v>
      </c>
      <c r="K32" s="52">
        <f t="shared" si="29"/>
        <v>25</v>
      </c>
      <c r="L32" s="48">
        <f t="shared" si="30"/>
        <v>10.37344398</v>
      </c>
      <c r="M32" s="72">
        <v>23030.0</v>
      </c>
      <c r="N32" s="49">
        <f t="shared" si="31"/>
        <v>575750</v>
      </c>
      <c r="R32" s="80" t="str">
        <f t="shared" si="32"/>
        <v/>
      </c>
    </row>
    <row r="33">
      <c r="A33" s="35">
        <v>46094.0</v>
      </c>
      <c r="B33" s="46" t="s">
        <v>14</v>
      </c>
      <c r="C33" s="37">
        <v>186100.0</v>
      </c>
      <c r="D33" s="37">
        <v>186495.0</v>
      </c>
      <c r="E33" s="12">
        <f t="shared" si="26"/>
        <v>395</v>
      </c>
      <c r="F33" s="47">
        <v>45.0</v>
      </c>
      <c r="G33" s="14">
        <f t="shared" si="27"/>
        <v>11.39240506</v>
      </c>
      <c r="H33" s="40">
        <v>26571.0</v>
      </c>
      <c r="I33" s="40">
        <v>27012.0</v>
      </c>
      <c r="J33" s="37">
        <f t="shared" si="28"/>
        <v>441</v>
      </c>
      <c r="K33" s="52">
        <f t="shared" si="29"/>
        <v>45</v>
      </c>
      <c r="L33" s="48">
        <f t="shared" si="30"/>
        <v>10.20408163</v>
      </c>
      <c r="M33" s="72">
        <v>27020.0</v>
      </c>
      <c r="N33" s="49">
        <f t="shared" si="31"/>
        <v>1215900</v>
      </c>
      <c r="R33" s="80" t="str">
        <f t="shared" si="32"/>
        <v/>
      </c>
    </row>
    <row r="34">
      <c r="A34" s="35">
        <v>46100.0</v>
      </c>
      <c r="B34" s="46" t="s">
        <v>14</v>
      </c>
      <c r="C34" s="37">
        <v>186495.0</v>
      </c>
      <c r="D34" s="37">
        <v>186827.0</v>
      </c>
      <c r="E34" s="12">
        <f t="shared" si="26"/>
        <v>332</v>
      </c>
      <c r="F34" s="47">
        <v>40.0</v>
      </c>
      <c r="G34" s="14">
        <f t="shared" si="27"/>
        <v>12.04819277</v>
      </c>
      <c r="H34" s="40">
        <v>27012.0</v>
      </c>
      <c r="I34" s="40">
        <v>27398.0</v>
      </c>
      <c r="J34" s="37">
        <f t="shared" si="28"/>
        <v>386</v>
      </c>
      <c r="K34" s="52">
        <f t="shared" si="29"/>
        <v>40</v>
      </c>
      <c r="L34" s="48">
        <f t="shared" si="30"/>
        <v>10.3626943</v>
      </c>
      <c r="M34" s="72">
        <v>27020.0</v>
      </c>
      <c r="N34" s="49">
        <f t="shared" si="31"/>
        <v>1080800</v>
      </c>
      <c r="R34" s="80" t="str">
        <f t="shared" si="32"/>
        <v/>
      </c>
    </row>
    <row r="35">
      <c r="A35" s="35">
        <v>46104.0</v>
      </c>
      <c r="B35" s="46" t="s">
        <v>14</v>
      </c>
      <c r="C35" s="37">
        <v>186827.0</v>
      </c>
      <c r="D35" s="37">
        <v>187121.0</v>
      </c>
      <c r="E35" s="12">
        <f t="shared" si="26"/>
        <v>294</v>
      </c>
      <c r="F35" s="47">
        <v>42.0</v>
      </c>
      <c r="G35" s="14">
        <f t="shared" si="27"/>
        <v>14.28571429</v>
      </c>
      <c r="H35" s="40">
        <v>27398.0</v>
      </c>
      <c r="I35" s="40">
        <v>27830.0</v>
      </c>
      <c r="J35" s="37">
        <f t="shared" si="28"/>
        <v>432</v>
      </c>
      <c r="K35" s="52">
        <f t="shared" si="29"/>
        <v>42</v>
      </c>
      <c r="L35" s="48">
        <f t="shared" si="30"/>
        <v>9.722222222</v>
      </c>
      <c r="M35" s="50">
        <v>33420.0</v>
      </c>
      <c r="N35" s="49">
        <f t="shared" si="31"/>
        <v>1403640</v>
      </c>
      <c r="R35" s="80" t="str">
        <f t="shared" si="32"/>
        <v/>
      </c>
    </row>
    <row r="36">
      <c r="A36" s="35">
        <v>46108.0</v>
      </c>
      <c r="B36" s="46" t="s">
        <v>14</v>
      </c>
      <c r="C36" s="37">
        <v>187121.0</v>
      </c>
      <c r="D36" s="37">
        <v>187524.0</v>
      </c>
      <c r="E36" s="12">
        <f t="shared" si="26"/>
        <v>403</v>
      </c>
      <c r="F36" s="47">
        <v>45.0</v>
      </c>
      <c r="G36" s="14">
        <f t="shared" si="27"/>
        <v>11.1662531</v>
      </c>
      <c r="H36" s="40">
        <v>27830.0</v>
      </c>
      <c r="I36" s="40">
        <v>28165.0</v>
      </c>
      <c r="J36" s="37">
        <f t="shared" si="28"/>
        <v>335</v>
      </c>
      <c r="K36" s="52">
        <f t="shared" si="29"/>
        <v>45</v>
      </c>
      <c r="L36" s="48">
        <f t="shared" si="30"/>
        <v>13.43283582</v>
      </c>
      <c r="M36" s="50">
        <v>35440.0</v>
      </c>
      <c r="N36" s="49">
        <f t="shared" si="31"/>
        <v>1594800</v>
      </c>
      <c r="R36" s="80" t="str">
        <f t="shared" si="32"/>
        <v/>
      </c>
    </row>
    <row r="37">
      <c r="A37" s="35"/>
      <c r="B37" s="46" t="s">
        <v>14</v>
      </c>
      <c r="C37" s="37"/>
      <c r="D37" s="55"/>
      <c r="E37" s="12">
        <f t="shared" si="26"/>
        <v>0</v>
      </c>
      <c r="F37" s="47"/>
      <c r="G37" s="56" t="str">
        <f t="shared" si="27"/>
        <v>#DIV/0!</v>
      </c>
      <c r="H37" s="40"/>
      <c r="I37" s="57"/>
      <c r="J37" s="55">
        <f t="shared" si="28"/>
        <v>0</v>
      </c>
      <c r="K37" s="52" t="str">
        <f t="shared" si="29"/>
        <v/>
      </c>
      <c r="L37" s="77" t="str">
        <f t="shared" si="30"/>
        <v>#DIV/0!</v>
      </c>
      <c r="M37" s="50"/>
      <c r="N37" s="59">
        <f t="shared" si="31"/>
        <v>0</v>
      </c>
      <c r="R37" s="80" t="str">
        <f t="shared" si="32"/>
        <v/>
      </c>
    </row>
    <row r="38">
      <c r="A38" s="62"/>
      <c r="B38" s="63"/>
      <c r="C38" s="62"/>
      <c r="D38" s="64" t="s">
        <v>19</v>
      </c>
      <c r="E38" s="64">
        <f>sum(E30:E37)</f>
        <v>2156</v>
      </c>
      <c r="F38" s="39"/>
      <c r="G38" s="65" t="str">
        <f>average(G30:G37)</f>
        <v>#DIV/0!</v>
      </c>
      <c r="H38" s="62"/>
      <c r="I38" s="66"/>
      <c r="J38" s="64">
        <f t="shared" ref="J38:K38" si="33">sum(J30:J37)</f>
        <v>2411</v>
      </c>
      <c r="K38" s="64">
        <f t="shared" si="33"/>
        <v>272</v>
      </c>
      <c r="L38" s="65" t="str">
        <f>average(L30:L37)</f>
        <v>#DIV/0!</v>
      </c>
      <c r="M38" s="68"/>
      <c r="N38" s="69">
        <f>sum(N30:N37)</f>
        <v>7316140</v>
      </c>
      <c r="R38" s="80" t="str">
        <f t="shared" si="32"/>
        <v/>
      </c>
    </row>
    <row r="39">
      <c r="A39" s="70">
        <v>46083.0</v>
      </c>
      <c r="B39" s="36" t="s">
        <v>15</v>
      </c>
      <c r="C39" s="37">
        <v>173090.0</v>
      </c>
      <c r="D39" s="37">
        <v>173442.0</v>
      </c>
      <c r="E39" s="38">
        <f t="shared" ref="E39:E48" si="34">D39-C39</f>
        <v>352</v>
      </c>
      <c r="F39" s="39">
        <v>42.0</v>
      </c>
      <c r="G39" s="14">
        <f t="shared" ref="G39:G48" si="35">(F39/E39)*100</f>
        <v>11.93181818</v>
      </c>
      <c r="H39" s="40">
        <v>32277.0</v>
      </c>
      <c r="I39" s="40">
        <v>32495.0</v>
      </c>
      <c r="J39" s="41">
        <f t="shared" ref="J39:J48" si="36">I39-H39</f>
        <v>218</v>
      </c>
      <c r="K39" s="81">
        <f t="shared" ref="K39:K48" si="37">F39</f>
        <v>42</v>
      </c>
      <c r="L39" s="71">
        <f t="shared" ref="L39:L48" si="38">(K39/J39)*100</f>
        <v>19.26605505</v>
      </c>
      <c r="M39" s="55">
        <v>19270.0</v>
      </c>
      <c r="N39" s="44">
        <f t="shared" ref="N39:N48" si="39">F39*M39</f>
        <v>809340</v>
      </c>
      <c r="R39" s="80" t="str">
        <f t="shared" si="32"/>
        <v/>
      </c>
    </row>
    <row r="40">
      <c r="A40" s="35">
        <v>46085.0</v>
      </c>
      <c r="B40" s="46" t="s">
        <v>15</v>
      </c>
      <c r="C40" s="37">
        <v>173442.0</v>
      </c>
      <c r="D40" s="37">
        <v>173702.0</v>
      </c>
      <c r="E40" s="12">
        <f t="shared" si="34"/>
        <v>260</v>
      </c>
      <c r="F40" s="47">
        <v>33.0</v>
      </c>
      <c r="G40" s="14">
        <f t="shared" si="35"/>
        <v>12.69230769</v>
      </c>
      <c r="H40" s="40">
        <v>32495.0</v>
      </c>
      <c r="I40" s="40">
        <v>32758.0</v>
      </c>
      <c r="J40" s="37">
        <f t="shared" si="36"/>
        <v>263</v>
      </c>
      <c r="K40" s="52">
        <f t="shared" si="37"/>
        <v>33</v>
      </c>
      <c r="L40" s="48">
        <f t="shared" si="38"/>
        <v>12.54752852</v>
      </c>
      <c r="M40" s="55">
        <v>19270.0</v>
      </c>
      <c r="N40" s="49">
        <f t="shared" si="39"/>
        <v>635910</v>
      </c>
      <c r="P40" s="82"/>
      <c r="R40" s="80" t="str">
        <f t="shared" si="32"/>
        <v/>
      </c>
    </row>
    <row r="41">
      <c r="A41" s="35">
        <v>46088.0</v>
      </c>
      <c r="B41" s="46" t="s">
        <v>15</v>
      </c>
      <c r="C41" s="37">
        <v>173702.0</v>
      </c>
      <c r="D41" s="37">
        <v>174036.0</v>
      </c>
      <c r="E41" s="12">
        <f t="shared" si="34"/>
        <v>334</v>
      </c>
      <c r="F41" s="47">
        <v>33.0</v>
      </c>
      <c r="G41" s="14">
        <f t="shared" si="35"/>
        <v>9.880239521</v>
      </c>
      <c r="H41" s="37">
        <v>32758.0</v>
      </c>
      <c r="I41" s="37">
        <v>33089.0</v>
      </c>
      <c r="J41" s="37">
        <f t="shared" si="36"/>
        <v>331</v>
      </c>
      <c r="K41" s="37">
        <f t="shared" si="37"/>
        <v>33</v>
      </c>
      <c r="L41" s="48">
        <f t="shared" si="38"/>
        <v>9.96978852</v>
      </c>
      <c r="M41" s="55">
        <v>23030.0</v>
      </c>
      <c r="N41" s="49">
        <f t="shared" si="39"/>
        <v>759990</v>
      </c>
      <c r="R41" s="80" t="str">
        <f t="shared" si="32"/>
        <v/>
      </c>
    </row>
    <row r="42">
      <c r="A42" s="35">
        <v>46091.0</v>
      </c>
      <c r="B42" s="46" t="s">
        <v>15</v>
      </c>
      <c r="C42" s="37">
        <v>174036.0</v>
      </c>
      <c r="D42" s="37">
        <v>174248.0</v>
      </c>
      <c r="E42" s="12">
        <f t="shared" si="34"/>
        <v>212</v>
      </c>
      <c r="F42" s="47">
        <v>30.0</v>
      </c>
      <c r="G42" s="14">
        <f t="shared" si="35"/>
        <v>14.1509434</v>
      </c>
      <c r="H42" s="40">
        <v>33089.0</v>
      </c>
      <c r="I42" s="40">
        <v>33324.0</v>
      </c>
      <c r="J42" s="37">
        <f t="shared" si="36"/>
        <v>235</v>
      </c>
      <c r="K42" s="52">
        <f t="shared" si="37"/>
        <v>30</v>
      </c>
      <c r="L42" s="48">
        <f t="shared" si="38"/>
        <v>12.76595745</v>
      </c>
      <c r="M42" s="55">
        <v>30230.0</v>
      </c>
      <c r="N42" s="49">
        <f t="shared" si="39"/>
        <v>906900</v>
      </c>
      <c r="R42" s="80" t="str">
        <f t="shared" si="32"/>
        <v/>
      </c>
    </row>
    <row r="43">
      <c r="A43" s="35">
        <v>46093.0</v>
      </c>
      <c r="B43" s="46" t="s">
        <v>15</v>
      </c>
      <c r="C43" s="37">
        <v>174248.0</v>
      </c>
      <c r="D43" s="37">
        <v>174569.0</v>
      </c>
      <c r="E43" s="12">
        <f t="shared" si="34"/>
        <v>321</v>
      </c>
      <c r="F43" s="47">
        <v>37.0</v>
      </c>
      <c r="G43" s="14">
        <f t="shared" si="35"/>
        <v>11.52647975</v>
      </c>
      <c r="H43" s="40">
        <v>33324.0</v>
      </c>
      <c r="I43" s="40">
        <v>33622.0</v>
      </c>
      <c r="J43" s="37">
        <f t="shared" si="36"/>
        <v>298</v>
      </c>
      <c r="K43" s="52">
        <f t="shared" si="37"/>
        <v>37</v>
      </c>
      <c r="L43" s="48">
        <f t="shared" si="38"/>
        <v>12.41610738</v>
      </c>
      <c r="M43" s="55">
        <v>26470.0</v>
      </c>
      <c r="N43" s="49">
        <f t="shared" si="39"/>
        <v>979390</v>
      </c>
      <c r="R43" s="80" t="str">
        <f t="shared" si="32"/>
        <v/>
      </c>
    </row>
    <row r="44">
      <c r="A44" s="35">
        <v>46095.0</v>
      </c>
      <c r="B44" s="46" t="s">
        <v>15</v>
      </c>
      <c r="C44" s="37">
        <v>174569.0</v>
      </c>
      <c r="D44" s="37">
        <v>174749.0</v>
      </c>
      <c r="E44" s="12">
        <f t="shared" si="34"/>
        <v>180</v>
      </c>
      <c r="F44" s="47">
        <v>20.0</v>
      </c>
      <c r="G44" s="14">
        <f t="shared" si="35"/>
        <v>11.11111111</v>
      </c>
      <c r="H44" s="40">
        <v>33622.0</v>
      </c>
      <c r="I44" s="40">
        <v>33802.0</v>
      </c>
      <c r="J44" s="37">
        <f t="shared" si="36"/>
        <v>180</v>
      </c>
      <c r="K44" s="52">
        <f t="shared" si="37"/>
        <v>20</v>
      </c>
      <c r="L44" s="48">
        <f t="shared" si="38"/>
        <v>11.11111111</v>
      </c>
      <c r="M44" s="50">
        <v>27020.0</v>
      </c>
      <c r="N44" s="49">
        <f t="shared" si="39"/>
        <v>540400</v>
      </c>
      <c r="R44" s="80" t="str">
        <f t="shared" si="32"/>
        <v/>
      </c>
    </row>
    <row r="45">
      <c r="A45" s="35">
        <v>46100.0</v>
      </c>
      <c r="B45" s="46" t="s">
        <v>15</v>
      </c>
      <c r="C45" s="37">
        <v>174749.0</v>
      </c>
      <c r="D45" s="37">
        <v>175059.0</v>
      </c>
      <c r="E45" s="12">
        <f t="shared" si="34"/>
        <v>310</v>
      </c>
      <c r="F45" s="47">
        <v>34.0</v>
      </c>
      <c r="G45" s="14">
        <f t="shared" si="35"/>
        <v>10.96774194</v>
      </c>
      <c r="H45" s="40">
        <v>33802.0</v>
      </c>
      <c r="I45" s="40">
        <v>34162.0</v>
      </c>
      <c r="J45" s="37">
        <f t="shared" si="36"/>
        <v>360</v>
      </c>
      <c r="K45" s="52">
        <f t="shared" si="37"/>
        <v>34</v>
      </c>
      <c r="L45" s="48">
        <f t="shared" si="38"/>
        <v>9.444444444</v>
      </c>
      <c r="M45" s="50">
        <v>27020.0</v>
      </c>
      <c r="N45" s="49">
        <f t="shared" si="39"/>
        <v>918680</v>
      </c>
    </row>
    <row r="46">
      <c r="A46" s="35">
        <v>46102.0</v>
      </c>
      <c r="B46" s="46" t="s">
        <v>15</v>
      </c>
      <c r="C46" s="37">
        <v>175059.0</v>
      </c>
      <c r="D46" s="37">
        <v>175280.0</v>
      </c>
      <c r="E46" s="12">
        <f t="shared" si="34"/>
        <v>221</v>
      </c>
      <c r="F46" s="47">
        <v>36.0</v>
      </c>
      <c r="G46" s="14">
        <f t="shared" si="35"/>
        <v>16.28959276</v>
      </c>
      <c r="H46" s="40">
        <v>34162.0</v>
      </c>
      <c r="I46" s="40">
        <v>34406.0</v>
      </c>
      <c r="J46" s="37">
        <f t="shared" si="36"/>
        <v>244</v>
      </c>
      <c r="K46" s="52">
        <f t="shared" si="37"/>
        <v>36</v>
      </c>
      <c r="L46" s="48">
        <f t="shared" si="38"/>
        <v>14.75409836</v>
      </c>
      <c r="M46" s="50">
        <v>33420.0</v>
      </c>
      <c r="N46" s="49">
        <f t="shared" si="39"/>
        <v>1203120</v>
      </c>
    </row>
    <row r="47">
      <c r="A47" s="35">
        <v>46106.0</v>
      </c>
      <c r="B47" s="83" t="s">
        <v>15</v>
      </c>
      <c r="C47" s="37">
        <v>175280.0</v>
      </c>
      <c r="D47" s="55">
        <v>175632.0</v>
      </c>
      <c r="E47" s="25">
        <f t="shared" si="34"/>
        <v>352</v>
      </c>
      <c r="F47" s="47">
        <v>46.0</v>
      </c>
      <c r="G47" s="56">
        <f t="shared" si="35"/>
        <v>13.06818182</v>
      </c>
      <c r="H47" s="40">
        <v>34406.0</v>
      </c>
      <c r="I47" s="57">
        <v>34731.0</v>
      </c>
      <c r="J47" s="55">
        <f t="shared" si="36"/>
        <v>325</v>
      </c>
      <c r="K47" s="52">
        <f t="shared" si="37"/>
        <v>46</v>
      </c>
      <c r="L47" s="77">
        <f t="shared" si="38"/>
        <v>14.15384615</v>
      </c>
      <c r="M47" s="50">
        <v>37890.0</v>
      </c>
      <c r="N47" s="59">
        <f t="shared" si="39"/>
        <v>1742940</v>
      </c>
      <c r="R47" s="80" t="str">
        <f t="shared" ref="R47:R57" si="40">Q47</f>
        <v/>
      </c>
    </row>
    <row r="48">
      <c r="A48" s="35">
        <v>46109.0</v>
      </c>
      <c r="B48" s="83" t="s">
        <v>15</v>
      </c>
      <c r="C48" s="55">
        <v>175632.0</v>
      </c>
      <c r="D48" s="55">
        <v>175984.0</v>
      </c>
      <c r="E48" s="25">
        <f t="shared" si="34"/>
        <v>352</v>
      </c>
      <c r="F48" s="47">
        <v>43.0</v>
      </c>
      <c r="G48" s="56">
        <f t="shared" si="35"/>
        <v>12.21590909</v>
      </c>
      <c r="H48" s="57">
        <v>34731.0</v>
      </c>
      <c r="I48" s="57">
        <v>35038.0</v>
      </c>
      <c r="J48" s="55">
        <f t="shared" si="36"/>
        <v>307</v>
      </c>
      <c r="K48" s="52">
        <f t="shared" si="37"/>
        <v>43</v>
      </c>
      <c r="L48" s="77">
        <f t="shared" si="38"/>
        <v>14.00651466</v>
      </c>
      <c r="M48" s="50">
        <v>35440.0</v>
      </c>
      <c r="N48" s="59">
        <f t="shared" si="39"/>
        <v>1523920</v>
      </c>
      <c r="R48" s="80" t="str">
        <f t="shared" si="40"/>
        <v/>
      </c>
    </row>
    <row r="49">
      <c r="A49" s="62"/>
      <c r="B49" s="63"/>
      <c r="C49" s="62"/>
      <c r="D49" s="64" t="s">
        <v>19</v>
      </c>
      <c r="E49" s="64">
        <f>sum(E39:E47)</f>
        <v>2542</v>
      </c>
      <c r="F49" s="64">
        <f>sum(F39:F48)</f>
        <v>354</v>
      </c>
      <c r="G49" s="65">
        <f>average(G39:G47)</f>
        <v>12.40204624</v>
      </c>
      <c r="H49" s="62"/>
      <c r="I49" s="66"/>
      <c r="J49" s="64">
        <f t="shared" ref="J49:K49" si="41">sum(J39:J47)</f>
        <v>2454</v>
      </c>
      <c r="K49" s="64">
        <f t="shared" si="41"/>
        <v>311</v>
      </c>
      <c r="L49" s="65">
        <f>average(L39:L47)</f>
        <v>12.93654855</v>
      </c>
      <c r="M49" s="68"/>
      <c r="N49" s="69">
        <f>sum(N39:N48)</f>
        <v>10020590</v>
      </c>
      <c r="R49" s="80" t="str">
        <f t="shared" si="40"/>
        <v/>
      </c>
    </row>
    <row r="50">
      <c r="A50" s="70">
        <v>46084.0</v>
      </c>
      <c r="B50" s="36" t="s">
        <v>16</v>
      </c>
      <c r="C50" s="37">
        <v>149936.0</v>
      </c>
      <c r="D50" s="37">
        <v>150214.0</v>
      </c>
      <c r="E50" s="38">
        <f t="shared" ref="E50:E60" si="42">D50-C50</f>
        <v>278</v>
      </c>
      <c r="F50" s="39">
        <v>40.0</v>
      </c>
      <c r="G50" s="14">
        <f t="shared" ref="G50:G60" si="43">(F50/E50)*100</f>
        <v>14.38848921</v>
      </c>
      <c r="H50" s="40">
        <v>34857.0</v>
      </c>
      <c r="I50" s="40">
        <v>35154.0</v>
      </c>
      <c r="J50" s="41">
        <f t="shared" ref="J50:J60" si="44">I50-H50</f>
        <v>297</v>
      </c>
      <c r="K50" s="81">
        <f t="shared" ref="K50:K60" si="45">F50</f>
        <v>40</v>
      </c>
      <c r="L50" s="71">
        <f t="shared" ref="L50:L60" si="46">(K50/J50)*100</f>
        <v>13.46801347</v>
      </c>
      <c r="M50" s="72">
        <v>19270.0</v>
      </c>
      <c r="N50" s="44">
        <f t="shared" ref="N50:N60" si="47">F50*M50</f>
        <v>770800</v>
      </c>
      <c r="R50" s="80" t="str">
        <f t="shared" si="40"/>
        <v/>
      </c>
    </row>
    <row r="51">
      <c r="A51" s="70">
        <v>46085.0</v>
      </c>
      <c r="B51" s="46" t="s">
        <v>16</v>
      </c>
      <c r="C51" s="37">
        <v>150214.0</v>
      </c>
      <c r="D51" s="37">
        <v>150463.0</v>
      </c>
      <c r="E51" s="12">
        <f t="shared" si="42"/>
        <v>249</v>
      </c>
      <c r="F51" s="47">
        <v>30.0</v>
      </c>
      <c r="G51" s="14">
        <f t="shared" si="43"/>
        <v>12.04819277</v>
      </c>
      <c r="H51" s="40">
        <v>35154.0</v>
      </c>
      <c r="I51" s="40">
        <v>35428.0</v>
      </c>
      <c r="J51" s="37">
        <f t="shared" si="44"/>
        <v>274</v>
      </c>
      <c r="K51" s="52">
        <f t="shared" si="45"/>
        <v>30</v>
      </c>
      <c r="L51" s="48">
        <f t="shared" si="46"/>
        <v>10.94890511</v>
      </c>
      <c r="M51" s="50">
        <v>19270.0</v>
      </c>
      <c r="N51" s="49">
        <f t="shared" si="47"/>
        <v>578100</v>
      </c>
      <c r="R51" s="80" t="str">
        <f t="shared" si="40"/>
        <v/>
      </c>
    </row>
    <row r="52">
      <c r="A52" s="84">
        <v>46088.0</v>
      </c>
      <c r="B52" s="46" t="s">
        <v>16</v>
      </c>
      <c r="C52" s="37">
        <v>150463.0</v>
      </c>
      <c r="D52" s="37">
        <v>150822.0</v>
      </c>
      <c r="E52" s="12">
        <f t="shared" si="42"/>
        <v>359</v>
      </c>
      <c r="F52" s="47">
        <v>48.0</v>
      </c>
      <c r="G52" s="14">
        <f t="shared" si="43"/>
        <v>13.37047354</v>
      </c>
      <c r="H52" s="40">
        <v>35428.0</v>
      </c>
      <c r="I52" s="40">
        <v>35814.0</v>
      </c>
      <c r="J52" s="37">
        <f t="shared" si="44"/>
        <v>386</v>
      </c>
      <c r="K52" s="52">
        <f t="shared" si="45"/>
        <v>48</v>
      </c>
      <c r="L52" s="48">
        <f t="shared" si="46"/>
        <v>12.43523316</v>
      </c>
      <c r="M52" s="50">
        <v>23030.0</v>
      </c>
      <c r="N52" s="49">
        <f t="shared" si="47"/>
        <v>1105440</v>
      </c>
      <c r="R52" s="80" t="str">
        <f t="shared" si="40"/>
        <v/>
      </c>
    </row>
    <row r="53">
      <c r="A53" s="84">
        <v>46093.0</v>
      </c>
      <c r="B53" s="46" t="s">
        <v>16</v>
      </c>
      <c r="C53" s="37">
        <v>150822.0</v>
      </c>
      <c r="D53" s="37">
        <v>151145.0</v>
      </c>
      <c r="E53" s="12">
        <f t="shared" si="42"/>
        <v>323</v>
      </c>
      <c r="F53" s="47">
        <v>42.0</v>
      </c>
      <c r="G53" s="14">
        <f t="shared" si="43"/>
        <v>13.00309598</v>
      </c>
      <c r="H53" s="40">
        <v>35814.0</v>
      </c>
      <c r="I53" s="40">
        <v>36166.0</v>
      </c>
      <c r="J53" s="37">
        <f t="shared" si="44"/>
        <v>352</v>
      </c>
      <c r="K53" s="52">
        <f t="shared" si="45"/>
        <v>42</v>
      </c>
      <c r="L53" s="48">
        <f t="shared" si="46"/>
        <v>11.93181818</v>
      </c>
      <c r="M53" s="50">
        <v>26470.0</v>
      </c>
      <c r="N53" s="49">
        <f t="shared" si="47"/>
        <v>1111740</v>
      </c>
      <c r="R53" s="80" t="str">
        <f t="shared" si="40"/>
        <v/>
      </c>
    </row>
    <row r="54">
      <c r="A54" s="84">
        <v>46097.0</v>
      </c>
      <c r="B54" s="46" t="s">
        <v>16</v>
      </c>
      <c r="C54" s="37">
        <v>151145.0</v>
      </c>
      <c r="D54" s="37">
        <v>151406.0</v>
      </c>
      <c r="E54" s="12">
        <f t="shared" si="42"/>
        <v>261</v>
      </c>
      <c r="F54" s="47">
        <v>39.0</v>
      </c>
      <c r="G54" s="14">
        <f t="shared" si="43"/>
        <v>14.94252874</v>
      </c>
      <c r="H54" s="40">
        <v>36166.0</v>
      </c>
      <c r="I54" s="40">
        <v>36446.0</v>
      </c>
      <c r="J54" s="37">
        <f t="shared" si="44"/>
        <v>280</v>
      </c>
      <c r="K54" s="52">
        <f t="shared" si="45"/>
        <v>39</v>
      </c>
      <c r="L54" s="48">
        <f t="shared" si="46"/>
        <v>13.92857143</v>
      </c>
      <c r="M54" s="50">
        <v>27020.0</v>
      </c>
      <c r="N54" s="49">
        <f t="shared" si="47"/>
        <v>1053780</v>
      </c>
      <c r="P54" s="82"/>
      <c r="R54" s="80" t="str">
        <f t="shared" si="40"/>
        <v/>
      </c>
    </row>
    <row r="55">
      <c r="A55" s="84">
        <v>46099.0</v>
      </c>
      <c r="B55" s="46" t="s">
        <v>16</v>
      </c>
      <c r="C55" s="37">
        <v>151406.0</v>
      </c>
      <c r="D55" s="37">
        <v>151774.0</v>
      </c>
      <c r="E55" s="12">
        <f t="shared" si="42"/>
        <v>368</v>
      </c>
      <c r="F55" s="47">
        <v>48.0</v>
      </c>
      <c r="G55" s="14">
        <f t="shared" si="43"/>
        <v>13.04347826</v>
      </c>
      <c r="H55" s="40">
        <v>36446.0</v>
      </c>
      <c r="I55" s="40">
        <v>36852.0</v>
      </c>
      <c r="J55" s="37">
        <f t="shared" si="44"/>
        <v>406</v>
      </c>
      <c r="K55" s="52">
        <f t="shared" si="45"/>
        <v>48</v>
      </c>
      <c r="L55" s="48">
        <f t="shared" si="46"/>
        <v>11.8226601</v>
      </c>
      <c r="M55" s="50">
        <v>27020.0</v>
      </c>
      <c r="N55" s="49">
        <f t="shared" si="47"/>
        <v>1296960</v>
      </c>
      <c r="R55" s="80" t="str">
        <f t="shared" si="40"/>
        <v/>
      </c>
    </row>
    <row r="56">
      <c r="A56" s="84">
        <v>46103.0</v>
      </c>
      <c r="B56" s="46" t="s">
        <v>16</v>
      </c>
      <c r="C56" s="37">
        <v>151774.0</v>
      </c>
      <c r="D56" s="37">
        <v>152130.0</v>
      </c>
      <c r="E56" s="12">
        <f t="shared" si="42"/>
        <v>356</v>
      </c>
      <c r="F56" s="47">
        <v>50.0</v>
      </c>
      <c r="G56" s="14">
        <f t="shared" si="43"/>
        <v>14.04494382</v>
      </c>
      <c r="H56" s="40">
        <v>36852.0</v>
      </c>
      <c r="I56" s="40">
        <v>37236.0</v>
      </c>
      <c r="J56" s="37">
        <f t="shared" si="44"/>
        <v>384</v>
      </c>
      <c r="K56" s="52">
        <f t="shared" si="45"/>
        <v>50</v>
      </c>
      <c r="L56" s="48">
        <f t="shared" si="46"/>
        <v>13.02083333</v>
      </c>
      <c r="M56" s="50">
        <v>33420.0</v>
      </c>
      <c r="N56" s="49">
        <f t="shared" si="47"/>
        <v>1671000</v>
      </c>
      <c r="R56" s="80" t="str">
        <f t="shared" si="40"/>
        <v/>
      </c>
    </row>
    <row r="57">
      <c r="A57" s="84">
        <v>46106.0</v>
      </c>
      <c r="B57" s="46" t="s">
        <v>16</v>
      </c>
      <c r="C57" s="37">
        <v>152130.0</v>
      </c>
      <c r="D57" s="37">
        <v>152441.0</v>
      </c>
      <c r="E57" s="12">
        <f t="shared" si="42"/>
        <v>311</v>
      </c>
      <c r="F57" s="47">
        <v>46.0</v>
      </c>
      <c r="G57" s="14">
        <f t="shared" si="43"/>
        <v>14.79099678</v>
      </c>
      <c r="H57" s="40">
        <v>37236.0</v>
      </c>
      <c r="I57" s="40">
        <v>37566.0</v>
      </c>
      <c r="J57" s="37">
        <f t="shared" si="44"/>
        <v>330</v>
      </c>
      <c r="K57" s="52">
        <f t="shared" si="45"/>
        <v>46</v>
      </c>
      <c r="L57" s="48">
        <f t="shared" si="46"/>
        <v>13.93939394</v>
      </c>
      <c r="M57" s="50">
        <v>37890.0</v>
      </c>
      <c r="N57" s="49">
        <f t="shared" si="47"/>
        <v>1742940</v>
      </c>
      <c r="R57" s="80" t="str">
        <f t="shared" si="40"/>
        <v/>
      </c>
    </row>
    <row r="58">
      <c r="A58" s="84">
        <v>46109.0</v>
      </c>
      <c r="B58" s="46" t="s">
        <v>16</v>
      </c>
      <c r="C58" s="37">
        <v>152441.0</v>
      </c>
      <c r="D58" s="37">
        <v>152771.0</v>
      </c>
      <c r="E58" s="12">
        <f t="shared" si="42"/>
        <v>330</v>
      </c>
      <c r="F58" s="47">
        <v>45.0</v>
      </c>
      <c r="G58" s="14">
        <f t="shared" si="43"/>
        <v>13.63636364</v>
      </c>
      <c r="H58" s="40">
        <v>37566.0</v>
      </c>
      <c r="I58" s="40">
        <v>37927.0</v>
      </c>
      <c r="J58" s="37">
        <f t="shared" si="44"/>
        <v>361</v>
      </c>
      <c r="K58" s="52">
        <f t="shared" si="45"/>
        <v>45</v>
      </c>
      <c r="L58" s="48">
        <f t="shared" si="46"/>
        <v>12.46537396</v>
      </c>
      <c r="M58" s="50">
        <v>35440.0</v>
      </c>
      <c r="N58" s="49">
        <f t="shared" si="47"/>
        <v>1594800</v>
      </c>
    </row>
    <row r="59">
      <c r="A59" s="84"/>
      <c r="B59" s="46" t="s">
        <v>16</v>
      </c>
      <c r="C59" s="37"/>
      <c r="D59" s="37"/>
      <c r="E59" s="12">
        <f t="shared" si="42"/>
        <v>0</v>
      </c>
      <c r="F59" s="47"/>
      <c r="G59" s="14" t="str">
        <f t="shared" si="43"/>
        <v>#DIV/0!</v>
      </c>
      <c r="H59" s="40"/>
      <c r="I59" s="40"/>
      <c r="J59" s="37">
        <f t="shared" si="44"/>
        <v>0</v>
      </c>
      <c r="K59" s="52" t="str">
        <f t="shared" si="45"/>
        <v/>
      </c>
      <c r="L59" s="48" t="str">
        <f t="shared" si="46"/>
        <v>#DIV/0!</v>
      </c>
      <c r="M59" s="50"/>
      <c r="N59" s="49">
        <f t="shared" si="47"/>
        <v>0</v>
      </c>
      <c r="R59" s="80" t="str">
        <f t="shared" ref="R59:R64" si="48">Q59</f>
        <v/>
      </c>
    </row>
    <row r="60">
      <c r="A60" s="84"/>
      <c r="B60" s="46" t="s">
        <v>16</v>
      </c>
      <c r="C60" s="55"/>
      <c r="D60" s="55"/>
      <c r="E60" s="25">
        <f t="shared" si="42"/>
        <v>0</v>
      </c>
      <c r="F60" s="47"/>
      <c r="G60" s="56" t="str">
        <f t="shared" si="43"/>
        <v>#DIV/0!</v>
      </c>
      <c r="H60" s="55"/>
      <c r="I60" s="85"/>
      <c r="J60" s="55">
        <f t="shared" si="44"/>
        <v>0</v>
      </c>
      <c r="K60" s="52" t="str">
        <f t="shared" si="45"/>
        <v/>
      </c>
      <c r="L60" s="77" t="str">
        <f t="shared" si="46"/>
        <v>#DIV/0!</v>
      </c>
      <c r="M60" s="50"/>
      <c r="N60" s="59">
        <f t="shared" si="47"/>
        <v>0</v>
      </c>
      <c r="R60" s="80" t="str">
        <f t="shared" si="48"/>
        <v/>
      </c>
    </row>
    <row r="61">
      <c r="A61" s="62"/>
      <c r="B61" s="63"/>
      <c r="C61" s="86"/>
      <c r="D61" s="64" t="s">
        <v>19</v>
      </c>
      <c r="E61" s="64">
        <f>sum(E50:E60)</f>
        <v>2835</v>
      </c>
      <c r="F61" s="39"/>
      <c r="G61" s="65" t="str">
        <f>average(G50:G60)</f>
        <v>#DIV/0!</v>
      </c>
      <c r="H61" s="62"/>
      <c r="I61" s="66"/>
      <c r="J61" s="64">
        <f t="shared" ref="J61:K61" si="49">sum(J50:J60)</f>
        <v>3070</v>
      </c>
      <c r="K61" s="64">
        <f t="shared" si="49"/>
        <v>388</v>
      </c>
      <c r="L61" s="65" t="str">
        <f>average(L50:L60)</f>
        <v>#DIV/0!</v>
      </c>
      <c r="M61" s="68"/>
      <c r="N61" s="69">
        <f>sum(N50:N60)</f>
        <v>10925560</v>
      </c>
      <c r="R61" s="80" t="str">
        <f t="shared" si="48"/>
        <v/>
      </c>
    </row>
    <row r="62">
      <c r="A62" s="70">
        <v>46085.0</v>
      </c>
      <c r="B62" s="87" t="s">
        <v>18</v>
      </c>
      <c r="C62" s="37">
        <v>154207.0</v>
      </c>
      <c r="D62" s="52">
        <v>154558.0</v>
      </c>
      <c r="E62" s="38">
        <f t="shared" ref="E62:E70" si="50">D62-C62</f>
        <v>351</v>
      </c>
      <c r="F62" s="39">
        <v>42.0</v>
      </c>
      <c r="G62" s="14">
        <f t="shared" ref="G62:G70" si="51">(F62/E62)*100</f>
        <v>11.96581197</v>
      </c>
      <c r="H62" s="40">
        <v>26611.0</v>
      </c>
      <c r="I62" s="40">
        <v>26997.0</v>
      </c>
      <c r="J62" s="41">
        <f t="shared" ref="J62:J70" si="52">I62-H62</f>
        <v>386</v>
      </c>
      <c r="K62" s="81">
        <f t="shared" ref="K62:K70" si="53">F62</f>
        <v>42</v>
      </c>
      <c r="L62" s="71">
        <f t="shared" ref="L62:L70" si="54">(K62/J62)*100</f>
        <v>10.88082902</v>
      </c>
      <c r="M62" s="72">
        <v>19270.0</v>
      </c>
      <c r="N62" s="44">
        <f t="shared" ref="N62:N64" si="55">F62*M62</f>
        <v>809340</v>
      </c>
      <c r="R62" s="80" t="str">
        <f t="shared" si="48"/>
        <v/>
      </c>
    </row>
    <row r="63">
      <c r="A63" s="35">
        <v>46088.0</v>
      </c>
      <c r="B63" s="46" t="s">
        <v>18</v>
      </c>
      <c r="C63" s="52">
        <v>154558.0</v>
      </c>
      <c r="D63" s="37">
        <v>154871.0</v>
      </c>
      <c r="E63" s="12">
        <f t="shared" si="50"/>
        <v>313</v>
      </c>
      <c r="F63" s="47">
        <v>41.0</v>
      </c>
      <c r="G63" s="14">
        <f t="shared" si="51"/>
        <v>13.09904153</v>
      </c>
      <c r="H63" s="40">
        <v>26997.0</v>
      </c>
      <c r="I63" s="40">
        <v>27346.0</v>
      </c>
      <c r="J63" s="37">
        <f t="shared" si="52"/>
        <v>349</v>
      </c>
      <c r="K63" s="52">
        <f t="shared" si="53"/>
        <v>41</v>
      </c>
      <c r="L63" s="48">
        <f t="shared" si="54"/>
        <v>11.747851</v>
      </c>
      <c r="M63" s="50">
        <v>23030.0</v>
      </c>
      <c r="N63" s="49">
        <f t="shared" si="55"/>
        <v>944230</v>
      </c>
      <c r="R63" s="80" t="str">
        <f t="shared" si="48"/>
        <v/>
      </c>
    </row>
    <row r="64">
      <c r="A64" s="35">
        <v>46093.0</v>
      </c>
      <c r="B64" s="46" t="s">
        <v>18</v>
      </c>
      <c r="C64" s="37">
        <v>154871.0</v>
      </c>
      <c r="D64" s="37">
        <v>155330.0</v>
      </c>
      <c r="E64" s="12">
        <f t="shared" si="50"/>
        <v>459</v>
      </c>
      <c r="F64" s="47">
        <v>36.0</v>
      </c>
      <c r="G64" s="14">
        <f t="shared" si="51"/>
        <v>7.843137255</v>
      </c>
      <c r="H64" s="40">
        <v>27346.0</v>
      </c>
      <c r="I64" s="40">
        <v>27832.0</v>
      </c>
      <c r="J64" s="37">
        <f t="shared" si="52"/>
        <v>486</v>
      </c>
      <c r="K64" s="52">
        <f t="shared" si="53"/>
        <v>36</v>
      </c>
      <c r="L64" s="48">
        <f t="shared" si="54"/>
        <v>7.407407407</v>
      </c>
      <c r="M64" s="50">
        <v>26470.0</v>
      </c>
      <c r="N64" s="49">
        <f t="shared" si="55"/>
        <v>952920</v>
      </c>
      <c r="R64" s="80" t="str">
        <f t="shared" si="48"/>
        <v/>
      </c>
    </row>
    <row r="65">
      <c r="A65" s="35">
        <v>46090.0</v>
      </c>
      <c r="B65" s="46" t="s">
        <v>18</v>
      </c>
      <c r="C65" s="37"/>
      <c r="D65" s="37"/>
      <c r="E65" s="12">
        <f t="shared" si="50"/>
        <v>0</v>
      </c>
      <c r="F65" s="47"/>
      <c r="G65" s="14" t="str">
        <f t="shared" si="51"/>
        <v>#DIV/0!</v>
      </c>
      <c r="H65" s="40"/>
      <c r="I65" s="40"/>
      <c r="J65" s="37">
        <f t="shared" si="52"/>
        <v>0</v>
      </c>
      <c r="K65" s="52" t="str">
        <f t="shared" si="53"/>
        <v/>
      </c>
      <c r="L65" s="48" t="str">
        <f t="shared" si="54"/>
        <v>#DIV/0!</v>
      </c>
      <c r="M65" s="50"/>
      <c r="N65" s="49">
        <v>725520.0</v>
      </c>
    </row>
    <row r="66">
      <c r="A66" s="35">
        <v>46099.0</v>
      </c>
      <c r="B66" s="46" t="s">
        <v>18</v>
      </c>
      <c r="C66" s="37">
        <v>155330.0</v>
      </c>
      <c r="D66" s="37">
        <v>155695.0</v>
      </c>
      <c r="E66" s="12">
        <f t="shared" si="50"/>
        <v>365</v>
      </c>
      <c r="F66" s="47">
        <v>40.0</v>
      </c>
      <c r="G66" s="14">
        <f t="shared" si="51"/>
        <v>10.95890411</v>
      </c>
      <c r="H66" s="40">
        <v>27832.0</v>
      </c>
      <c r="I66" s="40">
        <v>28330.0</v>
      </c>
      <c r="J66" s="37">
        <f t="shared" si="52"/>
        <v>498</v>
      </c>
      <c r="K66" s="52">
        <f t="shared" si="53"/>
        <v>40</v>
      </c>
      <c r="L66" s="48">
        <f t="shared" si="54"/>
        <v>8.032128514</v>
      </c>
      <c r="M66" s="50">
        <v>27020.0</v>
      </c>
      <c r="N66" s="49">
        <f t="shared" ref="N66:N70" si="56">F66*M66</f>
        <v>1080800</v>
      </c>
      <c r="R66" s="80" t="str">
        <f t="shared" ref="R66:R127" si="57">Q66</f>
        <v/>
      </c>
    </row>
    <row r="67">
      <c r="A67" s="35">
        <v>46102.0</v>
      </c>
      <c r="B67" s="46" t="s">
        <v>18</v>
      </c>
      <c r="C67" s="37">
        <v>155695.0</v>
      </c>
      <c r="D67" s="37">
        <v>156063.0</v>
      </c>
      <c r="E67" s="12">
        <f t="shared" si="50"/>
        <v>368</v>
      </c>
      <c r="F67" s="47">
        <v>40.0</v>
      </c>
      <c r="G67" s="14">
        <f t="shared" si="51"/>
        <v>10.86956522</v>
      </c>
      <c r="H67" s="40">
        <v>28330.0</v>
      </c>
      <c r="I67" s="40">
        <v>28767.0</v>
      </c>
      <c r="J67" s="37">
        <f t="shared" si="52"/>
        <v>437</v>
      </c>
      <c r="K67" s="52">
        <f t="shared" si="53"/>
        <v>40</v>
      </c>
      <c r="L67" s="48">
        <f t="shared" si="54"/>
        <v>9.153318078</v>
      </c>
      <c r="M67" s="50">
        <v>33420.0</v>
      </c>
      <c r="N67" s="49">
        <f t="shared" si="56"/>
        <v>1336800</v>
      </c>
      <c r="R67" s="80" t="str">
        <f t="shared" si="57"/>
        <v/>
      </c>
    </row>
    <row r="68">
      <c r="A68" s="35">
        <v>46107.0</v>
      </c>
      <c r="B68" s="46" t="s">
        <v>18</v>
      </c>
      <c r="C68" s="37">
        <v>156063.0</v>
      </c>
      <c r="D68" s="37">
        <v>156413.0</v>
      </c>
      <c r="E68" s="53">
        <f t="shared" si="50"/>
        <v>350</v>
      </c>
      <c r="F68" s="47">
        <v>50.0</v>
      </c>
      <c r="G68" s="14">
        <f t="shared" si="51"/>
        <v>14.28571429</v>
      </c>
      <c r="H68" s="40">
        <v>28767.0</v>
      </c>
      <c r="I68" s="40">
        <v>29048.0</v>
      </c>
      <c r="J68" s="37">
        <f t="shared" si="52"/>
        <v>281</v>
      </c>
      <c r="K68" s="52">
        <f t="shared" si="53"/>
        <v>50</v>
      </c>
      <c r="L68" s="48">
        <f t="shared" si="54"/>
        <v>17.79359431</v>
      </c>
      <c r="M68" s="50">
        <v>37890.0</v>
      </c>
      <c r="N68" s="49">
        <f t="shared" si="56"/>
        <v>1894500</v>
      </c>
      <c r="R68" s="80" t="str">
        <f t="shared" si="57"/>
        <v/>
      </c>
    </row>
    <row r="69">
      <c r="A69" s="45">
        <v>46111.0</v>
      </c>
      <c r="B69" s="51" t="s">
        <v>18</v>
      </c>
      <c r="C69" s="37">
        <v>156413.0</v>
      </c>
      <c r="D69" s="52">
        <v>156705.0</v>
      </c>
      <c r="E69" s="53">
        <f t="shared" si="50"/>
        <v>292</v>
      </c>
      <c r="F69" s="47">
        <v>41.0</v>
      </c>
      <c r="G69" s="14">
        <f t="shared" si="51"/>
        <v>14.04109589</v>
      </c>
      <c r="H69" s="40">
        <v>29048.0</v>
      </c>
      <c r="I69" s="40">
        <v>29361.0</v>
      </c>
      <c r="J69" s="37">
        <f t="shared" si="52"/>
        <v>313</v>
      </c>
      <c r="K69" s="52">
        <f t="shared" si="53"/>
        <v>41</v>
      </c>
      <c r="L69" s="48">
        <f t="shared" si="54"/>
        <v>13.09904153</v>
      </c>
      <c r="M69" s="50">
        <v>35440.0</v>
      </c>
      <c r="N69" s="49">
        <f t="shared" si="56"/>
        <v>1453040</v>
      </c>
      <c r="R69" s="80" t="str">
        <f t="shared" si="57"/>
        <v/>
      </c>
    </row>
    <row r="70">
      <c r="A70" s="35"/>
      <c r="B70" s="46" t="s">
        <v>18</v>
      </c>
      <c r="C70" s="13"/>
      <c r="D70" s="55"/>
      <c r="E70" s="25">
        <f t="shared" si="50"/>
        <v>0</v>
      </c>
      <c r="F70" s="47"/>
      <c r="G70" s="56" t="str">
        <f t="shared" si="51"/>
        <v>#DIV/0!</v>
      </c>
      <c r="H70" s="55"/>
      <c r="I70" s="57"/>
      <c r="J70" s="55">
        <f t="shared" si="52"/>
        <v>0</v>
      </c>
      <c r="K70" s="52" t="str">
        <f t="shared" si="53"/>
        <v/>
      </c>
      <c r="L70" s="77" t="str">
        <f t="shared" si="54"/>
        <v>#DIV/0!</v>
      </c>
      <c r="M70" s="50"/>
      <c r="N70" s="59">
        <f t="shared" si="56"/>
        <v>0</v>
      </c>
      <c r="R70" s="80" t="str">
        <f t="shared" si="57"/>
        <v/>
      </c>
    </row>
    <row r="71">
      <c r="A71" s="62"/>
      <c r="B71" s="63"/>
      <c r="C71" s="88"/>
      <c r="D71" s="64" t="s">
        <v>19</v>
      </c>
      <c r="E71" s="64">
        <f t="shared" ref="E71:F71" si="58">sum(E62:E70)</f>
        <v>2498</v>
      </c>
      <c r="F71" s="64">
        <f t="shared" si="58"/>
        <v>290</v>
      </c>
      <c r="G71" s="65" t="str">
        <f>average(G62:G70)</f>
        <v>#DIV/0!</v>
      </c>
      <c r="H71" s="62"/>
      <c r="I71" s="66"/>
      <c r="J71" s="64">
        <f t="shared" ref="J71:K71" si="59">sum(J62:J70)</f>
        <v>2750</v>
      </c>
      <c r="K71" s="64">
        <f t="shared" si="59"/>
        <v>290</v>
      </c>
      <c r="L71" s="65" t="str">
        <f>average(L62:L70)</f>
        <v>#DIV/0!</v>
      </c>
      <c r="M71" s="68"/>
      <c r="N71" s="69">
        <f>sum(N62:N70)</f>
        <v>9197150</v>
      </c>
      <c r="R71" s="80" t="str">
        <f t="shared" si="57"/>
        <v/>
      </c>
    </row>
    <row r="72">
      <c r="A72" s="70">
        <v>46099.0</v>
      </c>
      <c r="B72" s="36" t="s">
        <v>20</v>
      </c>
      <c r="C72" s="37">
        <v>400787.0</v>
      </c>
      <c r="D72" s="37">
        <v>401233.0</v>
      </c>
      <c r="E72" s="38">
        <f t="shared" ref="E72:E78" si="60">D72-C72</f>
        <v>446</v>
      </c>
      <c r="F72" s="39">
        <v>65.0</v>
      </c>
      <c r="G72" s="14">
        <f t="shared" ref="G72:G78" si="61">(F72/E72)*100</f>
        <v>14.57399103</v>
      </c>
      <c r="H72" s="40">
        <v>32831.0</v>
      </c>
      <c r="I72" s="40">
        <v>33265.0</v>
      </c>
      <c r="J72" s="41">
        <f t="shared" ref="J72:J78" si="62">I72-H72</f>
        <v>434</v>
      </c>
      <c r="K72" s="81">
        <f t="shared" ref="K72:K78" si="63">F72</f>
        <v>65</v>
      </c>
      <c r="L72" s="71">
        <f t="shared" ref="L72:L78" si="64">(K72/J72)*100</f>
        <v>14.97695853</v>
      </c>
      <c r="M72" s="72">
        <v>27020.0</v>
      </c>
      <c r="N72" s="44">
        <f t="shared" ref="N72:N78" si="65">F72*M72</f>
        <v>1756300</v>
      </c>
      <c r="R72" s="80" t="str">
        <f t="shared" si="57"/>
        <v/>
      </c>
    </row>
    <row r="73">
      <c r="A73" s="35">
        <v>46102.0</v>
      </c>
      <c r="B73" s="46" t="s">
        <v>20</v>
      </c>
      <c r="C73" s="37">
        <v>401233.0</v>
      </c>
      <c r="D73" s="37">
        <v>401659.0</v>
      </c>
      <c r="E73" s="12">
        <f t="shared" si="60"/>
        <v>426</v>
      </c>
      <c r="F73" s="47">
        <v>59.0</v>
      </c>
      <c r="G73" s="14">
        <f t="shared" si="61"/>
        <v>13.84976526</v>
      </c>
      <c r="H73" s="40">
        <v>33265.0</v>
      </c>
      <c r="I73" s="89">
        <v>33756.0</v>
      </c>
      <c r="J73" s="37">
        <f t="shared" si="62"/>
        <v>491</v>
      </c>
      <c r="K73" s="52">
        <f t="shared" si="63"/>
        <v>59</v>
      </c>
      <c r="L73" s="48">
        <f t="shared" si="64"/>
        <v>12.01629328</v>
      </c>
      <c r="M73" s="50">
        <v>33420.0</v>
      </c>
      <c r="N73" s="49">
        <f t="shared" si="65"/>
        <v>1971780</v>
      </c>
      <c r="R73" s="80" t="str">
        <f t="shared" si="57"/>
        <v/>
      </c>
    </row>
    <row r="74">
      <c r="A74" s="35">
        <v>46106.0</v>
      </c>
      <c r="B74" s="46" t="s">
        <v>20</v>
      </c>
      <c r="C74" s="37">
        <v>401659.0</v>
      </c>
      <c r="D74" s="37">
        <v>402175.0</v>
      </c>
      <c r="E74" s="12">
        <f t="shared" si="60"/>
        <v>516</v>
      </c>
      <c r="F74" s="47">
        <v>60.0</v>
      </c>
      <c r="G74" s="14">
        <f t="shared" si="61"/>
        <v>11.62790698</v>
      </c>
      <c r="H74" s="89">
        <v>33756.0</v>
      </c>
      <c r="I74" s="40">
        <v>34213.0</v>
      </c>
      <c r="J74" s="37">
        <f t="shared" si="62"/>
        <v>457</v>
      </c>
      <c r="K74" s="52">
        <f t="shared" si="63"/>
        <v>60</v>
      </c>
      <c r="L74" s="48">
        <f t="shared" si="64"/>
        <v>13.12910284</v>
      </c>
      <c r="M74" s="50">
        <v>37890.0</v>
      </c>
      <c r="N74" s="49">
        <f t="shared" si="65"/>
        <v>2273400</v>
      </c>
      <c r="R74" s="80" t="str">
        <f t="shared" si="57"/>
        <v/>
      </c>
    </row>
    <row r="75">
      <c r="A75" s="35">
        <v>46109.0</v>
      </c>
      <c r="B75" s="46" t="s">
        <v>20</v>
      </c>
      <c r="C75" s="37">
        <v>402175.0</v>
      </c>
      <c r="D75" s="37">
        <v>402564.0</v>
      </c>
      <c r="E75" s="12">
        <f t="shared" si="60"/>
        <v>389</v>
      </c>
      <c r="F75" s="47">
        <v>47.0</v>
      </c>
      <c r="G75" s="14">
        <f t="shared" si="61"/>
        <v>12.08226221</v>
      </c>
      <c r="H75" s="40">
        <v>34213.0</v>
      </c>
      <c r="I75" s="40">
        <v>34562.0</v>
      </c>
      <c r="J75" s="37">
        <f t="shared" si="62"/>
        <v>349</v>
      </c>
      <c r="K75" s="52">
        <f t="shared" si="63"/>
        <v>47</v>
      </c>
      <c r="L75" s="48">
        <f t="shared" si="64"/>
        <v>13.46704871</v>
      </c>
      <c r="M75" s="50">
        <v>35440.0</v>
      </c>
      <c r="N75" s="49">
        <f t="shared" si="65"/>
        <v>1665680</v>
      </c>
      <c r="R75" s="80" t="str">
        <f t="shared" si="57"/>
        <v/>
      </c>
    </row>
    <row r="76">
      <c r="A76" s="35"/>
      <c r="B76" s="46" t="s">
        <v>20</v>
      </c>
      <c r="C76" s="37"/>
      <c r="D76" s="37"/>
      <c r="E76" s="12">
        <f t="shared" si="60"/>
        <v>0</v>
      </c>
      <c r="F76" s="47"/>
      <c r="G76" s="14" t="str">
        <f t="shared" si="61"/>
        <v>#DIV/0!</v>
      </c>
      <c r="H76" s="40"/>
      <c r="I76" s="40"/>
      <c r="J76" s="37">
        <f t="shared" si="62"/>
        <v>0</v>
      </c>
      <c r="K76" s="52" t="str">
        <f t="shared" si="63"/>
        <v/>
      </c>
      <c r="L76" s="48" t="str">
        <f t="shared" si="64"/>
        <v>#DIV/0!</v>
      </c>
      <c r="M76" s="50"/>
      <c r="N76" s="49">
        <f t="shared" si="65"/>
        <v>0</v>
      </c>
      <c r="R76" s="80" t="str">
        <f t="shared" si="57"/>
        <v/>
      </c>
    </row>
    <row r="77">
      <c r="A77" s="35"/>
      <c r="B77" s="46" t="s">
        <v>20</v>
      </c>
      <c r="C77" s="37"/>
      <c r="D77" s="37"/>
      <c r="E77" s="12">
        <f t="shared" si="60"/>
        <v>0</v>
      </c>
      <c r="F77" s="90"/>
      <c r="G77" s="14" t="str">
        <f t="shared" si="61"/>
        <v>#DIV/0!</v>
      </c>
      <c r="H77" s="37"/>
      <c r="I77" s="93"/>
      <c r="J77" s="37">
        <f t="shared" si="62"/>
        <v>0</v>
      </c>
      <c r="K77" s="52" t="str">
        <f t="shared" si="63"/>
        <v/>
      </c>
      <c r="L77" s="48" t="str">
        <f t="shared" si="64"/>
        <v>#DIV/0!</v>
      </c>
      <c r="M77" s="50"/>
      <c r="N77" s="49">
        <f t="shared" si="65"/>
        <v>0</v>
      </c>
      <c r="R77" s="80" t="str">
        <f t="shared" si="57"/>
        <v/>
      </c>
    </row>
    <row r="78">
      <c r="A78" s="94"/>
      <c r="B78" s="46" t="s">
        <v>20</v>
      </c>
      <c r="C78" s="55"/>
      <c r="D78" s="95"/>
      <c r="E78" s="25">
        <f t="shared" si="60"/>
        <v>0</v>
      </c>
      <c r="F78" s="47"/>
      <c r="G78" s="56" t="str">
        <f t="shared" si="61"/>
        <v>#DIV/0!</v>
      </c>
      <c r="H78" s="55"/>
      <c r="I78" s="85"/>
      <c r="J78" s="55">
        <f t="shared" si="62"/>
        <v>0</v>
      </c>
      <c r="K78" s="52" t="str">
        <f t="shared" si="63"/>
        <v/>
      </c>
      <c r="L78" s="77" t="str">
        <f t="shared" si="64"/>
        <v>#DIV/0!</v>
      </c>
      <c r="M78" s="96"/>
      <c r="N78" s="59">
        <f t="shared" si="65"/>
        <v>0</v>
      </c>
      <c r="R78" s="80" t="str">
        <f t="shared" si="57"/>
        <v/>
      </c>
    </row>
    <row r="79">
      <c r="A79" s="62"/>
      <c r="B79" s="63"/>
      <c r="C79" s="62"/>
      <c r="D79" s="64" t="s">
        <v>19</v>
      </c>
      <c r="E79" s="64">
        <f>sum(E72:E78)</f>
        <v>1777</v>
      </c>
      <c r="F79" s="39"/>
      <c r="G79" s="65" t="str">
        <f>average(G72:G78)</f>
        <v>#DIV/0!</v>
      </c>
      <c r="H79" s="62"/>
      <c r="I79" s="66"/>
      <c r="J79" s="64">
        <f>sum(J72:J78)</f>
        <v>1731</v>
      </c>
      <c r="K79" s="64">
        <f>sum(K73:K78)</f>
        <v>166</v>
      </c>
      <c r="L79" s="65" t="str">
        <f>average(L72:L78)</f>
        <v>#DIV/0!</v>
      </c>
      <c r="M79" s="68"/>
      <c r="N79" s="69">
        <f>sum(N72:N78)</f>
        <v>7667160</v>
      </c>
      <c r="R79" s="80" t="str">
        <f t="shared" si="57"/>
        <v/>
      </c>
    </row>
    <row r="80">
      <c r="A80" s="91">
        <v>46085.0</v>
      </c>
      <c r="B80" s="36" t="s">
        <v>21</v>
      </c>
      <c r="C80" s="37">
        <v>383070.0</v>
      </c>
      <c r="D80" s="37">
        <v>383358.0</v>
      </c>
      <c r="E80" s="38">
        <f t="shared" ref="E80:E86" si="66">D80-C80</f>
        <v>288</v>
      </c>
      <c r="F80" s="39">
        <v>43.0</v>
      </c>
      <c r="G80" s="14">
        <f t="shared" ref="G80:G86" si="67">(F80/E80)*100</f>
        <v>14.93055556</v>
      </c>
      <c r="H80" s="40">
        <v>26394.0</v>
      </c>
      <c r="I80" s="40">
        <v>26619.0</v>
      </c>
      <c r="J80" s="41">
        <f t="shared" ref="J80:J86" si="68">I80-H80</f>
        <v>225</v>
      </c>
      <c r="K80" s="81">
        <f t="shared" ref="K80:K86" si="69">F80</f>
        <v>43</v>
      </c>
      <c r="L80" s="71">
        <f t="shared" ref="L80:L86" si="70">(K80/J80)*100</f>
        <v>19.11111111</v>
      </c>
      <c r="M80" s="72">
        <v>19270.0</v>
      </c>
      <c r="N80" s="44">
        <f t="shared" ref="N80:N86" si="71">F80*M80</f>
        <v>828610</v>
      </c>
      <c r="R80" s="80" t="str">
        <f t="shared" si="57"/>
        <v/>
      </c>
    </row>
    <row r="81">
      <c r="A81" s="92">
        <v>46092.0</v>
      </c>
      <c r="B81" s="46" t="s">
        <v>21</v>
      </c>
      <c r="C81" s="37">
        <v>383358.0</v>
      </c>
      <c r="D81" s="37">
        <v>383792.0</v>
      </c>
      <c r="E81" s="12">
        <f t="shared" si="66"/>
        <v>434</v>
      </c>
      <c r="F81" s="47">
        <v>63.0</v>
      </c>
      <c r="G81" s="14">
        <f t="shared" si="67"/>
        <v>14.51612903</v>
      </c>
      <c r="H81" s="40">
        <v>26619.0</v>
      </c>
      <c r="I81" s="40">
        <v>27068.0</v>
      </c>
      <c r="J81" s="37">
        <f t="shared" si="68"/>
        <v>449</v>
      </c>
      <c r="K81" s="52">
        <f t="shared" si="69"/>
        <v>63</v>
      </c>
      <c r="L81" s="48">
        <f t="shared" si="70"/>
        <v>14.0311804</v>
      </c>
      <c r="M81" s="72">
        <v>30710.0</v>
      </c>
      <c r="N81" s="49">
        <f t="shared" si="71"/>
        <v>1934730</v>
      </c>
      <c r="R81" s="80" t="str">
        <f t="shared" si="57"/>
        <v/>
      </c>
    </row>
    <row r="82">
      <c r="A82" s="92">
        <v>46098.0</v>
      </c>
      <c r="B82" s="46" t="s">
        <v>21</v>
      </c>
      <c r="C82" s="37">
        <v>383792.0</v>
      </c>
      <c r="D82" s="37">
        <v>384376.0</v>
      </c>
      <c r="E82" s="12">
        <f t="shared" si="66"/>
        <v>584</v>
      </c>
      <c r="F82" s="47">
        <v>77.0</v>
      </c>
      <c r="G82" s="14">
        <f t="shared" si="67"/>
        <v>13.18493151</v>
      </c>
      <c r="H82" s="40">
        <v>27068.0</v>
      </c>
      <c r="I82" s="40">
        <v>27640.0</v>
      </c>
      <c r="J82" s="37">
        <f t="shared" si="68"/>
        <v>572</v>
      </c>
      <c r="K82" s="52">
        <f t="shared" si="69"/>
        <v>77</v>
      </c>
      <c r="L82" s="48">
        <f t="shared" si="70"/>
        <v>13.46153846</v>
      </c>
      <c r="M82" s="50">
        <v>27020.0</v>
      </c>
      <c r="N82" s="49">
        <f t="shared" si="71"/>
        <v>2080540</v>
      </c>
      <c r="R82" s="80" t="str">
        <f t="shared" si="57"/>
        <v/>
      </c>
    </row>
    <row r="83">
      <c r="A83" s="92">
        <v>46102.0</v>
      </c>
      <c r="B83" s="46" t="s">
        <v>21</v>
      </c>
      <c r="C83" s="37">
        <v>384376.0</v>
      </c>
      <c r="D83" s="37">
        <v>384960.0</v>
      </c>
      <c r="E83" s="12">
        <f t="shared" si="66"/>
        <v>584</v>
      </c>
      <c r="F83" s="47">
        <v>78.0</v>
      </c>
      <c r="G83" s="14">
        <f t="shared" si="67"/>
        <v>13.35616438</v>
      </c>
      <c r="H83" s="40">
        <v>27640.0</v>
      </c>
      <c r="I83" s="40">
        <v>28231.0</v>
      </c>
      <c r="J83" s="37">
        <f t="shared" si="68"/>
        <v>591</v>
      </c>
      <c r="K83" s="52">
        <f t="shared" si="69"/>
        <v>78</v>
      </c>
      <c r="L83" s="48">
        <f t="shared" si="70"/>
        <v>13.19796954</v>
      </c>
      <c r="M83" s="50">
        <v>33420.0</v>
      </c>
      <c r="N83" s="49">
        <f t="shared" si="71"/>
        <v>2606760</v>
      </c>
      <c r="R83" s="80" t="str">
        <f t="shared" si="57"/>
        <v/>
      </c>
    </row>
    <row r="84">
      <c r="A84" s="35">
        <v>46112.0</v>
      </c>
      <c r="B84" s="46" t="s">
        <v>21</v>
      </c>
      <c r="C84" s="37">
        <v>384960.0</v>
      </c>
      <c r="D84" s="37">
        <v>385578.0</v>
      </c>
      <c r="E84" s="12">
        <f t="shared" si="66"/>
        <v>618</v>
      </c>
      <c r="F84" s="47">
        <v>83.0</v>
      </c>
      <c r="G84" s="14">
        <f t="shared" si="67"/>
        <v>13.43042071</v>
      </c>
      <c r="H84" s="40">
        <v>28231.0</v>
      </c>
      <c r="I84" s="40">
        <v>28864.0</v>
      </c>
      <c r="J84" s="37">
        <f t="shared" si="68"/>
        <v>633</v>
      </c>
      <c r="K84" s="52">
        <f t="shared" si="69"/>
        <v>83</v>
      </c>
      <c r="L84" s="48">
        <f t="shared" si="70"/>
        <v>13.1121643</v>
      </c>
      <c r="M84" s="50">
        <v>35440.0</v>
      </c>
      <c r="N84" s="49">
        <f t="shared" si="71"/>
        <v>2941520</v>
      </c>
      <c r="R84" s="80" t="str">
        <f t="shared" si="57"/>
        <v/>
      </c>
    </row>
    <row r="85">
      <c r="A85" s="92"/>
      <c r="B85" s="46" t="s">
        <v>37</v>
      </c>
      <c r="C85" s="37"/>
      <c r="D85" s="37"/>
      <c r="E85" s="12">
        <f t="shared" si="66"/>
        <v>0</v>
      </c>
      <c r="F85" s="47"/>
      <c r="G85" s="14" t="str">
        <f t="shared" si="67"/>
        <v>#DIV/0!</v>
      </c>
      <c r="H85" s="37"/>
      <c r="I85" s="93"/>
      <c r="J85" s="37">
        <f t="shared" si="68"/>
        <v>0</v>
      </c>
      <c r="K85" s="52" t="str">
        <f t="shared" si="69"/>
        <v/>
      </c>
      <c r="L85" s="48" t="str">
        <f t="shared" si="70"/>
        <v>#DIV/0!</v>
      </c>
      <c r="M85" s="50"/>
      <c r="N85" s="49">
        <f t="shared" si="71"/>
        <v>0</v>
      </c>
      <c r="R85" s="80" t="str">
        <f t="shared" si="57"/>
        <v/>
      </c>
    </row>
    <row r="86">
      <c r="A86" s="94"/>
      <c r="B86" s="46" t="s">
        <v>37</v>
      </c>
      <c r="C86" s="55"/>
      <c r="D86" s="95"/>
      <c r="E86" s="25">
        <f t="shared" si="66"/>
        <v>0</v>
      </c>
      <c r="F86" s="47"/>
      <c r="G86" s="56" t="str">
        <f t="shared" si="67"/>
        <v>#DIV/0!</v>
      </c>
      <c r="H86" s="55"/>
      <c r="I86" s="85"/>
      <c r="J86" s="55">
        <f t="shared" si="68"/>
        <v>0</v>
      </c>
      <c r="K86" s="52" t="str">
        <f t="shared" si="69"/>
        <v/>
      </c>
      <c r="L86" s="77" t="str">
        <f t="shared" si="70"/>
        <v>#DIV/0!</v>
      </c>
      <c r="M86" s="96"/>
      <c r="N86" s="59">
        <f t="shared" si="71"/>
        <v>0</v>
      </c>
      <c r="R86" s="80" t="str">
        <f t="shared" si="57"/>
        <v/>
      </c>
    </row>
    <row r="87">
      <c r="A87" s="62"/>
      <c r="B87" s="63"/>
      <c r="C87" s="62"/>
      <c r="D87" s="64" t="s">
        <v>19</v>
      </c>
      <c r="E87" s="64">
        <f>sum(E80:E86)</f>
        <v>2508</v>
      </c>
      <c r="F87" s="39"/>
      <c r="G87" s="65" t="str">
        <f>average(G80:G86)</f>
        <v>#DIV/0!</v>
      </c>
      <c r="H87" s="62"/>
      <c r="I87" s="66"/>
      <c r="J87" s="64">
        <f t="shared" ref="J87:K87" si="72">sum(J80:J86)</f>
        <v>2470</v>
      </c>
      <c r="K87" s="64">
        <f t="shared" si="72"/>
        <v>344</v>
      </c>
      <c r="L87" s="65" t="str">
        <f>average(L80:L86)</f>
        <v>#DIV/0!</v>
      </c>
      <c r="M87" s="68"/>
      <c r="N87" s="69">
        <f>sum(N80:N86)</f>
        <v>10392160</v>
      </c>
      <c r="R87" s="80" t="str">
        <f t="shared" si="57"/>
        <v/>
      </c>
    </row>
    <row r="88">
      <c r="A88" s="35">
        <v>46083.0</v>
      </c>
      <c r="B88" s="87" t="s">
        <v>22</v>
      </c>
      <c r="C88" s="37">
        <v>215810.0</v>
      </c>
      <c r="D88" s="37">
        <v>216442.0</v>
      </c>
      <c r="E88" s="38">
        <f t="shared" ref="E88:E95" si="73">D88-C88</f>
        <v>632</v>
      </c>
      <c r="F88" s="39">
        <v>73.0</v>
      </c>
      <c r="G88" s="14">
        <f t="shared" ref="G88:G95" si="74">(F88/E88)*100</f>
        <v>11.55063291</v>
      </c>
      <c r="H88" s="40">
        <v>25068.0</v>
      </c>
      <c r="I88" s="40">
        <v>25631.0</v>
      </c>
      <c r="J88" s="41">
        <f t="shared" ref="J88:J95" si="75">I88-H88</f>
        <v>563</v>
      </c>
      <c r="K88" s="81">
        <f t="shared" ref="K88:K95" si="76">F88</f>
        <v>73</v>
      </c>
      <c r="L88" s="71">
        <f t="shared" ref="L88:L95" si="77">(K88/J88)*100</f>
        <v>12.96625222</v>
      </c>
      <c r="M88" s="72">
        <v>19270.0</v>
      </c>
      <c r="N88" s="44">
        <f t="shared" ref="N88:N95" si="78">F88*M88</f>
        <v>1406710</v>
      </c>
      <c r="R88" s="80" t="str">
        <f t="shared" si="57"/>
        <v/>
      </c>
    </row>
    <row r="89">
      <c r="A89" s="35">
        <v>46086.0</v>
      </c>
      <c r="B89" s="46" t="s">
        <v>22</v>
      </c>
      <c r="C89" s="37">
        <v>216442.0</v>
      </c>
      <c r="D89" s="37">
        <v>216818.0</v>
      </c>
      <c r="E89" s="12">
        <f t="shared" si="73"/>
        <v>376</v>
      </c>
      <c r="F89" s="47">
        <v>48.0</v>
      </c>
      <c r="G89" s="14">
        <f t="shared" si="74"/>
        <v>12.76595745</v>
      </c>
      <c r="H89" s="40">
        <v>25631.0</v>
      </c>
      <c r="I89" s="40">
        <v>26039.0</v>
      </c>
      <c r="J89" s="37">
        <f t="shared" si="75"/>
        <v>408</v>
      </c>
      <c r="K89" s="52">
        <f t="shared" si="76"/>
        <v>48</v>
      </c>
      <c r="L89" s="48">
        <f t="shared" si="77"/>
        <v>11.76470588</v>
      </c>
      <c r="M89" s="50">
        <v>19270.0</v>
      </c>
      <c r="N89" s="49">
        <f t="shared" si="78"/>
        <v>924960</v>
      </c>
      <c r="R89" s="80" t="str">
        <f t="shared" si="57"/>
        <v/>
      </c>
    </row>
    <row r="90">
      <c r="A90" s="35">
        <v>46088.0</v>
      </c>
      <c r="B90" s="46" t="s">
        <v>22</v>
      </c>
      <c r="C90" s="37">
        <v>216818.0</v>
      </c>
      <c r="D90" s="37">
        <v>217121.0</v>
      </c>
      <c r="E90" s="12">
        <f t="shared" si="73"/>
        <v>303</v>
      </c>
      <c r="F90" s="47">
        <v>34.0</v>
      </c>
      <c r="G90" s="14">
        <f t="shared" si="74"/>
        <v>11.22112211</v>
      </c>
      <c r="H90" s="40">
        <v>26039.0</v>
      </c>
      <c r="I90" s="40">
        <v>26230.0</v>
      </c>
      <c r="J90" s="37">
        <f t="shared" si="75"/>
        <v>191</v>
      </c>
      <c r="K90" s="52">
        <f t="shared" si="76"/>
        <v>34</v>
      </c>
      <c r="L90" s="48">
        <f t="shared" si="77"/>
        <v>17.80104712</v>
      </c>
      <c r="M90" s="50">
        <v>23030.0</v>
      </c>
      <c r="N90" s="49">
        <f t="shared" si="78"/>
        <v>783020</v>
      </c>
      <c r="R90" s="80" t="str">
        <f t="shared" si="57"/>
        <v/>
      </c>
    </row>
    <row r="91">
      <c r="A91" s="35">
        <v>46093.0</v>
      </c>
      <c r="B91" s="46" t="s">
        <v>22</v>
      </c>
      <c r="C91" s="37">
        <v>217121.0</v>
      </c>
      <c r="D91" s="37">
        <v>217487.0</v>
      </c>
      <c r="E91" s="12">
        <f t="shared" si="73"/>
        <v>366</v>
      </c>
      <c r="F91" s="47">
        <v>46.0</v>
      </c>
      <c r="G91" s="14">
        <f t="shared" si="74"/>
        <v>12.56830601</v>
      </c>
      <c r="H91" s="40">
        <v>26230.0</v>
      </c>
      <c r="I91" s="40">
        <v>26602.0</v>
      </c>
      <c r="J91" s="37">
        <f t="shared" si="75"/>
        <v>372</v>
      </c>
      <c r="K91" s="52">
        <f t="shared" si="76"/>
        <v>46</v>
      </c>
      <c r="L91" s="48">
        <f t="shared" si="77"/>
        <v>12.3655914</v>
      </c>
      <c r="M91" s="50">
        <v>26470.0</v>
      </c>
      <c r="N91" s="49">
        <f t="shared" si="78"/>
        <v>1217620</v>
      </c>
      <c r="R91" s="80" t="str">
        <f t="shared" si="57"/>
        <v/>
      </c>
    </row>
    <row r="92">
      <c r="A92" s="35">
        <v>46099.0</v>
      </c>
      <c r="B92" s="46" t="s">
        <v>22</v>
      </c>
      <c r="C92" s="37">
        <v>217487.0</v>
      </c>
      <c r="D92" s="37">
        <v>218087.0</v>
      </c>
      <c r="E92" s="12">
        <f t="shared" si="73"/>
        <v>600</v>
      </c>
      <c r="F92" s="47">
        <v>71.0</v>
      </c>
      <c r="G92" s="14">
        <f t="shared" si="74"/>
        <v>11.83333333</v>
      </c>
      <c r="H92" s="40">
        <v>26602.0</v>
      </c>
      <c r="I92" s="40">
        <v>27235.0</v>
      </c>
      <c r="J92" s="37">
        <f t="shared" si="75"/>
        <v>633</v>
      </c>
      <c r="K92" s="52">
        <f t="shared" si="76"/>
        <v>71</v>
      </c>
      <c r="L92" s="48">
        <f t="shared" si="77"/>
        <v>11.2164297</v>
      </c>
      <c r="M92" s="50">
        <v>27020.0</v>
      </c>
      <c r="N92" s="49">
        <f t="shared" si="78"/>
        <v>1918420</v>
      </c>
      <c r="R92" s="80" t="str">
        <f t="shared" si="57"/>
        <v/>
      </c>
    </row>
    <row r="93">
      <c r="A93" s="92">
        <v>46105.0</v>
      </c>
      <c r="B93" s="46" t="s">
        <v>22</v>
      </c>
      <c r="C93" s="37">
        <v>218087.0</v>
      </c>
      <c r="D93" s="37">
        <v>218496.0</v>
      </c>
      <c r="E93" s="12">
        <f t="shared" si="73"/>
        <v>409</v>
      </c>
      <c r="F93" s="47">
        <v>47.0</v>
      </c>
      <c r="G93" s="14">
        <f t="shared" si="74"/>
        <v>11.49144254</v>
      </c>
      <c r="H93" s="40">
        <v>27235.0</v>
      </c>
      <c r="I93" s="40">
        <v>27575.0</v>
      </c>
      <c r="J93" s="37">
        <f t="shared" si="75"/>
        <v>340</v>
      </c>
      <c r="K93" s="52">
        <f t="shared" si="76"/>
        <v>47</v>
      </c>
      <c r="L93" s="48">
        <f t="shared" si="77"/>
        <v>13.82352941</v>
      </c>
      <c r="M93" s="50">
        <v>33420.0</v>
      </c>
      <c r="N93" s="49">
        <f t="shared" si="78"/>
        <v>1570740</v>
      </c>
      <c r="R93" s="80" t="str">
        <f t="shared" si="57"/>
        <v/>
      </c>
    </row>
    <row r="94">
      <c r="A94" s="97">
        <v>46112.0</v>
      </c>
      <c r="B94" s="46" t="s">
        <v>22</v>
      </c>
      <c r="C94" s="37">
        <v>218496.0</v>
      </c>
      <c r="D94" s="55">
        <v>219030.0</v>
      </c>
      <c r="E94" s="25">
        <f t="shared" si="73"/>
        <v>534</v>
      </c>
      <c r="F94" s="47">
        <v>67.0</v>
      </c>
      <c r="G94" s="56">
        <f t="shared" si="74"/>
        <v>12.54681648</v>
      </c>
      <c r="H94" s="40">
        <v>27575.0</v>
      </c>
      <c r="I94" s="57">
        <v>28112.0</v>
      </c>
      <c r="J94" s="55">
        <f t="shared" si="75"/>
        <v>537</v>
      </c>
      <c r="K94" s="52">
        <f t="shared" si="76"/>
        <v>67</v>
      </c>
      <c r="L94" s="77">
        <f t="shared" si="77"/>
        <v>12.47672253</v>
      </c>
      <c r="M94" s="58">
        <v>35440.0</v>
      </c>
      <c r="N94" s="59">
        <f t="shared" si="78"/>
        <v>2374480</v>
      </c>
      <c r="R94" s="80" t="str">
        <f t="shared" si="57"/>
        <v/>
      </c>
    </row>
    <row r="95">
      <c r="A95" s="97"/>
      <c r="B95" s="46" t="s">
        <v>22</v>
      </c>
      <c r="C95" s="55"/>
      <c r="D95" s="55"/>
      <c r="E95" s="25">
        <f t="shared" si="73"/>
        <v>0</v>
      </c>
      <c r="F95" s="47"/>
      <c r="G95" s="56" t="str">
        <f t="shared" si="74"/>
        <v>#DIV/0!</v>
      </c>
      <c r="H95" s="57"/>
      <c r="I95" s="57"/>
      <c r="J95" s="55">
        <f t="shared" si="75"/>
        <v>0</v>
      </c>
      <c r="K95" s="52" t="str">
        <f t="shared" si="76"/>
        <v/>
      </c>
      <c r="L95" s="77" t="str">
        <f t="shared" si="77"/>
        <v>#DIV/0!</v>
      </c>
      <c r="M95" s="58"/>
      <c r="N95" s="59">
        <f t="shared" si="78"/>
        <v>0</v>
      </c>
      <c r="R95" s="80" t="str">
        <f t="shared" si="57"/>
        <v/>
      </c>
    </row>
    <row r="96">
      <c r="A96" s="62"/>
      <c r="B96" s="63"/>
      <c r="C96" s="62"/>
      <c r="D96" s="64" t="s">
        <v>19</v>
      </c>
      <c r="E96" s="64">
        <f>sum(E88:E94)</f>
        <v>3220</v>
      </c>
      <c r="F96" s="64">
        <f>sum(F87:F94)</f>
        <v>386</v>
      </c>
      <c r="G96" s="65">
        <f>average(G88:G94)</f>
        <v>11.99680155</v>
      </c>
      <c r="H96" s="62"/>
      <c r="I96" s="66"/>
      <c r="J96" s="64">
        <f t="shared" ref="J96:K96" si="79">sum(J88:J94)</f>
        <v>3044</v>
      </c>
      <c r="K96" s="64">
        <f t="shared" si="79"/>
        <v>386</v>
      </c>
      <c r="L96" s="65">
        <f>average(L88:L94)</f>
        <v>13.20203975</v>
      </c>
      <c r="M96" s="68"/>
      <c r="N96" s="69">
        <f>sum(N88:N95)</f>
        <v>10195950</v>
      </c>
      <c r="R96" s="80" t="str">
        <f t="shared" si="57"/>
        <v/>
      </c>
    </row>
    <row r="97">
      <c r="A97" s="98">
        <v>46083.0</v>
      </c>
      <c r="B97" s="99" t="s">
        <v>38</v>
      </c>
      <c r="C97" s="37">
        <v>172311.0</v>
      </c>
      <c r="D97" s="37">
        <v>172756.0</v>
      </c>
      <c r="E97" s="38">
        <f t="shared" ref="E97:E102" si="80">D97-C97</f>
        <v>445</v>
      </c>
      <c r="F97" s="39">
        <v>60.0</v>
      </c>
      <c r="G97" s="14">
        <f t="shared" ref="G97:G102" si="81">(F97/E97)*100</f>
        <v>13.48314607</v>
      </c>
      <c r="H97" s="40"/>
      <c r="I97" s="40">
        <v>28145.0</v>
      </c>
      <c r="J97" s="41">
        <f t="shared" ref="J97:J102" si="82">I97-H97</f>
        <v>28145</v>
      </c>
      <c r="K97" s="81">
        <f t="shared" ref="K97:K102" si="83">F97</f>
        <v>60</v>
      </c>
      <c r="L97" s="71">
        <f t="shared" ref="L97:L102" si="84">(K97/J97)*100</f>
        <v>0.2131817374</v>
      </c>
      <c r="M97" s="72">
        <v>19270.0</v>
      </c>
      <c r="N97" s="44">
        <f t="shared" ref="N97:N100" si="85">F97*M97</f>
        <v>1156200</v>
      </c>
      <c r="R97" s="80" t="str">
        <f t="shared" si="57"/>
        <v/>
      </c>
    </row>
    <row r="98">
      <c r="A98" s="101">
        <v>46087.0</v>
      </c>
      <c r="B98" s="46" t="s">
        <v>38</v>
      </c>
      <c r="C98" s="37">
        <v>172756.0</v>
      </c>
      <c r="D98" s="37">
        <v>173325.0</v>
      </c>
      <c r="E98" s="12">
        <f t="shared" si="80"/>
        <v>569</v>
      </c>
      <c r="F98" s="47">
        <v>70.0</v>
      </c>
      <c r="G98" s="14">
        <f t="shared" si="81"/>
        <v>12.30228471</v>
      </c>
      <c r="H98" s="40">
        <v>28145.0</v>
      </c>
      <c r="I98" s="40">
        <v>28718.0</v>
      </c>
      <c r="J98" s="37">
        <f t="shared" si="82"/>
        <v>573</v>
      </c>
      <c r="K98" s="52">
        <f t="shared" si="83"/>
        <v>70</v>
      </c>
      <c r="L98" s="48">
        <f t="shared" si="84"/>
        <v>12.21640489</v>
      </c>
      <c r="M98" s="72">
        <v>23030.0</v>
      </c>
      <c r="N98" s="49">
        <f t="shared" si="85"/>
        <v>1612100</v>
      </c>
      <c r="R98" s="80" t="str">
        <f t="shared" si="57"/>
        <v/>
      </c>
    </row>
    <row r="99">
      <c r="A99" s="101">
        <v>46094.0</v>
      </c>
      <c r="B99" s="46" t="s">
        <v>38</v>
      </c>
      <c r="C99" s="37">
        <v>173325.0</v>
      </c>
      <c r="D99" s="37">
        <v>173897.0</v>
      </c>
      <c r="E99" s="12">
        <f t="shared" si="80"/>
        <v>572</v>
      </c>
      <c r="F99" s="47">
        <v>63.0</v>
      </c>
      <c r="G99" s="14">
        <f t="shared" si="81"/>
        <v>11.01398601</v>
      </c>
      <c r="H99" s="40">
        <v>28718.0</v>
      </c>
      <c r="I99" s="40">
        <v>29281.0</v>
      </c>
      <c r="J99" s="37">
        <f t="shared" si="82"/>
        <v>563</v>
      </c>
      <c r="K99" s="52">
        <f t="shared" si="83"/>
        <v>63</v>
      </c>
      <c r="L99" s="48">
        <f t="shared" si="84"/>
        <v>11.19005329</v>
      </c>
      <c r="M99" s="50">
        <v>27020.0</v>
      </c>
      <c r="N99" s="49">
        <f t="shared" si="85"/>
        <v>1702260</v>
      </c>
      <c r="R99" s="80" t="str">
        <f t="shared" si="57"/>
        <v/>
      </c>
    </row>
    <row r="100">
      <c r="A100" s="101">
        <v>46104.0</v>
      </c>
      <c r="B100" s="46" t="s">
        <v>38</v>
      </c>
      <c r="C100" s="37">
        <v>173897.0</v>
      </c>
      <c r="D100" s="37">
        <v>174431.0</v>
      </c>
      <c r="E100" s="12">
        <f t="shared" si="80"/>
        <v>534</v>
      </c>
      <c r="F100" s="47">
        <v>74.0</v>
      </c>
      <c r="G100" s="14">
        <f t="shared" si="81"/>
        <v>13.8576779</v>
      </c>
      <c r="H100" s="40">
        <v>29281.0</v>
      </c>
      <c r="I100" s="40">
        <v>29811.0</v>
      </c>
      <c r="J100" s="37">
        <f t="shared" si="82"/>
        <v>530</v>
      </c>
      <c r="K100" s="52">
        <f t="shared" si="83"/>
        <v>74</v>
      </c>
      <c r="L100" s="48">
        <f t="shared" si="84"/>
        <v>13.96226415</v>
      </c>
      <c r="M100" s="50">
        <v>33420.0</v>
      </c>
      <c r="N100" s="49">
        <f t="shared" si="85"/>
        <v>2473080</v>
      </c>
      <c r="R100" s="80" t="str">
        <f t="shared" si="57"/>
        <v/>
      </c>
    </row>
    <row r="101">
      <c r="A101" s="101">
        <v>46108.0</v>
      </c>
      <c r="B101" s="46" t="s">
        <v>38</v>
      </c>
      <c r="C101" s="37">
        <v>174431.0</v>
      </c>
      <c r="D101" s="100">
        <v>174952.0</v>
      </c>
      <c r="E101" s="12">
        <f t="shared" si="80"/>
        <v>521</v>
      </c>
      <c r="F101" s="47">
        <v>57.0</v>
      </c>
      <c r="G101" s="14">
        <f t="shared" si="81"/>
        <v>10.94049904</v>
      </c>
      <c r="H101" s="40">
        <v>29811.0</v>
      </c>
      <c r="I101" s="40">
        <v>30330.0</v>
      </c>
      <c r="J101" s="37">
        <f t="shared" si="82"/>
        <v>519</v>
      </c>
      <c r="K101" s="52">
        <f t="shared" si="83"/>
        <v>57</v>
      </c>
      <c r="L101" s="48">
        <f t="shared" si="84"/>
        <v>10.98265896</v>
      </c>
      <c r="M101" s="50">
        <v>33420.0</v>
      </c>
      <c r="N101" s="49">
        <v>2020000.0</v>
      </c>
      <c r="R101" s="80" t="str">
        <f t="shared" si="57"/>
        <v/>
      </c>
    </row>
    <row r="102">
      <c r="A102" s="102"/>
      <c r="B102" s="103" t="s">
        <v>38</v>
      </c>
      <c r="C102" s="104"/>
      <c r="D102" s="105"/>
      <c r="E102" s="12">
        <f t="shared" si="80"/>
        <v>0</v>
      </c>
      <c r="F102" s="47"/>
      <c r="G102" s="106" t="str">
        <f t="shared" si="81"/>
        <v>#DIV/0!</v>
      </c>
      <c r="H102" s="107"/>
      <c r="I102" s="108"/>
      <c r="J102" s="107">
        <f t="shared" si="82"/>
        <v>0</v>
      </c>
      <c r="K102" s="52" t="str">
        <f t="shared" si="83"/>
        <v/>
      </c>
      <c r="L102" s="109" t="str">
        <f t="shared" si="84"/>
        <v>#DIV/0!</v>
      </c>
      <c r="M102" s="110"/>
      <c r="N102" s="111">
        <f>F102*M102</f>
        <v>0</v>
      </c>
      <c r="R102" s="80" t="str">
        <f t="shared" si="57"/>
        <v/>
      </c>
    </row>
    <row r="103">
      <c r="A103" s="112"/>
      <c r="B103" s="113"/>
      <c r="C103" s="114"/>
      <c r="D103" s="115" t="s">
        <v>19</v>
      </c>
      <c r="E103" s="116">
        <f>SUM(E97:E102)</f>
        <v>2641</v>
      </c>
      <c r="F103" s="64">
        <f>sum(F94:F102)</f>
        <v>777</v>
      </c>
      <c r="G103" s="117" t="str">
        <f>average(G97:G102)</f>
        <v>#DIV/0!</v>
      </c>
      <c r="H103" s="114"/>
      <c r="I103" s="118"/>
      <c r="J103" s="115">
        <f t="shared" ref="J103:K103" si="86">sum(J97:J102)</f>
        <v>30330</v>
      </c>
      <c r="K103" s="115">
        <f t="shared" si="86"/>
        <v>324</v>
      </c>
      <c r="L103" s="119" t="str">
        <f>average(L97:L102)</f>
        <v>#DIV/0!</v>
      </c>
      <c r="M103" s="120"/>
      <c r="N103" s="121">
        <f>sum(N97:N102)</f>
        <v>8963640</v>
      </c>
      <c r="R103" s="80" t="str">
        <f t="shared" si="57"/>
        <v/>
      </c>
    </row>
    <row r="104">
      <c r="A104" s="122">
        <v>46084.0</v>
      </c>
      <c r="B104" s="123" t="s">
        <v>39</v>
      </c>
      <c r="C104" s="37">
        <v>125010.0</v>
      </c>
      <c r="D104" s="37">
        <v>125797.0</v>
      </c>
      <c r="E104" s="38">
        <f t="shared" ref="E104:E110" si="87">D104-C104</f>
        <v>787</v>
      </c>
      <c r="F104" s="39">
        <v>83.0</v>
      </c>
      <c r="G104" s="124">
        <f t="shared" ref="G104:G110" si="88">(F104/E104)*100</f>
        <v>10.54637865</v>
      </c>
      <c r="H104" s="37">
        <v>29355.0</v>
      </c>
      <c r="I104" s="37">
        <v>30221.0</v>
      </c>
      <c r="J104" s="89">
        <f t="shared" ref="J104:J110" si="89">I104-H104</f>
        <v>866</v>
      </c>
      <c r="K104" s="81">
        <f t="shared" ref="K104:K110" si="90">F104</f>
        <v>83</v>
      </c>
      <c r="L104" s="125">
        <f t="shared" ref="L104:L110" si="91">(K104/J104)*100</f>
        <v>9.584295612</v>
      </c>
      <c r="M104" s="126">
        <v>19270.0</v>
      </c>
      <c r="N104" s="49">
        <f t="shared" ref="N104:N110" si="92">F104*M104</f>
        <v>1599410</v>
      </c>
      <c r="R104" s="80" t="str">
        <f t="shared" si="57"/>
        <v/>
      </c>
    </row>
    <row r="105">
      <c r="A105" s="127">
        <v>46088.0</v>
      </c>
      <c r="B105" s="46" t="s">
        <v>39</v>
      </c>
      <c r="C105" s="37">
        <v>125797.0</v>
      </c>
      <c r="D105" s="37">
        <v>126391.0</v>
      </c>
      <c r="E105" s="12">
        <f t="shared" si="87"/>
        <v>594</v>
      </c>
      <c r="F105" s="47">
        <v>60.0</v>
      </c>
      <c r="G105" s="14">
        <f t="shared" si="88"/>
        <v>10.1010101</v>
      </c>
      <c r="H105" s="37">
        <v>30221.0</v>
      </c>
      <c r="I105" s="13">
        <v>30657.0</v>
      </c>
      <c r="J105" s="37">
        <f t="shared" si="89"/>
        <v>436</v>
      </c>
      <c r="K105" s="81">
        <f t="shared" si="90"/>
        <v>60</v>
      </c>
      <c r="L105" s="48">
        <f t="shared" si="91"/>
        <v>13.76146789</v>
      </c>
      <c r="M105" s="50">
        <v>23030.0</v>
      </c>
      <c r="N105" s="49">
        <f t="shared" si="92"/>
        <v>1381800</v>
      </c>
      <c r="R105" s="80" t="str">
        <f t="shared" si="57"/>
        <v/>
      </c>
    </row>
    <row r="106">
      <c r="A106" s="127">
        <v>46093.0</v>
      </c>
      <c r="B106" s="46" t="s">
        <v>39</v>
      </c>
      <c r="C106" s="37">
        <v>126391.0</v>
      </c>
      <c r="D106" s="37">
        <v>126769.0</v>
      </c>
      <c r="E106" s="12">
        <f t="shared" si="87"/>
        <v>378</v>
      </c>
      <c r="F106" s="47">
        <v>43.0</v>
      </c>
      <c r="G106" s="14">
        <f t="shared" si="88"/>
        <v>11.37566138</v>
      </c>
      <c r="H106" s="13">
        <v>30657.0</v>
      </c>
      <c r="I106" s="37">
        <v>31062.0</v>
      </c>
      <c r="J106" s="37">
        <f t="shared" si="89"/>
        <v>405</v>
      </c>
      <c r="K106" s="81">
        <f t="shared" si="90"/>
        <v>43</v>
      </c>
      <c r="L106" s="48">
        <f t="shared" si="91"/>
        <v>10.61728395</v>
      </c>
      <c r="M106" s="50">
        <v>26470.0</v>
      </c>
      <c r="N106" s="49">
        <f t="shared" si="92"/>
        <v>1138210</v>
      </c>
      <c r="P106" s="82"/>
      <c r="R106" s="80" t="str">
        <f t="shared" si="57"/>
        <v/>
      </c>
    </row>
    <row r="107">
      <c r="A107" s="127">
        <v>46098.0</v>
      </c>
      <c r="B107" s="46" t="s">
        <v>39</v>
      </c>
      <c r="C107" s="37">
        <v>126769.0</v>
      </c>
      <c r="D107" s="37">
        <v>127133.0</v>
      </c>
      <c r="E107" s="12">
        <f t="shared" si="87"/>
        <v>364</v>
      </c>
      <c r="F107" s="47">
        <v>38.0</v>
      </c>
      <c r="G107" s="14">
        <f t="shared" si="88"/>
        <v>10.43956044</v>
      </c>
      <c r="H107" s="37">
        <v>31062.0</v>
      </c>
      <c r="I107" s="37">
        <v>31367.0</v>
      </c>
      <c r="J107" s="37">
        <f t="shared" si="89"/>
        <v>305</v>
      </c>
      <c r="K107" s="52">
        <f t="shared" si="90"/>
        <v>38</v>
      </c>
      <c r="L107" s="48">
        <f t="shared" si="91"/>
        <v>12.45901639</v>
      </c>
      <c r="M107" s="50">
        <v>27020.0</v>
      </c>
      <c r="N107" s="49">
        <f t="shared" si="92"/>
        <v>1026760</v>
      </c>
      <c r="R107" s="80" t="str">
        <f t="shared" si="57"/>
        <v/>
      </c>
    </row>
    <row r="108">
      <c r="A108" s="35">
        <v>46101.0</v>
      </c>
      <c r="B108" s="46" t="s">
        <v>39</v>
      </c>
      <c r="C108" s="37">
        <v>127133.0</v>
      </c>
      <c r="D108" s="37">
        <v>127649.0</v>
      </c>
      <c r="E108" s="12">
        <f t="shared" si="87"/>
        <v>516</v>
      </c>
      <c r="F108" s="47">
        <v>61.0</v>
      </c>
      <c r="G108" s="14">
        <f t="shared" si="88"/>
        <v>11.82170543</v>
      </c>
      <c r="H108" s="37">
        <v>31367.0</v>
      </c>
      <c r="I108" s="40">
        <v>31924.0</v>
      </c>
      <c r="J108" s="37">
        <f t="shared" si="89"/>
        <v>557</v>
      </c>
      <c r="K108" s="52">
        <f t="shared" si="90"/>
        <v>61</v>
      </c>
      <c r="L108" s="48">
        <f t="shared" si="91"/>
        <v>10.95152603</v>
      </c>
      <c r="M108" s="50">
        <v>33420.0</v>
      </c>
      <c r="N108" s="49">
        <f t="shared" si="92"/>
        <v>2038620</v>
      </c>
      <c r="R108" s="80" t="str">
        <f t="shared" si="57"/>
        <v/>
      </c>
    </row>
    <row r="109">
      <c r="A109" s="35">
        <v>46107.0</v>
      </c>
      <c r="B109" s="46" t="s">
        <v>39</v>
      </c>
      <c r="C109" s="37">
        <v>127649.0</v>
      </c>
      <c r="D109" s="37">
        <v>128164.0</v>
      </c>
      <c r="E109" s="12">
        <f t="shared" si="87"/>
        <v>515</v>
      </c>
      <c r="F109" s="47">
        <v>57.0</v>
      </c>
      <c r="G109" s="14">
        <f t="shared" si="88"/>
        <v>11.06796117</v>
      </c>
      <c r="H109" s="40">
        <v>31924.0</v>
      </c>
      <c r="I109" s="40">
        <v>32414.0</v>
      </c>
      <c r="J109" s="37">
        <f t="shared" si="89"/>
        <v>490</v>
      </c>
      <c r="K109" s="52">
        <f t="shared" si="90"/>
        <v>57</v>
      </c>
      <c r="L109" s="48">
        <f t="shared" si="91"/>
        <v>11.63265306</v>
      </c>
      <c r="M109" s="50">
        <v>37890.0</v>
      </c>
      <c r="N109" s="49">
        <f t="shared" si="92"/>
        <v>2159730</v>
      </c>
      <c r="R109" s="80" t="str">
        <f t="shared" si="57"/>
        <v/>
      </c>
    </row>
    <row r="110">
      <c r="A110" s="35">
        <v>46112.0</v>
      </c>
      <c r="B110" s="46" t="s">
        <v>39</v>
      </c>
      <c r="C110" s="37">
        <v>128164.0</v>
      </c>
      <c r="D110" s="55">
        <v>128551.0</v>
      </c>
      <c r="E110" s="25">
        <f t="shared" si="87"/>
        <v>387</v>
      </c>
      <c r="F110" s="47">
        <v>48.0</v>
      </c>
      <c r="G110" s="56">
        <f t="shared" si="88"/>
        <v>12.40310078</v>
      </c>
      <c r="H110" s="40">
        <v>32414.0</v>
      </c>
      <c r="I110" s="57">
        <v>32876.0</v>
      </c>
      <c r="J110" s="55">
        <f t="shared" si="89"/>
        <v>462</v>
      </c>
      <c r="K110" s="52">
        <f t="shared" si="90"/>
        <v>48</v>
      </c>
      <c r="L110" s="77">
        <f t="shared" si="91"/>
        <v>10.38961039</v>
      </c>
      <c r="M110" s="58">
        <v>35440.0</v>
      </c>
      <c r="N110" s="49">
        <f t="shared" si="92"/>
        <v>1701120</v>
      </c>
      <c r="R110" s="80" t="str">
        <f t="shared" si="57"/>
        <v/>
      </c>
    </row>
    <row r="111">
      <c r="A111" s="62"/>
      <c r="B111" s="63"/>
      <c r="C111" s="62"/>
      <c r="D111" s="64" t="s">
        <v>19</v>
      </c>
      <c r="E111" s="64">
        <f>sum(E97:E110)</f>
        <v>8823</v>
      </c>
      <c r="F111" s="64">
        <f>sum(F103:F110)</f>
        <v>1167</v>
      </c>
      <c r="G111" s="65" t="str">
        <f>average(G97:G110)</f>
        <v>#DIV/0!</v>
      </c>
      <c r="H111" s="62"/>
      <c r="I111" s="66"/>
      <c r="J111" s="64">
        <f t="shared" ref="J111:K111" si="93">sum(J97:J110)</f>
        <v>64181</v>
      </c>
      <c r="K111" s="64">
        <f t="shared" si="93"/>
        <v>1038</v>
      </c>
      <c r="L111" s="65" t="str">
        <f>average(L97:L110)</f>
        <v>#DIV/0!</v>
      </c>
      <c r="M111" s="68"/>
      <c r="N111" s="69">
        <f>sum(N104:N110)</f>
        <v>11045650</v>
      </c>
      <c r="R111" s="80" t="str">
        <f t="shared" si="57"/>
        <v/>
      </c>
    </row>
    <row r="112">
      <c r="A112" s="70">
        <v>46084.0</v>
      </c>
      <c r="B112" s="99" t="s">
        <v>40</v>
      </c>
      <c r="C112" s="13">
        <v>120809.0</v>
      </c>
      <c r="D112" s="13">
        <v>121505.0</v>
      </c>
      <c r="E112" s="38">
        <f t="shared" ref="E112:E118" si="94">D112-C112</f>
        <v>696</v>
      </c>
      <c r="F112" s="39">
        <v>79.0</v>
      </c>
      <c r="G112" s="14">
        <f t="shared" ref="G112:G118" si="95">(F112/E112)*100</f>
        <v>11.35057471</v>
      </c>
      <c r="H112" s="40">
        <v>118875.0</v>
      </c>
      <c r="I112" s="40">
        <v>119560.0</v>
      </c>
      <c r="J112" s="41">
        <f t="shared" ref="J112:J118" si="96">I112-H112</f>
        <v>685</v>
      </c>
      <c r="K112" s="81">
        <f t="shared" ref="K112:K118" si="97">F112</f>
        <v>79</v>
      </c>
      <c r="L112" s="71">
        <f t="shared" ref="L112:L118" si="98">(K112/J112)*100</f>
        <v>11.53284672</v>
      </c>
      <c r="M112" s="72">
        <v>19270.0</v>
      </c>
      <c r="N112" s="44">
        <f t="shared" ref="N112:N118" si="99">F112*M112</f>
        <v>1522330</v>
      </c>
      <c r="R112" s="80" t="str">
        <f t="shared" si="57"/>
        <v/>
      </c>
    </row>
    <row r="113">
      <c r="A113" s="45">
        <v>46088.0</v>
      </c>
      <c r="B113" s="51" t="s">
        <v>40</v>
      </c>
      <c r="C113" s="13">
        <v>121505.0</v>
      </c>
      <c r="D113" s="11">
        <v>121933.0</v>
      </c>
      <c r="E113" s="53">
        <f t="shared" si="94"/>
        <v>428</v>
      </c>
      <c r="F113" s="54">
        <v>49.0</v>
      </c>
      <c r="G113" s="14">
        <f t="shared" si="95"/>
        <v>11.44859813</v>
      </c>
      <c r="H113" s="40">
        <v>119560.0</v>
      </c>
      <c r="I113" s="40">
        <v>119978.0</v>
      </c>
      <c r="J113" s="37">
        <f t="shared" si="96"/>
        <v>418</v>
      </c>
      <c r="K113" s="52">
        <f t="shared" si="97"/>
        <v>49</v>
      </c>
      <c r="L113" s="48">
        <f t="shared" si="98"/>
        <v>11.72248804</v>
      </c>
      <c r="M113" s="50">
        <v>23030.0</v>
      </c>
      <c r="N113" s="49">
        <f t="shared" si="99"/>
        <v>1128470</v>
      </c>
      <c r="R113" s="80" t="str">
        <f t="shared" si="57"/>
        <v/>
      </c>
    </row>
    <row r="114">
      <c r="A114" s="35">
        <v>46093.0</v>
      </c>
      <c r="B114" s="46" t="s">
        <v>40</v>
      </c>
      <c r="C114" s="11">
        <v>121933.0</v>
      </c>
      <c r="D114" s="13">
        <v>122484.0</v>
      </c>
      <c r="E114" s="12">
        <f t="shared" si="94"/>
        <v>551</v>
      </c>
      <c r="F114" s="47">
        <v>62.0</v>
      </c>
      <c r="G114" s="14">
        <f t="shared" si="95"/>
        <v>11.2522686</v>
      </c>
      <c r="H114" s="40">
        <v>119978.0</v>
      </c>
      <c r="I114" s="40">
        <v>120519.0</v>
      </c>
      <c r="J114" s="37">
        <f t="shared" si="96"/>
        <v>541</v>
      </c>
      <c r="K114" s="52">
        <f t="shared" si="97"/>
        <v>62</v>
      </c>
      <c r="L114" s="48">
        <f t="shared" si="98"/>
        <v>11.46025878</v>
      </c>
      <c r="M114" s="50">
        <v>26470.0</v>
      </c>
      <c r="N114" s="49">
        <f t="shared" si="99"/>
        <v>1641140</v>
      </c>
      <c r="R114" s="80" t="str">
        <f t="shared" si="57"/>
        <v/>
      </c>
    </row>
    <row r="115">
      <c r="A115" s="35">
        <v>46099.0</v>
      </c>
      <c r="B115" s="46" t="s">
        <v>40</v>
      </c>
      <c r="C115" s="13">
        <v>122484.0</v>
      </c>
      <c r="D115" s="13">
        <v>123006.0</v>
      </c>
      <c r="E115" s="12">
        <f t="shared" si="94"/>
        <v>522</v>
      </c>
      <c r="F115" s="47">
        <v>62.0</v>
      </c>
      <c r="G115" s="14">
        <f t="shared" si="95"/>
        <v>11.87739464</v>
      </c>
      <c r="H115" s="40">
        <v>120519.0</v>
      </c>
      <c r="I115" s="40">
        <v>121066.0</v>
      </c>
      <c r="J115" s="37">
        <f t="shared" si="96"/>
        <v>547</v>
      </c>
      <c r="K115" s="52">
        <f t="shared" si="97"/>
        <v>62</v>
      </c>
      <c r="L115" s="48">
        <f t="shared" si="98"/>
        <v>11.3345521</v>
      </c>
      <c r="M115" s="50">
        <v>27020.0</v>
      </c>
      <c r="N115" s="49">
        <f t="shared" si="99"/>
        <v>1675240</v>
      </c>
      <c r="R115" s="80" t="str">
        <f t="shared" si="57"/>
        <v/>
      </c>
    </row>
    <row r="116">
      <c r="A116" s="35">
        <v>46106.0</v>
      </c>
      <c r="B116" s="46" t="s">
        <v>40</v>
      </c>
      <c r="C116" s="13">
        <v>123006.0</v>
      </c>
      <c r="D116" s="37">
        <v>123708.0</v>
      </c>
      <c r="E116" s="12">
        <f t="shared" si="94"/>
        <v>702</v>
      </c>
      <c r="F116" s="47">
        <v>82.0</v>
      </c>
      <c r="G116" s="14">
        <f t="shared" si="95"/>
        <v>11.68091168</v>
      </c>
      <c r="H116" s="40">
        <v>121066.0</v>
      </c>
      <c r="I116" s="40">
        <v>121722.0</v>
      </c>
      <c r="J116" s="37">
        <f t="shared" si="96"/>
        <v>656</v>
      </c>
      <c r="K116" s="52">
        <f t="shared" si="97"/>
        <v>82</v>
      </c>
      <c r="L116" s="48">
        <f t="shared" si="98"/>
        <v>12.5</v>
      </c>
      <c r="M116" s="50">
        <v>37890.0</v>
      </c>
      <c r="N116" s="49">
        <f t="shared" si="99"/>
        <v>3106980</v>
      </c>
      <c r="R116" s="80" t="str">
        <f t="shared" si="57"/>
        <v/>
      </c>
    </row>
    <row r="117">
      <c r="A117" s="35">
        <v>46111.0</v>
      </c>
      <c r="B117" s="46" t="s">
        <v>40</v>
      </c>
      <c r="C117" s="37">
        <v>123708.0</v>
      </c>
      <c r="D117" s="37">
        <v>124263.0</v>
      </c>
      <c r="E117" s="12">
        <f t="shared" si="94"/>
        <v>555</v>
      </c>
      <c r="F117" s="47">
        <v>69.0</v>
      </c>
      <c r="G117" s="14">
        <f t="shared" si="95"/>
        <v>12.43243243</v>
      </c>
      <c r="H117" s="40">
        <v>121722.0</v>
      </c>
      <c r="I117" s="40">
        <v>122267.0</v>
      </c>
      <c r="J117" s="37">
        <f t="shared" si="96"/>
        <v>545</v>
      </c>
      <c r="K117" s="52">
        <f t="shared" si="97"/>
        <v>69</v>
      </c>
      <c r="L117" s="48">
        <f t="shared" si="98"/>
        <v>12.66055046</v>
      </c>
      <c r="M117" s="50">
        <v>35440.0</v>
      </c>
      <c r="N117" s="49">
        <f t="shared" si="99"/>
        <v>2445360</v>
      </c>
      <c r="R117" s="80" t="str">
        <f t="shared" si="57"/>
        <v/>
      </c>
    </row>
    <row r="118">
      <c r="A118" s="94"/>
      <c r="B118" s="46" t="s">
        <v>40</v>
      </c>
      <c r="C118" s="55"/>
      <c r="D118" s="95"/>
      <c r="E118" s="25">
        <f t="shared" si="94"/>
        <v>0</v>
      </c>
      <c r="F118" s="47"/>
      <c r="G118" s="56" t="str">
        <f t="shared" si="95"/>
        <v>#DIV/0!</v>
      </c>
      <c r="H118" s="55"/>
      <c r="I118" s="85"/>
      <c r="J118" s="55">
        <f t="shared" si="96"/>
        <v>0</v>
      </c>
      <c r="K118" s="52" t="str">
        <f t="shared" si="97"/>
        <v/>
      </c>
      <c r="L118" s="77" t="str">
        <f t="shared" si="98"/>
        <v>#DIV/0!</v>
      </c>
      <c r="M118" s="96"/>
      <c r="N118" s="59">
        <f t="shared" si="99"/>
        <v>0</v>
      </c>
      <c r="R118" s="80" t="str">
        <f t="shared" si="57"/>
        <v/>
      </c>
    </row>
    <row r="119">
      <c r="A119" s="62"/>
      <c r="B119" s="63"/>
      <c r="C119" s="62"/>
      <c r="D119" s="64" t="s">
        <v>19</v>
      </c>
      <c r="E119" s="64">
        <f>sum(E112:E118)</f>
        <v>3454</v>
      </c>
      <c r="F119" s="39"/>
      <c r="G119" s="65" t="str">
        <f>average(G112:G118)</f>
        <v>#DIV/0!</v>
      </c>
      <c r="H119" s="62"/>
      <c r="I119" s="66"/>
      <c r="J119" s="64">
        <f t="shared" ref="J119:K119" si="100">sum(J112:J118)</f>
        <v>3392</v>
      </c>
      <c r="K119" s="64">
        <f t="shared" si="100"/>
        <v>403</v>
      </c>
      <c r="L119" s="65" t="str">
        <f>average(L112:L118)</f>
        <v>#DIV/0!</v>
      </c>
      <c r="M119" s="68"/>
      <c r="N119" s="69">
        <f>sum(N112:N118)</f>
        <v>11519520</v>
      </c>
      <c r="R119" s="80" t="str">
        <f t="shared" si="57"/>
        <v/>
      </c>
    </row>
    <row r="120">
      <c r="A120" s="70">
        <v>46085.0</v>
      </c>
      <c r="B120" s="99" t="s">
        <v>41</v>
      </c>
      <c r="C120" s="53">
        <v>175562.0</v>
      </c>
      <c r="D120" s="37">
        <v>175842.0</v>
      </c>
      <c r="E120" s="38">
        <f t="shared" ref="E120:E126" si="101">D120-C120</f>
        <v>280</v>
      </c>
      <c r="F120" s="39">
        <v>59.0</v>
      </c>
      <c r="G120" s="14">
        <f t="shared" ref="G120:G126" si="102">(F120/E120)*100</f>
        <v>21.07142857</v>
      </c>
      <c r="H120" s="37">
        <v>18119.0</v>
      </c>
      <c r="I120" s="40">
        <v>18514.0</v>
      </c>
      <c r="J120" s="41">
        <f t="shared" ref="J120:J126" si="103">I120-H120</f>
        <v>395</v>
      </c>
      <c r="K120" s="81">
        <f t="shared" ref="K120:K126" si="104">F120</f>
        <v>59</v>
      </c>
      <c r="L120" s="71">
        <f t="shared" ref="L120:L126" si="105">(K120/J120)*100</f>
        <v>14.93670886</v>
      </c>
      <c r="M120" s="43">
        <v>19270.0</v>
      </c>
      <c r="N120" s="44">
        <f t="shared" ref="N120:N126" si="106">F120*M120</f>
        <v>1136930</v>
      </c>
      <c r="R120" s="80" t="str">
        <f t="shared" si="57"/>
        <v/>
      </c>
    </row>
    <row r="121">
      <c r="A121" s="128">
        <v>46088.0</v>
      </c>
      <c r="B121" s="129" t="s">
        <v>41</v>
      </c>
      <c r="C121" s="37">
        <v>175842.0</v>
      </c>
      <c r="D121" s="53">
        <v>175942.0</v>
      </c>
      <c r="E121" s="53">
        <f t="shared" si="101"/>
        <v>100</v>
      </c>
      <c r="F121" s="130">
        <v>43.0</v>
      </c>
      <c r="G121" s="14">
        <f t="shared" si="102"/>
        <v>43</v>
      </c>
      <c r="H121" s="40">
        <v>18514.0</v>
      </c>
      <c r="I121" s="40">
        <v>18937.0</v>
      </c>
      <c r="J121" s="37">
        <f t="shared" si="103"/>
        <v>423</v>
      </c>
      <c r="K121" s="52">
        <f t="shared" si="104"/>
        <v>43</v>
      </c>
      <c r="L121" s="48">
        <f t="shared" si="105"/>
        <v>10.16548463</v>
      </c>
      <c r="M121" s="50">
        <v>23030.0</v>
      </c>
      <c r="N121" s="131">
        <f t="shared" si="106"/>
        <v>990290</v>
      </c>
      <c r="R121" s="80" t="str">
        <f t="shared" si="57"/>
        <v/>
      </c>
    </row>
    <row r="122">
      <c r="A122" s="128">
        <v>46095.0</v>
      </c>
      <c r="B122" s="129" t="s">
        <v>41</v>
      </c>
      <c r="C122" s="12"/>
      <c r="D122" s="53"/>
      <c r="E122" s="53">
        <f t="shared" si="101"/>
        <v>0</v>
      </c>
      <c r="F122" s="130">
        <v>67.0</v>
      </c>
      <c r="G122" s="14" t="str">
        <f t="shared" si="102"/>
        <v>#DIV/0!</v>
      </c>
      <c r="H122" s="40">
        <v>18937.0</v>
      </c>
      <c r="I122" s="37">
        <v>19559.0</v>
      </c>
      <c r="J122" s="37">
        <f t="shared" si="103"/>
        <v>622</v>
      </c>
      <c r="K122" s="52">
        <f t="shared" si="104"/>
        <v>67</v>
      </c>
      <c r="L122" s="48">
        <f t="shared" si="105"/>
        <v>10.77170418</v>
      </c>
      <c r="M122" s="50">
        <v>27020.0</v>
      </c>
      <c r="N122" s="131">
        <f t="shared" si="106"/>
        <v>1810340</v>
      </c>
      <c r="R122" s="80" t="str">
        <f t="shared" si="57"/>
        <v/>
      </c>
    </row>
    <row r="123">
      <c r="A123" s="35">
        <v>46102.0</v>
      </c>
      <c r="B123" s="46" t="s">
        <v>41</v>
      </c>
      <c r="C123" s="53"/>
      <c r="D123" s="37">
        <v>176587.0</v>
      </c>
      <c r="E123" s="12">
        <f t="shared" si="101"/>
        <v>176587</v>
      </c>
      <c r="F123" s="47">
        <v>79.0</v>
      </c>
      <c r="G123" s="14">
        <f t="shared" si="102"/>
        <v>0.04473715506</v>
      </c>
      <c r="H123" s="37">
        <v>19559.0</v>
      </c>
      <c r="I123" s="40">
        <v>20291.0</v>
      </c>
      <c r="J123" s="37">
        <f t="shared" si="103"/>
        <v>732</v>
      </c>
      <c r="K123" s="52">
        <f t="shared" si="104"/>
        <v>79</v>
      </c>
      <c r="L123" s="48">
        <f t="shared" si="105"/>
        <v>10.79234973</v>
      </c>
      <c r="M123" s="50">
        <v>33420.0</v>
      </c>
      <c r="N123" s="131">
        <f t="shared" si="106"/>
        <v>2640180</v>
      </c>
      <c r="R123" s="80" t="str">
        <f t="shared" si="57"/>
        <v/>
      </c>
    </row>
    <row r="124">
      <c r="A124" s="35">
        <v>46108.0</v>
      </c>
      <c r="B124" s="51" t="s">
        <v>41</v>
      </c>
      <c r="C124" s="37">
        <v>176587.0</v>
      </c>
      <c r="D124" s="52">
        <v>177289.0</v>
      </c>
      <c r="E124" s="12">
        <f t="shared" si="101"/>
        <v>702</v>
      </c>
      <c r="F124" s="47">
        <v>75.0</v>
      </c>
      <c r="G124" s="14">
        <f t="shared" si="102"/>
        <v>10.68376068</v>
      </c>
      <c r="H124" s="40">
        <v>20291.0</v>
      </c>
      <c r="I124" s="40">
        <v>20958.0</v>
      </c>
      <c r="J124" s="37">
        <f t="shared" si="103"/>
        <v>667</v>
      </c>
      <c r="K124" s="52">
        <f t="shared" si="104"/>
        <v>75</v>
      </c>
      <c r="L124" s="48">
        <f t="shared" si="105"/>
        <v>11.24437781</v>
      </c>
      <c r="M124" s="50">
        <v>35440.0</v>
      </c>
      <c r="N124" s="131">
        <f t="shared" si="106"/>
        <v>2658000</v>
      </c>
      <c r="R124" s="80" t="str">
        <f t="shared" si="57"/>
        <v/>
      </c>
    </row>
    <row r="125">
      <c r="A125" s="132"/>
      <c r="B125" s="46" t="s">
        <v>41</v>
      </c>
      <c r="C125" s="37"/>
      <c r="D125" s="133"/>
      <c r="E125" s="12">
        <f t="shared" si="101"/>
        <v>0</v>
      </c>
      <c r="F125" s="47"/>
      <c r="G125" s="14" t="str">
        <f t="shared" si="102"/>
        <v>#DIV/0!</v>
      </c>
      <c r="H125" s="37"/>
      <c r="I125" s="40"/>
      <c r="J125" s="37">
        <f t="shared" si="103"/>
        <v>0</v>
      </c>
      <c r="K125" s="52" t="str">
        <f t="shared" si="104"/>
        <v/>
      </c>
      <c r="L125" s="48" t="str">
        <f t="shared" si="105"/>
        <v>#DIV/0!</v>
      </c>
      <c r="M125" s="134"/>
      <c r="N125" s="131">
        <f t="shared" si="106"/>
        <v>0</v>
      </c>
      <c r="R125" s="80" t="str">
        <f t="shared" si="57"/>
        <v/>
      </c>
    </row>
    <row r="126">
      <c r="A126" s="94"/>
      <c r="B126" s="46" t="s">
        <v>41</v>
      </c>
      <c r="C126" s="55"/>
      <c r="D126" s="95"/>
      <c r="E126" s="25">
        <f t="shared" si="101"/>
        <v>0</v>
      </c>
      <c r="F126" s="47"/>
      <c r="G126" s="56" t="str">
        <f t="shared" si="102"/>
        <v>#DIV/0!</v>
      </c>
      <c r="H126" s="55"/>
      <c r="I126" s="85"/>
      <c r="J126" s="55">
        <f t="shared" si="103"/>
        <v>0</v>
      </c>
      <c r="K126" s="52" t="str">
        <f t="shared" si="104"/>
        <v/>
      </c>
      <c r="L126" s="77" t="str">
        <f t="shared" si="105"/>
        <v>#DIV/0!</v>
      </c>
      <c r="M126" s="96"/>
      <c r="N126" s="135">
        <f t="shared" si="106"/>
        <v>0</v>
      </c>
      <c r="R126" s="80" t="str">
        <f t="shared" si="57"/>
        <v/>
      </c>
    </row>
    <row r="127">
      <c r="A127" s="62"/>
      <c r="B127" s="63"/>
      <c r="C127" s="62"/>
      <c r="D127" s="64" t="s">
        <v>19</v>
      </c>
      <c r="E127" s="64">
        <f>sum(E120:E126)</f>
        <v>177669</v>
      </c>
      <c r="F127" s="64">
        <f>sum(F119:F126)</f>
        <v>323</v>
      </c>
      <c r="G127" s="65" t="str">
        <f>average(G120:G126)</f>
        <v>#DIV/0!</v>
      </c>
      <c r="H127" s="62"/>
      <c r="I127" s="66"/>
      <c r="J127" s="64">
        <f t="shared" ref="J127:K127" si="107">sum(J120:J126)</f>
        <v>2839</v>
      </c>
      <c r="K127" s="64">
        <f t="shared" si="107"/>
        <v>323</v>
      </c>
      <c r="L127" s="65" t="str">
        <f>average(L120:L126)</f>
        <v>#DIV/0!</v>
      </c>
      <c r="M127" s="68"/>
      <c r="N127" s="69">
        <f>sum(N120:N126)</f>
        <v>9235740</v>
      </c>
      <c r="R127" s="80" t="str">
        <f t="shared" si="57"/>
        <v/>
      </c>
    </row>
    <row r="128">
      <c r="A128" s="70">
        <v>46108.0</v>
      </c>
      <c r="B128" s="99" t="s">
        <v>42</v>
      </c>
      <c r="C128" s="53"/>
      <c r="D128" s="37">
        <v>147039.0</v>
      </c>
      <c r="E128" s="38">
        <f t="shared" ref="E128:E134" si="108">D128-C128</f>
        <v>147039</v>
      </c>
      <c r="F128" s="39">
        <v>65.0</v>
      </c>
      <c r="G128" s="14">
        <f t="shared" ref="G128:G134" si="109">(F128/E128)*100</f>
        <v>0.04420595896</v>
      </c>
      <c r="H128" s="37"/>
      <c r="I128" s="40"/>
      <c r="J128" s="41">
        <f t="shared" ref="J128:J134" si="110">I128-H128</f>
        <v>0</v>
      </c>
      <c r="K128" s="81">
        <f t="shared" ref="K128:K134" si="111">F128</f>
        <v>65</v>
      </c>
      <c r="L128" s="71" t="str">
        <f t="shared" ref="L128:L134" si="112">(K128/J128)*100</f>
        <v>#DIV/0!</v>
      </c>
      <c r="M128" s="43">
        <v>35440.0</v>
      </c>
      <c r="N128" s="44">
        <f t="shared" ref="N128:N134" si="113">F128*M128</f>
        <v>2303600</v>
      </c>
    </row>
    <row r="129">
      <c r="A129" s="128"/>
      <c r="B129" s="99" t="s">
        <v>42</v>
      </c>
      <c r="C129" s="37"/>
      <c r="D129" s="53"/>
      <c r="E129" s="53">
        <f t="shared" si="108"/>
        <v>0</v>
      </c>
      <c r="F129" s="130"/>
      <c r="G129" s="14" t="str">
        <f t="shared" si="109"/>
        <v>#DIV/0!</v>
      </c>
      <c r="H129" s="40"/>
      <c r="I129" s="40"/>
      <c r="J129" s="37">
        <f t="shared" si="110"/>
        <v>0</v>
      </c>
      <c r="K129" s="52" t="str">
        <f t="shared" si="111"/>
        <v/>
      </c>
      <c r="L129" s="48" t="str">
        <f t="shared" si="112"/>
        <v>#DIV/0!</v>
      </c>
      <c r="M129" s="50"/>
      <c r="N129" s="131">
        <f t="shared" si="113"/>
        <v>0</v>
      </c>
    </row>
    <row r="130">
      <c r="A130" s="128"/>
      <c r="B130" s="99" t="s">
        <v>42</v>
      </c>
      <c r="C130" s="53"/>
      <c r="D130" s="53"/>
      <c r="E130" s="53">
        <f t="shared" si="108"/>
        <v>0</v>
      </c>
      <c r="F130" s="130"/>
      <c r="G130" s="14" t="str">
        <f t="shared" si="109"/>
        <v>#DIV/0!</v>
      </c>
      <c r="H130" s="40"/>
      <c r="I130" s="37"/>
      <c r="J130" s="37">
        <f t="shared" si="110"/>
        <v>0</v>
      </c>
      <c r="K130" s="52" t="str">
        <f t="shared" si="111"/>
        <v/>
      </c>
      <c r="L130" s="48" t="str">
        <f t="shared" si="112"/>
        <v>#DIV/0!</v>
      </c>
      <c r="M130" s="50"/>
      <c r="N130" s="131">
        <f t="shared" si="113"/>
        <v>0</v>
      </c>
    </row>
    <row r="131">
      <c r="A131" s="35"/>
      <c r="B131" s="99" t="s">
        <v>42</v>
      </c>
      <c r="C131" s="53"/>
      <c r="D131" s="37"/>
      <c r="E131" s="12">
        <f t="shared" si="108"/>
        <v>0</v>
      </c>
      <c r="F131" s="47"/>
      <c r="G131" s="14" t="str">
        <f t="shared" si="109"/>
        <v>#DIV/0!</v>
      </c>
      <c r="H131" s="37"/>
      <c r="I131" s="40"/>
      <c r="J131" s="37">
        <f t="shared" si="110"/>
        <v>0</v>
      </c>
      <c r="K131" s="52" t="str">
        <f t="shared" si="111"/>
        <v/>
      </c>
      <c r="L131" s="48" t="str">
        <f t="shared" si="112"/>
        <v>#DIV/0!</v>
      </c>
      <c r="M131" s="50"/>
      <c r="N131" s="131">
        <f t="shared" si="113"/>
        <v>0</v>
      </c>
    </row>
    <row r="132">
      <c r="A132" s="136"/>
      <c r="B132" s="99" t="s">
        <v>42</v>
      </c>
      <c r="C132" s="52"/>
      <c r="D132" s="52"/>
      <c r="E132" s="12">
        <f t="shared" si="108"/>
        <v>0</v>
      </c>
      <c r="F132" s="47"/>
      <c r="G132" s="14" t="str">
        <f t="shared" si="109"/>
        <v>#DIV/0!</v>
      </c>
      <c r="H132" s="37"/>
      <c r="I132" s="40"/>
      <c r="J132" s="37">
        <f t="shared" si="110"/>
        <v>0</v>
      </c>
      <c r="K132" s="52" t="str">
        <f t="shared" si="111"/>
        <v/>
      </c>
      <c r="L132" s="48" t="str">
        <f t="shared" si="112"/>
        <v>#DIV/0!</v>
      </c>
      <c r="M132" s="50"/>
      <c r="N132" s="131">
        <f t="shared" si="113"/>
        <v>0</v>
      </c>
    </row>
    <row r="133">
      <c r="A133" s="132"/>
      <c r="B133" s="99" t="s">
        <v>42</v>
      </c>
      <c r="C133" s="37"/>
      <c r="D133" s="133"/>
      <c r="E133" s="12">
        <f t="shared" si="108"/>
        <v>0</v>
      </c>
      <c r="F133" s="47"/>
      <c r="G133" s="14" t="str">
        <f t="shared" si="109"/>
        <v>#DIV/0!</v>
      </c>
      <c r="H133" s="37"/>
      <c r="I133" s="40"/>
      <c r="J133" s="37">
        <f t="shared" si="110"/>
        <v>0</v>
      </c>
      <c r="K133" s="52" t="str">
        <f t="shared" si="111"/>
        <v/>
      </c>
      <c r="L133" s="48" t="str">
        <f t="shared" si="112"/>
        <v>#DIV/0!</v>
      </c>
      <c r="M133" s="134"/>
      <c r="N133" s="131">
        <f t="shared" si="113"/>
        <v>0</v>
      </c>
    </row>
    <row r="134">
      <c r="A134" s="94"/>
      <c r="B134" s="99" t="s">
        <v>42</v>
      </c>
      <c r="C134" s="55"/>
      <c r="D134" s="95"/>
      <c r="E134" s="25">
        <f t="shared" si="108"/>
        <v>0</v>
      </c>
      <c r="F134" s="47"/>
      <c r="G134" s="56" t="str">
        <f t="shared" si="109"/>
        <v>#DIV/0!</v>
      </c>
      <c r="H134" s="55"/>
      <c r="I134" s="85"/>
      <c r="J134" s="55">
        <f t="shared" si="110"/>
        <v>0</v>
      </c>
      <c r="K134" s="52" t="str">
        <f t="shared" si="111"/>
        <v/>
      </c>
      <c r="L134" s="77" t="str">
        <f t="shared" si="112"/>
        <v>#DIV/0!</v>
      </c>
      <c r="M134" s="96"/>
      <c r="N134" s="135">
        <f t="shared" si="113"/>
        <v>0</v>
      </c>
    </row>
    <row r="135">
      <c r="A135" s="62"/>
      <c r="B135" s="63"/>
      <c r="C135" s="62"/>
      <c r="D135" s="64" t="s">
        <v>19</v>
      </c>
      <c r="E135" s="64">
        <f>sum(E128:E134)</f>
        <v>147039</v>
      </c>
      <c r="F135" s="64">
        <f>sum(F127:F134)</f>
        <v>388</v>
      </c>
      <c r="G135" s="65" t="str">
        <f>average(G128:G134)</f>
        <v>#DIV/0!</v>
      </c>
      <c r="H135" s="62"/>
      <c r="I135" s="66"/>
      <c r="J135" s="64">
        <f t="shared" ref="J135:K135" si="114">sum(J128:J134)</f>
        <v>0</v>
      </c>
      <c r="K135" s="64">
        <f t="shared" si="114"/>
        <v>65</v>
      </c>
      <c r="L135" s="65" t="str">
        <f>average(L128:L134)</f>
        <v>#DIV/0!</v>
      </c>
      <c r="M135" s="68"/>
      <c r="N135" s="69">
        <f>sum(N128:N134)</f>
        <v>2303600</v>
      </c>
    </row>
    <row r="136">
      <c r="A136" s="70">
        <v>46083.0</v>
      </c>
      <c r="B136" s="99" t="s">
        <v>27</v>
      </c>
      <c r="C136" s="89"/>
      <c r="D136" s="13"/>
      <c r="E136" s="38">
        <f t="shared" ref="E136:E147" si="115">D136-C136</f>
        <v>0</v>
      </c>
      <c r="F136" s="39"/>
      <c r="G136" s="14" t="str">
        <f t="shared" ref="G136:G147" si="116">(F136/E136)*100</f>
        <v>#DIV/0!</v>
      </c>
      <c r="H136" s="137"/>
      <c r="I136" s="138"/>
      <c r="J136" s="41">
        <f t="shared" ref="J136:J147" si="117">I136-H136</f>
        <v>0</v>
      </c>
      <c r="K136" s="52" t="str">
        <f t="shared" ref="K136:K140" si="118">F136</f>
        <v/>
      </c>
      <c r="L136" s="71" t="str">
        <f t="shared" ref="L136:L147" si="119">(K136/J136)*100</f>
        <v>#DIV/0!</v>
      </c>
      <c r="M136" s="72"/>
      <c r="N136" s="44">
        <v>1098000.0</v>
      </c>
      <c r="R136" s="80" t="str">
        <f t="shared" ref="R136:R143" si="120">Q136</f>
        <v/>
      </c>
    </row>
    <row r="137">
      <c r="A137" s="35">
        <v>46085.0</v>
      </c>
      <c r="B137" s="46" t="s">
        <v>27</v>
      </c>
      <c r="C137" s="37"/>
      <c r="D137" s="13"/>
      <c r="E137" s="12">
        <f t="shared" si="115"/>
        <v>0</v>
      </c>
      <c r="F137" s="47"/>
      <c r="G137" s="14" t="str">
        <f t="shared" si="116"/>
        <v>#DIV/0!</v>
      </c>
      <c r="H137" s="40"/>
      <c r="I137" s="40"/>
      <c r="J137" s="37">
        <f t="shared" si="117"/>
        <v>0</v>
      </c>
      <c r="K137" s="52" t="str">
        <f t="shared" si="118"/>
        <v/>
      </c>
      <c r="L137" s="48" t="str">
        <f t="shared" si="119"/>
        <v>#DIV/0!</v>
      </c>
      <c r="M137" s="50"/>
      <c r="N137" s="49">
        <v>983000.0</v>
      </c>
      <c r="R137" s="80" t="str">
        <f t="shared" si="120"/>
        <v/>
      </c>
    </row>
    <row r="138">
      <c r="A138" s="35">
        <v>46087.0</v>
      </c>
      <c r="B138" s="46" t="s">
        <v>27</v>
      </c>
      <c r="C138" s="37"/>
      <c r="D138" s="37"/>
      <c r="E138" s="12">
        <f t="shared" si="115"/>
        <v>0</v>
      </c>
      <c r="F138" s="47"/>
      <c r="G138" s="14" t="str">
        <f t="shared" si="116"/>
        <v>#DIV/0!</v>
      </c>
      <c r="H138" s="37"/>
      <c r="I138" s="40"/>
      <c r="J138" s="37">
        <f t="shared" si="117"/>
        <v>0</v>
      </c>
      <c r="K138" s="52" t="str">
        <f t="shared" si="118"/>
        <v/>
      </c>
      <c r="L138" s="48" t="str">
        <f t="shared" si="119"/>
        <v>#DIV/0!</v>
      </c>
      <c r="M138" s="50"/>
      <c r="N138" s="49">
        <v>1244000.0</v>
      </c>
      <c r="R138" s="80" t="str">
        <f t="shared" si="120"/>
        <v/>
      </c>
    </row>
    <row r="139">
      <c r="A139" s="35">
        <v>46090.0</v>
      </c>
      <c r="B139" s="46" t="s">
        <v>27</v>
      </c>
      <c r="C139" s="37"/>
      <c r="D139" s="37"/>
      <c r="E139" s="12">
        <f t="shared" si="115"/>
        <v>0</v>
      </c>
      <c r="F139" s="47"/>
      <c r="G139" s="14" t="str">
        <f t="shared" si="116"/>
        <v>#DIV/0!</v>
      </c>
      <c r="H139" s="37"/>
      <c r="I139" s="40"/>
      <c r="J139" s="37">
        <f t="shared" si="117"/>
        <v>0</v>
      </c>
      <c r="K139" s="52" t="str">
        <f t="shared" si="118"/>
        <v/>
      </c>
      <c r="L139" s="48" t="str">
        <f t="shared" si="119"/>
        <v>#DIV/0!</v>
      </c>
      <c r="M139" s="50"/>
      <c r="N139" s="49">
        <v>1632000.0</v>
      </c>
      <c r="R139" s="80" t="str">
        <f t="shared" si="120"/>
        <v/>
      </c>
    </row>
    <row r="140">
      <c r="A140" s="35">
        <v>46092.0</v>
      </c>
      <c r="B140" s="46" t="s">
        <v>27</v>
      </c>
      <c r="C140" s="37"/>
      <c r="D140" s="37"/>
      <c r="E140" s="12">
        <f t="shared" si="115"/>
        <v>0</v>
      </c>
      <c r="F140" s="47"/>
      <c r="G140" s="14" t="str">
        <f t="shared" si="116"/>
        <v>#DIV/0!</v>
      </c>
      <c r="H140" s="37"/>
      <c r="I140" s="40"/>
      <c r="J140" s="37">
        <f t="shared" si="117"/>
        <v>0</v>
      </c>
      <c r="K140" s="52" t="str">
        <f t="shared" si="118"/>
        <v/>
      </c>
      <c r="L140" s="48" t="str">
        <f t="shared" si="119"/>
        <v>#DIV/0!</v>
      </c>
      <c r="M140" s="50"/>
      <c r="N140" s="49">
        <v>1536000.0</v>
      </c>
      <c r="R140" s="80" t="str">
        <f t="shared" si="120"/>
        <v/>
      </c>
    </row>
    <row r="141">
      <c r="A141" s="35">
        <v>46095.0</v>
      </c>
      <c r="B141" s="46" t="s">
        <v>27</v>
      </c>
      <c r="C141" s="37"/>
      <c r="D141" s="133"/>
      <c r="E141" s="12">
        <f t="shared" si="115"/>
        <v>0</v>
      </c>
      <c r="F141" s="47"/>
      <c r="G141" s="14" t="str">
        <f t="shared" si="116"/>
        <v>#DIV/0!</v>
      </c>
      <c r="H141" s="37"/>
      <c r="I141" s="93"/>
      <c r="J141" s="37">
        <f t="shared" si="117"/>
        <v>0</v>
      </c>
      <c r="K141" s="52"/>
      <c r="L141" s="48" t="str">
        <f t="shared" si="119"/>
        <v>#DIV/0!</v>
      </c>
      <c r="M141" s="50"/>
      <c r="N141" s="49">
        <v>1351000.0</v>
      </c>
      <c r="R141" s="80" t="str">
        <f t="shared" si="120"/>
        <v/>
      </c>
    </row>
    <row r="142">
      <c r="A142" s="35">
        <v>46098.0</v>
      </c>
      <c r="B142" s="46" t="s">
        <v>27</v>
      </c>
      <c r="C142" s="37"/>
      <c r="D142" s="133"/>
      <c r="E142" s="12">
        <f t="shared" si="115"/>
        <v>0</v>
      </c>
      <c r="F142" s="47"/>
      <c r="G142" s="14" t="str">
        <f t="shared" si="116"/>
        <v>#DIV/0!</v>
      </c>
      <c r="H142" s="37"/>
      <c r="I142" s="93"/>
      <c r="J142" s="37">
        <f t="shared" si="117"/>
        <v>0</v>
      </c>
      <c r="K142" s="52"/>
      <c r="L142" s="48" t="str">
        <f t="shared" si="119"/>
        <v>#DIV/0!</v>
      </c>
      <c r="M142" s="50"/>
      <c r="N142" s="49">
        <v>1675000.0</v>
      </c>
      <c r="R142" s="80" t="str">
        <f t="shared" si="120"/>
        <v/>
      </c>
    </row>
    <row r="143">
      <c r="A143" s="236">
        <v>46100.0</v>
      </c>
      <c r="B143" s="83" t="s">
        <v>27</v>
      </c>
      <c r="C143" s="55"/>
      <c r="D143" s="95"/>
      <c r="E143" s="25">
        <f t="shared" si="115"/>
        <v>0</v>
      </c>
      <c r="F143" s="47"/>
      <c r="G143" s="56" t="str">
        <f t="shared" si="116"/>
        <v>#DIV/0!</v>
      </c>
      <c r="H143" s="55"/>
      <c r="I143" s="85"/>
      <c r="J143" s="55">
        <f t="shared" si="117"/>
        <v>0</v>
      </c>
      <c r="K143" s="52"/>
      <c r="L143" s="77" t="str">
        <f t="shared" si="119"/>
        <v>#DIV/0!</v>
      </c>
      <c r="M143" s="58"/>
      <c r="N143" s="49">
        <v>1270000.0</v>
      </c>
      <c r="R143" s="80" t="str">
        <f t="shared" si="120"/>
        <v/>
      </c>
    </row>
    <row r="144">
      <c r="A144" s="237">
        <v>46104.0</v>
      </c>
      <c r="B144" s="83" t="s">
        <v>27</v>
      </c>
      <c r="C144" s="55"/>
      <c r="D144" s="95"/>
      <c r="E144" s="25">
        <f t="shared" si="115"/>
        <v>0</v>
      </c>
      <c r="F144" s="47"/>
      <c r="G144" s="56" t="str">
        <f t="shared" si="116"/>
        <v>#DIV/0!</v>
      </c>
      <c r="H144" s="55"/>
      <c r="I144" s="85"/>
      <c r="J144" s="55">
        <f t="shared" si="117"/>
        <v>0</v>
      </c>
      <c r="K144" s="52"/>
      <c r="L144" s="77" t="str">
        <f t="shared" si="119"/>
        <v>#DIV/0!</v>
      </c>
      <c r="M144" s="58"/>
      <c r="N144" s="135">
        <v>1671000.0</v>
      </c>
    </row>
    <row r="145">
      <c r="A145" s="237">
        <v>46106.0</v>
      </c>
      <c r="B145" s="83" t="s">
        <v>27</v>
      </c>
      <c r="C145" s="55"/>
      <c r="D145" s="95"/>
      <c r="E145" s="25">
        <f t="shared" si="115"/>
        <v>0</v>
      </c>
      <c r="F145" s="47"/>
      <c r="G145" s="56" t="str">
        <f t="shared" si="116"/>
        <v>#DIV/0!</v>
      </c>
      <c r="H145" s="55"/>
      <c r="I145" s="85"/>
      <c r="J145" s="55">
        <f t="shared" si="117"/>
        <v>0</v>
      </c>
      <c r="K145" s="52"/>
      <c r="L145" s="77" t="str">
        <f t="shared" si="119"/>
        <v>#DIV/0!</v>
      </c>
      <c r="M145" s="58"/>
      <c r="N145" s="135">
        <v>1190000.0</v>
      </c>
    </row>
    <row r="146">
      <c r="A146" s="237">
        <v>46106.0</v>
      </c>
      <c r="B146" s="83" t="s">
        <v>27</v>
      </c>
      <c r="C146" s="55"/>
      <c r="D146" s="95"/>
      <c r="E146" s="25">
        <f t="shared" si="115"/>
        <v>0</v>
      </c>
      <c r="F146" s="47"/>
      <c r="G146" s="56" t="str">
        <f t="shared" si="116"/>
        <v>#DIV/0!</v>
      </c>
      <c r="H146" s="55"/>
      <c r="I146" s="85"/>
      <c r="J146" s="55">
        <f t="shared" si="117"/>
        <v>0</v>
      </c>
      <c r="K146" s="52"/>
      <c r="L146" s="77" t="str">
        <f t="shared" si="119"/>
        <v>#DIV/0!</v>
      </c>
      <c r="M146" s="58"/>
      <c r="N146" s="135">
        <v>1895000.0</v>
      </c>
    </row>
    <row r="147">
      <c r="A147" s="237">
        <v>46110.0</v>
      </c>
      <c r="B147" s="83" t="s">
        <v>27</v>
      </c>
      <c r="C147" s="55"/>
      <c r="D147" s="95"/>
      <c r="E147" s="25">
        <f t="shared" si="115"/>
        <v>0</v>
      </c>
      <c r="F147" s="47"/>
      <c r="G147" s="56" t="str">
        <f t="shared" si="116"/>
        <v>#DIV/0!</v>
      </c>
      <c r="H147" s="55"/>
      <c r="I147" s="85"/>
      <c r="J147" s="55">
        <f t="shared" si="117"/>
        <v>0</v>
      </c>
      <c r="K147" s="52"/>
      <c r="L147" s="77" t="str">
        <f t="shared" si="119"/>
        <v>#DIV/0!</v>
      </c>
      <c r="M147" s="58"/>
      <c r="N147" s="135">
        <v>1772000.0</v>
      </c>
    </row>
    <row r="148">
      <c r="A148" s="62"/>
      <c r="B148" s="63"/>
      <c r="C148" s="62"/>
      <c r="D148" s="64" t="s">
        <v>19</v>
      </c>
      <c r="E148" s="64">
        <f t="shared" ref="E148:F148" si="121">sum(E136:E143)</f>
        <v>0</v>
      </c>
      <c r="F148" s="64">
        <f t="shared" si="121"/>
        <v>0</v>
      </c>
      <c r="G148" s="65" t="str">
        <f>average(G136:G143)</f>
        <v>#DIV/0!</v>
      </c>
      <c r="H148" s="62"/>
      <c r="I148" s="66"/>
      <c r="J148" s="64">
        <f t="shared" ref="J148:K148" si="122">sum(J136:J143)</f>
        <v>0</v>
      </c>
      <c r="K148" s="64">
        <f t="shared" si="122"/>
        <v>0</v>
      </c>
      <c r="L148" s="65" t="str">
        <f>average(L136:L143)</f>
        <v>#DIV/0!</v>
      </c>
      <c r="M148" s="68"/>
      <c r="N148" s="147">
        <f>sum(N136:N147)</f>
        <v>17317000</v>
      </c>
      <c r="R148" s="80" t="str">
        <f t="shared" ref="R148:R175" si="123">Q148</f>
        <v/>
      </c>
    </row>
    <row r="149">
      <c r="A149" s="70">
        <v>46087.0</v>
      </c>
      <c r="B149" s="99" t="s">
        <v>28</v>
      </c>
      <c r="C149" s="89"/>
      <c r="D149" s="13"/>
      <c r="E149" s="38">
        <f t="shared" ref="E149:E156" si="124">D149-C149</f>
        <v>0</v>
      </c>
      <c r="F149" s="39"/>
      <c r="G149" s="14" t="str">
        <f t="shared" ref="G149:G156" si="125">(F149/E149)*100</f>
        <v>#DIV/0!</v>
      </c>
      <c r="H149" s="137"/>
      <c r="I149" s="138"/>
      <c r="J149" s="41">
        <f t="shared" ref="J149:J156" si="126">I149-H149</f>
        <v>0</v>
      </c>
      <c r="K149" s="81"/>
      <c r="L149" s="71" t="str">
        <f t="shared" ref="L149:L152" si="127">(K149/J149)*100</f>
        <v>#DIV/0!</v>
      </c>
      <c r="M149" s="72"/>
      <c r="N149" s="49">
        <v>1612000.0</v>
      </c>
      <c r="R149" s="80" t="str">
        <f t="shared" si="123"/>
        <v/>
      </c>
    </row>
    <row r="150">
      <c r="A150" s="35"/>
      <c r="B150" s="99" t="s">
        <v>28</v>
      </c>
      <c r="C150" s="37"/>
      <c r="D150" s="13"/>
      <c r="E150" s="12">
        <f t="shared" si="124"/>
        <v>0</v>
      </c>
      <c r="F150" s="47"/>
      <c r="G150" s="14" t="str">
        <f t="shared" si="125"/>
        <v>#DIV/0!</v>
      </c>
      <c r="H150" s="40"/>
      <c r="I150" s="40"/>
      <c r="J150" s="37">
        <f t="shared" si="126"/>
        <v>0</v>
      </c>
      <c r="K150" s="52"/>
      <c r="L150" s="71" t="str">
        <f t="shared" si="127"/>
        <v>#DIV/0!</v>
      </c>
      <c r="M150" s="50"/>
      <c r="N150" s="49"/>
      <c r="R150" s="80" t="str">
        <f t="shared" si="123"/>
        <v/>
      </c>
    </row>
    <row r="151">
      <c r="A151" s="35"/>
      <c r="B151" s="99" t="s">
        <v>28</v>
      </c>
      <c r="C151" s="37"/>
      <c r="D151" s="37"/>
      <c r="E151" s="12">
        <f t="shared" si="124"/>
        <v>0</v>
      </c>
      <c r="F151" s="47"/>
      <c r="G151" s="14" t="str">
        <f t="shared" si="125"/>
        <v>#DIV/0!</v>
      </c>
      <c r="H151" s="37"/>
      <c r="I151" s="40"/>
      <c r="J151" s="37">
        <f t="shared" si="126"/>
        <v>0</v>
      </c>
      <c r="K151" s="52"/>
      <c r="L151" s="48" t="str">
        <f t="shared" si="127"/>
        <v>#DIV/0!</v>
      </c>
      <c r="M151" s="50"/>
      <c r="N151" s="49"/>
      <c r="R151" s="80" t="str">
        <f t="shared" si="123"/>
        <v/>
      </c>
    </row>
    <row r="152">
      <c r="A152" s="35"/>
      <c r="B152" s="99" t="s">
        <v>28</v>
      </c>
      <c r="C152" s="37"/>
      <c r="D152" s="37"/>
      <c r="E152" s="12">
        <f t="shared" si="124"/>
        <v>0</v>
      </c>
      <c r="F152" s="47"/>
      <c r="G152" s="14" t="str">
        <f t="shared" si="125"/>
        <v>#DIV/0!</v>
      </c>
      <c r="H152" s="37"/>
      <c r="I152" s="40"/>
      <c r="J152" s="37">
        <f t="shared" si="126"/>
        <v>0</v>
      </c>
      <c r="K152" s="52"/>
      <c r="L152" s="48" t="str">
        <f t="shared" si="127"/>
        <v>#DIV/0!</v>
      </c>
      <c r="M152" s="50"/>
      <c r="N152" s="49">
        <f t="shared" ref="N152:N154" si="128">M152*K152</f>
        <v>0</v>
      </c>
      <c r="R152" s="80" t="str">
        <f t="shared" si="123"/>
        <v/>
      </c>
    </row>
    <row r="153">
      <c r="A153" s="35"/>
      <c r="B153" s="99" t="s">
        <v>28</v>
      </c>
      <c r="C153" s="37"/>
      <c r="D153" s="37"/>
      <c r="E153" s="12">
        <f t="shared" si="124"/>
        <v>0</v>
      </c>
      <c r="F153" s="47"/>
      <c r="G153" s="14" t="str">
        <f t="shared" si="125"/>
        <v>#DIV/0!</v>
      </c>
      <c r="H153" s="37"/>
      <c r="I153" s="40"/>
      <c r="J153" s="37">
        <f t="shared" si="126"/>
        <v>0</v>
      </c>
      <c r="K153" s="52"/>
      <c r="L153" s="48"/>
      <c r="M153" s="50"/>
      <c r="N153" s="49">
        <f t="shared" si="128"/>
        <v>0</v>
      </c>
      <c r="R153" s="80" t="str">
        <f t="shared" si="123"/>
        <v/>
      </c>
    </row>
    <row r="154">
      <c r="A154" s="35"/>
      <c r="B154" s="99" t="s">
        <v>28</v>
      </c>
      <c r="C154" s="37"/>
      <c r="D154" s="133"/>
      <c r="E154" s="12">
        <f t="shared" si="124"/>
        <v>0</v>
      </c>
      <c r="F154" s="47"/>
      <c r="G154" s="14" t="str">
        <f t="shared" si="125"/>
        <v>#DIV/0!</v>
      </c>
      <c r="H154" s="37"/>
      <c r="I154" s="93"/>
      <c r="J154" s="37">
        <f t="shared" si="126"/>
        <v>0</v>
      </c>
      <c r="K154" s="52"/>
      <c r="L154" s="48" t="str">
        <f t="shared" ref="L154:L156" si="129">(K154/J154)*100</f>
        <v>#DIV/0!</v>
      </c>
      <c r="M154" s="50"/>
      <c r="N154" s="49">
        <f t="shared" si="128"/>
        <v>0</v>
      </c>
      <c r="R154" s="80" t="str">
        <f t="shared" si="123"/>
        <v/>
      </c>
    </row>
    <row r="155">
      <c r="A155" s="35"/>
      <c r="B155" s="99" t="s">
        <v>28</v>
      </c>
      <c r="C155" s="37"/>
      <c r="D155" s="133"/>
      <c r="E155" s="12">
        <f t="shared" si="124"/>
        <v>0</v>
      </c>
      <c r="F155" s="47"/>
      <c r="G155" s="14" t="str">
        <f t="shared" si="125"/>
        <v>#DIV/0!</v>
      </c>
      <c r="H155" s="37"/>
      <c r="I155" s="93"/>
      <c r="J155" s="37">
        <f t="shared" si="126"/>
        <v>0</v>
      </c>
      <c r="K155" s="52" t="str">
        <f t="shared" ref="K155:K156" si="130">F155</f>
        <v/>
      </c>
      <c r="L155" s="48" t="str">
        <f t="shared" si="129"/>
        <v>#DIV/0!</v>
      </c>
      <c r="M155" s="50"/>
      <c r="N155" s="49">
        <f>F155*M155</f>
        <v>0</v>
      </c>
      <c r="R155" s="80" t="str">
        <f t="shared" si="123"/>
        <v/>
      </c>
    </row>
    <row r="156">
      <c r="A156" s="146"/>
      <c r="B156" s="99" t="s">
        <v>28</v>
      </c>
      <c r="C156" s="55"/>
      <c r="D156" s="95"/>
      <c r="E156" s="25">
        <f t="shared" si="124"/>
        <v>0</v>
      </c>
      <c r="F156" s="47"/>
      <c r="G156" s="56" t="str">
        <f t="shared" si="125"/>
        <v>#DIV/0!</v>
      </c>
      <c r="H156" s="55"/>
      <c r="I156" s="85"/>
      <c r="J156" s="55">
        <f t="shared" si="126"/>
        <v>0</v>
      </c>
      <c r="K156" s="52" t="str">
        <f t="shared" si="130"/>
        <v/>
      </c>
      <c r="L156" s="77" t="str">
        <f t="shared" si="129"/>
        <v>#DIV/0!</v>
      </c>
      <c r="M156" s="58"/>
      <c r="N156" s="49">
        <f>M156*K156</f>
        <v>0</v>
      </c>
      <c r="R156" s="80" t="str">
        <f t="shared" si="123"/>
        <v/>
      </c>
    </row>
    <row r="157">
      <c r="A157" s="62"/>
      <c r="B157" s="63"/>
      <c r="C157" s="62"/>
      <c r="D157" s="64" t="s">
        <v>19</v>
      </c>
      <c r="E157" s="64">
        <f t="shared" ref="E157:F157" si="131">sum(E149:E156)</f>
        <v>0</v>
      </c>
      <c r="F157" s="64">
        <f t="shared" si="131"/>
        <v>0</v>
      </c>
      <c r="G157" s="65" t="str">
        <f>average(G149:G156)</f>
        <v>#DIV/0!</v>
      </c>
      <c r="H157" s="62"/>
      <c r="I157" s="66"/>
      <c r="J157" s="64">
        <f t="shared" ref="J157:K157" si="132">sum(J149:J156)</f>
        <v>0</v>
      </c>
      <c r="K157" s="64">
        <f t="shared" si="132"/>
        <v>0</v>
      </c>
      <c r="L157" s="65" t="str">
        <f>average(L149:L156)</f>
        <v>#DIV/0!</v>
      </c>
      <c r="M157" s="68"/>
      <c r="N157" s="147">
        <f>sum(N149:N156)</f>
        <v>1612000</v>
      </c>
      <c r="R157" s="80" t="str">
        <f t="shared" si="123"/>
        <v/>
      </c>
    </row>
    <row r="158">
      <c r="A158" s="91">
        <v>46086.0</v>
      </c>
      <c r="B158" s="99" t="s">
        <v>43</v>
      </c>
      <c r="C158" s="89"/>
      <c r="D158" s="13"/>
      <c r="E158" s="38">
        <f t="shared" ref="E158:E165" si="133">D158-C158</f>
        <v>0</v>
      </c>
      <c r="F158" s="39"/>
      <c r="G158" s="14" t="str">
        <f t="shared" ref="G158:G165" si="134">(F158/E158)*100</f>
        <v>#DIV/0!</v>
      </c>
      <c r="H158" s="137"/>
      <c r="I158" s="138"/>
      <c r="J158" s="41">
        <f t="shared" ref="J158:J165" si="135">I158-H158</f>
        <v>0</v>
      </c>
      <c r="K158" s="52" t="str">
        <f t="shared" ref="K158:K160" si="136">F158</f>
        <v/>
      </c>
      <c r="L158" s="71" t="str">
        <f t="shared" ref="L158:L165" si="137">(K158/J158)*100</f>
        <v>#DIV/0!</v>
      </c>
      <c r="M158" s="72"/>
      <c r="N158" s="49">
        <v>1156000.0</v>
      </c>
      <c r="R158" s="80" t="str">
        <f t="shared" si="123"/>
        <v/>
      </c>
    </row>
    <row r="159">
      <c r="A159" s="35">
        <v>46090.0</v>
      </c>
      <c r="B159" s="46" t="s">
        <v>43</v>
      </c>
      <c r="C159" s="37"/>
      <c r="D159" s="13"/>
      <c r="E159" s="12">
        <f t="shared" si="133"/>
        <v>0</v>
      </c>
      <c r="F159" s="47"/>
      <c r="G159" s="14" t="str">
        <f t="shared" si="134"/>
        <v>#DIV/0!</v>
      </c>
      <c r="H159" s="40"/>
      <c r="I159" s="40"/>
      <c r="J159" s="37">
        <f t="shared" si="135"/>
        <v>0</v>
      </c>
      <c r="K159" s="52" t="str">
        <f t="shared" si="136"/>
        <v/>
      </c>
      <c r="L159" s="48" t="str">
        <f t="shared" si="137"/>
        <v>#DIV/0!</v>
      </c>
      <c r="M159" s="50"/>
      <c r="N159" s="49">
        <v>1814000.0</v>
      </c>
      <c r="R159" s="80" t="str">
        <f t="shared" si="123"/>
        <v/>
      </c>
    </row>
    <row r="160">
      <c r="A160" s="35">
        <v>46092.0</v>
      </c>
      <c r="B160" s="46" t="s">
        <v>43</v>
      </c>
      <c r="C160" s="37"/>
      <c r="D160" s="37"/>
      <c r="E160" s="12">
        <f t="shared" si="133"/>
        <v>0</v>
      </c>
      <c r="F160" s="47"/>
      <c r="G160" s="14" t="str">
        <f t="shared" si="134"/>
        <v>#DIV/0!</v>
      </c>
      <c r="H160" s="37"/>
      <c r="I160" s="40"/>
      <c r="J160" s="37">
        <f t="shared" si="135"/>
        <v>0</v>
      </c>
      <c r="K160" s="52" t="str">
        <f t="shared" si="136"/>
        <v/>
      </c>
      <c r="L160" s="48" t="str">
        <f t="shared" si="137"/>
        <v>#DIV/0!</v>
      </c>
      <c r="M160" s="50"/>
      <c r="N160" s="49">
        <v>1843000.0</v>
      </c>
      <c r="R160" s="80" t="str">
        <f t="shared" si="123"/>
        <v/>
      </c>
    </row>
    <row r="161">
      <c r="A161" s="35">
        <v>46100.0</v>
      </c>
      <c r="B161" s="46" t="s">
        <v>43</v>
      </c>
      <c r="C161" s="37"/>
      <c r="D161" s="37"/>
      <c r="E161" s="12">
        <f t="shared" si="133"/>
        <v>0</v>
      </c>
      <c r="F161" s="47"/>
      <c r="G161" s="14" t="str">
        <f t="shared" si="134"/>
        <v>#DIV/0!</v>
      </c>
      <c r="H161" s="37"/>
      <c r="I161" s="40"/>
      <c r="J161" s="37">
        <f t="shared" si="135"/>
        <v>0</v>
      </c>
      <c r="K161" s="52"/>
      <c r="L161" s="48" t="str">
        <f t="shared" si="137"/>
        <v>#DIV/0!</v>
      </c>
      <c r="M161" s="50"/>
      <c r="N161" s="49">
        <v>1621000.0</v>
      </c>
      <c r="R161" s="80" t="str">
        <f t="shared" si="123"/>
        <v/>
      </c>
    </row>
    <row r="162">
      <c r="A162" s="35">
        <v>46105.0</v>
      </c>
      <c r="B162" s="46" t="s">
        <v>43</v>
      </c>
      <c r="C162" s="37"/>
      <c r="D162" s="37"/>
      <c r="E162" s="12">
        <f t="shared" si="133"/>
        <v>0</v>
      </c>
      <c r="F162" s="47"/>
      <c r="G162" s="14" t="str">
        <f t="shared" si="134"/>
        <v>#DIV/0!</v>
      </c>
      <c r="H162" s="37"/>
      <c r="I162" s="40"/>
      <c r="J162" s="37">
        <f t="shared" si="135"/>
        <v>0</v>
      </c>
      <c r="K162" s="52"/>
      <c r="L162" s="48" t="str">
        <f t="shared" si="137"/>
        <v>#DIV/0!</v>
      </c>
      <c r="M162" s="50"/>
      <c r="N162" s="49">
        <v>2005000.0</v>
      </c>
      <c r="R162" s="80" t="str">
        <f t="shared" si="123"/>
        <v/>
      </c>
    </row>
    <row r="163">
      <c r="A163" s="35"/>
      <c r="B163" s="46" t="s">
        <v>43</v>
      </c>
      <c r="C163" s="37"/>
      <c r="D163" s="133"/>
      <c r="E163" s="12">
        <f t="shared" si="133"/>
        <v>0</v>
      </c>
      <c r="F163" s="47"/>
      <c r="G163" s="14" t="str">
        <f t="shared" si="134"/>
        <v>#DIV/0!</v>
      </c>
      <c r="H163" s="37"/>
      <c r="I163" s="93"/>
      <c r="J163" s="37">
        <f t="shared" si="135"/>
        <v>0</v>
      </c>
      <c r="K163" s="52" t="str">
        <f t="shared" ref="K163:K165" si="138">F163</f>
        <v/>
      </c>
      <c r="L163" s="48" t="str">
        <f t="shared" si="137"/>
        <v>#DIV/0!</v>
      </c>
      <c r="M163" s="50"/>
      <c r="N163" s="49">
        <f t="shared" ref="N163:N164" si="139">F163*M163</f>
        <v>0</v>
      </c>
      <c r="R163" s="80" t="str">
        <f t="shared" si="123"/>
        <v/>
      </c>
    </row>
    <row r="164">
      <c r="A164" s="35"/>
      <c r="B164" s="46" t="s">
        <v>43</v>
      </c>
      <c r="C164" s="37"/>
      <c r="D164" s="133"/>
      <c r="E164" s="12">
        <f t="shared" si="133"/>
        <v>0</v>
      </c>
      <c r="F164" s="47"/>
      <c r="G164" s="14" t="str">
        <f t="shared" si="134"/>
        <v>#DIV/0!</v>
      </c>
      <c r="H164" s="37"/>
      <c r="I164" s="93"/>
      <c r="J164" s="37">
        <f t="shared" si="135"/>
        <v>0</v>
      </c>
      <c r="K164" s="52" t="str">
        <f t="shared" si="138"/>
        <v/>
      </c>
      <c r="L164" s="48" t="str">
        <f t="shared" si="137"/>
        <v>#DIV/0!</v>
      </c>
      <c r="M164" s="50"/>
      <c r="N164" s="49">
        <f t="shared" si="139"/>
        <v>0</v>
      </c>
      <c r="R164" s="80" t="str">
        <f t="shared" si="123"/>
        <v/>
      </c>
    </row>
    <row r="165">
      <c r="A165" s="146"/>
      <c r="B165" s="46" t="s">
        <v>43</v>
      </c>
      <c r="C165" s="55"/>
      <c r="D165" s="95"/>
      <c r="E165" s="25">
        <f t="shared" si="133"/>
        <v>0</v>
      </c>
      <c r="F165" s="47"/>
      <c r="G165" s="56" t="str">
        <f t="shared" si="134"/>
        <v>#DIV/0!</v>
      </c>
      <c r="H165" s="55"/>
      <c r="I165" s="85"/>
      <c r="J165" s="55">
        <f t="shared" si="135"/>
        <v>0</v>
      </c>
      <c r="K165" s="52" t="str">
        <f t="shared" si="138"/>
        <v/>
      </c>
      <c r="L165" s="77" t="str">
        <f t="shared" si="137"/>
        <v>#DIV/0!</v>
      </c>
      <c r="M165" s="50"/>
      <c r="N165" s="49">
        <f>M165*K165</f>
        <v>0</v>
      </c>
      <c r="R165" s="80" t="str">
        <f t="shared" si="123"/>
        <v/>
      </c>
    </row>
    <row r="166">
      <c r="A166" s="62"/>
      <c r="B166" s="63"/>
      <c r="C166" s="62"/>
      <c r="D166" s="64" t="s">
        <v>19</v>
      </c>
      <c r="E166" s="64">
        <f>sum(E158:E165)</f>
        <v>0</v>
      </c>
      <c r="F166" s="39"/>
      <c r="G166" s="65" t="str">
        <f>average(G158:G165)</f>
        <v>#DIV/0!</v>
      </c>
      <c r="H166" s="62"/>
      <c r="I166" s="66"/>
      <c r="J166" s="64">
        <f t="shared" ref="J166:K166" si="140">sum(J158:J165)</f>
        <v>0</v>
      </c>
      <c r="K166" s="64">
        <f t="shared" si="140"/>
        <v>0</v>
      </c>
      <c r="L166" s="65" t="str">
        <f>average(L158:L165)</f>
        <v>#DIV/0!</v>
      </c>
      <c r="M166" s="72"/>
      <c r="N166" s="147">
        <f>sum(N158:N165)</f>
        <v>8439000</v>
      </c>
      <c r="R166" s="80" t="str">
        <f t="shared" si="123"/>
        <v/>
      </c>
    </row>
    <row r="167">
      <c r="A167" s="70">
        <v>46084.0</v>
      </c>
      <c r="B167" s="99" t="s">
        <v>30</v>
      </c>
      <c r="C167" s="89"/>
      <c r="D167" s="13"/>
      <c r="E167" s="38">
        <f t="shared" ref="E167:E174" si="141">D167-C167</f>
        <v>0</v>
      </c>
      <c r="F167" s="39"/>
      <c r="G167" s="14" t="str">
        <f t="shared" ref="G167:G174" si="142">(F167/E167)*100</f>
        <v>#DIV/0!</v>
      </c>
      <c r="H167" s="137"/>
      <c r="I167" s="138"/>
      <c r="J167" s="41">
        <f t="shared" ref="J167:J174" si="143">I167-H167</f>
        <v>0</v>
      </c>
      <c r="K167" s="52" t="str">
        <f t="shared" ref="K167:K174" si="144">F167</f>
        <v/>
      </c>
      <c r="L167" s="71" t="str">
        <f t="shared" ref="L167:L174" si="145">(K167/J167)*100</f>
        <v>#DIV/0!</v>
      </c>
      <c r="M167" s="72"/>
      <c r="N167" s="49">
        <v>1484000.0</v>
      </c>
      <c r="R167" s="80" t="str">
        <f t="shared" si="123"/>
        <v/>
      </c>
    </row>
    <row r="168">
      <c r="A168" s="35">
        <v>46089.0</v>
      </c>
      <c r="B168" s="46" t="s">
        <v>30</v>
      </c>
      <c r="C168" s="37"/>
      <c r="D168" s="13"/>
      <c r="E168" s="12">
        <f t="shared" si="141"/>
        <v>0</v>
      </c>
      <c r="F168" s="47"/>
      <c r="G168" s="14" t="str">
        <f t="shared" si="142"/>
        <v>#DIV/0!</v>
      </c>
      <c r="H168" s="40"/>
      <c r="I168" s="40"/>
      <c r="J168" s="37">
        <f t="shared" si="143"/>
        <v>0</v>
      </c>
      <c r="K168" s="52" t="str">
        <f t="shared" si="144"/>
        <v/>
      </c>
      <c r="L168" s="48" t="str">
        <f t="shared" si="145"/>
        <v>#DIV/0!</v>
      </c>
      <c r="M168" s="50"/>
      <c r="N168" s="49">
        <v>2116000.0</v>
      </c>
      <c r="R168" s="80" t="str">
        <f t="shared" si="123"/>
        <v/>
      </c>
    </row>
    <row r="169">
      <c r="A169" s="35">
        <v>46097.0</v>
      </c>
      <c r="B169" s="46" t="s">
        <v>30</v>
      </c>
      <c r="C169" s="37"/>
      <c r="D169" s="37"/>
      <c r="E169" s="12">
        <f t="shared" si="141"/>
        <v>0</v>
      </c>
      <c r="F169" s="47"/>
      <c r="G169" s="14" t="str">
        <f t="shared" si="142"/>
        <v>#DIV/0!</v>
      </c>
      <c r="H169" s="37"/>
      <c r="I169" s="40"/>
      <c r="J169" s="37">
        <f t="shared" si="143"/>
        <v>0</v>
      </c>
      <c r="K169" s="52" t="str">
        <f t="shared" si="144"/>
        <v/>
      </c>
      <c r="L169" s="48" t="str">
        <f t="shared" si="145"/>
        <v>#DIV/0!</v>
      </c>
      <c r="M169" s="50"/>
      <c r="N169" s="49">
        <v>2162000.0</v>
      </c>
      <c r="R169" s="80" t="str">
        <f t="shared" si="123"/>
        <v/>
      </c>
    </row>
    <row r="170">
      <c r="A170" s="35">
        <v>46104.0</v>
      </c>
      <c r="B170" s="46" t="s">
        <v>30</v>
      </c>
      <c r="C170" s="37"/>
      <c r="D170" s="37"/>
      <c r="E170" s="12">
        <f t="shared" si="141"/>
        <v>0</v>
      </c>
      <c r="F170" s="47"/>
      <c r="G170" s="14" t="str">
        <f t="shared" si="142"/>
        <v>#DIV/0!</v>
      </c>
      <c r="H170" s="37"/>
      <c r="I170" s="40"/>
      <c r="J170" s="37">
        <f t="shared" si="143"/>
        <v>0</v>
      </c>
      <c r="K170" s="52" t="str">
        <f t="shared" si="144"/>
        <v/>
      </c>
      <c r="L170" s="48" t="str">
        <f t="shared" si="145"/>
        <v>#DIV/0!</v>
      </c>
      <c r="M170" s="50"/>
      <c r="N170" s="49">
        <v>2473000.0</v>
      </c>
      <c r="R170" s="80" t="str">
        <f t="shared" si="123"/>
        <v/>
      </c>
    </row>
    <row r="171">
      <c r="A171" s="35"/>
      <c r="B171" s="46" t="s">
        <v>30</v>
      </c>
      <c r="C171" s="37"/>
      <c r="D171" s="37"/>
      <c r="E171" s="12">
        <f t="shared" si="141"/>
        <v>0</v>
      </c>
      <c r="F171" s="47"/>
      <c r="G171" s="14" t="str">
        <f t="shared" si="142"/>
        <v>#DIV/0!</v>
      </c>
      <c r="H171" s="37"/>
      <c r="I171" s="40"/>
      <c r="J171" s="37">
        <f t="shared" si="143"/>
        <v>0</v>
      </c>
      <c r="K171" s="52" t="str">
        <f t="shared" si="144"/>
        <v/>
      </c>
      <c r="L171" s="48" t="str">
        <f t="shared" si="145"/>
        <v>#DIV/0!</v>
      </c>
      <c r="M171" s="50"/>
      <c r="N171" s="49">
        <f t="shared" ref="N171:N173" si="146">F171*M171</f>
        <v>0</v>
      </c>
      <c r="R171" s="80" t="str">
        <f t="shared" si="123"/>
        <v/>
      </c>
    </row>
    <row r="172">
      <c r="A172" s="35"/>
      <c r="B172" s="46" t="s">
        <v>30</v>
      </c>
      <c r="C172" s="37"/>
      <c r="D172" s="133"/>
      <c r="E172" s="12">
        <f t="shared" si="141"/>
        <v>0</v>
      </c>
      <c r="F172" s="47"/>
      <c r="G172" s="14" t="str">
        <f t="shared" si="142"/>
        <v>#DIV/0!</v>
      </c>
      <c r="H172" s="37"/>
      <c r="I172" s="93"/>
      <c r="J172" s="37">
        <f t="shared" si="143"/>
        <v>0</v>
      </c>
      <c r="K172" s="52" t="str">
        <f t="shared" si="144"/>
        <v/>
      </c>
      <c r="L172" s="48" t="str">
        <f t="shared" si="145"/>
        <v>#DIV/0!</v>
      </c>
      <c r="M172" s="50"/>
      <c r="N172" s="49">
        <f t="shared" si="146"/>
        <v>0</v>
      </c>
      <c r="R172" s="80" t="str">
        <f t="shared" si="123"/>
        <v/>
      </c>
    </row>
    <row r="173">
      <c r="A173" s="35"/>
      <c r="B173" s="46" t="s">
        <v>30</v>
      </c>
      <c r="C173" s="37"/>
      <c r="D173" s="133"/>
      <c r="E173" s="12">
        <f t="shared" si="141"/>
        <v>0</v>
      </c>
      <c r="F173" s="47"/>
      <c r="G173" s="14" t="str">
        <f t="shared" si="142"/>
        <v>#DIV/0!</v>
      </c>
      <c r="H173" s="37"/>
      <c r="I173" s="93"/>
      <c r="J173" s="37">
        <f t="shared" si="143"/>
        <v>0</v>
      </c>
      <c r="K173" s="52" t="str">
        <f t="shared" si="144"/>
        <v/>
      </c>
      <c r="L173" s="77" t="str">
        <f t="shared" si="145"/>
        <v>#DIV/0!</v>
      </c>
      <c r="M173" s="50"/>
      <c r="N173" s="49">
        <f t="shared" si="146"/>
        <v>0</v>
      </c>
      <c r="R173" s="80" t="str">
        <f t="shared" si="123"/>
        <v/>
      </c>
    </row>
    <row r="174">
      <c r="A174" s="148"/>
      <c r="B174" s="46" t="s">
        <v>30</v>
      </c>
      <c r="C174" s="149"/>
      <c r="D174" s="150"/>
      <c r="E174" s="25">
        <f t="shared" si="141"/>
        <v>0</v>
      </c>
      <c r="F174" s="39"/>
      <c r="G174" s="56" t="str">
        <f t="shared" si="142"/>
        <v>#DIV/0!</v>
      </c>
      <c r="H174" s="149"/>
      <c r="I174" s="151"/>
      <c r="J174" s="149">
        <f t="shared" si="143"/>
        <v>0</v>
      </c>
      <c r="K174" s="52" t="str">
        <f t="shared" si="144"/>
        <v/>
      </c>
      <c r="L174" s="152" t="str">
        <f t="shared" si="145"/>
        <v>#DIV/0!</v>
      </c>
      <c r="M174" s="153"/>
      <c r="N174" s="49">
        <f>M174*K174</f>
        <v>0</v>
      </c>
      <c r="R174" s="80" t="str">
        <f t="shared" si="123"/>
        <v/>
      </c>
    </row>
    <row r="175">
      <c r="A175" s="62"/>
      <c r="B175" s="63"/>
      <c r="C175" s="62"/>
      <c r="D175" s="64" t="s">
        <v>19</v>
      </c>
      <c r="E175" s="64">
        <f t="shared" ref="E175:F175" si="147">sum(E167:E174)</f>
        <v>0</v>
      </c>
      <c r="F175" s="64">
        <f t="shared" si="147"/>
        <v>0</v>
      </c>
      <c r="G175" s="65" t="str">
        <f>average(G167:G174)</f>
        <v>#DIV/0!</v>
      </c>
      <c r="H175" s="62"/>
      <c r="I175" s="66"/>
      <c r="J175" s="64">
        <f t="shared" ref="J175:K175" si="148">sum(J167:J174)</f>
        <v>0</v>
      </c>
      <c r="K175" s="64">
        <f t="shared" si="148"/>
        <v>0</v>
      </c>
      <c r="L175" s="65" t="str">
        <f>average(L167:L174)</f>
        <v>#DIV/0!</v>
      </c>
      <c r="M175" s="68"/>
      <c r="N175" s="69">
        <f>sum(N167:N174)</f>
        <v>8235000</v>
      </c>
      <c r="R175" s="80" t="str">
        <f t="shared" si="123"/>
        <v/>
      </c>
    </row>
    <row r="176">
      <c r="A176" s="154">
        <v>46085.0</v>
      </c>
      <c r="B176" s="99" t="s">
        <v>44</v>
      </c>
      <c r="C176" s="89"/>
      <c r="D176" s="13"/>
      <c r="E176" s="12">
        <f t="shared" ref="E176:E183" si="149">D176-C176</f>
        <v>0</v>
      </c>
      <c r="F176" s="39"/>
      <c r="G176" s="14" t="str">
        <f t="shared" ref="G176:G183" si="150">(F176/E176)*100</f>
        <v>#DIV/0!</v>
      </c>
      <c r="H176" s="137"/>
      <c r="I176" s="138"/>
      <c r="J176" s="41">
        <f t="shared" ref="J176:J183" si="151">I176-H176</f>
        <v>0</v>
      </c>
      <c r="K176" s="52" t="str">
        <f t="shared" ref="K176:K183" si="152">F176</f>
        <v/>
      </c>
      <c r="L176" s="71" t="str">
        <f t="shared" ref="L176:L183" si="153">(K176/J176)*100</f>
        <v>#DIV/0!</v>
      </c>
      <c r="M176" s="72"/>
      <c r="N176" s="131">
        <v>1349000.0</v>
      </c>
    </row>
    <row r="177">
      <c r="A177" s="35">
        <v>46089.0</v>
      </c>
      <c r="B177" s="99" t="s">
        <v>44</v>
      </c>
      <c r="C177" s="37"/>
      <c r="D177" s="13"/>
      <c r="E177" s="12">
        <f t="shared" si="149"/>
        <v>0</v>
      </c>
      <c r="F177" s="47"/>
      <c r="G177" s="14" t="str">
        <f t="shared" si="150"/>
        <v>#DIV/0!</v>
      </c>
      <c r="H177" s="40"/>
      <c r="I177" s="40"/>
      <c r="J177" s="37">
        <f t="shared" si="151"/>
        <v>0</v>
      </c>
      <c r="K177" s="52" t="str">
        <f t="shared" si="152"/>
        <v/>
      </c>
      <c r="L177" s="48" t="str">
        <f t="shared" si="153"/>
        <v>#DIV/0!</v>
      </c>
      <c r="M177" s="72"/>
      <c r="N177" s="131">
        <v>2116000.0</v>
      </c>
    </row>
    <row r="178">
      <c r="A178" s="35">
        <v>46093.0</v>
      </c>
      <c r="B178" s="99" t="s">
        <v>44</v>
      </c>
      <c r="C178" s="37"/>
      <c r="D178" s="37"/>
      <c r="E178" s="12">
        <f t="shared" si="149"/>
        <v>0</v>
      </c>
      <c r="F178" s="47"/>
      <c r="G178" s="14" t="str">
        <f t="shared" si="150"/>
        <v>#DIV/0!</v>
      </c>
      <c r="H178" s="37"/>
      <c r="I178" s="40"/>
      <c r="J178" s="37">
        <f t="shared" si="151"/>
        <v>0</v>
      </c>
      <c r="K178" s="52" t="str">
        <f t="shared" si="152"/>
        <v/>
      </c>
      <c r="L178" s="48" t="str">
        <f t="shared" si="153"/>
        <v>#DIV/0!</v>
      </c>
      <c r="M178" s="72"/>
      <c r="N178" s="131">
        <v>1853000.0</v>
      </c>
    </row>
    <row r="179">
      <c r="A179" s="35">
        <v>46099.0</v>
      </c>
      <c r="B179" s="99" t="s">
        <v>44</v>
      </c>
      <c r="C179" s="37"/>
      <c r="D179" s="37"/>
      <c r="E179" s="12">
        <f t="shared" si="149"/>
        <v>0</v>
      </c>
      <c r="F179" s="47"/>
      <c r="G179" s="14" t="str">
        <f t="shared" si="150"/>
        <v>#DIV/0!</v>
      </c>
      <c r="H179" s="37"/>
      <c r="I179" s="40"/>
      <c r="J179" s="37">
        <f t="shared" si="151"/>
        <v>0</v>
      </c>
      <c r="K179" s="52" t="str">
        <f t="shared" si="152"/>
        <v/>
      </c>
      <c r="L179" s="48" t="str">
        <f t="shared" si="153"/>
        <v>#DIV/0!</v>
      </c>
      <c r="M179" s="72"/>
      <c r="N179" s="131">
        <v>1891000.0</v>
      </c>
    </row>
    <row r="180">
      <c r="A180" s="35">
        <v>46104.0</v>
      </c>
      <c r="B180" s="99" t="s">
        <v>44</v>
      </c>
      <c r="C180" s="37"/>
      <c r="D180" s="37"/>
      <c r="E180" s="12">
        <f t="shared" si="149"/>
        <v>0</v>
      </c>
      <c r="F180" s="47"/>
      <c r="G180" s="14" t="str">
        <f t="shared" si="150"/>
        <v>#DIV/0!</v>
      </c>
      <c r="H180" s="37"/>
      <c r="I180" s="40"/>
      <c r="J180" s="37">
        <f t="shared" si="151"/>
        <v>0</v>
      </c>
      <c r="K180" s="52" t="str">
        <f t="shared" si="152"/>
        <v/>
      </c>
      <c r="L180" s="48" t="str">
        <f t="shared" si="153"/>
        <v>#DIV/0!</v>
      </c>
      <c r="M180" s="72"/>
      <c r="N180" s="131">
        <v>1671000.0</v>
      </c>
    </row>
    <row r="181">
      <c r="A181" s="35">
        <v>46112.0</v>
      </c>
      <c r="B181" s="99" t="s">
        <v>44</v>
      </c>
      <c r="C181" s="37"/>
      <c r="D181" s="133"/>
      <c r="E181" s="12">
        <f t="shared" si="149"/>
        <v>0</v>
      </c>
      <c r="F181" s="47"/>
      <c r="G181" s="14" t="str">
        <f t="shared" si="150"/>
        <v>#DIV/0!</v>
      </c>
      <c r="H181" s="37"/>
      <c r="I181" s="93"/>
      <c r="J181" s="37">
        <f t="shared" si="151"/>
        <v>0</v>
      </c>
      <c r="K181" s="52" t="str">
        <f t="shared" si="152"/>
        <v/>
      </c>
      <c r="L181" s="48" t="str">
        <f t="shared" si="153"/>
        <v>#DIV/0!</v>
      </c>
      <c r="M181" s="72"/>
      <c r="N181" s="131">
        <v>1772000.0</v>
      </c>
    </row>
    <row r="182">
      <c r="A182" s="35"/>
      <c r="B182" s="99" t="s">
        <v>44</v>
      </c>
      <c r="C182" s="37"/>
      <c r="D182" s="133"/>
      <c r="E182" s="12">
        <f t="shared" si="149"/>
        <v>0</v>
      </c>
      <c r="F182" s="47"/>
      <c r="G182" s="14" t="str">
        <f t="shared" si="150"/>
        <v>#DIV/0!</v>
      </c>
      <c r="H182" s="37"/>
      <c r="I182" s="93"/>
      <c r="J182" s="37">
        <f t="shared" si="151"/>
        <v>0</v>
      </c>
      <c r="K182" s="52" t="str">
        <f t="shared" si="152"/>
        <v/>
      </c>
      <c r="L182" s="48" t="str">
        <f t="shared" si="153"/>
        <v>#DIV/0!</v>
      </c>
      <c r="M182" s="50"/>
      <c r="N182" s="131">
        <f t="shared" ref="N182:N183" si="154">M182*K182</f>
        <v>0</v>
      </c>
    </row>
    <row r="183">
      <c r="A183" s="146"/>
      <c r="B183" s="99" t="s">
        <v>44</v>
      </c>
      <c r="C183" s="55"/>
      <c r="D183" s="95"/>
      <c r="E183" s="25">
        <f t="shared" si="149"/>
        <v>0</v>
      </c>
      <c r="F183" s="47"/>
      <c r="G183" s="56" t="str">
        <f t="shared" si="150"/>
        <v>#DIV/0!</v>
      </c>
      <c r="H183" s="55"/>
      <c r="I183" s="85"/>
      <c r="J183" s="55">
        <f t="shared" si="151"/>
        <v>0</v>
      </c>
      <c r="K183" s="52" t="str">
        <f t="shared" si="152"/>
        <v/>
      </c>
      <c r="L183" s="77" t="str">
        <f t="shared" si="153"/>
        <v>#DIV/0!</v>
      </c>
      <c r="M183" s="58"/>
      <c r="N183" s="49">
        <f t="shared" si="154"/>
        <v>0</v>
      </c>
    </row>
    <row r="184">
      <c r="A184" s="62"/>
      <c r="B184" s="63"/>
      <c r="C184" s="62"/>
      <c r="D184" s="64" t="s">
        <v>19</v>
      </c>
      <c r="E184" s="64">
        <f t="shared" ref="E184:F184" si="155">sum(E176:E183)</f>
        <v>0</v>
      </c>
      <c r="F184" s="64">
        <f t="shared" si="155"/>
        <v>0</v>
      </c>
      <c r="G184" s="65" t="str">
        <f>average(G176:G183)</f>
        <v>#DIV/0!</v>
      </c>
      <c r="H184" s="62"/>
      <c r="I184" s="66"/>
      <c r="J184" s="64">
        <f t="shared" ref="J184:K184" si="156">sum(J176:J183)</f>
        <v>0</v>
      </c>
      <c r="K184" s="64">
        <f t="shared" si="156"/>
        <v>0</v>
      </c>
      <c r="L184" s="65" t="str">
        <f>average(L176:L183)</f>
        <v>#DIV/0!</v>
      </c>
      <c r="M184" s="68"/>
      <c r="N184" s="69">
        <f>sum(N176:N183)</f>
        <v>10652000</v>
      </c>
    </row>
    <row r="185">
      <c r="A185" s="155">
        <v>46084.0</v>
      </c>
      <c r="B185" s="156" t="s">
        <v>32</v>
      </c>
      <c r="C185" s="89"/>
      <c r="D185" s="13"/>
      <c r="E185" s="38">
        <f t="shared" ref="E185:E192" si="157">D185-C185</f>
        <v>0</v>
      </c>
      <c r="F185" s="39"/>
      <c r="G185" s="14" t="str">
        <f t="shared" ref="G185:G192" si="158">(F185/E185)*100</f>
        <v>#DIV/0!</v>
      </c>
      <c r="H185" s="137"/>
      <c r="I185" s="138"/>
      <c r="J185" s="41">
        <f t="shared" ref="J185:J192" si="159">I185-H185</f>
        <v>0</v>
      </c>
      <c r="K185" s="52" t="str">
        <f t="shared" ref="K185:K189" si="160">F185</f>
        <v/>
      </c>
      <c r="L185" s="152" t="str">
        <f t="shared" ref="L185:L192" si="161">(K185/J185)*100</f>
        <v>#DIV/0!</v>
      </c>
      <c r="M185" s="72"/>
      <c r="N185" s="131">
        <v>1349000.0</v>
      </c>
    </row>
    <row r="186">
      <c r="A186" s="154">
        <v>46091.0</v>
      </c>
      <c r="B186" s="156" t="s">
        <v>32</v>
      </c>
      <c r="C186" s="89"/>
      <c r="D186" s="13"/>
      <c r="E186" s="38">
        <f t="shared" si="157"/>
        <v>0</v>
      </c>
      <c r="F186" s="47"/>
      <c r="G186" s="14" t="str">
        <f t="shared" si="158"/>
        <v>#DIV/0!</v>
      </c>
      <c r="H186" s="40"/>
      <c r="I186" s="40"/>
      <c r="J186" s="37">
        <f t="shared" si="159"/>
        <v>0</v>
      </c>
      <c r="K186" s="52" t="str">
        <f t="shared" si="160"/>
        <v/>
      </c>
      <c r="L186" s="152" t="str">
        <f t="shared" si="161"/>
        <v>#DIV/0!</v>
      </c>
      <c r="M186" s="126"/>
      <c r="N186" s="131">
        <v>2328000.0</v>
      </c>
    </row>
    <row r="187">
      <c r="A187" s="154">
        <v>46098.0</v>
      </c>
      <c r="B187" s="156" t="s">
        <v>32</v>
      </c>
      <c r="C187" s="89"/>
      <c r="D187" s="89"/>
      <c r="E187" s="12">
        <f t="shared" si="157"/>
        <v>0</v>
      </c>
      <c r="F187" s="157"/>
      <c r="G187" s="14" t="str">
        <f t="shared" si="158"/>
        <v>#DIV/0!</v>
      </c>
      <c r="H187" s="37"/>
      <c r="I187" s="40"/>
      <c r="J187" s="37">
        <f t="shared" si="159"/>
        <v>0</v>
      </c>
      <c r="K187" s="52" t="str">
        <f t="shared" si="160"/>
        <v/>
      </c>
      <c r="L187" s="152" t="str">
        <f t="shared" si="161"/>
        <v>#DIV/0!</v>
      </c>
      <c r="M187" s="126"/>
      <c r="N187" s="131">
        <v>2432000.0</v>
      </c>
    </row>
    <row r="188">
      <c r="A188" s="154">
        <v>46105.0</v>
      </c>
      <c r="B188" s="156" t="s">
        <v>32</v>
      </c>
      <c r="C188" s="89"/>
      <c r="D188" s="89"/>
      <c r="E188" s="12">
        <f t="shared" si="157"/>
        <v>0</v>
      </c>
      <c r="F188" s="157"/>
      <c r="G188" s="14" t="str">
        <f t="shared" si="158"/>
        <v>#DIV/0!</v>
      </c>
      <c r="H188" s="37"/>
      <c r="I188" s="40"/>
      <c r="J188" s="37">
        <f t="shared" si="159"/>
        <v>0</v>
      </c>
      <c r="K188" s="52" t="str">
        <f t="shared" si="160"/>
        <v/>
      </c>
      <c r="L188" s="152" t="str">
        <f t="shared" si="161"/>
        <v>#DIV/0!</v>
      </c>
      <c r="M188" s="126"/>
      <c r="N188" s="131">
        <v>2005000.0</v>
      </c>
    </row>
    <row r="189">
      <c r="A189" s="154">
        <v>46111.0</v>
      </c>
      <c r="B189" s="156" t="s">
        <v>32</v>
      </c>
      <c r="C189" s="89"/>
      <c r="D189" s="89"/>
      <c r="E189" s="12">
        <f t="shared" si="157"/>
        <v>0</v>
      </c>
      <c r="F189" s="157"/>
      <c r="G189" s="14" t="str">
        <f t="shared" si="158"/>
        <v>#DIV/0!</v>
      </c>
      <c r="H189" s="37"/>
      <c r="I189" s="40"/>
      <c r="J189" s="37">
        <f t="shared" si="159"/>
        <v>0</v>
      </c>
      <c r="K189" s="52" t="str">
        <f t="shared" si="160"/>
        <v/>
      </c>
      <c r="L189" s="152" t="str">
        <f t="shared" si="161"/>
        <v>#DIV/0!</v>
      </c>
      <c r="M189" s="126"/>
      <c r="N189" s="131">
        <v>1063000.0</v>
      </c>
    </row>
    <row r="190">
      <c r="A190" s="154"/>
      <c r="B190" s="156" t="s">
        <v>32</v>
      </c>
      <c r="C190" s="89"/>
      <c r="D190" s="158"/>
      <c r="E190" s="12">
        <f t="shared" si="157"/>
        <v>0</v>
      </c>
      <c r="F190" s="157"/>
      <c r="G190" s="14" t="str">
        <f t="shared" si="158"/>
        <v>#DIV/0!</v>
      </c>
      <c r="H190" s="37"/>
      <c r="I190" s="93"/>
      <c r="J190" s="37">
        <f t="shared" si="159"/>
        <v>0</v>
      </c>
      <c r="K190" s="52"/>
      <c r="L190" s="152" t="str">
        <f t="shared" si="161"/>
        <v>#DIV/0!</v>
      </c>
      <c r="M190" s="126"/>
      <c r="N190" s="131">
        <f t="shared" ref="N190:N192" si="162">M190*K190</f>
        <v>0</v>
      </c>
    </row>
    <row r="191">
      <c r="A191" s="154"/>
      <c r="B191" s="156" t="s">
        <v>32</v>
      </c>
      <c r="C191" s="89"/>
      <c r="D191" s="158"/>
      <c r="E191" s="12">
        <f t="shared" si="157"/>
        <v>0</v>
      </c>
      <c r="F191" s="157"/>
      <c r="G191" s="14" t="str">
        <f t="shared" si="158"/>
        <v>#DIV/0!</v>
      </c>
      <c r="H191" s="89"/>
      <c r="I191" s="159"/>
      <c r="J191" s="89">
        <f t="shared" si="159"/>
        <v>0</v>
      </c>
      <c r="K191" s="52"/>
      <c r="L191" s="152" t="str">
        <f t="shared" si="161"/>
        <v>#DIV/0!</v>
      </c>
      <c r="M191" s="126"/>
      <c r="N191" s="131">
        <f t="shared" si="162"/>
        <v>0</v>
      </c>
    </row>
    <row r="192">
      <c r="A192" s="160"/>
      <c r="B192" s="156" t="s">
        <v>32</v>
      </c>
      <c r="C192" s="149"/>
      <c r="D192" s="150"/>
      <c r="E192" s="25">
        <f t="shared" si="157"/>
        <v>0</v>
      </c>
      <c r="F192" s="161"/>
      <c r="G192" s="56" t="str">
        <f t="shared" si="158"/>
        <v>#DIV/0!</v>
      </c>
      <c r="H192" s="149"/>
      <c r="I192" s="151"/>
      <c r="J192" s="149">
        <f t="shared" si="159"/>
        <v>0</v>
      </c>
      <c r="K192" s="52"/>
      <c r="L192" s="152" t="str">
        <f t="shared" si="161"/>
        <v>#DIV/0!</v>
      </c>
      <c r="M192" s="153"/>
      <c r="N192" s="49">
        <f t="shared" si="162"/>
        <v>0</v>
      </c>
    </row>
    <row r="193">
      <c r="A193" s="160"/>
      <c r="B193" s="63"/>
      <c r="C193" s="62"/>
      <c r="D193" s="64" t="s">
        <v>19</v>
      </c>
      <c r="E193" s="64">
        <f t="shared" ref="E193:F193" si="163">sum(E185:E192)</f>
        <v>0</v>
      </c>
      <c r="F193" s="64">
        <f t="shared" si="163"/>
        <v>0</v>
      </c>
      <c r="G193" s="65" t="str">
        <f>average(G185:G192)</f>
        <v>#DIV/0!</v>
      </c>
      <c r="H193" s="62"/>
      <c r="I193" s="66"/>
      <c r="J193" s="64">
        <f t="shared" ref="J193:K193" si="164">sum(J185:J192)</f>
        <v>0</v>
      </c>
      <c r="K193" s="64">
        <f t="shared" si="164"/>
        <v>0</v>
      </c>
      <c r="L193" s="65" t="str">
        <f>average(L185:L192)</f>
        <v>#DIV/0!</v>
      </c>
      <c r="M193" s="68"/>
      <c r="N193" s="69">
        <f>sum(N185:N192)</f>
        <v>9177000</v>
      </c>
    </row>
    <row r="194">
      <c r="A194" s="155">
        <v>46091.0</v>
      </c>
      <c r="B194" s="162" t="s">
        <v>33</v>
      </c>
      <c r="C194" s="89"/>
      <c r="D194" s="163"/>
      <c r="E194" s="38">
        <f t="shared" ref="E194:E200" si="165">D194-C194</f>
        <v>0</v>
      </c>
      <c r="F194" s="39"/>
      <c r="G194" s="124" t="str">
        <f t="shared" ref="G194:G200" si="166">(F194/E194)*100</f>
        <v>#DIV/0!</v>
      </c>
      <c r="H194" s="137"/>
      <c r="I194" s="138"/>
      <c r="J194" s="41">
        <f t="shared" ref="J194:J200" si="167">I194-H194</f>
        <v>0</v>
      </c>
      <c r="K194" s="52" t="str">
        <f t="shared" ref="K194:K200" si="168">F194</f>
        <v/>
      </c>
      <c r="L194" s="164" t="str">
        <f t="shared" ref="L194:L200" si="169">(K194/J194)*100</f>
        <v>#DIV/0!</v>
      </c>
      <c r="M194" s="72"/>
      <c r="N194" s="131">
        <v>2177000.0</v>
      </c>
      <c r="R194" s="80" t="str">
        <f t="shared" ref="R194:R200" si="170">Q194</f>
        <v/>
      </c>
    </row>
    <row r="195">
      <c r="A195" s="154">
        <v>46093.0</v>
      </c>
      <c r="B195" s="156" t="s">
        <v>33</v>
      </c>
      <c r="C195" s="89"/>
      <c r="D195" s="13"/>
      <c r="E195" s="38">
        <f t="shared" si="165"/>
        <v>0</v>
      </c>
      <c r="F195" s="47"/>
      <c r="G195" s="14" t="str">
        <f t="shared" si="166"/>
        <v>#DIV/0!</v>
      </c>
      <c r="H195" s="40"/>
      <c r="I195" s="40"/>
      <c r="J195" s="37">
        <f t="shared" si="167"/>
        <v>0</v>
      </c>
      <c r="K195" s="52" t="str">
        <f t="shared" si="168"/>
        <v/>
      </c>
      <c r="L195" s="152" t="str">
        <f t="shared" si="169"/>
        <v>#DIV/0!</v>
      </c>
      <c r="M195" s="126"/>
      <c r="N195" s="131">
        <v>1006000.0</v>
      </c>
      <c r="R195" s="80" t="str">
        <f t="shared" si="170"/>
        <v/>
      </c>
    </row>
    <row r="196">
      <c r="A196" s="154"/>
      <c r="B196" s="156" t="s">
        <v>33</v>
      </c>
      <c r="C196" s="89"/>
      <c r="D196" s="89"/>
      <c r="E196" s="12">
        <f t="shared" si="165"/>
        <v>0</v>
      </c>
      <c r="F196" s="157"/>
      <c r="G196" s="14" t="str">
        <f t="shared" si="166"/>
        <v>#DIV/0!</v>
      </c>
      <c r="H196" s="37"/>
      <c r="I196" s="40"/>
      <c r="J196" s="37">
        <f t="shared" si="167"/>
        <v>0</v>
      </c>
      <c r="K196" s="52" t="str">
        <f t="shared" si="168"/>
        <v/>
      </c>
      <c r="L196" s="152" t="str">
        <f t="shared" si="169"/>
        <v>#DIV/0!</v>
      </c>
      <c r="M196" s="126"/>
      <c r="N196" s="131">
        <f t="shared" ref="N196:N200" si="171">M196*K196</f>
        <v>0</v>
      </c>
      <c r="R196" s="80" t="str">
        <f t="shared" si="170"/>
        <v/>
      </c>
    </row>
    <row r="197">
      <c r="A197" s="154"/>
      <c r="B197" s="156" t="s">
        <v>33</v>
      </c>
      <c r="C197" s="89"/>
      <c r="D197" s="89"/>
      <c r="E197" s="12">
        <f t="shared" si="165"/>
        <v>0</v>
      </c>
      <c r="F197" s="157"/>
      <c r="G197" s="14" t="str">
        <f t="shared" si="166"/>
        <v>#DIV/0!</v>
      </c>
      <c r="H197" s="37"/>
      <c r="I197" s="40"/>
      <c r="J197" s="37">
        <f t="shared" si="167"/>
        <v>0</v>
      </c>
      <c r="K197" s="52" t="str">
        <f t="shared" si="168"/>
        <v/>
      </c>
      <c r="L197" s="152" t="str">
        <f t="shared" si="169"/>
        <v>#DIV/0!</v>
      </c>
      <c r="M197" s="126"/>
      <c r="N197" s="131">
        <f t="shared" si="171"/>
        <v>0</v>
      </c>
      <c r="R197" s="80" t="str">
        <f t="shared" si="170"/>
        <v/>
      </c>
    </row>
    <row r="198">
      <c r="A198" s="154"/>
      <c r="B198" s="156" t="s">
        <v>33</v>
      </c>
      <c r="C198" s="89"/>
      <c r="D198" s="89"/>
      <c r="E198" s="12">
        <f t="shared" si="165"/>
        <v>0</v>
      </c>
      <c r="F198" s="157"/>
      <c r="G198" s="14" t="str">
        <f t="shared" si="166"/>
        <v>#DIV/0!</v>
      </c>
      <c r="H198" s="37"/>
      <c r="I198" s="40"/>
      <c r="J198" s="37">
        <f t="shared" si="167"/>
        <v>0</v>
      </c>
      <c r="K198" s="52" t="str">
        <f t="shared" si="168"/>
        <v/>
      </c>
      <c r="L198" s="152" t="str">
        <f t="shared" si="169"/>
        <v>#DIV/0!</v>
      </c>
      <c r="M198" s="126"/>
      <c r="N198" s="131">
        <f t="shared" si="171"/>
        <v>0</v>
      </c>
      <c r="R198" s="80" t="str">
        <f t="shared" si="170"/>
        <v/>
      </c>
    </row>
    <row r="199">
      <c r="A199" s="154"/>
      <c r="B199" s="156" t="s">
        <v>33</v>
      </c>
      <c r="C199" s="89"/>
      <c r="D199" s="158"/>
      <c r="E199" s="12">
        <f t="shared" si="165"/>
        <v>0</v>
      </c>
      <c r="F199" s="157"/>
      <c r="G199" s="14" t="str">
        <f t="shared" si="166"/>
        <v>#DIV/0!</v>
      </c>
      <c r="H199" s="37"/>
      <c r="I199" s="93"/>
      <c r="J199" s="37">
        <f t="shared" si="167"/>
        <v>0</v>
      </c>
      <c r="K199" s="52" t="str">
        <f t="shared" si="168"/>
        <v/>
      </c>
      <c r="L199" s="152" t="str">
        <f t="shared" si="169"/>
        <v>#DIV/0!</v>
      </c>
      <c r="M199" s="126"/>
      <c r="N199" s="131">
        <f t="shared" si="171"/>
        <v>0</v>
      </c>
      <c r="R199" s="80" t="str">
        <f t="shared" si="170"/>
        <v/>
      </c>
    </row>
    <row r="200">
      <c r="A200" s="154"/>
      <c r="B200" s="156" t="s">
        <v>33</v>
      </c>
      <c r="C200" s="89"/>
      <c r="D200" s="158"/>
      <c r="E200" s="12">
        <f t="shared" si="165"/>
        <v>0</v>
      </c>
      <c r="F200" s="157"/>
      <c r="G200" s="14" t="str">
        <f t="shared" si="166"/>
        <v>#DIV/0!</v>
      </c>
      <c r="H200" s="89"/>
      <c r="I200" s="159"/>
      <c r="J200" s="89">
        <f t="shared" si="167"/>
        <v>0</v>
      </c>
      <c r="K200" s="52" t="str">
        <f t="shared" si="168"/>
        <v/>
      </c>
      <c r="L200" s="152" t="str">
        <f t="shared" si="169"/>
        <v>#DIV/0!</v>
      </c>
      <c r="M200" s="126"/>
      <c r="N200" s="131">
        <f t="shared" si="171"/>
        <v>0</v>
      </c>
      <c r="R200" s="80" t="str">
        <f t="shared" si="170"/>
        <v/>
      </c>
    </row>
    <row r="201">
      <c r="A201" s="154"/>
      <c r="B201" s="63"/>
      <c r="C201" s="62"/>
      <c r="D201" s="64" t="s">
        <v>19</v>
      </c>
      <c r="E201" s="64">
        <f t="shared" ref="E201:F201" si="172">sum(E188:E200)</f>
        <v>0</v>
      </c>
      <c r="F201" s="64">
        <f t="shared" si="172"/>
        <v>0</v>
      </c>
      <c r="G201" s="65" t="str">
        <f>average(G188:G200)</f>
        <v>#DIV/0!</v>
      </c>
      <c r="H201" s="62"/>
      <c r="I201" s="66"/>
      <c r="J201" s="64">
        <f>sum(J188:J200)</f>
        <v>0</v>
      </c>
      <c r="K201" s="64">
        <f>sum(K194:K200)</f>
        <v>0</v>
      </c>
      <c r="L201" s="65" t="str">
        <f>average(L188:L200)</f>
        <v>#DIV/0!</v>
      </c>
      <c r="M201" s="68"/>
      <c r="N201" s="147">
        <f>sum(N194:N200)</f>
        <v>3183000</v>
      </c>
    </row>
    <row r="202">
      <c r="A202" s="154">
        <v>46087.0</v>
      </c>
      <c r="B202" s="156" t="s">
        <v>34</v>
      </c>
      <c r="C202" s="89"/>
      <c r="D202" s="163"/>
      <c r="E202" s="38">
        <f t="shared" ref="E202:E208" si="173">D202-C202</f>
        <v>0</v>
      </c>
      <c r="F202" s="39"/>
      <c r="G202" s="124" t="str">
        <f t="shared" ref="G202:G208" si="174">(F202/E202)*100</f>
        <v>#DIV/0!</v>
      </c>
      <c r="H202" s="137"/>
      <c r="I202" s="138"/>
      <c r="J202" s="41">
        <f t="shared" ref="J202:J208" si="175">I202-H202</f>
        <v>0</v>
      </c>
      <c r="K202" s="52" t="str">
        <f t="shared" ref="K202:K208" si="176">F202</f>
        <v/>
      </c>
      <c r="L202" s="164" t="str">
        <f t="shared" ref="L202:L208" si="177">(K202/J202)*100</f>
        <v>#DIV/0!</v>
      </c>
      <c r="M202" s="72"/>
      <c r="N202" s="131">
        <v>1796000.0</v>
      </c>
    </row>
    <row r="203">
      <c r="A203" s="154">
        <v>46094.0</v>
      </c>
      <c r="B203" s="156" t="s">
        <v>34</v>
      </c>
      <c r="C203" s="89"/>
      <c r="D203" s="13"/>
      <c r="E203" s="38">
        <f t="shared" si="173"/>
        <v>0</v>
      </c>
      <c r="F203" s="47"/>
      <c r="G203" s="14" t="str">
        <f t="shared" si="174"/>
        <v>#DIV/0!</v>
      </c>
      <c r="H203" s="40"/>
      <c r="I203" s="40"/>
      <c r="J203" s="37">
        <f t="shared" si="175"/>
        <v>0</v>
      </c>
      <c r="K203" s="52" t="str">
        <f t="shared" si="176"/>
        <v/>
      </c>
      <c r="L203" s="152" t="str">
        <f t="shared" si="177"/>
        <v>#DIV/0!</v>
      </c>
      <c r="M203" s="126"/>
      <c r="N203" s="131">
        <v>2027000.0</v>
      </c>
    </row>
    <row r="204">
      <c r="A204" s="154">
        <v>46100.0</v>
      </c>
      <c r="B204" s="156" t="s">
        <v>34</v>
      </c>
      <c r="C204" s="89"/>
      <c r="D204" s="89"/>
      <c r="E204" s="12">
        <f t="shared" si="173"/>
        <v>0</v>
      </c>
      <c r="F204" s="157"/>
      <c r="G204" s="14" t="str">
        <f t="shared" si="174"/>
        <v>#DIV/0!</v>
      </c>
      <c r="H204" s="37"/>
      <c r="I204" s="40"/>
      <c r="J204" s="37">
        <f t="shared" si="175"/>
        <v>0</v>
      </c>
      <c r="K204" s="52" t="str">
        <f t="shared" si="176"/>
        <v/>
      </c>
      <c r="L204" s="152" t="str">
        <f t="shared" si="177"/>
        <v>#DIV/0!</v>
      </c>
      <c r="M204" s="126"/>
      <c r="N204" s="131">
        <v>1837000.0</v>
      </c>
    </row>
    <row r="205">
      <c r="A205" s="154">
        <v>46106.0</v>
      </c>
      <c r="B205" s="156" t="s">
        <v>34</v>
      </c>
      <c r="C205" s="89"/>
      <c r="D205" s="89"/>
      <c r="E205" s="12">
        <f t="shared" si="173"/>
        <v>0</v>
      </c>
      <c r="F205" s="157"/>
      <c r="G205" s="14" t="str">
        <f t="shared" si="174"/>
        <v>#DIV/0!</v>
      </c>
      <c r="H205" s="37"/>
      <c r="I205" s="40"/>
      <c r="J205" s="37">
        <f t="shared" si="175"/>
        <v>0</v>
      </c>
      <c r="K205" s="52" t="str">
        <f t="shared" si="176"/>
        <v/>
      </c>
      <c r="L205" s="152" t="str">
        <f t="shared" si="177"/>
        <v>#DIV/0!</v>
      </c>
      <c r="M205" s="126"/>
      <c r="N205" s="131">
        <v>2728000.0</v>
      </c>
    </row>
    <row r="206">
      <c r="A206" s="154">
        <v>46112.0</v>
      </c>
      <c r="B206" s="156" t="s">
        <v>34</v>
      </c>
      <c r="C206" s="89"/>
      <c r="D206" s="89"/>
      <c r="E206" s="12">
        <f t="shared" si="173"/>
        <v>0</v>
      </c>
      <c r="F206" s="157"/>
      <c r="G206" s="14" t="str">
        <f t="shared" si="174"/>
        <v>#DIV/0!</v>
      </c>
      <c r="H206" s="37"/>
      <c r="I206" s="40"/>
      <c r="J206" s="37">
        <f t="shared" si="175"/>
        <v>0</v>
      </c>
      <c r="K206" s="52" t="str">
        <f t="shared" si="176"/>
        <v/>
      </c>
      <c r="L206" s="152" t="str">
        <f t="shared" si="177"/>
        <v>#DIV/0!</v>
      </c>
      <c r="M206" s="126"/>
      <c r="N206" s="131">
        <v>2374000.0</v>
      </c>
    </row>
    <row r="207">
      <c r="A207" s="154"/>
      <c r="B207" s="156" t="s">
        <v>34</v>
      </c>
      <c r="C207" s="89"/>
      <c r="D207" s="158"/>
      <c r="E207" s="12">
        <f t="shared" si="173"/>
        <v>0</v>
      </c>
      <c r="F207" s="157"/>
      <c r="G207" s="14" t="str">
        <f t="shared" si="174"/>
        <v>#DIV/0!</v>
      </c>
      <c r="H207" s="37"/>
      <c r="I207" s="93"/>
      <c r="J207" s="37">
        <f t="shared" si="175"/>
        <v>0</v>
      </c>
      <c r="K207" s="52" t="str">
        <f t="shared" si="176"/>
        <v/>
      </c>
      <c r="L207" s="152" t="str">
        <f t="shared" si="177"/>
        <v>#DIV/0!</v>
      </c>
      <c r="M207" s="126"/>
      <c r="N207" s="131">
        <f t="shared" ref="N207:N208" si="178">M207*K207</f>
        <v>0</v>
      </c>
    </row>
    <row r="208">
      <c r="A208" s="154"/>
      <c r="B208" s="156" t="s">
        <v>34</v>
      </c>
      <c r="C208" s="89"/>
      <c r="D208" s="158"/>
      <c r="E208" s="12">
        <f t="shared" si="173"/>
        <v>0</v>
      </c>
      <c r="F208" s="157"/>
      <c r="G208" s="14" t="str">
        <f t="shared" si="174"/>
        <v>#DIV/0!</v>
      </c>
      <c r="H208" s="89"/>
      <c r="I208" s="159"/>
      <c r="J208" s="89">
        <f t="shared" si="175"/>
        <v>0</v>
      </c>
      <c r="K208" s="52" t="str">
        <f t="shared" si="176"/>
        <v/>
      </c>
      <c r="L208" s="152" t="str">
        <f t="shared" si="177"/>
        <v>#DIV/0!</v>
      </c>
      <c r="M208" s="126"/>
      <c r="N208" s="131">
        <f t="shared" si="178"/>
        <v>0</v>
      </c>
      <c r="R208" s="80" t="str">
        <f>Q208</f>
        <v/>
      </c>
    </row>
    <row r="209">
      <c r="A209" s="154"/>
      <c r="B209" s="63"/>
      <c r="C209" s="62"/>
      <c r="D209" s="64" t="s">
        <v>19</v>
      </c>
      <c r="E209" s="64">
        <f t="shared" ref="E209:F209" si="179">sum(E194:E208)</f>
        <v>0</v>
      </c>
      <c r="F209" s="64">
        <f t="shared" si="179"/>
        <v>0</v>
      </c>
      <c r="G209" s="65" t="str">
        <f>average(G194:G208)</f>
        <v>#DIV/0!</v>
      </c>
      <c r="H209" s="62"/>
      <c r="I209" s="66"/>
      <c r="J209" s="64">
        <f>sum(J194:J208)</f>
        <v>0</v>
      </c>
      <c r="K209" s="64">
        <f>sum(K202:K208)</f>
        <v>0</v>
      </c>
      <c r="L209" s="65" t="str">
        <f>average(L194:L208)</f>
        <v>#DIV/0!</v>
      </c>
      <c r="M209" s="68"/>
      <c r="N209" s="147">
        <f>sum(N202:N208)</f>
        <v>10762000</v>
      </c>
    </row>
    <row r="210">
      <c r="A210" s="154"/>
      <c r="B210" s="165"/>
      <c r="C210" s="165"/>
      <c r="D210" s="165"/>
      <c r="E210" s="165"/>
      <c r="F210" s="165"/>
      <c r="G210" s="165"/>
      <c r="H210" s="165"/>
      <c r="I210" s="165"/>
      <c r="J210" s="165"/>
      <c r="K210" s="165"/>
      <c r="L210" s="165"/>
      <c r="M210" s="166"/>
      <c r="N210" s="167">
        <f>sum(N3:N209)/2</f>
        <v>202311310</v>
      </c>
      <c r="R210" s="80" t="str">
        <f>Q210</f>
        <v/>
      </c>
    </row>
    <row r="211">
      <c r="A211" s="154"/>
      <c r="G211" s="168"/>
      <c r="L211" s="168"/>
      <c r="N211" s="169"/>
    </row>
    <row r="212" ht="31.5" customHeight="1">
      <c r="A212" s="154"/>
      <c r="D212" s="170" t="s">
        <v>45</v>
      </c>
      <c r="E212" s="171"/>
      <c r="G212" s="168"/>
      <c r="L212" s="168"/>
      <c r="N212" s="169"/>
    </row>
    <row r="213">
      <c r="A213" s="154"/>
      <c r="B213" s="172" t="s">
        <v>2</v>
      </c>
      <c r="C213" s="166" t="s">
        <v>3</v>
      </c>
      <c r="D213" s="166" t="s">
        <v>4</v>
      </c>
      <c r="E213" s="166" t="s">
        <v>5</v>
      </c>
      <c r="F213" s="166" t="s">
        <v>6</v>
      </c>
      <c r="G213" s="173" t="s">
        <v>7</v>
      </c>
      <c r="H213" s="174" t="s">
        <v>8</v>
      </c>
      <c r="I213" s="175" t="s">
        <v>8</v>
      </c>
      <c r="J213" s="166" t="s">
        <v>5</v>
      </c>
      <c r="K213" s="166" t="s">
        <v>6</v>
      </c>
      <c r="L213" s="173" t="s">
        <v>7</v>
      </c>
      <c r="M213" s="166" t="s">
        <v>9</v>
      </c>
      <c r="N213" s="176" t="s">
        <v>10</v>
      </c>
      <c r="O213" s="19">
        <v>1.0</v>
      </c>
      <c r="P213" s="177" t="s">
        <v>46</v>
      </c>
      <c r="Q213" s="178">
        <f>N219</f>
        <v>12000162.3</v>
      </c>
      <c r="R213" s="21">
        <f t="shared" ref="R213:R228" si="180">Q213</f>
        <v>12000162.3</v>
      </c>
    </row>
    <row r="214">
      <c r="A214" s="154">
        <v>46088.0</v>
      </c>
      <c r="B214" s="179" t="s">
        <v>46</v>
      </c>
      <c r="C214" s="13"/>
      <c r="D214" s="13"/>
      <c r="E214" s="12">
        <f t="shared" ref="E214:E218" si="181">D214-C214</f>
        <v>0</v>
      </c>
      <c r="F214" s="37">
        <v>173.69</v>
      </c>
      <c r="G214" s="14" t="str">
        <f t="shared" ref="G214:G218" si="182">(F214/E214)*100</f>
        <v>#DIV/0!</v>
      </c>
      <c r="H214" s="40">
        <v>414601.0</v>
      </c>
      <c r="I214" s="138">
        <v>415517.0</v>
      </c>
      <c r="J214" s="41">
        <f t="shared" ref="J214:J218" si="183">I214-H214</f>
        <v>916</v>
      </c>
      <c r="K214" s="37">
        <v>173.69</v>
      </c>
      <c r="L214" s="71">
        <f t="shared" ref="L214:L218" si="184">(K214/J214)*100</f>
        <v>18.96179039</v>
      </c>
      <c r="M214" s="72">
        <v>23030.0</v>
      </c>
      <c r="N214" s="49">
        <f t="shared" ref="N214:N218" si="185">M214*K214</f>
        <v>4000080.7</v>
      </c>
      <c r="O214" s="19">
        <v>2.0</v>
      </c>
      <c r="P214" s="177" t="s">
        <v>47</v>
      </c>
      <c r="Q214" s="178">
        <f>N226</f>
        <v>19892962.2</v>
      </c>
      <c r="R214" s="21">
        <f t="shared" si="180"/>
        <v>19892962.2</v>
      </c>
    </row>
    <row r="215">
      <c r="A215" s="154">
        <v>46094.0</v>
      </c>
      <c r="B215" s="180" t="s">
        <v>46</v>
      </c>
      <c r="C215" s="13"/>
      <c r="D215" s="13">
        <v>416090.0</v>
      </c>
      <c r="E215" s="12">
        <f t="shared" si="181"/>
        <v>416090</v>
      </c>
      <c r="F215" s="47">
        <v>296.08</v>
      </c>
      <c r="G215" s="14">
        <f t="shared" si="182"/>
        <v>0.07115768223</v>
      </c>
      <c r="H215" s="138">
        <v>415517.0</v>
      </c>
      <c r="I215" s="40"/>
      <c r="J215" s="37">
        <f t="shared" si="183"/>
        <v>-415517</v>
      </c>
      <c r="K215" s="52">
        <f t="shared" ref="K215:K218" si="186">F215</f>
        <v>296.08</v>
      </c>
      <c r="L215" s="48">
        <f t="shared" si="184"/>
        <v>-0.07125580903</v>
      </c>
      <c r="M215" s="50">
        <v>27020.0</v>
      </c>
      <c r="N215" s="49">
        <f t="shared" si="185"/>
        <v>8000081.6</v>
      </c>
      <c r="O215" s="19">
        <v>3.0</v>
      </c>
      <c r="P215" s="177" t="s">
        <v>48</v>
      </c>
      <c r="Q215" s="178">
        <f>N232</f>
        <v>15399908.5</v>
      </c>
      <c r="R215" s="21">
        <f t="shared" si="180"/>
        <v>15399908.5</v>
      </c>
    </row>
    <row r="216">
      <c r="A216" s="154"/>
      <c r="B216" s="180" t="s">
        <v>46</v>
      </c>
      <c r="C216" s="13"/>
      <c r="D216" s="37"/>
      <c r="E216" s="12">
        <f t="shared" si="181"/>
        <v>0</v>
      </c>
      <c r="F216" s="47"/>
      <c r="G216" s="14" t="str">
        <f t="shared" si="182"/>
        <v>#DIV/0!</v>
      </c>
      <c r="H216" s="37"/>
      <c r="I216" s="40"/>
      <c r="J216" s="37">
        <f t="shared" si="183"/>
        <v>0</v>
      </c>
      <c r="K216" s="37" t="str">
        <f t="shared" si="186"/>
        <v/>
      </c>
      <c r="L216" s="48" t="str">
        <f t="shared" si="184"/>
        <v>#DIV/0!</v>
      </c>
      <c r="M216" s="50"/>
      <c r="N216" s="49">
        <f t="shared" si="185"/>
        <v>0</v>
      </c>
      <c r="O216" s="19">
        <v>4.0</v>
      </c>
      <c r="P216" s="177" t="s">
        <v>49</v>
      </c>
      <c r="Q216" s="178">
        <f>N238</f>
        <v>13809854</v>
      </c>
      <c r="R216" s="21">
        <f t="shared" si="180"/>
        <v>13809854</v>
      </c>
    </row>
    <row r="217">
      <c r="A217" s="154"/>
      <c r="B217" s="180" t="s">
        <v>46</v>
      </c>
      <c r="C217" s="37"/>
      <c r="D217" s="37"/>
      <c r="E217" s="12">
        <f t="shared" si="181"/>
        <v>0</v>
      </c>
      <c r="F217" s="47"/>
      <c r="G217" s="14" t="str">
        <f t="shared" si="182"/>
        <v>#DIV/0!</v>
      </c>
      <c r="H217" s="37"/>
      <c r="I217" s="40"/>
      <c r="J217" s="37">
        <f t="shared" si="183"/>
        <v>0</v>
      </c>
      <c r="K217" s="37" t="str">
        <f t="shared" si="186"/>
        <v/>
      </c>
      <c r="L217" s="48" t="str">
        <f t="shared" si="184"/>
        <v>#DIV/0!</v>
      </c>
      <c r="M217" s="50"/>
      <c r="N217" s="49">
        <f t="shared" si="185"/>
        <v>0</v>
      </c>
      <c r="O217" s="19">
        <v>5.0</v>
      </c>
      <c r="P217" s="177" t="s">
        <v>50</v>
      </c>
      <c r="Q217" s="178">
        <f>N244</f>
        <v>12400084.2</v>
      </c>
      <c r="R217" s="21">
        <f t="shared" si="180"/>
        <v>12400084.2</v>
      </c>
    </row>
    <row r="218">
      <c r="A218" s="154"/>
      <c r="B218" s="180" t="s">
        <v>46</v>
      </c>
      <c r="C218" s="37"/>
      <c r="D218" s="37"/>
      <c r="E218" s="12">
        <f t="shared" si="181"/>
        <v>0</v>
      </c>
      <c r="F218" s="47"/>
      <c r="G218" s="14" t="str">
        <f t="shared" si="182"/>
        <v>#DIV/0!</v>
      </c>
      <c r="H218" s="37"/>
      <c r="I218" s="40"/>
      <c r="J218" s="37">
        <f t="shared" si="183"/>
        <v>0</v>
      </c>
      <c r="K218" s="37" t="str">
        <f t="shared" si="186"/>
        <v/>
      </c>
      <c r="L218" s="77" t="str">
        <f t="shared" si="184"/>
        <v>#DIV/0!</v>
      </c>
      <c r="M218" s="50"/>
      <c r="N218" s="49">
        <f t="shared" si="185"/>
        <v>0</v>
      </c>
      <c r="O218" s="19">
        <v>6.0</v>
      </c>
      <c r="P218" s="177" t="s">
        <v>51</v>
      </c>
      <c r="Q218" s="178">
        <f>N250</f>
        <v>8129560.4</v>
      </c>
      <c r="R218" s="21">
        <f t="shared" si="180"/>
        <v>8129560.4</v>
      </c>
    </row>
    <row r="219">
      <c r="A219" s="154"/>
      <c r="B219" s="63"/>
      <c r="C219" s="62"/>
      <c r="D219" s="64" t="s">
        <v>19</v>
      </c>
      <c r="E219" s="64">
        <f t="shared" ref="E219:F219" si="187">sum(E214:E218)</f>
        <v>416090</v>
      </c>
      <c r="F219" s="64">
        <f t="shared" si="187"/>
        <v>469.77</v>
      </c>
      <c r="G219" s="65" t="str">
        <f>average(G214:G218)</f>
        <v>#DIV/0!</v>
      </c>
      <c r="H219" s="62"/>
      <c r="I219" s="66"/>
      <c r="J219" s="64">
        <f t="shared" ref="J219:K219" si="188">sum(J214:J218)</f>
        <v>-414601</v>
      </c>
      <c r="K219" s="64">
        <f t="shared" si="188"/>
        <v>469.77</v>
      </c>
      <c r="L219" s="65" t="str">
        <f>average(L214:L218)</f>
        <v>#DIV/0!</v>
      </c>
      <c r="M219" s="68"/>
      <c r="N219" s="69">
        <f>sum(N214:N218)</f>
        <v>12000162.3</v>
      </c>
      <c r="O219" s="19">
        <v>7.0</v>
      </c>
      <c r="P219" s="181" t="s">
        <v>52</v>
      </c>
      <c r="Q219" s="178">
        <f>N279</f>
        <v>28800113.4</v>
      </c>
      <c r="R219" s="21">
        <f t="shared" si="180"/>
        <v>28800113.4</v>
      </c>
    </row>
    <row r="220">
      <c r="A220" s="154">
        <v>46085.0</v>
      </c>
      <c r="B220" s="182" t="s">
        <v>53</v>
      </c>
      <c r="C220" s="89">
        <v>509630.0</v>
      </c>
      <c r="D220" s="89">
        <v>510182.0</v>
      </c>
      <c r="E220" s="12">
        <f t="shared" ref="E220:E225" si="189">D220-C220</f>
        <v>552</v>
      </c>
      <c r="F220" s="157">
        <v>160.88</v>
      </c>
      <c r="G220" s="14">
        <f t="shared" ref="G220:G225" si="190">(F220/E220)*100</f>
        <v>29.14492754</v>
      </c>
      <c r="H220" s="137">
        <v>509285.0</v>
      </c>
      <c r="I220" s="137">
        <v>509815.0</v>
      </c>
      <c r="J220" s="89">
        <f t="shared" ref="J220:J225" si="191">I220-H220</f>
        <v>530</v>
      </c>
      <c r="K220" s="89">
        <f t="shared" ref="K220:K225" si="192">F220</f>
        <v>160.88</v>
      </c>
      <c r="L220" s="152">
        <f t="shared" ref="L220:L225" si="193">(K220/J220)*100</f>
        <v>30.35471698</v>
      </c>
      <c r="M220" s="126">
        <v>19270.0</v>
      </c>
      <c r="N220" s="44">
        <f t="shared" ref="N220:N221" si="194">F220*M220</f>
        <v>3100157.6</v>
      </c>
      <c r="O220" s="19">
        <v>8.0</v>
      </c>
      <c r="P220" s="177" t="s">
        <v>54</v>
      </c>
      <c r="Q220" s="178">
        <f>N265</f>
        <v>31700000</v>
      </c>
      <c r="R220" s="21">
        <f t="shared" si="180"/>
        <v>31700000</v>
      </c>
    </row>
    <row r="221">
      <c r="A221" s="154">
        <v>46088.0</v>
      </c>
      <c r="B221" s="182" t="s">
        <v>53</v>
      </c>
      <c r="C221" s="89">
        <v>510182.0</v>
      </c>
      <c r="D221" s="89">
        <v>510567.0</v>
      </c>
      <c r="E221" s="12">
        <f t="shared" si="189"/>
        <v>385</v>
      </c>
      <c r="F221" s="157">
        <v>86.84</v>
      </c>
      <c r="G221" s="14">
        <f t="shared" si="190"/>
        <v>22.55584416</v>
      </c>
      <c r="H221" s="137">
        <v>509815.0</v>
      </c>
      <c r="I221" s="137">
        <v>510194.0</v>
      </c>
      <c r="J221" s="89">
        <f t="shared" si="191"/>
        <v>379</v>
      </c>
      <c r="K221" s="89">
        <f t="shared" si="192"/>
        <v>86.84</v>
      </c>
      <c r="L221" s="152">
        <f t="shared" si="193"/>
        <v>22.91292876</v>
      </c>
      <c r="M221" s="126">
        <v>23030.0</v>
      </c>
      <c r="N221" s="49">
        <f t="shared" si="194"/>
        <v>1999925.2</v>
      </c>
      <c r="O221" s="19">
        <v>9.0</v>
      </c>
      <c r="P221" s="177" t="s">
        <v>69</v>
      </c>
      <c r="Q221" s="178">
        <f>N272</f>
        <v>26457500</v>
      </c>
      <c r="R221" s="21">
        <f t="shared" si="180"/>
        <v>26457500</v>
      </c>
    </row>
    <row r="222">
      <c r="A222" s="154">
        <v>46090.0</v>
      </c>
      <c r="B222" s="182" t="s">
        <v>53</v>
      </c>
      <c r="C222" s="89">
        <v>510567.0</v>
      </c>
      <c r="D222" s="89">
        <v>510678.0</v>
      </c>
      <c r="E222" s="12">
        <f t="shared" si="189"/>
        <v>111</v>
      </c>
      <c r="F222" s="157">
        <v>66.16</v>
      </c>
      <c r="G222" s="14">
        <f t="shared" si="190"/>
        <v>59.6036036</v>
      </c>
      <c r="H222" s="137">
        <v>510194.0</v>
      </c>
      <c r="I222" s="137">
        <v>510297.0</v>
      </c>
      <c r="J222" s="89">
        <f t="shared" si="191"/>
        <v>103</v>
      </c>
      <c r="K222" s="89">
        <f t="shared" si="192"/>
        <v>66.16</v>
      </c>
      <c r="L222" s="152">
        <f t="shared" si="193"/>
        <v>64.23300971</v>
      </c>
      <c r="M222" s="126">
        <v>30030.0</v>
      </c>
      <c r="N222" s="49">
        <v>2000000.0</v>
      </c>
      <c r="O222" s="19">
        <v>10.0</v>
      </c>
      <c r="P222" s="181" t="s">
        <v>56</v>
      </c>
      <c r="Q222" s="178">
        <f>N256</f>
        <v>23700000</v>
      </c>
      <c r="R222" s="21">
        <f t="shared" si="180"/>
        <v>23700000</v>
      </c>
    </row>
    <row r="223">
      <c r="A223" s="154">
        <v>46093.0</v>
      </c>
      <c r="B223" s="182" t="s">
        <v>53</v>
      </c>
      <c r="C223" s="89">
        <v>510678.0</v>
      </c>
      <c r="D223" s="89">
        <v>511054.0</v>
      </c>
      <c r="E223" s="12">
        <f t="shared" si="189"/>
        <v>376</v>
      </c>
      <c r="F223" s="157">
        <v>98.22</v>
      </c>
      <c r="G223" s="14">
        <f t="shared" si="190"/>
        <v>26.12234043</v>
      </c>
      <c r="H223" s="137">
        <v>510297.0</v>
      </c>
      <c r="I223" s="137">
        <v>510663.0</v>
      </c>
      <c r="J223" s="89">
        <f t="shared" si="191"/>
        <v>366</v>
      </c>
      <c r="K223" s="89">
        <f t="shared" si="192"/>
        <v>98.22</v>
      </c>
      <c r="L223" s="152">
        <f t="shared" si="193"/>
        <v>26.83606557</v>
      </c>
      <c r="M223" s="126">
        <v>26470.0</v>
      </c>
      <c r="N223" s="49">
        <f>F223*M223</f>
        <v>2599883.4</v>
      </c>
      <c r="O223" s="19">
        <v>11.0</v>
      </c>
      <c r="P223" s="186" t="s">
        <v>57</v>
      </c>
      <c r="Q223" s="187">
        <f>N288</f>
        <v>23236792.4</v>
      </c>
      <c r="R223" s="21">
        <f t="shared" si="180"/>
        <v>23236792.4</v>
      </c>
    </row>
    <row r="224">
      <c r="A224" s="154">
        <v>46101.0</v>
      </c>
      <c r="B224" s="182" t="s">
        <v>53</v>
      </c>
      <c r="C224" s="89">
        <v>511054.0</v>
      </c>
      <c r="D224" s="89">
        <v>511713.0</v>
      </c>
      <c r="E224" s="12">
        <f t="shared" si="189"/>
        <v>659</v>
      </c>
      <c r="F224" s="157"/>
      <c r="G224" s="14">
        <f t="shared" si="190"/>
        <v>0</v>
      </c>
      <c r="H224" s="137">
        <v>510663.0</v>
      </c>
      <c r="I224" s="137">
        <v>511291.0</v>
      </c>
      <c r="J224" s="89">
        <f t="shared" si="191"/>
        <v>628</v>
      </c>
      <c r="K224" s="89" t="str">
        <f t="shared" si="192"/>
        <v/>
      </c>
      <c r="L224" s="152">
        <f t="shared" si="193"/>
        <v>0</v>
      </c>
      <c r="M224" s="126">
        <v>33460.0</v>
      </c>
      <c r="N224" s="49">
        <v>7193000.0</v>
      </c>
      <c r="O224" s="19">
        <v>12.0</v>
      </c>
      <c r="P224" s="186" t="s">
        <v>58</v>
      </c>
      <c r="Q224" s="187">
        <f>N298</f>
        <v>32064841.8</v>
      </c>
      <c r="R224" s="21">
        <f t="shared" si="180"/>
        <v>32064841.8</v>
      </c>
    </row>
    <row r="225">
      <c r="A225" s="154">
        <v>46110.0</v>
      </c>
      <c r="B225" s="182" t="s">
        <v>53</v>
      </c>
      <c r="C225" s="89">
        <v>511713.0</v>
      </c>
      <c r="D225" s="89">
        <v>512370.0</v>
      </c>
      <c r="E225" s="12">
        <f t="shared" si="189"/>
        <v>657</v>
      </c>
      <c r="F225" s="157">
        <v>84.65</v>
      </c>
      <c r="G225" s="14">
        <f t="shared" si="190"/>
        <v>12.88432268</v>
      </c>
      <c r="H225" s="137">
        <v>511291.0</v>
      </c>
      <c r="I225" s="137">
        <v>511930.0</v>
      </c>
      <c r="J225" s="89">
        <f t="shared" si="191"/>
        <v>639</v>
      </c>
      <c r="K225" s="89">
        <f t="shared" si="192"/>
        <v>84.65</v>
      </c>
      <c r="L225" s="152">
        <f t="shared" si="193"/>
        <v>13.24726135</v>
      </c>
      <c r="M225" s="126">
        <v>35440.0</v>
      </c>
      <c r="N225" s="49">
        <f>M225*K225</f>
        <v>2999996</v>
      </c>
      <c r="O225" s="19"/>
      <c r="P225" s="186"/>
      <c r="Q225" s="238"/>
      <c r="R225" s="60" t="str">
        <f t="shared" si="180"/>
        <v/>
      </c>
    </row>
    <row r="226">
      <c r="A226" s="154"/>
      <c r="B226" s="63"/>
      <c r="C226" s="62"/>
      <c r="D226" s="64" t="s">
        <v>19</v>
      </c>
      <c r="E226" s="64">
        <f>sum(E220:E224)</f>
        <v>2083</v>
      </c>
      <c r="F226" s="64">
        <f>sum(F220:F225)</f>
        <v>496.75</v>
      </c>
      <c r="G226" s="65">
        <f>average(G220:G224)</f>
        <v>27.48534314</v>
      </c>
      <c r="H226" s="62"/>
      <c r="I226" s="66"/>
      <c r="J226" s="64">
        <f t="shared" ref="J226:K226" si="195">sum(J220:J224)</f>
        <v>2006</v>
      </c>
      <c r="K226" s="64">
        <f t="shared" si="195"/>
        <v>412.1</v>
      </c>
      <c r="L226" s="65">
        <f>average(L220:L224)</f>
        <v>28.8673442</v>
      </c>
      <c r="M226" s="68"/>
      <c r="N226" s="69">
        <f>sum(N220:N225)</f>
        <v>19892962.2</v>
      </c>
      <c r="O226" s="19">
        <v>13.0</v>
      </c>
      <c r="P226" s="186" t="s">
        <v>70</v>
      </c>
      <c r="Q226" s="187">
        <f>N305</f>
        <v>5000000</v>
      </c>
      <c r="R226" s="21">
        <f t="shared" si="180"/>
        <v>5000000</v>
      </c>
    </row>
    <row r="227">
      <c r="A227" s="154">
        <v>46089.0</v>
      </c>
      <c r="B227" s="182" t="s">
        <v>48</v>
      </c>
      <c r="C227" s="89"/>
      <c r="D227" s="13"/>
      <c r="E227" s="38">
        <f t="shared" ref="E227:E231" si="196">D227-C227</f>
        <v>0</v>
      </c>
      <c r="F227" s="157">
        <v>145.55</v>
      </c>
      <c r="G227" s="14" t="str">
        <f t="shared" ref="G227:G231" si="197">(F227/E227)*100</f>
        <v>#DIV/0!</v>
      </c>
      <c r="H227" s="89"/>
      <c r="I227" s="138"/>
      <c r="J227" s="41">
        <f t="shared" ref="J227:J231" si="198">I227-H227</f>
        <v>0</v>
      </c>
      <c r="K227" s="41"/>
      <c r="L227" s="152" t="str">
        <f t="shared" ref="L227:L231" si="199">(K227/J227)*100</f>
        <v>#DIV/0!</v>
      </c>
      <c r="M227" s="72">
        <v>30230.0</v>
      </c>
      <c r="N227" s="131">
        <f t="shared" ref="N227:N231" si="200">F227*M227</f>
        <v>4399976.5</v>
      </c>
      <c r="O227" s="19">
        <v>14.0</v>
      </c>
      <c r="P227" s="189" t="s">
        <v>60</v>
      </c>
      <c r="Q227" s="21">
        <f>N312</f>
        <v>18228482.98</v>
      </c>
      <c r="R227" s="21">
        <f t="shared" si="180"/>
        <v>18228482.98</v>
      </c>
    </row>
    <row r="228">
      <c r="A228" s="154">
        <v>46101.0</v>
      </c>
      <c r="B228" s="182" t="s">
        <v>48</v>
      </c>
      <c r="C228" s="89"/>
      <c r="D228" s="13"/>
      <c r="E228" s="12">
        <f t="shared" si="196"/>
        <v>0</v>
      </c>
      <c r="F228" s="157">
        <v>89.77</v>
      </c>
      <c r="G228" s="14" t="str">
        <f t="shared" si="197"/>
        <v>#DIV/0!</v>
      </c>
      <c r="H228" s="89"/>
      <c r="I228" s="137"/>
      <c r="J228" s="89">
        <f t="shared" si="198"/>
        <v>0</v>
      </c>
      <c r="K228" s="37"/>
      <c r="L228" s="152" t="str">
        <f t="shared" si="199"/>
        <v>#DIV/0!</v>
      </c>
      <c r="M228" s="126">
        <v>33420.0</v>
      </c>
      <c r="N228" s="131">
        <f t="shared" si="200"/>
        <v>3000113.4</v>
      </c>
      <c r="O228" s="19">
        <v>15.0</v>
      </c>
      <c r="P228" s="189" t="s">
        <v>61</v>
      </c>
      <c r="Q228" s="21">
        <f>N319</f>
        <v>5700139.2</v>
      </c>
      <c r="R228" s="21">
        <f t="shared" si="180"/>
        <v>5700139.2</v>
      </c>
    </row>
    <row r="229">
      <c r="A229" s="154">
        <v>46106.0</v>
      </c>
      <c r="B229" s="182" t="s">
        <v>48</v>
      </c>
      <c r="C229" s="89"/>
      <c r="D229" s="89">
        <v>458452.0</v>
      </c>
      <c r="E229" s="12">
        <f t="shared" si="196"/>
        <v>458452</v>
      </c>
      <c r="F229" s="157">
        <v>201.71</v>
      </c>
      <c r="G229" s="14">
        <f t="shared" si="197"/>
        <v>0.04399806305</v>
      </c>
      <c r="H229" s="89"/>
      <c r="I229" s="137"/>
      <c r="J229" s="89">
        <f t="shared" si="198"/>
        <v>0</v>
      </c>
      <c r="K229" s="37"/>
      <c r="L229" s="152" t="str">
        <f t="shared" si="199"/>
        <v>#DIV/0!</v>
      </c>
      <c r="M229" s="126">
        <v>39660.0</v>
      </c>
      <c r="N229" s="131">
        <f t="shared" si="200"/>
        <v>7999818.6</v>
      </c>
      <c r="P229" s="79" t="s">
        <v>19</v>
      </c>
      <c r="Q229" s="21">
        <f>SUM(Q213:Q228)</f>
        <v>276520401.4</v>
      </c>
    </row>
    <row r="230">
      <c r="A230" s="154"/>
      <c r="B230" s="182" t="s">
        <v>48</v>
      </c>
      <c r="C230" s="89"/>
      <c r="D230" s="89"/>
      <c r="E230" s="12">
        <f t="shared" si="196"/>
        <v>0</v>
      </c>
      <c r="F230" s="157"/>
      <c r="G230" s="14" t="str">
        <f t="shared" si="197"/>
        <v>#DIV/0!</v>
      </c>
      <c r="H230" s="89"/>
      <c r="I230" s="137"/>
      <c r="J230" s="89">
        <f t="shared" si="198"/>
        <v>0</v>
      </c>
      <c r="K230" s="37"/>
      <c r="L230" s="152" t="str">
        <f t="shared" si="199"/>
        <v>#DIV/0!</v>
      </c>
      <c r="M230" s="126"/>
      <c r="N230" s="131">
        <f t="shared" si="200"/>
        <v>0</v>
      </c>
    </row>
    <row r="231">
      <c r="A231" s="154"/>
      <c r="B231" s="182" t="s">
        <v>48</v>
      </c>
      <c r="C231" s="89"/>
      <c r="D231" s="89"/>
      <c r="E231" s="12">
        <f t="shared" si="196"/>
        <v>0</v>
      </c>
      <c r="F231" s="157"/>
      <c r="G231" s="14" t="str">
        <f t="shared" si="197"/>
        <v>#DIV/0!</v>
      </c>
      <c r="H231" s="89"/>
      <c r="I231" s="137"/>
      <c r="J231" s="89">
        <f t="shared" si="198"/>
        <v>0</v>
      </c>
      <c r="K231" s="37"/>
      <c r="L231" s="152" t="str">
        <f t="shared" si="199"/>
        <v>#DIV/0!</v>
      </c>
      <c r="M231" s="126"/>
      <c r="N231" s="131">
        <f t="shared" si="200"/>
        <v>0</v>
      </c>
    </row>
    <row r="232">
      <c r="A232" s="154"/>
      <c r="B232" s="63"/>
      <c r="C232" s="62"/>
      <c r="D232" s="64" t="s">
        <v>19</v>
      </c>
      <c r="E232" s="64">
        <f t="shared" ref="E232:F232" si="201">sum(E227:E231)</f>
        <v>458452</v>
      </c>
      <c r="F232" s="64">
        <f t="shared" si="201"/>
        <v>437.03</v>
      </c>
      <c r="G232" s="65" t="str">
        <f>average(G227:G231)</f>
        <v>#DIV/0!</v>
      </c>
      <c r="H232" s="62"/>
      <c r="I232" s="66"/>
      <c r="J232" s="64">
        <f t="shared" ref="J232:K232" si="202">sum(J227:J231)</f>
        <v>0</v>
      </c>
      <c r="K232" s="64">
        <f t="shared" si="202"/>
        <v>0</v>
      </c>
      <c r="L232" s="65" t="str">
        <f>average(L227:L231)</f>
        <v>#DIV/0!</v>
      </c>
      <c r="M232" s="68"/>
      <c r="N232" s="69">
        <f>sum(N227:N231)</f>
        <v>15399908.5</v>
      </c>
    </row>
    <row r="233">
      <c r="A233" s="154">
        <v>46083.0</v>
      </c>
      <c r="B233" s="156" t="s">
        <v>49</v>
      </c>
      <c r="C233" s="89"/>
      <c r="D233" s="13"/>
      <c r="E233" s="38">
        <f t="shared" ref="E233:E237" si="203">D233-C233</f>
        <v>0</v>
      </c>
      <c r="F233" s="39">
        <v>228.34</v>
      </c>
      <c r="G233" s="14" t="str">
        <f t="shared" ref="G233:G237" si="204">(F233/E233)*100</f>
        <v>#DIV/0!</v>
      </c>
      <c r="H233" s="89"/>
      <c r="I233" s="138"/>
      <c r="J233" s="41">
        <f t="shared" ref="J233:J237" si="205">I233-H233</f>
        <v>0</v>
      </c>
      <c r="K233" s="41">
        <f t="shared" ref="K233:K237" si="206">F233</f>
        <v>228.34</v>
      </c>
      <c r="L233" s="48" t="str">
        <f t="shared" ref="L233:L237" si="207">(K233/J233)*100</f>
        <v>#DIV/0!</v>
      </c>
      <c r="M233" s="72">
        <v>19270.0</v>
      </c>
      <c r="N233" s="131">
        <f t="shared" ref="N233:N234" si="208">M233*K233</f>
        <v>4400111.8</v>
      </c>
    </row>
    <row r="234">
      <c r="A234" s="154">
        <v>46088.0</v>
      </c>
      <c r="B234" s="156" t="s">
        <v>49</v>
      </c>
      <c r="C234" s="13"/>
      <c r="D234" s="89"/>
      <c r="E234" s="12">
        <f t="shared" si="203"/>
        <v>0</v>
      </c>
      <c r="F234" s="157">
        <v>86.84</v>
      </c>
      <c r="G234" s="14" t="str">
        <f t="shared" si="204"/>
        <v>#DIV/0!</v>
      </c>
      <c r="H234" s="89"/>
      <c r="I234" s="137"/>
      <c r="J234" s="89">
        <f t="shared" si="205"/>
        <v>0</v>
      </c>
      <c r="K234" s="89">
        <f t="shared" si="206"/>
        <v>86.84</v>
      </c>
      <c r="L234" s="152" t="str">
        <f t="shared" si="207"/>
        <v>#DIV/0!</v>
      </c>
      <c r="M234" s="126">
        <v>23030.0</v>
      </c>
      <c r="N234" s="131">
        <f t="shared" si="208"/>
        <v>1999925.2</v>
      </c>
    </row>
    <row r="235">
      <c r="A235" s="154">
        <v>46093.0</v>
      </c>
      <c r="B235" s="156" t="s">
        <v>49</v>
      </c>
      <c r="C235" s="89"/>
      <c r="D235" s="89"/>
      <c r="E235" s="12">
        <f t="shared" si="203"/>
        <v>0</v>
      </c>
      <c r="F235" s="157">
        <v>75.56</v>
      </c>
      <c r="G235" s="14" t="str">
        <f t="shared" si="204"/>
        <v>#DIV/0!</v>
      </c>
      <c r="H235" s="89"/>
      <c r="I235" s="137"/>
      <c r="J235" s="89">
        <f t="shared" si="205"/>
        <v>0</v>
      </c>
      <c r="K235" s="89">
        <f t="shared" si="206"/>
        <v>75.56</v>
      </c>
      <c r="L235" s="152" t="str">
        <f t="shared" si="207"/>
        <v>#DIV/0!</v>
      </c>
      <c r="M235" s="126">
        <v>26470.0</v>
      </c>
      <c r="N235" s="131">
        <v>2000000.0</v>
      </c>
    </row>
    <row r="236">
      <c r="A236" s="154">
        <v>46102.0</v>
      </c>
      <c r="B236" s="156" t="s">
        <v>49</v>
      </c>
      <c r="C236" s="89"/>
      <c r="D236" s="89"/>
      <c r="E236" s="12">
        <f t="shared" si="203"/>
        <v>0</v>
      </c>
      <c r="F236" s="157">
        <v>87.07</v>
      </c>
      <c r="G236" s="14" t="str">
        <f t="shared" si="204"/>
        <v>#DIV/0!</v>
      </c>
      <c r="H236" s="89"/>
      <c r="I236" s="137"/>
      <c r="J236" s="89">
        <f t="shared" si="205"/>
        <v>0</v>
      </c>
      <c r="K236" s="89">
        <f t="shared" si="206"/>
        <v>87.07</v>
      </c>
      <c r="L236" s="152" t="str">
        <f t="shared" si="207"/>
        <v>#DIV/0!</v>
      </c>
      <c r="M236" s="126">
        <v>33420.0</v>
      </c>
      <c r="N236" s="131">
        <f>M236*K236</f>
        <v>2909879.4</v>
      </c>
    </row>
    <row r="237">
      <c r="A237" s="154">
        <v>46109.0</v>
      </c>
      <c r="B237" s="156" t="s">
        <v>49</v>
      </c>
      <c r="C237" s="89"/>
      <c r="D237" s="89"/>
      <c r="E237" s="12">
        <f t="shared" si="203"/>
        <v>0</v>
      </c>
      <c r="F237" s="157">
        <v>70.54</v>
      </c>
      <c r="G237" s="14" t="str">
        <f t="shared" si="204"/>
        <v>#DIV/0!</v>
      </c>
      <c r="H237" s="89"/>
      <c r="I237" s="137"/>
      <c r="J237" s="89">
        <f t="shared" si="205"/>
        <v>0</v>
      </c>
      <c r="K237" s="89">
        <f t="shared" si="206"/>
        <v>70.54</v>
      </c>
      <c r="L237" s="152" t="str">
        <f t="shared" si="207"/>
        <v>#DIV/0!</v>
      </c>
      <c r="M237" s="126">
        <v>35440.0</v>
      </c>
      <c r="N237" s="131">
        <f>F237*M237</f>
        <v>2499937.6</v>
      </c>
    </row>
    <row r="238">
      <c r="A238" s="154"/>
      <c r="B238" s="63"/>
      <c r="C238" s="62"/>
      <c r="D238" s="64" t="s">
        <v>19</v>
      </c>
      <c r="E238" s="64">
        <f t="shared" ref="E238:F238" si="209">sum(E233:E237)</f>
        <v>0</v>
      </c>
      <c r="F238" s="64">
        <f t="shared" si="209"/>
        <v>548.35</v>
      </c>
      <c r="G238" s="65" t="str">
        <f>average(G233:G237)</f>
        <v>#DIV/0!</v>
      </c>
      <c r="H238" s="62"/>
      <c r="I238" s="66"/>
      <c r="J238" s="64">
        <f t="shared" ref="J238:K238" si="210">sum(J233:J237)</f>
        <v>0</v>
      </c>
      <c r="K238" s="64">
        <f t="shared" si="210"/>
        <v>548.35</v>
      </c>
      <c r="L238" s="65" t="str">
        <f>average(L233:L237)</f>
        <v>#DIV/0!</v>
      </c>
      <c r="M238" s="68"/>
      <c r="N238" s="69">
        <f>sum(N233:N237)</f>
        <v>13809854</v>
      </c>
    </row>
    <row r="239">
      <c r="A239" s="154">
        <v>46084.0</v>
      </c>
      <c r="B239" s="156" t="s">
        <v>50</v>
      </c>
      <c r="C239" s="89"/>
      <c r="D239" s="13"/>
      <c r="E239" s="38"/>
      <c r="F239" s="39">
        <v>217.96</v>
      </c>
      <c r="G239" s="14" t="str">
        <f t="shared" ref="G239:G243" si="211">(F239/E239)*100</f>
        <v>#DIV/0!</v>
      </c>
      <c r="H239" s="89"/>
      <c r="I239" s="138"/>
      <c r="J239" s="89">
        <f t="shared" ref="J239:J243" si="212">I239-H239</f>
        <v>0</v>
      </c>
      <c r="K239" s="89">
        <f t="shared" ref="K239:K243" si="213">F239</f>
        <v>217.96</v>
      </c>
      <c r="L239" s="152" t="str">
        <f t="shared" ref="L239:L243" si="214">(K239/J239)*100</f>
        <v>#DIV/0!</v>
      </c>
      <c r="M239" s="72">
        <v>19270.0</v>
      </c>
      <c r="N239" s="49">
        <f>F239*M239</f>
        <v>4200089.2</v>
      </c>
    </row>
    <row r="240">
      <c r="A240" s="154">
        <v>46097.0</v>
      </c>
      <c r="B240" s="156" t="s">
        <v>50</v>
      </c>
      <c r="C240" s="89"/>
      <c r="D240" s="89"/>
      <c r="E240" s="12">
        <f t="shared" ref="E240:E243" si="215">D240-C240</f>
        <v>0</v>
      </c>
      <c r="F240" s="157">
        <v>192.45</v>
      </c>
      <c r="G240" s="14" t="str">
        <f t="shared" si="211"/>
        <v>#DIV/0!</v>
      </c>
      <c r="H240" s="89"/>
      <c r="I240" s="137"/>
      <c r="J240" s="89">
        <f t="shared" si="212"/>
        <v>0</v>
      </c>
      <c r="K240" s="89">
        <f t="shared" si="213"/>
        <v>192.45</v>
      </c>
      <c r="L240" s="152" t="str">
        <f t="shared" si="214"/>
        <v>#DIV/0!</v>
      </c>
      <c r="M240" s="126">
        <v>27020.0</v>
      </c>
      <c r="N240" s="49">
        <f>M240*K240</f>
        <v>5199999</v>
      </c>
    </row>
    <row r="241">
      <c r="A241" s="154">
        <v>46109.0</v>
      </c>
      <c r="B241" s="156" t="s">
        <v>50</v>
      </c>
      <c r="C241" s="89"/>
      <c r="D241" s="89"/>
      <c r="E241" s="12">
        <f t="shared" si="215"/>
        <v>0</v>
      </c>
      <c r="F241" s="157">
        <v>84.65</v>
      </c>
      <c r="G241" s="14" t="str">
        <f t="shared" si="211"/>
        <v>#DIV/0!</v>
      </c>
      <c r="H241" s="89"/>
      <c r="I241" s="137"/>
      <c r="J241" s="89">
        <f t="shared" si="212"/>
        <v>0</v>
      </c>
      <c r="K241" s="89">
        <f t="shared" si="213"/>
        <v>84.65</v>
      </c>
      <c r="L241" s="152" t="str">
        <f t="shared" si="214"/>
        <v>#DIV/0!</v>
      </c>
      <c r="M241" s="126">
        <v>35440.0</v>
      </c>
      <c r="N241" s="49">
        <f t="shared" ref="N241:N243" si="216">F241*M241</f>
        <v>2999996</v>
      </c>
    </row>
    <row r="242">
      <c r="A242" s="154"/>
      <c r="B242" s="156" t="s">
        <v>50</v>
      </c>
      <c r="C242" s="89"/>
      <c r="D242" s="89"/>
      <c r="E242" s="12">
        <f t="shared" si="215"/>
        <v>0</v>
      </c>
      <c r="F242" s="157"/>
      <c r="G242" s="14" t="str">
        <f t="shared" si="211"/>
        <v>#DIV/0!</v>
      </c>
      <c r="H242" s="89"/>
      <c r="I242" s="137"/>
      <c r="J242" s="89">
        <f t="shared" si="212"/>
        <v>0</v>
      </c>
      <c r="K242" s="89" t="str">
        <f t="shared" si="213"/>
        <v/>
      </c>
      <c r="L242" s="152" t="str">
        <f t="shared" si="214"/>
        <v>#DIV/0!</v>
      </c>
      <c r="M242" s="126"/>
      <c r="N242" s="49">
        <f t="shared" si="216"/>
        <v>0</v>
      </c>
    </row>
    <row r="243">
      <c r="A243" s="154"/>
      <c r="B243" s="156" t="s">
        <v>50</v>
      </c>
      <c r="C243" s="89"/>
      <c r="D243" s="89"/>
      <c r="E243" s="12">
        <f t="shared" si="215"/>
        <v>0</v>
      </c>
      <c r="F243" s="157"/>
      <c r="G243" s="14" t="str">
        <f t="shared" si="211"/>
        <v>#DIV/0!</v>
      </c>
      <c r="H243" s="89"/>
      <c r="I243" s="137"/>
      <c r="J243" s="89">
        <f t="shared" si="212"/>
        <v>0</v>
      </c>
      <c r="K243" s="89" t="str">
        <f t="shared" si="213"/>
        <v/>
      </c>
      <c r="L243" s="152" t="str">
        <f t="shared" si="214"/>
        <v>#DIV/0!</v>
      </c>
      <c r="M243" s="126"/>
      <c r="N243" s="49">
        <f t="shared" si="216"/>
        <v>0</v>
      </c>
    </row>
    <row r="244">
      <c r="A244" s="154"/>
      <c r="B244" s="63"/>
      <c r="C244" s="62"/>
      <c r="D244" s="64" t="s">
        <v>19</v>
      </c>
      <c r="E244" s="64">
        <f t="shared" ref="E244:F244" si="217">sum(E239:E243)</f>
        <v>0</v>
      </c>
      <c r="F244" s="64">
        <f t="shared" si="217"/>
        <v>495.06</v>
      </c>
      <c r="G244" s="65" t="str">
        <f>average(G239:G243)</f>
        <v>#DIV/0!</v>
      </c>
      <c r="H244" s="62"/>
      <c r="I244" s="66"/>
      <c r="J244" s="64">
        <f t="shared" ref="J244:K244" si="218">sum(J239:J243)</f>
        <v>0</v>
      </c>
      <c r="K244" s="64">
        <f t="shared" si="218"/>
        <v>495.06</v>
      </c>
      <c r="L244" s="65" t="str">
        <f>average(L239:L243)</f>
        <v>#DIV/0!</v>
      </c>
      <c r="M244" s="68"/>
      <c r="N244" s="69">
        <f>sum(N239:N243)</f>
        <v>12400084.2</v>
      </c>
    </row>
    <row r="245">
      <c r="A245" s="154">
        <v>46085.0</v>
      </c>
      <c r="B245" s="182" t="s">
        <v>51</v>
      </c>
      <c r="C245" s="89">
        <v>305507.0</v>
      </c>
      <c r="D245" s="89">
        <v>305710.0</v>
      </c>
      <c r="E245" s="12">
        <f t="shared" ref="E245:E249" si="219">D245-C245</f>
        <v>203</v>
      </c>
      <c r="F245" s="39">
        <v>74.2</v>
      </c>
      <c r="G245" s="14">
        <f t="shared" ref="G245:G249" si="220">(F245/E245)*100</f>
        <v>36.55172414</v>
      </c>
      <c r="H245" s="137">
        <v>19708.0</v>
      </c>
      <c r="I245" s="137">
        <v>19843.0</v>
      </c>
      <c r="J245" s="41">
        <f t="shared" ref="J245:J249" si="221">I245-H245</f>
        <v>135</v>
      </c>
      <c r="K245" s="41">
        <f t="shared" ref="K245:K249" si="222">F245</f>
        <v>74.2</v>
      </c>
      <c r="L245" s="152">
        <f t="shared" ref="L245:L249" si="223">(K245/J245)*100</f>
        <v>54.96296296</v>
      </c>
      <c r="M245" s="72">
        <v>19270.0</v>
      </c>
      <c r="N245" s="49">
        <f>F245*M245</f>
        <v>1429834</v>
      </c>
    </row>
    <row r="246">
      <c r="A246" s="154">
        <v>46088.0</v>
      </c>
      <c r="B246" s="182" t="s">
        <v>51</v>
      </c>
      <c r="C246" s="89">
        <v>305710.0</v>
      </c>
      <c r="D246" s="89">
        <v>305854.0</v>
      </c>
      <c r="E246" s="12">
        <f t="shared" si="219"/>
        <v>144</v>
      </c>
      <c r="F246" s="157"/>
      <c r="G246" s="14">
        <f t="shared" si="220"/>
        <v>0</v>
      </c>
      <c r="H246" s="89">
        <v>19843.0</v>
      </c>
      <c r="I246" s="89">
        <v>19977.0</v>
      </c>
      <c r="J246" s="89">
        <f t="shared" si="221"/>
        <v>134</v>
      </c>
      <c r="K246" s="89" t="str">
        <f t="shared" si="222"/>
        <v/>
      </c>
      <c r="L246" s="152">
        <f t="shared" si="223"/>
        <v>0</v>
      </c>
      <c r="M246" s="126"/>
      <c r="N246" s="49">
        <v>1500000.0</v>
      </c>
    </row>
    <row r="247">
      <c r="A247" s="154">
        <v>46093.0</v>
      </c>
      <c r="B247" s="182" t="s">
        <v>51</v>
      </c>
      <c r="C247" s="89">
        <v>305854.0</v>
      </c>
      <c r="D247" s="89">
        <v>305996.0</v>
      </c>
      <c r="E247" s="12">
        <f t="shared" si="219"/>
        <v>142</v>
      </c>
      <c r="F247" s="157">
        <v>94.82</v>
      </c>
      <c r="G247" s="14">
        <f t="shared" si="220"/>
        <v>66.77464789</v>
      </c>
      <c r="H247" s="89">
        <v>19977.0</v>
      </c>
      <c r="I247" s="137">
        <v>20109.0</v>
      </c>
      <c r="J247" s="89">
        <f t="shared" si="221"/>
        <v>132</v>
      </c>
      <c r="K247" s="89">
        <f t="shared" si="222"/>
        <v>94.82</v>
      </c>
      <c r="L247" s="152">
        <f t="shared" si="223"/>
        <v>71.83333333</v>
      </c>
      <c r="M247" s="126">
        <v>26470.0</v>
      </c>
      <c r="N247" s="49">
        <f t="shared" ref="N247:N248" si="224">F247*M247</f>
        <v>2509885.4</v>
      </c>
    </row>
    <row r="248">
      <c r="A248" s="154">
        <v>46100.0</v>
      </c>
      <c r="B248" s="182" t="s">
        <v>51</v>
      </c>
      <c r="C248" s="89">
        <v>305996.0</v>
      </c>
      <c r="D248" s="89">
        <v>306297.0</v>
      </c>
      <c r="E248" s="12">
        <f t="shared" si="219"/>
        <v>301</v>
      </c>
      <c r="F248" s="157">
        <v>99.55</v>
      </c>
      <c r="G248" s="14">
        <f t="shared" si="220"/>
        <v>33.0730897</v>
      </c>
      <c r="H248" s="137">
        <v>20109.0</v>
      </c>
      <c r="I248" s="137">
        <v>20466.0</v>
      </c>
      <c r="J248" s="89">
        <f t="shared" si="221"/>
        <v>357</v>
      </c>
      <c r="K248" s="89">
        <f t="shared" si="222"/>
        <v>99.55</v>
      </c>
      <c r="L248" s="152">
        <f t="shared" si="223"/>
        <v>27.88515406</v>
      </c>
      <c r="M248" s="126">
        <v>27020.0</v>
      </c>
      <c r="N248" s="49">
        <f t="shared" si="224"/>
        <v>2689841</v>
      </c>
    </row>
    <row r="249">
      <c r="A249" s="154"/>
      <c r="B249" s="182" t="s">
        <v>51</v>
      </c>
      <c r="C249" s="89"/>
      <c r="D249" s="89"/>
      <c r="E249" s="12">
        <f t="shared" si="219"/>
        <v>0</v>
      </c>
      <c r="F249" s="157"/>
      <c r="G249" s="14" t="str">
        <f t="shared" si="220"/>
        <v>#DIV/0!</v>
      </c>
      <c r="H249" s="89"/>
      <c r="I249" s="137"/>
      <c r="J249" s="89">
        <f t="shared" si="221"/>
        <v>0</v>
      </c>
      <c r="K249" s="89" t="str">
        <f t="shared" si="222"/>
        <v/>
      </c>
      <c r="L249" s="152" t="str">
        <f t="shared" si="223"/>
        <v>#DIV/0!</v>
      </c>
      <c r="M249" s="126"/>
      <c r="N249" s="49">
        <f>M249*K249</f>
        <v>0</v>
      </c>
    </row>
    <row r="250">
      <c r="A250" s="154"/>
      <c r="B250" s="63"/>
      <c r="C250" s="62"/>
      <c r="D250" s="64" t="s">
        <v>19</v>
      </c>
      <c r="E250" s="64">
        <f t="shared" ref="E250:F250" si="225">sum(E245:E249)</f>
        <v>790</v>
      </c>
      <c r="F250" s="64">
        <f t="shared" si="225"/>
        <v>268.57</v>
      </c>
      <c r="G250" s="65" t="str">
        <f>average(G245:G249)</f>
        <v>#DIV/0!</v>
      </c>
      <c r="H250" s="62"/>
      <c r="I250" s="66"/>
      <c r="J250" s="64">
        <f t="shared" ref="J250:K250" si="226">sum(J245:J249)</f>
        <v>758</v>
      </c>
      <c r="K250" s="64">
        <f t="shared" si="226"/>
        <v>268.57</v>
      </c>
      <c r="L250" s="65" t="str">
        <f>average(L245:L249)</f>
        <v>#DIV/0!</v>
      </c>
      <c r="M250" s="68"/>
      <c r="N250" s="69">
        <f>sum(N245:N249)</f>
        <v>8129560.4</v>
      </c>
    </row>
    <row r="251">
      <c r="A251" s="154">
        <v>46088.0</v>
      </c>
      <c r="B251" s="190" t="s">
        <v>62</v>
      </c>
      <c r="C251" s="89"/>
      <c r="D251" s="13"/>
      <c r="E251" s="38">
        <f t="shared" ref="E251:E255" si="227">D251-C251</f>
        <v>0</v>
      </c>
      <c r="F251" s="39"/>
      <c r="G251" s="14" t="str">
        <f t="shared" ref="G251:G255" si="228">(F251/E251)*100</f>
        <v>#DIV/0!</v>
      </c>
      <c r="H251" s="89"/>
      <c r="I251" s="138"/>
      <c r="J251" s="41">
        <f t="shared" ref="J251:J255" si="229">I251-H251</f>
        <v>0</v>
      </c>
      <c r="K251" s="41" t="str">
        <f t="shared" ref="K251:K255" si="230">F251</f>
        <v/>
      </c>
      <c r="L251" s="152" t="str">
        <f t="shared" ref="L251:L255" si="231">(K251/J251)*100</f>
        <v>#DIV/0!</v>
      </c>
      <c r="M251" s="72"/>
      <c r="N251" s="131">
        <v>5000000.0</v>
      </c>
    </row>
    <row r="252">
      <c r="A252" s="154">
        <v>46084.0</v>
      </c>
      <c r="B252" s="190" t="s">
        <v>62</v>
      </c>
      <c r="C252" s="89"/>
      <c r="D252" s="89"/>
      <c r="E252" s="12">
        <f t="shared" si="227"/>
        <v>0</v>
      </c>
      <c r="F252" s="157"/>
      <c r="G252" s="14" t="str">
        <f t="shared" si="228"/>
        <v>#DIV/0!</v>
      </c>
      <c r="H252" s="89"/>
      <c r="I252" s="137"/>
      <c r="J252" s="89">
        <f t="shared" si="229"/>
        <v>0</v>
      </c>
      <c r="K252" s="89" t="str">
        <f t="shared" si="230"/>
        <v/>
      </c>
      <c r="L252" s="152" t="str">
        <f t="shared" si="231"/>
        <v>#DIV/0!</v>
      </c>
      <c r="M252" s="126"/>
      <c r="N252" s="131">
        <v>8700000.0</v>
      </c>
    </row>
    <row r="253">
      <c r="A253" s="154">
        <v>46104.0</v>
      </c>
      <c r="B253" s="190" t="s">
        <v>62</v>
      </c>
      <c r="C253" s="89"/>
      <c r="D253" s="89"/>
      <c r="E253" s="12">
        <f t="shared" si="227"/>
        <v>0</v>
      </c>
      <c r="F253" s="157"/>
      <c r="G253" s="14" t="str">
        <f t="shared" si="228"/>
        <v>#DIV/0!</v>
      </c>
      <c r="H253" s="89"/>
      <c r="I253" s="137"/>
      <c r="J253" s="89">
        <f t="shared" si="229"/>
        <v>0</v>
      </c>
      <c r="K253" s="89" t="str">
        <f t="shared" si="230"/>
        <v/>
      </c>
      <c r="L253" s="152" t="str">
        <f t="shared" si="231"/>
        <v>#DIV/0!</v>
      </c>
      <c r="M253" s="126"/>
      <c r="N253" s="131">
        <v>3000000.0</v>
      </c>
    </row>
    <row r="254">
      <c r="A254" s="154">
        <v>46106.0</v>
      </c>
      <c r="B254" s="190" t="s">
        <v>62</v>
      </c>
      <c r="C254" s="89"/>
      <c r="D254" s="89"/>
      <c r="E254" s="12">
        <f t="shared" si="227"/>
        <v>0</v>
      </c>
      <c r="F254" s="157"/>
      <c r="G254" s="14" t="str">
        <f t="shared" si="228"/>
        <v>#DIV/0!</v>
      </c>
      <c r="H254" s="89"/>
      <c r="I254" s="137"/>
      <c r="J254" s="89">
        <f t="shared" si="229"/>
        <v>0</v>
      </c>
      <c r="K254" s="89" t="str">
        <f t="shared" si="230"/>
        <v/>
      </c>
      <c r="L254" s="152" t="str">
        <f t="shared" si="231"/>
        <v>#DIV/0!</v>
      </c>
      <c r="M254" s="126"/>
      <c r="N254" s="131">
        <v>4000000.0</v>
      </c>
    </row>
    <row r="255">
      <c r="A255" s="154">
        <v>46108.0</v>
      </c>
      <c r="B255" s="190" t="s">
        <v>62</v>
      </c>
      <c r="C255" s="89"/>
      <c r="D255" s="89"/>
      <c r="E255" s="12">
        <f t="shared" si="227"/>
        <v>0</v>
      </c>
      <c r="F255" s="157"/>
      <c r="G255" s="14" t="str">
        <f t="shared" si="228"/>
        <v>#DIV/0!</v>
      </c>
      <c r="H255" s="89"/>
      <c r="I255" s="137"/>
      <c r="J255" s="89">
        <f t="shared" si="229"/>
        <v>0</v>
      </c>
      <c r="K255" s="89" t="str">
        <f t="shared" si="230"/>
        <v/>
      </c>
      <c r="L255" s="152" t="str">
        <f t="shared" si="231"/>
        <v>#DIV/0!</v>
      </c>
      <c r="M255" s="126"/>
      <c r="N255" s="131">
        <v>3000000.0</v>
      </c>
    </row>
    <row r="256">
      <c r="A256" s="62"/>
      <c r="B256" s="63"/>
      <c r="C256" s="62"/>
      <c r="D256" s="64"/>
      <c r="E256" s="64">
        <f t="shared" ref="E256:F256" si="232">sum(E251:E255)</f>
        <v>0</v>
      </c>
      <c r="F256" s="64">
        <f t="shared" si="232"/>
        <v>0</v>
      </c>
      <c r="G256" s="65" t="str">
        <f>average(G251:G255)</f>
        <v>#DIV/0!</v>
      </c>
      <c r="H256" s="62"/>
      <c r="I256" s="66"/>
      <c r="J256" s="64">
        <f t="shared" ref="J256:K256" si="233">sum(J251:J255)</f>
        <v>0</v>
      </c>
      <c r="K256" s="64">
        <f t="shared" si="233"/>
        <v>0</v>
      </c>
      <c r="L256" s="65" t="str">
        <f>average(L251:L255)</f>
        <v>#DIV/0!</v>
      </c>
      <c r="M256" s="68"/>
      <c r="N256" s="69">
        <f>sum(N251:N255)</f>
        <v>23700000</v>
      </c>
    </row>
    <row r="257">
      <c r="A257" s="70">
        <v>46085.0</v>
      </c>
      <c r="B257" s="156" t="s">
        <v>54</v>
      </c>
      <c r="C257" s="89"/>
      <c r="D257" s="13"/>
      <c r="E257" s="38">
        <f t="shared" ref="E257:E262" si="234">D257-C257</f>
        <v>0</v>
      </c>
      <c r="F257" s="39"/>
      <c r="G257" s="14" t="str">
        <f t="shared" ref="G257:G262" si="235">(F257/E257)*100</f>
        <v>#DIV/0!</v>
      </c>
      <c r="H257" s="89"/>
      <c r="I257" s="138"/>
      <c r="J257" s="41">
        <f t="shared" ref="J257:J264" si="236">I257-H257</f>
        <v>0</v>
      </c>
      <c r="K257" s="41"/>
      <c r="L257" s="152" t="str">
        <f t="shared" ref="L257:L264" si="237">(K257/J257)*100</f>
        <v>#DIV/0!</v>
      </c>
      <c r="M257" s="72"/>
      <c r="N257" s="49">
        <v>8700000.0</v>
      </c>
    </row>
    <row r="258">
      <c r="A258" s="35">
        <v>46083.0</v>
      </c>
      <c r="B258" s="156" t="s">
        <v>54</v>
      </c>
      <c r="C258" s="89"/>
      <c r="D258" s="89"/>
      <c r="E258" s="12">
        <f t="shared" si="234"/>
        <v>0</v>
      </c>
      <c r="F258" s="157"/>
      <c r="G258" s="14" t="str">
        <f t="shared" si="235"/>
        <v>#DIV/0!</v>
      </c>
      <c r="H258" s="89"/>
      <c r="I258" s="137"/>
      <c r="J258" s="89">
        <f t="shared" si="236"/>
        <v>0</v>
      </c>
      <c r="K258" s="89" t="str">
        <f t="shared" ref="K258:K264" si="238">F258</f>
        <v/>
      </c>
      <c r="L258" s="152" t="str">
        <f t="shared" si="237"/>
        <v>#DIV/0!</v>
      </c>
      <c r="M258" s="126"/>
      <c r="N258" s="49">
        <v>3000000.0</v>
      </c>
    </row>
    <row r="259">
      <c r="A259" s="35">
        <v>46102.0</v>
      </c>
      <c r="B259" s="156" t="s">
        <v>54</v>
      </c>
      <c r="C259" s="89"/>
      <c r="D259" s="89"/>
      <c r="E259" s="12">
        <f t="shared" si="234"/>
        <v>0</v>
      </c>
      <c r="F259" s="157"/>
      <c r="G259" s="14" t="str">
        <f t="shared" si="235"/>
        <v>#DIV/0!</v>
      </c>
      <c r="H259" s="89"/>
      <c r="I259" s="137"/>
      <c r="J259" s="89">
        <f t="shared" si="236"/>
        <v>0</v>
      </c>
      <c r="K259" s="89" t="str">
        <f t="shared" si="238"/>
        <v/>
      </c>
      <c r="L259" s="152" t="str">
        <f t="shared" si="237"/>
        <v>#DIV/0!</v>
      </c>
      <c r="M259" s="126"/>
      <c r="N259" s="49">
        <v>3000000.0</v>
      </c>
    </row>
    <row r="260">
      <c r="A260" s="35">
        <v>46108.0</v>
      </c>
      <c r="B260" s="156" t="s">
        <v>54</v>
      </c>
      <c r="C260" s="89"/>
      <c r="D260" s="89"/>
      <c r="E260" s="12">
        <f t="shared" si="234"/>
        <v>0</v>
      </c>
      <c r="F260" s="157"/>
      <c r="G260" s="14" t="str">
        <f t="shared" si="235"/>
        <v>#DIV/0!</v>
      </c>
      <c r="H260" s="89"/>
      <c r="I260" s="137"/>
      <c r="J260" s="89">
        <f t="shared" si="236"/>
        <v>0</v>
      </c>
      <c r="K260" s="89" t="str">
        <f t="shared" si="238"/>
        <v/>
      </c>
      <c r="L260" s="152" t="str">
        <f t="shared" si="237"/>
        <v>#DIV/0!</v>
      </c>
      <c r="M260" s="126"/>
      <c r="N260" s="49">
        <v>5000000.0</v>
      </c>
    </row>
    <row r="261">
      <c r="A261" s="35">
        <v>46092.0</v>
      </c>
      <c r="B261" s="156" t="s">
        <v>54</v>
      </c>
      <c r="C261" s="89"/>
      <c r="D261" s="89"/>
      <c r="E261" s="12">
        <f t="shared" si="234"/>
        <v>0</v>
      </c>
      <c r="F261" s="157"/>
      <c r="G261" s="14" t="str">
        <f t="shared" si="235"/>
        <v>#DIV/0!</v>
      </c>
      <c r="H261" s="89"/>
      <c r="I261" s="137"/>
      <c r="J261" s="89">
        <f t="shared" si="236"/>
        <v>0</v>
      </c>
      <c r="K261" s="89" t="str">
        <f t="shared" si="238"/>
        <v/>
      </c>
      <c r="L261" s="152" t="str">
        <f t="shared" si="237"/>
        <v>#DIV/0!</v>
      </c>
      <c r="M261" s="126"/>
      <c r="N261" s="49">
        <v>1.0E7</v>
      </c>
    </row>
    <row r="262">
      <c r="A262" s="35">
        <v>46091.0</v>
      </c>
      <c r="B262" s="156" t="s">
        <v>54</v>
      </c>
      <c r="C262" s="89"/>
      <c r="D262" s="89"/>
      <c r="E262" s="12">
        <f t="shared" si="234"/>
        <v>0</v>
      </c>
      <c r="F262" s="157"/>
      <c r="G262" s="14" t="str">
        <f t="shared" si="235"/>
        <v>#DIV/0!</v>
      </c>
      <c r="H262" s="89"/>
      <c r="I262" s="137"/>
      <c r="J262" s="89">
        <f t="shared" si="236"/>
        <v>0</v>
      </c>
      <c r="K262" s="89" t="str">
        <f t="shared" si="238"/>
        <v/>
      </c>
      <c r="L262" s="152" t="str">
        <f t="shared" si="237"/>
        <v>#DIV/0!</v>
      </c>
      <c r="M262" s="126"/>
      <c r="N262" s="49">
        <v>2000000.0</v>
      </c>
    </row>
    <row r="263">
      <c r="A263" s="35"/>
      <c r="B263" s="156" t="s">
        <v>54</v>
      </c>
      <c r="C263" s="89"/>
      <c r="D263" s="89"/>
      <c r="E263" s="12"/>
      <c r="F263" s="157"/>
      <c r="G263" s="14"/>
      <c r="H263" s="89"/>
      <c r="I263" s="137"/>
      <c r="J263" s="89">
        <f t="shared" si="236"/>
        <v>0</v>
      </c>
      <c r="K263" s="89" t="str">
        <f t="shared" si="238"/>
        <v/>
      </c>
      <c r="L263" s="152" t="str">
        <f t="shared" si="237"/>
        <v>#DIV/0!</v>
      </c>
      <c r="M263" s="126"/>
      <c r="N263" s="49">
        <f t="shared" ref="N263:N264" si="239">M263*F263</f>
        <v>0</v>
      </c>
    </row>
    <row r="264">
      <c r="A264" s="35"/>
      <c r="B264" s="156" t="s">
        <v>54</v>
      </c>
      <c r="C264" s="89"/>
      <c r="D264" s="89"/>
      <c r="E264" s="12">
        <f>D264-C264</f>
        <v>0</v>
      </c>
      <c r="F264" s="157"/>
      <c r="G264" s="14" t="str">
        <f>(F264/E264)*100</f>
        <v>#DIV/0!</v>
      </c>
      <c r="H264" s="89"/>
      <c r="I264" s="137"/>
      <c r="J264" s="89">
        <f t="shared" si="236"/>
        <v>0</v>
      </c>
      <c r="K264" s="89" t="str">
        <f t="shared" si="238"/>
        <v/>
      </c>
      <c r="L264" s="152" t="str">
        <f t="shared" si="237"/>
        <v>#DIV/0!</v>
      </c>
      <c r="M264" s="126"/>
      <c r="N264" s="49">
        <f t="shared" si="239"/>
        <v>0</v>
      </c>
    </row>
    <row r="265">
      <c r="A265" s="70"/>
      <c r="B265" s="63"/>
      <c r="C265" s="62"/>
      <c r="D265" s="64" t="s">
        <v>19</v>
      </c>
      <c r="E265" s="64">
        <f t="shared" ref="E265:F265" si="240">sum(E257:E264)</f>
        <v>0</v>
      </c>
      <c r="F265" s="64">
        <f t="shared" si="240"/>
        <v>0</v>
      </c>
      <c r="G265" s="65" t="str">
        <f>average(G257:G264)</f>
        <v>#DIV/0!</v>
      </c>
      <c r="H265" s="62"/>
      <c r="I265" s="66"/>
      <c r="J265" s="64">
        <f t="shared" ref="J265:K265" si="241">sum(J257:J264)</f>
        <v>0</v>
      </c>
      <c r="K265" s="64">
        <f t="shared" si="241"/>
        <v>0</v>
      </c>
      <c r="L265" s="65" t="str">
        <f>average(L257:L264)</f>
        <v>#DIV/0!</v>
      </c>
      <c r="M265" s="68"/>
      <c r="N265" s="69">
        <f>sum(N257:N264)</f>
        <v>31700000</v>
      </c>
    </row>
    <row r="266">
      <c r="A266" s="70">
        <v>46084.0</v>
      </c>
      <c r="B266" s="156" t="s">
        <v>69</v>
      </c>
      <c r="C266" s="89"/>
      <c r="D266" s="13"/>
      <c r="E266" s="38">
        <f t="shared" ref="E266:E271" si="242">D266-C266</f>
        <v>0</v>
      </c>
      <c r="F266" s="39"/>
      <c r="G266" s="14" t="str">
        <f t="shared" ref="G266:G271" si="243">(F266/E266)*100</f>
        <v>#DIV/0!</v>
      </c>
      <c r="H266" s="89"/>
      <c r="I266" s="138"/>
      <c r="J266" s="41">
        <f t="shared" ref="J266:J271" si="244">I266-H266</f>
        <v>0</v>
      </c>
      <c r="K266" s="41" t="str">
        <f t="shared" ref="K266:K271" si="245">F266</f>
        <v/>
      </c>
      <c r="L266" s="71" t="str">
        <f t="shared" ref="L266:L271" si="246">(K266/J266)*100</f>
        <v>#DIV/0!</v>
      </c>
      <c r="M266" s="72"/>
      <c r="N266" s="49">
        <v>1000000.0</v>
      </c>
    </row>
    <row r="267">
      <c r="A267" s="35">
        <v>46084.0</v>
      </c>
      <c r="B267" s="156" t="s">
        <v>69</v>
      </c>
      <c r="C267" s="89"/>
      <c r="D267" s="89"/>
      <c r="E267" s="12">
        <f t="shared" si="242"/>
        <v>0</v>
      </c>
      <c r="F267" s="157"/>
      <c r="G267" s="14" t="str">
        <f t="shared" si="243"/>
        <v>#DIV/0!</v>
      </c>
      <c r="H267" s="89"/>
      <c r="I267" s="137"/>
      <c r="J267" s="37">
        <f t="shared" si="244"/>
        <v>0</v>
      </c>
      <c r="K267" s="37" t="str">
        <f t="shared" si="245"/>
        <v/>
      </c>
      <c r="L267" s="48" t="str">
        <f t="shared" si="246"/>
        <v>#DIV/0!</v>
      </c>
      <c r="M267" s="126"/>
      <c r="N267" s="49">
        <v>6000000.0</v>
      </c>
    </row>
    <row r="268">
      <c r="A268" s="35">
        <v>46088.0</v>
      </c>
      <c r="B268" s="156" t="s">
        <v>69</v>
      </c>
      <c r="C268" s="89"/>
      <c r="D268" s="13"/>
      <c r="E268" s="38">
        <f t="shared" si="242"/>
        <v>0</v>
      </c>
      <c r="F268" s="39"/>
      <c r="G268" s="14" t="str">
        <f t="shared" si="243"/>
        <v>#DIV/0!</v>
      </c>
      <c r="H268" s="89"/>
      <c r="I268" s="138"/>
      <c r="J268" s="41">
        <f t="shared" si="244"/>
        <v>0</v>
      </c>
      <c r="K268" s="41" t="str">
        <f t="shared" si="245"/>
        <v/>
      </c>
      <c r="L268" s="71" t="str">
        <f t="shared" si="246"/>
        <v>#DIV/0!</v>
      </c>
      <c r="M268" s="72"/>
      <c r="N268" s="49">
        <v>2000000.0</v>
      </c>
    </row>
    <row r="269">
      <c r="A269" s="35">
        <v>46092.0</v>
      </c>
      <c r="B269" s="156" t="s">
        <v>69</v>
      </c>
      <c r="C269" s="89"/>
      <c r="D269" s="89"/>
      <c r="E269" s="12">
        <f t="shared" si="242"/>
        <v>0</v>
      </c>
      <c r="F269" s="157">
        <v>250.0</v>
      </c>
      <c r="G269" s="14" t="str">
        <f t="shared" si="243"/>
        <v>#DIV/0!</v>
      </c>
      <c r="H269" s="89"/>
      <c r="I269" s="137"/>
      <c r="J269" s="37">
        <f t="shared" si="244"/>
        <v>0</v>
      </c>
      <c r="K269" s="37">
        <f t="shared" si="245"/>
        <v>250</v>
      </c>
      <c r="L269" s="48" t="str">
        <f t="shared" si="246"/>
        <v>#DIV/0!</v>
      </c>
      <c r="M269" s="126">
        <v>30710.0</v>
      </c>
      <c r="N269" s="49">
        <f>M269*F269</f>
        <v>7677500</v>
      </c>
    </row>
    <row r="270">
      <c r="A270" s="35">
        <v>46099.0</v>
      </c>
      <c r="B270" s="156" t="s">
        <v>69</v>
      </c>
      <c r="C270" s="89"/>
      <c r="D270" s="89"/>
      <c r="E270" s="12">
        <f t="shared" si="242"/>
        <v>0</v>
      </c>
      <c r="F270" s="157"/>
      <c r="G270" s="14" t="str">
        <f t="shared" si="243"/>
        <v>#DIV/0!</v>
      </c>
      <c r="H270" s="89"/>
      <c r="I270" s="137"/>
      <c r="J270" s="37">
        <f t="shared" si="244"/>
        <v>0</v>
      </c>
      <c r="K270" s="37" t="str">
        <f t="shared" si="245"/>
        <v/>
      </c>
      <c r="L270" s="77" t="str">
        <f t="shared" si="246"/>
        <v>#DIV/0!</v>
      </c>
      <c r="M270" s="126"/>
      <c r="N270" s="49">
        <v>2000000.0</v>
      </c>
    </row>
    <row r="271">
      <c r="A271" s="35">
        <v>46100.0</v>
      </c>
      <c r="B271" s="156" t="s">
        <v>69</v>
      </c>
      <c r="C271" s="89"/>
      <c r="D271" s="89"/>
      <c r="E271" s="12">
        <f t="shared" si="242"/>
        <v>0</v>
      </c>
      <c r="F271" s="157"/>
      <c r="G271" s="14" t="str">
        <f t="shared" si="243"/>
        <v>#DIV/0!</v>
      </c>
      <c r="H271" s="89"/>
      <c r="I271" s="137"/>
      <c r="J271" s="89">
        <f t="shared" si="244"/>
        <v>0</v>
      </c>
      <c r="K271" s="89" t="str">
        <f t="shared" si="245"/>
        <v/>
      </c>
      <c r="L271" s="152" t="str">
        <f t="shared" si="246"/>
        <v>#DIV/0!</v>
      </c>
      <c r="M271" s="126"/>
      <c r="N271" s="49">
        <v>7780000.0</v>
      </c>
    </row>
    <row r="272">
      <c r="A272" s="70"/>
      <c r="B272" s="63"/>
      <c r="C272" s="62"/>
      <c r="D272" s="64" t="s">
        <v>19</v>
      </c>
      <c r="E272" s="64">
        <f t="shared" ref="E272:F272" si="247">sum(E266:E271)</f>
        <v>0</v>
      </c>
      <c r="F272" s="64">
        <f t="shared" si="247"/>
        <v>250</v>
      </c>
      <c r="G272" s="65" t="str">
        <f>average(G266:G271)</f>
        <v>#DIV/0!</v>
      </c>
      <c r="H272" s="62"/>
      <c r="I272" s="66"/>
      <c r="J272" s="64">
        <f t="shared" ref="J272:K272" si="248">sum(J266:J271)</f>
        <v>0</v>
      </c>
      <c r="K272" s="64">
        <f t="shared" si="248"/>
        <v>250</v>
      </c>
      <c r="L272" s="65" t="str">
        <f>average(L266:L271)</f>
        <v>#DIV/0!</v>
      </c>
      <c r="M272" s="68"/>
      <c r="N272" s="69">
        <f>sum(N266:N271)</f>
        <v>26457500</v>
      </c>
    </row>
    <row r="273">
      <c r="A273" s="70">
        <v>46085.0</v>
      </c>
      <c r="B273" s="192" t="s">
        <v>63</v>
      </c>
      <c r="C273" s="13">
        <v>151415.0</v>
      </c>
      <c r="D273" s="89">
        <v>152261.0</v>
      </c>
      <c r="E273" s="38">
        <f t="shared" ref="E273:E278" si="249">D273-C273</f>
        <v>846</v>
      </c>
      <c r="F273" s="39"/>
      <c r="G273" s="14">
        <f t="shared" ref="G273:G278" si="250">(F273/E273)*100</f>
        <v>0</v>
      </c>
      <c r="H273" s="89">
        <v>151342.0</v>
      </c>
      <c r="I273" s="89">
        <v>152101.0</v>
      </c>
      <c r="J273" s="41">
        <f t="shared" ref="J273:J278" si="251">I273-H273</f>
        <v>759</v>
      </c>
      <c r="K273" s="41" t="str">
        <f t="shared" ref="K273:K278" si="252">F273</f>
        <v/>
      </c>
      <c r="L273" s="152">
        <f t="shared" ref="L273:L278" si="253">(K273/J273)*100</f>
        <v>0</v>
      </c>
      <c r="M273" s="72">
        <v>19270.0</v>
      </c>
      <c r="N273" s="49">
        <v>5000000.0</v>
      </c>
    </row>
    <row r="274">
      <c r="A274" s="35">
        <v>46093.0</v>
      </c>
      <c r="B274" s="192" t="s">
        <v>63</v>
      </c>
      <c r="C274" s="89">
        <v>152261.0</v>
      </c>
      <c r="D274" s="13">
        <v>153284.0</v>
      </c>
      <c r="E274" s="12">
        <f t="shared" si="249"/>
        <v>1023</v>
      </c>
      <c r="F274" s="157">
        <v>289.01</v>
      </c>
      <c r="G274" s="14">
        <f t="shared" si="250"/>
        <v>28.2512219</v>
      </c>
      <c r="H274" s="89">
        <v>152101.0</v>
      </c>
      <c r="I274" s="89">
        <v>153156.0</v>
      </c>
      <c r="J274" s="41">
        <f t="shared" si="251"/>
        <v>1055</v>
      </c>
      <c r="K274" s="37">
        <f t="shared" si="252"/>
        <v>289.01</v>
      </c>
      <c r="L274" s="152">
        <f t="shared" si="253"/>
        <v>27.3943128</v>
      </c>
      <c r="M274" s="72">
        <v>26470.0</v>
      </c>
      <c r="N274" s="49">
        <v>7650000.0</v>
      </c>
    </row>
    <row r="275">
      <c r="A275" s="35">
        <v>46102.0</v>
      </c>
      <c r="B275" s="192" t="s">
        <v>63</v>
      </c>
      <c r="C275" s="13">
        <v>153284.0</v>
      </c>
      <c r="D275" s="89">
        <v>154172.0</v>
      </c>
      <c r="E275" s="12">
        <f t="shared" si="249"/>
        <v>888</v>
      </c>
      <c r="F275" s="157">
        <v>89.77</v>
      </c>
      <c r="G275" s="14">
        <f t="shared" si="250"/>
        <v>10.10923423</v>
      </c>
      <c r="H275" s="89">
        <v>153156.0</v>
      </c>
      <c r="I275" s="89">
        <v>154017.0</v>
      </c>
      <c r="J275" s="89">
        <f t="shared" si="251"/>
        <v>861</v>
      </c>
      <c r="K275" s="37">
        <f t="shared" si="252"/>
        <v>89.77</v>
      </c>
      <c r="L275" s="152">
        <f t="shared" si="253"/>
        <v>10.42624855</v>
      </c>
      <c r="M275" s="126">
        <v>33420.0</v>
      </c>
      <c r="N275" s="49">
        <f>M275*F275</f>
        <v>3000113.4</v>
      </c>
    </row>
    <row r="276">
      <c r="A276" s="239">
        <v>46107.0</v>
      </c>
      <c r="B276" s="192" t="s">
        <v>63</v>
      </c>
      <c r="C276" s="240"/>
      <c r="D276" s="240"/>
      <c r="E276" s="241">
        <f t="shared" si="249"/>
        <v>0</v>
      </c>
      <c r="F276" s="242"/>
      <c r="G276" s="243" t="str">
        <f t="shared" si="250"/>
        <v>#DIV/0!</v>
      </c>
      <c r="H276" s="240"/>
      <c r="I276" s="240"/>
      <c r="J276" s="240">
        <f t="shared" si="251"/>
        <v>0</v>
      </c>
      <c r="K276" s="244" t="str">
        <f t="shared" si="252"/>
        <v/>
      </c>
      <c r="L276" s="245" t="str">
        <f t="shared" si="253"/>
        <v>#DIV/0!</v>
      </c>
      <c r="M276" s="246"/>
      <c r="N276" s="247">
        <v>1.315E7</v>
      </c>
    </row>
    <row r="277">
      <c r="A277" s="35"/>
      <c r="B277" s="192" t="s">
        <v>63</v>
      </c>
      <c r="C277" s="37"/>
      <c r="D277" s="89"/>
      <c r="E277" s="12">
        <f t="shared" si="249"/>
        <v>0</v>
      </c>
      <c r="F277" s="157"/>
      <c r="G277" s="14" t="str">
        <f t="shared" si="250"/>
        <v>#DIV/0!</v>
      </c>
      <c r="H277" s="89"/>
      <c r="I277" s="137"/>
      <c r="J277" s="89">
        <f t="shared" si="251"/>
        <v>0</v>
      </c>
      <c r="K277" s="37" t="str">
        <f t="shared" si="252"/>
        <v/>
      </c>
      <c r="L277" s="152" t="str">
        <f t="shared" si="253"/>
        <v>#DIV/0!</v>
      </c>
      <c r="M277" s="126"/>
      <c r="N277" s="49">
        <f t="shared" ref="N277:N278" si="254">M277*F277</f>
        <v>0</v>
      </c>
    </row>
    <row r="278">
      <c r="A278" s="154"/>
      <c r="B278" s="192" t="s">
        <v>63</v>
      </c>
      <c r="C278" s="89"/>
      <c r="D278" s="89"/>
      <c r="E278" s="12">
        <f t="shared" si="249"/>
        <v>0</v>
      </c>
      <c r="F278" s="157"/>
      <c r="G278" s="14" t="str">
        <f t="shared" si="250"/>
        <v>#DIV/0!</v>
      </c>
      <c r="H278" s="89"/>
      <c r="I278" s="137"/>
      <c r="J278" s="89">
        <f t="shared" si="251"/>
        <v>0</v>
      </c>
      <c r="K278" s="37" t="str">
        <f t="shared" si="252"/>
        <v/>
      </c>
      <c r="L278" s="152" t="str">
        <f t="shared" si="253"/>
        <v>#DIV/0!</v>
      </c>
      <c r="M278" s="126"/>
      <c r="N278" s="49">
        <f t="shared" si="254"/>
        <v>0</v>
      </c>
    </row>
    <row r="279">
      <c r="A279" s="62"/>
      <c r="B279" s="63"/>
      <c r="C279" s="62"/>
      <c r="D279" s="64" t="s">
        <v>19</v>
      </c>
      <c r="E279" s="64">
        <f t="shared" ref="E279:F279" si="255">sum(E273:E278)</f>
        <v>2757</v>
      </c>
      <c r="F279" s="64">
        <f t="shared" si="255"/>
        <v>378.78</v>
      </c>
      <c r="G279" s="65" t="str">
        <f>average(G273:G278)</f>
        <v>#DIV/0!</v>
      </c>
      <c r="H279" s="62"/>
      <c r="I279" s="66"/>
      <c r="J279" s="64">
        <f t="shared" ref="J279:K279" si="256">sum(J273:J278)</f>
        <v>2675</v>
      </c>
      <c r="K279" s="64">
        <f t="shared" si="256"/>
        <v>378.78</v>
      </c>
      <c r="L279" s="65" t="str">
        <f>average(L273:L278)</f>
        <v>#DIV/0!</v>
      </c>
      <c r="M279" s="68"/>
      <c r="N279" s="69">
        <f>sum(N273:N278)</f>
        <v>28800113.4</v>
      </c>
    </row>
    <row r="280">
      <c r="A280" s="70">
        <v>46085.0</v>
      </c>
      <c r="B280" s="192" t="s">
        <v>57</v>
      </c>
      <c r="C280" s="89">
        <v>6822.0</v>
      </c>
      <c r="D280" s="89">
        <v>7387.0</v>
      </c>
      <c r="E280" s="12">
        <f t="shared" ref="E280:E287" si="257">D280-C280</f>
        <v>565</v>
      </c>
      <c r="F280" s="39">
        <v>155.67</v>
      </c>
      <c r="G280" s="14">
        <f t="shared" ref="G280:G287" si="258">(F280/E280)*100</f>
        <v>27.55221239</v>
      </c>
      <c r="H280" s="137"/>
      <c r="I280" s="137">
        <v>7343.0</v>
      </c>
      <c r="J280" s="41">
        <f t="shared" ref="J280:J287" si="259">I280-H280</f>
        <v>7343</v>
      </c>
      <c r="K280" s="41">
        <f t="shared" ref="K280:K287" si="260">F280</f>
        <v>155.67</v>
      </c>
      <c r="L280" s="152">
        <f t="shared" ref="L280:L287" si="261">(K280/J280)*100</f>
        <v>2.119978211</v>
      </c>
      <c r="M280" s="72">
        <v>19270.0</v>
      </c>
      <c r="N280" s="49">
        <f t="shared" ref="N280:N287" si="262">M280*F280</f>
        <v>2999760.9</v>
      </c>
    </row>
    <row r="281">
      <c r="A281" s="35">
        <v>46088.0</v>
      </c>
      <c r="B281" s="192" t="s">
        <v>57</v>
      </c>
      <c r="C281" s="89">
        <v>7387.0</v>
      </c>
      <c r="D281" s="13">
        <v>7761.0</v>
      </c>
      <c r="E281" s="12">
        <f t="shared" si="257"/>
        <v>374</v>
      </c>
      <c r="F281" s="157">
        <v>86.84</v>
      </c>
      <c r="G281" s="14">
        <f t="shared" si="258"/>
        <v>23.21925134</v>
      </c>
      <c r="H281" s="137">
        <v>7343.0</v>
      </c>
      <c r="I281" s="137">
        <v>7781.0</v>
      </c>
      <c r="J281" s="89">
        <f t="shared" si="259"/>
        <v>438</v>
      </c>
      <c r="K281" s="41">
        <f t="shared" si="260"/>
        <v>86.84</v>
      </c>
      <c r="L281" s="152">
        <f t="shared" si="261"/>
        <v>19.82648402</v>
      </c>
      <c r="M281" s="72">
        <v>23030.0</v>
      </c>
      <c r="N281" s="49">
        <f t="shared" si="262"/>
        <v>1999925.2</v>
      </c>
    </row>
    <row r="282">
      <c r="A282" s="35">
        <v>46091.0</v>
      </c>
      <c r="B282" s="192" t="s">
        <v>57</v>
      </c>
      <c r="C282" s="13">
        <v>7761.0</v>
      </c>
      <c r="D282" s="89">
        <v>8017.0</v>
      </c>
      <c r="E282" s="12">
        <f t="shared" si="257"/>
        <v>256</v>
      </c>
      <c r="F282" s="157">
        <v>66.16</v>
      </c>
      <c r="G282" s="14">
        <f t="shared" si="258"/>
        <v>25.84375</v>
      </c>
      <c r="H282" s="137">
        <v>7781.0</v>
      </c>
      <c r="I282" s="137">
        <v>7960.0</v>
      </c>
      <c r="J282" s="89">
        <f t="shared" si="259"/>
        <v>179</v>
      </c>
      <c r="K282" s="37">
        <f t="shared" si="260"/>
        <v>66.16</v>
      </c>
      <c r="L282" s="152">
        <f t="shared" si="261"/>
        <v>36.96089385</v>
      </c>
      <c r="M282" s="72">
        <v>30230.0</v>
      </c>
      <c r="N282" s="49">
        <f t="shared" si="262"/>
        <v>2000016.8</v>
      </c>
    </row>
    <row r="283">
      <c r="A283" s="35">
        <v>46093.0</v>
      </c>
      <c r="B283" s="192" t="s">
        <v>57</v>
      </c>
      <c r="C283" s="89">
        <v>8017.0</v>
      </c>
      <c r="D283" s="89">
        <v>8209.0</v>
      </c>
      <c r="E283" s="12">
        <f t="shared" si="257"/>
        <v>192</v>
      </c>
      <c r="F283" s="157">
        <v>97.09</v>
      </c>
      <c r="G283" s="14">
        <f t="shared" si="258"/>
        <v>50.56770833</v>
      </c>
      <c r="H283" s="137">
        <v>7960.0</v>
      </c>
      <c r="I283" s="137">
        <v>8156.0</v>
      </c>
      <c r="J283" s="89">
        <f t="shared" si="259"/>
        <v>196</v>
      </c>
      <c r="K283" s="37">
        <f t="shared" si="260"/>
        <v>97.09</v>
      </c>
      <c r="L283" s="152">
        <f t="shared" si="261"/>
        <v>49.53571429</v>
      </c>
      <c r="M283" s="126">
        <v>26470.0</v>
      </c>
      <c r="N283" s="49">
        <f t="shared" si="262"/>
        <v>2569972.3</v>
      </c>
    </row>
    <row r="284">
      <c r="A284" s="35">
        <v>46099.0</v>
      </c>
      <c r="B284" s="192" t="s">
        <v>57</v>
      </c>
      <c r="C284" s="89">
        <v>8209.0</v>
      </c>
      <c r="D284" s="89">
        <v>8761.0</v>
      </c>
      <c r="E284" s="12">
        <f t="shared" si="257"/>
        <v>552</v>
      </c>
      <c r="F284" s="157">
        <v>172.72</v>
      </c>
      <c r="G284" s="14">
        <f t="shared" si="258"/>
        <v>31.28985507</v>
      </c>
      <c r="H284" s="137">
        <v>8156.0</v>
      </c>
      <c r="I284" s="137">
        <v>8742.0</v>
      </c>
      <c r="J284" s="89">
        <f t="shared" si="259"/>
        <v>586</v>
      </c>
      <c r="K284" s="37">
        <f t="shared" si="260"/>
        <v>172.72</v>
      </c>
      <c r="L284" s="152">
        <f t="shared" si="261"/>
        <v>29.47440273</v>
      </c>
      <c r="M284" s="126">
        <v>27020.0</v>
      </c>
      <c r="N284" s="49">
        <f t="shared" si="262"/>
        <v>4666894.4</v>
      </c>
    </row>
    <row r="285">
      <c r="A285" s="154">
        <v>46104.0</v>
      </c>
      <c r="B285" s="192" t="s">
        <v>57</v>
      </c>
      <c r="C285" s="89">
        <v>8761.0</v>
      </c>
      <c r="D285" s="89">
        <v>9343.0</v>
      </c>
      <c r="E285" s="12">
        <f t="shared" si="257"/>
        <v>582</v>
      </c>
      <c r="F285" s="157">
        <v>89.77</v>
      </c>
      <c r="G285" s="14">
        <f t="shared" si="258"/>
        <v>15.42439863</v>
      </c>
      <c r="H285" s="137">
        <v>8742.0</v>
      </c>
      <c r="I285" s="137">
        <v>9320.0</v>
      </c>
      <c r="J285" s="89">
        <f t="shared" si="259"/>
        <v>578</v>
      </c>
      <c r="K285" s="37">
        <f t="shared" si="260"/>
        <v>89.77</v>
      </c>
      <c r="L285" s="152">
        <f t="shared" si="261"/>
        <v>15.53114187</v>
      </c>
      <c r="M285" s="126">
        <v>33420.0</v>
      </c>
      <c r="N285" s="49">
        <f t="shared" si="262"/>
        <v>3000113.4</v>
      </c>
    </row>
    <row r="286">
      <c r="A286" s="154">
        <v>46106.0</v>
      </c>
      <c r="B286" s="192" t="s">
        <v>57</v>
      </c>
      <c r="C286" s="89">
        <v>9343.0</v>
      </c>
      <c r="D286" s="89">
        <v>9402.0</v>
      </c>
      <c r="E286" s="12">
        <f t="shared" si="257"/>
        <v>59</v>
      </c>
      <c r="F286" s="157">
        <v>89.77</v>
      </c>
      <c r="G286" s="14">
        <f t="shared" si="258"/>
        <v>152.1525424</v>
      </c>
      <c r="H286" s="137">
        <v>9320.0</v>
      </c>
      <c r="I286" s="137">
        <v>9464.0</v>
      </c>
      <c r="J286" s="89">
        <f t="shared" si="259"/>
        <v>144</v>
      </c>
      <c r="K286" s="37">
        <f t="shared" si="260"/>
        <v>89.77</v>
      </c>
      <c r="L286" s="152">
        <f t="shared" si="261"/>
        <v>62.34027778</v>
      </c>
      <c r="M286" s="126">
        <v>33420.0</v>
      </c>
      <c r="N286" s="49">
        <f t="shared" si="262"/>
        <v>3000113.4</v>
      </c>
    </row>
    <row r="287">
      <c r="A287" s="154">
        <v>46111.0</v>
      </c>
      <c r="B287" s="192" t="s">
        <v>57</v>
      </c>
      <c r="C287" s="89">
        <v>9402.0</v>
      </c>
      <c r="D287" s="89">
        <v>9931.0</v>
      </c>
      <c r="E287" s="12">
        <f t="shared" si="257"/>
        <v>529</v>
      </c>
      <c r="F287" s="157">
        <v>84.65</v>
      </c>
      <c r="G287" s="14">
        <f t="shared" si="258"/>
        <v>16.00189036</v>
      </c>
      <c r="H287" s="137">
        <v>9464.0</v>
      </c>
      <c r="I287" s="137">
        <v>9937.0</v>
      </c>
      <c r="J287" s="89">
        <f t="shared" si="259"/>
        <v>473</v>
      </c>
      <c r="K287" s="37">
        <f t="shared" si="260"/>
        <v>84.65</v>
      </c>
      <c r="L287" s="152">
        <f t="shared" si="261"/>
        <v>17.89640592</v>
      </c>
      <c r="M287" s="126">
        <v>35440.0</v>
      </c>
      <c r="N287" s="49">
        <f t="shared" si="262"/>
        <v>2999996</v>
      </c>
    </row>
    <row r="288">
      <c r="A288" s="62"/>
      <c r="B288" s="63"/>
      <c r="C288" s="62"/>
      <c r="D288" s="64" t="s">
        <v>19</v>
      </c>
      <c r="E288" s="64">
        <f>sum(E280:E285)</f>
        <v>2521</v>
      </c>
      <c r="F288" s="64">
        <f>sum(F280:F287)</f>
        <v>842.67</v>
      </c>
      <c r="G288" s="65">
        <f>average(G280:G285)</f>
        <v>28.98286263</v>
      </c>
      <c r="H288" s="62"/>
      <c r="I288" s="66"/>
      <c r="J288" s="64">
        <f t="shared" ref="J288:K288" si="263">sum(J280:J285)</f>
        <v>9320</v>
      </c>
      <c r="K288" s="64">
        <f t="shared" si="263"/>
        <v>668.25</v>
      </c>
      <c r="L288" s="65">
        <f>average(L280:L285)</f>
        <v>25.57476916</v>
      </c>
      <c r="M288" s="68"/>
      <c r="N288" s="69">
        <f>sum(N280:N287)</f>
        <v>23236792.4</v>
      </c>
    </row>
    <row r="289">
      <c r="A289" s="70">
        <v>46083.0</v>
      </c>
      <c r="B289" s="192" t="s">
        <v>58</v>
      </c>
      <c r="C289" s="89">
        <v>6321.0</v>
      </c>
      <c r="D289" s="89">
        <v>7130.0</v>
      </c>
      <c r="E289" s="12">
        <f t="shared" ref="E289:E297" si="264">D289-C289</f>
        <v>809</v>
      </c>
      <c r="F289" s="39">
        <v>197.2</v>
      </c>
      <c r="G289" s="14">
        <f t="shared" ref="G289:G297" si="265">(F289/E289)*100</f>
        <v>24.37577256</v>
      </c>
      <c r="H289" s="137"/>
      <c r="I289" s="137">
        <v>6859.0</v>
      </c>
      <c r="J289" s="89">
        <f t="shared" ref="J289:J297" si="266">I289-H289</f>
        <v>6859</v>
      </c>
      <c r="K289" s="41">
        <f t="shared" ref="K289:K297" si="267">F289</f>
        <v>197.2</v>
      </c>
      <c r="L289" s="152">
        <f t="shared" ref="L289:L297" si="268">(K289/J289)*100</f>
        <v>2.875054673</v>
      </c>
      <c r="M289" s="72">
        <v>19270.0</v>
      </c>
      <c r="N289" s="49">
        <f t="shared" ref="N289:N297" si="269">M289*F289</f>
        <v>3800044</v>
      </c>
    </row>
    <row r="290">
      <c r="A290" s="35">
        <v>46086.0</v>
      </c>
      <c r="B290" s="192" t="s">
        <v>58</v>
      </c>
      <c r="C290" s="89">
        <v>7130.0</v>
      </c>
      <c r="D290" s="13">
        <v>7478.0</v>
      </c>
      <c r="E290" s="12">
        <f t="shared" si="264"/>
        <v>348</v>
      </c>
      <c r="F290" s="157">
        <v>122.73</v>
      </c>
      <c r="G290" s="14">
        <f t="shared" si="265"/>
        <v>35.26724138</v>
      </c>
      <c r="H290" s="137">
        <v>6859.0</v>
      </c>
      <c r="I290" s="137">
        <v>7250.0</v>
      </c>
      <c r="J290" s="89">
        <f t="shared" si="266"/>
        <v>391</v>
      </c>
      <c r="K290" s="37">
        <f t="shared" si="267"/>
        <v>122.73</v>
      </c>
      <c r="L290" s="152">
        <f t="shared" si="268"/>
        <v>31.3887468</v>
      </c>
      <c r="M290" s="72">
        <v>19270.0</v>
      </c>
      <c r="N290" s="49">
        <f t="shared" si="269"/>
        <v>2365007.1</v>
      </c>
    </row>
    <row r="291">
      <c r="A291" s="35">
        <v>46088.0</v>
      </c>
      <c r="B291" s="192" t="s">
        <v>58</v>
      </c>
      <c r="C291" s="13">
        <v>7478.0</v>
      </c>
      <c r="D291" s="89">
        <v>7948.0</v>
      </c>
      <c r="E291" s="12">
        <f t="shared" si="264"/>
        <v>470</v>
      </c>
      <c r="F291" s="157">
        <v>66.16</v>
      </c>
      <c r="G291" s="14">
        <f t="shared" si="265"/>
        <v>14.07659574</v>
      </c>
      <c r="H291" s="137">
        <v>7250.0</v>
      </c>
      <c r="I291" s="137">
        <v>7641.0</v>
      </c>
      <c r="J291" s="89">
        <f t="shared" si="266"/>
        <v>391</v>
      </c>
      <c r="K291" s="37">
        <f t="shared" si="267"/>
        <v>66.16</v>
      </c>
      <c r="L291" s="152">
        <f t="shared" si="268"/>
        <v>16.92071611</v>
      </c>
      <c r="M291" s="126">
        <v>30230.0</v>
      </c>
      <c r="N291" s="49">
        <f t="shared" si="269"/>
        <v>2000016.8</v>
      </c>
    </row>
    <row r="292">
      <c r="A292" s="35">
        <v>46090.0</v>
      </c>
      <c r="B292" s="192" t="s">
        <v>58</v>
      </c>
      <c r="C292" s="89">
        <v>7948.0</v>
      </c>
      <c r="D292" s="89">
        <v>8076.0</v>
      </c>
      <c r="E292" s="12">
        <f t="shared" si="264"/>
        <v>128</v>
      </c>
      <c r="F292" s="157">
        <v>66.16</v>
      </c>
      <c r="G292" s="14">
        <f t="shared" si="265"/>
        <v>51.6875</v>
      </c>
      <c r="H292" s="137">
        <v>7641.0</v>
      </c>
      <c r="I292" s="137"/>
      <c r="J292" s="89">
        <f t="shared" si="266"/>
        <v>-7641</v>
      </c>
      <c r="K292" s="37">
        <f t="shared" si="267"/>
        <v>66.16</v>
      </c>
      <c r="L292" s="152">
        <f t="shared" si="268"/>
        <v>-0.8658552545</v>
      </c>
      <c r="M292" s="126">
        <v>30230.0</v>
      </c>
      <c r="N292" s="49">
        <f t="shared" si="269"/>
        <v>2000016.8</v>
      </c>
    </row>
    <row r="293">
      <c r="A293" s="35">
        <v>46092.0</v>
      </c>
      <c r="B293" s="192" t="s">
        <v>58</v>
      </c>
      <c r="C293" s="89">
        <v>8076.0</v>
      </c>
      <c r="D293" s="89">
        <v>8359.0</v>
      </c>
      <c r="E293" s="12">
        <f t="shared" si="264"/>
        <v>283</v>
      </c>
      <c r="F293" s="157">
        <v>162.81</v>
      </c>
      <c r="G293" s="14">
        <f t="shared" si="265"/>
        <v>57.53003534</v>
      </c>
      <c r="H293" s="137"/>
      <c r="I293" s="137">
        <v>8058.0</v>
      </c>
      <c r="J293" s="89">
        <f t="shared" si="266"/>
        <v>8058</v>
      </c>
      <c r="K293" s="37">
        <f t="shared" si="267"/>
        <v>162.81</v>
      </c>
      <c r="L293" s="152">
        <f t="shared" si="268"/>
        <v>2.020476545</v>
      </c>
      <c r="M293" s="126">
        <v>30710.0</v>
      </c>
      <c r="N293" s="49">
        <f t="shared" si="269"/>
        <v>4999895.1</v>
      </c>
    </row>
    <row r="294">
      <c r="A294" s="154">
        <v>46098.0</v>
      </c>
      <c r="B294" s="192" t="s">
        <v>58</v>
      </c>
      <c r="C294" s="89">
        <v>8359.0</v>
      </c>
      <c r="D294" s="89">
        <v>8842.0</v>
      </c>
      <c r="E294" s="12">
        <f t="shared" si="264"/>
        <v>483</v>
      </c>
      <c r="F294" s="157">
        <v>155.44</v>
      </c>
      <c r="G294" s="14">
        <f t="shared" si="265"/>
        <v>32.18219462</v>
      </c>
      <c r="H294" s="137">
        <v>8058.0</v>
      </c>
      <c r="I294" s="137">
        <v>8530.0</v>
      </c>
      <c r="J294" s="89">
        <f t="shared" si="266"/>
        <v>472</v>
      </c>
      <c r="K294" s="37">
        <f t="shared" si="267"/>
        <v>155.44</v>
      </c>
      <c r="L294" s="152">
        <f t="shared" si="268"/>
        <v>32.93220339</v>
      </c>
      <c r="M294" s="126">
        <v>27020.0</v>
      </c>
      <c r="N294" s="49">
        <f t="shared" si="269"/>
        <v>4199988.8</v>
      </c>
    </row>
    <row r="295">
      <c r="A295" s="154">
        <v>46105.0</v>
      </c>
      <c r="B295" s="192" t="s">
        <v>58</v>
      </c>
      <c r="C295" s="89">
        <v>8842.0</v>
      </c>
      <c r="D295" s="89">
        <v>9399.0</v>
      </c>
      <c r="E295" s="12">
        <f t="shared" si="264"/>
        <v>557</v>
      </c>
      <c r="F295" s="157">
        <v>89.77</v>
      </c>
      <c r="G295" s="14">
        <f t="shared" si="265"/>
        <v>16.11669659</v>
      </c>
      <c r="H295" s="137">
        <v>8530.0</v>
      </c>
      <c r="I295" s="137">
        <v>9090.0</v>
      </c>
      <c r="J295" s="89">
        <f t="shared" si="266"/>
        <v>560</v>
      </c>
      <c r="K295" s="37">
        <f t="shared" si="267"/>
        <v>89.77</v>
      </c>
      <c r="L295" s="152">
        <f t="shared" si="268"/>
        <v>16.03035714</v>
      </c>
      <c r="M295" s="126">
        <v>33420.0</v>
      </c>
      <c r="N295" s="49">
        <f t="shared" si="269"/>
        <v>3000113.4</v>
      </c>
    </row>
    <row r="296">
      <c r="A296" s="154">
        <v>46106.0</v>
      </c>
      <c r="B296" s="192" t="s">
        <v>58</v>
      </c>
      <c r="C296" s="89">
        <v>9399.0</v>
      </c>
      <c r="D296" s="89">
        <v>9647.0</v>
      </c>
      <c r="E296" s="12">
        <f t="shared" si="264"/>
        <v>248</v>
      </c>
      <c r="F296" s="157">
        <v>168.93</v>
      </c>
      <c r="G296" s="14">
        <f t="shared" si="265"/>
        <v>68.11693548</v>
      </c>
      <c r="H296" s="137">
        <v>9090.0</v>
      </c>
      <c r="I296" s="137">
        <v>9341.0</v>
      </c>
      <c r="J296" s="89">
        <f t="shared" si="266"/>
        <v>251</v>
      </c>
      <c r="K296" s="37">
        <f t="shared" si="267"/>
        <v>168.93</v>
      </c>
      <c r="L296" s="152">
        <f t="shared" si="268"/>
        <v>67.30278884</v>
      </c>
      <c r="M296" s="126">
        <v>39660.0</v>
      </c>
      <c r="N296" s="49">
        <f t="shared" si="269"/>
        <v>6699763.8</v>
      </c>
    </row>
    <row r="297">
      <c r="A297" s="154">
        <v>46112.0</v>
      </c>
      <c r="B297" s="192" t="s">
        <v>58</v>
      </c>
      <c r="C297" s="89">
        <v>9647.0</v>
      </c>
      <c r="D297" s="89">
        <v>10168.0</v>
      </c>
      <c r="E297" s="12">
        <f t="shared" si="264"/>
        <v>521</v>
      </c>
      <c r="F297" s="157">
        <v>84.65</v>
      </c>
      <c r="G297" s="14">
        <f t="shared" si="265"/>
        <v>16.24760077</v>
      </c>
      <c r="H297" s="137">
        <v>9341.0</v>
      </c>
      <c r="I297" s="137">
        <v>9934.0</v>
      </c>
      <c r="J297" s="89">
        <f t="shared" si="266"/>
        <v>593</v>
      </c>
      <c r="K297" s="37">
        <f t="shared" si="267"/>
        <v>84.65</v>
      </c>
      <c r="L297" s="152">
        <f t="shared" si="268"/>
        <v>14.27487352</v>
      </c>
      <c r="M297" s="126">
        <v>35440.0</v>
      </c>
      <c r="N297" s="49">
        <f t="shared" si="269"/>
        <v>2999996</v>
      </c>
    </row>
    <row r="298">
      <c r="A298" s="62"/>
      <c r="B298" s="63"/>
      <c r="C298" s="62"/>
      <c r="D298" s="64" t="s">
        <v>19</v>
      </c>
      <c r="E298" s="64">
        <f>sum(E289:E294)</f>
        <v>2521</v>
      </c>
      <c r="F298" s="64">
        <f>sum(F289:F295)</f>
        <v>860.27</v>
      </c>
      <c r="G298" s="65">
        <f>average(G289:G294)</f>
        <v>35.85322327</v>
      </c>
      <c r="H298" s="62"/>
      <c r="I298" s="66"/>
      <c r="J298" s="64">
        <f t="shared" ref="J298:K298" si="270">sum(J289:J294)</f>
        <v>8530</v>
      </c>
      <c r="K298" s="64">
        <f t="shared" si="270"/>
        <v>770.5</v>
      </c>
      <c r="L298" s="65">
        <f>average(L289:L294)</f>
        <v>14.21189038</v>
      </c>
      <c r="M298" s="68"/>
      <c r="N298" s="69">
        <f>sum(N289:N297)</f>
        <v>32064841.8</v>
      </c>
    </row>
    <row r="299">
      <c r="A299" s="70">
        <v>46089.0</v>
      </c>
      <c r="B299" s="234" t="s">
        <v>70</v>
      </c>
      <c r="C299" s="89"/>
      <c r="D299" s="89"/>
      <c r="E299" s="12">
        <f t="shared" ref="E299:E304" si="271">D299-C299</f>
        <v>0</v>
      </c>
      <c r="F299" s="39"/>
      <c r="G299" s="14" t="str">
        <f t="shared" ref="G299:G304" si="272">(F299/E299)*100</f>
        <v>#DIV/0!</v>
      </c>
      <c r="H299" s="137"/>
      <c r="I299" s="137"/>
      <c r="J299" s="41">
        <f t="shared" ref="J299:J304" si="273">I299-H299</f>
        <v>0</v>
      </c>
      <c r="K299" s="41" t="str">
        <f t="shared" ref="K299:K304" si="274">F299</f>
        <v/>
      </c>
      <c r="L299" s="152" t="str">
        <f t="shared" ref="L299:L304" si="275">(K299/J299)*100</f>
        <v>#DIV/0!</v>
      </c>
      <c r="M299" s="72"/>
      <c r="N299" s="49">
        <v>2000000.0</v>
      </c>
    </row>
    <row r="300">
      <c r="A300" s="35">
        <v>46112.0</v>
      </c>
      <c r="B300" s="234" t="s">
        <v>70</v>
      </c>
      <c r="C300" s="89"/>
      <c r="D300" s="13"/>
      <c r="E300" s="12">
        <f t="shared" si="271"/>
        <v>0</v>
      </c>
      <c r="F300" s="157"/>
      <c r="G300" s="14" t="str">
        <f t="shared" si="272"/>
        <v>#DIV/0!</v>
      </c>
      <c r="H300" s="137"/>
      <c r="I300" s="137"/>
      <c r="J300" s="89">
        <f t="shared" si="273"/>
        <v>0</v>
      </c>
      <c r="K300" s="37" t="str">
        <f t="shared" si="274"/>
        <v/>
      </c>
      <c r="L300" s="152" t="str">
        <f t="shared" si="275"/>
        <v>#DIV/0!</v>
      </c>
      <c r="M300" s="72"/>
      <c r="N300" s="49">
        <v>3000000.0</v>
      </c>
    </row>
    <row r="301">
      <c r="A301" s="35"/>
      <c r="B301" s="234" t="s">
        <v>70</v>
      </c>
      <c r="C301" s="13"/>
      <c r="D301" s="89"/>
      <c r="E301" s="12">
        <f t="shared" si="271"/>
        <v>0</v>
      </c>
      <c r="F301" s="157"/>
      <c r="G301" s="14" t="str">
        <f t="shared" si="272"/>
        <v>#DIV/0!</v>
      </c>
      <c r="H301" s="137"/>
      <c r="I301" s="137"/>
      <c r="J301" s="89">
        <f t="shared" si="273"/>
        <v>0</v>
      </c>
      <c r="K301" s="37" t="str">
        <f t="shared" si="274"/>
        <v/>
      </c>
      <c r="L301" s="152" t="str">
        <f t="shared" si="275"/>
        <v>#DIV/0!</v>
      </c>
      <c r="M301" s="126"/>
      <c r="N301" s="49">
        <f t="shared" ref="N301:N304" si="276">M301*F301</f>
        <v>0</v>
      </c>
    </row>
    <row r="302">
      <c r="A302" s="35"/>
      <c r="B302" s="234" t="s">
        <v>70</v>
      </c>
      <c r="C302" s="89"/>
      <c r="D302" s="89"/>
      <c r="E302" s="12">
        <f t="shared" si="271"/>
        <v>0</v>
      </c>
      <c r="F302" s="157"/>
      <c r="G302" s="14" t="str">
        <f t="shared" si="272"/>
        <v>#DIV/0!</v>
      </c>
      <c r="H302" s="137"/>
      <c r="I302" s="137"/>
      <c r="J302" s="89">
        <f t="shared" si="273"/>
        <v>0</v>
      </c>
      <c r="K302" s="37" t="str">
        <f t="shared" si="274"/>
        <v/>
      </c>
      <c r="L302" s="152" t="str">
        <f t="shared" si="275"/>
        <v>#DIV/0!</v>
      </c>
      <c r="M302" s="126"/>
      <c r="N302" s="49">
        <f t="shared" si="276"/>
        <v>0</v>
      </c>
    </row>
    <row r="303">
      <c r="A303" s="35"/>
      <c r="B303" s="234" t="s">
        <v>70</v>
      </c>
      <c r="C303" s="37"/>
      <c r="D303" s="89"/>
      <c r="E303" s="12">
        <f t="shared" si="271"/>
        <v>0</v>
      </c>
      <c r="F303" s="157"/>
      <c r="G303" s="14" t="str">
        <f t="shared" si="272"/>
        <v>#DIV/0!</v>
      </c>
      <c r="H303" s="89"/>
      <c r="I303" s="137"/>
      <c r="J303" s="89">
        <f t="shared" si="273"/>
        <v>0</v>
      </c>
      <c r="K303" s="37" t="str">
        <f t="shared" si="274"/>
        <v/>
      </c>
      <c r="L303" s="152" t="str">
        <f t="shared" si="275"/>
        <v>#DIV/0!</v>
      </c>
      <c r="M303" s="126"/>
      <c r="N303" s="49">
        <f t="shared" si="276"/>
        <v>0</v>
      </c>
    </row>
    <row r="304">
      <c r="A304" s="154"/>
      <c r="B304" s="234" t="s">
        <v>70</v>
      </c>
      <c r="C304" s="89"/>
      <c r="D304" s="89"/>
      <c r="E304" s="12">
        <f t="shared" si="271"/>
        <v>0</v>
      </c>
      <c r="F304" s="157"/>
      <c r="G304" s="14" t="str">
        <f t="shared" si="272"/>
        <v>#DIV/0!</v>
      </c>
      <c r="H304" s="89"/>
      <c r="I304" s="137"/>
      <c r="J304" s="89">
        <f t="shared" si="273"/>
        <v>0</v>
      </c>
      <c r="K304" s="37" t="str">
        <f t="shared" si="274"/>
        <v/>
      </c>
      <c r="L304" s="152" t="str">
        <f t="shared" si="275"/>
        <v>#DIV/0!</v>
      </c>
      <c r="M304" s="126"/>
      <c r="N304" s="49">
        <f t="shared" si="276"/>
        <v>0</v>
      </c>
    </row>
    <row r="305">
      <c r="A305" s="62"/>
      <c r="B305" s="63"/>
      <c r="C305" s="62"/>
      <c r="D305" s="64" t="s">
        <v>19</v>
      </c>
      <c r="E305" s="64">
        <f t="shared" ref="E305:F305" si="277">sum(E299:E304)</f>
        <v>0</v>
      </c>
      <c r="F305" s="64">
        <f t="shared" si="277"/>
        <v>0</v>
      </c>
      <c r="G305" s="65" t="str">
        <f>average(G299:G304)</f>
        <v>#DIV/0!</v>
      </c>
      <c r="H305" s="62"/>
      <c r="I305" s="66"/>
      <c r="J305" s="64">
        <f t="shared" ref="J305:K305" si="278">sum(J299:J304)</f>
        <v>0</v>
      </c>
      <c r="K305" s="64">
        <f t="shared" si="278"/>
        <v>0</v>
      </c>
      <c r="L305" s="65" t="str">
        <f>average(L299:L304)</f>
        <v>#DIV/0!</v>
      </c>
      <c r="M305" s="68"/>
      <c r="N305" s="69">
        <f>sum(N299:N304)</f>
        <v>5000000</v>
      </c>
    </row>
    <row r="306">
      <c r="A306" s="70">
        <v>46093.0</v>
      </c>
      <c r="B306" s="192" t="s">
        <v>60</v>
      </c>
      <c r="C306" s="89"/>
      <c r="D306" s="89">
        <v>5727.0</v>
      </c>
      <c r="E306" s="12">
        <f t="shared" ref="E306:E311" si="279">D306-C306</f>
        <v>5727</v>
      </c>
      <c r="F306" s="39">
        <v>132.23</v>
      </c>
      <c r="G306" s="14">
        <f t="shared" ref="G306:G311" si="280">(F306/E306)*100</f>
        <v>2.308887725</v>
      </c>
      <c r="H306" s="137"/>
      <c r="I306" s="137"/>
      <c r="J306" s="41">
        <f t="shared" ref="J306:J311" si="281">I306-H306</f>
        <v>0</v>
      </c>
      <c r="K306" s="41">
        <f t="shared" ref="K306:K311" si="282">F306</f>
        <v>132.23</v>
      </c>
      <c r="L306" s="152" t="str">
        <f t="shared" ref="L306:L311" si="283">(K306/J306)*100</f>
        <v>#DIV/0!</v>
      </c>
      <c r="M306" s="72">
        <v>26470.0</v>
      </c>
      <c r="N306" s="49">
        <f t="shared" ref="N306:N311" si="284">M306*F306</f>
        <v>3500128.1</v>
      </c>
    </row>
    <row r="307">
      <c r="A307" s="35">
        <v>46097.0</v>
      </c>
      <c r="B307" s="192" t="s">
        <v>60</v>
      </c>
      <c r="C307" s="89">
        <v>5727.0</v>
      </c>
      <c r="D307" s="13">
        <v>6717.0</v>
      </c>
      <c r="E307" s="12">
        <f t="shared" si="279"/>
        <v>990</v>
      </c>
      <c r="F307" s="157">
        <v>236.86</v>
      </c>
      <c r="G307" s="14">
        <f t="shared" si="280"/>
        <v>23.92525253</v>
      </c>
      <c r="H307" s="137"/>
      <c r="I307" s="137"/>
      <c r="J307" s="89">
        <f t="shared" si="281"/>
        <v>0</v>
      </c>
      <c r="K307" s="37">
        <f t="shared" si="282"/>
        <v>236.86</v>
      </c>
      <c r="L307" s="152" t="str">
        <f t="shared" si="283"/>
        <v>#DIV/0!</v>
      </c>
      <c r="M307" s="72">
        <v>27020.0</v>
      </c>
      <c r="N307" s="49">
        <f t="shared" si="284"/>
        <v>6399957.2</v>
      </c>
    </row>
    <row r="308">
      <c r="A308" s="35">
        <v>46104.0</v>
      </c>
      <c r="B308" s="192" t="s">
        <v>60</v>
      </c>
      <c r="C308" s="13">
        <v>6717.0</v>
      </c>
      <c r="D308" s="89">
        <v>7582.0</v>
      </c>
      <c r="E308" s="12">
        <f t="shared" si="279"/>
        <v>865</v>
      </c>
      <c r="F308" s="157">
        <v>89.77</v>
      </c>
      <c r="G308" s="14">
        <f t="shared" si="280"/>
        <v>10.37803468</v>
      </c>
      <c r="H308" s="137"/>
      <c r="I308" s="137"/>
      <c r="J308" s="89">
        <f t="shared" si="281"/>
        <v>0</v>
      </c>
      <c r="K308" s="37">
        <f t="shared" si="282"/>
        <v>89.77</v>
      </c>
      <c r="L308" s="152" t="str">
        <f t="shared" si="283"/>
        <v>#DIV/0!</v>
      </c>
      <c r="M308" s="126">
        <v>33420.0</v>
      </c>
      <c r="N308" s="49">
        <f t="shared" si="284"/>
        <v>3000113.4</v>
      </c>
    </row>
    <row r="309">
      <c r="A309" s="35">
        <v>46104.0</v>
      </c>
      <c r="B309" s="192" t="s">
        <v>60</v>
      </c>
      <c r="C309" s="89">
        <v>7582.0</v>
      </c>
      <c r="D309" s="89">
        <v>7583.0</v>
      </c>
      <c r="E309" s="12">
        <f t="shared" si="279"/>
        <v>1</v>
      </c>
      <c r="F309" s="157">
        <v>159.434</v>
      </c>
      <c r="G309" s="196">
        <f t="shared" si="280"/>
        <v>15943.4</v>
      </c>
      <c r="H309" s="137"/>
      <c r="I309" s="137"/>
      <c r="J309" s="89">
        <f t="shared" si="281"/>
        <v>0</v>
      </c>
      <c r="K309" s="37">
        <f t="shared" si="282"/>
        <v>159.434</v>
      </c>
      <c r="L309" s="152" t="str">
        <f t="shared" si="283"/>
        <v>#DIV/0!</v>
      </c>
      <c r="M309" s="126">
        <v>33420.0</v>
      </c>
      <c r="N309" s="49">
        <f t="shared" si="284"/>
        <v>5328284.28</v>
      </c>
    </row>
    <row r="310">
      <c r="A310" s="35"/>
      <c r="B310" s="192" t="s">
        <v>60</v>
      </c>
      <c r="C310" s="37"/>
      <c r="D310" s="89"/>
      <c r="E310" s="12">
        <f t="shared" si="279"/>
        <v>0</v>
      </c>
      <c r="F310" s="157"/>
      <c r="G310" s="14" t="str">
        <f t="shared" si="280"/>
        <v>#DIV/0!</v>
      </c>
      <c r="H310" s="89"/>
      <c r="I310" s="137"/>
      <c r="J310" s="89">
        <f t="shared" si="281"/>
        <v>0</v>
      </c>
      <c r="K310" s="37" t="str">
        <f t="shared" si="282"/>
        <v/>
      </c>
      <c r="L310" s="152" t="str">
        <f t="shared" si="283"/>
        <v>#DIV/0!</v>
      </c>
      <c r="M310" s="126"/>
      <c r="N310" s="49">
        <f t="shared" si="284"/>
        <v>0</v>
      </c>
    </row>
    <row r="311">
      <c r="A311" s="154"/>
      <c r="B311" s="192" t="s">
        <v>60</v>
      </c>
      <c r="C311" s="89"/>
      <c r="D311" s="89"/>
      <c r="E311" s="12">
        <f t="shared" si="279"/>
        <v>0</v>
      </c>
      <c r="F311" s="157"/>
      <c r="G311" s="14" t="str">
        <f t="shared" si="280"/>
        <v>#DIV/0!</v>
      </c>
      <c r="H311" s="89"/>
      <c r="I311" s="137"/>
      <c r="J311" s="89">
        <f t="shared" si="281"/>
        <v>0</v>
      </c>
      <c r="K311" s="37" t="str">
        <f t="shared" si="282"/>
        <v/>
      </c>
      <c r="L311" s="152" t="str">
        <f t="shared" si="283"/>
        <v>#DIV/0!</v>
      </c>
      <c r="M311" s="126"/>
      <c r="N311" s="49">
        <f t="shared" si="284"/>
        <v>0</v>
      </c>
    </row>
    <row r="312">
      <c r="A312" s="62"/>
      <c r="B312" s="63"/>
      <c r="C312" s="62"/>
      <c r="D312" s="64" t="s">
        <v>19</v>
      </c>
      <c r="E312" s="64">
        <f t="shared" ref="E312:F312" si="285">sum(E306:E311)</f>
        <v>7583</v>
      </c>
      <c r="F312" s="64">
        <f t="shared" si="285"/>
        <v>618.294</v>
      </c>
      <c r="G312" s="65" t="str">
        <f>average(G306:G311)</f>
        <v>#DIV/0!</v>
      </c>
      <c r="H312" s="62"/>
      <c r="I312" s="66"/>
      <c r="J312" s="64">
        <f t="shared" ref="J312:K312" si="286">sum(J306:J311)</f>
        <v>0</v>
      </c>
      <c r="K312" s="64">
        <f t="shared" si="286"/>
        <v>618.294</v>
      </c>
      <c r="L312" s="65" t="str">
        <f>average(L306:L311)</f>
        <v>#DIV/0!</v>
      </c>
      <c r="M312" s="68"/>
      <c r="N312" s="69">
        <f>sum(N306:N311)</f>
        <v>18228482.98</v>
      </c>
    </row>
    <row r="313">
      <c r="A313" s="70">
        <v>46100.0</v>
      </c>
      <c r="B313" s="192" t="s">
        <v>61</v>
      </c>
      <c r="C313" s="89"/>
      <c r="D313" s="89"/>
      <c r="E313" s="12">
        <f t="shared" ref="E313:E318" si="287">D313-C313</f>
        <v>0</v>
      </c>
      <c r="F313" s="39">
        <v>210.96</v>
      </c>
      <c r="G313" s="14" t="str">
        <f t="shared" ref="G313:G318" si="288">(F313/E313)*100</f>
        <v>#DIV/0!</v>
      </c>
      <c r="H313" s="137"/>
      <c r="I313" s="137"/>
      <c r="J313" s="41">
        <f t="shared" ref="J313:J318" si="289">I313-H313</f>
        <v>0</v>
      </c>
      <c r="K313" s="41">
        <f t="shared" ref="K313:K318" si="290">F313</f>
        <v>210.96</v>
      </c>
      <c r="L313" s="152" t="str">
        <f t="shared" ref="L313:L318" si="291">(K313/J313)*100</f>
        <v>#DIV/0!</v>
      </c>
      <c r="M313" s="72">
        <v>27020.0</v>
      </c>
      <c r="N313" s="49">
        <f t="shared" ref="N313:N318" si="292">M313*F313</f>
        <v>5700139.2</v>
      </c>
    </row>
    <row r="314">
      <c r="A314" s="35"/>
      <c r="B314" s="192" t="s">
        <v>61</v>
      </c>
      <c r="C314" s="89"/>
      <c r="D314" s="13"/>
      <c r="E314" s="12">
        <f t="shared" si="287"/>
        <v>0</v>
      </c>
      <c r="F314" s="157"/>
      <c r="G314" s="14" t="str">
        <f t="shared" si="288"/>
        <v>#DIV/0!</v>
      </c>
      <c r="H314" s="137"/>
      <c r="I314" s="137"/>
      <c r="J314" s="89">
        <f t="shared" si="289"/>
        <v>0</v>
      </c>
      <c r="K314" s="37" t="str">
        <f t="shared" si="290"/>
        <v/>
      </c>
      <c r="L314" s="152" t="str">
        <f t="shared" si="291"/>
        <v>#DIV/0!</v>
      </c>
      <c r="M314" s="72"/>
      <c r="N314" s="49">
        <f t="shared" si="292"/>
        <v>0</v>
      </c>
    </row>
    <row r="315">
      <c r="A315" s="35"/>
      <c r="B315" s="192" t="s">
        <v>61</v>
      </c>
      <c r="C315" s="13"/>
      <c r="D315" s="89"/>
      <c r="E315" s="12">
        <f t="shared" si="287"/>
        <v>0</v>
      </c>
      <c r="F315" s="157"/>
      <c r="G315" s="14" t="str">
        <f t="shared" si="288"/>
        <v>#DIV/0!</v>
      </c>
      <c r="H315" s="137"/>
      <c r="I315" s="137"/>
      <c r="J315" s="89">
        <f t="shared" si="289"/>
        <v>0</v>
      </c>
      <c r="K315" s="37" t="str">
        <f t="shared" si="290"/>
        <v/>
      </c>
      <c r="L315" s="152" t="str">
        <f t="shared" si="291"/>
        <v>#DIV/0!</v>
      </c>
      <c r="M315" s="126"/>
      <c r="N315" s="49">
        <f t="shared" si="292"/>
        <v>0</v>
      </c>
    </row>
    <row r="316">
      <c r="A316" s="35"/>
      <c r="B316" s="192" t="s">
        <v>61</v>
      </c>
      <c r="C316" s="89"/>
      <c r="D316" s="89"/>
      <c r="E316" s="12">
        <f t="shared" si="287"/>
        <v>0</v>
      </c>
      <c r="F316" s="157"/>
      <c r="G316" s="14" t="str">
        <f t="shared" si="288"/>
        <v>#DIV/0!</v>
      </c>
      <c r="H316" s="137"/>
      <c r="I316" s="137"/>
      <c r="J316" s="89">
        <f t="shared" si="289"/>
        <v>0</v>
      </c>
      <c r="K316" s="37" t="str">
        <f t="shared" si="290"/>
        <v/>
      </c>
      <c r="L316" s="152" t="str">
        <f t="shared" si="291"/>
        <v>#DIV/0!</v>
      </c>
      <c r="M316" s="126"/>
      <c r="N316" s="49">
        <f t="shared" si="292"/>
        <v>0</v>
      </c>
    </row>
    <row r="317">
      <c r="A317" s="35"/>
      <c r="B317" s="192" t="s">
        <v>61</v>
      </c>
      <c r="C317" s="37"/>
      <c r="D317" s="89"/>
      <c r="E317" s="12">
        <f t="shared" si="287"/>
        <v>0</v>
      </c>
      <c r="F317" s="157"/>
      <c r="G317" s="14" t="str">
        <f t="shared" si="288"/>
        <v>#DIV/0!</v>
      </c>
      <c r="H317" s="89"/>
      <c r="I317" s="137"/>
      <c r="J317" s="89">
        <f t="shared" si="289"/>
        <v>0</v>
      </c>
      <c r="K317" s="37" t="str">
        <f t="shared" si="290"/>
        <v/>
      </c>
      <c r="L317" s="152" t="str">
        <f t="shared" si="291"/>
        <v>#DIV/0!</v>
      </c>
      <c r="M317" s="126"/>
      <c r="N317" s="49">
        <f t="shared" si="292"/>
        <v>0</v>
      </c>
    </row>
    <row r="318">
      <c r="A318" s="154"/>
      <c r="B318" s="192" t="s">
        <v>61</v>
      </c>
      <c r="C318" s="89"/>
      <c r="D318" s="89"/>
      <c r="E318" s="12">
        <f t="shared" si="287"/>
        <v>0</v>
      </c>
      <c r="F318" s="157"/>
      <c r="G318" s="14" t="str">
        <f t="shared" si="288"/>
        <v>#DIV/0!</v>
      </c>
      <c r="H318" s="89"/>
      <c r="I318" s="137"/>
      <c r="J318" s="89">
        <f t="shared" si="289"/>
        <v>0</v>
      </c>
      <c r="K318" s="37" t="str">
        <f t="shared" si="290"/>
        <v/>
      </c>
      <c r="L318" s="152" t="str">
        <f t="shared" si="291"/>
        <v>#DIV/0!</v>
      </c>
      <c r="M318" s="126"/>
      <c r="N318" s="49">
        <f t="shared" si="292"/>
        <v>0</v>
      </c>
    </row>
    <row r="319">
      <c r="A319" s="62"/>
      <c r="B319" s="63"/>
      <c r="C319" s="62"/>
      <c r="D319" s="64" t="s">
        <v>19</v>
      </c>
      <c r="E319" s="64">
        <f t="shared" ref="E319:F319" si="293">sum(E313:E318)</f>
        <v>0</v>
      </c>
      <c r="F319" s="64">
        <f t="shared" si="293"/>
        <v>210.96</v>
      </c>
      <c r="G319" s="65" t="str">
        <f>average(G313:G318)</f>
        <v>#DIV/0!</v>
      </c>
      <c r="H319" s="62"/>
      <c r="I319" s="66"/>
      <c r="J319" s="64">
        <f t="shared" ref="J319:K319" si="294">sum(J313:J318)</f>
        <v>0</v>
      </c>
      <c r="K319" s="64">
        <f t="shared" si="294"/>
        <v>210.96</v>
      </c>
      <c r="L319" s="65" t="str">
        <f>average(L313:L318)</f>
        <v>#DIV/0!</v>
      </c>
      <c r="M319" s="68"/>
      <c r="N319" s="69">
        <f>sum(N313:N318)</f>
        <v>5700139.2</v>
      </c>
    </row>
    <row r="320">
      <c r="A320" s="198" t="s">
        <v>64</v>
      </c>
      <c r="B320" s="199"/>
      <c r="C320" s="199"/>
      <c r="D320" s="199"/>
      <c r="E320" s="199"/>
      <c r="F320" s="199"/>
      <c r="G320" s="199"/>
      <c r="H320" s="199"/>
      <c r="I320" s="199"/>
      <c r="J320" s="199"/>
      <c r="K320" s="199"/>
      <c r="L320" s="200"/>
      <c r="M320" s="68"/>
      <c r="N320" s="69">
        <f>SUM(N214:N319)/2</f>
        <v>276520401.4</v>
      </c>
    </row>
    <row r="321">
      <c r="G321" s="168"/>
      <c r="L321" s="168"/>
      <c r="N321" s="169"/>
    </row>
    <row r="322">
      <c r="G322" s="168"/>
      <c r="L322" s="168"/>
      <c r="N322" s="169"/>
    </row>
    <row r="323">
      <c r="G323" s="168"/>
      <c r="L323" s="168"/>
      <c r="N323" s="169"/>
    </row>
    <row r="324">
      <c r="G324" s="168"/>
      <c r="L324" s="168"/>
      <c r="N324" s="169"/>
    </row>
    <row r="325">
      <c r="G325" s="168"/>
      <c r="L325" s="168"/>
      <c r="N325" s="169"/>
    </row>
    <row r="326">
      <c r="G326" s="168"/>
      <c r="L326" s="168"/>
      <c r="N326" s="169"/>
    </row>
    <row r="327">
      <c r="G327" s="168"/>
      <c r="L327" s="168"/>
      <c r="N327" s="169"/>
    </row>
    <row r="328">
      <c r="G328" s="168"/>
      <c r="L328" s="168"/>
      <c r="N328" s="169"/>
    </row>
    <row r="329">
      <c r="G329" s="168"/>
      <c r="L329" s="168"/>
      <c r="N329" s="169"/>
    </row>
    <row r="330">
      <c r="G330" s="168"/>
      <c r="L330" s="168"/>
      <c r="N330" s="169"/>
    </row>
    <row r="331">
      <c r="G331" s="168"/>
      <c r="L331" s="168"/>
      <c r="N331" s="169"/>
    </row>
    <row r="332">
      <c r="G332" s="168"/>
      <c r="L332" s="168"/>
      <c r="N332" s="169"/>
    </row>
    <row r="333">
      <c r="G333" s="168"/>
      <c r="L333" s="168"/>
      <c r="N333" s="169"/>
    </row>
    <row r="334">
      <c r="G334" s="168"/>
      <c r="L334" s="168"/>
      <c r="N334" s="169"/>
    </row>
    <row r="335">
      <c r="G335" s="168"/>
      <c r="L335" s="168"/>
      <c r="N335" s="169"/>
    </row>
    <row r="336">
      <c r="G336" s="168"/>
      <c r="L336" s="168"/>
      <c r="N336" s="169"/>
    </row>
    <row r="337">
      <c r="G337" s="168"/>
      <c r="L337" s="168"/>
      <c r="N337" s="169"/>
    </row>
    <row r="338">
      <c r="G338" s="168"/>
      <c r="L338" s="168"/>
      <c r="N338" s="169"/>
    </row>
    <row r="339">
      <c r="G339" s="168"/>
      <c r="L339" s="168"/>
      <c r="N339" s="169"/>
    </row>
    <row r="340">
      <c r="G340" s="168"/>
      <c r="L340" s="168"/>
      <c r="N340" s="169"/>
    </row>
    <row r="341">
      <c r="G341" s="168"/>
      <c r="L341" s="168"/>
      <c r="N341" s="169"/>
    </row>
    <row r="342">
      <c r="G342" s="168"/>
      <c r="L342" s="168"/>
      <c r="N342" s="169"/>
    </row>
    <row r="343">
      <c r="G343" s="168"/>
      <c r="L343" s="168"/>
      <c r="N343" s="169"/>
    </row>
    <row r="344">
      <c r="G344" s="168"/>
      <c r="L344" s="168"/>
      <c r="N344" s="169"/>
    </row>
    <row r="345">
      <c r="G345" s="168"/>
      <c r="L345" s="168"/>
      <c r="N345" s="169"/>
    </row>
    <row r="346">
      <c r="G346" s="168"/>
      <c r="L346" s="168"/>
      <c r="N346" s="169"/>
    </row>
    <row r="347">
      <c r="G347" s="168"/>
      <c r="L347" s="168"/>
      <c r="N347" s="169"/>
    </row>
    <row r="348">
      <c r="G348" s="168"/>
      <c r="L348" s="168"/>
      <c r="N348" s="169"/>
    </row>
    <row r="349">
      <c r="G349" s="168"/>
      <c r="L349" s="168"/>
      <c r="N349" s="169"/>
    </row>
    <row r="350">
      <c r="G350" s="168"/>
      <c r="L350" s="168"/>
      <c r="N350" s="169"/>
    </row>
    <row r="351">
      <c r="G351" s="168"/>
      <c r="L351" s="168"/>
      <c r="N351" s="169"/>
    </row>
    <row r="352">
      <c r="G352" s="168"/>
      <c r="L352" s="168"/>
      <c r="N352" s="169"/>
    </row>
    <row r="353">
      <c r="G353" s="168"/>
      <c r="L353" s="168"/>
      <c r="N353" s="169"/>
    </row>
    <row r="354">
      <c r="G354" s="168"/>
      <c r="L354" s="168"/>
      <c r="N354" s="169"/>
    </row>
    <row r="355">
      <c r="G355" s="168"/>
      <c r="L355" s="168"/>
      <c r="N355" s="169"/>
    </row>
    <row r="356">
      <c r="G356" s="168"/>
      <c r="L356" s="168"/>
      <c r="N356" s="169"/>
    </row>
    <row r="357">
      <c r="G357" s="168"/>
      <c r="L357" s="168"/>
      <c r="N357" s="169"/>
    </row>
    <row r="358">
      <c r="G358" s="168"/>
      <c r="L358" s="168"/>
      <c r="N358" s="169"/>
    </row>
    <row r="359">
      <c r="G359" s="168"/>
      <c r="L359" s="168"/>
      <c r="N359" s="169"/>
    </row>
    <row r="360">
      <c r="G360" s="168"/>
      <c r="L360" s="168"/>
      <c r="N360" s="169"/>
    </row>
    <row r="361">
      <c r="G361" s="168"/>
      <c r="L361" s="168"/>
      <c r="N361" s="169"/>
    </row>
    <row r="362">
      <c r="G362" s="168"/>
      <c r="L362" s="168"/>
      <c r="N362" s="169"/>
    </row>
    <row r="363">
      <c r="G363" s="168"/>
      <c r="L363" s="168"/>
      <c r="N363" s="169"/>
    </row>
    <row r="364">
      <c r="G364" s="168"/>
      <c r="L364" s="168"/>
      <c r="N364" s="169"/>
    </row>
    <row r="365">
      <c r="G365" s="168"/>
      <c r="L365" s="168"/>
      <c r="N365" s="169"/>
    </row>
    <row r="366">
      <c r="G366" s="168"/>
      <c r="L366" s="168"/>
      <c r="N366" s="169"/>
    </row>
    <row r="367">
      <c r="G367" s="168"/>
      <c r="L367" s="168"/>
      <c r="N367" s="169"/>
    </row>
    <row r="368">
      <c r="G368" s="168"/>
      <c r="L368" s="168"/>
      <c r="N368" s="169"/>
    </row>
    <row r="369">
      <c r="G369" s="168"/>
      <c r="L369" s="168"/>
      <c r="N369" s="169"/>
    </row>
    <row r="370">
      <c r="G370" s="168"/>
      <c r="L370" s="168"/>
      <c r="N370" s="169"/>
    </row>
    <row r="371">
      <c r="G371" s="168"/>
      <c r="L371" s="168"/>
      <c r="N371" s="169"/>
    </row>
    <row r="372">
      <c r="G372" s="168"/>
      <c r="L372" s="168"/>
      <c r="N372" s="169"/>
    </row>
    <row r="373">
      <c r="G373" s="168"/>
      <c r="L373" s="168"/>
      <c r="N373" s="169"/>
    </row>
    <row r="374">
      <c r="G374" s="168"/>
      <c r="L374" s="168"/>
      <c r="N374" s="169"/>
    </row>
    <row r="375">
      <c r="G375" s="168"/>
      <c r="L375" s="168"/>
      <c r="N375" s="169"/>
    </row>
    <row r="376">
      <c r="G376" s="168"/>
      <c r="L376" s="168"/>
      <c r="N376" s="169"/>
    </row>
    <row r="377">
      <c r="G377" s="168"/>
      <c r="L377" s="168"/>
      <c r="N377" s="169"/>
    </row>
    <row r="378">
      <c r="G378" s="168"/>
      <c r="L378" s="168"/>
      <c r="N378" s="169"/>
    </row>
    <row r="379">
      <c r="G379" s="168"/>
      <c r="L379" s="168"/>
      <c r="N379" s="169"/>
    </row>
    <row r="380">
      <c r="G380" s="168"/>
      <c r="L380" s="168"/>
      <c r="N380" s="169"/>
    </row>
    <row r="381">
      <c r="G381" s="168"/>
      <c r="L381" s="168"/>
      <c r="N381" s="169"/>
    </row>
    <row r="382">
      <c r="G382" s="168"/>
      <c r="L382" s="168"/>
      <c r="N382" s="169"/>
    </row>
    <row r="383">
      <c r="G383" s="168"/>
      <c r="L383" s="168"/>
      <c r="N383" s="169"/>
    </row>
    <row r="384">
      <c r="G384" s="168"/>
      <c r="L384" s="168"/>
      <c r="N384" s="169"/>
    </row>
    <row r="385">
      <c r="G385" s="168"/>
      <c r="L385" s="168"/>
      <c r="N385" s="169"/>
    </row>
    <row r="386">
      <c r="G386" s="168"/>
      <c r="L386" s="168"/>
      <c r="N386" s="169"/>
    </row>
    <row r="387">
      <c r="G387" s="168"/>
      <c r="L387" s="168"/>
      <c r="N387" s="169"/>
    </row>
    <row r="388">
      <c r="G388" s="168"/>
      <c r="L388" s="168"/>
      <c r="N388" s="169"/>
    </row>
    <row r="389">
      <c r="G389" s="168"/>
      <c r="L389" s="168"/>
      <c r="N389" s="169"/>
    </row>
    <row r="390">
      <c r="G390" s="168"/>
      <c r="L390" s="168"/>
      <c r="N390" s="169"/>
    </row>
    <row r="391">
      <c r="G391" s="168"/>
      <c r="L391" s="168"/>
      <c r="N391" s="169"/>
    </row>
    <row r="392">
      <c r="G392" s="168"/>
      <c r="L392" s="168"/>
      <c r="N392" s="169"/>
    </row>
    <row r="393">
      <c r="G393" s="168"/>
      <c r="L393" s="168"/>
      <c r="N393" s="169"/>
    </row>
    <row r="394">
      <c r="G394" s="168"/>
      <c r="L394" s="168"/>
      <c r="N394" s="169"/>
    </row>
    <row r="395">
      <c r="G395" s="168"/>
      <c r="L395" s="168"/>
      <c r="N395" s="169"/>
    </row>
    <row r="396">
      <c r="G396" s="168"/>
      <c r="L396" s="168"/>
      <c r="N396" s="169"/>
    </row>
    <row r="397">
      <c r="G397" s="168"/>
      <c r="L397" s="168"/>
      <c r="N397" s="169"/>
    </row>
    <row r="398">
      <c r="G398" s="168"/>
      <c r="L398" s="168"/>
      <c r="N398" s="169"/>
    </row>
    <row r="399">
      <c r="G399" s="168"/>
      <c r="L399" s="168"/>
      <c r="N399" s="169"/>
    </row>
    <row r="400">
      <c r="G400" s="168"/>
      <c r="L400" s="168"/>
      <c r="N400" s="169"/>
    </row>
    <row r="401">
      <c r="G401" s="168"/>
      <c r="L401" s="168"/>
      <c r="N401" s="169"/>
    </row>
    <row r="402">
      <c r="G402" s="168"/>
      <c r="L402" s="168"/>
      <c r="N402" s="169"/>
    </row>
    <row r="403">
      <c r="G403" s="168"/>
      <c r="L403" s="168"/>
      <c r="N403" s="169"/>
    </row>
    <row r="404">
      <c r="G404" s="168"/>
      <c r="L404" s="168"/>
      <c r="N404" s="169"/>
    </row>
    <row r="405">
      <c r="G405" s="168"/>
      <c r="L405" s="168"/>
      <c r="N405" s="169"/>
    </row>
    <row r="406">
      <c r="G406" s="168"/>
      <c r="L406" s="168"/>
      <c r="N406" s="169"/>
    </row>
    <row r="407">
      <c r="G407" s="168"/>
      <c r="L407" s="168"/>
      <c r="N407" s="169"/>
    </row>
    <row r="408">
      <c r="G408" s="168"/>
      <c r="L408" s="168"/>
      <c r="N408" s="169"/>
    </row>
    <row r="409">
      <c r="G409" s="168"/>
      <c r="L409" s="168"/>
      <c r="N409" s="169"/>
    </row>
    <row r="410">
      <c r="G410" s="168"/>
      <c r="L410" s="168"/>
      <c r="N410" s="169"/>
    </row>
    <row r="411">
      <c r="G411" s="168"/>
      <c r="L411" s="168"/>
      <c r="N411" s="169"/>
    </row>
    <row r="412">
      <c r="G412" s="168"/>
      <c r="L412" s="168"/>
      <c r="N412" s="169"/>
    </row>
    <row r="413">
      <c r="G413" s="168"/>
      <c r="L413" s="168"/>
      <c r="N413" s="169"/>
    </row>
    <row r="414">
      <c r="G414" s="168"/>
      <c r="L414" s="168"/>
      <c r="N414" s="169"/>
    </row>
    <row r="415">
      <c r="G415" s="168"/>
      <c r="L415" s="168"/>
      <c r="N415" s="169"/>
    </row>
    <row r="416">
      <c r="G416" s="168"/>
      <c r="L416" s="168"/>
      <c r="N416" s="169"/>
    </row>
    <row r="417">
      <c r="G417" s="168"/>
      <c r="L417" s="168"/>
      <c r="N417" s="169"/>
    </row>
    <row r="418">
      <c r="G418" s="168"/>
      <c r="L418" s="168"/>
      <c r="N418" s="169"/>
    </row>
    <row r="419">
      <c r="G419" s="168"/>
      <c r="L419" s="168"/>
      <c r="N419" s="169"/>
    </row>
    <row r="420">
      <c r="G420" s="168"/>
      <c r="L420" s="168"/>
      <c r="N420" s="169"/>
    </row>
    <row r="421">
      <c r="G421" s="168"/>
      <c r="L421" s="168"/>
      <c r="N421" s="169"/>
    </row>
    <row r="422">
      <c r="G422" s="168"/>
      <c r="L422" s="168"/>
      <c r="N422" s="169"/>
    </row>
    <row r="423">
      <c r="G423" s="168"/>
      <c r="L423" s="168"/>
      <c r="N423" s="169"/>
    </row>
    <row r="424">
      <c r="G424" s="168"/>
      <c r="L424" s="168"/>
      <c r="N424" s="169"/>
    </row>
    <row r="425">
      <c r="G425" s="168"/>
      <c r="L425" s="168"/>
      <c r="N425" s="169"/>
    </row>
    <row r="426">
      <c r="G426" s="168"/>
      <c r="L426" s="168"/>
      <c r="N426" s="169"/>
    </row>
    <row r="427">
      <c r="G427" s="168"/>
      <c r="L427" s="168"/>
      <c r="N427" s="169"/>
    </row>
    <row r="428">
      <c r="G428" s="168"/>
      <c r="L428" s="168"/>
      <c r="N428" s="169"/>
    </row>
    <row r="429">
      <c r="G429" s="168"/>
      <c r="L429" s="168"/>
      <c r="N429" s="169"/>
    </row>
    <row r="430">
      <c r="G430" s="168"/>
      <c r="L430" s="168"/>
      <c r="N430" s="169"/>
    </row>
    <row r="431">
      <c r="G431" s="168"/>
      <c r="L431" s="168"/>
      <c r="N431" s="169"/>
    </row>
    <row r="432">
      <c r="G432" s="168"/>
      <c r="L432" s="168"/>
      <c r="N432" s="169"/>
    </row>
    <row r="433">
      <c r="G433" s="168"/>
      <c r="L433" s="168"/>
      <c r="N433" s="169"/>
    </row>
    <row r="434">
      <c r="G434" s="168"/>
      <c r="L434" s="168"/>
      <c r="N434" s="169"/>
    </row>
    <row r="435">
      <c r="G435" s="168"/>
      <c r="L435" s="168"/>
      <c r="N435" s="169"/>
    </row>
    <row r="436">
      <c r="G436" s="168"/>
      <c r="L436" s="168"/>
      <c r="N436" s="169"/>
    </row>
    <row r="437">
      <c r="G437" s="168"/>
      <c r="L437" s="168"/>
      <c r="N437" s="169"/>
    </row>
    <row r="438">
      <c r="G438" s="168"/>
      <c r="L438" s="168"/>
      <c r="N438" s="169"/>
    </row>
    <row r="439">
      <c r="G439" s="168"/>
      <c r="L439" s="168"/>
      <c r="N439" s="169"/>
    </row>
    <row r="440">
      <c r="G440" s="168"/>
      <c r="L440" s="168"/>
      <c r="N440" s="169"/>
    </row>
    <row r="441">
      <c r="G441" s="168"/>
      <c r="L441" s="168"/>
      <c r="N441" s="169"/>
    </row>
    <row r="442">
      <c r="G442" s="168"/>
      <c r="L442" s="168"/>
      <c r="N442" s="169"/>
    </row>
    <row r="443">
      <c r="G443" s="168"/>
      <c r="L443" s="168"/>
      <c r="N443" s="169"/>
    </row>
    <row r="444">
      <c r="G444" s="168"/>
      <c r="L444" s="168"/>
      <c r="N444" s="169"/>
    </row>
    <row r="445">
      <c r="G445" s="168"/>
      <c r="L445" s="168"/>
      <c r="N445" s="169"/>
    </row>
    <row r="446">
      <c r="G446" s="168"/>
      <c r="L446" s="168"/>
      <c r="N446" s="169"/>
    </row>
    <row r="447">
      <c r="G447" s="168"/>
      <c r="L447" s="168"/>
      <c r="N447" s="169"/>
    </row>
    <row r="448">
      <c r="G448" s="168"/>
      <c r="L448" s="168"/>
      <c r="N448" s="169"/>
    </row>
    <row r="449">
      <c r="G449" s="168"/>
      <c r="L449" s="168"/>
      <c r="N449" s="169"/>
    </row>
    <row r="450">
      <c r="G450" s="168"/>
      <c r="L450" s="168"/>
      <c r="N450" s="169"/>
    </row>
    <row r="451">
      <c r="G451" s="168"/>
      <c r="L451" s="168"/>
      <c r="N451" s="169"/>
    </row>
    <row r="452">
      <c r="G452" s="168"/>
      <c r="L452" s="168"/>
      <c r="N452" s="169"/>
    </row>
    <row r="453">
      <c r="G453" s="168"/>
      <c r="L453" s="168"/>
      <c r="N453" s="169"/>
    </row>
    <row r="454">
      <c r="G454" s="168"/>
      <c r="L454" s="168"/>
      <c r="N454" s="169"/>
    </row>
    <row r="455">
      <c r="G455" s="168"/>
      <c r="L455" s="168"/>
      <c r="N455" s="169"/>
    </row>
    <row r="456">
      <c r="G456" s="168"/>
      <c r="L456" s="168"/>
      <c r="N456" s="169"/>
    </row>
    <row r="457">
      <c r="G457" s="168"/>
      <c r="L457" s="168"/>
      <c r="N457" s="169"/>
    </row>
    <row r="458">
      <c r="G458" s="168"/>
      <c r="L458" s="168"/>
      <c r="N458" s="169"/>
    </row>
    <row r="459">
      <c r="G459" s="168"/>
      <c r="L459" s="168"/>
      <c r="N459" s="169"/>
    </row>
    <row r="460">
      <c r="G460" s="168"/>
      <c r="L460" s="168"/>
      <c r="N460" s="169"/>
    </row>
    <row r="461">
      <c r="G461" s="168"/>
      <c r="L461" s="168"/>
      <c r="N461" s="169"/>
    </row>
    <row r="462">
      <c r="G462" s="168"/>
      <c r="L462" s="168"/>
      <c r="N462" s="169"/>
    </row>
    <row r="463">
      <c r="G463" s="168"/>
      <c r="L463" s="168"/>
      <c r="N463" s="169"/>
    </row>
    <row r="464">
      <c r="G464" s="168"/>
      <c r="L464" s="168"/>
      <c r="N464" s="169"/>
    </row>
    <row r="465">
      <c r="G465" s="168"/>
      <c r="L465" s="168"/>
      <c r="N465" s="169"/>
    </row>
    <row r="466">
      <c r="G466" s="168"/>
      <c r="L466" s="168"/>
      <c r="N466" s="169"/>
    </row>
    <row r="467">
      <c r="G467" s="168"/>
      <c r="L467" s="168"/>
      <c r="N467" s="169"/>
    </row>
    <row r="468">
      <c r="G468" s="168"/>
      <c r="L468" s="168"/>
      <c r="N468" s="169"/>
    </row>
    <row r="469">
      <c r="G469" s="168"/>
      <c r="L469" s="168"/>
      <c r="N469" s="169"/>
    </row>
    <row r="470">
      <c r="G470" s="168"/>
      <c r="L470" s="168"/>
      <c r="N470" s="169"/>
    </row>
    <row r="471">
      <c r="G471" s="168"/>
      <c r="L471" s="168"/>
      <c r="N471" s="169"/>
    </row>
    <row r="472">
      <c r="G472" s="168"/>
      <c r="L472" s="168"/>
      <c r="N472" s="169"/>
    </row>
    <row r="473">
      <c r="G473" s="168"/>
      <c r="L473" s="168"/>
      <c r="N473" s="169"/>
    </row>
    <row r="474">
      <c r="G474" s="168"/>
      <c r="L474" s="168"/>
      <c r="N474" s="169"/>
    </row>
    <row r="475">
      <c r="G475" s="168"/>
      <c r="L475" s="168"/>
      <c r="N475" s="169"/>
    </row>
    <row r="476">
      <c r="G476" s="168"/>
      <c r="L476" s="168"/>
      <c r="N476" s="169"/>
    </row>
    <row r="477">
      <c r="G477" s="168"/>
      <c r="L477" s="168"/>
      <c r="N477" s="169"/>
    </row>
    <row r="478">
      <c r="G478" s="168"/>
      <c r="L478" s="168"/>
      <c r="N478" s="169"/>
    </row>
    <row r="479">
      <c r="G479" s="168"/>
      <c r="L479" s="168"/>
      <c r="N479" s="169"/>
    </row>
    <row r="480">
      <c r="G480" s="168"/>
      <c r="L480" s="168"/>
      <c r="N480" s="169"/>
    </row>
    <row r="481">
      <c r="G481" s="168"/>
      <c r="L481" s="168"/>
      <c r="N481" s="169"/>
    </row>
    <row r="482">
      <c r="G482" s="168"/>
      <c r="L482" s="168"/>
      <c r="N482" s="169"/>
    </row>
    <row r="483">
      <c r="G483" s="168"/>
      <c r="L483" s="168"/>
      <c r="N483" s="169"/>
    </row>
    <row r="484">
      <c r="G484" s="168"/>
      <c r="L484" s="168"/>
      <c r="N484" s="169"/>
    </row>
    <row r="485">
      <c r="G485" s="168"/>
      <c r="L485" s="168"/>
      <c r="N485" s="169"/>
    </row>
    <row r="486">
      <c r="G486" s="168"/>
      <c r="L486" s="168"/>
      <c r="N486" s="169"/>
    </row>
    <row r="487">
      <c r="G487" s="168"/>
      <c r="L487" s="168"/>
      <c r="N487" s="169"/>
    </row>
    <row r="488">
      <c r="G488" s="168"/>
      <c r="L488" s="168"/>
      <c r="N488" s="169"/>
    </row>
    <row r="489">
      <c r="G489" s="168"/>
      <c r="L489" s="168"/>
      <c r="N489" s="169"/>
    </row>
    <row r="490">
      <c r="G490" s="168"/>
      <c r="L490" s="168"/>
      <c r="N490" s="169"/>
    </row>
    <row r="491">
      <c r="G491" s="168"/>
      <c r="L491" s="168"/>
      <c r="N491" s="169"/>
    </row>
    <row r="492">
      <c r="G492" s="168"/>
      <c r="L492" s="168"/>
      <c r="N492" s="169"/>
    </row>
    <row r="493">
      <c r="G493" s="168"/>
      <c r="L493" s="168"/>
      <c r="N493" s="169"/>
    </row>
    <row r="494">
      <c r="G494" s="168"/>
      <c r="L494" s="168"/>
      <c r="N494" s="169"/>
    </row>
    <row r="495">
      <c r="G495" s="168"/>
      <c r="L495" s="168"/>
      <c r="N495" s="169"/>
    </row>
    <row r="496">
      <c r="G496" s="168"/>
      <c r="L496" s="168"/>
      <c r="N496" s="169"/>
    </row>
    <row r="497">
      <c r="G497" s="168"/>
      <c r="L497" s="168"/>
      <c r="N497" s="169"/>
    </row>
    <row r="498">
      <c r="G498" s="168"/>
      <c r="L498" s="168"/>
      <c r="N498" s="169"/>
    </row>
    <row r="499">
      <c r="G499" s="168"/>
      <c r="L499" s="168"/>
      <c r="N499" s="169"/>
    </row>
    <row r="500">
      <c r="G500" s="168"/>
      <c r="L500" s="168"/>
      <c r="N500" s="169"/>
    </row>
    <row r="501">
      <c r="G501" s="168"/>
      <c r="L501" s="168"/>
      <c r="N501" s="169"/>
    </row>
    <row r="502">
      <c r="G502" s="168"/>
      <c r="L502" s="168"/>
      <c r="N502" s="169"/>
    </row>
    <row r="503">
      <c r="G503" s="168"/>
      <c r="L503" s="168"/>
      <c r="N503" s="169"/>
    </row>
    <row r="504">
      <c r="G504" s="168"/>
      <c r="L504" s="168"/>
      <c r="N504" s="169"/>
    </row>
    <row r="505">
      <c r="G505" s="168"/>
      <c r="L505" s="168"/>
      <c r="N505" s="169"/>
    </row>
    <row r="506">
      <c r="G506" s="168"/>
      <c r="L506" s="168"/>
      <c r="N506" s="169"/>
    </row>
    <row r="507">
      <c r="G507" s="168"/>
      <c r="L507" s="168"/>
      <c r="N507" s="169"/>
    </row>
    <row r="508">
      <c r="G508" s="168"/>
      <c r="L508" s="168"/>
      <c r="N508" s="169"/>
    </row>
    <row r="509">
      <c r="G509" s="168"/>
      <c r="L509" s="168"/>
      <c r="N509" s="169"/>
    </row>
    <row r="510">
      <c r="G510" s="168"/>
      <c r="L510" s="168"/>
      <c r="N510" s="169"/>
    </row>
    <row r="511">
      <c r="G511" s="168"/>
      <c r="L511" s="168"/>
      <c r="N511" s="169"/>
    </row>
    <row r="512">
      <c r="G512" s="168"/>
      <c r="L512" s="168"/>
      <c r="N512" s="169"/>
    </row>
    <row r="513">
      <c r="G513" s="168"/>
      <c r="L513" s="168"/>
      <c r="N513" s="169"/>
    </row>
    <row r="514">
      <c r="G514" s="168"/>
      <c r="L514" s="168"/>
      <c r="N514" s="169"/>
    </row>
    <row r="515">
      <c r="G515" s="168"/>
      <c r="L515" s="168"/>
      <c r="N515" s="169"/>
    </row>
    <row r="516">
      <c r="G516" s="168"/>
      <c r="L516" s="168"/>
      <c r="N516" s="169"/>
    </row>
    <row r="517">
      <c r="G517" s="168"/>
      <c r="L517" s="168"/>
      <c r="N517" s="169"/>
    </row>
    <row r="518">
      <c r="G518" s="168"/>
      <c r="L518" s="168"/>
      <c r="N518" s="169"/>
    </row>
    <row r="519">
      <c r="G519" s="168"/>
      <c r="L519" s="168"/>
      <c r="N519" s="169"/>
    </row>
    <row r="520">
      <c r="G520" s="168"/>
      <c r="L520" s="168"/>
      <c r="N520" s="169"/>
    </row>
    <row r="521">
      <c r="G521" s="168"/>
      <c r="L521" s="168"/>
      <c r="N521" s="169"/>
    </row>
    <row r="522">
      <c r="G522" s="168"/>
      <c r="L522" s="168"/>
      <c r="N522" s="169"/>
    </row>
    <row r="523">
      <c r="G523" s="168"/>
      <c r="L523" s="168"/>
      <c r="N523" s="169"/>
    </row>
    <row r="524">
      <c r="G524" s="168"/>
      <c r="L524" s="168"/>
      <c r="N524" s="169"/>
    </row>
    <row r="525">
      <c r="G525" s="168"/>
      <c r="L525" s="168"/>
      <c r="N525" s="169"/>
    </row>
    <row r="526">
      <c r="G526" s="168"/>
      <c r="L526" s="168"/>
      <c r="N526" s="169"/>
    </row>
    <row r="527">
      <c r="G527" s="168"/>
      <c r="L527" s="168"/>
      <c r="N527" s="169"/>
    </row>
    <row r="528">
      <c r="G528" s="168"/>
      <c r="L528" s="168"/>
      <c r="N528" s="169"/>
    </row>
    <row r="529">
      <c r="G529" s="168"/>
      <c r="L529" s="168"/>
      <c r="N529" s="169"/>
    </row>
    <row r="530">
      <c r="G530" s="168"/>
      <c r="L530" s="168"/>
      <c r="N530" s="169"/>
    </row>
    <row r="531">
      <c r="G531" s="168"/>
      <c r="L531" s="168"/>
      <c r="N531" s="169"/>
    </row>
    <row r="532">
      <c r="G532" s="168"/>
      <c r="L532" s="168"/>
      <c r="N532" s="169"/>
    </row>
    <row r="533">
      <c r="G533" s="168"/>
      <c r="L533" s="168"/>
      <c r="N533" s="169"/>
    </row>
    <row r="534">
      <c r="G534" s="168"/>
      <c r="L534" s="168"/>
      <c r="N534" s="169"/>
    </row>
    <row r="535">
      <c r="G535" s="168"/>
      <c r="L535" s="168"/>
      <c r="N535" s="169"/>
    </row>
    <row r="536">
      <c r="G536" s="168"/>
      <c r="L536" s="168"/>
      <c r="N536" s="169"/>
    </row>
    <row r="537">
      <c r="G537" s="168"/>
      <c r="L537" s="168"/>
      <c r="N537" s="169"/>
    </row>
    <row r="538">
      <c r="G538" s="168"/>
      <c r="L538" s="168"/>
      <c r="N538" s="169"/>
    </row>
    <row r="539">
      <c r="G539" s="168"/>
      <c r="L539" s="168"/>
      <c r="N539" s="169"/>
    </row>
    <row r="540">
      <c r="G540" s="168"/>
      <c r="L540" s="168"/>
      <c r="N540" s="169"/>
    </row>
    <row r="541">
      <c r="G541" s="168"/>
      <c r="L541" s="168"/>
      <c r="N541" s="169"/>
    </row>
    <row r="542">
      <c r="G542" s="168"/>
      <c r="L542" s="168"/>
      <c r="N542" s="169"/>
    </row>
    <row r="543">
      <c r="G543" s="168"/>
      <c r="L543" s="168"/>
      <c r="N543" s="169"/>
    </row>
    <row r="544">
      <c r="G544" s="168"/>
      <c r="L544" s="168"/>
      <c r="N544" s="169"/>
    </row>
    <row r="545">
      <c r="G545" s="168"/>
      <c r="L545" s="168"/>
      <c r="N545" s="169"/>
    </row>
    <row r="546">
      <c r="G546" s="168"/>
      <c r="L546" s="168"/>
      <c r="N546" s="169"/>
    </row>
    <row r="547">
      <c r="G547" s="168"/>
      <c r="L547" s="168"/>
      <c r="N547" s="169"/>
    </row>
    <row r="548">
      <c r="G548" s="168"/>
      <c r="L548" s="168"/>
      <c r="N548" s="169"/>
    </row>
    <row r="549">
      <c r="G549" s="168"/>
      <c r="L549" s="168"/>
      <c r="N549" s="169"/>
    </row>
    <row r="550">
      <c r="G550" s="168"/>
      <c r="L550" s="168"/>
      <c r="N550" s="169"/>
    </row>
    <row r="551">
      <c r="G551" s="168"/>
      <c r="L551" s="168"/>
      <c r="N551" s="169"/>
    </row>
    <row r="552">
      <c r="G552" s="168"/>
      <c r="L552" s="168"/>
      <c r="N552" s="169"/>
    </row>
    <row r="553">
      <c r="G553" s="168"/>
      <c r="L553" s="168"/>
      <c r="N553" s="169"/>
    </row>
    <row r="554">
      <c r="G554" s="168"/>
      <c r="L554" s="168"/>
      <c r="N554" s="169"/>
    </row>
    <row r="555">
      <c r="G555" s="168"/>
      <c r="L555" s="168"/>
      <c r="N555" s="169"/>
    </row>
    <row r="556">
      <c r="G556" s="168"/>
      <c r="L556" s="168"/>
      <c r="N556" s="169"/>
    </row>
    <row r="557">
      <c r="G557" s="168"/>
      <c r="L557" s="168"/>
      <c r="N557" s="169"/>
    </row>
    <row r="558">
      <c r="G558" s="168"/>
      <c r="L558" s="168"/>
      <c r="N558" s="169"/>
    </row>
    <row r="559">
      <c r="G559" s="168"/>
      <c r="L559" s="168"/>
      <c r="N559" s="169"/>
    </row>
    <row r="560">
      <c r="G560" s="168"/>
      <c r="L560" s="168"/>
      <c r="N560" s="169"/>
    </row>
    <row r="561">
      <c r="G561" s="168"/>
      <c r="L561" s="168"/>
      <c r="N561" s="169"/>
    </row>
    <row r="562">
      <c r="G562" s="168"/>
      <c r="L562" s="168"/>
      <c r="N562" s="169"/>
    </row>
    <row r="563">
      <c r="G563" s="168"/>
      <c r="L563" s="168"/>
      <c r="N563" s="169"/>
    </row>
    <row r="564">
      <c r="G564" s="168"/>
      <c r="L564" s="168"/>
      <c r="N564" s="169"/>
    </row>
    <row r="565">
      <c r="G565" s="168"/>
      <c r="L565" s="168"/>
      <c r="N565" s="169"/>
    </row>
    <row r="566">
      <c r="G566" s="168"/>
      <c r="L566" s="168"/>
      <c r="N566" s="169"/>
    </row>
    <row r="567">
      <c r="G567" s="168"/>
      <c r="L567" s="168"/>
      <c r="N567" s="169"/>
    </row>
    <row r="568">
      <c r="G568" s="168"/>
      <c r="L568" s="168"/>
      <c r="N568" s="169"/>
    </row>
    <row r="569">
      <c r="G569" s="168"/>
      <c r="L569" s="168"/>
      <c r="N569" s="169"/>
    </row>
    <row r="570">
      <c r="G570" s="168"/>
      <c r="L570" s="168"/>
      <c r="N570" s="169"/>
    </row>
    <row r="571">
      <c r="G571" s="168"/>
      <c r="L571" s="168"/>
      <c r="N571" s="169"/>
    </row>
    <row r="572">
      <c r="G572" s="168"/>
      <c r="L572" s="168"/>
      <c r="N572" s="169"/>
    </row>
    <row r="573">
      <c r="G573" s="168"/>
      <c r="L573" s="168"/>
      <c r="N573" s="169"/>
    </row>
    <row r="574">
      <c r="G574" s="168"/>
      <c r="L574" s="168"/>
      <c r="N574" s="169"/>
    </row>
    <row r="575">
      <c r="G575" s="168"/>
      <c r="L575" s="168"/>
      <c r="N575" s="169"/>
    </row>
    <row r="576">
      <c r="G576" s="168"/>
      <c r="L576" s="168"/>
      <c r="N576" s="169"/>
    </row>
    <row r="577">
      <c r="G577" s="168"/>
      <c r="L577" s="168"/>
      <c r="N577" s="169"/>
    </row>
    <row r="578">
      <c r="G578" s="168"/>
      <c r="L578" s="168"/>
      <c r="N578" s="169"/>
    </row>
    <row r="579">
      <c r="G579" s="168"/>
      <c r="L579" s="168"/>
      <c r="N579" s="169"/>
    </row>
    <row r="580">
      <c r="G580" s="168"/>
      <c r="L580" s="168"/>
      <c r="N580" s="169"/>
    </row>
    <row r="581">
      <c r="G581" s="168"/>
      <c r="L581" s="168"/>
      <c r="N581" s="169"/>
    </row>
    <row r="582">
      <c r="G582" s="168"/>
      <c r="L582" s="168"/>
      <c r="N582" s="169"/>
    </row>
    <row r="583">
      <c r="G583" s="168"/>
      <c r="L583" s="168"/>
      <c r="N583" s="169"/>
    </row>
    <row r="584">
      <c r="G584" s="168"/>
      <c r="L584" s="168"/>
      <c r="N584" s="169"/>
    </row>
    <row r="585">
      <c r="G585" s="168"/>
      <c r="L585" s="168"/>
      <c r="N585" s="169"/>
    </row>
    <row r="586">
      <c r="G586" s="168"/>
      <c r="L586" s="168"/>
      <c r="N586" s="169"/>
    </row>
    <row r="587">
      <c r="G587" s="168"/>
      <c r="L587" s="168"/>
      <c r="N587" s="169"/>
    </row>
    <row r="588">
      <c r="G588" s="168"/>
      <c r="L588" s="168"/>
      <c r="N588" s="169"/>
    </row>
    <row r="589">
      <c r="G589" s="168"/>
      <c r="L589" s="168"/>
      <c r="N589" s="169"/>
    </row>
    <row r="590">
      <c r="G590" s="168"/>
      <c r="L590" s="168"/>
      <c r="N590" s="169"/>
    </row>
    <row r="591">
      <c r="G591" s="168"/>
      <c r="L591" s="168"/>
      <c r="N591" s="169"/>
    </row>
    <row r="592">
      <c r="G592" s="168"/>
      <c r="L592" s="168"/>
      <c r="N592" s="169"/>
    </row>
    <row r="593">
      <c r="G593" s="168"/>
      <c r="L593" s="168"/>
      <c r="N593" s="169"/>
    </row>
    <row r="594">
      <c r="G594" s="168"/>
      <c r="L594" s="168"/>
      <c r="N594" s="169"/>
    </row>
    <row r="595">
      <c r="G595" s="168"/>
      <c r="L595" s="168"/>
      <c r="N595" s="169"/>
    </row>
    <row r="596">
      <c r="G596" s="168"/>
      <c r="L596" s="168"/>
      <c r="N596" s="169"/>
    </row>
    <row r="597">
      <c r="G597" s="168"/>
      <c r="L597" s="168"/>
      <c r="N597" s="169"/>
    </row>
    <row r="598">
      <c r="G598" s="168"/>
      <c r="L598" s="168"/>
      <c r="N598" s="169"/>
    </row>
    <row r="599">
      <c r="G599" s="168"/>
      <c r="L599" s="168"/>
      <c r="N599" s="169"/>
    </row>
    <row r="600">
      <c r="G600" s="168"/>
      <c r="L600" s="168"/>
      <c r="N600" s="169"/>
    </row>
    <row r="601">
      <c r="G601" s="168"/>
      <c r="L601" s="168"/>
      <c r="N601" s="169"/>
    </row>
    <row r="602">
      <c r="G602" s="168"/>
      <c r="L602" s="168"/>
      <c r="N602" s="169"/>
    </row>
    <row r="603">
      <c r="G603" s="168"/>
      <c r="L603" s="168"/>
      <c r="N603" s="169"/>
    </row>
    <row r="604">
      <c r="G604" s="168"/>
      <c r="L604" s="168"/>
      <c r="N604" s="169"/>
    </row>
    <row r="605">
      <c r="G605" s="168"/>
      <c r="L605" s="168"/>
      <c r="N605" s="169"/>
    </row>
    <row r="606">
      <c r="G606" s="168"/>
      <c r="L606" s="168"/>
      <c r="N606" s="169"/>
    </row>
    <row r="607">
      <c r="G607" s="168"/>
      <c r="L607" s="168"/>
      <c r="N607" s="169"/>
    </row>
    <row r="608">
      <c r="G608" s="168"/>
      <c r="L608" s="168"/>
      <c r="N608" s="169"/>
    </row>
    <row r="609">
      <c r="G609" s="168"/>
      <c r="L609" s="168"/>
      <c r="N609" s="169"/>
    </row>
    <row r="610">
      <c r="G610" s="168"/>
      <c r="L610" s="168"/>
      <c r="N610" s="169"/>
    </row>
    <row r="611">
      <c r="G611" s="168"/>
      <c r="L611" s="168"/>
      <c r="N611" s="169"/>
    </row>
    <row r="612">
      <c r="G612" s="168"/>
      <c r="L612" s="168"/>
      <c r="N612" s="169"/>
    </row>
    <row r="613">
      <c r="G613" s="168"/>
      <c r="L613" s="168"/>
      <c r="N613" s="169"/>
    </row>
    <row r="614">
      <c r="G614" s="168"/>
      <c r="L614" s="168"/>
      <c r="N614" s="169"/>
    </row>
    <row r="615">
      <c r="G615" s="168"/>
      <c r="L615" s="168"/>
      <c r="N615" s="169"/>
    </row>
    <row r="616">
      <c r="G616" s="168"/>
      <c r="L616" s="168"/>
      <c r="N616" s="169"/>
    </row>
    <row r="617">
      <c r="G617" s="168"/>
      <c r="L617" s="168"/>
      <c r="N617" s="169"/>
    </row>
    <row r="618">
      <c r="G618" s="168"/>
      <c r="L618" s="168"/>
      <c r="N618" s="169"/>
    </row>
    <row r="619">
      <c r="G619" s="168"/>
      <c r="L619" s="168"/>
      <c r="N619" s="169"/>
    </row>
    <row r="620">
      <c r="G620" s="168"/>
      <c r="L620" s="168"/>
      <c r="N620" s="169"/>
    </row>
    <row r="621">
      <c r="G621" s="168"/>
      <c r="L621" s="168"/>
      <c r="N621" s="169"/>
    </row>
    <row r="622">
      <c r="G622" s="168"/>
      <c r="L622" s="168"/>
      <c r="N622" s="169"/>
    </row>
    <row r="623">
      <c r="G623" s="168"/>
      <c r="L623" s="168"/>
      <c r="N623" s="169"/>
    </row>
    <row r="624">
      <c r="G624" s="168"/>
      <c r="L624" s="168"/>
      <c r="N624" s="169"/>
    </row>
    <row r="625">
      <c r="G625" s="168"/>
      <c r="L625" s="168"/>
      <c r="N625" s="169"/>
    </row>
    <row r="626">
      <c r="G626" s="168"/>
      <c r="L626" s="168"/>
      <c r="N626" s="169"/>
    </row>
    <row r="627">
      <c r="G627" s="168"/>
      <c r="L627" s="168"/>
      <c r="N627" s="169"/>
    </row>
    <row r="628">
      <c r="G628" s="168"/>
      <c r="L628" s="168"/>
      <c r="N628" s="169"/>
    </row>
    <row r="629">
      <c r="G629" s="168"/>
      <c r="L629" s="168"/>
      <c r="N629" s="169"/>
    </row>
    <row r="630">
      <c r="G630" s="168"/>
      <c r="L630" s="168"/>
      <c r="N630" s="169"/>
    </row>
    <row r="631">
      <c r="G631" s="168"/>
      <c r="L631" s="168"/>
      <c r="N631" s="169"/>
    </row>
    <row r="632">
      <c r="G632" s="168"/>
      <c r="L632" s="168"/>
      <c r="N632" s="169"/>
    </row>
    <row r="633">
      <c r="G633" s="168"/>
      <c r="L633" s="168"/>
      <c r="N633" s="169"/>
    </row>
    <row r="634">
      <c r="G634" s="168"/>
      <c r="L634" s="168"/>
      <c r="N634" s="169"/>
    </row>
    <row r="635">
      <c r="G635" s="168"/>
      <c r="L635" s="168"/>
      <c r="N635" s="169"/>
    </row>
    <row r="636">
      <c r="G636" s="168"/>
      <c r="L636" s="168"/>
      <c r="N636" s="169"/>
    </row>
    <row r="637">
      <c r="G637" s="168"/>
      <c r="L637" s="168"/>
      <c r="N637" s="169"/>
    </row>
    <row r="638">
      <c r="G638" s="168"/>
      <c r="L638" s="168"/>
      <c r="N638" s="169"/>
    </row>
    <row r="639">
      <c r="G639" s="168"/>
      <c r="L639" s="168"/>
      <c r="N639" s="169"/>
    </row>
    <row r="640">
      <c r="G640" s="168"/>
      <c r="L640" s="168"/>
      <c r="N640" s="169"/>
    </row>
    <row r="641">
      <c r="G641" s="168"/>
      <c r="L641" s="168"/>
      <c r="N641" s="169"/>
    </row>
    <row r="642">
      <c r="G642" s="168"/>
      <c r="L642" s="168"/>
      <c r="N642" s="169"/>
    </row>
    <row r="643">
      <c r="G643" s="168"/>
      <c r="L643" s="168"/>
      <c r="N643" s="169"/>
    </row>
    <row r="644">
      <c r="G644" s="168"/>
      <c r="L644" s="168"/>
      <c r="N644" s="169"/>
    </row>
    <row r="645">
      <c r="G645" s="168"/>
      <c r="L645" s="168"/>
      <c r="N645" s="169"/>
    </row>
    <row r="646">
      <c r="G646" s="168"/>
      <c r="L646" s="168"/>
      <c r="N646" s="169"/>
    </row>
    <row r="647">
      <c r="G647" s="168"/>
      <c r="L647" s="168"/>
      <c r="N647" s="169"/>
    </row>
    <row r="648">
      <c r="G648" s="168"/>
      <c r="L648" s="168"/>
      <c r="N648" s="169"/>
    </row>
    <row r="649">
      <c r="G649" s="168"/>
      <c r="L649" s="168"/>
      <c r="N649" s="169"/>
    </row>
    <row r="650">
      <c r="G650" s="168"/>
      <c r="L650" s="168"/>
      <c r="N650" s="169"/>
    </row>
    <row r="651">
      <c r="G651" s="168"/>
      <c r="L651" s="168"/>
      <c r="N651" s="169"/>
    </row>
    <row r="652">
      <c r="G652" s="168"/>
      <c r="L652" s="168"/>
      <c r="N652" s="169"/>
    </row>
    <row r="653">
      <c r="G653" s="168"/>
      <c r="L653" s="168"/>
      <c r="N653" s="169"/>
    </row>
    <row r="654">
      <c r="G654" s="168"/>
      <c r="L654" s="168"/>
      <c r="N654" s="169"/>
    </row>
    <row r="655">
      <c r="G655" s="168"/>
      <c r="L655" s="168"/>
      <c r="N655" s="169"/>
    </row>
    <row r="656">
      <c r="G656" s="168"/>
      <c r="L656" s="168"/>
      <c r="N656" s="169"/>
    </row>
    <row r="657">
      <c r="G657" s="168"/>
      <c r="L657" s="168"/>
      <c r="N657" s="169"/>
    </row>
    <row r="658">
      <c r="G658" s="168"/>
      <c r="L658" s="168"/>
      <c r="N658" s="169"/>
    </row>
    <row r="659">
      <c r="G659" s="168"/>
      <c r="L659" s="168"/>
      <c r="N659" s="169"/>
    </row>
    <row r="660">
      <c r="G660" s="168"/>
      <c r="L660" s="168"/>
      <c r="N660" s="169"/>
    </row>
    <row r="661">
      <c r="G661" s="168"/>
      <c r="L661" s="168"/>
      <c r="N661" s="169"/>
    </row>
    <row r="662">
      <c r="G662" s="168"/>
      <c r="L662" s="168"/>
      <c r="N662" s="169"/>
    </row>
    <row r="663">
      <c r="G663" s="168"/>
      <c r="L663" s="168"/>
      <c r="N663" s="169"/>
    </row>
    <row r="664">
      <c r="G664" s="168"/>
      <c r="L664" s="168"/>
      <c r="N664" s="169"/>
    </row>
    <row r="665">
      <c r="G665" s="168"/>
      <c r="L665" s="168"/>
      <c r="N665" s="169"/>
    </row>
    <row r="666">
      <c r="G666" s="168"/>
      <c r="L666" s="168"/>
      <c r="N666" s="169"/>
    </row>
    <row r="667">
      <c r="G667" s="168"/>
      <c r="L667" s="168"/>
      <c r="N667" s="169"/>
    </row>
    <row r="668">
      <c r="G668" s="168"/>
      <c r="L668" s="168"/>
      <c r="N668" s="169"/>
    </row>
    <row r="669">
      <c r="G669" s="168"/>
      <c r="L669" s="168"/>
      <c r="N669" s="169"/>
    </row>
    <row r="670">
      <c r="G670" s="168"/>
      <c r="L670" s="168"/>
      <c r="N670" s="169"/>
    </row>
    <row r="671">
      <c r="G671" s="168"/>
      <c r="L671" s="168"/>
      <c r="N671" s="169"/>
    </row>
    <row r="672">
      <c r="G672" s="168"/>
      <c r="L672" s="168"/>
      <c r="N672" s="169"/>
    </row>
    <row r="673">
      <c r="G673" s="168"/>
      <c r="L673" s="168"/>
      <c r="N673" s="169"/>
    </row>
    <row r="674">
      <c r="G674" s="168"/>
      <c r="L674" s="168"/>
      <c r="N674" s="169"/>
    </row>
    <row r="675">
      <c r="G675" s="168"/>
      <c r="L675" s="168"/>
      <c r="N675" s="169"/>
    </row>
    <row r="676">
      <c r="G676" s="168"/>
      <c r="L676" s="168"/>
      <c r="N676" s="169"/>
    </row>
    <row r="677">
      <c r="G677" s="168"/>
      <c r="L677" s="168"/>
      <c r="N677" s="169"/>
    </row>
    <row r="678">
      <c r="G678" s="168"/>
      <c r="L678" s="168"/>
      <c r="N678" s="169"/>
    </row>
    <row r="679">
      <c r="G679" s="168"/>
      <c r="L679" s="168"/>
      <c r="N679" s="169"/>
    </row>
    <row r="680">
      <c r="G680" s="168"/>
      <c r="L680" s="168"/>
      <c r="N680" s="169"/>
    </row>
    <row r="681">
      <c r="G681" s="168"/>
      <c r="L681" s="168"/>
      <c r="N681" s="169"/>
    </row>
    <row r="682">
      <c r="G682" s="168"/>
      <c r="L682" s="168"/>
      <c r="N682" s="169"/>
    </row>
    <row r="683">
      <c r="G683" s="168"/>
      <c r="L683" s="168"/>
      <c r="N683" s="169"/>
    </row>
    <row r="684">
      <c r="G684" s="168"/>
      <c r="L684" s="168"/>
      <c r="N684" s="169"/>
    </row>
    <row r="685">
      <c r="G685" s="168"/>
      <c r="L685" s="168"/>
      <c r="N685" s="169"/>
    </row>
    <row r="686">
      <c r="G686" s="168"/>
      <c r="L686" s="168"/>
      <c r="N686" s="169"/>
    </row>
    <row r="687">
      <c r="G687" s="168"/>
      <c r="L687" s="168"/>
      <c r="N687" s="169"/>
    </row>
    <row r="688">
      <c r="G688" s="168"/>
      <c r="L688" s="168"/>
      <c r="N688" s="169"/>
    </row>
    <row r="689">
      <c r="G689" s="168"/>
      <c r="L689" s="168"/>
      <c r="N689" s="169"/>
    </row>
    <row r="690">
      <c r="G690" s="168"/>
      <c r="L690" s="168"/>
      <c r="N690" s="169"/>
    </row>
    <row r="691">
      <c r="G691" s="168"/>
      <c r="L691" s="168"/>
      <c r="N691" s="169"/>
    </row>
    <row r="692">
      <c r="G692" s="168"/>
      <c r="L692" s="168"/>
      <c r="N692" s="169"/>
    </row>
    <row r="693">
      <c r="G693" s="168"/>
      <c r="L693" s="168"/>
      <c r="N693" s="169"/>
    </row>
    <row r="694">
      <c r="G694" s="168"/>
      <c r="L694" s="168"/>
      <c r="N694" s="169"/>
    </row>
    <row r="695">
      <c r="G695" s="168"/>
      <c r="L695" s="168"/>
      <c r="N695" s="169"/>
    </row>
    <row r="696">
      <c r="G696" s="168"/>
      <c r="L696" s="168"/>
      <c r="N696" s="169"/>
    </row>
    <row r="697">
      <c r="G697" s="168"/>
      <c r="L697" s="168"/>
      <c r="N697" s="169"/>
    </row>
    <row r="698">
      <c r="G698" s="168"/>
      <c r="L698" s="168"/>
      <c r="N698" s="169"/>
    </row>
    <row r="699">
      <c r="G699" s="168"/>
      <c r="L699" s="168"/>
      <c r="N699" s="169"/>
    </row>
    <row r="700">
      <c r="G700" s="168"/>
      <c r="L700" s="168"/>
      <c r="N700" s="169"/>
    </row>
    <row r="701">
      <c r="G701" s="168"/>
      <c r="L701" s="168"/>
      <c r="N701" s="169"/>
    </row>
    <row r="702">
      <c r="G702" s="168"/>
      <c r="L702" s="168"/>
      <c r="N702" s="169"/>
    </row>
    <row r="703">
      <c r="G703" s="168"/>
      <c r="L703" s="168"/>
      <c r="N703" s="169"/>
    </row>
    <row r="704">
      <c r="G704" s="168"/>
      <c r="L704" s="168"/>
      <c r="N704" s="169"/>
    </row>
    <row r="705">
      <c r="G705" s="168"/>
      <c r="L705" s="168"/>
      <c r="N705" s="169"/>
    </row>
    <row r="706">
      <c r="G706" s="168"/>
      <c r="L706" s="168"/>
      <c r="N706" s="169"/>
    </row>
    <row r="707">
      <c r="G707" s="168"/>
      <c r="L707" s="168"/>
      <c r="N707" s="169"/>
    </row>
    <row r="708">
      <c r="G708" s="168"/>
      <c r="L708" s="168"/>
      <c r="N708" s="169"/>
    </row>
    <row r="709">
      <c r="G709" s="168"/>
      <c r="L709" s="168"/>
      <c r="N709" s="169"/>
    </row>
    <row r="710">
      <c r="G710" s="168"/>
      <c r="L710" s="168"/>
      <c r="N710" s="169"/>
    </row>
    <row r="711">
      <c r="G711" s="168"/>
      <c r="L711" s="168"/>
      <c r="N711" s="169"/>
    </row>
    <row r="712">
      <c r="G712" s="168"/>
      <c r="L712" s="168"/>
      <c r="N712" s="169"/>
    </row>
    <row r="713">
      <c r="G713" s="168"/>
      <c r="L713" s="168"/>
      <c r="N713" s="169"/>
    </row>
    <row r="714">
      <c r="G714" s="168"/>
      <c r="L714" s="168"/>
      <c r="N714" s="169"/>
    </row>
    <row r="715">
      <c r="G715" s="168"/>
      <c r="L715" s="168"/>
      <c r="N715" s="169"/>
    </row>
    <row r="716">
      <c r="G716" s="168"/>
      <c r="L716" s="168"/>
      <c r="N716" s="169"/>
    </row>
    <row r="717">
      <c r="G717" s="168"/>
      <c r="L717" s="168"/>
      <c r="N717" s="169"/>
    </row>
    <row r="718">
      <c r="G718" s="168"/>
      <c r="L718" s="168"/>
      <c r="N718" s="169"/>
    </row>
    <row r="719">
      <c r="G719" s="168"/>
      <c r="L719" s="168"/>
      <c r="N719" s="169"/>
    </row>
    <row r="720">
      <c r="G720" s="168"/>
      <c r="L720" s="168"/>
      <c r="N720" s="169"/>
    </row>
    <row r="721">
      <c r="G721" s="168"/>
      <c r="L721" s="168"/>
      <c r="N721" s="169"/>
    </row>
    <row r="722">
      <c r="G722" s="168"/>
      <c r="L722" s="168"/>
      <c r="N722" s="169"/>
    </row>
    <row r="723">
      <c r="G723" s="168"/>
      <c r="L723" s="168"/>
      <c r="N723" s="169"/>
    </row>
    <row r="724">
      <c r="G724" s="168"/>
      <c r="L724" s="168"/>
      <c r="N724" s="169"/>
    </row>
    <row r="725">
      <c r="G725" s="168"/>
      <c r="L725" s="168"/>
      <c r="N725" s="169"/>
    </row>
    <row r="726">
      <c r="G726" s="168"/>
      <c r="L726" s="168"/>
      <c r="N726" s="169"/>
    </row>
    <row r="727">
      <c r="G727" s="168"/>
      <c r="L727" s="168"/>
      <c r="N727" s="169"/>
    </row>
    <row r="728">
      <c r="G728" s="168"/>
      <c r="L728" s="168"/>
      <c r="N728" s="169"/>
    </row>
    <row r="729">
      <c r="G729" s="168"/>
      <c r="L729" s="168"/>
      <c r="N729" s="169"/>
    </row>
    <row r="730">
      <c r="G730" s="168"/>
      <c r="L730" s="168"/>
      <c r="N730" s="169"/>
    </row>
    <row r="731">
      <c r="G731" s="168"/>
      <c r="L731" s="168"/>
      <c r="N731" s="169"/>
    </row>
    <row r="732">
      <c r="G732" s="168"/>
      <c r="L732" s="168"/>
      <c r="N732" s="169"/>
    </row>
    <row r="733">
      <c r="G733" s="168"/>
      <c r="L733" s="168"/>
      <c r="N733" s="169"/>
    </row>
    <row r="734">
      <c r="G734" s="168"/>
      <c r="L734" s="168"/>
      <c r="N734" s="169"/>
    </row>
    <row r="735">
      <c r="G735" s="168"/>
      <c r="L735" s="168"/>
      <c r="N735" s="169"/>
    </row>
    <row r="736">
      <c r="G736" s="168"/>
      <c r="L736" s="168"/>
      <c r="N736" s="169"/>
    </row>
    <row r="737">
      <c r="G737" s="168"/>
      <c r="L737" s="168"/>
      <c r="N737" s="169"/>
    </row>
    <row r="738">
      <c r="G738" s="168"/>
      <c r="L738" s="168"/>
      <c r="N738" s="169"/>
    </row>
    <row r="739">
      <c r="G739" s="168"/>
      <c r="L739" s="168"/>
      <c r="N739" s="169"/>
    </row>
    <row r="740">
      <c r="G740" s="168"/>
      <c r="L740" s="168"/>
      <c r="N740" s="169"/>
    </row>
    <row r="741">
      <c r="G741" s="168"/>
      <c r="L741" s="168"/>
      <c r="N741" s="169"/>
    </row>
    <row r="742">
      <c r="G742" s="168"/>
      <c r="L742" s="168"/>
      <c r="N742" s="169"/>
    </row>
    <row r="743">
      <c r="G743" s="168"/>
      <c r="L743" s="168"/>
      <c r="N743" s="169"/>
    </row>
    <row r="744">
      <c r="G744" s="168"/>
      <c r="L744" s="168"/>
      <c r="N744" s="169"/>
    </row>
    <row r="745">
      <c r="G745" s="168"/>
      <c r="L745" s="168"/>
      <c r="N745" s="169"/>
    </row>
    <row r="746">
      <c r="G746" s="168"/>
      <c r="L746" s="168"/>
      <c r="N746" s="169"/>
    </row>
    <row r="747">
      <c r="G747" s="168"/>
      <c r="L747" s="168"/>
      <c r="N747" s="169"/>
    </row>
    <row r="748">
      <c r="G748" s="168"/>
      <c r="L748" s="168"/>
      <c r="N748" s="169"/>
    </row>
    <row r="749">
      <c r="G749" s="168"/>
      <c r="L749" s="168"/>
      <c r="N749" s="169"/>
    </row>
    <row r="750">
      <c r="G750" s="168"/>
      <c r="L750" s="168"/>
      <c r="N750" s="169"/>
    </row>
    <row r="751">
      <c r="G751" s="168"/>
      <c r="L751" s="168"/>
      <c r="N751" s="169"/>
    </row>
    <row r="752">
      <c r="G752" s="168"/>
      <c r="L752" s="168"/>
      <c r="N752" s="169"/>
    </row>
    <row r="753">
      <c r="G753" s="168"/>
      <c r="L753" s="168"/>
      <c r="N753" s="169"/>
    </row>
    <row r="754">
      <c r="G754" s="168"/>
      <c r="L754" s="168"/>
      <c r="N754" s="169"/>
    </row>
    <row r="755">
      <c r="G755" s="168"/>
      <c r="L755" s="168"/>
      <c r="N755" s="169"/>
    </row>
    <row r="756">
      <c r="G756" s="168"/>
      <c r="L756" s="168"/>
      <c r="N756" s="169"/>
    </row>
    <row r="757">
      <c r="G757" s="168"/>
      <c r="L757" s="168"/>
      <c r="N757" s="169"/>
    </row>
    <row r="758">
      <c r="G758" s="168"/>
      <c r="L758" s="168"/>
      <c r="N758" s="169"/>
    </row>
    <row r="759">
      <c r="G759" s="168"/>
      <c r="L759" s="168"/>
      <c r="N759" s="169"/>
    </row>
    <row r="760">
      <c r="G760" s="168"/>
      <c r="L760" s="168"/>
      <c r="N760" s="169"/>
    </row>
    <row r="761">
      <c r="G761" s="168"/>
      <c r="L761" s="168"/>
      <c r="N761" s="169"/>
    </row>
    <row r="762">
      <c r="G762" s="168"/>
      <c r="L762" s="168"/>
      <c r="N762" s="169"/>
    </row>
    <row r="763">
      <c r="G763" s="168"/>
      <c r="L763" s="168"/>
      <c r="N763" s="169"/>
    </row>
    <row r="764">
      <c r="G764" s="168"/>
      <c r="L764" s="168"/>
      <c r="N764" s="169"/>
    </row>
    <row r="765">
      <c r="G765" s="168"/>
      <c r="L765" s="168"/>
      <c r="N765" s="169"/>
    </row>
    <row r="766">
      <c r="G766" s="168"/>
      <c r="L766" s="168"/>
      <c r="N766" s="169"/>
    </row>
    <row r="767">
      <c r="G767" s="168"/>
      <c r="L767" s="168"/>
      <c r="N767" s="169"/>
    </row>
    <row r="768">
      <c r="G768" s="168"/>
      <c r="L768" s="168"/>
      <c r="N768" s="169"/>
    </row>
    <row r="769">
      <c r="G769" s="168"/>
      <c r="L769" s="168"/>
      <c r="N769" s="169"/>
    </row>
    <row r="770">
      <c r="G770" s="168"/>
      <c r="L770" s="168"/>
      <c r="N770" s="169"/>
    </row>
    <row r="771">
      <c r="G771" s="168"/>
      <c r="L771" s="168"/>
      <c r="N771" s="169"/>
    </row>
    <row r="772">
      <c r="G772" s="168"/>
      <c r="L772" s="168"/>
      <c r="N772" s="169"/>
    </row>
    <row r="773">
      <c r="G773" s="168"/>
      <c r="L773" s="168"/>
      <c r="N773" s="169"/>
    </row>
    <row r="774">
      <c r="G774" s="168"/>
      <c r="L774" s="168"/>
      <c r="N774" s="169"/>
    </row>
    <row r="775">
      <c r="G775" s="168"/>
      <c r="L775" s="168"/>
      <c r="N775" s="169"/>
    </row>
    <row r="776">
      <c r="G776" s="168"/>
      <c r="L776" s="168"/>
      <c r="N776" s="169"/>
    </row>
    <row r="777">
      <c r="G777" s="168"/>
      <c r="L777" s="168"/>
      <c r="N777" s="169"/>
    </row>
    <row r="778">
      <c r="G778" s="168"/>
      <c r="L778" s="168"/>
      <c r="N778" s="169"/>
    </row>
    <row r="779">
      <c r="G779" s="168"/>
      <c r="L779" s="168"/>
      <c r="N779" s="169"/>
    </row>
    <row r="780">
      <c r="G780" s="168"/>
      <c r="L780" s="168"/>
      <c r="N780" s="169"/>
    </row>
    <row r="781">
      <c r="G781" s="168"/>
      <c r="L781" s="168"/>
      <c r="N781" s="169"/>
    </row>
    <row r="782">
      <c r="G782" s="168"/>
      <c r="L782" s="168"/>
      <c r="N782" s="169"/>
    </row>
    <row r="783">
      <c r="G783" s="168"/>
      <c r="L783" s="168"/>
      <c r="N783" s="169"/>
    </row>
    <row r="784">
      <c r="G784" s="168"/>
      <c r="L784" s="168"/>
      <c r="N784" s="169"/>
    </row>
    <row r="785">
      <c r="G785" s="168"/>
      <c r="L785" s="168"/>
      <c r="N785" s="169"/>
    </row>
    <row r="786">
      <c r="G786" s="168"/>
      <c r="L786" s="168"/>
      <c r="N786" s="169"/>
    </row>
    <row r="787">
      <c r="G787" s="168"/>
      <c r="L787" s="168"/>
      <c r="N787" s="169"/>
    </row>
    <row r="788">
      <c r="G788" s="168"/>
      <c r="L788" s="168"/>
      <c r="N788" s="169"/>
    </row>
    <row r="789">
      <c r="G789" s="168"/>
      <c r="L789" s="168"/>
      <c r="N789" s="169"/>
    </row>
    <row r="790">
      <c r="G790" s="168"/>
      <c r="L790" s="168"/>
      <c r="N790" s="169"/>
    </row>
    <row r="791">
      <c r="G791" s="168"/>
      <c r="L791" s="168"/>
      <c r="N791" s="169"/>
    </row>
    <row r="792">
      <c r="G792" s="168"/>
      <c r="L792" s="168"/>
      <c r="N792" s="169"/>
    </row>
    <row r="793">
      <c r="G793" s="168"/>
      <c r="L793" s="168"/>
      <c r="N793" s="169"/>
    </row>
    <row r="794">
      <c r="G794" s="168"/>
      <c r="L794" s="168"/>
      <c r="N794" s="169"/>
    </row>
    <row r="795">
      <c r="G795" s="168"/>
      <c r="L795" s="168"/>
      <c r="N795" s="169"/>
    </row>
    <row r="796">
      <c r="G796" s="168"/>
      <c r="L796" s="168"/>
      <c r="N796" s="169"/>
    </row>
    <row r="797">
      <c r="G797" s="168"/>
      <c r="L797" s="168"/>
      <c r="N797" s="169"/>
    </row>
    <row r="798">
      <c r="G798" s="168"/>
      <c r="L798" s="168"/>
      <c r="N798" s="169"/>
    </row>
    <row r="799">
      <c r="G799" s="168"/>
      <c r="L799" s="168"/>
      <c r="N799" s="169"/>
    </row>
    <row r="800">
      <c r="G800" s="168"/>
      <c r="L800" s="168"/>
      <c r="N800" s="169"/>
    </row>
    <row r="801">
      <c r="G801" s="168"/>
      <c r="L801" s="168"/>
      <c r="N801" s="169"/>
    </row>
    <row r="802">
      <c r="G802" s="168"/>
      <c r="L802" s="168"/>
      <c r="N802" s="169"/>
    </row>
    <row r="803">
      <c r="G803" s="168"/>
      <c r="L803" s="168"/>
      <c r="N803" s="169"/>
    </row>
    <row r="804">
      <c r="G804" s="168"/>
      <c r="L804" s="168"/>
      <c r="N804" s="169"/>
    </row>
    <row r="805">
      <c r="G805" s="168"/>
      <c r="L805" s="168"/>
      <c r="N805" s="169"/>
    </row>
    <row r="806">
      <c r="G806" s="168"/>
      <c r="L806" s="168"/>
      <c r="N806" s="169"/>
    </row>
    <row r="807">
      <c r="G807" s="168"/>
      <c r="L807" s="168"/>
      <c r="N807" s="169"/>
    </row>
    <row r="808">
      <c r="G808" s="168"/>
      <c r="L808" s="168"/>
      <c r="N808" s="169"/>
    </row>
    <row r="809">
      <c r="G809" s="168"/>
      <c r="L809" s="168"/>
      <c r="N809" s="169"/>
    </row>
    <row r="810">
      <c r="G810" s="168"/>
      <c r="L810" s="168"/>
      <c r="N810" s="169"/>
    </row>
    <row r="811">
      <c r="G811" s="168"/>
      <c r="L811" s="168"/>
      <c r="N811" s="169"/>
    </row>
    <row r="812">
      <c r="G812" s="168"/>
      <c r="L812" s="168"/>
      <c r="N812" s="169"/>
    </row>
    <row r="813">
      <c r="G813" s="168"/>
      <c r="L813" s="168"/>
      <c r="N813" s="169"/>
    </row>
    <row r="814">
      <c r="G814" s="168"/>
      <c r="L814" s="168"/>
      <c r="N814" s="169"/>
    </row>
    <row r="815">
      <c r="G815" s="168"/>
      <c r="L815" s="168"/>
      <c r="N815" s="169"/>
    </row>
    <row r="816">
      <c r="G816" s="168"/>
      <c r="L816" s="168"/>
      <c r="N816" s="169"/>
    </row>
    <row r="817">
      <c r="G817" s="168"/>
      <c r="L817" s="168"/>
      <c r="N817" s="169"/>
    </row>
    <row r="818">
      <c r="G818" s="168"/>
      <c r="L818" s="168"/>
      <c r="N818" s="169"/>
    </row>
    <row r="819">
      <c r="G819" s="168"/>
      <c r="L819" s="168"/>
      <c r="N819" s="169"/>
    </row>
    <row r="820">
      <c r="G820" s="168"/>
      <c r="L820" s="168"/>
      <c r="N820" s="169"/>
    </row>
    <row r="821">
      <c r="G821" s="168"/>
      <c r="L821" s="168"/>
      <c r="N821" s="169"/>
    </row>
    <row r="822">
      <c r="G822" s="168"/>
      <c r="L822" s="168"/>
      <c r="N822" s="169"/>
    </row>
    <row r="823">
      <c r="G823" s="168"/>
      <c r="L823" s="168"/>
      <c r="N823" s="169"/>
    </row>
    <row r="824">
      <c r="G824" s="168"/>
      <c r="L824" s="168"/>
      <c r="N824" s="169"/>
    </row>
    <row r="825">
      <c r="G825" s="168"/>
      <c r="L825" s="168"/>
      <c r="N825" s="169"/>
    </row>
    <row r="826">
      <c r="G826" s="168"/>
      <c r="L826" s="168"/>
      <c r="N826" s="169"/>
    </row>
    <row r="827">
      <c r="G827" s="168"/>
      <c r="L827" s="168"/>
      <c r="N827" s="169"/>
    </row>
    <row r="828">
      <c r="G828" s="168"/>
      <c r="L828" s="168"/>
      <c r="N828" s="169"/>
    </row>
    <row r="829">
      <c r="G829" s="168"/>
      <c r="L829" s="168"/>
      <c r="N829" s="169"/>
    </row>
    <row r="830">
      <c r="G830" s="168"/>
      <c r="L830" s="168"/>
      <c r="N830" s="169"/>
    </row>
    <row r="831">
      <c r="G831" s="168"/>
      <c r="L831" s="168"/>
      <c r="N831" s="169"/>
    </row>
    <row r="832">
      <c r="G832" s="168"/>
      <c r="L832" s="168"/>
      <c r="N832" s="169"/>
    </row>
    <row r="833">
      <c r="G833" s="168"/>
      <c r="L833" s="168"/>
      <c r="N833" s="169"/>
    </row>
    <row r="834">
      <c r="G834" s="168"/>
      <c r="L834" s="168"/>
      <c r="N834" s="169"/>
    </row>
    <row r="835">
      <c r="G835" s="168"/>
      <c r="L835" s="168"/>
      <c r="N835" s="169"/>
    </row>
    <row r="836">
      <c r="G836" s="168"/>
      <c r="L836" s="168"/>
      <c r="N836" s="169"/>
    </row>
    <row r="837">
      <c r="G837" s="168"/>
      <c r="L837" s="168"/>
      <c r="N837" s="169"/>
    </row>
    <row r="838">
      <c r="G838" s="168"/>
      <c r="L838" s="168"/>
      <c r="N838" s="169"/>
    </row>
    <row r="839">
      <c r="G839" s="168"/>
      <c r="L839" s="168"/>
      <c r="N839" s="169"/>
    </row>
    <row r="840">
      <c r="G840" s="168"/>
      <c r="L840" s="168"/>
      <c r="N840" s="169"/>
    </row>
    <row r="841">
      <c r="G841" s="168"/>
      <c r="L841" s="168"/>
      <c r="N841" s="169"/>
    </row>
    <row r="842">
      <c r="G842" s="168"/>
      <c r="L842" s="168"/>
      <c r="N842" s="169"/>
    </row>
    <row r="843">
      <c r="G843" s="168"/>
      <c r="L843" s="168"/>
      <c r="N843" s="169"/>
    </row>
    <row r="844">
      <c r="G844" s="168"/>
      <c r="L844" s="168"/>
      <c r="N844" s="169"/>
    </row>
    <row r="845">
      <c r="G845" s="168"/>
      <c r="L845" s="168"/>
      <c r="N845" s="169"/>
    </row>
    <row r="846">
      <c r="G846" s="168"/>
      <c r="L846" s="168"/>
      <c r="N846" s="169"/>
    </row>
    <row r="847">
      <c r="G847" s="168"/>
      <c r="L847" s="168"/>
      <c r="N847" s="169"/>
    </row>
    <row r="848">
      <c r="G848" s="168"/>
      <c r="L848" s="168"/>
      <c r="N848" s="169"/>
    </row>
    <row r="849">
      <c r="G849" s="168"/>
      <c r="L849" s="168"/>
      <c r="N849" s="169"/>
    </row>
    <row r="850">
      <c r="G850" s="168"/>
      <c r="L850" s="168"/>
      <c r="N850" s="169"/>
    </row>
    <row r="851">
      <c r="G851" s="168"/>
      <c r="L851" s="168"/>
      <c r="N851" s="169"/>
    </row>
    <row r="852">
      <c r="G852" s="168"/>
      <c r="L852" s="168"/>
      <c r="N852" s="169"/>
    </row>
    <row r="853">
      <c r="G853" s="168"/>
      <c r="L853" s="168"/>
      <c r="N853" s="169"/>
    </row>
    <row r="854">
      <c r="G854" s="168"/>
      <c r="L854" s="168"/>
      <c r="N854" s="169"/>
    </row>
    <row r="855">
      <c r="G855" s="168"/>
      <c r="L855" s="168"/>
      <c r="N855" s="169"/>
    </row>
    <row r="856">
      <c r="G856" s="168"/>
      <c r="L856" s="168"/>
      <c r="N856" s="169"/>
    </row>
    <row r="857">
      <c r="G857" s="168"/>
      <c r="L857" s="168"/>
      <c r="N857" s="169"/>
    </row>
    <row r="858">
      <c r="G858" s="168"/>
      <c r="L858" s="168"/>
      <c r="N858" s="169"/>
    </row>
    <row r="859">
      <c r="G859" s="168"/>
      <c r="L859" s="168"/>
      <c r="N859" s="169"/>
    </row>
    <row r="860">
      <c r="G860" s="168"/>
      <c r="L860" s="168"/>
      <c r="N860" s="169"/>
    </row>
    <row r="861">
      <c r="G861" s="168"/>
      <c r="L861" s="168"/>
      <c r="N861" s="169"/>
    </row>
    <row r="862">
      <c r="G862" s="168"/>
      <c r="L862" s="168"/>
      <c r="N862" s="169"/>
    </row>
    <row r="863">
      <c r="G863" s="168"/>
      <c r="L863" s="168"/>
      <c r="N863" s="169"/>
    </row>
    <row r="864">
      <c r="G864" s="168"/>
      <c r="L864" s="168"/>
      <c r="N864" s="169"/>
    </row>
    <row r="865">
      <c r="G865" s="168"/>
      <c r="L865" s="168"/>
      <c r="N865" s="169"/>
    </row>
    <row r="866">
      <c r="G866" s="168"/>
      <c r="L866" s="168"/>
      <c r="N866" s="169"/>
    </row>
    <row r="867">
      <c r="G867" s="168"/>
      <c r="L867" s="168"/>
      <c r="N867" s="169"/>
    </row>
    <row r="868">
      <c r="G868" s="168"/>
      <c r="L868" s="168"/>
      <c r="N868" s="169"/>
    </row>
    <row r="869">
      <c r="G869" s="168"/>
      <c r="L869" s="168"/>
      <c r="N869" s="169"/>
    </row>
    <row r="870">
      <c r="G870" s="168"/>
      <c r="L870" s="168"/>
      <c r="N870" s="169"/>
    </row>
    <row r="871">
      <c r="G871" s="168"/>
      <c r="L871" s="168"/>
      <c r="N871" s="169"/>
    </row>
    <row r="872">
      <c r="G872" s="168"/>
      <c r="L872" s="168"/>
      <c r="N872" s="169"/>
    </row>
    <row r="873">
      <c r="G873" s="168"/>
      <c r="L873" s="168"/>
      <c r="N873" s="169"/>
    </row>
    <row r="874">
      <c r="G874" s="168"/>
      <c r="L874" s="168"/>
      <c r="N874" s="169"/>
    </row>
    <row r="875">
      <c r="G875" s="168"/>
      <c r="L875" s="168"/>
      <c r="N875" s="169"/>
    </row>
    <row r="876">
      <c r="G876" s="168"/>
      <c r="L876" s="168"/>
      <c r="N876" s="169"/>
    </row>
    <row r="877">
      <c r="G877" s="168"/>
      <c r="L877" s="168"/>
      <c r="N877" s="169"/>
    </row>
    <row r="878">
      <c r="G878" s="168"/>
      <c r="L878" s="168"/>
      <c r="N878" s="169"/>
    </row>
    <row r="879">
      <c r="G879" s="168"/>
      <c r="L879" s="168"/>
      <c r="N879" s="169"/>
    </row>
    <row r="880">
      <c r="G880" s="168"/>
      <c r="L880" s="168"/>
      <c r="N880" s="169"/>
    </row>
    <row r="881">
      <c r="G881" s="168"/>
      <c r="L881" s="168"/>
      <c r="N881" s="169"/>
    </row>
    <row r="882">
      <c r="G882" s="168"/>
      <c r="L882" s="168"/>
      <c r="N882" s="169"/>
    </row>
    <row r="883">
      <c r="G883" s="168"/>
      <c r="L883" s="168"/>
      <c r="N883" s="169"/>
    </row>
    <row r="884">
      <c r="G884" s="168"/>
      <c r="L884" s="168"/>
      <c r="N884" s="169"/>
    </row>
    <row r="885">
      <c r="G885" s="168"/>
      <c r="L885" s="168"/>
      <c r="N885" s="169"/>
    </row>
    <row r="886">
      <c r="G886" s="168"/>
      <c r="L886" s="168"/>
      <c r="N886" s="169"/>
    </row>
    <row r="887">
      <c r="G887" s="168"/>
      <c r="L887" s="168"/>
      <c r="N887" s="169"/>
    </row>
    <row r="888">
      <c r="G888" s="168"/>
      <c r="L888" s="168"/>
      <c r="N888" s="169"/>
    </row>
    <row r="889">
      <c r="G889" s="168"/>
      <c r="L889" s="168"/>
      <c r="N889" s="169"/>
    </row>
    <row r="890">
      <c r="G890" s="168"/>
      <c r="L890" s="168"/>
      <c r="N890" s="169"/>
    </row>
    <row r="891">
      <c r="G891" s="168"/>
      <c r="L891" s="168"/>
      <c r="N891" s="169"/>
    </row>
    <row r="892">
      <c r="G892" s="168"/>
      <c r="L892" s="168"/>
      <c r="N892" s="169"/>
    </row>
    <row r="893">
      <c r="G893" s="168"/>
      <c r="L893" s="168"/>
      <c r="N893" s="169"/>
    </row>
    <row r="894">
      <c r="G894" s="168"/>
      <c r="L894" s="168"/>
      <c r="N894" s="169"/>
    </row>
    <row r="895">
      <c r="G895" s="168"/>
      <c r="L895" s="168"/>
      <c r="N895" s="169"/>
    </row>
    <row r="896">
      <c r="G896" s="168"/>
      <c r="L896" s="168"/>
      <c r="N896" s="169"/>
    </row>
    <row r="897">
      <c r="G897" s="168"/>
      <c r="L897" s="168"/>
      <c r="N897" s="169"/>
    </row>
    <row r="898">
      <c r="G898" s="168"/>
      <c r="L898" s="168"/>
      <c r="N898" s="169"/>
    </row>
    <row r="899">
      <c r="G899" s="168"/>
      <c r="L899" s="168"/>
      <c r="N899" s="169"/>
    </row>
    <row r="900">
      <c r="G900" s="168"/>
      <c r="L900" s="168"/>
      <c r="N900" s="169"/>
    </row>
    <row r="901">
      <c r="G901" s="168"/>
      <c r="L901" s="168"/>
      <c r="N901" s="169"/>
    </row>
    <row r="902">
      <c r="G902" s="168"/>
      <c r="L902" s="168"/>
      <c r="N902" s="169"/>
    </row>
    <row r="903">
      <c r="G903" s="168"/>
      <c r="L903" s="168"/>
      <c r="N903" s="169"/>
    </row>
    <row r="904">
      <c r="G904" s="168"/>
      <c r="L904" s="168"/>
      <c r="N904" s="169"/>
    </row>
    <row r="905">
      <c r="G905" s="168"/>
      <c r="L905" s="168"/>
      <c r="N905" s="169"/>
    </row>
    <row r="906">
      <c r="G906" s="168"/>
      <c r="L906" s="168"/>
      <c r="N906" s="169"/>
    </row>
    <row r="907">
      <c r="G907" s="168"/>
      <c r="L907" s="168"/>
      <c r="N907" s="169"/>
    </row>
    <row r="908">
      <c r="G908" s="168"/>
      <c r="L908" s="168"/>
      <c r="N908" s="169"/>
    </row>
    <row r="909">
      <c r="G909" s="168"/>
      <c r="L909" s="168"/>
      <c r="N909" s="169"/>
    </row>
    <row r="910">
      <c r="G910" s="168"/>
      <c r="L910" s="168"/>
      <c r="N910" s="169"/>
    </row>
    <row r="911">
      <c r="G911" s="168"/>
      <c r="L911" s="168"/>
      <c r="N911" s="169"/>
    </row>
    <row r="912">
      <c r="G912" s="168"/>
      <c r="L912" s="168"/>
      <c r="N912" s="169"/>
    </row>
    <row r="913">
      <c r="G913" s="168"/>
      <c r="L913" s="168"/>
      <c r="N913" s="169"/>
    </row>
    <row r="914">
      <c r="G914" s="168"/>
      <c r="L914" s="168"/>
      <c r="N914" s="169"/>
    </row>
    <row r="915">
      <c r="G915" s="168"/>
      <c r="L915" s="168"/>
      <c r="N915" s="169"/>
    </row>
    <row r="916">
      <c r="G916" s="168"/>
      <c r="L916" s="168"/>
      <c r="N916" s="169"/>
    </row>
    <row r="917">
      <c r="G917" s="168"/>
      <c r="L917" s="168"/>
      <c r="N917" s="169"/>
    </row>
    <row r="918">
      <c r="G918" s="168"/>
      <c r="L918" s="168"/>
      <c r="N918" s="169"/>
    </row>
    <row r="919">
      <c r="G919" s="168"/>
      <c r="L919" s="168"/>
      <c r="N919" s="169"/>
    </row>
    <row r="920">
      <c r="G920" s="168"/>
      <c r="L920" s="168"/>
      <c r="N920" s="169"/>
    </row>
    <row r="921">
      <c r="G921" s="168"/>
      <c r="L921" s="168"/>
      <c r="N921" s="169"/>
    </row>
    <row r="922">
      <c r="G922" s="168"/>
      <c r="L922" s="168"/>
      <c r="N922" s="169"/>
    </row>
    <row r="923">
      <c r="G923" s="168"/>
      <c r="L923" s="168"/>
      <c r="N923" s="169"/>
    </row>
    <row r="924">
      <c r="G924" s="168"/>
      <c r="L924" s="168"/>
      <c r="N924" s="169"/>
    </row>
    <row r="925">
      <c r="G925" s="168"/>
      <c r="L925" s="168"/>
      <c r="N925" s="169"/>
    </row>
    <row r="926">
      <c r="G926" s="168"/>
      <c r="L926" s="168"/>
      <c r="N926" s="169"/>
    </row>
    <row r="927">
      <c r="G927" s="168"/>
      <c r="L927" s="168"/>
      <c r="N927" s="169"/>
    </row>
    <row r="928">
      <c r="G928" s="168"/>
      <c r="L928" s="168"/>
      <c r="N928" s="169"/>
    </row>
    <row r="929">
      <c r="G929" s="168"/>
      <c r="L929" s="168"/>
      <c r="N929" s="169"/>
    </row>
    <row r="930">
      <c r="G930" s="168"/>
      <c r="L930" s="168"/>
      <c r="N930" s="169"/>
    </row>
    <row r="931">
      <c r="G931" s="168"/>
      <c r="L931" s="168"/>
      <c r="N931" s="169"/>
    </row>
    <row r="932">
      <c r="G932" s="168"/>
      <c r="L932" s="168"/>
      <c r="N932" s="169"/>
    </row>
    <row r="933">
      <c r="G933" s="168"/>
      <c r="L933" s="168"/>
      <c r="N933" s="169"/>
    </row>
    <row r="934">
      <c r="G934" s="168"/>
      <c r="L934" s="168"/>
      <c r="N934" s="169"/>
    </row>
    <row r="935">
      <c r="G935" s="168"/>
      <c r="L935" s="168"/>
      <c r="N935" s="169"/>
    </row>
    <row r="936">
      <c r="G936" s="168"/>
      <c r="L936" s="168"/>
      <c r="N936" s="169"/>
    </row>
    <row r="937">
      <c r="G937" s="168"/>
      <c r="L937" s="168"/>
      <c r="N937" s="169"/>
    </row>
    <row r="938">
      <c r="G938" s="168"/>
      <c r="L938" s="168"/>
      <c r="N938" s="169"/>
    </row>
    <row r="939">
      <c r="G939" s="168"/>
      <c r="L939" s="168"/>
      <c r="N939" s="169"/>
    </row>
    <row r="940">
      <c r="G940" s="168"/>
      <c r="L940" s="168"/>
      <c r="N940" s="169"/>
    </row>
    <row r="941">
      <c r="G941" s="168"/>
      <c r="L941" s="168"/>
      <c r="N941" s="169"/>
    </row>
    <row r="942">
      <c r="G942" s="168"/>
      <c r="L942" s="168"/>
      <c r="N942" s="169"/>
    </row>
    <row r="943">
      <c r="G943" s="168"/>
      <c r="L943" s="168"/>
      <c r="N943" s="169"/>
    </row>
    <row r="944">
      <c r="G944" s="168"/>
      <c r="L944" s="168"/>
      <c r="N944" s="169"/>
    </row>
    <row r="945">
      <c r="G945" s="168"/>
      <c r="L945" s="168"/>
      <c r="N945" s="169"/>
    </row>
    <row r="946">
      <c r="G946" s="168"/>
      <c r="L946" s="168"/>
      <c r="N946" s="169"/>
    </row>
    <row r="947">
      <c r="G947" s="168"/>
      <c r="L947" s="168"/>
      <c r="N947" s="169"/>
    </row>
    <row r="948">
      <c r="G948" s="168"/>
      <c r="L948" s="168"/>
      <c r="N948" s="169"/>
    </row>
    <row r="949">
      <c r="G949" s="168"/>
      <c r="L949" s="168"/>
      <c r="N949" s="169"/>
    </row>
    <row r="950">
      <c r="G950" s="168"/>
      <c r="L950" s="168"/>
      <c r="N950" s="169"/>
    </row>
    <row r="951">
      <c r="G951" s="168"/>
      <c r="L951" s="168"/>
      <c r="N951" s="169"/>
    </row>
    <row r="952">
      <c r="G952" s="168"/>
      <c r="L952" s="168"/>
      <c r="N952" s="169"/>
    </row>
    <row r="953">
      <c r="G953" s="168"/>
      <c r="L953" s="168"/>
      <c r="N953" s="169"/>
    </row>
    <row r="954">
      <c r="G954" s="168"/>
      <c r="L954" s="168"/>
      <c r="N954" s="169"/>
    </row>
    <row r="955">
      <c r="G955" s="168"/>
      <c r="L955" s="168"/>
      <c r="N955" s="169"/>
    </row>
    <row r="956">
      <c r="G956" s="168"/>
      <c r="L956" s="168"/>
      <c r="N956" s="169"/>
    </row>
    <row r="957">
      <c r="G957" s="168"/>
      <c r="L957" s="168"/>
      <c r="N957" s="169"/>
    </row>
    <row r="958">
      <c r="G958" s="168"/>
      <c r="L958" s="168"/>
      <c r="N958" s="169"/>
    </row>
    <row r="959">
      <c r="G959" s="168"/>
      <c r="L959" s="168"/>
      <c r="N959" s="169"/>
    </row>
    <row r="960">
      <c r="G960" s="168"/>
      <c r="L960" s="168"/>
      <c r="N960" s="169"/>
    </row>
    <row r="961">
      <c r="G961" s="168"/>
      <c r="L961" s="168"/>
      <c r="N961" s="169"/>
    </row>
    <row r="962">
      <c r="G962" s="168"/>
      <c r="L962" s="168"/>
      <c r="N962" s="169"/>
    </row>
    <row r="963">
      <c r="G963" s="168"/>
      <c r="L963" s="168"/>
      <c r="N963" s="169"/>
    </row>
    <row r="964">
      <c r="G964" s="168"/>
      <c r="L964" s="168"/>
      <c r="N964" s="169"/>
    </row>
    <row r="965">
      <c r="G965" s="168"/>
      <c r="L965" s="168"/>
      <c r="N965" s="169"/>
    </row>
    <row r="966">
      <c r="G966" s="168"/>
      <c r="L966" s="168"/>
      <c r="N966" s="169"/>
    </row>
    <row r="967">
      <c r="G967" s="168"/>
      <c r="L967" s="168"/>
      <c r="N967" s="169"/>
    </row>
    <row r="968">
      <c r="G968" s="168"/>
      <c r="L968" s="168"/>
      <c r="N968" s="169"/>
    </row>
    <row r="969">
      <c r="G969" s="168"/>
      <c r="L969" s="168"/>
      <c r="N969" s="169"/>
    </row>
    <row r="970">
      <c r="G970" s="168"/>
      <c r="L970" s="168"/>
      <c r="N970" s="169"/>
    </row>
    <row r="971">
      <c r="G971" s="168"/>
      <c r="L971" s="168"/>
      <c r="N971" s="169"/>
    </row>
    <row r="972">
      <c r="G972" s="168"/>
      <c r="L972" s="168"/>
      <c r="N972" s="169"/>
    </row>
    <row r="973">
      <c r="G973" s="168"/>
      <c r="L973" s="168"/>
      <c r="N973" s="169"/>
    </row>
    <row r="974">
      <c r="G974" s="168"/>
      <c r="L974" s="168"/>
      <c r="N974" s="169"/>
    </row>
    <row r="975">
      <c r="G975" s="168"/>
      <c r="L975" s="168"/>
      <c r="N975" s="169"/>
    </row>
    <row r="976">
      <c r="G976" s="168"/>
      <c r="L976" s="168"/>
      <c r="N976" s="169"/>
    </row>
    <row r="977">
      <c r="G977" s="168"/>
      <c r="L977" s="168"/>
      <c r="N977" s="169"/>
    </row>
    <row r="978">
      <c r="G978" s="168"/>
      <c r="L978" s="168"/>
      <c r="N978" s="169"/>
    </row>
    <row r="979">
      <c r="G979" s="168"/>
      <c r="L979" s="168"/>
      <c r="N979" s="169"/>
    </row>
    <row r="980">
      <c r="G980" s="168"/>
      <c r="L980" s="168"/>
      <c r="N980" s="169"/>
    </row>
    <row r="981">
      <c r="G981" s="168"/>
      <c r="L981" s="168"/>
      <c r="N981" s="169"/>
    </row>
    <row r="982">
      <c r="G982" s="168"/>
      <c r="L982" s="168"/>
      <c r="N982" s="169"/>
    </row>
    <row r="983">
      <c r="G983" s="168"/>
      <c r="L983" s="168"/>
      <c r="N983" s="169"/>
    </row>
    <row r="984">
      <c r="G984" s="168"/>
      <c r="L984" s="168"/>
      <c r="N984" s="169"/>
    </row>
    <row r="985">
      <c r="G985" s="168"/>
      <c r="L985" s="168"/>
      <c r="N985" s="169"/>
    </row>
    <row r="986">
      <c r="G986" s="168"/>
      <c r="L986" s="168"/>
      <c r="N986" s="169"/>
    </row>
    <row r="987">
      <c r="G987" s="168"/>
      <c r="L987" s="168"/>
      <c r="N987" s="169"/>
    </row>
    <row r="988">
      <c r="G988" s="168"/>
      <c r="L988" s="168"/>
      <c r="N988" s="169"/>
    </row>
    <row r="989">
      <c r="G989" s="168"/>
      <c r="L989" s="168"/>
      <c r="N989" s="169"/>
    </row>
    <row r="990">
      <c r="G990" s="168"/>
      <c r="L990" s="168"/>
      <c r="N990" s="169"/>
    </row>
    <row r="991">
      <c r="G991" s="168"/>
      <c r="L991" s="168"/>
      <c r="N991" s="169"/>
    </row>
    <row r="992">
      <c r="G992" s="168"/>
      <c r="L992" s="168"/>
      <c r="N992" s="169"/>
    </row>
    <row r="993">
      <c r="G993" s="168"/>
      <c r="L993" s="168"/>
      <c r="N993" s="169"/>
    </row>
    <row r="994">
      <c r="G994" s="168"/>
      <c r="L994" s="168"/>
      <c r="N994" s="169"/>
    </row>
    <row r="995">
      <c r="G995" s="168"/>
      <c r="L995" s="168"/>
      <c r="N995" s="169"/>
    </row>
    <row r="996">
      <c r="G996" s="168"/>
      <c r="L996" s="168"/>
      <c r="N996" s="169"/>
    </row>
    <row r="997">
      <c r="G997" s="168"/>
      <c r="L997" s="168"/>
      <c r="N997" s="169"/>
    </row>
    <row r="998">
      <c r="G998" s="168"/>
      <c r="L998" s="168"/>
      <c r="N998" s="169"/>
    </row>
    <row r="999">
      <c r="G999" s="168"/>
      <c r="L999" s="168"/>
      <c r="N999" s="169"/>
    </row>
    <row r="1000">
      <c r="G1000" s="168"/>
      <c r="L1000" s="168"/>
      <c r="N1000" s="169"/>
    </row>
    <row r="1001">
      <c r="G1001" s="168"/>
      <c r="L1001" s="168"/>
      <c r="N1001" s="169"/>
    </row>
    <row r="1002">
      <c r="G1002" s="168"/>
      <c r="L1002" s="168"/>
      <c r="N1002" s="169"/>
    </row>
    <row r="1003">
      <c r="G1003" s="168"/>
      <c r="L1003" s="168"/>
      <c r="N1003" s="169"/>
    </row>
    <row r="1004">
      <c r="G1004" s="168"/>
      <c r="L1004" s="168"/>
      <c r="N1004" s="169"/>
    </row>
    <row r="1005">
      <c r="G1005" s="168"/>
      <c r="L1005" s="168"/>
      <c r="N1005" s="169"/>
    </row>
    <row r="1006">
      <c r="G1006" s="168"/>
      <c r="L1006" s="168"/>
      <c r="N1006" s="169"/>
    </row>
    <row r="1007">
      <c r="G1007" s="168"/>
      <c r="L1007" s="168"/>
      <c r="N1007" s="169"/>
    </row>
    <row r="1008">
      <c r="G1008" s="168"/>
      <c r="L1008" s="168"/>
      <c r="N1008" s="169"/>
    </row>
    <row r="1009">
      <c r="G1009" s="168"/>
      <c r="L1009" s="168"/>
      <c r="N1009" s="169"/>
    </row>
    <row r="1010">
      <c r="G1010" s="168"/>
      <c r="L1010" s="168"/>
      <c r="N1010" s="169"/>
    </row>
    <row r="1011">
      <c r="G1011" s="168"/>
      <c r="L1011" s="168"/>
      <c r="N1011" s="169"/>
    </row>
    <row r="1012">
      <c r="G1012" s="168"/>
      <c r="L1012" s="168"/>
      <c r="N1012" s="169"/>
    </row>
    <row r="1013">
      <c r="G1013" s="168"/>
      <c r="L1013" s="168"/>
      <c r="N1013" s="169"/>
    </row>
    <row r="1014">
      <c r="G1014" s="168"/>
      <c r="L1014" s="168"/>
      <c r="N1014" s="169"/>
    </row>
    <row r="1015">
      <c r="G1015" s="168"/>
      <c r="L1015" s="168"/>
      <c r="N1015" s="169"/>
    </row>
    <row r="1016">
      <c r="G1016" s="168"/>
      <c r="L1016" s="168"/>
      <c r="N1016" s="169"/>
    </row>
    <row r="1017">
      <c r="G1017" s="168"/>
      <c r="L1017" s="168"/>
      <c r="N1017" s="169"/>
    </row>
    <row r="1018">
      <c r="G1018" s="168"/>
      <c r="L1018" s="168"/>
      <c r="N1018" s="169"/>
    </row>
    <row r="1019">
      <c r="G1019" s="168"/>
      <c r="L1019" s="168"/>
      <c r="N1019" s="169"/>
    </row>
    <row r="1020">
      <c r="G1020" s="168"/>
      <c r="L1020" s="168"/>
      <c r="N1020" s="169"/>
    </row>
    <row r="1021">
      <c r="G1021" s="168"/>
      <c r="L1021" s="168"/>
      <c r="N1021" s="169"/>
    </row>
    <row r="1022">
      <c r="G1022" s="168"/>
      <c r="L1022" s="168"/>
      <c r="N1022" s="169"/>
    </row>
    <row r="1023">
      <c r="G1023" s="168"/>
      <c r="L1023" s="168"/>
      <c r="N1023" s="169"/>
    </row>
    <row r="1024">
      <c r="G1024" s="168"/>
      <c r="L1024" s="168"/>
      <c r="N1024" s="169"/>
    </row>
    <row r="1025">
      <c r="G1025" s="168"/>
      <c r="L1025" s="168"/>
      <c r="N1025" s="169"/>
    </row>
    <row r="1026">
      <c r="G1026" s="168"/>
      <c r="L1026" s="168"/>
      <c r="N1026" s="169"/>
    </row>
    <row r="1027">
      <c r="G1027" s="168"/>
      <c r="L1027" s="168"/>
      <c r="N1027" s="169"/>
    </row>
    <row r="1028">
      <c r="G1028" s="168"/>
      <c r="L1028" s="168"/>
      <c r="N1028" s="169"/>
    </row>
    <row r="1029">
      <c r="G1029" s="168"/>
      <c r="L1029" s="168"/>
      <c r="N1029" s="169"/>
    </row>
    <row r="1030">
      <c r="G1030" s="168"/>
      <c r="L1030" s="168"/>
      <c r="N1030" s="169"/>
    </row>
    <row r="1031">
      <c r="G1031" s="168"/>
      <c r="L1031" s="168"/>
      <c r="N1031" s="169"/>
    </row>
    <row r="1032">
      <c r="G1032" s="168"/>
      <c r="L1032" s="168"/>
      <c r="N1032" s="169"/>
    </row>
    <row r="1033">
      <c r="G1033" s="168"/>
      <c r="L1033" s="168"/>
      <c r="N1033" s="169"/>
    </row>
    <row r="1034">
      <c r="G1034" s="168"/>
      <c r="L1034" s="168"/>
      <c r="N1034" s="169"/>
    </row>
    <row r="1035">
      <c r="G1035" s="168"/>
      <c r="L1035" s="168"/>
      <c r="N1035" s="169"/>
    </row>
    <row r="1036">
      <c r="G1036" s="168"/>
      <c r="L1036" s="168"/>
      <c r="N1036" s="169"/>
    </row>
    <row r="1037">
      <c r="G1037" s="168"/>
      <c r="L1037" s="168"/>
      <c r="N1037" s="169"/>
    </row>
    <row r="1038">
      <c r="G1038" s="168"/>
      <c r="L1038" s="168"/>
      <c r="N1038" s="169"/>
    </row>
    <row r="1039">
      <c r="G1039" s="168"/>
      <c r="L1039" s="168"/>
      <c r="N1039" s="169"/>
    </row>
    <row r="1040">
      <c r="G1040" s="168"/>
      <c r="L1040" s="168"/>
      <c r="N1040" s="169"/>
    </row>
    <row r="1041">
      <c r="G1041" s="168"/>
      <c r="L1041" s="168"/>
      <c r="N1041" s="169"/>
    </row>
    <row r="1042">
      <c r="G1042" s="168"/>
      <c r="L1042" s="168"/>
      <c r="N1042" s="169"/>
    </row>
    <row r="1043">
      <c r="G1043" s="168"/>
      <c r="L1043" s="168"/>
      <c r="N1043" s="169"/>
    </row>
    <row r="1044">
      <c r="G1044" s="168"/>
      <c r="L1044" s="168"/>
      <c r="N1044" s="169"/>
    </row>
    <row r="1045">
      <c r="G1045" s="168"/>
      <c r="L1045" s="168"/>
      <c r="N1045" s="169"/>
    </row>
    <row r="1046">
      <c r="G1046" s="168"/>
      <c r="L1046" s="168"/>
      <c r="N1046" s="169"/>
    </row>
    <row r="1047">
      <c r="G1047" s="168"/>
      <c r="L1047" s="168"/>
      <c r="N1047" s="169"/>
    </row>
    <row r="1048">
      <c r="G1048" s="168"/>
      <c r="L1048" s="168"/>
      <c r="N1048" s="169"/>
    </row>
    <row r="1049">
      <c r="G1049" s="168"/>
      <c r="L1049" s="168"/>
      <c r="N1049" s="169"/>
    </row>
    <row r="1050">
      <c r="G1050" s="168"/>
      <c r="L1050" s="168"/>
      <c r="N1050" s="169"/>
    </row>
    <row r="1051">
      <c r="G1051" s="168"/>
      <c r="L1051" s="168"/>
      <c r="N1051" s="169"/>
    </row>
    <row r="1052">
      <c r="G1052" s="168"/>
      <c r="L1052" s="168"/>
      <c r="N1052" s="169"/>
    </row>
    <row r="1053">
      <c r="G1053" s="168"/>
      <c r="L1053" s="168"/>
      <c r="N1053" s="169"/>
    </row>
    <row r="1054">
      <c r="G1054" s="168"/>
      <c r="L1054" s="168"/>
      <c r="N1054" s="169"/>
    </row>
    <row r="1055">
      <c r="G1055" s="168"/>
      <c r="L1055" s="168"/>
      <c r="N1055" s="169"/>
    </row>
    <row r="1056">
      <c r="G1056" s="168"/>
      <c r="L1056" s="168"/>
      <c r="N1056" s="169"/>
    </row>
    <row r="1057">
      <c r="G1057" s="168"/>
      <c r="L1057" s="168"/>
      <c r="N1057" s="169"/>
    </row>
    <row r="1058">
      <c r="G1058" s="168"/>
      <c r="L1058" s="168"/>
      <c r="N1058" s="169"/>
    </row>
    <row r="1059">
      <c r="G1059" s="168"/>
      <c r="L1059" s="168"/>
      <c r="N1059" s="169"/>
    </row>
    <row r="1060">
      <c r="G1060" s="168"/>
      <c r="L1060" s="168"/>
      <c r="N1060" s="169"/>
    </row>
    <row r="1061">
      <c r="G1061" s="168"/>
      <c r="L1061" s="168"/>
      <c r="N1061" s="169"/>
    </row>
    <row r="1062">
      <c r="G1062" s="168"/>
      <c r="L1062" s="168"/>
      <c r="N1062" s="169"/>
    </row>
    <row r="1063">
      <c r="G1063" s="168"/>
      <c r="L1063" s="168"/>
      <c r="N1063" s="169"/>
    </row>
    <row r="1064">
      <c r="G1064" s="168"/>
      <c r="L1064" s="168"/>
      <c r="N1064" s="169"/>
    </row>
    <row r="1065">
      <c r="G1065" s="168"/>
      <c r="L1065" s="168"/>
      <c r="N1065" s="169"/>
    </row>
    <row r="1066">
      <c r="G1066" s="168"/>
      <c r="L1066" s="168"/>
      <c r="N1066" s="169"/>
    </row>
    <row r="1067">
      <c r="G1067" s="168"/>
      <c r="L1067" s="168"/>
      <c r="N1067" s="169"/>
    </row>
    <row r="1068">
      <c r="G1068" s="168"/>
      <c r="L1068" s="168"/>
      <c r="N1068" s="169"/>
    </row>
    <row r="1069">
      <c r="G1069" s="168"/>
      <c r="L1069" s="168"/>
      <c r="N1069" s="169"/>
    </row>
    <row r="1070">
      <c r="G1070" s="168"/>
      <c r="L1070" s="168"/>
      <c r="N1070" s="169"/>
    </row>
    <row r="1071">
      <c r="G1071" s="168"/>
      <c r="L1071" s="168"/>
      <c r="N1071" s="169"/>
    </row>
    <row r="1072">
      <c r="G1072" s="168"/>
      <c r="L1072" s="168"/>
      <c r="N1072" s="169"/>
    </row>
    <row r="1073">
      <c r="G1073" s="168"/>
      <c r="L1073" s="168"/>
      <c r="N1073" s="169"/>
    </row>
    <row r="1074">
      <c r="G1074" s="168"/>
      <c r="L1074" s="168"/>
      <c r="N1074" s="169"/>
    </row>
    <row r="1075">
      <c r="G1075" s="168"/>
      <c r="L1075" s="168"/>
      <c r="N1075" s="169"/>
    </row>
    <row r="1076">
      <c r="G1076" s="168"/>
      <c r="L1076" s="168"/>
      <c r="N1076" s="169"/>
    </row>
    <row r="1077">
      <c r="G1077" s="168"/>
      <c r="L1077" s="168"/>
      <c r="N1077" s="169"/>
    </row>
    <row r="1078">
      <c r="G1078" s="168"/>
      <c r="L1078" s="168"/>
      <c r="N1078" s="169"/>
    </row>
    <row r="1079">
      <c r="G1079" s="168"/>
      <c r="L1079" s="168"/>
      <c r="N1079" s="169"/>
    </row>
    <row r="1080">
      <c r="G1080" s="168"/>
      <c r="L1080" s="168"/>
      <c r="N1080" s="169"/>
    </row>
    <row r="1081">
      <c r="G1081" s="168"/>
      <c r="L1081" s="168"/>
      <c r="N1081" s="169"/>
    </row>
    <row r="1082">
      <c r="G1082" s="168"/>
      <c r="L1082" s="168"/>
      <c r="N1082" s="169"/>
    </row>
    <row r="1083">
      <c r="G1083" s="168"/>
      <c r="L1083" s="168"/>
      <c r="N1083" s="169"/>
    </row>
    <row r="1084">
      <c r="G1084" s="168"/>
      <c r="L1084" s="168"/>
      <c r="N1084" s="169"/>
    </row>
    <row r="1085">
      <c r="G1085" s="168"/>
      <c r="L1085" s="168"/>
      <c r="N1085" s="169"/>
    </row>
    <row r="1086">
      <c r="G1086" s="168"/>
      <c r="L1086" s="168"/>
      <c r="N1086" s="169"/>
    </row>
    <row r="1087">
      <c r="G1087" s="168"/>
      <c r="L1087" s="168"/>
      <c r="N1087" s="169"/>
    </row>
    <row r="1088">
      <c r="G1088" s="168"/>
      <c r="L1088" s="168"/>
      <c r="N1088" s="169"/>
    </row>
    <row r="1089">
      <c r="G1089" s="168"/>
      <c r="L1089" s="168"/>
      <c r="N1089" s="169"/>
    </row>
    <row r="1090">
      <c r="G1090" s="168"/>
      <c r="L1090" s="168"/>
      <c r="N1090" s="169"/>
    </row>
    <row r="1091">
      <c r="G1091" s="168"/>
      <c r="L1091" s="168"/>
      <c r="N1091" s="169"/>
    </row>
    <row r="1092">
      <c r="G1092" s="168"/>
      <c r="L1092" s="168"/>
      <c r="N1092" s="169"/>
    </row>
    <row r="1093">
      <c r="G1093" s="168"/>
      <c r="L1093" s="168"/>
      <c r="N1093" s="169"/>
    </row>
    <row r="1094">
      <c r="G1094" s="168"/>
      <c r="L1094" s="168"/>
      <c r="N1094" s="169"/>
    </row>
    <row r="1095">
      <c r="G1095" s="168"/>
      <c r="L1095" s="168"/>
      <c r="N1095" s="169"/>
    </row>
    <row r="1096">
      <c r="G1096" s="168"/>
      <c r="L1096" s="168"/>
      <c r="N1096" s="169"/>
    </row>
    <row r="1097">
      <c r="G1097" s="168"/>
      <c r="L1097" s="168"/>
      <c r="N1097" s="169"/>
    </row>
    <row r="1098">
      <c r="G1098" s="168"/>
      <c r="L1098" s="168"/>
      <c r="N1098" s="169"/>
    </row>
    <row r="1099">
      <c r="G1099" s="168"/>
      <c r="L1099" s="168"/>
      <c r="N1099" s="169"/>
    </row>
    <row r="1100">
      <c r="G1100" s="168"/>
      <c r="L1100" s="168"/>
      <c r="N1100" s="169"/>
    </row>
    <row r="1101">
      <c r="G1101" s="168"/>
      <c r="L1101" s="168"/>
      <c r="N1101" s="169"/>
    </row>
    <row r="1102">
      <c r="G1102" s="168"/>
      <c r="L1102" s="168"/>
      <c r="N1102" s="169"/>
    </row>
    <row r="1103">
      <c r="G1103" s="168"/>
      <c r="L1103" s="168"/>
      <c r="N1103" s="169"/>
    </row>
    <row r="1104">
      <c r="G1104" s="168"/>
      <c r="L1104" s="168"/>
      <c r="N1104" s="169"/>
    </row>
    <row r="1105">
      <c r="G1105" s="168"/>
      <c r="L1105" s="168"/>
      <c r="N1105" s="169"/>
    </row>
    <row r="1106">
      <c r="G1106" s="168"/>
      <c r="L1106" s="168"/>
      <c r="N1106" s="169"/>
    </row>
    <row r="1107">
      <c r="G1107" s="168"/>
      <c r="L1107" s="168"/>
      <c r="N1107" s="169"/>
    </row>
    <row r="1108">
      <c r="G1108" s="168"/>
      <c r="L1108" s="168"/>
      <c r="N1108" s="169"/>
    </row>
    <row r="1109">
      <c r="G1109" s="168"/>
      <c r="L1109" s="168"/>
      <c r="N1109" s="169"/>
    </row>
    <row r="1110">
      <c r="G1110" s="168"/>
      <c r="L1110" s="168"/>
      <c r="N1110" s="169"/>
    </row>
    <row r="1111">
      <c r="G1111" s="168"/>
      <c r="L1111" s="168"/>
      <c r="N1111" s="169"/>
    </row>
    <row r="1112">
      <c r="G1112" s="168"/>
      <c r="L1112" s="168"/>
      <c r="N1112" s="169"/>
    </row>
    <row r="1113">
      <c r="G1113" s="168"/>
      <c r="L1113" s="168"/>
      <c r="N1113" s="169"/>
    </row>
    <row r="1114">
      <c r="G1114" s="168"/>
      <c r="L1114" s="168"/>
      <c r="N1114" s="169"/>
    </row>
    <row r="1115">
      <c r="G1115" s="168"/>
      <c r="L1115" s="168"/>
      <c r="N1115" s="169"/>
    </row>
    <row r="1116">
      <c r="G1116" s="168"/>
      <c r="L1116" s="168"/>
      <c r="N1116" s="169"/>
    </row>
    <row r="1117">
      <c r="G1117" s="168"/>
      <c r="L1117" s="168"/>
      <c r="N1117" s="169"/>
    </row>
    <row r="1118">
      <c r="G1118" s="168"/>
      <c r="L1118" s="168"/>
      <c r="N1118" s="169"/>
    </row>
    <row r="1119">
      <c r="G1119" s="168"/>
      <c r="L1119" s="168"/>
      <c r="N1119" s="169"/>
    </row>
    <row r="1120">
      <c r="G1120" s="168"/>
      <c r="L1120" s="168"/>
      <c r="N1120" s="169"/>
    </row>
    <row r="1121">
      <c r="G1121" s="168"/>
      <c r="L1121" s="168"/>
      <c r="N1121" s="169"/>
    </row>
    <row r="1122">
      <c r="G1122" s="168"/>
      <c r="L1122" s="168"/>
      <c r="N1122" s="169"/>
    </row>
    <row r="1123">
      <c r="G1123" s="168"/>
      <c r="L1123" s="168"/>
      <c r="N1123" s="169"/>
    </row>
    <row r="1124">
      <c r="G1124" s="168"/>
      <c r="L1124" s="168"/>
      <c r="N1124" s="169"/>
    </row>
    <row r="1125">
      <c r="G1125" s="168"/>
      <c r="L1125" s="168"/>
      <c r="N1125" s="169"/>
    </row>
    <row r="1126">
      <c r="G1126" s="168"/>
      <c r="L1126" s="168"/>
      <c r="N1126" s="169"/>
    </row>
    <row r="1127">
      <c r="G1127" s="168"/>
      <c r="L1127" s="168"/>
      <c r="N1127" s="169"/>
    </row>
    <row r="1128">
      <c r="G1128" s="168"/>
      <c r="L1128" s="168"/>
      <c r="N1128" s="169"/>
    </row>
    <row r="1129">
      <c r="G1129" s="168"/>
      <c r="L1129" s="168"/>
      <c r="N1129" s="169"/>
    </row>
    <row r="1130">
      <c r="G1130" s="168"/>
      <c r="L1130" s="168"/>
      <c r="N1130" s="169"/>
    </row>
    <row r="1131">
      <c r="G1131" s="168"/>
      <c r="L1131" s="168"/>
      <c r="N1131" s="169"/>
    </row>
    <row r="1132">
      <c r="G1132" s="168"/>
      <c r="L1132" s="168"/>
      <c r="N1132" s="169"/>
    </row>
    <row r="1133">
      <c r="G1133" s="168"/>
      <c r="L1133" s="168"/>
      <c r="N1133" s="169"/>
    </row>
    <row r="1134">
      <c r="G1134" s="168"/>
      <c r="L1134" s="168"/>
      <c r="N1134" s="169"/>
    </row>
    <row r="1135">
      <c r="G1135" s="168"/>
      <c r="L1135" s="168"/>
      <c r="N1135" s="169"/>
    </row>
    <row r="1136">
      <c r="G1136" s="168"/>
      <c r="L1136" s="168"/>
      <c r="N1136" s="169"/>
    </row>
    <row r="1137">
      <c r="G1137" s="168"/>
      <c r="L1137" s="168"/>
      <c r="N1137" s="169"/>
    </row>
    <row r="1138">
      <c r="G1138" s="168"/>
      <c r="L1138" s="168"/>
      <c r="N1138" s="169"/>
    </row>
  </sheetData>
  <mergeCells count="2">
    <mergeCell ref="A1:N1"/>
    <mergeCell ref="A320:L3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74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  <c r="P2" s="80">
        <f>185231+340</f>
        <v>185571</v>
      </c>
    </row>
    <row r="3">
      <c r="A3" s="70">
        <v>46057.0</v>
      </c>
      <c r="B3" s="36" t="s">
        <v>11</v>
      </c>
      <c r="C3" s="249">
        <v>200012.0</v>
      </c>
      <c r="D3" s="249">
        <v>200310.0</v>
      </c>
      <c r="E3" s="12">
        <f t="shared" ref="E3:E10" si="1">D3-C3</f>
        <v>298</v>
      </c>
      <c r="F3" s="39">
        <v>40.0</v>
      </c>
      <c r="G3" s="14">
        <f t="shared" ref="G3:G10" si="2">(F3/E3)*100</f>
        <v>13.42281879</v>
      </c>
      <c r="H3" s="57">
        <v>29204.0</v>
      </c>
      <c r="I3" s="57">
        <v>29582.0</v>
      </c>
      <c r="J3" s="37">
        <f t="shared" ref="J3:J10" si="3">I3-H3</f>
        <v>378</v>
      </c>
      <c r="K3" s="81">
        <f t="shared" ref="K3:K10" si="4">F3</f>
        <v>40</v>
      </c>
      <c r="L3" s="71">
        <f t="shared" ref="L3:L10" si="5">(K3/J3)*100</f>
        <v>10.58201058</v>
      </c>
      <c r="M3" s="72">
        <v>18170.0</v>
      </c>
      <c r="N3" s="131">
        <f t="shared" ref="N3:N10" si="6">F3*M3</f>
        <v>726800</v>
      </c>
    </row>
    <row r="4">
      <c r="A4" s="35">
        <v>46062.0</v>
      </c>
      <c r="B4" s="46" t="s">
        <v>11</v>
      </c>
      <c r="C4" s="249">
        <v>200310.0</v>
      </c>
      <c r="D4" s="52">
        <v>200597.0</v>
      </c>
      <c r="E4" s="12">
        <f t="shared" si="1"/>
        <v>287</v>
      </c>
      <c r="F4" s="47">
        <v>40.0</v>
      </c>
      <c r="G4" s="14">
        <f t="shared" si="2"/>
        <v>13.93728223</v>
      </c>
      <c r="H4" s="57">
        <v>29582.0</v>
      </c>
      <c r="I4" s="40">
        <v>29852.0</v>
      </c>
      <c r="J4" s="37">
        <f t="shared" si="3"/>
        <v>270</v>
      </c>
      <c r="K4" s="52">
        <f t="shared" si="4"/>
        <v>40</v>
      </c>
      <c r="L4" s="48">
        <f t="shared" si="5"/>
        <v>14.81481481</v>
      </c>
      <c r="M4" s="50">
        <v>18450.0</v>
      </c>
      <c r="N4" s="49">
        <f t="shared" si="6"/>
        <v>738000</v>
      </c>
      <c r="O4" s="197">
        <v>1.0</v>
      </c>
      <c r="P4" s="250" t="s">
        <v>12</v>
      </c>
      <c r="Q4" s="251">
        <f>N19</f>
        <v>4569180</v>
      </c>
      <c r="R4" s="251">
        <f t="shared" ref="R4:R15" si="7">Q4</f>
        <v>4569180</v>
      </c>
    </row>
    <row r="5">
      <c r="A5" s="35">
        <v>46066.0</v>
      </c>
      <c r="B5" s="46" t="s">
        <v>11</v>
      </c>
      <c r="C5" s="52">
        <v>200597.0</v>
      </c>
      <c r="D5" s="52">
        <v>200887.0</v>
      </c>
      <c r="E5" s="12">
        <f t="shared" si="1"/>
        <v>290</v>
      </c>
      <c r="F5" s="54">
        <v>40.0</v>
      </c>
      <c r="G5" s="14">
        <f t="shared" si="2"/>
        <v>13.79310345</v>
      </c>
      <c r="H5" s="40">
        <v>29852.0</v>
      </c>
      <c r="I5" s="40">
        <v>30224.0</v>
      </c>
      <c r="J5" s="37">
        <f t="shared" si="3"/>
        <v>372</v>
      </c>
      <c r="K5" s="52">
        <f t="shared" si="4"/>
        <v>40</v>
      </c>
      <c r="L5" s="48">
        <f t="shared" si="5"/>
        <v>10.75268817</v>
      </c>
      <c r="M5" s="50">
        <v>18460.0</v>
      </c>
      <c r="N5" s="49">
        <f t="shared" si="6"/>
        <v>738400</v>
      </c>
      <c r="O5" s="197">
        <v>2.0</v>
      </c>
      <c r="P5" s="250" t="s">
        <v>13</v>
      </c>
      <c r="Q5" s="251">
        <f>N29</f>
        <v>3936790</v>
      </c>
      <c r="R5" s="251">
        <f t="shared" si="7"/>
        <v>3936790</v>
      </c>
    </row>
    <row r="6">
      <c r="A6" s="35">
        <v>46078.0</v>
      </c>
      <c r="B6" s="46" t="s">
        <v>11</v>
      </c>
      <c r="C6" s="52">
        <v>200887.0</v>
      </c>
      <c r="D6" s="52">
        <v>201139.0</v>
      </c>
      <c r="E6" s="12">
        <f t="shared" si="1"/>
        <v>252</v>
      </c>
      <c r="F6" s="54">
        <v>35.0</v>
      </c>
      <c r="G6" s="14">
        <f t="shared" si="2"/>
        <v>13.88888889</v>
      </c>
      <c r="H6" s="40">
        <v>30224.0</v>
      </c>
      <c r="I6" s="40">
        <v>30467.0</v>
      </c>
      <c r="J6" s="37">
        <f t="shared" si="3"/>
        <v>243</v>
      </c>
      <c r="K6" s="52">
        <f t="shared" si="4"/>
        <v>35</v>
      </c>
      <c r="L6" s="48">
        <f t="shared" si="5"/>
        <v>14.40329218</v>
      </c>
      <c r="M6" s="50">
        <v>18520.0</v>
      </c>
      <c r="N6" s="49">
        <f t="shared" si="6"/>
        <v>648200</v>
      </c>
      <c r="O6" s="197">
        <v>3.0</v>
      </c>
      <c r="P6" s="250" t="s">
        <v>14</v>
      </c>
      <c r="Q6" s="251">
        <f>N38</f>
        <v>3139700</v>
      </c>
      <c r="R6" s="251">
        <f t="shared" si="7"/>
        <v>3139700</v>
      </c>
    </row>
    <row r="7">
      <c r="A7" s="35">
        <v>46081.0</v>
      </c>
      <c r="B7" s="46" t="s">
        <v>11</v>
      </c>
      <c r="C7" s="52">
        <v>201139.0</v>
      </c>
      <c r="D7" s="52">
        <v>201481.0</v>
      </c>
      <c r="E7" s="12">
        <f t="shared" si="1"/>
        <v>342</v>
      </c>
      <c r="F7" s="54">
        <v>40.0</v>
      </c>
      <c r="G7" s="14">
        <f t="shared" si="2"/>
        <v>11.69590643</v>
      </c>
      <c r="H7" s="40">
        <v>30467.0</v>
      </c>
      <c r="I7" s="40">
        <v>30842.0</v>
      </c>
      <c r="J7" s="37">
        <f t="shared" si="3"/>
        <v>375</v>
      </c>
      <c r="K7" s="52">
        <f t="shared" si="4"/>
        <v>40</v>
      </c>
      <c r="L7" s="48">
        <f t="shared" si="5"/>
        <v>10.66666667</v>
      </c>
      <c r="M7" s="252">
        <v>19270.0</v>
      </c>
      <c r="N7" s="49">
        <f t="shared" si="6"/>
        <v>770800</v>
      </c>
      <c r="O7" s="197">
        <v>4.0</v>
      </c>
      <c r="P7" s="250" t="s">
        <v>15</v>
      </c>
      <c r="Q7" s="251">
        <f>N48</f>
        <v>3575240</v>
      </c>
      <c r="R7" s="251">
        <f t="shared" si="7"/>
        <v>3575240</v>
      </c>
    </row>
    <row r="8">
      <c r="A8" s="35"/>
      <c r="B8" s="46" t="s">
        <v>11</v>
      </c>
      <c r="C8" s="52"/>
      <c r="D8" s="52"/>
      <c r="E8" s="12">
        <f t="shared" si="1"/>
        <v>0</v>
      </c>
      <c r="F8" s="54"/>
      <c r="G8" s="14" t="str">
        <f t="shared" si="2"/>
        <v>#DIV/0!</v>
      </c>
      <c r="H8" s="40"/>
      <c r="I8" s="40"/>
      <c r="J8" s="37">
        <f t="shared" si="3"/>
        <v>0</v>
      </c>
      <c r="K8" s="52" t="str">
        <f t="shared" si="4"/>
        <v/>
      </c>
      <c r="L8" s="48" t="str">
        <f t="shared" si="5"/>
        <v>#DIV/0!</v>
      </c>
      <c r="M8" s="252"/>
      <c r="N8" s="49">
        <f t="shared" si="6"/>
        <v>0</v>
      </c>
      <c r="O8" s="197">
        <v>5.0</v>
      </c>
      <c r="P8" s="250" t="s">
        <v>16</v>
      </c>
      <c r="Q8" s="251">
        <f>N60</f>
        <v>3999170</v>
      </c>
      <c r="R8" s="251">
        <f t="shared" si="7"/>
        <v>3999170</v>
      </c>
    </row>
    <row r="9">
      <c r="A9" s="35"/>
      <c r="B9" s="46" t="s">
        <v>11</v>
      </c>
      <c r="C9" s="52"/>
      <c r="D9" s="249"/>
      <c r="E9" s="12">
        <f t="shared" si="1"/>
        <v>0</v>
      </c>
      <c r="F9" s="253"/>
      <c r="G9" s="14" t="str">
        <f t="shared" si="2"/>
        <v>#DIV/0!</v>
      </c>
      <c r="H9" s="40"/>
      <c r="I9" s="57"/>
      <c r="J9" s="37">
        <f t="shared" si="3"/>
        <v>0</v>
      </c>
      <c r="K9" s="52" t="str">
        <f t="shared" si="4"/>
        <v/>
      </c>
      <c r="L9" s="48" t="str">
        <f t="shared" si="5"/>
        <v>#DIV/0!</v>
      </c>
      <c r="M9" s="254"/>
      <c r="N9" s="49">
        <f t="shared" si="6"/>
        <v>0</v>
      </c>
      <c r="O9" s="197">
        <v>6.0</v>
      </c>
      <c r="P9" s="250" t="s">
        <v>17</v>
      </c>
      <c r="Q9" s="251">
        <f>N11</f>
        <v>3622200</v>
      </c>
      <c r="R9" s="251">
        <f t="shared" si="7"/>
        <v>3622200</v>
      </c>
    </row>
    <row r="10">
      <c r="A10" s="35"/>
      <c r="B10" s="83" t="s">
        <v>11</v>
      </c>
      <c r="C10" s="249"/>
      <c r="D10" s="249"/>
      <c r="E10" s="25">
        <f t="shared" si="1"/>
        <v>0</v>
      </c>
      <c r="F10" s="253"/>
      <c r="G10" s="56" t="str">
        <f t="shared" si="2"/>
        <v>#DIV/0!</v>
      </c>
      <c r="H10" s="55"/>
      <c r="I10" s="85"/>
      <c r="J10" s="37">
        <f t="shared" si="3"/>
        <v>0</v>
      </c>
      <c r="K10" s="52" t="str">
        <f t="shared" si="4"/>
        <v/>
      </c>
      <c r="L10" s="48" t="str">
        <f t="shared" si="5"/>
        <v>#DIV/0!</v>
      </c>
      <c r="M10" s="254"/>
      <c r="N10" s="59">
        <f t="shared" si="6"/>
        <v>0</v>
      </c>
      <c r="O10" s="197">
        <v>7.0</v>
      </c>
      <c r="P10" s="250" t="s">
        <v>18</v>
      </c>
      <c r="Q10" s="251">
        <f>N70</f>
        <v>3366900</v>
      </c>
      <c r="R10" s="251">
        <f t="shared" si="7"/>
        <v>3366900</v>
      </c>
    </row>
    <row r="11">
      <c r="A11" s="62"/>
      <c r="B11" s="63"/>
      <c r="C11" s="62"/>
      <c r="D11" s="64" t="s">
        <v>19</v>
      </c>
      <c r="E11" s="64">
        <f t="shared" ref="E11:F11" si="8">sum(E3:E10)</f>
        <v>1469</v>
      </c>
      <c r="F11" s="64">
        <f t="shared" si="8"/>
        <v>195</v>
      </c>
      <c r="G11" s="65" t="str">
        <f>average(G3:G10)</f>
        <v>#DIV/0!</v>
      </c>
      <c r="H11" s="62"/>
      <c r="I11" s="66"/>
      <c r="J11" s="64">
        <f t="shared" ref="J11:K11" si="9">sum(J3:J10)</f>
        <v>1638</v>
      </c>
      <c r="K11" s="64">
        <f t="shared" si="9"/>
        <v>195</v>
      </c>
      <c r="L11" s="65" t="str">
        <f>average(L3:L10)</f>
        <v>#DIV/0!</v>
      </c>
      <c r="M11" s="68"/>
      <c r="N11" s="69">
        <f>sum(N3:N10)</f>
        <v>3622200</v>
      </c>
      <c r="O11" s="197">
        <v>8.0</v>
      </c>
      <c r="P11" s="250" t="s">
        <v>20</v>
      </c>
      <c r="Q11" s="251">
        <f>N78</f>
        <v>3472630</v>
      </c>
      <c r="R11" s="251">
        <f t="shared" si="7"/>
        <v>3472630</v>
      </c>
    </row>
    <row r="12">
      <c r="A12" s="35">
        <v>46055.0</v>
      </c>
      <c r="B12" s="36" t="s">
        <v>12</v>
      </c>
      <c r="C12" s="37">
        <v>163003.0</v>
      </c>
      <c r="D12" s="37">
        <v>163354.0</v>
      </c>
      <c r="E12" s="38">
        <f t="shared" ref="E12:E18" si="10">D12-C12</f>
        <v>351</v>
      </c>
      <c r="F12" s="39">
        <v>50.0</v>
      </c>
      <c r="G12" s="14">
        <f t="shared" ref="G12:G18" si="11">(F12/E12)*100</f>
        <v>14.24501425</v>
      </c>
      <c r="H12" s="40">
        <v>29978.0</v>
      </c>
      <c r="I12" s="40">
        <v>30376.0</v>
      </c>
      <c r="J12" s="41">
        <f t="shared" ref="J12:J18" si="12">I12-H12</f>
        <v>398</v>
      </c>
      <c r="K12" s="81">
        <f t="shared" ref="K12:K18" si="13">F12</f>
        <v>50</v>
      </c>
      <c r="L12" s="42">
        <f t="shared" ref="L12:L18" si="14">(K12/J12)*100</f>
        <v>12.56281407</v>
      </c>
      <c r="M12" s="43">
        <v>18170.0</v>
      </c>
      <c r="N12" s="44">
        <f t="shared" ref="N12:N18" si="15">F12*M12</f>
        <v>908500</v>
      </c>
      <c r="O12" s="197">
        <v>9.0</v>
      </c>
      <c r="P12" s="250" t="s">
        <v>21</v>
      </c>
      <c r="Q12" s="251">
        <f>N86</f>
        <v>4342670</v>
      </c>
      <c r="R12" s="251">
        <f t="shared" si="7"/>
        <v>4342670</v>
      </c>
    </row>
    <row r="13">
      <c r="A13" s="45">
        <v>46058.0</v>
      </c>
      <c r="B13" s="46" t="s">
        <v>12</v>
      </c>
      <c r="C13" s="37">
        <v>163354.0</v>
      </c>
      <c r="D13" s="37">
        <v>163709.0</v>
      </c>
      <c r="E13" s="12">
        <f t="shared" si="10"/>
        <v>355</v>
      </c>
      <c r="F13" s="47">
        <v>53.0</v>
      </c>
      <c r="G13" s="14">
        <f t="shared" si="11"/>
        <v>14.92957746</v>
      </c>
      <c r="H13" s="40">
        <v>30376.0</v>
      </c>
      <c r="I13" s="40">
        <v>30758.0</v>
      </c>
      <c r="J13" s="37">
        <f t="shared" si="12"/>
        <v>382</v>
      </c>
      <c r="K13" s="52">
        <f t="shared" si="13"/>
        <v>53</v>
      </c>
      <c r="L13" s="48">
        <f t="shared" si="14"/>
        <v>13.87434555</v>
      </c>
      <c r="M13" s="43">
        <v>18170.0</v>
      </c>
      <c r="N13" s="49">
        <f t="shared" si="15"/>
        <v>963010</v>
      </c>
      <c r="O13" s="197">
        <v>10.0</v>
      </c>
      <c r="P13" s="250" t="s">
        <v>22</v>
      </c>
      <c r="Q13" s="251">
        <f>N94</f>
        <v>3638050</v>
      </c>
      <c r="R13" s="251">
        <f t="shared" si="7"/>
        <v>3638050</v>
      </c>
    </row>
    <row r="14">
      <c r="A14" s="45">
        <v>46063.0</v>
      </c>
      <c r="B14" s="46" t="s">
        <v>12</v>
      </c>
      <c r="C14" s="37">
        <v>163709.0</v>
      </c>
      <c r="D14" s="37">
        <v>164067.0</v>
      </c>
      <c r="E14" s="12">
        <f t="shared" si="10"/>
        <v>358</v>
      </c>
      <c r="F14" s="47">
        <v>53.0</v>
      </c>
      <c r="G14" s="14">
        <f t="shared" si="11"/>
        <v>14.80446927</v>
      </c>
      <c r="H14" s="40">
        <v>30758.0</v>
      </c>
      <c r="I14" s="40">
        <v>31170.0</v>
      </c>
      <c r="J14" s="37">
        <f t="shared" si="12"/>
        <v>412</v>
      </c>
      <c r="K14" s="52">
        <f t="shared" si="13"/>
        <v>53</v>
      </c>
      <c r="L14" s="48">
        <f t="shared" si="14"/>
        <v>12.86407767</v>
      </c>
      <c r="M14" s="50">
        <v>18450.0</v>
      </c>
      <c r="N14" s="49">
        <f t="shared" si="15"/>
        <v>977850</v>
      </c>
      <c r="O14" s="197">
        <v>11.0</v>
      </c>
      <c r="P14" s="250" t="s">
        <v>23</v>
      </c>
      <c r="Q14" s="251">
        <f>N101</f>
        <v>3930100</v>
      </c>
      <c r="R14" s="251">
        <f t="shared" si="7"/>
        <v>3930100</v>
      </c>
    </row>
    <row r="15">
      <c r="A15" s="45">
        <v>46076.0</v>
      </c>
      <c r="B15" s="51" t="s">
        <v>12</v>
      </c>
      <c r="C15" s="37">
        <v>164067.0</v>
      </c>
      <c r="D15" s="52">
        <v>164380.0</v>
      </c>
      <c r="E15" s="53">
        <f t="shared" si="10"/>
        <v>313</v>
      </c>
      <c r="F15" s="54">
        <v>45.0</v>
      </c>
      <c r="G15" s="14">
        <f t="shared" si="11"/>
        <v>14.37699681</v>
      </c>
      <c r="H15" s="40">
        <v>31170.0</v>
      </c>
      <c r="I15" s="40">
        <v>31499.0</v>
      </c>
      <c r="J15" s="37">
        <f t="shared" si="12"/>
        <v>329</v>
      </c>
      <c r="K15" s="52">
        <f t="shared" si="13"/>
        <v>45</v>
      </c>
      <c r="L15" s="48">
        <f t="shared" si="14"/>
        <v>13.67781155</v>
      </c>
      <c r="M15" s="50">
        <v>18520.0</v>
      </c>
      <c r="N15" s="49">
        <f t="shared" si="15"/>
        <v>833400</v>
      </c>
      <c r="O15" s="197">
        <v>12.0</v>
      </c>
      <c r="P15" s="250" t="s">
        <v>24</v>
      </c>
      <c r="Q15" s="251">
        <f>N109</f>
        <v>4132630</v>
      </c>
      <c r="R15" s="251">
        <f t="shared" si="7"/>
        <v>4132630</v>
      </c>
    </row>
    <row r="16">
      <c r="A16" s="45">
        <v>46080.0</v>
      </c>
      <c r="B16" s="46" t="s">
        <v>12</v>
      </c>
      <c r="C16" s="52">
        <v>164380.0</v>
      </c>
      <c r="D16" s="37">
        <v>164687.0</v>
      </c>
      <c r="E16" s="12">
        <f t="shared" si="10"/>
        <v>307</v>
      </c>
      <c r="F16" s="47">
        <v>46.0</v>
      </c>
      <c r="G16" s="14">
        <f t="shared" si="11"/>
        <v>14.98371336</v>
      </c>
      <c r="H16" s="40">
        <v>31499.0</v>
      </c>
      <c r="I16" s="40">
        <v>31857.0</v>
      </c>
      <c r="J16" s="37">
        <f t="shared" si="12"/>
        <v>358</v>
      </c>
      <c r="K16" s="52">
        <f t="shared" si="13"/>
        <v>46</v>
      </c>
      <c r="L16" s="48">
        <f t="shared" si="14"/>
        <v>12.84916201</v>
      </c>
      <c r="M16" s="50">
        <v>19270.0</v>
      </c>
      <c r="N16" s="49">
        <f t="shared" si="15"/>
        <v>886420</v>
      </c>
      <c r="O16" s="197">
        <v>13.0</v>
      </c>
      <c r="P16" s="250" t="s">
        <v>25</v>
      </c>
      <c r="Q16" s="251">
        <f>N117</f>
        <v>4297210</v>
      </c>
      <c r="R16" s="251">
        <f>N117</f>
        <v>4297210</v>
      </c>
    </row>
    <row r="17">
      <c r="A17" s="45"/>
      <c r="B17" s="46" t="s">
        <v>12</v>
      </c>
      <c r="C17" s="37"/>
      <c r="D17" s="37"/>
      <c r="E17" s="12">
        <f t="shared" si="10"/>
        <v>0</v>
      </c>
      <c r="F17" s="47"/>
      <c r="G17" s="14" t="str">
        <f t="shared" si="11"/>
        <v>#DIV/0!</v>
      </c>
      <c r="H17" s="40"/>
      <c r="I17" s="40"/>
      <c r="J17" s="37">
        <f t="shared" si="12"/>
        <v>0</v>
      </c>
      <c r="K17" s="52" t="str">
        <f t="shared" si="13"/>
        <v/>
      </c>
      <c r="L17" s="48" t="str">
        <f t="shared" si="14"/>
        <v>#DIV/0!</v>
      </c>
      <c r="M17" s="50"/>
      <c r="N17" s="49">
        <f t="shared" si="15"/>
        <v>0</v>
      </c>
      <c r="O17" s="197">
        <v>14.0</v>
      </c>
      <c r="P17" s="250" t="s">
        <v>26</v>
      </c>
      <c r="Q17" s="251">
        <f>N125</f>
        <v>4323900</v>
      </c>
      <c r="R17" s="251">
        <f t="shared" ref="R17:R28" si="16">Q17</f>
        <v>4323900</v>
      </c>
    </row>
    <row r="18">
      <c r="A18" s="45"/>
      <c r="B18" s="46" t="s">
        <v>12</v>
      </c>
      <c r="C18" s="37"/>
      <c r="D18" s="55"/>
      <c r="E18" s="25">
        <f t="shared" si="10"/>
        <v>0</v>
      </c>
      <c r="F18" s="47"/>
      <c r="G18" s="56" t="str">
        <f t="shared" si="11"/>
        <v>#DIV/0!</v>
      </c>
      <c r="H18" s="40"/>
      <c r="I18" s="57"/>
      <c r="J18" s="55">
        <f t="shared" si="12"/>
        <v>0</v>
      </c>
      <c r="K18" s="52" t="str">
        <f t="shared" si="13"/>
        <v/>
      </c>
      <c r="L18" s="48" t="str">
        <f t="shared" si="14"/>
        <v>#DIV/0!</v>
      </c>
      <c r="M18" s="58"/>
      <c r="N18" s="59">
        <f t="shared" si="15"/>
        <v>0</v>
      </c>
      <c r="O18" s="80">
        <f t="shared" ref="O18:O27" si="18">O17+1</f>
        <v>15</v>
      </c>
      <c r="P18" s="255" t="s">
        <v>27</v>
      </c>
      <c r="Q18" s="251">
        <f>N134</f>
        <v>7619000</v>
      </c>
      <c r="R18" s="251">
        <f t="shared" si="16"/>
        <v>7619000</v>
      </c>
    </row>
    <row r="19">
      <c r="A19" s="62"/>
      <c r="B19" s="63"/>
      <c r="C19" s="62"/>
      <c r="D19" s="64" t="s">
        <v>19</v>
      </c>
      <c r="E19" s="64">
        <f>sum(E12:E18)</f>
        <v>1684</v>
      </c>
      <c r="F19" s="64">
        <f>sum(F11:F18)</f>
        <v>442</v>
      </c>
      <c r="G19" s="65" t="str">
        <f>average(G12:G18)</f>
        <v>#DIV/0!</v>
      </c>
      <c r="H19" s="62"/>
      <c r="I19" s="66"/>
      <c r="J19" s="64">
        <f t="shared" ref="J19:K19" si="17">sum(J12:J18)</f>
        <v>1879</v>
      </c>
      <c r="K19" s="64">
        <f t="shared" si="17"/>
        <v>247</v>
      </c>
      <c r="L19" s="65" t="str">
        <f>average(L12:L18)</f>
        <v>#DIV/0!</v>
      </c>
      <c r="M19" s="68"/>
      <c r="N19" s="69">
        <f>sum(N12:N18)</f>
        <v>4569180</v>
      </c>
      <c r="O19" s="80">
        <f t="shared" si="18"/>
        <v>16</v>
      </c>
      <c r="P19" s="255" t="s">
        <v>28</v>
      </c>
      <c r="Q19" s="251">
        <f>N143</f>
        <v>3674000</v>
      </c>
      <c r="R19" s="251">
        <f t="shared" si="16"/>
        <v>3674000</v>
      </c>
    </row>
    <row r="20">
      <c r="A20" s="70">
        <v>46055.0</v>
      </c>
      <c r="B20" s="36" t="s">
        <v>13</v>
      </c>
      <c r="C20" s="37">
        <v>180734.0</v>
      </c>
      <c r="D20" s="37">
        <v>181034.0</v>
      </c>
      <c r="E20" s="12">
        <f t="shared" ref="E20:E28" si="19">D20-C20</f>
        <v>300</v>
      </c>
      <c r="F20" s="39">
        <v>45.0</v>
      </c>
      <c r="G20" s="14">
        <f t="shared" ref="G20:G28" si="20">(F20/E20)*100</f>
        <v>15</v>
      </c>
      <c r="H20" s="40">
        <v>32358.0</v>
      </c>
      <c r="I20" s="40">
        <v>32676.0</v>
      </c>
      <c r="J20" s="41">
        <f t="shared" ref="J20:J28" si="21">I20-H20</f>
        <v>318</v>
      </c>
      <c r="K20" s="81">
        <f t="shared" ref="K20:K28" si="22">F20</f>
        <v>45</v>
      </c>
      <c r="L20" s="71">
        <f t="shared" ref="L20:L28" si="23">(K20/J20)*100</f>
        <v>14.1509434</v>
      </c>
      <c r="M20" s="72">
        <v>18170.0</v>
      </c>
      <c r="N20" s="44">
        <f t="shared" ref="N20:N28" si="24">F20*M20</f>
        <v>817650</v>
      </c>
      <c r="O20" s="80">
        <f t="shared" si="18"/>
        <v>17</v>
      </c>
      <c r="P20" s="255" t="s">
        <v>29</v>
      </c>
      <c r="Q20" s="251">
        <f>N152</f>
        <v>3304000</v>
      </c>
      <c r="R20" s="251">
        <f t="shared" si="16"/>
        <v>3304000</v>
      </c>
    </row>
    <row r="21">
      <c r="A21" s="70">
        <v>46060.0</v>
      </c>
      <c r="B21" s="46" t="s">
        <v>13</v>
      </c>
      <c r="C21" s="37">
        <v>181034.0</v>
      </c>
      <c r="D21" s="37">
        <v>181364.0</v>
      </c>
      <c r="E21" s="12">
        <f t="shared" si="19"/>
        <v>330</v>
      </c>
      <c r="F21" s="39">
        <v>45.0</v>
      </c>
      <c r="G21" s="14">
        <f t="shared" si="20"/>
        <v>13.63636364</v>
      </c>
      <c r="H21" s="40">
        <v>32676.0</v>
      </c>
      <c r="I21" s="40">
        <v>32979.0</v>
      </c>
      <c r="J21" s="37">
        <f t="shared" si="21"/>
        <v>303</v>
      </c>
      <c r="K21" s="52">
        <f t="shared" si="22"/>
        <v>45</v>
      </c>
      <c r="L21" s="48">
        <f t="shared" si="23"/>
        <v>14.85148515</v>
      </c>
      <c r="M21" s="72">
        <v>18450.0</v>
      </c>
      <c r="N21" s="49">
        <f t="shared" si="24"/>
        <v>830250</v>
      </c>
      <c r="O21" s="80">
        <f t="shared" si="18"/>
        <v>18</v>
      </c>
      <c r="P21" s="255" t="s">
        <v>30</v>
      </c>
      <c r="Q21" s="251">
        <f>N161</f>
        <v>5869000</v>
      </c>
      <c r="R21" s="251">
        <f t="shared" si="16"/>
        <v>5869000</v>
      </c>
    </row>
    <row r="22">
      <c r="A22" s="35">
        <v>46065.0</v>
      </c>
      <c r="B22" s="46" t="s">
        <v>13</v>
      </c>
      <c r="C22" s="37">
        <v>181364.0</v>
      </c>
      <c r="D22" s="37">
        <v>181675.0</v>
      </c>
      <c r="E22" s="12">
        <f t="shared" si="19"/>
        <v>311</v>
      </c>
      <c r="F22" s="47">
        <v>40.0</v>
      </c>
      <c r="G22" s="14">
        <f t="shared" si="20"/>
        <v>12.86173633</v>
      </c>
      <c r="H22" s="40">
        <v>32979.0</v>
      </c>
      <c r="I22" s="40">
        <v>33413.0</v>
      </c>
      <c r="J22" s="37">
        <f t="shared" si="21"/>
        <v>434</v>
      </c>
      <c r="K22" s="52">
        <f t="shared" si="22"/>
        <v>40</v>
      </c>
      <c r="L22" s="48">
        <f t="shared" si="23"/>
        <v>9.216589862</v>
      </c>
      <c r="M22" s="72">
        <v>18450.0</v>
      </c>
      <c r="N22" s="49">
        <f t="shared" si="24"/>
        <v>738000</v>
      </c>
      <c r="O22" s="80">
        <f t="shared" si="18"/>
        <v>19</v>
      </c>
      <c r="P22" s="255" t="s">
        <v>31</v>
      </c>
      <c r="Q22" s="251">
        <f>N170</f>
        <v>6481000</v>
      </c>
      <c r="R22" s="251">
        <f t="shared" si="16"/>
        <v>6481000</v>
      </c>
    </row>
    <row r="23">
      <c r="A23" s="35">
        <v>46077.0</v>
      </c>
      <c r="B23" s="46" t="s">
        <v>13</v>
      </c>
      <c r="C23" s="37">
        <v>181675.0</v>
      </c>
      <c r="D23" s="37">
        <v>181930.0</v>
      </c>
      <c r="E23" s="12">
        <f t="shared" si="19"/>
        <v>255</v>
      </c>
      <c r="F23" s="47">
        <v>39.0</v>
      </c>
      <c r="G23" s="14">
        <f t="shared" si="20"/>
        <v>15.29411765</v>
      </c>
      <c r="H23" s="40">
        <v>33413.0</v>
      </c>
      <c r="I23" s="37">
        <v>33642.0</v>
      </c>
      <c r="J23" s="37">
        <f t="shared" si="21"/>
        <v>229</v>
      </c>
      <c r="K23" s="52">
        <f t="shared" si="22"/>
        <v>39</v>
      </c>
      <c r="L23" s="48">
        <f t="shared" si="23"/>
        <v>17.03056769</v>
      </c>
      <c r="M23" s="50">
        <v>18520.0</v>
      </c>
      <c r="N23" s="49">
        <f t="shared" si="24"/>
        <v>722280</v>
      </c>
      <c r="O23" s="80">
        <f t="shared" si="18"/>
        <v>20</v>
      </c>
      <c r="P23" s="255" t="s">
        <v>32</v>
      </c>
      <c r="Q23" s="251">
        <f>N179</f>
        <v>4428000</v>
      </c>
      <c r="R23" s="251">
        <f t="shared" si="16"/>
        <v>4428000</v>
      </c>
    </row>
    <row r="24">
      <c r="A24" s="35">
        <v>46079.0</v>
      </c>
      <c r="B24" s="46" t="s">
        <v>13</v>
      </c>
      <c r="C24" s="37">
        <v>181930.0</v>
      </c>
      <c r="D24" s="37">
        <v>182224.0</v>
      </c>
      <c r="E24" s="12">
        <f t="shared" si="19"/>
        <v>294</v>
      </c>
      <c r="F24" s="47">
        <v>43.0</v>
      </c>
      <c r="G24" s="14">
        <f t="shared" si="20"/>
        <v>14.62585034</v>
      </c>
      <c r="H24" s="37">
        <v>33642.0</v>
      </c>
      <c r="I24" s="37">
        <v>33998.0</v>
      </c>
      <c r="J24" s="37">
        <f t="shared" si="21"/>
        <v>356</v>
      </c>
      <c r="K24" s="52">
        <f t="shared" si="22"/>
        <v>43</v>
      </c>
      <c r="L24" s="48">
        <f t="shared" si="23"/>
        <v>12.07865169</v>
      </c>
      <c r="M24" s="50">
        <v>19270.0</v>
      </c>
      <c r="N24" s="49">
        <f t="shared" si="24"/>
        <v>828610</v>
      </c>
      <c r="O24" s="80">
        <f t="shared" si="18"/>
        <v>21</v>
      </c>
      <c r="P24" s="255" t="s">
        <v>33</v>
      </c>
      <c r="Q24" s="251">
        <f>N187</f>
        <v>2048000</v>
      </c>
      <c r="R24" s="251">
        <f t="shared" si="16"/>
        <v>2048000</v>
      </c>
    </row>
    <row r="25">
      <c r="A25" s="35"/>
      <c r="B25" s="46" t="s">
        <v>13</v>
      </c>
      <c r="C25" s="37"/>
      <c r="D25" s="37"/>
      <c r="E25" s="12">
        <f t="shared" si="19"/>
        <v>0</v>
      </c>
      <c r="F25" s="47"/>
      <c r="G25" s="14" t="str">
        <f t="shared" si="20"/>
        <v>#DIV/0!</v>
      </c>
      <c r="H25" s="37"/>
      <c r="I25" s="37"/>
      <c r="J25" s="37">
        <f t="shared" si="21"/>
        <v>0</v>
      </c>
      <c r="K25" s="52" t="str">
        <f t="shared" si="22"/>
        <v/>
      </c>
      <c r="L25" s="48" t="str">
        <f t="shared" si="23"/>
        <v>#DIV/0!</v>
      </c>
      <c r="M25" s="50"/>
      <c r="N25" s="49">
        <f t="shared" si="24"/>
        <v>0</v>
      </c>
      <c r="O25" s="80">
        <f t="shared" si="18"/>
        <v>22</v>
      </c>
      <c r="P25" s="255" t="s">
        <v>34</v>
      </c>
      <c r="Q25" s="251">
        <f>N195</f>
        <v>1273000</v>
      </c>
      <c r="R25" s="251">
        <f t="shared" si="16"/>
        <v>1273000</v>
      </c>
    </row>
    <row r="26">
      <c r="A26" s="35"/>
      <c r="B26" s="46" t="s">
        <v>13</v>
      </c>
      <c r="C26" s="37"/>
      <c r="D26" s="37"/>
      <c r="E26" s="12">
        <f t="shared" si="19"/>
        <v>0</v>
      </c>
      <c r="F26" s="47"/>
      <c r="G26" s="14" t="str">
        <f t="shared" si="20"/>
        <v>#DIV/0!</v>
      </c>
      <c r="H26" s="37"/>
      <c r="I26" s="37"/>
      <c r="J26" s="37">
        <f t="shared" si="21"/>
        <v>0</v>
      </c>
      <c r="K26" s="52" t="str">
        <f t="shared" si="22"/>
        <v/>
      </c>
      <c r="L26" s="48" t="str">
        <f t="shared" si="23"/>
        <v>#DIV/0!</v>
      </c>
      <c r="M26" s="50"/>
      <c r="N26" s="49">
        <f t="shared" si="24"/>
        <v>0</v>
      </c>
      <c r="O26" s="80">
        <f t="shared" si="18"/>
        <v>23</v>
      </c>
      <c r="R26" s="80" t="str">
        <f t="shared" si="16"/>
        <v/>
      </c>
    </row>
    <row r="27">
      <c r="A27" s="35"/>
      <c r="B27" s="46" t="s">
        <v>13</v>
      </c>
      <c r="C27" s="37"/>
      <c r="D27" s="37"/>
      <c r="E27" s="12">
        <f t="shared" si="19"/>
        <v>0</v>
      </c>
      <c r="F27" s="47"/>
      <c r="G27" s="14" t="str">
        <f t="shared" si="20"/>
        <v>#DIV/0!</v>
      </c>
      <c r="H27" s="37"/>
      <c r="I27" s="37"/>
      <c r="J27" s="37">
        <f t="shared" si="21"/>
        <v>0</v>
      </c>
      <c r="K27" s="52" t="str">
        <f t="shared" si="22"/>
        <v/>
      </c>
      <c r="L27" s="48" t="str">
        <f t="shared" si="23"/>
        <v>#DIV/0!</v>
      </c>
      <c r="M27" s="50"/>
      <c r="N27" s="49">
        <f t="shared" si="24"/>
        <v>0</v>
      </c>
      <c r="O27" s="80">
        <f t="shared" si="18"/>
        <v>24</v>
      </c>
      <c r="R27" s="80" t="str">
        <f t="shared" si="16"/>
        <v/>
      </c>
    </row>
    <row r="28">
      <c r="A28" s="74"/>
      <c r="B28" s="46" t="s">
        <v>13</v>
      </c>
      <c r="C28" s="37"/>
      <c r="D28" s="75"/>
      <c r="E28" s="12">
        <f t="shared" si="19"/>
        <v>0</v>
      </c>
      <c r="F28" s="47"/>
      <c r="G28" s="56" t="str">
        <f t="shared" si="20"/>
        <v>#DIV/0!</v>
      </c>
      <c r="H28" s="40"/>
      <c r="I28" s="76"/>
      <c r="J28" s="55">
        <f t="shared" si="21"/>
        <v>0</v>
      </c>
      <c r="K28" s="52" t="str">
        <f t="shared" si="22"/>
        <v/>
      </c>
      <c r="L28" s="77" t="str">
        <f t="shared" si="23"/>
        <v>#DIV/0!</v>
      </c>
      <c r="M28" s="78"/>
      <c r="N28" s="59">
        <f t="shared" si="24"/>
        <v>0</v>
      </c>
      <c r="O28" s="80">
        <f>O26+1</f>
        <v>24</v>
      </c>
      <c r="R28" s="80" t="str">
        <f t="shared" si="16"/>
        <v/>
      </c>
    </row>
    <row r="29">
      <c r="A29" s="62"/>
      <c r="B29" s="63"/>
      <c r="C29" s="62"/>
      <c r="D29" s="64" t="s">
        <v>19</v>
      </c>
      <c r="E29" s="64">
        <f>sum(E20:E26)</f>
        <v>1490</v>
      </c>
      <c r="F29" s="64">
        <f>sum(F20:F28)</f>
        <v>212</v>
      </c>
      <c r="G29" s="65" t="str">
        <f>average(G20:G26)</f>
        <v>#DIV/0!</v>
      </c>
      <c r="H29" s="62"/>
      <c r="I29" s="66"/>
      <c r="J29" s="64">
        <f t="shared" ref="J29:K29" si="25">sum(J20:J26)</f>
        <v>1640</v>
      </c>
      <c r="K29" s="64">
        <f t="shared" si="25"/>
        <v>212</v>
      </c>
      <c r="L29" s="65" t="str">
        <f>average(L20:L26)</f>
        <v>#DIV/0!</v>
      </c>
      <c r="M29" s="68"/>
      <c r="N29" s="69">
        <f>sum(N20:N28)</f>
        <v>3936790</v>
      </c>
      <c r="P29" s="256" t="s">
        <v>19</v>
      </c>
      <c r="Q29" s="251">
        <f>SUM(Q4:Q25)</f>
        <v>89042370</v>
      </c>
      <c r="R29" s="251"/>
    </row>
    <row r="30">
      <c r="A30" s="70">
        <v>46058.0</v>
      </c>
      <c r="B30" s="36" t="s">
        <v>14</v>
      </c>
      <c r="C30" s="55">
        <v>183971.0</v>
      </c>
      <c r="D30" s="55">
        <v>184379.0</v>
      </c>
      <c r="E30" s="38">
        <f t="shared" ref="E30:E37" si="26">D30-C30</f>
        <v>408</v>
      </c>
      <c r="F30" s="39">
        <v>50.0</v>
      </c>
      <c r="G30" s="14">
        <f t="shared" ref="G30:G37" si="27">(F30/E30)*100</f>
        <v>12.25490196</v>
      </c>
      <c r="H30" s="57">
        <v>24176.0</v>
      </c>
      <c r="I30" s="57">
        <v>24646.0</v>
      </c>
      <c r="J30" s="41">
        <f t="shared" ref="J30:J37" si="28">I30-H30</f>
        <v>470</v>
      </c>
      <c r="K30" s="52">
        <f t="shared" ref="K30:K37" si="29">F30</f>
        <v>50</v>
      </c>
      <c r="L30" s="71">
        <f t="shared" ref="L30:L37" si="30">(K30/J30)*100</f>
        <v>10.63829787</v>
      </c>
      <c r="M30" s="72">
        <v>18450.0</v>
      </c>
      <c r="N30" s="44">
        <f t="shared" ref="N30:N37" si="31">F30*M30</f>
        <v>922500</v>
      </c>
      <c r="R30" s="80" t="str">
        <f t="shared" ref="R30:R44" si="32">Q30</f>
        <v/>
      </c>
    </row>
    <row r="31">
      <c r="A31" s="35">
        <v>46063.0</v>
      </c>
      <c r="B31" s="46" t="s">
        <v>14</v>
      </c>
      <c r="C31" s="55">
        <v>184379.0</v>
      </c>
      <c r="D31" s="37">
        <v>184732.0</v>
      </c>
      <c r="E31" s="12">
        <f t="shared" si="26"/>
        <v>353</v>
      </c>
      <c r="F31" s="47">
        <v>40.0</v>
      </c>
      <c r="G31" s="14">
        <f t="shared" si="27"/>
        <v>11.33144476</v>
      </c>
      <c r="H31" s="57">
        <v>24646.0</v>
      </c>
      <c r="I31" s="40">
        <v>25031.0</v>
      </c>
      <c r="J31" s="37">
        <f t="shared" si="28"/>
        <v>385</v>
      </c>
      <c r="K31" s="52">
        <f t="shared" si="29"/>
        <v>40</v>
      </c>
      <c r="L31" s="48">
        <f t="shared" si="30"/>
        <v>10.38961039</v>
      </c>
      <c r="M31" s="72">
        <v>18450.0</v>
      </c>
      <c r="N31" s="49">
        <f t="shared" si="31"/>
        <v>738000</v>
      </c>
      <c r="R31" s="80" t="str">
        <f t="shared" si="32"/>
        <v/>
      </c>
    </row>
    <row r="32">
      <c r="A32" s="35">
        <v>46066.0</v>
      </c>
      <c r="B32" s="36" t="s">
        <v>14</v>
      </c>
      <c r="C32" s="37">
        <v>184732.0</v>
      </c>
      <c r="D32" s="37">
        <v>185025.0</v>
      </c>
      <c r="E32" s="12">
        <f t="shared" si="26"/>
        <v>293</v>
      </c>
      <c r="F32" s="47">
        <v>40.0</v>
      </c>
      <c r="G32" s="14">
        <f t="shared" si="27"/>
        <v>13.65187713</v>
      </c>
      <c r="H32" s="40">
        <v>25031.0</v>
      </c>
      <c r="I32" s="40">
        <v>25397.0</v>
      </c>
      <c r="J32" s="37">
        <f t="shared" si="28"/>
        <v>366</v>
      </c>
      <c r="K32" s="52">
        <f t="shared" si="29"/>
        <v>40</v>
      </c>
      <c r="L32" s="48">
        <f t="shared" si="30"/>
        <v>10.92896175</v>
      </c>
      <c r="M32" s="72">
        <v>18460.0</v>
      </c>
      <c r="N32" s="49">
        <f t="shared" si="31"/>
        <v>738400</v>
      </c>
      <c r="R32" s="80" t="str">
        <f t="shared" si="32"/>
        <v/>
      </c>
    </row>
    <row r="33">
      <c r="A33" s="35">
        <v>46078.0</v>
      </c>
      <c r="B33" s="46" t="s">
        <v>14</v>
      </c>
      <c r="C33" s="37">
        <v>185025.0</v>
      </c>
      <c r="D33" s="37">
        <v>185368.0</v>
      </c>
      <c r="E33" s="12">
        <f t="shared" si="26"/>
        <v>343</v>
      </c>
      <c r="F33" s="47">
        <v>40.0</v>
      </c>
      <c r="G33" s="14">
        <f t="shared" si="27"/>
        <v>11.66180758</v>
      </c>
      <c r="H33" s="40">
        <v>25397.0</v>
      </c>
      <c r="I33" s="40">
        <v>25754.0</v>
      </c>
      <c r="J33" s="37">
        <f t="shared" si="28"/>
        <v>357</v>
      </c>
      <c r="K33" s="52">
        <f t="shared" si="29"/>
        <v>40</v>
      </c>
      <c r="L33" s="48">
        <f t="shared" si="30"/>
        <v>11.20448179</v>
      </c>
      <c r="M33" s="72">
        <v>18520.0</v>
      </c>
      <c r="N33" s="49">
        <f t="shared" si="31"/>
        <v>740800</v>
      </c>
      <c r="R33" s="80" t="str">
        <f t="shared" si="32"/>
        <v/>
      </c>
    </row>
    <row r="34">
      <c r="A34" s="35"/>
      <c r="B34" s="46" t="s">
        <v>14</v>
      </c>
      <c r="C34" s="37"/>
      <c r="D34" s="37"/>
      <c r="E34" s="12">
        <f t="shared" si="26"/>
        <v>0</v>
      </c>
      <c r="F34" s="47"/>
      <c r="G34" s="14" t="str">
        <f t="shared" si="27"/>
        <v>#DIV/0!</v>
      </c>
      <c r="H34" s="40"/>
      <c r="I34" s="40"/>
      <c r="J34" s="37">
        <f t="shared" si="28"/>
        <v>0</v>
      </c>
      <c r="K34" s="52" t="str">
        <f t="shared" si="29"/>
        <v/>
      </c>
      <c r="L34" s="48" t="str">
        <f t="shared" si="30"/>
        <v>#DIV/0!</v>
      </c>
      <c r="M34" s="50"/>
      <c r="N34" s="49">
        <f t="shared" si="31"/>
        <v>0</v>
      </c>
      <c r="R34" s="80" t="str">
        <f t="shared" si="32"/>
        <v/>
      </c>
    </row>
    <row r="35">
      <c r="A35" s="35"/>
      <c r="B35" s="46" t="s">
        <v>14</v>
      </c>
      <c r="C35" s="37"/>
      <c r="D35" s="37"/>
      <c r="E35" s="12">
        <f t="shared" si="26"/>
        <v>0</v>
      </c>
      <c r="F35" s="47"/>
      <c r="G35" s="14" t="str">
        <f t="shared" si="27"/>
        <v>#DIV/0!</v>
      </c>
      <c r="H35" s="40"/>
      <c r="I35" s="40"/>
      <c r="J35" s="37">
        <f t="shared" si="28"/>
        <v>0</v>
      </c>
      <c r="K35" s="52" t="str">
        <f t="shared" si="29"/>
        <v/>
      </c>
      <c r="L35" s="48" t="str">
        <f t="shared" si="30"/>
        <v>#DIV/0!</v>
      </c>
      <c r="M35" s="50"/>
      <c r="N35" s="49">
        <f t="shared" si="31"/>
        <v>0</v>
      </c>
      <c r="R35" s="80" t="str">
        <f t="shared" si="32"/>
        <v/>
      </c>
    </row>
    <row r="36">
      <c r="A36" s="35"/>
      <c r="B36" s="46" t="s">
        <v>14</v>
      </c>
      <c r="C36" s="37"/>
      <c r="D36" s="37"/>
      <c r="E36" s="12">
        <f t="shared" si="26"/>
        <v>0</v>
      </c>
      <c r="F36" s="47"/>
      <c r="G36" s="14" t="str">
        <f t="shared" si="27"/>
        <v>#DIV/0!</v>
      </c>
      <c r="H36" s="40"/>
      <c r="I36" s="40"/>
      <c r="J36" s="37">
        <f t="shared" si="28"/>
        <v>0</v>
      </c>
      <c r="K36" s="52" t="str">
        <f t="shared" si="29"/>
        <v/>
      </c>
      <c r="L36" s="48" t="str">
        <f t="shared" si="30"/>
        <v>#DIV/0!</v>
      </c>
      <c r="M36" s="50"/>
      <c r="N36" s="49">
        <f t="shared" si="31"/>
        <v>0</v>
      </c>
      <c r="R36" s="80" t="str">
        <f t="shared" si="32"/>
        <v/>
      </c>
    </row>
    <row r="37">
      <c r="A37" s="35"/>
      <c r="B37" s="46" t="s">
        <v>14</v>
      </c>
      <c r="C37" s="37"/>
      <c r="D37" s="55"/>
      <c r="E37" s="12">
        <f t="shared" si="26"/>
        <v>0</v>
      </c>
      <c r="F37" s="47"/>
      <c r="G37" s="56" t="str">
        <f t="shared" si="27"/>
        <v>#DIV/0!</v>
      </c>
      <c r="H37" s="40"/>
      <c r="I37" s="57"/>
      <c r="J37" s="55">
        <f t="shared" si="28"/>
        <v>0</v>
      </c>
      <c r="K37" s="52" t="str">
        <f t="shared" si="29"/>
        <v/>
      </c>
      <c r="L37" s="77" t="str">
        <f t="shared" si="30"/>
        <v>#DIV/0!</v>
      </c>
      <c r="M37" s="50"/>
      <c r="N37" s="59">
        <f t="shared" si="31"/>
        <v>0</v>
      </c>
      <c r="R37" s="80" t="str">
        <f t="shared" si="32"/>
        <v/>
      </c>
    </row>
    <row r="38">
      <c r="A38" s="62"/>
      <c r="B38" s="63"/>
      <c r="C38" s="62"/>
      <c r="D38" s="64" t="s">
        <v>19</v>
      </c>
      <c r="E38" s="64">
        <f>sum(E30:E37)</f>
        <v>1397</v>
      </c>
      <c r="F38" s="39"/>
      <c r="G38" s="65" t="str">
        <f>average(G30:G37)</f>
        <v>#DIV/0!</v>
      </c>
      <c r="H38" s="62"/>
      <c r="I38" s="66"/>
      <c r="J38" s="64">
        <f t="shared" ref="J38:K38" si="33">sum(J30:J37)</f>
        <v>1578</v>
      </c>
      <c r="K38" s="64">
        <f t="shared" si="33"/>
        <v>170</v>
      </c>
      <c r="L38" s="65" t="str">
        <f>average(L30:L37)</f>
        <v>#DIV/0!</v>
      </c>
      <c r="M38" s="68"/>
      <c r="N38" s="69">
        <f>sum(N30:N37)</f>
        <v>3139700</v>
      </c>
      <c r="R38" s="80" t="str">
        <f t="shared" si="32"/>
        <v/>
      </c>
    </row>
    <row r="39">
      <c r="A39" s="70">
        <v>46056.0</v>
      </c>
      <c r="B39" s="36" t="s">
        <v>15</v>
      </c>
      <c r="C39" s="37">
        <v>171480.0</v>
      </c>
      <c r="D39" s="37">
        <v>171766.0</v>
      </c>
      <c r="E39" s="38">
        <f t="shared" ref="E39:E47" si="34">D39-C39</f>
        <v>286</v>
      </c>
      <c r="F39" s="39">
        <v>35.0</v>
      </c>
      <c r="G39" s="14">
        <f t="shared" ref="G39:G47" si="35">(F39/E39)*100</f>
        <v>12.23776224</v>
      </c>
      <c r="H39" s="40">
        <v>30580.0</v>
      </c>
      <c r="I39" s="40">
        <v>30826.0</v>
      </c>
      <c r="J39" s="41">
        <f t="shared" ref="J39:J47" si="36">I39-H39</f>
        <v>246</v>
      </c>
      <c r="K39" s="81">
        <f t="shared" ref="K39:K47" si="37">F39</f>
        <v>35</v>
      </c>
      <c r="L39" s="71">
        <f t="shared" ref="L39:L47" si="38">(K39/J39)*100</f>
        <v>14.22764228</v>
      </c>
      <c r="M39" s="55">
        <v>18170.0</v>
      </c>
      <c r="N39" s="44">
        <f t="shared" ref="N39:N47" si="39">F39*M39</f>
        <v>635950</v>
      </c>
      <c r="R39" s="80" t="str">
        <f t="shared" si="32"/>
        <v/>
      </c>
    </row>
    <row r="40">
      <c r="A40" s="35">
        <v>46058.0</v>
      </c>
      <c r="B40" s="46" t="s">
        <v>15</v>
      </c>
      <c r="C40" s="37">
        <v>171766.0</v>
      </c>
      <c r="D40" s="37">
        <v>172100.0</v>
      </c>
      <c r="E40" s="12">
        <f t="shared" si="34"/>
        <v>334</v>
      </c>
      <c r="F40" s="47">
        <v>38.0</v>
      </c>
      <c r="G40" s="14">
        <f t="shared" si="35"/>
        <v>11.37724551</v>
      </c>
      <c r="H40" s="40">
        <v>30826.0</v>
      </c>
      <c r="I40" s="40">
        <v>31192.0</v>
      </c>
      <c r="J40" s="37">
        <f t="shared" si="36"/>
        <v>366</v>
      </c>
      <c r="K40" s="52">
        <f t="shared" si="37"/>
        <v>38</v>
      </c>
      <c r="L40" s="48">
        <f t="shared" si="38"/>
        <v>10.38251366</v>
      </c>
      <c r="M40" s="55">
        <v>18450.0</v>
      </c>
      <c r="N40" s="49">
        <f t="shared" si="39"/>
        <v>701100</v>
      </c>
      <c r="P40" s="82"/>
      <c r="R40" s="80" t="str">
        <f t="shared" si="32"/>
        <v/>
      </c>
    </row>
    <row r="41">
      <c r="A41" s="35">
        <v>46063.0</v>
      </c>
      <c r="B41" s="46" t="s">
        <v>15</v>
      </c>
      <c r="C41" s="37">
        <v>172100.0</v>
      </c>
      <c r="D41" s="37">
        <v>172430.0</v>
      </c>
      <c r="E41" s="12">
        <f t="shared" si="34"/>
        <v>330</v>
      </c>
      <c r="F41" s="47">
        <v>39.0</v>
      </c>
      <c r="G41" s="14">
        <f t="shared" si="35"/>
        <v>11.81818182</v>
      </c>
      <c r="H41" s="40">
        <v>31192.0</v>
      </c>
      <c r="I41" s="40">
        <v>31556.0</v>
      </c>
      <c r="J41" s="37">
        <f t="shared" si="36"/>
        <v>364</v>
      </c>
      <c r="K41" s="52">
        <f t="shared" si="37"/>
        <v>39</v>
      </c>
      <c r="L41" s="48">
        <f t="shared" si="38"/>
        <v>10.71428571</v>
      </c>
      <c r="M41" s="55">
        <v>18450.0</v>
      </c>
      <c r="N41" s="49">
        <f t="shared" si="39"/>
        <v>719550</v>
      </c>
      <c r="R41" s="80" t="str">
        <f t="shared" si="32"/>
        <v/>
      </c>
    </row>
    <row r="42">
      <c r="A42" s="35">
        <v>46075.0</v>
      </c>
      <c r="B42" s="46" t="s">
        <v>15</v>
      </c>
      <c r="C42" s="37">
        <v>172430.0</v>
      </c>
      <c r="D42" s="37">
        <v>172778.0</v>
      </c>
      <c r="E42" s="12">
        <f t="shared" si="34"/>
        <v>348</v>
      </c>
      <c r="F42" s="47">
        <v>47.0</v>
      </c>
      <c r="G42" s="14">
        <f t="shared" si="35"/>
        <v>13.50574713</v>
      </c>
      <c r="H42" s="40">
        <v>31556.0</v>
      </c>
      <c r="I42" s="40">
        <v>31854.0</v>
      </c>
      <c r="J42" s="37">
        <f t="shared" si="36"/>
        <v>298</v>
      </c>
      <c r="K42" s="52">
        <f t="shared" si="37"/>
        <v>47</v>
      </c>
      <c r="L42" s="48">
        <f t="shared" si="38"/>
        <v>15.77181208</v>
      </c>
      <c r="M42" s="55">
        <v>18520.0</v>
      </c>
      <c r="N42" s="49">
        <f t="shared" si="39"/>
        <v>870440</v>
      </c>
      <c r="R42" s="80" t="str">
        <f t="shared" si="32"/>
        <v/>
      </c>
    </row>
    <row r="43">
      <c r="A43" s="35">
        <v>46078.0</v>
      </c>
      <c r="B43" s="46" t="s">
        <v>15</v>
      </c>
      <c r="C43" s="37">
        <v>172778.0</v>
      </c>
      <c r="D43" s="37">
        <v>173090.0</v>
      </c>
      <c r="E43" s="12">
        <f t="shared" si="34"/>
        <v>312</v>
      </c>
      <c r="F43" s="47">
        <v>35.0</v>
      </c>
      <c r="G43" s="14">
        <f t="shared" si="35"/>
        <v>11.21794872</v>
      </c>
      <c r="H43" s="40">
        <v>31854.0</v>
      </c>
      <c r="I43" s="40">
        <v>32277.0</v>
      </c>
      <c r="J43" s="37">
        <f t="shared" si="36"/>
        <v>423</v>
      </c>
      <c r="K43" s="52">
        <f t="shared" si="37"/>
        <v>35</v>
      </c>
      <c r="L43" s="48">
        <f t="shared" si="38"/>
        <v>8.274231678</v>
      </c>
      <c r="M43" s="55">
        <v>18520.0</v>
      </c>
      <c r="N43" s="49">
        <f t="shared" si="39"/>
        <v>648200</v>
      </c>
      <c r="R43" s="80" t="str">
        <f t="shared" si="32"/>
        <v/>
      </c>
    </row>
    <row r="44">
      <c r="A44" s="35"/>
      <c r="B44" s="46" t="s">
        <v>15</v>
      </c>
      <c r="C44" s="37"/>
      <c r="D44" s="37"/>
      <c r="E44" s="12">
        <f t="shared" si="34"/>
        <v>0</v>
      </c>
      <c r="F44" s="47"/>
      <c r="G44" s="14" t="str">
        <f t="shared" si="35"/>
        <v>#DIV/0!</v>
      </c>
      <c r="H44" s="40"/>
      <c r="I44" s="40"/>
      <c r="J44" s="37">
        <f t="shared" si="36"/>
        <v>0</v>
      </c>
      <c r="K44" s="52" t="str">
        <f t="shared" si="37"/>
        <v/>
      </c>
      <c r="L44" s="48" t="str">
        <f t="shared" si="38"/>
        <v>#DIV/0!</v>
      </c>
      <c r="M44" s="50"/>
      <c r="N44" s="49">
        <f t="shared" si="39"/>
        <v>0</v>
      </c>
      <c r="R44" s="80" t="str">
        <f t="shared" si="32"/>
        <v/>
      </c>
    </row>
    <row r="45">
      <c r="A45" s="35"/>
      <c r="B45" s="46" t="s">
        <v>15</v>
      </c>
      <c r="C45" s="37"/>
      <c r="D45" s="37"/>
      <c r="E45" s="12">
        <f t="shared" si="34"/>
        <v>0</v>
      </c>
      <c r="F45" s="47"/>
      <c r="G45" s="14" t="str">
        <f t="shared" si="35"/>
        <v>#DIV/0!</v>
      </c>
      <c r="H45" s="40"/>
      <c r="I45" s="40"/>
      <c r="J45" s="37">
        <f t="shared" si="36"/>
        <v>0</v>
      </c>
      <c r="K45" s="52" t="str">
        <f t="shared" si="37"/>
        <v/>
      </c>
      <c r="L45" s="48" t="str">
        <f t="shared" si="38"/>
        <v>#DIV/0!</v>
      </c>
      <c r="M45" s="50"/>
      <c r="N45" s="49">
        <f t="shared" si="39"/>
        <v>0</v>
      </c>
    </row>
    <row r="46">
      <c r="A46" s="35"/>
      <c r="B46" s="46" t="s">
        <v>15</v>
      </c>
      <c r="C46" s="37"/>
      <c r="D46" s="37"/>
      <c r="E46" s="12">
        <f t="shared" si="34"/>
        <v>0</v>
      </c>
      <c r="F46" s="47"/>
      <c r="G46" s="14" t="str">
        <f t="shared" si="35"/>
        <v>#DIV/0!</v>
      </c>
      <c r="H46" s="40"/>
      <c r="I46" s="40"/>
      <c r="J46" s="37">
        <f t="shared" si="36"/>
        <v>0</v>
      </c>
      <c r="K46" s="52" t="str">
        <f t="shared" si="37"/>
        <v/>
      </c>
      <c r="L46" s="48" t="str">
        <f t="shared" si="38"/>
        <v>#DIV/0!</v>
      </c>
      <c r="M46" s="50"/>
      <c r="N46" s="49">
        <f t="shared" si="39"/>
        <v>0</v>
      </c>
    </row>
    <row r="47">
      <c r="A47" s="35"/>
      <c r="B47" s="83" t="s">
        <v>15</v>
      </c>
      <c r="C47" s="37"/>
      <c r="D47" s="55"/>
      <c r="E47" s="25">
        <f t="shared" si="34"/>
        <v>0</v>
      </c>
      <c r="F47" s="47"/>
      <c r="G47" s="56" t="str">
        <f t="shared" si="35"/>
        <v>#DIV/0!</v>
      </c>
      <c r="H47" s="40"/>
      <c r="I47" s="57"/>
      <c r="J47" s="55">
        <f t="shared" si="36"/>
        <v>0</v>
      </c>
      <c r="K47" s="52" t="str">
        <f t="shared" si="37"/>
        <v/>
      </c>
      <c r="L47" s="77" t="str">
        <f t="shared" si="38"/>
        <v>#DIV/0!</v>
      </c>
      <c r="M47" s="50"/>
      <c r="N47" s="59">
        <f t="shared" si="39"/>
        <v>0</v>
      </c>
      <c r="R47" s="80" t="str">
        <f t="shared" ref="R47:R56" si="42">Q47</f>
        <v/>
      </c>
    </row>
    <row r="48">
      <c r="A48" s="62"/>
      <c r="B48" s="63"/>
      <c r="C48" s="62"/>
      <c r="D48" s="64" t="s">
        <v>19</v>
      </c>
      <c r="E48" s="64">
        <f t="shared" ref="E48:F48" si="40">sum(E39:E47)</f>
        <v>1610</v>
      </c>
      <c r="F48" s="64">
        <f t="shared" si="40"/>
        <v>194</v>
      </c>
      <c r="G48" s="65" t="str">
        <f>average(G39:G47)</f>
        <v>#DIV/0!</v>
      </c>
      <c r="H48" s="62"/>
      <c r="I48" s="66"/>
      <c r="J48" s="64">
        <f t="shared" ref="J48:K48" si="41">sum(J39:J47)</f>
        <v>1697</v>
      </c>
      <c r="K48" s="64">
        <f t="shared" si="41"/>
        <v>194</v>
      </c>
      <c r="L48" s="65" t="str">
        <f>average(L39:L47)</f>
        <v>#DIV/0!</v>
      </c>
      <c r="M48" s="68"/>
      <c r="N48" s="69">
        <f>sum(N39:N47)</f>
        <v>3575240</v>
      </c>
      <c r="R48" s="80" t="str">
        <f t="shared" si="42"/>
        <v/>
      </c>
    </row>
    <row r="49">
      <c r="A49" s="70">
        <v>46057.0</v>
      </c>
      <c r="B49" s="36" t="s">
        <v>16</v>
      </c>
      <c r="C49" s="37">
        <v>148185.0</v>
      </c>
      <c r="D49" s="37">
        <v>148473.0</v>
      </c>
      <c r="E49" s="38">
        <f t="shared" ref="E49:E59" si="43">D49-C49</f>
        <v>288</v>
      </c>
      <c r="F49" s="39">
        <v>38.0</v>
      </c>
      <c r="G49" s="14">
        <f t="shared" ref="G49:G59" si="44">(F49/E49)*100</f>
        <v>13.19444444</v>
      </c>
      <c r="H49" s="40">
        <v>32950.0</v>
      </c>
      <c r="I49" s="40">
        <v>33327.0</v>
      </c>
      <c r="J49" s="41">
        <f t="shared" ref="J49:J59" si="45">I49-H49</f>
        <v>377</v>
      </c>
      <c r="K49" s="81">
        <f t="shared" ref="K49:K59" si="46">F49</f>
        <v>38</v>
      </c>
      <c r="L49" s="71">
        <f t="shared" ref="L49:L59" si="47">(K49/J49)*100</f>
        <v>10.0795756</v>
      </c>
      <c r="M49" s="72">
        <v>18170.0</v>
      </c>
      <c r="N49" s="44">
        <f t="shared" ref="N49:N59" si="48">F49*M49</f>
        <v>690460</v>
      </c>
      <c r="R49" s="80" t="str">
        <f t="shared" si="42"/>
        <v/>
      </c>
    </row>
    <row r="50">
      <c r="A50" s="70">
        <v>46060.0</v>
      </c>
      <c r="B50" s="46" t="s">
        <v>16</v>
      </c>
      <c r="C50" s="37">
        <v>148473.0</v>
      </c>
      <c r="D50" s="37">
        <v>148783.0</v>
      </c>
      <c r="E50" s="12">
        <f t="shared" si="43"/>
        <v>310</v>
      </c>
      <c r="F50" s="47">
        <v>43.0</v>
      </c>
      <c r="G50" s="14">
        <f t="shared" si="44"/>
        <v>13.87096774</v>
      </c>
      <c r="H50" s="40">
        <v>33327.0</v>
      </c>
      <c r="I50" s="40">
        <v>33609.0</v>
      </c>
      <c r="J50" s="37">
        <f t="shared" si="45"/>
        <v>282</v>
      </c>
      <c r="K50" s="52">
        <f t="shared" si="46"/>
        <v>43</v>
      </c>
      <c r="L50" s="48">
        <f t="shared" si="47"/>
        <v>15.24822695</v>
      </c>
      <c r="M50" s="50">
        <v>18450.0</v>
      </c>
      <c r="N50" s="49">
        <f t="shared" si="48"/>
        <v>793350</v>
      </c>
      <c r="R50" s="80" t="str">
        <f t="shared" si="42"/>
        <v/>
      </c>
    </row>
    <row r="51">
      <c r="A51" s="84">
        <v>46065.0</v>
      </c>
      <c r="B51" s="46" t="s">
        <v>16</v>
      </c>
      <c r="C51" s="37">
        <v>148783.0</v>
      </c>
      <c r="D51" s="37">
        <v>149101.0</v>
      </c>
      <c r="E51" s="12">
        <f t="shared" si="43"/>
        <v>318</v>
      </c>
      <c r="F51" s="47">
        <v>48.0</v>
      </c>
      <c r="G51" s="14">
        <f t="shared" si="44"/>
        <v>15.09433962</v>
      </c>
      <c r="H51" s="40">
        <v>33609.0</v>
      </c>
      <c r="I51" s="40">
        <v>33947.0</v>
      </c>
      <c r="J51" s="37">
        <f t="shared" si="45"/>
        <v>338</v>
      </c>
      <c r="K51" s="52">
        <f t="shared" si="46"/>
        <v>48</v>
      </c>
      <c r="L51" s="48">
        <f t="shared" si="47"/>
        <v>14.20118343</v>
      </c>
      <c r="M51" s="50">
        <v>18450.0</v>
      </c>
      <c r="N51" s="49">
        <f t="shared" si="48"/>
        <v>885600</v>
      </c>
      <c r="R51" s="80" t="str">
        <f t="shared" si="42"/>
        <v/>
      </c>
    </row>
    <row r="52">
      <c r="A52" s="84">
        <v>46076.0</v>
      </c>
      <c r="B52" s="46" t="s">
        <v>16</v>
      </c>
      <c r="C52" s="37">
        <v>149101.0</v>
      </c>
      <c r="D52" s="37">
        <v>149569.0</v>
      </c>
      <c r="E52" s="12">
        <f t="shared" si="43"/>
        <v>468</v>
      </c>
      <c r="F52" s="47">
        <v>43.0</v>
      </c>
      <c r="G52" s="14">
        <f t="shared" si="44"/>
        <v>9.188034188</v>
      </c>
      <c r="H52" s="40">
        <v>33947.0</v>
      </c>
      <c r="I52" s="40">
        <v>34534.0</v>
      </c>
      <c r="J52" s="37">
        <f t="shared" si="45"/>
        <v>587</v>
      </c>
      <c r="K52" s="52">
        <f t="shared" si="46"/>
        <v>43</v>
      </c>
      <c r="L52" s="48">
        <f t="shared" si="47"/>
        <v>7.325383305</v>
      </c>
      <c r="M52" s="50">
        <v>18520.0</v>
      </c>
      <c r="N52" s="49">
        <f t="shared" si="48"/>
        <v>796360</v>
      </c>
      <c r="R52" s="80" t="str">
        <f t="shared" si="42"/>
        <v/>
      </c>
    </row>
    <row r="53">
      <c r="A53" s="84">
        <v>46079.0</v>
      </c>
      <c r="B53" s="46" t="s">
        <v>16</v>
      </c>
      <c r="C53" s="37">
        <v>149569.0</v>
      </c>
      <c r="D53" s="37">
        <v>149936.0</v>
      </c>
      <c r="E53" s="12">
        <f t="shared" si="43"/>
        <v>367</v>
      </c>
      <c r="F53" s="47">
        <v>45.0</v>
      </c>
      <c r="G53" s="14">
        <f t="shared" si="44"/>
        <v>12.26158038</v>
      </c>
      <c r="H53" s="40">
        <v>34534.0</v>
      </c>
      <c r="I53" s="40">
        <v>34857.0</v>
      </c>
      <c r="J53" s="37">
        <f t="shared" si="45"/>
        <v>323</v>
      </c>
      <c r="K53" s="52">
        <f t="shared" si="46"/>
        <v>45</v>
      </c>
      <c r="L53" s="48">
        <f t="shared" si="47"/>
        <v>13.93188854</v>
      </c>
      <c r="M53" s="50">
        <v>18520.0</v>
      </c>
      <c r="N53" s="49">
        <f t="shared" si="48"/>
        <v>833400</v>
      </c>
      <c r="P53" s="82"/>
      <c r="R53" s="80" t="str">
        <f t="shared" si="42"/>
        <v/>
      </c>
    </row>
    <row r="54">
      <c r="A54" s="84"/>
      <c r="B54" s="46" t="s">
        <v>16</v>
      </c>
      <c r="C54" s="37"/>
      <c r="D54" s="37"/>
      <c r="E54" s="12">
        <f t="shared" si="43"/>
        <v>0</v>
      </c>
      <c r="F54" s="47"/>
      <c r="G54" s="14" t="str">
        <f t="shared" si="44"/>
        <v>#DIV/0!</v>
      </c>
      <c r="H54" s="40"/>
      <c r="I54" s="40"/>
      <c r="J54" s="37">
        <f t="shared" si="45"/>
        <v>0</v>
      </c>
      <c r="K54" s="52" t="str">
        <f t="shared" si="46"/>
        <v/>
      </c>
      <c r="L54" s="48" t="str">
        <f t="shared" si="47"/>
        <v>#DIV/0!</v>
      </c>
      <c r="M54" s="50"/>
      <c r="N54" s="49">
        <f t="shared" si="48"/>
        <v>0</v>
      </c>
      <c r="R54" s="80" t="str">
        <f t="shared" si="42"/>
        <v/>
      </c>
    </row>
    <row r="55">
      <c r="A55" s="84"/>
      <c r="B55" s="46" t="s">
        <v>16</v>
      </c>
      <c r="C55" s="37"/>
      <c r="D55" s="37"/>
      <c r="E55" s="12">
        <f t="shared" si="43"/>
        <v>0</v>
      </c>
      <c r="F55" s="47"/>
      <c r="G55" s="14" t="str">
        <f t="shared" si="44"/>
        <v>#DIV/0!</v>
      </c>
      <c r="H55" s="40"/>
      <c r="I55" s="40"/>
      <c r="J55" s="37">
        <f t="shared" si="45"/>
        <v>0</v>
      </c>
      <c r="K55" s="52" t="str">
        <f t="shared" si="46"/>
        <v/>
      </c>
      <c r="L55" s="48" t="str">
        <f t="shared" si="47"/>
        <v>#DIV/0!</v>
      </c>
      <c r="M55" s="50"/>
      <c r="N55" s="49">
        <f t="shared" si="48"/>
        <v>0</v>
      </c>
      <c r="R55" s="80" t="str">
        <f t="shared" si="42"/>
        <v/>
      </c>
    </row>
    <row r="56">
      <c r="A56" s="84"/>
      <c r="B56" s="46" t="s">
        <v>16</v>
      </c>
      <c r="C56" s="37"/>
      <c r="D56" s="37"/>
      <c r="E56" s="12">
        <f t="shared" si="43"/>
        <v>0</v>
      </c>
      <c r="F56" s="47"/>
      <c r="G56" s="14" t="str">
        <f t="shared" si="44"/>
        <v>#DIV/0!</v>
      </c>
      <c r="H56" s="40"/>
      <c r="I56" s="40"/>
      <c r="J56" s="37">
        <f t="shared" si="45"/>
        <v>0</v>
      </c>
      <c r="K56" s="52" t="str">
        <f t="shared" si="46"/>
        <v/>
      </c>
      <c r="L56" s="48" t="str">
        <f t="shared" si="47"/>
        <v>#DIV/0!</v>
      </c>
      <c r="M56" s="50"/>
      <c r="N56" s="49">
        <f t="shared" si="48"/>
        <v>0</v>
      </c>
      <c r="R56" s="80" t="str">
        <f t="shared" si="42"/>
        <v/>
      </c>
    </row>
    <row r="57">
      <c r="A57" s="84"/>
      <c r="B57" s="46" t="s">
        <v>16</v>
      </c>
      <c r="C57" s="37"/>
      <c r="D57" s="37"/>
      <c r="E57" s="12">
        <f t="shared" si="43"/>
        <v>0</v>
      </c>
      <c r="F57" s="47"/>
      <c r="G57" s="14" t="str">
        <f t="shared" si="44"/>
        <v>#DIV/0!</v>
      </c>
      <c r="H57" s="40"/>
      <c r="I57" s="40"/>
      <c r="J57" s="37">
        <f t="shared" si="45"/>
        <v>0</v>
      </c>
      <c r="K57" s="52" t="str">
        <f t="shared" si="46"/>
        <v/>
      </c>
      <c r="L57" s="48" t="str">
        <f t="shared" si="47"/>
        <v>#DIV/0!</v>
      </c>
      <c r="M57" s="50"/>
      <c r="N57" s="49">
        <f t="shared" si="48"/>
        <v>0</v>
      </c>
    </row>
    <row r="58">
      <c r="A58" s="84"/>
      <c r="B58" s="46" t="s">
        <v>16</v>
      </c>
      <c r="C58" s="37"/>
      <c r="D58" s="37"/>
      <c r="E58" s="12">
        <f t="shared" si="43"/>
        <v>0</v>
      </c>
      <c r="F58" s="47"/>
      <c r="G58" s="14" t="str">
        <f t="shared" si="44"/>
        <v>#DIV/0!</v>
      </c>
      <c r="H58" s="40"/>
      <c r="I58" s="40"/>
      <c r="J58" s="37">
        <f t="shared" si="45"/>
        <v>0</v>
      </c>
      <c r="K58" s="52" t="str">
        <f t="shared" si="46"/>
        <v/>
      </c>
      <c r="L58" s="48" t="str">
        <f t="shared" si="47"/>
        <v>#DIV/0!</v>
      </c>
      <c r="M58" s="50"/>
      <c r="N58" s="49">
        <f t="shared" si="48"/>
        <v>0</v>
      </c>
      <c r="R58" s="80" t="str">
        <f t="shared" ref="R58:R63" si="49">Q58</f>
        <v/>
      </c>
    </row>
    <row r="59">
      <c r="A59" s="84"/>
      <c r="B59" s="46" t="s">
        <v>16</v>
      </c>
      <c r="C59" s="55"/>
      <c r="D59" s="55"/>
      <c r="E59" s="25">
        <f t="shared" si="43"/>
        <v>0</v>
      </c>
      <c r="F59" s="47"/>
      <c r="G59" s="56" t="str">
        <f t="shared" si="44"/>
        <v>#DIV/0!</v>
      </c>
      <c r="H59" s="55"/>
      <c r="I59" s="85"/>
      <c r="J59" s="55">
        <f t="shared" si="45"/>
        <v>0</v>
      </c>
      <c r="K59" s="52" t="str">
        <f t="shared" si="46"/>
        <v/>
      </c>
      <c r="L59" s="77" t="str">
        <f t="shared" si="47"/>
        <v>#DIV/0!</v>
      </c>
      <c r="M59" s="50"/>
      <c r="N59" s="59">
        <f t="shared" si="48"/>
        <v>0</v>
      </c>
      <c r="R59" s="80" t="str">
        <f t="shared" si="49"/>
        <v/>
      </c>
    </row>
    <row r="60">
      <c r="A60" s="62"/>
      <c r="B60" s="63"/>
      <c r="C60" s="86"/>
      <c r="D60" s="64" t="s">
        <v>19</v>
      </c>
      <c r="E60" s="64">
        <f>sum(E49:E59)</f>
        <v>1751</v>
      </c>
      <c r="F60" s="39"/>
      <c r="G60" s="65" t="str">
        <f>average(G49:G59)</f>
        <v>#DIV/0!</v>
      </c>
      <c r="H60" s="62"/>
      <c r="I60" s="66"/>
      <c r="J60" s="64">
        <f t="shared" ref="J60:K60" si="50">sum(J49:J59)</f>
        <v>1907</v>
      </c>
      <c r="K60" s="64">
        <f t="shared" si="50"/>
        <v>217</v>
      </c>
      <c r="L60" s="65" t="str">
        <f>average(L49:L59)</f>
        <v>#DIV/0!</v>
      </c>
      <c r="M60" s="68"/>
      <c r="N60" s="69">
        <f>sum(N49:N59)</f>
        <v>3999170</v>
      </c>
      <c r="R60" s="80" t="str">
        <f t="shared" si="49"/>
        <v/>
      </c>
    </row>
    <row r="61">
      <c r="A61" s="70">
        <v>46057.0</v>
      </c>
      <c r="B61" s="87" t="s">
        <v>18</v>
      </c>
      <c r="C61" s="52">
        <v>152861.0</v>
      </c>
      <c r="D61" s="52">
        <v>153209.0</v>
      </c>
      <c r="E61" s="38">
        <f t="shared" ref="E61:E69" si="51">D61-C61</f>
        <v>348</v>
      </c>
      <c r="F61" s="39">
        <v>45.0</v>
      </c>
      <c r="G61" s="14">
        <f t="shared" ref="G61:G69" si="52">(F61/E61)*100</f>
        <v>12.93103448</v>
      </c>
      <c r="H61" s="40">
        <v>25051.0</v>
      </c>
      <c r="I61" s="40">
        <v>25443.0</v>
      </c>
      <c r="J61" s="41">
        <f t="shared" ref="J61:J69" si="53">I61-H61</f>
        <v>392</v>
      </c>
      <c r="K61" s="81">
        <f t="shared" ref="K61:K69" si="54">F61</f>
        <v>45</v>
      </c>
      <c r="L61" s="71">
        <f t="shared" ref="L61:L69" si="55">(K61/J61)*100</f>
        <v>11.47959184</v>
      </c>
      <c r="M61" s="72">
        <v>18170.0</v>
      </c>
      <c r="N61" s="44">
        <f t="shared" ref="N61:N69" si="56">F61*M61</f>
        <v>817650</v>
      </c>
      <c r="R61" s="80" t="str">
        <f t="shared" si="49"/>
        <v/>
      </c>
    </row>
    <row r="62">
      <c r="A62" s="35">
        <v>46063.0</v>
      </c>
      <c r="B62" s="46" t="s">
        <v>18</v>
      </c>
      <c r="C62" s="52">
        <v>153209.0</v>
      </c>
      <c r="D62" s="37">
        <v>153585.0</v>
      </c>
      <c r="E62" s="12">
        <f t="shared" si="51"/>
        <v>376</v>
      </c>
      <c r="F62" s="47">
        <v>46.0</v>
      </c>
      <c r="G62" s="14">
        <f t="shared" si="52"/>
        <v>12.23404255</v>
      </c>
      <c r="H62" s="40">
        <v>25443.0</v>
      </c>
      <c r="I62" s="40">
        <v>25893.0</v>
      </c>
      <c r="J62" s="37">
        <f t="shared" si="53"/>
        <v>450</v>
      </c>
      <c r="K62" s="52">
        <f t="shared" si="54"/>
        <v>46</v>
      </c>
      <c r="L62" s="48">
        <f t="shared" si="55"/>
        <v>10.22222222</v>
      </c>
      <c r="M62" s="50">
        <v>18450.0</v>
      </c>
      <c r="N62" s="49">
        <f t="shared" si="56"/>
        <v>848700</v>
      </c>
      <c r="R62" s="80" t="str">
        <f t="shared" si="49"/>
        <v/>
      </c>
    </row>
    <row r="63">
      <c r="A63" s="35">
        <v>46077.0</v>
      </c>
      <c r="B63" s="46" t="s">
        <v>18</v>
      </c>
      <c r="C63" s="37">
        <v>153585.0</v>
      </c>
      <c r="D63" s="37">
        <v>153894.0</v>
      </c>
      <c r="E63" s="12">
        <f t="shared" si="51"/>
        <v>309</v>
      </c>
      <c r="F63" s="47">
        <v>45.0</v>
      </c>
      <c r="G63" s="14">
        <f t="shared" si="52"/>
        <v>14.5631068</v>
      </c>
      <c r="H63" s="40">
        <v>25893.0</v>
      </c>
      <c r="I63" s="40">
        <v>26201.0</v>
      </c>
      <c r="J63" s="37">
        <f t="shared" si="53"/>
        <v>308</v>
      </c>
      <c r="K63" s="52">
        <f t="shared" si="54"/>
        <v>45</v>
      </c>
      <c r="L63" s="48">
        <f t="shared" si="55"/>
        <v>14.61038961</v>
      </c>
      <c r="M63" s="50">
        <v>18520.0</v>
      </c>
      <c r="N63" s="49">
        <f t="shared" si="56"/>
        <v>833400</v>
      </c>
      <c r="R63" s="80" t="str">
        <f t="shared" si="49"/>
        <v/>
      </c>
    </row>
    <row r="64">
      <c r="A64" s="35">
        <v>46080.0</v>
      </c>
      <c r="B64" s="46" t="s">
        <v>18</v>
      </c>
      <c r="C64" s="37">
        <v>153894.0</v>
      </c>
      <c r="D64" s="37">
        <v>154207.0</v>
      </c>
      <c r="E64" s="12">
        <f t="shared" si="51"/>
        <v>313</v>
      </c>
      <c r="F64" s="47">
        <v>45.0</v>
      </c>
      <c r="G64" s="14">
        <f t="shared" si="52"/>
        <v>14.37699681</v>
      </c>
      <c r="H64" s="40">
        <v>26201.0</v>
      </c>
      <c r="I64" s="40">
        <v>26611.0</v>
      </c>
      <c r="J64" s="37">
        <f t="shared" si="53"/>
        <v>410</v>
      </c>
      <c r="K64" s="52">
        <f t="shared" si="54"/>
        <v>45</v>
      </c>
      <c r="L64" s="48">
        <f t="shared" si="55"/>
        <v>10.97560976</v>
      </c>
      <c r="M64" s="50">
        <v>19270.0</v>
      </c>
      <c r="N64" s="49">
        <f t="shared" si="56"/>
        <v>867150</v>
      </c>
    </row>
    <row r="65">
      <c r="A65" s="35"/>
      <c r="B65" s="46" t="s">
        <v>18</v>
      </c>
      <c r="C65" s="37"/>
      <c r="D65" s="37"/>
      <c r="E65" s="12">
        <f t="shared" si="51"/>
        <v>0</v>
      </c>
      <c r="F65" s="47"/>
      <c r="G65" s="14" t="str">
        <f t="shared" si="52"/>
        <v>#DIV/0!</v>
      </c>
      <c r="H65" s="40"/>
      <c r="I65" s="40"/>
      <c r="J65" s="37">
        <f t="shared" si="53"/>
        <v>0</v>
      </c>
      <c r="K65" s="52" t="str">
        <f t="shared" si="54"/>
        <v/>
      </c>
      <c r="L65" s="48" t="str">
        <f t="shared" si="55"/>
        <v>#DIV/0!</v>
      </c>
      <c r="M65" s="50"/>
      <c r="N65" s="49">
        <f t="shared" si="56"/>
        <v>0</v>
      </c>
      <c r="R65" s="80" t="str">
        <f t="shared" ref="R65:R161" si="57">Q65</f>
        <v/>
      </c>
    </row>
    <row r="66">
      <c r="A66" s="35"/>
      <c r="B66" s="46" t="s">
        <v>18</v>
      </c>
      <c r="C66" s="37"/>
      <c r="D66" s="37"/>
      <c r="E66" s="12">
        <f t="shared" si="51"/>
        <v>0</v>
      </c>
      <c r="F66" s="47"/>
      <c r="G66" s="14" t="str">
        <f t="shared" si="52"/>
        <v>#DIV/0!</v>
      </c>
      <c r="H66" s="40"/>
      <c r="I66" s="40"/>
      <c r="J66" s="37">
        <f t="shared" si="53"/>
        <v>0</v>
      </c>
      <c r="K66" s="52" t="str">
        <f t="shared" si="54"/>
        <v/>
      </c>
      <c r="L66" s="48" t="str">
        <f t="shared" si="55"/>
        <v>#DIV/0!</v>
      </c>
      <c r="M66" s="50"/>
      <c r="N66" s="49">
        <f t="shared" si="56"/>
        <v>0</v>
      </c>
      <c r="R66" s="80" t="str">
        <f t="shared" si="57"/>
        <v/>
      </c>
    </row>
    <row r="67">
      <c r="A67" s="35"/>
      <c r="B67" s="46" t="s">
        <v>18</v>
      </c>
      <c r="C67" s="37"/>
      <c r="D67" s="37"/>
      <c r="E67" s="53">
        <f t="shared" si="51"/>
        <v>0</v>
      </c>
      <c r="F67" s="47"/>
      <c r="G67" s="14" t="str">
        <f t="shared" si="52"/>
        <v>#DIV/0!</v>
      </c>
      <c r="H67" s="40"/>
      <c r="I67" s="40"/>
      <c r="J67" s="37">
        <f t="shared" si="53"/>
        <v>0</v>
      </c>
      <c r="K67" s="52" t="str">
        <f t="shared" si="54"/>
        <v/>
      </c>
      <c r="L67" s="48" t="str">
        <f t="shared" si="55"/>
        <v>#DIV/0!</v>
      </c>
      <c r="M67" s="50"/>
      <c r="N67" s="49">
        <f t="shared" si="56"/>
        <v>0</v>
      </c>
      <c r="R67" s="80" t="str">
        <f t="shared" si="57"/>
        <v/>
      </c>
    </row>
    <row r="68">
      <c r="A68" s="45"/>
      <c r="B68" s="51" t="s">
        <v>18</v>
      </c>
      <c r="C68" s="37"/>
      <c r="D68" s="52"/>
      <c r="E68" s="53">
        <f t="shared" si="51"/>
        <v>0</v>
      </c>
      <c r="F68" s="47"/>
      <c r="G68" s="14" t="str">
        <f t="shared" si="52"/>
        <v>#DIV/0!</v>
      </c>
      <c r="H68" s="40"/>
      <c r="I68" s="40"/>
      <c r="J68" s="37">
        <f t="shared" si="53"/>
        <v>0</v>
      </c>
      <c r="K68" s="52" t="str">
        <f t="shared" si="54"/>
        <v/>
      </c>
      <c r="L68" s="48" t="str">
        <f t="shared" si="55"/>
        <v>#DIV/0!</v>
      </c>
      <c r="M68" s="50"/>
      <c r="N68" s="49">
        <f t="shared" si="56"/>
        <v>0</v>
      </c>
      <c r="R68" s="80" t="str">
        <f t="shared" si="57"/>
        <v/>
      </c>
    </row>
    <row r="69">
      <c r="A69" s="35"/>
      <c r="B69" s="46" t="s">
        <v>18</v>
      </c>
      <c r="C69" s="13"/>
      <c r="D69" s="55"/>
      <c r="E69" s="25">
        <f t="shared" si="51"/>
        <v>0</v>
      </c>
      <c r="F69" s="47"/>
      <c r="G69" s="56" t="str">
        <f t="shared" si="52"/>
        <v>#DIV/0!</v>
      </c>
      <c r="H69" s="55"/>
      <c r="I69" s="57"/>
      <c r="J69" s="55">
        <f t="shared" si="53"/>
        <v>0</v>
      </c>
      <c r="K69" s="52" t="str">
        <f t="shared" si="54"/>
        <v/>
      </c>
      <c r="L69" s="77" t="str">
        <f t="shared" si="55"/>
        <v>#DIV/0!</v>
      </c>
      <c r="M69" s="50"/>
      <c r="N69" s="59">
        <f t="shared" si="56"/>
        <v>0</v>
      </c>
      <c r="R69" s="80" t="str">
        <f t="shared" si="57"/>
        <v/>
      </c>
    </row>
    <row r="70">
      <c r="A70" s="62"/>
      <c r="B70" s="63"/>
      <c r="C70" s="88"/>
      <c r="D70" s="64" t="s">
        <v>19</v>
      </c>
      <c r="E70" s="64">
        <f t="shared" ref="E70:F70" si="58">sum(E61:E69)</f>
        <v>1346</v>
      </c>
      <c r="F70" s="64">
        <f t="shared" si="58"/>
        <v>181</v>
      </c>
      <c r="G70" s="65" t="str">
        <f>average(G61:G69)</f>
        <v>#DIV/0!</v>
      </c>
      <c r="H70" s="62"/>
      <c r="I70" s="66"/>
      <c r="J70" s="64">
        <f t="shared" ref="J70:K70" si="59">sum(J61:J69)</f>
        <v>1560</v>
      </c>
      <c r="K70" s="64">
        <f t="shared" si="59"/>
        <v>181</v>
      </c>
      <c r="L70" s="65" t="str">
        <f>average(L61:L69)</f>
        <v>#DIV/0!</v>
      </c>
      <c r="M70" s="68"/>
      <c r="N70" s="69">
        <f>sum(N61:N69)</f>
        <v>3366900</v>
      </c>
      <c r="R70" s="80" t="str">
        <f t="shared" si="57"/>
        <v/>
      </c>
    </row>
    <row r="71">
      <c r="A71" s="70">
        <v>46058.0</v>
      </c>
      <c r="B71" s="36" t="s">
        <v>20</v>
      </c>
      <c r="C71" s="37">
        <v>399392.0</v>
      </c>
      <c r="D71" s="37">
        <v>399932.0</v>
      </c>
      <c r="E71" s="38">
        <f t="shared" ref="E71:E77" si="60">D71-C71</f>
        <v>540</v>
      </c>
      <c r="F71" s="39">
        <v>69.0</v>
      </c>
      <c r="G71" s="14">
        <f t="shared" ref="G71:G77" si="61">(F71/E71)*100</f>
        <v>12.77777778</v>
      </c>
      <c r="H71" s="40">
        <v>31510.0</v>
      </c>
      <c r="I71" s="40">
        <v>32000.0</v>
      </c>
      <c r="J71" s="41">
        <f t="shared" ref="J71:J77" si="62">I71-H71</f>
        <v>490</v>
      </c>
      <c r="K71" s="81">
        <f t="shared" ref="K71:K77" si="63">F71</f>
        <v>69</v>
      </c>
      <c r="L71" s="71">
        <f t="shared" ref="L71:L77" si="64">(K71/J71)*100</f>
        <v>14.08163265</v>
      </c>
      <c r="M71" s="72">
        <v>18170.0</v>
      </c>
      <c r="N71" s="44">
        <f t="shared" ref="N71:N77" si="65">F71*M71</f>
        <v>1253730</v>
      </c>
      <c r="R71" s="80" t="str">
        <f t="shared" si="57"/>
        <v/>
      </c>
    </row>
    <row r="72">
      <c r="A72" s="35">
        <v>46063.0</v>
      </c>
      <c r="B72" s="46" t="s">
        <v>20</v>
      </c>
      <c r="C72" s="37">
        <v>399932.0</v>
      </c>
      <c r="D72" s="37">
        <v>400271.0</v>
      </c>
      <c r="E72" s="12">
        <f t="shared" si="60"/>
        <v>339</v>
      </c>
      <c r="F72" s="47">
        <v>50.0</v>
      </c>
      <c r="G72" s="14">
        <f t="shared" si="61"/>
        <v>14.74926254</v>
      </c>
      <c r="H72" s="40">
        <v>32000.0</v>
      </c>
      <c r="I72" s="89">
        <v>32328.0</v>
      </c>
      <c r="J72" s="37">
        <f t="shared" si="62"/>
        <v>328</v>
      </c>
      <c r="K72" s="52">
        <f t="shared" si="63"/>
        <v>50</v>
      </c>
      <c r="L72" s="48">
        <f t="shared" si="64"/>
        <v>15.24390244</v>
      </c>
      <c r="M72" s="50">
        <v>18450.0</v>
      </c>
      <c r="N72" s="49">
        <f t="shared" si="65"/>
        <v>922500</v>
      </c>
      <c r="R72" s="80" t="str">
        <f t="shared" si="57"/>
        <v/>
      </c>
    </row>
    <row r="73">
      <c r="A73" s="35">
        <v>46077.0</v>
      </c>
      <c r="B73" s="46" t="s">
        <v>20</v>
      </c>
      <c r="C73" s="37">
        <v>400271.0</v>
      </c>
      <c r="D73" s="37">
        <v>400787.0</v>
      </c>
      <c r="E73" s="12">
        <f t="shared" si="60"/>
        <v>516</v>
      </c>
      <c r="F73" s="47">
        <v>70.0</v>
      </c>
      <c r="G73" s="14">
        <f t="shared" si="61"/>
        <v>13.56589147</v>
      </c>
      <c r="H73" s="89">
        <v>32328.0</v>
      </c>
      <c r="I73" s="40">
        <v>32831.0</v>
      </c>
      <c r="J73" s="37">
        <f t="shared" si="62"/>
        <v>503</v>
      </c>
      <c r="K73" s="52">
        <f t="shared" si="63"/>
        <v>70</v>
      </c>
      <c r="L73" s="48">
        <f t="shared" si="64"/>
        <v>13.91650099</v>
      </c>
      <c r="M73" s="50">
        <v>18520.0</v>
      </c>
      <c r="N73" s="49">
        <f t="shared" si="65"/>
        <v>1296400</v>
      </c>
      <c r="R73" s="80" t="str">
        <f t="shared" si="57"/>
        <v/>
      </c>
    </row>
    <row r="74">
      <c r="A74" s="35"/>
      <c r="B74" s="46" t="s">
        <v>20</v>
      </c>
      <c r="C74" s="37"/>
      <c r="D74" s="37"/>
      <c r="E74" s="12">
        <f t="shared" si="60"/>
        <v>0</v>
      </c>
      <c r="F74" s="47"/>
      <c r="G74" s="14" t="str">
        <f t="shared" si="61"/>
        <v>#DIV/0!</v>
      </c>
      <c r="H74" s="40"/>
      <c r="I74" s="40"/>
      <c r="J74" s="37">
        <f t="shared" si="62"/>
        <v>0</v>
      </c>
      <c r="K74" s="52" t="str">
        <f t="shared" si="63"/>
        <v/>
      </c>
      <c r="L74" s="48" t="str">
        <f t="shared" si="64"/>
        <v>#DIV/0!</v>
      </c>
      <c r="M74" s="50"/>
      <c r="N74" s="49">
        <f t="shared" si="65"/>
        <v>0</v>
      </c>
      <c r="R74" s="80" t="str">
        <f t="shared" si="57"/>
        <v/>
      </c>
    </row>
    <row r="75">
      <c r="A75" s="35"/>
      <c r="B75" s="46" t="s">
        <v>20</v>
      </c>
      <c r="C75" s="37"/>
      <c r="D75" s="37"/>
      <c r="E75" s="12">
        <f t="shared" si="60"/>
        <v>0</v>
      </c>
      <c r="F75" s="47"/>
      <c r="G75" s="14" t="str">
        <f t="shared" si="61"/>
        <v>#DIV/0!</v>
      </c>
      <c r="H75" s="40"/>
      <c r="I75" s="40"/>
      <c r="J75" s="37">
        <f t="shared" si="62"/>
        <v>0</v>
      </c>
      <c r="K75" s="52" t="str">
        <f t="shared" si="63"/>
        <v/>
      </c>
      <c r="L75" s="48" t="str">
        <f t="shared" si="64"/>
        <v>#DIV/0!</v>
      </c>
      <c r="M75" s="50"/>
      <c r="N75" s="49">
        <f t="shared" si="65"/>
        <v>0</v>
      </c>
      <c r="R75" s="80" t="str">
        <f t="shared" si="57"/>
        <v/>
      </c>
    </row>
    <row r="76">
      <c r="A76" s="35"/>
      <c r="B76" s="46" t="s">
        <v>20</v>
      </c>
      <c r="C76" s="37"/>
      <c r="D76" s="37"/>
      <c r="E76" s="12">
        <f t="shared" si="60"/>
        <v>0</v>
      </c>
      <c r="F76" s="90"/>
      <c r="G76" s="14" t="str">
        <f t="shared" si="61"/>
        <v>#DIV/0!</v>
      </c>
      <c r="H76" s="37"/>
      <c r="I76" s="93"/>
      <c r="J76" s="37">
        <f t="shared" si="62"/>
        <v>0</v>
      </c>
      <c r="K76" s="52" t="str">
        <f t="shared" si="63"/>
        <v/>
      </c>
      <c r="L76" s="48" t="str">
        <f t="shared" si="64"/>
        <v>#DIV/0!</v>
      </c>
      <c r="M76" s="50"/>
      <c r="N76" s="49">
        <f t="shared" si="65"/>
        <v>0</v>
      </c>
      <c r="R76" s="80" t="str">
        <f t="shared" si="57"/>
        <v/>
      </c>
    </row>
    <row r="77">
      <c r="A77" s="94"/>
      <c r="B77" s="46" t="s">
        <v>20</v>
      </c>
      <c r="C77" s="55"/>
      <c r="D77" s="95"/>
      <c r="E77" s="25">
        <f t="shared" si="60"/>
        <v>0</v>
      </c>
      <c r="F77" s="47"/>
      <c r="G77" s="56" t="str">
        <f t="shared" si="61"/>
        <v>#DIV/0!</v>
      </c>
      <c r="H77" s="55"/>
      <c r="I77" s="85"/>
      <c r="J77" s="55">
        <f t="shared" si="62"/>
        <v>0</v>
      </c>
      <c r="K77" s="52" t="str">
        <f t="shared" si="63"/>
        <v/>
      </c>
      <c r="L77" s="77" t="str">
        <f t="shared" si="64"/>
        <v>#DIV/0!</v>
      </c>
      <c r="M77" s="96"/>
      <c r="N77" s="59">
        <f t="shared" si="65"/>
        <v>0</v>
      </c>
      <c r="R77" s="80" t="str">
        <f t="shared" si="57"/>
        <v/>
      </c>
    </row>
    <row r="78">
      <c r="A78" s="62"/>
      <c r="B78" s="63"/>
      <c r="C78" s="62"/>
      <c r="D78" s="64" t="s">
        <v>19</v>
      </c>
      <c r="E78" s="64">
        <f>sum(E71:E77)</f>
        <v>1395</v>
      </c>
      <c r="F78" s="39"/>
      <c r="G78" s="65" t="str">
        <f>average(G71:G77)</f>
        <v>#DIV/0!</v>
      </c>
      <c r="H78" s="62"/>
      <c r="I78" s="66"/>
      <c r="J78" s="64">
        <f>sum(J71:J77)</f>
        <v>1321</v>
      </c>
      <c r="K78" s="64">
        <f>sum(K72:K77)</f>
        <v>120</v>
      </c>
      <c r="L78" s="65" t="str">
        <f>average(L71:L77)</f>
        <v>#DIV/0!</v>
      </c>
      <c r="M78" s="68"/>
      <c r="N78" s="69">
        <f>sum(N71:N77)</f>
        <v>3472630</v>
      </c>
      <c r="R78" s="80" t="str">
        <f t="shared" si="57"/>
        <v/>
      </c>
    </row>
    <row r="79">
      <c r="A79" s="91">
        <v>46058.0</v>
      </c>
      <c r="B79" s="36" t="s">
        <v>21</v>
      </c>
      <c r="C79" s="37">
        <v>381321.0</v>
      </c>
      <c r="D79" s="37">
        <v>381937.0</v>
      </c>
      <c r="E79" s="38">
        <f t="shared" ref="E79:E85" si="66">D79-C79</f>
        <v>616</v>
      </c>
      <c r="F79" s="39">
        <v>80.0</v>
      </c>
      <c r="G79" s="14">
        <f t="shared" ref="G79:G85" si="67">(F79/E79)*100</f>
        <v>12.98701299</v>
      </c>
      <c r="H79" s="40">
        <v>24569.0</v>
      </c>
      <c r="I79" s="40">
        <v>25230.0</v>
      </c>
      <c r="J79" s="41">
        <f t="shared" ref="J79:J85" si="68">I79-H79</f>
        <v>661</v>
      </c>
      <c r="K79" s="81">
        <f t="shared" ref="K79:K85" si="69">F79</f>
        <v>80</v>
      </c>
      <c r="L79" s="71">
        <f t="shared" ref="L79:L85" si="70">(K79/J79)*100</f>
        <v>12.10287443</v>
      </c>
      <c r="M79" s="72">
        <v>18450.0</v>
      </c>
      <c r="N79" s="44">
        <f t="shared" ref="N79:N85" si="71">F79*M79</f>
        <v>1476000</v>
      </c>
      <c r="R79" s="80" t="str">
        <f t="shared" si="57"/>
        <v/>
      </c>
    </row>
    <row r="80">
      <c r="A80" s="92">
        <v>46066.0</v>
      </c>
      <c r="B80" s="46" t="s">
        <v>21</v>
      </c>
      <c r="C80" s="37">
        <v>381937.0</v>
      </c>
      <c r="D80" s="37">
        <v>382505.0</v>
      </c>
      <c r="E80" s="12">
        <f t="shared" si="66"/>
        <v>568</v>
      </c>
      <c r="F80" s="47">
        <v>77.0</v>
      </c>
      <c r="G80" s="14">
        <f t="shared" si="67"/>
        <v>13.55633803</v>
      </c>
      <c r="H80" s="40">
        <v>25230.0</v>
      </c>
      <c r="I80" s="40">
        <v>25783.0</v>
      </c>
      <c r="J80" s="37">
        <f t="shared" si="68"/>
        <v>553</v>
      </c>
      <c r="K80" s="52">
        <f t="shared" si="69"/>
        <v>77</v>
      </c>
      <c r="L80" s="48">
        <f t="shared" si="70"/>
        <v>13.92405063</v>
      </c>
      <c r="M80" s="72">
        <v>18460.0</v>
      </c>
      <c r="N80" s="49">
        <f t="shared" si="71"/>
        <v>1421420</v>
      </c>
      <c r="R80" s="80" t="str">
        <f t="shared" si="57"/>
        <v/>
      </c>
    </row>
    <row r="81">
      <c r="A81" s="92">
        <v>46081.0</v>
      </c>
      <c r="B81" s="46" t="s">
        <v>21</v>
      </c>
      <c r="C81" s="37">
        <v>382505.0</v>
      </c>
      <c r="D81" s="37">
        <v>383070.0</v>
      </c>
      <c r="E81" s="12">
        <f t="shared" si="66"/>
        <v>565</v>
      </c>
      <c r="F81" s="47">
        <v>75.0</v>
      </c>
      <c r="G81" s="14">
        <f t="shared" si="67"/>
        <v>13.27433628</v>
      </c>
      <c r="H81" s="40">
        <v>25783.0</v>
      </c>
      <c r="I81" s="40">
        <v>26394.0</v>
      </c>
      <c r="J81" s="37">
        <f t="shared" si="68"/>
        <v>611</v>
      </c>
      <c r="K81" s="52">
        <f t="shared" si="69"/>
        <v>75</v>
      </c>
      <c r="L81" s="48">
        <f t="shared" si="70"/>
        <v>12.27495908</v>
      </c>
      <c r="M81" s="50">
        <v>19270.0</v>
      </c>
      <c r="N81" s="49">
        <f t="shared" si="71"/>
        <v>1445250</v>
      </c>
      <c r="R81" s="80" t="str">
        <f t="shared" si="57"/>
        <v/>
      </c>
    </row>
    <row r="82">
      <c r="A82" s="92"/>
      <c r="B82" s="46" t="s">
        <v>21</v>
      </c>
      <c r="C82" s="37"/>
      <c r="D82" s="37"/>
      <c r="E82" s="12">
        <f t="shared" si="66"/>
        <v>0</v>
      </c>
      <c r="F82" s="47"/>
      <c r="G82" s="14" t="str">
        <f t="shared" si="67"/>
        <v>#DIV/0!</v>
      </c>
      <c r="H82" s="40"/>
      <c r="I82" s="40"/>
      <c r="J82" s="37">
        <f t="shared" si="68"/>
        <v>0</v>
      </c>
      <c r="K82" s="52" t="str">
        <f t="shared" si="69"/>
        <v/>
      </c>
      <c r="L82" s="48" t="str">
        <f t="shared" si="70"/>
        <v>#DIV/0!</v>
      </c>
      <c r="M82" s="50"/>
      <c r="N82" s="49">
        <f t="shared" si="71"/>
        <v>0</v>
      </c>
      <c r="R82" s="80" t="str">
        <f t="shared" si="57"/>
        <v/>
      </c>
    </row>
    <row r="83">
      <c r="A83" s="35"/>
      <c r="B83" s="46" t="s">
        <v>21</v>
      </c>
      <c r="C83" s="37"/>
      <c r="D83" s="37"/>
      <c r="E83" s="12">
        <f t="shared" si="66"/>
        <v>0</v>
      </c>
      <c r="F83" s="47"/>
      <c r="G83" s="14" t="str">
        <f t="shared" si="67"/>
        <v>#DIV/0!</v>
      </c>
      <c r="H83" s="40"/>
      <c r="I83" s="40"/>
      <c r="J83" s="37">
        <f t="shared" si="68"/>
        <v>0</v>
      </c>
      <c r="K83" s="52" t="str">
        <f t="shared" si="69"/>
        <v/>
      </c>
      <c r="L83" s="48" t="str">
        <f t="shared" si="70"/>
        <v>#DIV/0!</v>
      </c>
      <c r="M83" s="50"/>
      <c r="N83" s="49">
        <f t="shared" si="71"/>
        <v>0</v>
      </c>
      <c r="R83" s="80" t="str">
        <f t="shared" si="57"/>
        <v/>
      </c>
    </row>
    <row r="84">
      <c r="A84" s="92"/>
      <c r="B84" s="46" t="s">
        <v>37</v>
      </c>
      <c r="C84" s="37"/>
      <c r="D84" s="37"/>
      <c r="E84" s="12">
        <f t="shared" si="66"/>
        <v>0</v>
      </c>
      <c r="F84" s="47"/>
      <c r="G84" s="14" t="str">
        <f t="shared" si="67"/>
        <v>#DIV/0!</v>
      </c>
      <c r="H84" s="37"/>
      <c r="I84" s="93"/>
      <c r="J84" s="37">
        <f t="shared" si="68"/>
        <v>0</v>
      </c>
      <c r="K84" s="52" t="str">
        <f t="shared" si="69"/>
        <v/>
      </c>
      <c r="L84" s="48" t="str">
        <f t="shared" si="70"/>
        <v>#DIV/0!</v>
      </c>
      <c r="M84" s="50"/>
      <c r="N84" s="49">
        <f t="shared" si="71"/>
        <v>0</v>
      </c>
      <c r="R84" s="80" t="str">
        <f t="shared" si="57"/>
        <v/>
      </c>
    </row>
    <row r="85">
      <c r="A85" s="94"/>
      <c r="B85" s="46" t="s">
        <v>37</v>
      </c>
      <c r="C85" s="55"/>
      <c r="D85" s="95"/>
      <c r="E85" s="25">
        <f t="shared" si="66"/>
        <v>0</v>
      </c>
      <c r="F85" s="47"/>
      <c r="G85" s="56" t="str">
        <f t="shared" si="67"/>
        <v>#DIV/0!</v>
      </c>
      <c r="H85" s="55"/>
      <c r="I85" s="85"/>
      <c r="J85" s="55">
        <f t="shared" si="68"/>
        <v>0</v>
      </c>
      <c r="K85" s="52" t="str">
        <f t="shared" si="69"/>
        <v/>
      </c>
      <c r="L85" s="77" t="str">
        <f t="shared" si="70"/>
        <v>#DIV/0!</v>
      </c>
      <c r="M85" s="96"/>
      <c r="N85" s="59">
        <f t="shared" si="71"/>
        <v>0</v>
      </c>
      <c r="R85" s="80" t="str">
        <f t="shared" si="57"/>
        <v/>
      </c>
    </row>
    <row r="86">
      <c r="A86" s="62"/>
      <c r="B86" s="63"/>
      <c r="C86" s="62"/>
      <c r="D86" s="64" t="s">
        <v>19</v>
      </c>
      <c r="E86" s="64">
        <f>sum(E79:E85)</f>
        <v>1749</v>
      </c>
      <c r="F86" s="39"/>
      <c r="G86" s="65" t="str">
        <f>average(G79:G85)</f>
        <v>#DIV/0!</v>
      </c>
      <c r="H86" s="62"/>
      <c r="I86" s="66"/>
      <c r="J86" s="64">
        <f t="shared" ref="J86:K86" si="72">sum(J79:J85)</f>
        <v>1825</v>
      </c>
      <c r="K86" s="64">
        <f t="shared" si="72"/>
        <v>232</v>
      </c>
      <c r="L86" s="65" t="str">
        <f>average(L79:L85)</f>
        <v>#DIV/0!</v>
      </c>
      <c r="M86" s="68"/>
      <c r="N86" s="69">
        <f>sum(N79:N85)</f>
        <v>4342670</v>
      </c>
      <c r="R86" s="80" t="str">
        <f t="shared" si="57"/>
        <v/>
      </c>
    </row>
    <row r="87">
      <c r="A87" s="35">
        <v>46055.0</v>
      </c>
      <c r="B87" s="87" t="s">
        <v>22</v>
      </c>
      <c r="C87" s="37">
        <v>214299.0</v>
      </c>
      <c r="D87" s="37">
        <v>214786.0</v>
      </c>
      <c r="E87" s="38">
        <f t="shared" ref="E87:E93" si="73">D87-C87</f>
        <v>487</v>
      </c>
      <c r="F87" s="39">
        <v>68.0</v>
      </c>
      <c r="G87" s="14">
        <f t="shared" ref="G87:G93" si="74">(F87/E87)*100</f>
        <v>13.96303901</v>
      </c>
      <c r="H87" s="40">
        <v>23428.0</v>
      </c>
      <c r="I87" s="40">
        <v>23963.0</v>
      </c>
      <c r="J87" s="41">
        <f t="shared" ref="J87:J93" si="75">I87-H87</f>
        <v>535</v>
      </c>
      <c r="K87" s="81">
        <f t="shared" ref="K87:K93" si="76">F87</f>
        <v>68</v>
      </c>
      <c r="L87" s="71">
        <f t="shared" ref="L87:L93" si="77">(K87/J87)*100</f>
        <v>12.71028037</v>
      </c>
      <c r="M87" s="72">
        <v>18170.0</v>
      </c>
      <c r="N87" s="44">
        <f t="shared" ref="N87:N93" si="78">F87*M87</f>
        <v>1235560</v>
      </c>
      <c r="R87" s="80" t="str">
        <f t="shared" si="57"/>
        <v/>
      </c>
    </row>
    <row r="88">
      <c r="A88" s="35">
        <v>46060.0</v>
      </c>
      <c r="B88" s="46" t="s">
        <v>22</v>
      </c>
      <c r="C88" s="37">
        <v>214786.0</v>
      </c>
      <c r="D88" s="37">
        <v>215370.0</v>
      </c>
      <c r="E88" s="12">
        <f t="shared" si="73"/>
        <v>584</v>
      </c>
      <c r="F88" s="47">
        <v>73.0</v>
      </c>
      <c r="G88" s="14">
        <f t="shared" si="74"/>
        <v>12.5</v>
      </c>
      <c r="H88" s="40">
        <v>23963.0</v>
      </c>
      <c r="I88" s="40">
        <v>24538.0</v>
      </c>
      <c r="J88" s="37">
        <f t="shared" si="75"/>
        <v>575</v>
      </c>
      <c r="K88" s="52">
        <f t="shared" si="76"/>
        <v>73</v>
      </c>
      <c r="L88" s="48">
        <f t="shared" si="77"/>
        <v>12.69565217</v>
      </c>
      <c r="M88" s="50">
        <v>18450.0</v>
      </c>
      <c r="N88" s="49">
        <f t="shared" si="78"/>
        <v>1346850</v>
      </c>
      <c r="R88" s="80" t="str">
        <f t="shared" si="57"/>
        <v/>
      </c>
    </row>
    <row r="89">
      <c r="A89" s="35">
        <v>46076.0</v>
      </c>
      <c r="B89" s="46" t="s">
        <v>22</v>
      </c>
      <c r="C89" s="37">
        <v>215370.0</v>
      </c>
      <c r="D89" s="37">
        <v>215810.0</v>
      </c>
      <c r="E89" s="12">
        <f t="shared" si="73"/>
        <v>440</v>
      </c>
      <c r="F89" s="47">
        <v>57.0</v>
      </c>
      <c r="G89" s="14">
        <f t="shared" si="74"/>
        <v>12.95454545</v>
      </c>
      <c r="H89" s="40">
        <v>24538.0</v>
      </c>
      <c r="I89" s="40">
        <v>25068.0</v>
      </c>
      <c r="J89" s="37">
        <f t="shared" si="75"/>
        <v>530</v>
      </c>
      <c r="K89" s="52">
        <f t="shared" si="76"/>
        <v>57</v>
      </c>
      <c r="L89" s="48">
        <f t="shared" si="77"/>
        <v>10.75471698</v>
      </c>
      <c r="M89" s="50">
        <v>18520.0</v>
      </c>
      <c r="N89" s="49">
        <f t="shared" si="78"/>
        <v>1055640</v>
      </c>
      <c r="R89" s="80" t="str">
        <f t="shared" si="57"/>
        <v/>
      </c>
    </row>
    <row r="90">
      <c r="A90" s="35"/>
      <c r="B90" s="46" t="s">
        <v>22</v>
      </c>
      <c r="C90" s="37"/>
      <c r="D90" s="37"/>
      <c r="E90" s="12">
        <f t="shared" si="73"/>
        <v>0</v>
      </c>
      <c r="F90" s="47"/>
      <c r="G90" s="14" t="str">
        <f t="shared" si="74"/>
        <v>#DIV/0!</v>
      </c>
      <c r="H90" s="40"/>
      <c r="I90" s="40"/>
      <c r="J90" s="37">
        <f t="shared" si="75"/>
        <v>0</v>
      </c>
      <c r="K90" s="52" t="str">
        <f t="shared" si="76"/>
        <v/>
      </c>
      <c r="L90" s="48" t="str">
        <f t="shared" si="77"/>
        <v>#DIV/0!</v>
      </c>
      <c r="M90" s="50"/>
      <c r="N90" s="49">
        <f t="shared" si="78"/>
        <v>0</v>
      </c>
      <c r="R90" s="80" t="str">
        <f t="shared" si="57"/>
        <v/>
      </c>
    </row>
    <row r="91">
      <c r="A91" s="35"/>
      <c r="B91" s="46" t="s">
        <v>22</v>
      </c>
      <c r="C91" s="37"/>
      <c r="D91" s="37"/>
      <c r="E91" s="12">
        <f t="shared" si="73"/>
        <v>0</v>
      </c>
      <c r="F91" s="47"/>
      <c r="G91" s="14" t="str">
        <f t="shared" si="74"/>
        <v>#DIV/0!</v>
      </c>
      <c r="H91" s="40"/>
      <c r="I91" s="40"/>
      <c r="J91" s="37">
        <f t="shared" si="75"/>
        <v>0</v>
      </c>
      <c r="K91" s="52" t="str">
        <f t="shared" si="76"/>
        <v/>
      </c>
      <c r="L91" s="48" t="str">
        <f t="shared" si="77"/>
        <v>#DIV/0!</v>
      </c>
      <c r="M91" s="50"/>
      <c r="N91" s="49">
        <f t="shared" si="78"/>
        <v>0</v>
      </c>
      <c r="R91" s="80" t="str">
        <f t="shared" si="57"/>
        <v/>
      </c>
    </row>
    <row r="92">
      <c r="A92" s="92"/>
      <c r="B92" s="46" t="s">
        <v>22</v>
      </c>
      <c r="C92" s="37"/>
      <c r="D92" s="37"/>
      <c r="E92" s="12">
        <f t="shared" si="73"/>
        <v>0</v>
      </c>
      <c r="F92" s="47"/>
      <c r="G92" s="14" t="str">
        <f t="shared" si="74"/>
        <v>#DIV/0!</v>
      </c>
      <c r="H92" s="37"/>
      <c r="I92" s="93"/>
      <c r="J92" s="37">
        <f t="shared" si="75"/>
        <v>0</v>
      </c>
      <c r="K92" s="52" t="str">
        <f t="shared" si="76"/>
        <v/>
      </c>
      <c r="L92" s="48" t="str">
        <f t="shared" si="77"/>
        <v>#DIV/0!</v>
      </c>
      <c r="M92" s="50"/>
      <c r="N92" s="49">
        <f t="shared" si="78"/>
        <v>0</v>
      </c>
      <c r="R92" s="80" t="str">
        <f t="shared" si="57"/>
        <v/>
      </c>
    </row>
    <row r="93">
      <c r="A93" s="97"/>
      <c r="B93" s="46" t="s">
        <v>22</v>
      </c>
      <c r="C93" s="55"/>
      <c r="D93" s="95"/>
      <c r="E93" s="25">
        <f t="shared" si="73"/>
        <v>0</v>
      </c>
      <c r="F93" s="47"/>
      <c r="G93" s="56" t="str">
        <f t="shared" si="74"/>
        <v>#DIV/0!</v>
      </c>
      <c r="H93" s="55"/>
      <c r="I93" s="57"/>
      <c r="J93" s="55">
        <f t="shared" si="75"/>
        <v>0</v>
      </c>
      <c r="K93" s="52" t="str">
        <f t="shared" si="76"/>
        <v/>
      </c>
      <c r="L93" s="77" t="str">
        <f t="shared" si="77"/>
        <v>#DIV/0!</v>
      </c>
      <c r="M93" s="96"/>
      <c r="N93" s="59">
        <f t="shared" si="78"/>
        <v>0</v>
      </c>
      <c r="R93" s="80" t="str">
        <f t="shared" si="57"/>
        <v/>
      </c>
    </row>
    <row r="94">
      <c r="A94" s="62"/>
      <c r="B94" s="63"/>
      <c r="C94" s="62"/>
      <c r="D94" s="64" t="s">
        <v>19</v>
      </c>
      <c r="E94" s="64">
        <f>sum(E87:E93)</f>
        <v>1511</v>
      </c>
      <c r="F94" s="64">
        <f>sum(F86:F93)</f>
        <v>198</v>
      </c>
      <c r="G94" s="65" t="str">
        <f>average(G87:G93)</f>
        <v>#DIV/0!</v>
      </c>
      <c r="H94" s="62"/>
      <c r="I94" s="66"/>
      <c r="J94" s="64">
        <f t="shared" ref="J94:K94" si="79">sum(J87:J93)</f>
        <v>1640</v>
      </c>
      <c r="K94" s="64">
        <f t="shared" si="79"/>
        <v>198</v>
      </c>
      <c r="L94" s="65" t="str">
        <f>average(L87:L93)</f>
        <v>#DIV/0!</v>
      </c>
      <c r="M94" s="68"/>
      <c r="N94" s="69">
        <f>sum(N87:N93)</f>
        <v>3638050</v>
      </c>
      <c r="R94" s="80" t="str">
        <f t="shared" si="57"/>
        <v/>
      </c>
    </row>
    <row r="95">
      <c r="A95" s="98">
        <v>46024.0</v>
      </c>
      <c r="B95" s="99" t="s">
        <v>38</v>
      </c>
      <c r="C95" s="37">
        <v>170516.0</v>
      </c>
      <c r="D95" s="37">
        <v>171121.0</v>
      </c>
      <c r="E95" s="38">
        <f t="shared" ref="E95:E100" si="80">D95-C95</f>
        <v>605</v>
      </c>
      <c r="F95" s="39">
        <v>80.0</v>
      </c>
      <c r="G95" s="14">
        <f t="shared" ref="G95:G100" si="81">(F95/E95)*100</f>
        <v>13.2231405</v>
      </c>
      <c r="H95" s="40">
        <v>26034.0</v>
      </c>
      <c r="I95" s="40">
        <v>26665.0</v>
      </c>
      <c r="J95" s="41">
        <f t="shared" ref="J95:J100" si="82">I95-H95</f>
        <v>631</v>
      </c>
      <c r="K95" s="81">
        <f t="shared" ref="K95:K100" si="83">F95</f>
        <v>80</v>
      </c>
      <c r="L95" s="71">
        <f t="shared" ref="L95:L100" si="84">(K95/J95)*100</f>
        <v>12.67828843</v>
      </c>
      <c r="M95" s="72">
        <v>18170.0</v>
      </c>
      <c r="N95" s="44">
        <f t="shared" ref="N95:N100" si="85">F95*M95</f>
        <v>1453600</v>
      </c>
      <c r="R95" s="80" t="str">
        <f t="shared" si="57"/>
        <v/>
      </c>
    </row>
    <row r="96">
      <c r="A96" s="101">
        <v>46064.0</v>
      </c>
      <c r="B96" s="46" t="s">
        <v>38</v>
      </c>
      <c r="C96" s="37">
        <v>171121.0</v>
      </c>
      <c r="D96" s="37">
        <v>171765.0</v>
      </c>
      <c r="E96" s="12">
        <f t="shared" si="80"/>
        <v>644</v>
      </c>
      <c r="F96" s="47">
        <v>74.0</v>
      </c>
      <c r="G96" s="14">
        <f t="shared" si="81"/>
        <v>11.49068323</v>
      </c>
      <c r="H96" s="40">
        <v>26665.0</v>
      </c>
      <c r="I96" s="40">
        <v>27270.0</v>
      </c>
      <c r="J96" s="37">
        <f t="shared" si="82"/>
        <v>605</v>
      </c>
      <c r="K96" s="52">
        <f t="shared" si="83"/>
        <v>74</v>
      </c>
      <c r="L96" s="48">
        <f t="shared" si="84"/>
        <v>12.23140496</v>
      </c>
      <c r="M96" s="72">
        <v>18450.0</v>
      </c>
      <c r="N96" s="49">
        <f t="shared" si="85"/>
        <v>1365300</v>
      </c>
      <c r="R96" s="80" t="str">
        <f t="shared" si="57"/>
        <v/>
      </c>
    </row>
    <row r="97">
      <c r="A97" s="101">
        <v>46078.0</v>
      </c>
      <c r="B97" s="46" t="s">
        <v>38</v>
      </c>
      <c r="C97" s="37">
        <v>171765.0</v>
      </c>
      <c r="D97" s="37">
        <v>172311.0</v>
      </c>
      <c r="E97" s="12">
        <f t="shared" si="80"/>
        <v>546</v>
      </c>
      <c r="F97" s="47">
        <v>60.0</v>
      </c>
      <c r="G97" s="14">
        <f t="shared" si="81"/>
        <v>10.98901099</v>
      </c>
      <c r="H97" s="40">
        <v>27270.0</v>
      </c>
      <c r="I97" s="40"/>
      <c r="J97" s="37">
        <f t="shared" si="82"/>
        <v>-27270</v>
      </c>
      <c r="K97" s="52">
        <f t="shared" si="83"/>
        <v>60</v>
      </c>
      <c r="L97" s="48">
        <f t="shared" si="84"/>
        <v>-0.2200220022</v>
      </c>
      <c r="M97" s="50">
        <v>18520.0</v>
      </c>
      <c r="N97" s="49">
        <f t="shared" si="85"/>
        <v>1111200</v>
      </c>
      <c r="R97" s="80" t="str">
        <f t="shared" si="57"/>
        <v/>
      </c>
    </row>
    <row r="98">
      <c r="A98" s="101"/>
      <c r="B98" s="46" t="s">
        <v>38</v>
      </c>
      <c r="C98" s="37"/>
      <c r="D98" s="37"/>
      <c r="E98" s="12">
        <f t="shared" si="80"/>
        <v>0</v>
      </c>
      <c r="F98" s="47"/>
      <c r="G98" s="14" t="str">
        <f t="shared" si="81"/>
        <v>#DIV/0!</v>
      </c>
      <c r="H98" s="40"/>
      <c r="I98" s="40"/>
      <c r="J98" s="37">
        <f t="shared" si="82"/>
        <v>0</v>
      </c>
      <c r="K98" s="52" t="str">
        <f t="shared" si="83"/>
        <v/>
      </c>
      <c r="L98" s="48" t="str">
        <f t="shared" si="84"/>
        <v>#DIV/0!</v>
      </c>
      <c r="M98" s="50"/>
      <c r="N98" s="49">
        <f t="shared" si="85"/>
        <v>0</v>
      </c>
      <c r="R98" s="80" t="str">
        <f t="shared" si="57"/>
        <v/>
      </c>
    </row>
    <row r="99">
      <c r="A99" s="101"/>
      <c r="B99" s="46" t="s">
        <v>38</v>
      </c>
      <c r="C99" s="37"/>
      <c r="D99" s="100"/>
      <c r="E99" s="12">
        <f t="shared" si="80"/>
        <v>0</v>
      </c>
      <c r="F99" s="47"/>
      <c r="G99" s="14" t="str">
        <f t="shared" si="81"/>
        <v>#DIV/0!</v>
      </c>
      <c r="H99" s="40"/>
      <c r="I99" s="40"/>
      <c r="J99" s="37">
        <f t="shared" si="82"/>
        <v>0</v>
      </c>
      <c r="K99" s="52" t="str">
        <f t="shared" si="83"/>
        <v/>
      </c>
      <c r="L99" s="48" t="str">
        <f t="shared" si="84"/>
        <v>#DIV/0!</v>
      </c>
      <c r="M99" s="50"/>
      <c r="N99" s="49">
        <f t="shared" si="85"/>
        <v>0</v>
      </c>
      <c r="R99" s="80" t="str">
        <f t="shared" si="57"/>
        <v/>
      </c>
    </row>
    <row r="100">
      <c r="A100" s="102"/>
      <c r="B100" s="103" t="s">
        <v>38</v>
      </c>
      <c r="C100" s="104"/>
      <c r="D100" s="105"/>
      <c r="E100" s="12">
        <f t="shared" si="80"/>
        <v>0</v>
      </c>
      <c r="F100" s="47"/>
      <c r="G100" s="106" t="str">
        <f t="shared" si="81"/>
        <v>#DIV/0!</v>
      </c>
      <c r="H100" s="107"/>
      <c r="I100" s="108"/>
      <c r="J100" s="107">
        <f t="shared" si="82"/>
        <v>0</v>
      </c>
      <c r="K100" s="52" t="str">
        <f t="shared" si="83"/>
        <v/>
      </c>
      <c r="L100" s="109" t="str">
        <f t="shared" si="84"/>
        <v>#DIV/0!</v>
      </c>
      <c r="M100" s="110"/>
      <c r="N100" s="111">
        <f t="shared" si="85"/>
        <v>0</v>
      </c>
      <c r="R100" s="80" t="str">
        <f t="shared" si="57"/>
        <v/>
      </c>
    </row>
    <row r="101">
      <c r="A101" s="112"/>
      <c r="B101" s="113"/>
      <c r="C101" s="114"/>
      <c r="D101" s="115" t="s">
        <v>19</v>
      </c>
      <c r="E101" s="116">
        <f>SUM(E95:E100)</f>
        <v>1795</v>
      </c>
      <c r="F101" s="64">
        <f>sum(F93:F100)</f>
        <v>412</v>
      </c>
      <c r="G101" s="117" t="str">
        <f>average(G95:G100)</f>
        <v>#DIV/0!</v>
      </c>
      <c r="H101" s="114"/>
      <c r="I101" s="118"/>
      <c r="J101" s="115">
        <f t="shared" ref="J101:K101" si="86">sum(J95:J100)</f>
        <v>-26034</v>
      </c>
      <c r="K101" s="115">
        <f t="shared" si="86"/>
        <v>214</v>
      </c>
      <c r="L101" s="119" t="str">
        <f>average(L95:L100)</f>
        <v>#DIV/0!</v>
      </c>
      <c r="M101" s="120"/>
      <c r="N101" s="121">
        <f>sum(N95:N100)</f>
        <v>3930100</v>
      </c>
      <c r="R101" s="80" t="str">
        <f t="shared" si="57"/>
        <v/>
      </c>
    </row>
    <row r="102">
      <c r="A102" s="122">
        <v>46058.0</v>
      </c>
      <c r="B102" s="123" t="s">
        <v>39</v>
      </c>
      <c r="C102" s="37">
        <v>122830.0</v>
      </c>
      <c r="D102" s="37">
        <v>123596.0</v>
      </c>
      <c r="E102" s="38">
        <f t="shared" ref="E102:E108" si="87">D102-C102</f>
        <v>766</v>
      </c>
      <c r="F102" s="39">
        <v>83.0</v>
      </c>
      <c r="G102" s="124">
        <f t="shared" ref="G102:G108" si="88">(F102/E102)*100</f>
        <v>10.83550914</v>
      </c>
      <c r="H102" s="37">
        <v>27154.0</v>
      </c>
      <c r="I102" s="37">
        <v>27899.0</v>
      </c>
      <c r="J102" s="89">
        <f t="shared" ref="J102:J108" si="89">I102-H102</f>
        <v>745</v>
      </c>
      <c r="K102" s="52">
        <f t="shared" ref="K102:K108" si="90">F102</f>
        <v>83</v>
      </c>
      <c r="L102" s="125">
        <f t="shared" ref="L102:L108" si="91">(K102/J102)*100</f>
        <v>11.1409396</v>
      </c>
      <c r="M102" s="126">
        <v>18170.0</v>
      </c>
      <c r="N102" s="49">
        <f t="shared" ref="N102:N108" si="92">F102*M102</f>
        <v>1508110</v>
      </c>
      <c r="R102" s="80" t="str">
        <f t="shared" si="57"/>
        <v/>
      </c>
    </row>
    <row r="103">
      <c r="A103" s="127">
        <v>46063.0</v>
      </c>
      <c r="B103" s="46" t="s">
        <v>39</v>
      </c>
      <c r="C103" s="37">
        <v>123596.0</v>
      </c>
      <c r="D103" s="37">
        <v>124395.0</v>
      </c>
      <c r="E103" s="12">
        <f t="shared" si="87"/>
        <v>799</v>
      </c>
      <c r="F103" s="47">
        <v>76.0</v>
      </c>
      <c r="G103" s="14">
        <f t="shared" si="88"/>
        <v>9.511889862</v>
      </c>
      <c r="H103" s="37">
        <v>27899.0</v>
      </c>
      <c r="I103" s="13">
        <v>28679.0</v>
      </c>
      <c r="J103" s="37">
        <f t="shared" si="89"/>
        <v>780</v>
      </c>
      <c r="K103" s="52">
        <f t="shared" si="90"/>
        <v>76</v>
      </c>
      <c r="L103" s="48">
        <f t="shared" si="91"/>
        <v>9.743589744</v>
      </c>
      <c r="M103" s="50">
        <v>18450.0</v>
      </c>
      <c r="N103" s="49">
        <f t="shared" si="92"/>
        <v>1402200</v>
      </c>
      <c r="R103" s="80" t="str">
        <f t="shared" si="57"/>
        <v/>
      </c>
      <c r="S103" s="257"/>
      <c r="T103" s="257"/>
      <c r="U103" s="257"/>
      <c r="V103" s="257"/>
      <c r="W103" s="257"/>
      <c r="X103" s="257"/>
      <c r="Y103" s="257"/>
      <c r="Z103" s="257"/>
    </row>
    <row r="104">
      <c r="A104" s="127">
        <v>46076.0</v>
      </c>
      <c r="B104" s="46" t="s">
        <v>39</v>
      </c>
      <c r="C104" s="37">
        <v>124395.0</v>
      </c>
      <c r="D104" s="37">
        <v>125010.0</v>
      </c>
      <c r="E104" s="12">
        <f t="shared" si="87"/>
        <v>615</v>
      </c>
      <c r="F104" s="47">
        <v>66.0</v>
      </c>
      <c r="G104" s="14">
        <f t="shared" si="88"/>
        <v>10.73170732</v>
      </c>
      <c r="H104" s="13">
        <v>28679.0</v>
      </c>
      <c r="I104" s="37">
        <v>29355.0</v>
      </c>
      <c r="J104" s="37">
        <f t="shared" si="89"/>
        <v>676</v>
      </c>
      <c r="K104" s="52">
        <f t="shared" si="90"/>
        <v>66</v>
      </c>
      <c r="L104" s="48">
        <f t="shared" si="91"/>
        <v>9.763313609</v>
      </c>
      <c r="M104" s="50">
        <v>18520.0</v>
      </c>
      <c r="N104" s="49">
        <f t="shared" si="92"/>
        <v>1222320</v>
      </c>
      <c r="P104" s="82"/>
      <c r="R104" s="80" t="str">
        <f t="shared" si="57"/>
        <v/>
      </c>
    </row>
    <row r="105">
      <c r="A105" s="127"/>
      <c r="B105" s="46" t="s">
        <v>39</v>
      </c>
      <c r="C105" s="37"/>
      <c r="D105" s="37"/>
      <c r="E105" s="12">
        <f t="shared" si="87"/>
        <v>0</v>
      </c>
      <c r="F105" s="47"/>
      <c r="G105" s="14" t="str">
        <f t="shared" si="88"/>
        <v>#DIV/0!</v>
      </c>
      <c r="H105" s="37"/>
      <c r="I105" s="37"/>
      <c r="J105" s="37">
        <f t="shared" si="89"/>
        <v>0</v>
      </c>
      <c r="K105" s="52" t="str">
        <f t="shared" si="90"/>
        <v/>
      </c>
      <c r="L105" s="48" t="str">
        <f t="shared" si="91"/>
        <v>#DIV/0!</v>
      </c>
      <c r="M105" s="50"/>
      <c r="N105" s="49">
        <f t="shared" si="92"/>
        <v>0</v>
      </c>
      <c r="R105" s="80" t="str">
        <f t="shared" si="57"/>
        <v/>
      </c>
    </row>
    <row r="106">
      <c r="A106" s="35"/>
      <c r="B106" s="46" t="s">
        <v>39</v>
      </c>
      <c r="C106" s="37"/>
      <c r="D106" s="37"/>
      <c r="E106" s="12">
        <f t="shared" si="87"/>
        <v>0</v>
      </c>
      <c r="F106" s="47"/>
      <c r="G106" s="14" t="str">
        <f t="shared" si="88"/>
        <v>#DIV/0!</v>
      </c>
      <c r="H106" s="37"/>
      <c r="I106" s="40"/>
      <c r="J106" s="37">
        <f t="shared" si="89"/>
        <v>0</v>
      </c>
      <c r="K106" s="52" t="str">
        <f t="shared" si="90"/>
        <v/>
      </c>
      <c r="L106" s="48" t="str">
        <f t="shared" si="91"/>
        <v>#DIV/0!</v>
      </c>
      <c r="M106" s="50"/>
      <c r="N106" s="49">
        <f t="shared" si="92"/>
        <v>0</v>
      </c>
      <c r="R106" s="80" t="str">
        <f t="shared" si="57"/>
        <v/>
      </c>
    </row>
    <row r="107">
      <c r="A107" s="258"/>
      <c r="B107" s="46" t="s">
        <v>39</v>
      </c>
      <c r="C107" s="37"/>
      <c r="D107" s="133"/>
      <c r="E107" s="12">
        <f t="shared" si="87"/>
        <v>0</v>
      </c>
      <c r="F107" s="47"/>
      <c r="G107" s="14" t="str">
        <f t="shared" si="88"/>
        <v>#DIV/0!</v>
      </c>
      <c r="H107" s="37"/>
      <c r="I107" s="93"/>
      <c r="J107" s="37">
        <f t="shared" si="89"/>
        <v>0</v>
      </c>
      <c r="K107" s="52" t="str">
        <f t="shared" si="90"/>
        <v/>
      </c>
      <c r="L107" s="48" t="str">
        <f t="shared" si="91"/>
        <v>#DIV/0!</v>
      </c>
      <c r="M107" s="134"/>
      <c r="N107" s="49">
        <f t="shared" si="92"/>
        <v>0</v>
      </c>
      <c r="R107" s="80" t="str">
        <f t="shared" si="57"/>
        <v/>
      </c>
    </row>
    <row r="108">
      <c r="A108" s="94"/>
      <c r="B108" s="46" t="s">
        <v>39</v>
      </c>
      <c r="C108" s="55"/>
      <c r="D108" s="95"/>
      <c r="E108" s="25">
        <f t="shared" si="87"/>
        <v>0</v>
      </c>
      <c r="F108" s="47"/>
      <c r="G108" s="56" t="str">
        <f t="shared" si="88"/>
        <v>#DIV/0!</v>
      </c>
      <c r="H108" s="55"/>
      <c r="I108" s="85"/>
      <c r="J108" s="55">
        <f t="shared" si="89"/>
        <v>0</v>
      </c>
      <c r="K108" s="52" t="str">
        <f t="shared" si="90"/>
        <v/>
      </c>
      <c r="L108" s="77" t="str">
        <f t="shared" si="91"/>
        <v>#DIV/0!</v>
      </c>
      <c r="M108" s="96"/>
      <c r="N108" s="49">
        <f t="shared" si="92"/>
        <v>0</v>
      </c>
      <c r="R108" s="80" t="str">
        <f t="shared" si="57"/>
        <v/>
      </c>
    </row>
    <row r="109">
      <c r="A109" s="62"/>
      <c r="B109" s="63"/>
      <c r="C109" s="62"/>
      <c r="D109" s="64" t="s">
        <v>19</v>
      </c>
      <c r="E109" s="64">
        <f>sum(E95:E108)</f>
        <v>5770</v>
      </c>
      <c r="F109" s="64">
        <f>sum(F101:F108)</f>
        <v>637</v>
      </c>
      <c r="G109" s="65" t="str">
        <f>average(G95:G108)</f>
        <v>#DIV/0!</v>
      </c>
      <c r="H109" s="62"/>
      <c r="I109" s="66"/>
      <c r="J109" s="64">
        <f t="shared" ref="J109:K109" si="93">sum(J95:J108)</f>
        <v>-49867</v>
      </c>
      <c r="K109" s="64">
        <f t="shared" si="93"/>
        <v>653</v>
      </c>
      <c r="L109" s="65" t="str">
        <f>average(L95:L108)</f>
        <v>#DIV/0!</v>
      </c>
      <c r="M109" s="68"/>
      <c r="N109" s="69">
        <f>sum(N102:N108)</f>
        <v>4132630</v>
      </c>
      <c r="R109" s="80" t="str">
        <f t="shared" si="57"/>
        <v/>
      </c>
    </row>
    <row r="110">
      <c r="A110" s="70">
        <v>46056.0</v>
      </c>
      <c r="B110" s="99" t="s">
        <v>40</v>
      </c>
      <c r="C110" s="13">
        <v>118825.0</v>
      </c>
      <c r="D110" s="13">
        <v>119574.0</v>
      </c>
      <c r="E110" s="38">
        <f t="shared" ref="E110:E116" si="94">D110-C110</f>
        <v>749</v>
      </c>
      <c r="F110" s="39">
        <v>89.0</v>
      </c>
      <c r="G110" s="14">
        <f t="shared" ref="G110:G116" si="95">(F110/E110)*100</f>
        <v>11.88251001</v>
      </c>
      <c r="H110" s="40">
        <v>117012.0</v>
      </c>
      <c r="I110" s="40">
        <v>117673.0</v>
      </c>
      <c r="J110" s="41">
        <f t="shared" ref="J110:J116" si="96">I110-H110</f>
        <v>661</v>
      </c>
      <c r="K110" s="81">
        <f t="shared" ref="K110:K116" si="97">F110</f>
        <v>89</v>
      </c>
      <c r="L110" s="71">
        <f t="shared" ref="L110:L116" si="98">(K110/J110)*100</f>
        <v>13.46444781</v>
      </c>
      <c r="M110" s="72">
        <v>18170.0</v>
      </c>
      <c r="N110" s="44">
        <f t="shared" ref="N110:N116" si="99">F110*M110</f>
        <v>1617130</v>
      </c>
      <c r="R110" s="80" t="str">
        <f t="shared" si="57"/>
        <v/>
      </c>
    </row>
    <row r="111">
      <c r="A111" s="45">
        <v>46063.0</v>
      </c>
      <c r="B111" s="51" t="s">
        <v>40</v>
      </c>
      <c r="C111" s="13">
        <v>119574.0</v>
      </c>
      <c r="D111" s="11">
        <v>120254.0</v>
      </c>
      <c r="E111" s="53">
        <f t="shared" si="94"/>
        <v>680</v>
      </c>
      <c r="F111" s="54">
        <v>76.0</v>
      </c>
      <c r="G111" s="14">
        <f t="shared" si="95"/>
        <v>11.17647059</v>
      </c>
      <c r="H111" s="40">
        <v>117673.0</v>
      </c>
      <c r="I111" s="40">
        <v>118324.0</v>
      </c>
      <c r="J111" s="37">
        <f t="shared" si="96"/>
        <v>651</v>
      </c>
      <c r="K111" s="52">
        <f t="shared" si="97"/>
        <v>76</v>
      </c>
      <c r="L111" s="48">
        <f t="shared" si="98"/>
        <v>11.67434716</v>
      </c>
      <c r="M111" s="50">
        <v>18450.0</v>
      </c>
      <c r="N111" s="49">
        <f t="shared" si="99"/>
        <v>1402200</v>
      </c>
      <c r="R111" s="80" t="str">
        <f t="shared" si="57"/>
        <v/>
      </c>
    </row>
    <row r="112">
      <c r="A112" s="35">
        <v>46077.0</v>
      </c>
      <c r="B112" s="46" t="s">
        <v>40</v>
      </c>
      <c r="C112" s="11">
        <v>120254.0</v>
      </c>
      <c r="D112" s="13">
        <v>120809.0</v>
      </c>
      <c r="E112" s="12">
        <f t="shared" si="94"/>
        <v>555</v>
      </c>
      <c r="F112" s="47">
        <v>69.0</v>
      </c>
      <c r="G112" s="14">
        <f t="shared" si="95"/>
        <v>12.43243243</v>
      </c>
      <c r="H112" s="40">
        <v>118324.0</v>
      </c>
      <c r="I112" s="40">
        <v>118875.0</v>
      </c>
      <c r="J112" s="37">
        <f t="shared" si="96"/>
        <v>551</v>
      </c>
      <c r="K112" s="52">
        <f t="shared" si="97"/>
        <v>69</v>
      </c>
      <c r="L112" s="48">
        <f t="shared" si="98"/>
        <v>12.52268603</v>
      </c>
      <c r="M112" s="50">
        <v>18520.0</v>
      </c>
      <c r="N112" s="49">
        <f t="shared" si="99"/>
        <v>1277880</v>
      </c>
      <c r="R112" s="80" t="str">
        <f t="shared" si="57"/>
        <v/>
      </c>
    </row>
    <row r="113">
      <c r="A113" s="35"/>
      <c r="B113" s="46" t="s">
        <v>40</v>
      </c>
      <c r="C113" s="13"/>
      <c r="D113" s="13"/>
      <c r="E113" s="12">
        <f t="shared" si="94"/>
        <v>0</v>
      </c>
      <c r="F113" s="47"/>
      <c r="G113" s="14" t="str">
        <f t="shared" si="95"/>
        <v>#DIV/0!</v>
      </c>
      <c r="H113" s="40"/>
      <c r="I113" s="40"/>
      <c r="J113" s="37">
        <f t="shared" si="96"/>
        <v>0</v>
      </c>
      <c r="K113" s="52" t="str">
        <f t="shared" si="97"/>
        <v/>
      </c>
      <c r="L113" s="48" t="str">
        <f t="shared" si="98"/>
        <v>#DIV/0!</v>
      </c>
      <c r="M113" s="50"/>
      <c r="N113" s="49">
        <f t="shared" si="99"/>
        <v>0</v>
      </c>
      <c r="R113" s="80" t="str">
        <f t="shared" si="57"/>
        <v/>
      </c>
    </row>
    <row r="114">
      <c r="A114" s="35"/>
      <c r="B114" s="46" t="s">
        <v>40</v>
      </c>
      <c r="C114" s="13"/>
      <c r="D114" s="37"/>
      <c r="E114" s="12">
        <f t="shared" si="94"/>
        <v>0</v>
      </c>
      <c r="F114" s="47"/>
      <c r="G114" s="14" t="str">
        <f t="shared" si="95"/>
        <v>#DIV/0!</v>
      </c>
      <c r="H114" s="40"/>
      <c r="I114" s="40"/>
      <c r="J114" s="37">
        <f t="shared" si="96"/>
        <v>0</v>
      </c>
      <c r="K114" s="52" t="str">
        <f t="shared" si="97"/>
        <v/>
      </c>
      <c r="L114" s="48" t="str">
        <f t="shared" si="98"/>
        <v>#DIV/0!</v>
      </c>
      <c r="M114" s="50"/>
      <c r="N114" s="49">
        <f t="shared" si="99"/>
        <v>0</v>
      </c>
      <c r="R114" s="80" t="str">
        <f t="shared" si="57"/>
        <v/>
      </c>
    </row>
    <row r="115">
      <c r="A115" s="132"/>
      <c r="B115" s="46" t="s">
        <v>40</v>
      </c>
      <c r="C115" s="37"/>
      <c r="D115" s="133"/>
      <c r="E115" s="12">
        <f t="shared" si="94"/>
        <v>0</v>
      </c>
      <c r="F115" s="47"/>
      <c r="G115" s="14" t="str">
        <f t="shared" si="95"/>
        <v>#DIV/0!</v>
      </c>
      <c r="H115" s="37"/>
      <c r="I115" s="40"/>
      <c r="J115" s="37">
        <f t="shared" si="96"/>
        <v>0</v>
      </c>
      <c r="K115" s="52" t="str">
        <f t="shared" si="97"/>
        <v/>
      </c>
      <c r="L115" s="48" t="str">
        <f t="shared" si="98"/>
        <v>#DIV/0!</v>
      </c>
      <c r="M115" s="134"/>
      <c r="N115" s="49">
        <f t="shared" si="99"/>
        <v>0</v>
      </c>
      <c r="R115" s="80" t="str">
        <f t="shared" si="57"/>
        <v/>
      </c>
    </row>
    <row r="116">
      <c r="A116" s="94"/>
      <c r="B116" s="46" t="s">
        <v>40</v>
      </c>
      <c r="C116" s="55"/>
      <c r="D116" s="95"/>
      <c r="E116" s="25">
        <f t="shared" si="94"/>
        <v>0</v>
      </c>
      <c r="F116" s="47"/>
      <c r="G116" s="56" t="str">
        <f t="shared" si="95"/>
        <v>#DIV/0!</v>
      </c>
      <c r="H116" s="55"/>
      <c r="I116" s="85"/>
      <c r="J116" s="55">
        <f t="shared" si="96"/>
        <v>0</v>
      </c>
      <c r="K116" s="52" t="str">
        <f t="shared" si="97"/>
        <v/>
      </c>
      <c r="L116" s="77" t="str">
        <f t="shared" si="98"/>
        <v>#DIV/0!</v>
      </c>
      <c r="M116" s="96"/>
      <c r="N116" s="59">
        <f t="shared" si="99"/>
        <v>0</v>
      </c>
      <c r="R116" s="80" t="str">
        <f t="shared" si="57"/>
        <v/>
      </c>
    </row>
    <row r="117">
      <c r="A117" s="62"/>
      <c r="B117" s="63"/>
      <c r="C117" s="62"/>
      <c r="D117" s="64" t="s">
        <v>19</v>
      </c>
      <c r="E117" s="64">
        <f>sum(E110:E116)</f>
        <v>1984</v>
      </c>
      <c r="F117" s="39"/>
      <c r="G117" s="65" t="str">
        <f>average(G110:G116)</f>
        <v>#DIV/0!</v>
      </c>
      <c r="H117" s="62"/>
      <c r="I117" s="66"/>
      <c r="J117" s="64">
        <f t="shared" ref="J117:K117" si="100">sum(J110:J116)</f>
        <v>1863</v>
      </c>
      <c r="K117" s="64">
        <f t="shared" si="100"/>
        <v>234</v>
      </c>
      <c r="L117" s="65" t="str">
        <f>average(L110:L116)</f>
        <v>#DIV/0!</v>
      </c>
      <c r="M117" s="68"/>
      <c r="N117" s="69">
        <f>sum(N110:N116)</f>
        <v>4297210</v>
      </c>
      <c r="R117" s="80" t="str">
        <f t="shared" si="57"/>
        <v/>
      </c>
    </row>
    <row r="118">
      <c r="A118" s="70">
        <v>46058.0</v>
      </c>
      <c r="B118" s="99" t="s">
        <v>41</v>
      </c>
      <c r="C118" s="37">
        <v>174834.0</v>
      </c>
      <c r="D118" s="37">
        <v>175112.0</v>
      </c>
      <c r="E118" s="38">
        <f t="shared" ref="E118:E124" si="101">D118-C118</f>
        <v>278</v>
      </c>
      <c r="F118" s="39">
        <v>76.0</v>
      </c>
      <c r="G118" s="14">
        <f t="shared" ref="G118:G124" si="102">(F118/E118)*100</f>
        <v>27.3381295</v>
      </c>
      <c r="H118" s="40">
        <v>15964.0</v>
      </c>
      <c r="I118" s="40">
        <v>16621.0</v>
      </c>
      <c r="J118" s="41">
        <f t="shared" ref="J118:J124" si="103">I118-H118</f>
        <v>657</v>
      </c>
      <c r="K118" s="81">
        <f t="shared" ref="K118:K124" si="104">F118</f>
        <v>76</v>
      </c>
      <c r="L118" s="71">
        <f t="shared" ref="L118:L124" si="105">(K118/J118)*100</f>
        <v>11.56773212</v>
      </c>
      <c r="M118" s="43">
        <v>18170.0</v>
      </c>
      <c r="N118" s="44">
        <f t="shared" ref="N118:N124" si="106">F118*M118</f>
        <v>1380920</v>
      </c>
      <c r="R118" s="80" t="str">
        <f t="shared" si="57"/>
        <v/>
      </c>
    </row>
    <row r="119">
      <c r="A119" s="128">
        <v>46065.0</v>
      </c>
      <c r="B119" s="129" t="s">
        <v>41</v>
      </c>
      <c r="C119" s="37">
        <v>175112.0</v>
      </c>
      <c r="D119" s="53">
        <v>175545.0</v>
      </c>
      <c r="E119" s="53">
        <f t="shared" si="101"/>
        <v>433</v>
      </c>
      <c r="F119" s="130">
        <v>77.0</v>
      </c>
      <c r="G119" s="14">
        <f t="shared" si="102"/>
        <v>17.78290993</v>
      </c>
      <c r="H119" s="40">
        <v>16621.0</v>
      </c>
      <c r="I119" s="40">
        <v>17344.0</v>
      </c>
      <c r="J119" s="37">
        <f t="shared" si="103"/>
        <v>723</v>
      </c>
      <c r="K119" s="52">
        <f t="shared" si="104"/>
        <v>77</v>
      </c>
      <c r="L119" s="48">
        <f t="shared" si="105"/>
        <v>10.65006916</v>
      </c>
      <c r="M119" s="50">
        <v>18450.0</v>
      </c>
      <c r="N119" s="131">
        <f t="shared" si="106"/>
        <v>1420650</v>
      </c>
      <c r="R119" s="80" t="str">
        <f t="shared" si="57"/>
        <v/>
      </c>
    </row>
    <row r="120">
      <c r="A120" s="128">
        <v>46080.0</v>
      </c>
      <c r="B120" s="129" t="s">
        <v>41</v>
      </c>
      <c r="C120" s="53">
        <v>175545.0</v>
      </c>
      <c r="D120" s="53">
        <v>175962.0</v>
      </c>
      <c r="E120" s="53">
        <f t="shared" si="101"/>
        <v>417</v>
      </c>
      <c r="F120" s="130">
        <v>79.0</v>
      </c>
      <c r="G120" s="14">
        <f t="shared" si="102"/>
        <v>18.94484412</v>
      </c>
      <c r="H120" s="40">
        <v>17344.0</v>
      </c>
      <c r="I120" s="37">
        <v>18119.0</v>
      </c>
      <c r="J120" s="37">
        <f t="shared" si="103"/>
        <v>775</v>
      </c>
      <c r="K120" s="52">
        <f t="shared" si="104"/>
        <v>79</v>
      </c>
      <c r="L120" s="48">
        <f t="shared" si="105"/>
        <v>10.19354839</v>
      </c>
      <c r="M120" s="50">
        <v>19270.0</v>
      </c>
      <c r="N120" s="131">
        <f t="shared" si="106"/>
        <v>1522330</v>
      </c>
      <c r="R120" s="80" t="str">
        <f t="shared" si="57"/>
        <v/>
      </c>
    </row>
    <row r="121">
      <c r="A121" s="35"/>
      <c r="B121" s="46" t="s">
        <v>41</v>
      </c>
      <c r="C121" s="53"/>
      <c r="D121" s="37"/>
      <c r="E121" s="12">
        <f t="shared" si="101"/>
        <v>0</v>
      </c>
      <c r="F121" s="47"/>
      <c r="G121" s="14" t="str">
        <f t="shared" si="102"/>
        <v>#DIV/0!</v>
      </c>
      <c r="H121" s="37"/>
      <c r="I121" s="40"/>
      <c r="J121" s="37">
        <f t="shared" si="103"/>
        <v>0</v>
      </c>
      <c r="K121" s="52" t="str">
        <f t="shared" si="104"/>
        <v/>
      </c>
      <c r="L121" s="48" t="str">
        <f t="shared" si="105"/>
        <v>#DIV/0!</v>
      </c>
      <c r="M121" s="50"/>
      <c r="N121" s="131">
        <f t="shared" si="106"/>
        <v>0</v>
      </c>
      <c r="R121" s="80" t="str">
        <f t="shared" si="57"/>
        <v/>
      </c>
    </row>
    <row r="122">
      <c r="A122" s="136"/>
      <c r="B122" s="51" t="s">
        <v>41</v>
      </c>
      <c r="C122" s="52"/>
      <c r="D122" s="52"/>
      <c r="E122" s="12">
        <f t="shared" si="101"/>
        <v>0</v>
      </c>
      <c r="F122" s="47"/>
      <c r="G122" s="14" t="str">
        <f t="shared" si="102"/>
        <v>#DIV/0!</v>
      </c>
      <c r="H122" s="37"/>
      <c r="I122" s="40"/>
      <c r="J122" s="37">
        <f t="shared" si="103"/>
        <v>0</v>
      </c>
      <c r="K122" s="52" t="str">
        <f t="shared" si="104"/>
        <v/>
      </c>
      <c r="L122" s="48" t="str">
        <f t="shared" si="105"/>
        <v>#DIV/0!</v>
      </c>
      <c r="M122" s="50"/>
      <c r="N122" s="131">
        <f t="shared" si="106"/>
        <v>0</v>
      </c>
      <c r="R122" s="80" t="str">
        <f t="shared" si="57"/>
        <v/>
      </c>
    </row>
    <row r="123">
      <c r="A123" s="132"/>
      <c r="B123" s="46" t="s">
        <v>41</v>
      </c>
      <c r="C123" s="37"/>
      <c r="D123" s="133"/>
      <c r="E123" s="12">
        <f t="shared" si="101"/>
        <v>0</v>
      </c>
      <c r="F123" s="47"/>
      <c r="G123" s="14" t="str">
        <f t="shared" si="102"/>
        <v>#DIV/0!</v>
      </c>
      <c r="H123" s="37"/>
      <c r="I123" s="40"/>
      <c r="J123" s="37">
        <f t="shared" si="103"/>
        <v>0</v>
      </c>
      <c r="K123" s="52" t="str">
        <f t="shared" si="104"/>
        <v/>
      </c>
      <c r="L123" s="48" t="str">
        <f t="shared" si="105"/>
        <v>#DIV/0!</v>
      </c>
      <c r="M123" s="134"/>
      <c r="N123" s="131">
        <f t="shared" si="106"/>
        <v>0</v>
      </c>
      <c r="R123" s="80" t="str">
        <f t="shared" si="57"/>
        <v/>
      </c>
    </row>
    <row r="124">
      <c r="A124" s="94"/>
      <c r="B124" s="46" t="s">
        <v>41</v>
      </c>
      <c r="C124" s="55"/>
      <c r="D124" s="95"/>
      <c r="E124" s="25">
        <f t="shared" si="101"/>
        <v>0</v>
      </c>
      <c r="F124" s="47"/>
      <c r="G124" s="56" t="str">
        <f t="shared" si="102"/>
        <v>#DIV/0!</v>
      </c>
      <c r="H124" s="55"/>
      <c r="I124" s="85"/>
      <c r="J124" s="55">
        <f t="shared" si="103"/>
        <v>0</v>
      </c>
      <c r="K124" s="52" t="str">
        <f t="shared" si="104"/>
        <v/>
      </c>
      <c r="L124" s="77" t="str">
        <f t="shared" si="105"/>
        <v>#DIV/0!</v>
      </c>
      <c r="M124" s="96"/>
      <c r="N124" s="135">
        <f t="shared" si="106"/>
        <v>0</v>
      </c>
      <c r="R124" s="80" t="str">
        <f t="shared" si="57"/>
        <v/>
      </c>
    </row>
    <row r="125">
      <c r="A125" s="62"/>
      <c r="B125" s="63"/>
      <c r="C125" s="62"/>
      <c r="D125" s="64" t="s">
        <v>19</v>
      </c>
      <c r="E125" s="64">
        <f>sum(E118:E124)</f>
        <v>1128</v>
      </c>
      <c r="F125" s="64">
        <f>sum(F117:F124)</f>
        <v>232</v>
      </c>
      <c r="G125" s="65" t="str">
        <f>average(G118:G124)</f>
        <v>#DIV/0!</v>
      </c>
      <c r="H125" s="62"/>
      <c r="I125" s="66"/>
      <c r="J125" s="64">
        <f t="shared" ref="J125:K125" si="107">sum(J118:J124)</f>
        <v>2155</v>
      </c>
      <c r="K125" s="64">
        <f t="shared" si="107"/>
        <v>232</v>
      </c>
      <c r="L125" s="65" t="str">
        <f>average(L118:L124)</f>
        <v>#DIV/0!</v>
      </c>
      <c r="M125" s="68"/>
      <c r="N125" s="69">
        <f>sum(N118:N124)</f>
        <v>4323900</v>
      </c>
      <c r="R125" s="80" t="str">
        <f t="shared" si="57"/>
        <v/>
      </c>
    </row>
    <row r="126">
      <c r="A126" s="70">
        <v>46054.0</v>
      </c>
      <c r="B126" s="99" t="s">
        <v>27</v>
      </c>
      <c r="C126" s="89"/>
      <c r="D126" s="13"/>
      <c r="E126" s="38">
        <f t="shared" ref="E126:E133" si="108">D126-C126</f>
        <v>0</v>
      </c>
      <c r="F126" s="39"/>
      <c r="G126" s="14" t="str">
        <f t="shared" ref="G126:G133" si="109">(F126/E126)*100</f>
        <v>#DIV/0!</v>
      </c>
      <c r="H126" s="137"/>
      <c r="I126" s="138"/>
      <c r="J126" s="41">
        <f t="shared" ref="J126:J133" si="110">I126-H126</f>
        <v>0</v>
      </c>
      <c r="K126" s="52" t="str">
        <f t="shared" ref="K126:K130" si="111">F126</f>
        <v/>
      </c>
      <c r="L126" s="71" t="str">
        <f t="shared" ref="L126:L133" si="112">(K126/J126)*100</f>
        <v>#DIV/0!</v>
      </c>
      <c r="M126" s="72"/>
      <c r="N126" s="44">
        <v>1036000.0</v>
      </c>
      <c r="R126" s="80" t="str">
        <f t="shared" si="57"/>
        <v/>
      </c>
    </row>
    <row r="127">
      <c r="A127" s="35">
        <v>46057.0</v>
      </c>
      <c r="B127" s="46" t="s">
        <v>27</v>
      </c>
      <c r="C127" s="37"/>
      <c r="D127" s="13"/>
      <c r="E127" s="12">
        <f t="shared" si="108"/>
        <v>0</v>
      </c>
      <c r="F127" s="47"/>
      <c r="G127" s="14" t="str">
        <f t="shared" si="109"/>
        <v>#DIV/0!</v>
      </c>
      <c r="H127" s="40"/>
      <c r="I127" s="40"/>
      <c r="J127" s="37">
        <f t="shared" si="110"/>
        <v>0</v>
      </c>
      <c r="K127" s="52" t="str">
        <f t="shared" si="111"/>
        <v/>
      </c>
      <c r="L127" s="48" t="str">
        <f t="shared" si="112"/>
        <v>#DIV/0!</v>
      </c>
      <c r="M127" s="50"/>
      <c r="N127" s="49">
        <v>1036000.0</v>
      </c>
      <c r="R127" s="80" t="str">
        <f t="shared" si="57"/>
        <v/>
      </c>
    </row>
    <row r="128">
      <c r="A128" s="35">
        <v>46060.0</v>
      </c>
      <c r="B128" s="46" t="s">
        <v>27</v>
      </c>
      <c r="C128" s="37"/>
      <c r="D128" s="37"/>
      <c r="E128" s="12">
        <f t="shared" si="108"/>
        <v>0</v>
      </c>
      <c r="F128" s="47"/>
      <c r="G128" s="14" t="str">
        <f t="shared" si="109"/>
        <v>#DIV/0!</v>
      </c>
      <c r="H128" s="37"/>
      <c r="I128" s="40"/>
      <c r="J128" s="37">
        <f t="shared" si="110"/>
        <v>0</v>
      </c>
      <c r="K128" s="52" t="str">
        <f t="shared" si="111"/>
        <v/>
      </c>
      <c r="L128" s="48" t="str">
        <f t="shared" si="112"/>
        <v>#DIV/0!</v>
      </c>
      <c r="M128" s="50"/>
      <c r="N128" s="49">
        <v>1144000.0</v>
      </c>
      <c r="R128" s="80" t="str">
        <f t="shared" si="57"/>
        <v/>
      </c>
    </row>
    <row r="129">
      <c r="A129" s="35">
        <v>46063.0</v>
      </c>
      <c r="B129" s="46" t="s">
        <v>27</v>
      </c>
      <c r="C129" s="37"/>
      <c r="D129" s="37"/>
      <c r="E129" s="12">
        <f t="shared" si="108"/>
        <v>0</v>
      </c>
      <c r="F129" s="47"/>
      <c r="G129" s="14" t="str">
        <f t="shared" si="109"/>
        <v>#DIV/0!</v>
      </c>
      <c r="H129" s="37"/>
      <c r="I129" s="40"/>
      <c r="J129" s="37">
        <f t="shared" si="110"/>
        <v>0</v>
      </c>
      <c r="K129" s="52" t="str">
        <f t="shared" si="111"/>
        <v/>
      </c>
      <c r="L129" s="48" t="str">
        <f t="shared" si="112"/>
        <v>#DIV/0!</v>
      </c>
      <c r="M129" s="50"/>
      <c r="N129" s="49">
        <v>1033000.0</v>
      </c>
      <c r="R129" s="80" t="str">
        <f t="shared" si="57"/>
        <v/>
      </c>
    </row>
    <row r="130">
      <c r="A130" s="35">
        <v>46068.0</v>
      </c>
      <c r="B130" s="46" t="s">
        <v>27</v>
      </c>
      <c r="C130" s="37"/>
      <c r="D130" s="37"/>
      <c r="E130" s="12">
        <f t="shared" si="108"/>
        <v>0</v>
      </c>
      <c r="F130" s="47"/>
      <c r="G130" s="14" t="str">
        <f t="shared" si="109"/>
        <v>#DIV/0!</v>
      </c>
      <c r="H130" s="37"/>
      <c r="I130" s="40"/>
      <c r="J130" s="37">
        <f t="shared" si="110"/>
        <v>0</v>
      </c>
      <c r="K130" s="52" t="str">
        <f t="shared" si="111"/>
        <v/>
      </c>
      <c r="L130" s="48" t="str">
        <f t="shared" si="112"/>
        <v>#DIV/0!</v>
      </c>
      <c r="M130" s="50"/>
      <c r="N130" s="49">
        <v>1145000.0</v>
      </c>
      <c r="R130" s="80" t="str">
        <f t="shared" si="57"/>
        <v/>
      </c>
    </row>
    <row r="131">
      <c r="A131" s="35">
        <v>46077.0</v>
      </c>
      <c r="B131" s="46" t="s">
        <v>27</v>
      </c>
      <c r="C131" s="37"/>
      <c r="D131" s="133"/>
      <c r="E131" s="12">
        <f t="shared" si="108"/>
        <v>0</v>
      </c>
      <c r="F131" s="47"/>
      <c r="G131" s="14" t="str">
        <f t="shared" si="109"/>
        <v>#DIV/0!</v>
      </c>
      <c r="H131" s="37"/>
      <c r="I131" s="93"/>
      <c r="J131" s="37">
        <f t="shared" si="110"/>
        <v>0</v>
      </c>
      <c r="K131" s="52"/>
      <c r="L131" s="48" t="str">
        <f t="shared" si="112"/>
        <v>#DIV/0!</v>
      </c>
      <c r="M131" s="50"/>
      <c r="N131" s="49">
        <v>1204000.0</v>
      </c>
      <c r="R131" s="80" t="str">
        <f t="shared" si="57"/>
        <v/>
      </c>
    </row>
    <row r="132">
      <c r="A132" s="35">
        <v>46080.0</v>
      </c>
      <c r="B132" s="46" t="s">
        <v>27</v>
      </c>
      <c r="C132" s="37"/>
      <c r="D132" s="133"/>
      <c r="E132" s="12">
        <f t="shared" si="108"/>
        <v>0</v>
      </c>
      <c r="F132" s="47"/>
      <c r="G132" s="14" t="str">
        <f t="shared" si="109"/>
        <v>#DIV/0!</v>
      </c>
      <c r="H132" s="37"/>
      <c r="I132" s="93"/>
      <c r="J132" s="37">
        <f t="shared" si="110"/>
        <v>0</v>
      </c>
      <c r="K132" s="52"/>
      <c r="L132" s="48" t="str">
        <f t="shared" si="112"/>
        <v>#DIV/0!</v>
      </c>
      <c r="M132" s="50"/>
      <c r="N132" s="49">
        <v>1021000.0</v>
      </c>
      <c r="R132" s="80" t="str">
        <f t="shared" si="57"/>
        <v/>
      </c>
    </row>
    <row r="133">
      <c r="A133" s="236"/>
      <c r="B133" s="83" t="s">
        <v>27</v>
      </c>
      <c r="C133" s="55"/>
      <c r="D133" s="95"/>
      <c r="E133" s="25">
        <f t="shared" si="108"/>
        <v>0</v>
      </c>
      <c r="F133" s="47"/>
      <c r="G133" s="56" t="str">
        <f t="shared" si="109"/>
        <v>#DIV/0!</v>
      </c>
      <c r="H133" s="55"/>
      <c r="I133" s="85"/>
      <c r="J133" s="55">
        <f t="shared" si="110"/>
        <v>0</v>
      </c>
      <c r="K133" s="52"/>
      <c r="L133" s="77" t="str">
        <f t="shared" si="112"/>
        <v>#DIV/0!</v>
      </c>
      <c r="M133" s="58"/>
      <c r="N133" s="49">
        <f>M133*K133</f>
        <v>0</v>
      </c>
      <c r="R133" s="80" t="str">
        <f t="shared" si="57"/>
        <v/>
      </c>
    </row>
    <row r="134">
      <c r="A134" s="62"/>
      <c r="B134" s="63"/>
      <c r="C134" s="62"/>
      <c r="D134" s="64" t="s">
        <v>19</v>
      </c>
      <c r="E134" s="64">
        <f t="shared" ref="E134:F134" si="113">sum(E126:E133)</f>
        <v>0</v>
      </c>
      <c r="F134" s="64">
        <f t="shared" si="113"/>
        <v>0</v>
      </c>
      <c r="G134" s="65" t="str">
        <f>average(G126:G133)</f>
        <v>#DIV/0!</v>
      </c>
      <c r="H134" s="62"/>
      <c r="I134" s="66"/>
      <c r="J134" s="64">
        <f t="shared" ref="J134:K134" si="114">sum(J126:J133)</f>
        <v>0</v>
      </c>
      <c r="K134" s="64">
        <f t="shared" si="114"/>
        <v>0</v>
      </c>
      <c r="L134" s="65" t="str">
        <f>average(L126:L133)</f>
        <v>#DIV/0!</v>
      </c>
      <c r="M134" s="68"/>
      <c r="N134" s="147">
        <f>sum(N126:N133)</f>
        <v>7619000</v>
      </c>
      <c r="R134" s="80" t="str">
        <f t="shared" si="57"/>
        <v/>
      </c>
    </row>
    <row r="135">
      <c r="A135" s="70">
        <v>46055.0</v>
      </c>
      <c r="B135" s="99" t="s">
        <v>28</v>
      </c>
      <c r="C135" s="89"/>
      <c r="D135" s="13"/>
      <c r="E135" s="38">
        <f t="shared" ref="E135:E142" si="115">D135-C135</f>
        <v>0</v>
      </c>
      <c r="F135" s="39"/>
      <c r="G135" s="14" t="str">
        <f t="shared" ref="G135:G142" si="116">(F135/E135)*100</f>
        <v>#DIV/0!</v>
      </c>
      <c r="H135" s="137"/>
      <c r="I135" s="138"/>
      <c r="J135" s="41">
        <f t="shared" ref="J135:J142" si="117">I135-H135</f>
        <v>0</v>
      </c>
      <c r="K135" s="81"/>
      <c r="L135" s="71" t="str">
        <f t="shared" ref="L135:L138" si="118">(K135/J135)*100</f>
        <v>#DIV/0!</v>
      </c>
      <c r="M135" s="72"/>
      <c r="N135" s="49">
        <v>1090000.0</v>
      </c>
      <c r="R135" s="80" t="str">
        <f t="shared" si="57"/>
        <v/>
      </c>
    </row>
    <row r="136">
      <c r="A136" s="35">
        <v>46059.0</v>
      </c>
      <c r="B136" s="99" t="s">
        <v>28</v>
      </c>
      <c r="C136" s="37"/>
      <c r="D136" s="13"/>
      <c r="E136" s="12">
        <f t="shared" si="115"/>
        <v>0</v>
      </c>
      <c r="F136" s="47"/>
      <c r="G136" s="14" t="str">
        <f t="shared" si="116"/>
        <v>#DIV/0!</v>
      </c>
      <c r="H136" s="40"/>
      <c r="I136" s="40"/>
      <c r="J136" s="37">
        <f t="shared" si="117"/>
        <v>0</v>
      </c>
      <c r="K136" s="52"/>
      <c r="L136" s="71" t="str">
        <f t="shared" si="118"/>
        <v>#DIV/0!</v>
      </c>
      <c r="M136" s="50"/>
      <c r="N136" s="49">
        <v>1292000.0</v>
      </c>
      <c r="R136" s="80" t="str">
        <f t="shared" si="57"/>
        <v/>
      </c>
    </row>
    <row r="137">
      <c r="A137" s="35">
        <v>46063.0</v>
      </c>
      <c r="B137" s="99" t="s">
        <v>28</v>
      </c>
      <c r="C137" s="37"/>
      <c r="D137" s="37"/>
      <c r="E137" s="12">
        <f t="shared" si="115"/>
        <v>0</v>
      </c>
      <c r="F137" s="47"/>
      <c r="G137" s="14" t="str">
        <f t="shared" si="116"/>
        <v>#DIV/0!</v>
      </c>
      <c r="H137" s="37"/>
      <c r="I137" s="40"/>
      <c r="J137" s="37">
        <f t="shared" si="117"/>
        <v>0</v>
      </c>
      <c r="K137" s="52"/>
      <c r="L137" s="48" t="str">
        <f t="shared" si="118"/>
        <v>#DIV/0!</v>
      </c>
      <c r="M137" s="50"/>
      <c r="N137" s="49">
        <v>1292000.0</v>
      </c>
      <c r="R137" s="80" t="str">
        <f t="shared" si="57"/>
        <v/>
      </c>
    </row>
    <row r="138">
      <c r="A138" s="35"/>
      <c r="B138" s="99" t="s">
        <v>28</v>
      </c>
      <c r="C138" s="37"/>
      <c r="D138" s="37"/>
      <c r="E138" s="12">
        <f t="shared" si="115"/>
        <v>0</v>
      </c>
      <c r="F138" s="47"/>
      <c r="G138" s="14" t="str">
        <f t="shared" si="116"/>
        <v>#DIV/0!</v>
      </c>
      <c r="H138" s="37"/>
      <c r="I138" s="40"/>
      <c r="J138" s="37">
        <f t="shared" si="117"/>
        <v>0</v>
      </c>
      <c r="K138" s="52"/>
      <c r="L138" s="48" t="str">
        <f t="shared" si="118"/>
        <v>#DIV/0!</v>
      </c>
      <c r="M138" s="50"/>
      <c r="N138" s="49">
        <f t="shared" ref="N138:N140" si="119">M138*K138</f>
        <v>0</v>
      </c>
      <c r="R138" s="80" t="str">
        <f t="shared" si="57"/>
        <v/>
      </c>
    </row>
    <row r="139">
      <c r="A139" s="35"/>
      <c r="B139" s="99" t="s">
        <v>28</v>
      </c>
      <c r="C139" s="37"/>
      <c r="D139" s="37"/>
      <c r="E139" s="12">
        <f t="shared" si="115"/>
        <v>0</v>
      </c>
      <c r="F139" s="47"/>
      <c r="G139" s="14" t="str">
        <f t="shared" si="116"/>
        <v>#DIV/0!</v>
      </c>
      <c r="H139" s="37"/>
      <c r="I139" s="40"/>
      <c r="J139" s="37">
        <f t="shared" si="117"/>
        <v>0</v>
      </c>
      <c r="K139" s="52"/>
      <c r="L139" s="48"/>
      <c r="M139" s="50"/>
      <c r="N139" s="49">
        <f t="shared" si="119"/>
        <v>0</v>
      </c>
      <c r="R139" s="80" t="str">
        <f t="shared" si="57"/>
        <v/>
      </c>
    </row>
    <row r="140">
      <c r="A140" s="35"/>
      <c r="B140" s="99" t="s">
        <v>28</v>
      </c>
      <c r="C140" s="37"/>
      <c r="D140" s="133"/>
      <c r="E140" s="12">
        <f t="shared" si="115"/>
        <v>0</v>
      </c>
      <c r="F140" s="47"/>
      <c r="G140" s="14" t="str">
        <f t="shared" si="116"/>
        <v>#DIV/0!</v>
      </c>
      <c r="H140" s="37"/>
      <c r="I140" s="93"/>
      <c r="J140" s="37">
        <f t="shared" si="117"/>
        <v>0</v>
      </c>
      <c r="K140" s="52"/>
      <c r="L140" s="48" t="str">
        <f t="shared" ref="L140:L142" si="120">(K140/J140)*100</f>
        <v>#DIV/0!</v>
      </c>
      <c r="M140" s="50"/>
      <c r="N140" s="49">
        <f t="shared" si="119"/>
        <v>0</v>
      </c>
      <c r="R140" s="80" t="str">
        <f t="shared" si="57"/>
        <v/>
      </c>
    </row>
    <row r="141">
      <c r="A141" s="35"/>
      <c r="B141" s="99" t="s">
        <v>28</v>
      </c>
      <c r="C141" s="37"/>
      <c r="D141" s="133"/>
      <c r="E141" s="12">
        <f t="shared" si="115"/>
        <v>0</v>
      </c>
      <c r="F141" s="47"/>
      <c r="G141" s="14" t="str">
        <f t="shared" si="116"/>
        <v>#DIV/0!</v>
      </c>
      <c r="H141" s="37"/>
      <c r="I141" s="93"/>
      <c r="J141" s="37">
        <f t="shared" si="117"/>
        <v>0</v>
      </c>
      <c r="K141" s="52" t="str">
        <f t="shared" ref="K141:K142" si="121">F141</f>
        <v/>
      </c>
      <c r="L141" s="48" t="str">
        <f t="shared" si="120"/>
        <v>#DIV/0!</v>
      </c>
      <c r="M141" s="50"/>
      <c r="N141" s="49">
        <f>F141*M141</f>
        <v>0</v>
      </c>
      <c r="R141" s="80" t="str">
        <f t="shared" si="57"/>
        <v/>
      </c>
    </row>
    <row r="142">
      <c r="A142" s="146"/>
      <c r="B142" s="99" t="s">
        <v>28</v>
      </c>
      <c r="C142" s="55"/>
      <c r="D142" s="95"/>
      <c r="E142" s="25">
        <f t="shared" si="115"/>
        <v>0</v>
      </c>
      <c r="F142" s="47"/>
      <c r="G142" s="56" t="str">
        <f t="shared" si="116"/>
        <v>#DIV/0!</v>
      </c>
      <c r="H142" s="55"/>
      <c r="I142" s="85"/>
      <c r="J142" s="55">
        <f t="shared" si="117"/>
        <v>0</v>
      </c>
      <c r="K142" s="52" t="str">
        <f t="shared" si="121"/>
        <v/>
      </c>
      <c r="L142" s="77" t="str">
        <f t="shared" si="120"/>
        <v>#DIV/0!</v>
      </c>
      <c r="M142" s="58"/>
      <c r="N142" s="49">
        <f>M142*K142</f>
        <v>0</v>
      </c>
      <c r="R142" s="80" t="str">
        <f t="shared" si="57"/>
        <v/>
      </c>
    </row>
    <row r="143">
      <c r="A143" s="62"/>
      <c r="B143" s="63"/>
      <c r="C143" s="62"/>
      <c r="D143" s="64" t="s">
        <v>19</v>
      </c>
      <c r="E143" s="64">
        <f t="shared" ref="E143:F143" si="122">sum(E135:E142)</f>
        <v>0</v>
      </c>
      <c r="F143" s="64">
        <f t="shared" si="122"/>
        <v>0</v>
      </c>
      <c r="G143" s="65" t="str">
        <f>average(G135:G142)</f>
        <v>#DIV/0!</v>
      </c>
      <c r="H143" s="62"/>
      <c r="I143" s="66"/>
      <c r="J143" s="64">
        <f t="shared" ref="J143:K143" si="123">sum(J135:J142)</f>
        <v>0</v>
      </c>
      <c r="K143" s="64">
        <f t="shared" si="123"/>
        <v>0</v>
      </c>
      <c r="L143" s="65" t="str">
        <f>average(L135:L142)</f>
        <v>#DIV/0!</v>
      </c>
      <c r="M143" s="68"/>
      <c r="N143" s="147">
        <f>sum(N135:N142)</f>
        <v>3674000</v>
      </c>
      <c r="R143" s="80" t="str">
        <f t="shared" si="57"/>
        <v/>
      </c>
    </row>
    <row r="144">
      <c r="A144" s="91">
        <v>46058.0</v>
      </c>
      <c r="B144" s="99" t="s">
        <v>43</v>
      </c>
      <c r="C144" s="89"/>
      <c r="D144" s="13"/>
      <c r="E144" s="38">
        <f t="shared" ref="E144:E151" si="124">D144-C144</f>
        <v>0</v>
      </c>
      <c r="F144" s="39"/>
      <c r="G144" s="14" t="str">
        <f t="shared" ref="G144:G151" si="125">(F144/E144)*100</f>
        <v>#DIV/0!</v>
      </c>
      <c r="H144" s="137"/>
      <c r="I144" s="138"/>
      <c r="J144" s="41">
        <f t="shared" ref="J144:J151" si="126">I144-H144</f>
        <v>0</v>
      </c>
      <c r="K144" s="52" t="str">
        <f t="shared" ref="K144:K146" si="127">F144</f>
        <v/>
      </c>
      <c r="L144" s="71" t="str">
        <f t="shared" ref="L144:L151" si="128">(K144/J144)*100</f>
        <v>#DIV/0!</v>
      </c>
      <c r="M144" s="72"/>
      <c r="N144" s="49">
        <v>1127000.0</v>
      </c>
      <c r="R144" s="80" t="str">
        <f t="shared" si="57"/>
        <v/>
      </c>
    </row>
    <row r="145">
      <c r="A145" s="35">
        <v>46062.0</v>
      </c>
      <c r="B145" s="46" t="s">
        <v>43</v>
      </c>
      <c r="C145" s="37"/>
      <c r="D145" s="13"/>
      <c r="E145" s="12">
        <f t="shared" si="124"/>
        <v>0</v>
      </c>
      <c r="F145" s="47"/>
      <c r="G145" s="14" t="str">
        <f t="shared" si="125"/>
        <v>#DIV/0!</v>
      </c>
      <c r="H145" s="40"/>
      <c r="I145" s="40"/>
      <c r="J145" s="37">
        <f t="shared" si="126"/>
        <v>0</v>
      </c>
      <c r="K145" s="52" t="str">
        <f t="shared" si="127"/>
        <v/>
      </c>
      <c r="L145" s="48" t="str">
        <f t="shared" si="128"/>
        <v>#DIV/0!</v>
      </c>
      <c r="M145" s="50"/>
      <c r="N145" s="49">
        <v>1070000.0</v>
      </c>
      <c r="R145" s="80" t="str">
        <f t="shared" si="57"/>
        <v/>
      </c>
    </row>
    <row r="146">
      <c r="A146" s="35">
        <v>46065.0</v>
      </c>
      <c r="B146" s="46" t="s">
        <v>43</v>
      </c>
      <c r="C146" s="37"/>
      <c r="D146" s="37"/>
      <c r="E146" s="12">
        <f t="shared" si="124"/>
        <v>0</v>
      </c>
      <c r="F146" s="47"/>
      <c r="G146" s="14" t="str">
        <f t="shared" si="125"/>
        <v>#DIV/0!</v>
      </c>
      <c r="H146" s="37"/>
      <c r="I146" s="40"/>
      <c r="J146" s="37">
        <f t="shared" si="126"/>
        <v>0</v>
      </c>
      <c r="K146" s="52" t="str">
        <f t="shared" si="127"/>
        <v/>
      </c>
      <c r="L146" s="48" t="str">
        <f t="shared" si="128"/>
        <v>#DIV/0!</v>
      </c>
      <c r="M146" s="50"/>
      <c r="N146" s="49">
        <v>1107000.0</v>
      </c>
      <c r="R146" s="80" t="str">
        <f t="shared" si="57"/>
        <v/>
      </c>
    </row>
    <row r="147">
      <c r="A147" s="35"/>
      <c r="B147" s="46" t="s">
        <v>43</v>
      </c>
      <c r="C147" s="37"/>
      <c r="D147" s="37"/>
      <c r="E147" s="12">
        <f t="shared" si="124"/>
        <v>0</v>
      </c>
      <c r="F147" s="47"/>
      <c r="G147" s="14" t="str">
        <f t="shared" si="125"/>
        <v>#DIV/0!</v>
      </c>
      <c r="H147" s="37"/>
      <c r="I147" s="40"/>
      <c r="J147" s="37">
        <f t="shared" si="126"/>
        <v>0</v>
      </c>
      <c r="K147" s="52"/>
      <c r="L147" s="48" t="str">
        <f t="shared" si="128"/>
        <v>#DIV/0!</v>
      </c>
      <c r="M147" s="50"/>
      <c r="N147" s="49">
        <f>M147*K147</f>
        <v>0</v>
      </c>
      <c r="R147" s="80" t="str">
        <f t="shared" si="57"/>
        <v/>
      </c>
    </row>
    <row r="148">
      <c r="A148" s="35"/>
      <c r="B148" s="46" t="s">
        <v>43</v>
      </c>
      <c r="C148" s="37"/>
      <c r="D148" s="37"/>
      <c r="E148" s="12">
        <f t="shared" si="124"/>
        <v>0</v>
      </c>
      <c r="F148" s="47"/>
      <c r="G148" s="14" t="str">
        <f t="shared" si="125"/>
        <v>#DIV/0!</v>
      </c>
      <c r="H148" s="37"/>
      <c r="I148" s="40"/>
      <c r="J148" s="37">
        <f t="shared" si="126"/>
        <v>0</v>
      </c>
      <c r="K148" s="52"/>
      <c r="L148" s="48" t="str">
        <f t="shared" si="128"/>
        <v>#DIV/0!</v>
      </c>
      <c r="M148" s="50"/>
      <c r="N148" s="49">
        <f t="shared" ref="N148:N150" si="129">F148*M148</f>
        <v>0</v>
      </c>
      <c r="R148" s="80" t="str">
        <f t="shared" si="57"/>
        <v/>
      </c>
    </row>
    <row r="149">
      <c r="A149" s="35"/>
      <c r="B149" s="46" t="s">
        <v>43</v>
      </c>
      <c r="C149" s="37"/>
      <c r="D149" s="133"/>
      <c r="E149" s="12">
        <f t="shared" si="124"/>
        <v>0</v>
      </c>
      <c r="F149" s="47"/>
      <c r="G149" s="14" t="str">
        <f t="shared" si="125"/>
        <v>#DIV/0!</v>
      </c>
      <c r="H149" s="37"/>
      <c r="I149" s="93"/>
      <c r="J149" s="37">
        <f t="shared" si="126"/>
        <v>0</v>
      </c>
      <c r="K149" s="52" t="str">
        <f t="shared" ref="K149:K151" si="130">F149</f>
        <v/>
      </c>
      <c r="L149" s="48" t="str">
        <f t="shared" si="128"/>
        <v>#DIV/0!</v>
      </c>
      <c r="M149" s="50"/>
      <c r="N149" s="49">
        <f t="shared" si="129"/>
        <v>0</v>
      </c>
      <c r="R149" s="80" t="str">
        <f t="shared" si="57"/>
        <v/>
      </c>
    </row>
    <row r="150">
      <c r="A150" s="35"/>
      <c r="B150" s="46" t="s">
        <v>43</v>
      </c>
      <c r="C150" s="37"/>
      <c r="D150" s="133"/>
      <c r="E150" s="12">
        <f t="shared" si="124"/>
        <v>0</v>
      </c>
      <c r="F150" s="47"/>
      <c r="G150" s="14" t="str">
        <f t="shared" si="125"/>
        <v>#DIV/0!</v>
      </c>
      <c r="H150" s="37"/>
      <c r="I150" s="93"/>
      <c r="J150" s="37">
        <f t="shared" si="126"/>
        <v>0</v>
      </c>
      <c r="K150" s="52" t="str">
        <f t="shared" si="130"/>
        <v/>
      </c>
      <c r="L150" s="48" t="str">
        <f t="shared" si="128"/>
        <v>#DIV/0!</v>
      </c>
      <c r="M150" s="50"/>
      <c r="N150" s="49">
        <f t="shared" si="129"/>
        <v>0</v>
      </c>
      <c r="R150" s="80" t="str">
        <f t="shared" si="57"/>
        <v/>
      </c>
    </row>
    <row r="151">
      <c r="A151" s="146"/>
      <c r="B151" s="46" t="s">
        <v>43</v>
      </c>
      <c r="C151" s="55"/>
      <c r="D151" s="95"/>
      <c r="E151" s="25">
        <f t="shared" si="124"/>
        <v>0</v>
      </c>
      <c r="F151" s="47"/>
      <c r="G151" s="56" t="str">
        <f t="shared" si="125"/>
        <v>#DIV/0!</v>
      </c>
      <c r="H151" s="55"/>
      <c r="I151" s="85"/>
      <c r="J151" s="55">
        <f t="shared" si="126"/>
        <v>0</v>
      </c>
      <c r="K151" s="52" t="str">
        <f t="shared" si="130"/>
        <v/>
      </c>
      <c r="L151" s="77" t="str">
        <f t="shared" si="128"/>
        <v>#DIV/0!</v>
      </c>
      <c r="M151" s="50"/>
      <c r="N151" s="49">
        <f>M151*K151</f>
        <v>0</v>
      </c>
      <c r="R151" s="80" t="str">
        <f t="shared" si="57"/>
        <v/>
      </c>
    </row>
    <row r="152">
      <c r="A152" s="62"/>
      <c r="B152" s="63"/>
      <c r="C152" s="62"/>
      <c r="D152" s="64" t="s">
        <v>19</v>
      </c>
      <c r="E152" s="64">
        <f>sum(E144:E151)</f>
        <v>0</v>
      </c>
      <c r="F152" s="39"/>
      <c r="G152" s="65" t="str">
        <f>average(G144:G151)</f>
        <v>#DIV/0!</v>
      </c>
      <c r="H152" s="62"/>
      <c r="I152" s="66"/>
      <c r="J152" s="64">
        <f t="shared" ref="J152:K152" si="131">sum(J144:J151)</f>
        <v>0</v>
      </c>
      <c r="K152" s="64">
        <f t="shared" si="131"/>
        <v>0</v>
      </c>
      <c r="L152" s="65" t="str">
        <f>average(L144:L151)</f>
        <v>#DIV/0!</v>
      </c>
      <c r="M152" s="72"/>
      <c r="N152" s="147">
        <f>sum(N144:N151)</f>
        <v>3304000</v>
      </c>
      <c r="R152" s="80" t="str">
        <f t="shared" si="57"/>
        <v/>
      </c>
    </row>
    <row r="153">
      <c r="A153" s="70">
        <v>46056.0</v>
      </c>
      <c r="B153" s="99" t="s">
        <v>30</v>
      </c>
      <c r="C153" s="89"/>
      <c r="D153" s="13"/>
      <c r="E153" s="38">
        <f t="shared" ref="E153:E160" si="132">D153-C153</f>
        <v>0</v>
      </c>
      <c r="F153" s="39"/>
      <c r="G153" s="14" t="str">
        <f t="shared" ref="G153:G160" si="133">(F153/E153)*100</f>
        <v>#DIV/0!</v>
      </c>
      <c r="H153" s="137"/>
      <c r="I153" s="138"/>
      <c r="J153" s="41">
        <f t="shared" ref="J153:J160" si="134">I153-H153</f>
        <v>0</v>
      </c>
      <c r="K153" s="52" t="str">
        <f t="shared" ref="K153:K160" si="135">F153</f>
        <v/>
      </c>
      <c r="L153" s="71" t="str">
        <f t="shared" ref="L153:L160" si="136">(K153/J153)*100</f>
        <v>#DIV/0!</v>
      </c>
      <c r="M153" s="72"/>
      <c r="N153" s="49">
        <v>1435000.0</v>
      </c>
      <c r="R153" s="80" t="str">
        <f t="shared" si="57"/>
        <v/>
      </c>
    </row>
    <row r="154">
      <c r="A154" s="35">
        <v>46060.0</v>
      </c>
      <c r="B154" s="46" t="s">
        <v>30</v>
      </c>
      <c r="C154" s="37"/>
      <c r="D154" s="13"/>
      <c r="E154" s="12">
        <f t="shared" si="132"/>
        <v>0</v>
      </c>
      <c r="F154" s="47"/>
      <c r="G154" s="14" t="str">
        <f t="shared" si="133"/>
        <v>#DIV/0!</v>
      </c>
      <c r="H154" s="40"/>
      <c r="I154" s="40"/>
      <c r="J154" s="37">
        <f t="shared" si="134"/>
        <v>0</v>
      </c>
      <c r="K154" s="52" t="str">
        <f t="shared" si="135"/>
        <v/>
      </c>
      <c r="L154" s="48" t="str">
        <f t="shared" si="136"/>
        <v>#DIV/0!</v>
      </c>
      <c r="M154" s="50"/>
      <c r="N154" s="49">
        <v>1476000.0</v>
      </c>
      <c r="R154" s="80" t="str">
        <f t="shared" si="57"/>
        <v/>
      </c>
    </row>
    <row r="155">
      <c r="A155" s="35">
        <v>46067.0</v>
      </c>
      <c r="B155" s="46" t="s">
        <v>30</v>
      </c>
      <c r="C155" s="37"/>
      <c r="D155" s="37"/>
      <c r="E155" s="12">
        <f t="shared" si="132"/>
        <v>0</v>
      </c>
      <c r="F155" s="47"/>
      <c r="G155" s="14" t="str">
        <f t="shared" si="133"/>
        <v>#DIV/0!</v>
      </c>
      <c r="H155" s="37"/>
      <c r="I155" s="40"/>
      <c r="J155" s="37">
        <f t="shared" si="134"/>
        <v>0</v>
      </c>
      <c r="K155" s="52" t="str">
        <f t="shared" si="135"/>
        <v/>
      </c>
      <c r="L155" s="48" t="str">
        <f t="shared" si="136"/>
        <v>#DIV/0!</v>
      </c>
      <c r="M155" s="50"/>
      <c r="N155" s="49">
        <v>1495000.0</v>
      </c>
      <c r="R155" s="80" t="str">
        <f t="shared" si="57"/>
        <v/>
      </c>
    </row>
    <row r="156">
      <c r="A156" s="35">
        <v>46078.0</v>
      </c>
      <c r="B156" s="46" t="s">
        <v>30</v>
      </c>
      <c r="C156" s="37"/>
      <c r="D156" s="37"/>
      <c r="E156" s="12">
        <f t="shared" si="132"/>
        <v>0</v>
      </c>
      <c r="F156" s="47"/>
      <c r="G156" s="14" t="str">
        <f t="shared" si="133"/>
        <v>#DIV/0!</v>
      </c>
      <c r="H156" s="37"/>
      <c r="I156" s="40"/>
      <c r="J156" s="37">
        <f t="shared" si="134"/>
        <v>0</v>
      </c>
      <c r="K156" s="52" t="str">
        <f t="shared" si="135"/>
        <v/>
      </c>
      <c r="L156" s="48" t="str">
        <f t="shared" si="136"/>
        <v>#DIV/0!</v>
      </c>
      <c r="M156" s="50"/>
      <c r="N156" s="49">
        <v>1463000.0</v>
      </c>
      <c r="R156" s="80" t="str">
        <f t="shared" si="57"/>
        <v/>
      </c>
    </row>
    <row r="157">
      <c r="A157" s="35"/>
      <c r="B157" s="46" t="s">
        <v>30</v>
      </c>
      <c r="C157" s="37"/>
      <c r="D157" s="37"/>
      <c r="E157" s="12">
        <f t="shared" si="132"/>
        <v>0</v>
      </c>
      <c r="F157" s="47"/>
      <c r="G157" s="14" t="str">
        <f t="shared" si="133"/>
        <v>#DIV/0!</v>
      </c>
      <c r="H157" s="37"/>
      <c r="I157" s="40"/>
      <c r="J157" s="37">
        <f t="shared" si="134"/>
        <v>0</v>
      </c>
      <c r="K157" s="52" t="str">
        <f t="shared" si="135"/>
        <v/>
      </c>
      <c r="L157" s="48" t="str">
        <f t="shared" si="136"/>
        <v>#DIV/0!</v>
      </c>
      <c r="M157" s="50"/>
      <c r="N157" s="49">
        <f t="shared" ref="N157:N159" si="137">F157*M157</f>
        <v>0</v>
      </c>
      <c r="R157" s="80" t="str">
        <f t="shared" si="57"/>
        <v/>
      </c>
    </row>
    <row r="158">
      <c r="A158" s="35"/>
      <c r="B158" s="46" t="s">
        <v>30</v>
      </c>
      <c r="C158" s="37"/>
      <c r="D158" s="133"/>
      <c r="E158" s="12">
        <f t="shared" si="132"/>
        <v>0</v>
      </c>
      <c r="F158" s="47"/>
      <c r="G158" s="14" t="str">
        <f t="shared" si="133"/>
        <v>#DIV/0!</v>
      </c>
      <c r="H158" s="37"/>
      <c r="I158" s="93"/>
      <c r="J158" s="37">
        <f t="shared" si="134"/>
        <v>0</v>
      </c>
      <c r="K158" s="52" t="str">
        <f t="shared" si="135"/>
        <v/>
      </c>
      <c r="L158" s="48" t="str">
        <f t="shared" si="136"/>
        <v>#DIV/0!</v>
      </c>
      <c r="M158" s="50"/>
      <c r="N158" s="49">
        <f t="shared" si="137"/>
        <v>0</v>
      </c>
      <c r="R158" s="80" t="str">
        <f t="shared" si="57"/>
        <v/>
      </c>
    </row>
    <row r="159">
      <c r="A159" s="35"/>
      <c r="B159" s="46" t="s">
        <v>30</v>
      </c>
      <c r="C159" s="37"/>
      <c r="D159" s="133"/>
      <c r="E159" s="12">
        <f t="shared" si="132"/>
        <v>0</v>
      </c>
      <c r="F159" s="47"/>
      <c r="G159" s="14" t="str">
        <f t="shared" si="133"/>
        <v>#DIV/0!</v>
      </c>
      <c r="H159" s="37"/>
      <c r="I159" s="93"/>
      <c r="J159" s="37">
        <f t="shared" si="134"/>
        <v>0</v>
      </c>
      <c r="K159" s="52" t="str">
        <f t="shared" si="135"/>
        <v/>
      </c>
      <c r="L159" s="77" t="str">
        <f t="shared" si="136"/>
        <v>#DIV/0!</v>
      </c>
      <c r="M159" s="50"/>
      <c r="N159" s="49">
        <f t="shared" si="137"/>
        <v>0</v>
      </c>
      <c r="R159" s="80" t="str">
        <f t="shared" si="57"/>
        <v/>
      </c>
    </row>
    <row r="160">
      <c r="A160" s="148"/>
      <c r="B160" s="46" t="s">
        <v>30</v>
      </c>
      <c r="C160" s="149"/>
      <c r="D160" s="150"/>
      <c r="E160" s="25">
        <f t="shared" si="132"/>
        <v>0</v>
      </c>
      <c r="F160" s="39"/>
      <c r="G160" s="56" t="str">
        <f t="shared" si="133"/>
        <v>#DIV/0!</v>
      </c>
      <c r="H160" s="149"/>
      <c r="I160" s="151"/>
      <c r="J160" s="149">
        <f t="shared" si="134"/>
        <v>0</v>
      </c>
      <c r="K160" s="52" t="str">
        <f t="shared" si="135"/>
        <v/>
      </c>
      <c r="L160" s="152" t="str">
        <f t="shared" si="136"/>
        <v>#DIV/0!</v>
      </c>
      <c r="M160" s="153"/>
      <c r="N160" s="49">
        <f>M160*K160</f>
        <v>0</v>
      </c>
      <c r="R160" s="80" t="str">
        <f t="shared" si="57"/>
        <v/>
      </c>
    </row>
    <row r="161">
      <c r="A161" s="62"/>
      <c r="B161" s="63"/>
      <c r="C161" s="62"/>
      <c r="D161" s="64" t="s">
        <v>19</v>
      </c>
      <c r="E161" s="64">
        <f t="shared" ref="E161:F161" si="138">sum(E153:E160)</f>
        <v>0</v>
      </c>
      <c r="F161" s="64">
        <f t="shared" si="138"/>
        <v>0</v>
      </c>
      <c r="G161" s="65" t="str">
        <f>average(G153:G160)</f>
        <v>#DIV/0!</v>
      </c>
      <c r="H161" s="62"/>
      <c r="I161" s="66"/>
      <c r="J161" s="64">
        <f t="shared" ref="J161:K161" si="139">sum(J153:J160)</f>
        <v>0</v>
      </c>
      <c r="K161" s="64">
        <f t="shared" si="139"/>
        <v>0</v>
      </c>
      <c r="L161" s="65" t="str">
        <f>average(L153:L160)</f>
        <v>#DIV/0!</v>
      </c>
      <c r="M161" s="68"/>
      <c r="N161" s="69">
        <f>sum(N153:N160)</f>
        <v>5869000</v>
      </c>
      <c r="R161" s="80" t="str">
        <f t="shared" si="57"/>
        <v/>
      </c>
    </row>
    <row r="162">
      <c r="A162" s="154">
        <v>46054.0</v>
      </c>
      <c r="B162" s="99" t="s">
        <v>44</v>
      </c>
      <c r="C162" s="89"/>
      <c r="D162" s="13"/>
      <c r="E162" s="12">
        <f t="shared" ref="E162:E169" si="140">D162-C162</f>
        <v>0</v>
      </c>
      <c r="F162" s="39"/>
      <c r="G162" s="14" t="str">
        <f t="shared" ref="G162:G169" si="141">(F162/E162)*100</f>
        <v>#DIV/0!</v>
      </c>
      <c r="H162" s="137"/>
      <c r="I162" s="138"/>
      <c r="J162" s="41">
        <f t="shared" ref="J162:J169" si="142">I162-H162</f>
        <v>0</v>
      </c>
      <c r="K162" s="52" t="str">
        <f t="shared" ref="K162:K169" si="143">F162</f>
        <v/>
      </c>
      <c r="L162" s="71" t="str">
        <f t="shared" ref="L162:L169" si="144">(K162/J162)*100</f>
        <v>#DIV/0!</v>
      </c>
      <c r="M162" s="72"/>
      <c r="N162" s="131">
        <v>1272000.0</v>
      </c>
    </row>
    <row r="163">
      <c r="A163" s="35">
        <v>46058.0</v>
      </c>
      <c r="B163" s="99" t="s">
        <v>44</v>
      </c>
      <c r="C163" s="37"/>
      <c r="D163" s="13"/>
      <c r="E163" s="12">
        <f t="shared" si="140"/>
        <v>0</v>
      </c>
      <c r="F163" s="47"/>
      <c r="G163" s="14" t="str">
        <f t="shared" si="141"/>
        <v>#DIV/0!</v>
      </c>
      <c r="H163" s="40"/>
      <c r="I163" s="40"/>
      <c r="J163" s="37">
        <f t="shared" si="142"/>
        <v>0</v>
      </c>
      <c r="K163" s="52" t="str">
        <f t="shared" si="143"/>
        <v/>
      </c>
      <c r="L163" s="48" t="str">
        <f t="shared" si="144"/>
        <v>#DIV/0!</v>
      </c>
      <c r="M163" s="72"/>
      <c r="N163" s="131">
        <v>1272000.0</v>
      </c>
    </row>
    <row r="164">
      <c r="A164" s="35">
        <v>46063.0</v>
      </c>
      <c r="B164" s="99" t="s">
        <v>44</v>
      </c>
      <c r="C164" s="37"/>
      <c r="D164" s="37"/>
      <c r="E164" s="12">
        <f t="shared" si="140"/>
        <v>0</v>
      </c>
      <c r="F164" s="47"/>
      <c r="G164" s="14" t="str">
        <f t="shared" si="141"/>
        <v>#DIV/0!</v>
      </c>
      <c r="H164" s="37"/>
      <c r="I164" s="40"/>
      <c r="J164" s="37">
        <f t="shared" si="142"/>
        <v>0</v>
      </c>
      <c r="K164" s="52" t="str">
        <f t="shared" si="143"/>
        <v/>
      </c>
      <c r="L164" s="48" t="str">
        <f t="shared" si="144"/>
        <v>#DIV/0!</v>
      </c>
      <c r="M164" s="72"/>
      <c r="N164" s="131">
        <v>1292000.0</v>
      </c>
    </row>
    <row r="165">
      <c r="A165" s="35">
        <v>46077.0</v>
      </c>
      <c r="B165" s="99" t="s">
        <v>44</v>
      </c>
      <c r="C165" s="37"/>
      <c r="D165" s="37"/>
      <c r="E165" s="12">
        <f t="shared" si="140"/>
        <v>0</v>
      </c>
      <c r="F165" s="47"/>
      <c r="G165" s="14" t="str">
        <f t="shared" si="141"/>
        <v>#DIV/0!</v>
      </c>
      <c r="H165" s="37"/>
      <c r="I165" s="40"/>
      <c r="J165" s="37">
        <f t="shared" si="142"/>
        <v>0</v>
      </c>
      <c r="K165" s="52" t="str">
        <f t="shared" si="143"/>
        <v/>
      </c>
      <c r="L165" s="48" t="str">
        <f t="shared" si="144"/>
        <v>#DIV/0!</v>
      </c>
      <c r="M165" s="72"/>
      <c r="N165" s="131">
        <v>1296000.0</v>
      </c>
    </row>
    <row r="166">
      <c r="A166" s="35">
        <v>46081.0</v>
      </c>
      <c r="B166" s="99" t="s">
        <v>44</v>
      </c>
      <c r="C166" s="37"/>
      <c r="D166" s="37"/>
      <c r="E166" s="12">
        <f t="shared" si="140"/>
        <v>0</v>
      </c>
      <c r="F166" s="47"/>
      <c r="G166" s="14" t="str">
        <f t="shared" si="141"/>
        <v>#DIV/0!</v>
      </c>
      <c r="H166" s="37"/>
      <c r="I166" s="40"/>
      <c r="J166" s="37">
        <f t="shared" si="142"/>
        <v>0</v>
      </c>
      <c r="K166" s="52" t="str">
        <f t="shared" si="143"/>
        <v/>
      </c>
      <c r="L166" s="48" t="str">
        <f t="shared" si="144"/>
        <v>#DIV/0!</v>
      </c>
      <c r="M166" s="72"/>
      <c r="N166" s="131">
        <v>1349000.0</v>
      </c>
    </row>
    <row r="167">
      <c r="A167" s="35"/>
      <c r="B167" s="99" t="s">
        <v>44</v>
      </c>
      <c r="C167" s="37"/>
      <c r="D167" s="133"/>
      <c r="E167" s="12">
        <f t="shared" si="140"/>
        <v>0</v>
      </c>
      <c r="F167" s="47"/>
      <c r="G167" s="14" t="str">
        <f t="shared" si="141"/>
        <v>#DIV/0!</v>
      </c>
      <c r="H167" s="37"/>
      <c r="I167" s="93"/>
      <c r="J167" s="37">
        <f t="shared" si="142"/>
        <v>0</v>
      </c>
      <c r="K167" s="52" t="str">
        <f t="shared" si="143"/>
        <v/>
      </c>
      <c r="L167" s="48" t="str">
        <f t="shared" si="144"/>
        <v>#DIV/0!</v>
      </c>
      <c r="M167" s="72"/>
      <c r="N167" s="131">
        <f t="shared" ref="N167:N169" si="145">M167*K167</f>
        <v>0</v>
      </c>
    </row>
    <row r="168">
      <c r="A168" s="35"/>
      <c r="B168" s="99" t="s">
        <v>44</v>
      </c>
      <c r="C168" s="37"/>
      <c r="D168" s="133"/>
      <c r="E168" s="12">
        <f t="shared" si="140"/>
        <v>0</v>
      </c>
      <c r="F168" s="47"/>
      <c r="G168" s="14" t="str">
        <f t="shared" si="141"/>
        <v>#DIV/0!</v>
      </c>
      <c r="H168" s="37"/>
      <c r="I168" s="93"/>
      <c r="J168" s="37">
        <f t="shared" si="142"/>
        <v>0</v>
      </c>
      <c r="K168" s="52" t="str">
        <f t="shared" si="143"/>
        <v/>
      </c>
      <c r="L168" s="48" t="str">
        <f t="shared" si="144"/>
        <v>#DIV/0!</v>
      </c>
      <c r="M168" s="50"/>
      <c r="N168" s="131">
        <f t="shared" si="145"/>
        <v>0</v>
      </c>
    </row>
    <row r="169">
      <c r="A169" s="146"/>
      <c r="B169" s="99" t="s">
        <v>44</v>
      </c>
      <c r="C169" s="55"/>
      <c r="D169" s="95"/>
      <c r="E169" s="25">
        <f t="shared" si="140"/>
        <v>0</v>
      </c>
      <c r="F169" s="47"/>
      <c r="G169" s="56" t="str">
        <f t="shared" si="141"/>
        <v>#DIV/0!</v>
      </c>
      <c r="H169" s="55"/>
      <c r="I169" s="85"/>
      <c r="J169" s="55">
        <f t="shared" si="142"/>
        <v>0</v>
      </c>
      <c r="K169" s="52" t="str">
        <f t="shared" si="143"/>
        <v/>
      </c>
      <c r="L169" s="77" t="str">
        <f t="shared" si="144"/>
        <v>#DIV/0!</v>
      </c>
      <c r="M169" s="58"/>
      <c r="N169" s="49">
        <f t="shared" si="145"/>
        <v>0</v>
      </c>
    </row>
    <row r="170">
      <c r="A170" s="62"/>
      <c r="B170" s="63"/>
      <c r="C170" s="62"/>
      <c r="D170" s="64" t="s">
        <v>19</v>
      </c>
      <c r="E170" s="64">
        <f t="shared" ref="E170:F170" si="146">sum(E162:E169)</f>
        <v>0</v>
      </c>
      <c r="F170" s="64">
        <f t="shared" si="146"/>
        <v>0</v>
      </c>
      <c r="G170" s="65" t="str">
        <f>average(G162:G169)</f>
        <v>#DIV/0!</v>
      </c>
      <c r="H170" s="62"/>
      <c r="I170" s="66"/>
      <c r="J170" s="64">
        <f t="shared" ref="J170:K170" si="147">sum(J162:J169)</f>
        <v>0</v>
      </c>
      <c r="K170" s="64">
        <f t="shared" si="147"/>
        <v>0</v>
      </c>
      <c r="L170" s="65" t="str">
        <f>average(L162:L169)</f>
        <v>#DIV/0!</v>
      </c>
      <c r="M170" s="68"/>
      <c r="N170" s="69">
        <f>sum(N162:N169)</f>
        <v>6481000</v>
      </c>
    </row>
    <row r="171">
      <c r="A171" s="155">
        <v>46055.0</v>
      </c>
      <c r="B171" s="156" t="s">
        <v>32</v>
      </c>
      <c r="C171" s="89"/>
      <c r="D171" s="13"/>
      <c r="E171" s="38">
        <f t="shared" ref="E171:E178" si="148">D171-C171</f>
        <v>0</v>
      </c>
      <c r="F171" s="39"/>
      <c r="G171" s="14" t="str">
        <f t="shared" ref="G171:G178" si="149">(F171/E171)*100</f>
        <v>#DIV/0!</v>
      </c>
      <c r="H171" s="137"/>
      <c r="I171" s="138"/>
      <c r="J171" s="41">
        <f t="shared" ref="J171:J178" si="150">I171-H171</f>
        <v>0</v>
      </c>
      <c r="K171" s="52" t="str">
        <f t="shared" ref="K171:K175" si="151">F171</f>
        <v/>
      </c>
      <c r="L171" s="152" t="str">
        <f t="shared" ref="L171:L178" si="152">(K171/J171)*100</f>
        <v>#DIV/0!</v>
      </c>
      <c r="M171" s="72"/>
      <c r="N171" s="131">
        <v>1545000.0</v>
      </c>
    </row>
    <row r="172">
      <c r="A172" s="154">
        <v>46063.0</v>
      </c>
      <c r="B172" s="156" t="s">
        <v>32</v>
      </c>
      <c r="C172" s="89"/>
      <c r="D172" s="13"/>
      <c r="E172" s="38">
        <f t="shared" si="148"/>
        <v>0</v>
      </c>
      <c r="F172" s="47"/>
      <c r="G172" s="14" t="str">
        <f t="shared" si="149"/>
        <v>#DIV/0!</v>
      </c>
      <c r="H172" s="40"/>
      <c r="I172" s="40"/>
      <c r="J172" s="37">
        <f t="shared" si="150"/>
        <v>0</v>
      </c>
      <c r="K172" s="52" t="str">
        <f t="shared" si="151"/>
        <v/>
      </c>
      <c r="L172" s="152" t="str">
        <f t="shared" si="152"/>
        <v>#DIV/0!</v>
      </c>
      <c r="M172" s="126"/>
      <c r="N172" s="131">
        <v>1587000.0</v>
      </c>
    </row>
    <row r="173">
      <c r="A173" s="154">
        <v>46077.0</v>
      </c>
      <c r="B173" s="156" t="s">
        <v>32</v>
      </c>
      <c r="C173" s="89"/>
      <c r="D173" s="89"/>
      <c r="E173" s="12">
        <f t="shared" si="148"/>
        <v>0</v>
      </c>
      <c r="F173" s="157"/>
      <c r="G173" s="14" t="str">
        <f t="shared" si="149"/>
        <v>#DIV/0!</v>
      </c>
      <c r="H173" s="37"/>
      <c r="I173" s="40"/>
      <c r="J173" s="37">
        <f t="shared" si="150"/>
        <v>0</v>
      </c>
      <c r="K173" s="52" t="str">
        <f t="shared" si="151"/>
        <v/>
      </c>
      <c r="L173" s="152" t="str">
        <f t="shared" si="152"/>
        <v>#DIV/0!</v>
      </c>
      <c r="M173" s="126"/>
      <c r="N173" s="131">
        <v>1296000.0</v>
      </c>
    </row>
    <row r="174">
      <c r="A174" s="154"/>
      <c r="B174" s="156" t="s">
        <v>32</v>
      </c>
      <c r="C174" s="89"/>
      <c r="D174" s="89"/>
      <c r="E174" s="12">
        <f t="shared" si="148"/>
        <v>0</v>
      </c>
      <c r="F174" s="157"/>
      <c r="G174" s="14" t="str">
        <f t="shared" si="149"/>
        <v>#DIV/0!</v>
      </c>
      <c r="H174" s="37"/>
      <c r="I174" s="40"/>
      <c r="J174" s="37">
        <f t="shared" si="150"/>
        <v>0</v>
      </c>
      <c r="K174" s="52" t="str">
        <f t="shared" si="151"/>
        <v/>
      </c>
      <c r="L174" s="152" t="str">
        <f t="shared" si="152"/>
        <v>#DIV/0!</v>
      </c>
      <c r="M174" s="126"/>
      <c r="N174" s="131">
        <f t="shared" ref="N174:N178" si="153">M174*K174</f>
        <v>0</v>
      </c>
    </row>
    <row r="175">
      <c r="A175" s="154"/>
      <c r="B175" s="156" t="s">
        <v>32</v>
      </c>
      <c r="C175" s="89"/>
      <c r="D175" s="89"/>
      <c r="E175" s="12">
        <f t="shared" si="148"/>
        <v>0</v>
      </c>
      <c r="F175" s="157"/>
      <c r="G175" s="14" t="str">
        <f t="shared" si="149"/>
        <v>#DIV/0!</v>
      </c>
      <c r="H175" s="37"/>
      <c r="I175" s="40"/>
      <c r="J175" s="37">
        <f t="shared" si="150"/>
        <v>0</v>
      </c>
      <c r="K175" s="52" t="str">
        <f t="shared" si="151"/>
        <v/>
      </c>
      <c r="L175" s="152" t="str">
        <f t="shared" si="152"/>
        <v>#DIV/0!</v>
      </c>
      <c r="M175" s="126"/>
      <c r="N175" s="131">
        <f t="shared" si="153"/>
        <v>0</v>
      </c>
    </row>
    <row r="176">
      <c r="A176" s="154"/>
      <c r="B176" s="156" t="s">
        <v>32</v>
      </c>
      <c r="C176" s="89"/>
      <c r="D176" s="158"/>
      <c r="E176" s="12">
        <f t="shared" si="148"/>
        <v>0</v>
      </c>
      <c r="F176" s="157"/>
      <c r="G176" s="14" t="str">
        <f t="shared" si="149"/>
        <v>#DIV/0!</v>
      </c>
      <c r="H176" s="37"/>
      <c r="I176" s="93"/>
      <c r="J176" s="37">
        <f t="shared" si="150"/>
        <v>0</v>
      </c>
      <c r="K176" s="52"/>
      <c r="L176" s="152" t="str">
        <f t="shared" si="152"/>
        <v>#DIV/0!</v>
      </c>
      <c r="M176" s="126"/>
      <c r="N176" s="131">
        <f t="shared" si="153"/>
        <v>0</v>
      </c>
    </row>
    <row r="177">
      <c r="A177" s="154"/>
      <c r="B177" s="156" t="s">
        <v>32</v>
      </c>
      <c r="C177" s="89"/>
      <c r="D177" s="158"/>
      <c r="E177" s="12">
        <f t="shared" si="148"/>
        <v>0</v>
      </c>
      <c r="F177" s="157"/>
      <c r="G177" s="14" t="str">
        <f t="shared" si="149"/>
        <v>#DIV/0!</v>
      </c>
      <c r="H177" s="89"/>
      <c r="I177" s="159"/>
      <c r="J177" s="89">
        <f t="shared" si="150"/>
        <v>0</v>
      </c>
      <c r="K177" s="52"/>
      <c r="L177" s="152" t="str">
        <f t="shared" si="152"/>
        <v>#DIV/0!</v>
      </c>
      <c r="M177" s="126"/>
      <c r="N177" s="131">
        <f t="shared" si="153"/>
        <v>0</v>
      </c>
    </row>
    <row r="178">
      <c r="A178" s="160"/>
      <c r="B178" s="156" t="s">
        <v>32</v>
      </c>
      <c r="C178" s="149"/>
      <c r="D178" s="150"/>
      <c r="E178" s="25">
        <f t="shared" si="148"/>
        <v>0</v>
      </c>
      <c r="F178" s="161"/>
      <c r="G178" s="56" t="str">
        <f t="shared" si="149"/>
        <v>#DIV/0!</v>
      </c>
      <c r="H178" s="149"/>
      <c r="I178" s="151"/>
      <c r="J178" s="149">
        <f t="shared" si="150"/>
        <v>0</v>
      </c>
      <c r="K178" s="52"/>
      <c r="L178" s="152" t="str">
        <f t="shared" si="152"/>
        <v>#DIV/0!</v>
      </c>
      <c r="M178" s="153"/>
      <c r="N178" s="49">
        <f t="shared" si="153"/>
        <v>0</v>
      </c>
    </row>
    <row r="179">
      <c r="A179" s="160"/>
      <c r="B179" s="63"/>
      <c r="C179" s="62"/>
      <c r="D179" s="64" t="s">
        <v>19</v>
      </c>
      <c r="E179" s="64">
        <f t="shared" ref="E179:F179" si="154">sum(E171:E178)</f>
        <v>0</v>
      </c>
      <c r="F179" s="64">
        <f t="shared" si="154"/>
        <v>0</v>
      </c>
      <c r="G179" s="65" t="str">
        <f>average(G171:G178)</f>
        <v>#DIV/0!</v>
      </c>
      <c r="H179" s="62"/>
      <c r="I179" s="66"/>
      <c r="J179" s="64">
        <f t="shared" ref="J179:K179" si="155">sum(J171:J178)</f>
        <v>0</v>
      </c>
      <c r="K179" s="64">
        <f t="shared" si="155"/>
        <v>0</v>
      </c>
      <c r="L179" s="65" t="str">
        <f>average(L171:L178)</f>
        <v>#DIV/0!</v>
      </c>
      <c r="M179" s="68"/>
      <c r="N179" s="69">
        <f>sum(N171:N178)</f>
        <v>4428000</v>
      </c>
    </row>
    <row r="180">
      <c r="A180" s="155">
        <v>46062.0</v>
      </c>
      <c r="B180" s="162" t="s">
        <v>33</v>
      </c>
      <c r="C180" s="89"/>
      <c r="D180" s="163"/>
      <c r="E180" s="38">
        <f t="shared" ref="E180:E186" si="156">D180-C180</f>
        <v>0</v>
      </c>
      <c r="F180" s="39"/>
      <c r="G180" s="124" t="str">
        <f t="shared" ref="G180:G186" si="157">(F180/E180)*100</f>
        <v>#DIV/0!</v>
      </c>
      <c r="H180" s="137"/>
      <c r="I180" s="138"/>
      <c r="J180" s="41">
        <f t="shared" ref="J180:J186" si="158">I180-H180</f>
        <v>0</v>
      </c>
      <c r="K180" s="52" t="str">
        <f t="shared" ref="K180:K186" si="159">F180</f>
        <v/>
      </c>
      <c r="L180" s="164" t="str">
        <f t="shared" ref="L180:L186" si="160">(K180/J180)*100</f>
        <v>#DIV/0!</v>
      </c>
      <c r="M180" s="72"/>
      <c r="N180" s="131">
        <v>1014000.0</v>
      </c>
      <c r="R180" s="80" t="str">
        <f t="shared" ref="R180:R186" si="161">Q180</f>
        <v/>
      </c>
    </row>
    <row r="181">
      <c r="A181" s="154">
        <v>46066.0</v>
      </c>
      <c r="B181" s="156" t="s">
        <v>33</v>
      </c>
      <c r="C181" s="89"/>
      <c r="D181" s="13"/>
      <c r="E181" s="38">
        <f t="shared" si="156"/>
        <v>0</v>
      </c>
      <c r="F181" s="47"/>
      <c r="G181" s="14" t="str">
        <f t="shared" si="157"/>
        <v>#DIV/0!</v>
      </c>
      <c r="H181" s="40"/>
      <c r="I181" s="40"/>
      <c r="J181" s="37">
        <f t="shared" si="158"/>
        <v>0</v>
      </c>
      <c r="K181" s="52" t="str">
        <f t="shared" si="159"/>
        <v/>
      </c>
      <c r="L181" s="152" t="str">
        <f t="shared" si="160"/>
        <v>#DIV/0!</v>
      </c>
      <c r="M181" s="126"/>
      <c r="N181" s="131">
        <v>1034000.0</v>
      </c>
      <c r="R181" s="80" t="str">
        <f t="shared" si="161"/>
        <v/>
      </c>
    </row>
    <row r="182">
      <c r="A182" s="154"/>
      <c r="B182" s="156" t="s">
        <v>33</v>
      </c>
      <c r="C182" s="89"/>
      <c r="D182" s="89"/>
      <c r="E182" s="12">
        <f t="shared" si="156"/>
        <v>0</v>
      </c>
      <c r="F182" s="157"/>
      <c r="G182" s="14" t="str">
        <f t="shared" si="157"/>
        <v>#DIV/0!</v>
      </c>
      <c r="H182" s="37"/>
      <c r="I182" s="40"/>
      <c r="J182" s="37">
        <f t="shared" si="158"/>
        <v>0</v>
      </c>
      <c r="K182" s="52" t="str">
        <f t="shared" si="159"/>
        <v/>
      </c>
      <c r="L182" s="152" t="str">
        <f t="shared" si="160"/>
        <v>#DIV/0!</v>
      </c>
      <c r="M182" s="126"/>
      <c r="N182" s="131">
        <f t="shared" ref="N182:N186" si="162">M182*K182</f>
        <v>0</v>
      </c>
      <c r="R182" s="80" t="str">
        <f t="shared" si="161"/>
        <v/>
      </c>
    </row>
    <row r="183">
      <c r="A183" s="154"/>
      <c r="B183" s="156" t="s">
        <v>33</v>
      </c>
      <c r="C183" s="89"/>
      <c r="D183" s="89"/>
      <c r="E183" s="12">
        <f t="shared" si="156"/>
        <v>0</v>
      </c>
      <c r="F183" s="157"/>
      <c r="G183" s="14" t="str">
        <f t="shared" si="157"/>
        <v>#DIV/0!</v>
      </c>
      <c r="H183" s="37"/>
      <c r="I183" s="40"/>
      <c r="J183" s="37">
        <f t="shared" si="158"/>
        <v>0</v>
      </c>
      <c r="K183" s="52" t="str">
        <f t="shared" si="159"/>
        <v/>
      </c>
      <c r="L183" s="152" t="str">
        <f t="shared" si="160"/>
        <v>#DIV/0!</v>
      </c>
      <c r="M183" s="126"/>
      <c r="N183" s="131">
        <f t="shared" si="162"/>
        <v>0</v>
      </c>
      <c r="R183" s="80" t="str">
        <f t="shared" si="161"/>
        <v/>
      </c>
    </row>
    <row r="184">
      <c r="A184" s="154"/>
      <c r="B184" s="156" t="s">
        <v>33</v>
      </c>
      <c r="C184" s="89"/>
      <c r="D184" s="89"/>
      <c r="E184" s="12">
        <f t="shared" si="156"/>
        <v>0</v>
      </c>
      <c r="F184" s="157"/>
      <c r="G184" s="14" t="str">
        <f t="shared" si="157"/>
        <v>#DIV/0!</v>
      </c>
      <c r="H184" s="37"/>
      <c r="I184" s="40"/>
      <c r="J184" s="37">
        <f t="shared" si="158"/>
        <v>0</v>
      </c>
      <c r="K184" s="52" t="str">
        <f t="shared" si="159"/>
        <v/>
      </c>
      <c r="L184" s="152" t="str">
        <f t="shared" si="160"/>
        <v>#DIV/0!</v>
      </c>
      <c r="M184" s="126"/>
      <c r="N184" s="131">
        <f t="shared" si="162"/>
        <v>0</v>
      </c>
      <c r="R184" s="80" t="str">
        <f t="shared" si="161"/>
        <v/>
      </c>
    </row>
    <row r="185">
      <c r="A185" s="154"/>
      <c r="B185" s="156" t="s">
        <v>33</v>
      </c>
      <c r="C185" s="89"/>
      <c r="D185" s="158"/>
      <c r="E185" s="12">
        <f t="shared" si="156"/>
        <v>0</v>
      </c>
      <c r="F185" s="157"/>
      <c r="G185" s="14" t="str">
        <f t="shared" si="157"/>
        <v>#DIV/0!</v>
      </c>
      <c r="H185" s="37"/>
      <c r="I185" s="93"/>
      <c r="J185" s="37">
        <f t="shared" si="158"/>
        <v>0</v>
      </c>
      <c r="K185" s="52" t="str">
        <f t="shared" si="159"/>
        <v/>
      </c>
      <c r="L185" s="152" t="str">
        <f t="shared" si="160"/>
        <v>#DIV/0!</v>
      </c>
      <c r="M185" s="126"/>
      <c r="N185" s="131">
        <f t="shared" si="162"/>
        <v>0</v>
      </c>
      <c r="R185" s="80" t="str">
        <f t="shared" si="161"/>
        <v/>
      </c>
    </row>
    <row r="186">
      <c r="A186" s="154"/>
      <c r="B186" s="156" t="s">
        <v>33</v>
      </c>
      <c r="C186" s="89"/>
      <c r="D186" s="158"/>
      <c r="E186" s="12">
        <f t="shared" si="156"/>
        <v>0</v>
      </c>
      <c r="F186" s="157"/>
      <c r="G186" s="14" t="str">
        <f t="shared" si="157"/>
        <v>#DIV/0!</v>
      </c>
      <c r="H186" s="89"/>
      <c r="I186" s="159"/>
      <c r="J186" s="89">
        <f t="shared" si="158"/>
        <v>0</v>
      </c>
      <c r="K186" s="52" t="str">
        <f t="shared" si="159"/>
        <v/>
      </c>
      <c r="L186" s="152" t="str">
        <f t="shared" si="160"/>
        <v>#DIV/0!</v>
      </c>
      <c r="M186" s="126"/>
      <c r="N186" s="131">
        <f t="shared" si="162"/>
        <v>0</v>
      </c>
      <c r="R186" s="80" t="str">
        <f t="shared" si="161"/>
        <v/>
      </c>
    </row>
    <row r="187">
      <c r="A187" s="154"/>
      <c r="B187" s="63"/>
      <c r="C187" s="62"/>
      <c r="D187" s="64" t="s">
        <v>19</v>
      </c>
      <c r="E187" s="64">
        <f t="shared" ref="E187:F187" si="163">sum(E174:E186)</f>
        <v>0</v>
      </c>
      <c r="F187" s="64">
        <f t="shared" si="163"/>
        <v>0</v>
      </c>
      <c r="G187" s="65" t="str">
        <f>average(G174:G186)</f>
        <v>#DIV/0!</v>
      </c>
      <c r="H187" s="62"/>
      <c r="I187" s="66"/>
      <c r="J187" s="64">
        <f>sum(J174:J186)</f>
        <v>0</v>
      </c>
      <c r="K187" s="64">
        <f>sum(K180:K186)</f>
        <v>0</v>
      </c>
      <c r="L187" s="65" t="str">
        <f>average(L174:L186)</f>
        <v>#DIV/0!</v>
      </c>
      <c r="M187" s="68"/>
      <c r="N187" s="147">
        <f>sum(N180:N186)</f>
        <v>2048000</v>
      </c>
    </row>
    <row r="188">
      <c r="A188" s="154">
        <v>46063.0</v>
      </c>
      <c r="B188" s="156" t="s">
        <v>34</v>
      </c>
      <c r="C188" s="89"/>
      <c r="D188" s="163"/>
      <c r="E188" s="38">
        <f t="shared" ref="E188:E194" si="164">D188-C188</f>
        <v>0</v>
      </c>
      <c r="F188" s="39"/>
      <c r="G188" s="124" t="str">
        <f t="shared" ref="G188:G194" si="165">(F188/E188)*100</f>
        <v>#DIV/0!</v>
      </c>
      <c r="H188" s="137"/>
      <c r="I188" s="138"/>
      <c r="J188" s="41">
        <f t="shared" ref="J188:J194" si="166">I188-H188</f>
        <v>0</v>
      </c>
      <c r="K188" s="52" t="str">
        <f t="shared" ref="K188:K194" si="167">F188</f>
        <v/>
      </c>
      <c r="L188" s="164" t="str">
        <f t="shared" ref="L188:L194" si="168">(K188/J188)*100</f>
        <v>#DIV/0!</v>
      </c>
      <c r="M188" s="72"/>
      <c r="N188" s="131">
        <v>1273000.0</v>
      </c>
    </row>
    <row r="189">
      <c r="A189" s="154"/>
      <c r="B189" s="156" t="s">
        <v>34</v>
      </c>
      <c r="C189" s="89"/>
      <c r="D189" s="13"/>
      <c r="E189" s="38">
        <f t="shared" si="164"/>
        <v>0</v>
      </c>
      <c r="F189" s="47"/>
      <c r="G189" s="14" t="str">
        <f t="shared" si="165"/>
        <v>#DIV/0!</v>
      </c>
      <c r="H189" s="40"/>
      <c r="I189" s="40"/>
      <c r="J189" s="37">
        <f t="shared" si="166"/>
        <v>0</v>
      </c>
      <c r="K189" s="52" t="str">
        <f t="shared" si="167"/>
        <v/>
      </c>
      <c r="L189" s="152" t="str">
        <f t="shared" si="168"/>
        <v>#DIV/0!</v>
      </c>
      <c r="M189" s="126"/>
      <c r="N189" s="131">
        <f t="shared" ref="N189:N194" si="169">M189*K189</f>
        <v>0</v>
      </c>
    </row>
    <row r="190">
      <c r="A190" s="154"/>
      <c r="B190" s="156" t="s">
        <v>34</v>
      </c>
      <c r="C190" s="89"/>
      <c r="D190" s="89"/>
      <c r="E190" s="12">
        <f t="shared" si="164"/>
        <v>0</v>
      </c>
      <c r="F190" s="157"/>
      <c r="G190" s="14" t="str">
        <f t="shared" si="165"/>
        <v>#DIV/0!</v>
      </c>
      <c r="H190" s="37"/>
      <c r="I190" s="40"/>
      <c r="J190" s="37">
        <f t="shared" si="166"/>
        <v>0</v>
      </c>
      <c r="K190" s="52" t="str">
        <f t="shared" si="167"/>
        <v/>
      </c>
      <c r="L190" s="152" t="str">
        <f t="shared" si="168"/>
        <v>#DIV/0!</v>
      </c>
      <c r="M190" s="126"/>
      <c r="N190" s="131">
        <f t="shared" si="169"/>
        <v>0</v>
      </c>
    </row>
    <row r="191">
      <c r="A191" s="154"/>
      <c r="B191" s="156" t="s">
        <v>34</v>
      </c>
      <c r="C191" s="89"/>
      <c r="D191" s="89"/>
      <c r="E191" s="12">
        <f t="shared" si="164"/>
        <v>0</v>
      </c>
      <c r="F191" s="157"/>
      <c r="G191" s="14" t="str">
        <f t="shared" si="165"/>
        <v>#DIV/0!</v>
      </c>
      <c r="H191" s="37"/>
      <c r="I191" s="40"/>
      <c r="J191" s="37">
        <f t="shared" si="166"/>
        <v>0</v>
      </c>
      <c r="K191" s="52" t="str">
        <f t="shared" si="167"/>
        <v/>
      </c>
      <c r="L191" s="152" t="str">
        <f t="shared" si="168"/>
        <v>#DIV/0!</v>
      </c>
      <c r="M191" s="126"/>
      <c r="N191" s="131">
        <f t="shared" si="169"/>
        <v>0</v>
      </c>
    </row>
    <row r="192">
      <c r="A192" s="154"/>
      <c r="B192" s="156" t="s">
        <v>34</v>
      </c>
      <c r="C192" s="89"/>
      <c r="D192" s="89"/>
      <c r="E192" s="12">
        <f t="shared" si="164"/>
        <v>0</v>
      </c>
      <c r="F192" s="157"/>
      <c r="G192" s="14" t="str">
        <f t="shared" si="165"/>
        <v>#DIV/0!</v>
      </c>
      <c r="H192" s="37"/>
      <c r="I192" s="40"/>
      <c r="J192" s="37">
        <f t="shared" si="166"/>
        <v>0</v>
      </c>
      <c r="K192" s="52" t="str">
        <f t="shared" si="167"/>
        <v/>
      </c>
      <c r="L192" s="152" t="str">
        <f t="shared" si="168"/>
        <v>#DIV/0!</v>
      </c>
      <c r="M192" s="126"/>
      <c r="N192" s="131">
        <f t="shared" si="169"/>
        <v>0</v>
      </c>
    </row>
    <row r="193">
      <c r="A193" s="154"/>
      <c r="B193" s="156" t="s">
        <v>34</v>
      </c>
      <c r="C193" s="89"/>
      <c r="D193" s="158"/>
      <c r="E193" s="12">
        <f t="shared" si="164"/>
        <v>0</v>
      </c>
      <c r="F193" s="157"/>
      <c r="G193" s="14" t="str">
        <f t="shared" si="165"/>
        <v>#DIV/0!</v>
      </c>
      <c r="H193" s="37"/>
      <c r="I193" s="93"/>
      <c r="J193" s="37">
        <f t="shared" si="166"/>
        <v>0</v>
      </c>
      <c r="K193" s="52" t="str">
        <f t="shared" si="167"/>
        <v/>
      </c>
      <c r="L193" s="152" t="str">
        <f t="shared" si="168"/>
        <v>#DIV/0!</v>
      </c>
      <c r="M193" s="126"/>
      <c r="N193" s="131">
        <f t="shared" si="169"/>
        <v>0</v>
      </c>
    </row>
    <row r="194">
      <c r="A194" s="154"/>
      <c r="B194" s="156" t="s">
        <v>34</v>
      </c>
      <c r="C194" s="89"/>
      <c r="D194" s="158"/>
      <c r="E194" s="12">
        <f t="shared" si="164"/>
        <v>0</v>
      </c>
      <c r="F194" s="157"/>
      <c r="G194" s="14" t="str">
        <f t="shared" si="165"/>
        <v>#DIV/0!</v>
      </c>
      <c r="H194" s="89"/>
      <c r="I194" s="159"/>
      <c r="J194" s="89">
        <f t="shared" si="166"/>
        <v>0</v>
      </c>
      <c r="K194" s="52" t="str">
        <f t="shared" si="167"/>
        <v/>
      </c>
      <c r="L194" s="152" t="str">
        <f t="shared" si="168"/>
        <v>#DIV/0!</v>
      </c>
      <c r="M194" s="126"/>
      <c r="N194" s="131">
        <f t="shared" si="169"/>
        <v>0</v>
      </c>
      <c r="R194" s="80" t="str">
        <f t="shared" ref="R194:R196" si="171">Q194</f>
        <v/>
      </c>
    </row>
    <row r="195">
      <c r="A195" s="154"/>
      <c r="B195" s="63"/>
      <c r="C195" s="62"/>
      <c r="D195" s="64" t="s">
        <v>19</v>
      </c>
      <c r="E195" s="64">
        <f t="shared" ref="E195:F195" si="170">sum(E180:E194)</f>
        <v>0</v>
      </c>
      <c r="F195" s="64">
        <f t="shared" si="170"/>
        <v>0</v>
      </c>
      <c r="G195" s="65" t="str">
        <f>average(G180:G194)</f>
        <v>#DIV/0!</v>
      </c>
      <c r="H195" s="62"/>
      <c r="I195" s="66"/>
      <c r="J195" s="64">
        <f>sum(J180:J194)</f>
        <v>0</v>
      </c>
      <c r="K195" s="64">
        <f>sum(K188:K194)</f>
        <v>0</v>
      </c>
      <c r="L195" s="65" t="str">
        <f>average(L180:L194)</f>
        <v>#DIV/0!</v>
      </c>
      <c r="M195" s="68"/>
      <c r="N195" s="147">
        <f>sum(N188:N194)</f>
        <v>1273000</v>
      </c>
      <c r="Q195" s="80">
        <f>127500/2</f>
        <v>63750</v>
      </c>
      <c r="R195" s="80">
        <f t="shared" si="171"/>
        <v>63750</v>
      </c>
    </row>
    <row r="196">
      <c r="A196" s="154"/>
      <c r="B196" s="165"/>
      <c r="C196" s="165"/>
      <c r="D196" s="165"/>
      <c r="E196" s="165"/>
      <c r="F196" s="165"/>
      <c r="G196" s="165"/>
      <c r="H196" s="165"/>
      <c r="I196" s="165"/>
      <c r="J196" s="165"/>
      <c r="K196" s="165"/>
      <c r="L196" s="165"/>
      <c r="M196" s="166"/>
      <c r="N196" s="167">
        <f>N11+N19+N38+N48+N60+N70+N78+N86+N94+N101+N109+N117+N125+N134+N143+N152+N161+N170+N179+N187+N195+N29</f>
        <v>89042370</v>
      </c>
      <c r="O196" s="197">
        <v>8.90408E7</v>
      </c>
      <c r="R196" s="80" t="str">
        <f t="shared" si="171"/>
        <v/>
      </c>
    </row>
    <row r="197">
      <c r="A197" s="154"/>
      <c r="G197" s="168"/>
      <c r="L197" s="168"/>
      <c r="N197" s="169"/>
    </row>
    <row r="198" ht="31.5" customHeight="1">
      <c r="A198" s="154"/>
      <c r="D198" s="170" t="s">
        <v>45</v>
      </c>
      <c r="E198" s="171"/>
      <c r="G198" s="168"/>
      <c r="L198" s="168"/>
      <c r="N198" s="169"/>
    </row>
    <row r="199">
      <c r="A199" s="154"/>
      <c r="B199" s="172" t="s">
        <v>2</v>
      </c>
      <c r="C199" s="166" t="s">
        <v>3</v>
      </c>
      <c r="D199" s="166" t="s">
        <v>4</v>
      </c>
      <c r="E199" s="166" t="s">
        <v>5</v>
      </c>
      <c r="F199" s="166" t="s">
        <v>6</v>
      </c>
      <c r="G199" s="173" t="s">
        <v>7</v>
      </c>
      <c r="H199" s="174" t="s">
        <v>8</v>
      </c>
      <c r="I199" s="175" t="s">
        <v>8</v>
      </c>
      <c r="J199" s="166" t="s">
        <v>5</v>
      </c>
      <c r="K199" s="166" t="s">
        <v>6</v>
      </c>
      <c r="L199" s="173" t="s">
        <v>7</v>
      </c>
      <c r="M199" s="166" t="s">
        <v>9</v>
      </c>
      <c r="N199" s="176" t="s">
        <v>10</v>
      </c>
      <c r="O199" s="197">
        <v>1.0</v>
      </c>
      <c r="P199" s="250" t="s">
        <v>46</v>
      </c>
      <c r="Q199" s="259">
        <f>N205</f>
        <v>15199819.3</v>
      </c>
    </row>
    <row r="200">
      <c r="A200" s="154">
        <v>46058.0</v>
      </c>
      <c r="B200" s="179" t="s">
        <v>46</v>
      </c>
      <c r="C200" s="13">
        <v>412015.0</v>
      </c>
      <c r="D200" s="13">
        <v>413355.0</v>
      </c>
      <c r="E200" s="12">
        <f t="shared" ref="E200:E204" si="172">D200-C200</f>
        <v>1340</v>
      </c>
      <c r="F200" s="37">
        <v>411.92</v>
      </c>
      <c r="G200" s="14">
        <f t="shared" ref="G200:G204" si="173">(F200/E200)*100</f>
        <v>30.74029851</v>
      </c>
      <c r="H200" s="89"/>
      <c r="I200" s="138"/>
      <c r="J200" s="41">
        <f t="shared" ref="J200:J204" si="174">I200-H200</f>
        <v>0</v>
      </c>
      <c r="K200" s="37">
        <v>411.92</v>
      </c>
      <c r="L200" s="71" t="str">
        <f t="shared" ref="L200:L204" si="175">(K200/J200)*100</f>
        <v>#DIV/0!</v>
      </c>
      <c r="M200" s="72">
        <v>18450.0</v>
      </c>
      <c r="N200" s="49">
        <f t="shared" ref="N200:N204" si="176">M200*K200</f>
        <v>7599924</v>
      </c>
      <c r="O200" s="197">
        <v>2.0</v>
      </c>
      <c r="P200" s="250" t="s">
        <v>47</v>
      </c>
      <c r="Q200" s="259">
        <f>N211</f>
        <v>14100953.8</v>
      </c>
    </row>
    <row r="201">
      <c r="A201" s="154">
        <v>46081.0</v>
      </c>
      <c r="B201" s="180" t="s">
        <v>46</v>
      </c>
      <c r="C201" s="13">
        <v>413355.0</v>
      </c>
      <c r="D201" s="13">
        <v>414541.0</v>
      </c>
      <c r="E201" s="12">
        <f t="shared" si="172"/>
        <v>1186</v>
      </c>
      <c r="F201" s="47">
        <v>394.39</v>
      </c>
      <c r="G201" s="14">
        <f t="shared" si="173"/>
        <v>33.25379427</v>
      </c>
      <c r="H201" s="138"/>
      <c r="I201" s="40">
        <v>414601.0</v>
      </c>
      <c r="J201" s="37">
        <f t="shared" si="174"/>
        <v>414601</v>
      </c>
      <c r="K201" s="52">
        <f t="shared" ref="K201:K204" si="177">F201</f>
        <v>394.39</v>
      </c>
      <c r="L201" s="48">
        <f t="shared" si="175"/>
        <v>0.09512519266</v>
      </c>
      <c r="M201" s="50">
        <v>19270.0</v>
      </c>
      <c r="N201" s="49">
        <f t="shared" si="176"/>
        <v>7599895.3</v>
      </c>
      <c r="O201" s="197">
        <v>3.0</v>
      </c>
      <c r="P201" s="250" t="s">
        <v>48</v>
      </c>
      <c r="Q201" s="259">
        <f>N217</f>
        <v>5300406.2</v>
      </c>
    </row>
    <row r="202">
      <c r="A202" s="154"/>
      <c r="B202" s="180" t="s">
        <v>46</v>
      </c>
      <c r="C202" s="13"/>
      <c r="D202" s="37"/>
      <c r="E202" s="12">
        <f t="shared" si="172"/>
        <v>0</v>
      </c>
      <c r="F202" s="47"/>
      <c r="G202" s="14" t="str">
        <f t="shared" si="173"/>
        <v>#DIV/0!</v>
      </c>
      <c r="H202" s="37"/>
      <c r="I202" s="40"/>
      <c r="J202" s="37">
        <f t="shared" si="174"/>
        <v>0</v>
      </c>
      <c r="K202" s="37" t="str">
        <f t="shared" si="177"/>
        <v/>
      </c>
      <c r="L202" s="48" t="str">
        <f t="shared" si="175"/>
        <v>#DIV/0!</v>
      </c>
      <c r="M202" s="50"/>
      <c r="N202" s="49">
        <f t="shared" si="176"/>
        <v>0</v>
      </c>
      <c r="O202" s="197">
        <v>4.0</v>
      </c>
      <c r="P202" s="250" t="s">
        <v>49</v>
      </c>
      <c r="Q202" s="259">
        <f>N223</f>
        <v>4299957</v>
      </c>
    </row>
    <row r="203">
      <c r="A203" s="154"/>
      <c r="B203" s="180" t="s">
        <v>46</v>
      </c>
      <c r="C203" s="37"/>
      <c r="D203" s="37"/>
      <c r="E203" s="12">
        <f t="shared" si="172"/>
        <v>0</v>
      </c>
      <c r="F203" s="47"/>
      <c r="G203" s="14" t="str">
        <f t="shared" si="173"/>
        <v>#DIV/0!</v>
      </c>
      <c r="H203" s="37"/>
      <c r="I203" s="40"/>
      <c r="J203" s="37">
        <f t="shared" si="174"/>
        <v>0</v>
      </c>
      <c r="K203" s="37" t="str">
        <f t="shared" si="177"/>
        <v/>
      </c>
      <c r="L203" s="48" t="str">
        <f t="shared" si="175"/>
        <v>#DIV/0!</v>
      </c>
      <c r="M203" s="50"/>
      <c r="N203" s="49">
        <f t="shared" si="176"/>
        <v>0</v>
      </c>
      <c r="O203" s="197">
        <v>5.0</v>
      </c>
      <c r="P203" s="250" t="s">
        <v>50</v>
      </c>
      <c r="Q203" s="259">
        <f>N229</f>
        <v>4100143.5</v>
      </c>
    </row>
    <row r="204">
      <c r="A204" s="154"/>
      <c r="B204" s="180" t="s">
        <v>46</v>
      </c>
      <c r="C204" s="37"/>
      <c r="D204" s="37"/>
      <c r="E204" s="12">
        <f t="shared" si="172"/>
        <v>0</v>
      </c>
      <c r="F204" s="47"/>
      <c r="G204" s="14" t="str">
        <f t="shared" si="173"/>
        <v>#DIV/0!</v>
      </c>
      <c r="H204" s="37"/>
      <c r="I204" s="40"/>
      <c r="J204" s="37">
        <f t="shared" si="174"/>
        <v>0</v>
      </c>
      <c r="K204" s="37" t="str">
        <f t="shared" si="177"/>
        <v/>
      </c>
      <c r="L204" s="77" t="str">
        <f t="shared" si="175"/>
        <v>#DIV/0!</v>
      </c>
      <c r="M204" s="50"/>
      <c r="N204" s="49">
        <f t="shared" si="176"/>
        <v>0</v>
      </c>
      <c r="O204" s="197">
        <v>6.0</v>
      </c>
      <c r="P204" s="250" t="s">
        <v>51</v>
      </c>
      <c r="Q204" s="259">
        <f>N235</f>
        <v>8200048.1</v>
      </c>
    </row>
    <row r="205">
      <c r="A205" s="154"/>
      <c r="B205" s="63"/>
      <c r="C205" s="62"/>
      <c r="D205" s="64" t="s">
        <v>19</v>
      </c>
      <c r="E205" s="64">
        <f t="shared" ref="E205:F205" si="178">sum(E200:E204)</f>
        <v>2526</v>
      </c>
      <c r="F205" s="64">
        <f t="shared" si="178"/>
        <v>806.31</v>
      </c>
      <c r="G205" s="65" t="str">
        <f>average(G200:G204)</f>
        <v>#DIV/0!</v>
      </c>
      <c r="H205" s="62"/>
      <c r="I205" s="66"/>
      <c r="J205" s="64">
        <f t="shared" ref="J205:K205" si="179">sum(J200:J204)</f>
        <v>414601</v>
      </c>
      <c r="K205" s="64">
        <f t="shared" si="179"/>
        <v>806.31</v>
      </c>
      <c r="L205" s="65" t="str">
        <f>average(L200:L204)</f>
        <v>#DIV/0!</v>
      </c>
      <c r="M205" s="68"/>
      <c r="N205" s="69">
        <f>sum(N200:N204)</f>
        <v>15199819.3</v>
      </c>
      <c r="O205" s="197">
        <v>7.0</v>
      </c>
      <c r="P205" s="260" t="s">
        <v>52</v>
      </c>
      <c r="Q205" s="259">
        <f>N264</f>
        <v>8900001.1</v>
      </c>
    </row>
    <row r="206">
      <c r="A206" s="154">
        <v>46055.0</v>
      </c>
      <c r="B206" s="182" t="s">
        <v>53</v>
      </c>
      <c r="C206" s="89">
        <v>507266.0</v>
      </c>
      <c r="D206" s="89">
        <v>508122.0</v>
      </c>
      <c r="E206" s="12">
        <f t="shared" ref="E206:E207" si="180">D206-C206</f>
        <v>856</v>
      </c>
      <c r="F206" s="157">
        <v>264.23</v>
      </c>
      <c r="G206" s="14">
        <f t="shared" ref="G206:G210" si="181">(F206/E206)*100</f>
        <v>30.86799065</v>
      </c>
      <c r="H206" s="137"/>
      <c r="I206" s="137"/>
      <c r="J206" s="89">
        <f>I206-H206</f>
        <v>0</v>
      </c>
      <c r="K206" s="89">
        <f t="shared" ref="K206:K210" si="182">F206</f>
        <v>264.23</v>
      </c>
      <c r="L206" s="152" t="str">
        <f t="shared" ref="L206:L210" si="183">(K206/J206)*100</f>
        <v>#DIV/0!</v>
      </c>
      <c r="M206" s="126">
        <v>18170.0</v>
      </c>
      <c r="N206" s="44">
        <f t="shared" ref="N206:N210" si="184">F206*M206</f>
        <v>4801059.1</v>
      </c>
      <c r="O206" s="197">
        <v>8.0</v>
      </c>
      <c r="P206" s="250" t="s">
        <v>54</v>
      </c>
      <c r="Q206" s="259">
        <f>N250</f>
        <v>23400000</v>
      </c>
    </row>
    <row r="207">
      <c r="A207" s="154">
        <v>46063.0</v>
      </c>
      <c r="B207" s="182" t="s">
        <v>53</v>
      </c>
      <c r="C207" s="89">
        <v>508122.0</v>
      </c>
      <c r="D207" s="89">
        <v>508888.0</v>
      </c>
      <c r="E207" s="12">
        <f t="shared" si="180"/>
        <v>766</v>
      </c>
      <c r="F207" s="157">
        <v>254.74</v>
      </c>
      <c r="G207" s="14">
        <f t="shared" si="181"/>
        <v>33.25587467</v>
      </c>
      <c r="H207" s="137"/>
      <c r="I207" s="137">
        <v>508599.0</v>
      </c>
      <c r="J207" s="89"/>
      <c r="K207" s="89">
        <f t="shared" si="182"/>
        <v>254.74</v>
      </c>
      <c r="L207" s="152" t="str">
        <f t="shared" si="183"/>
        <v>#DIV/0!</v>
      </c>
      <c r="M207" s="126">
        <v>18450.0</v>
      </c>
      <c r="N207" s="49">
        <f t="shared" si="184"/>
        <v>4699953</v>
      </c>
      <c r="O207" s="197">
        <v>9.0</v>
      </c>
      <c r="P207" s="250" t="s">
        <v>69</v>
      </c>
      <c r="Q207" s="259">
        <f>N257</f>
        <v>7953000</v>
      </c>
    </row>
    <row r="208">
      <c r="A208" s="154">
        <v>46080.0</v>
      </c>
      <c r="B208" s="182" t="s">
        <v>53</v>
      </c>
      <c r="C208" s="89"/>
      <c r="D208" s="89">
        <v>505630.0</v>
      </c>
      <c r="E208" s="12"/>
      <c r="F208" s="157">
        <v>238.71</v>
      </c>
      <c r="G208" s="14" t="str">
        <f t="shared" si="181"/>
        <v>#DIV/0!</v>
      </c>
      <c r="H208" s="137">
        <v>508599.0</v>
      </c>
      <c r="I208" s="137">
        <v>509285.0</v>
      </c>
      <c r="J208" s="89">
        <f t="shared" ref="J208:J210" si="185">I208-H208</f>
        <v>686</v>
      </c>
      <c r="K208" s="89">
        <f t="shared" si="182"/>
        <v>238.71</v>
      </c>
      <c r="L208" s="152">
        <f t="shared" si="183"/>
        <v>34.79737609</v>
      </c>
      <c r="M208" s="126">
        <v>19270.0</v>
      </c>
      <c r="N208" s="49">
        <f t="shared" si="184"/>
        <v>4599941.7</v>
      </c>
      <c r="O208" s="197">
        <v>10.0</v>
      </c>
      <c r="P208" s="260" t="s">
        <v>56</v>
      </c>
      <c r="Q208" s="259">
        <f>N241</f>
        <v>12000000</v>
      </c>
    </row>
    <row r="209">
      <c r="A209" s="154"/>
      <c r="B209" s="182" t="s">
        <v>53</v>
      </c>
      <c r="C209" s="89"/>
      <c r="D209" s="89"/>
      <c r="E209" s="12">
        <f t="shared" ref="E209:E210" si="186">D209-C209</f>
        <v>0</v>
      </c>
      <c r="F209" s="157"/>
      <c r="G209" s="14" t="str">
        <f t="shared" si="181"/>
        <v>#DIV/0!</v>
      </c>
      <c r="H209" s="137"/>
      <c r="I209" s="137"/>
      <c r="J209" s="89">
        <f t="shared" si="185"/>
        <v>0</v>
      </c>
      <c r="K209" s="89" t="str">
        <f t="shared" si="182"/>
        <v/>
      </c>
      <c r="L209" s="152" t="str">
        <f t="shared" si="183"/>
        <v>#DIV/0!</v>
      </c>
      <c r="M209" s="126"/>
      <c r="N209" s="49">
        <f t="shared" si="184"/>
        <v>0</v>
      </c>
      <c r="O209" s="197">
        <v>11.0</v>
      </c>
      <c r="P209" s="234" t="s">
        <v>57</v>
      </c>
      <c r="Q209" s="251">
        <f>N271</f>
        <v>12640338.7</v>
      </c>
    </row>
    <row r="210">
      <c r="A210" s="154"/>
      <c r="B210" s="182" t="s">
        <v>53</v>
      </c>
      <c r="C210" s="89"/>
      <c r="D210" s="89"/>
      <c r="E210" s="12">
        <f t="shared" si="186"/>
        <v>0</v>
      </c>
      <c r="F210" s="157"/>
      <c r="G210" s="14" t="str">
        <f t="shared" si="181"/>
        <v>#DIV/0!</v>
      </c>
      <c r="H210" s="137"/>
      <c r="I210" s="137"/>
      <c r="J210" s="89">
        <f t="shared" si="185"/>
        <v>0</v>
      </c>
      <c r="K210" s="89" t="str">
        <f t="shared" si="182"/>
        <v/>
      </c>
      <c r="L210" s="152" t="str">
        <f t="shared" si="183"/>
        <v>#DIV/0!</v>
      </c>
      <c r="M210" s="126"/>
      <c r="N210" s="49">
        <f t="shared" si="184"/>
        <v>0</v>
      </c>
      <c r="O210" s="197">
        <v>12.0</v>
      </c>
      <c r="P210" s="234" t="s">
        <v>58</v>
      </c>
      <c r="Q210" s="251">
        <f>N278</f>
        <v>12329948.2</v>
      </c>
    </row>
    <row r="211">
      <c r="A211" s="154"/>
      <c r="B211" s="63"/>
      <c r="C211" s="62"/>
      <c r="D211" s="64" t="s">
        <v>19</v>
      </c>
      <c r="E211" s="64">
        <f t="shared" ref="E211:F211" si="187">sum(E206:E210)</f>
        <v>1622</v>
      </c>
      <c r="F211" s="64">
        <f t="shared" si="187"/>
        <v>757.68</v>
      </c>
      <c r="G211" s="65" t="str">
        <f>average(G206:G210)</f>
        <v>#DIV/0!</v>
      </c>
      <c r="H211" s="62"/>
      <c r="I211" s="66"/>
      <c r="J211" s="64">
        <f t="shared" ref="J211:K211" si="188">sum(J206:J210)</f>
        <v>686</v>
      </c>
      <c r="K211" s="64">
        <f t="shared" si="188"/>
        <v>757.68</v>
      </c>
      <c r="L211" s="65" t="str">
        <f>average(L206:L210)</f>
        <v>#DIV/0!</v>
      </c>
      <c r="M211" s="68"/>
      <c r="N211" s="69">
        <f>sum(N206:N210)</f>
        <v>14100953.8</v>
      </c>
      <c r="O211" s="197">
        <v>13.0</v>
      </c>
      <c r="P211" s="234" t="s">
        <v>70</v>
      </c>
      <c r="Q211" s="251">
        <f>N285</f>
        <v>5700000</v>
      </c>
    </row>
    <row r="212">
      <c r="A212" s="154">
        <v>46080.0</v>
      </c>
      <c r="B212" s="182" t="s">
        <v>48</v>
      </c>
      <c r="C212" s="89"/>
      <c r="D212" s="13"/>
      <c r="E212" s="38">
        <f t="shared" ref="E212:E216" si="189">D212-C212</f>
        <v>0</v>
      </c>
      <c r="F212" s="157">
        <v>275.06</v>
      </c>
      <c r="G212" s="14" t="str">
        <f t="shared" ref="G212:G216" si="190">(F212/E212)*100</f>
        <v>#DIV/0!</v>
      </c>
      <c r="H212" s="89"/>
      <c r="I212" s="138"/>
      <c r="J212" s="41">
        <f t="shared" ref="J212:J216" si="191">I212-H212</f>
        <v>0</v>
      </c>
      <c r="K212" s="41"/>
      <c r="L212" s="152" t="str">
        <f t="shared" ref="L212:L216" si="192">(K212/J212)*100</f>
        <v>#DIV/0!</v>
      </c>
      <c r="M212" s="72">
        <v>19270.0</v>
      </c>
      <c r="N212" s="131">
        <f t="shared" ref="N212:N216" si="193">F212*M212</f>
        <v>5300406.2</v>
      </c>
      <c r="P212" s="256" t="s">
        <v>19</v>
      </c>
      <c r="Q212" s="251">
        <f>SUM(Q199:Q211)</f>
        <v>134124615.9</v>
      </c>
    </row>
    <row r="213">
      <c r="A213" s="154"/>
      <c r="B213" s="182" t="s">
        <v>48</v>
      </c>
      <c r="C213" s="89"/>
      <c r="D213" s="13"/>
      <c r="E213" s="12">
        <f t="shared" si="189"/>
        <v>0</v>
      </c>
      <c r="F213" s="157"/>
      <c r="G213" s="14" t="str">
        <f t="shared" si="190"/>
        <v>#DIV/0!</v>
      </c>
      <c r="H213" s="89"/>
      <c r="I213" s="137"/>
      <c r="J213" s="89">
        <f t="shared" si="191"/>
        <v>0</v>
      </c>
      <c r="K213" s="37"/>
      <c r="L213" s="152" t="str">
        <f t="shared" si="192"/>
        <v>#DIV/0!</v>
      </c>
      <c r="M213" s="126"/>
      <c r="N213" s="131">
        <f t="shared" si="193"/>
        <v>0</v>
      </c>
    </row>
    <row r="214">
      <c r="A214" s="154"/>
      <c r="B214" s="182" t="s">
        <v>48</v>
      </c>
      <c r="C214" s="89"/>
      <c r="D214" s="89"/>
      <c r="E214" s="12">
        <f t="shared" si="189"/>
        <v>0</v>
      </c>
      <c r="F214" s="157"/>
      <c r="G214" s="14" t="str">
        <f t="shared" si="190"/>
        <v>#DIV/0!</v>
      </c>
      <c r="H214" s="89"/>
      <c r="I214" s="137"/>
      <c r="J214" s="89">
        <f t="shared" si="191"/>
        <v>0</v>
      </c>
      <c r="K214" s="37"/>
      <c r="L214" s="152" t="str">
        <f t="shared" si="192"/>
        <v>#DIV/0!</v>
      </c>
      <c r="M214" s="126"/>
      <c r="N214" s="131">
        <f t="shared" si="193"/>
        <v>0</v>
      </c>
    </row>
    <row r="215">
      <c r="A215" s="154"/>
      <c r="B215" s="182" t="s">
        <v>48</v>
      </c>
      <c r="C215" s="89"/>
      <c r="D215" s="89"/>
      <c r="E215" s="12">
        <f t="shared" si="189"/>
        <v>0</v>
      </c>
      <c r="F215" s="157"/>
      <c r="G215" s="14" t="str">
        <f t="shared" si="190"/>
        <v>#DIV/0!</v>
      </c>
      <c r="H215" s="89"/>
      <c r="I215" s="137"/>
      <c r="J215" s="89">
        <f t="shared" si="191"/>
        <v>0</v>
      </c>
      <c r="K215" s="37"/>
      <c r="L215" s="152" t="str">
        <f t="shared" si="192"/>
        <v>#DIV/0!</v>
      </c>
      <c r="M215" s="126"/>
      <c r="N215" s="131">
        <f t="shared" si="193"/>
        <v>0</v>
      </c>
    </row>
    <row r="216">
      <c r="A216" s="154"/>
      <c r="B216" s="182" t="s">
        <v>48</v>
      </c>
      <c r="C216" s="89"/>
      <c r="D216" s="89"/>
      <c r="E216" s="12">
        <f t="shared" si="189"/>
        <v>0</v>
      </c>
      <c r="F216" s="157"/>
      <c r="G216" s="14" t="str">
        <f t="shared" si="190"/>
        <v>#DIV/0!</v>
      </c>
      <c r="H216" s="89"/>
      <c r="I216" s="137"/>
      <c r="J216" s="89">
        <f t="shared" si="191"/>
        <v>0</v>
      </c>
      <c r="K216" s="37"/>
      <c r="L216" s="152" t="str">
        <f t="shared" si="192"/>
        <v>#DIV/0!</v>
      </c>
      <c r="M216" s="126"/>
      <c r="N216" s="131">
        <f t="shared" si="193"/>
        <v>0</v>
      </c>
    </row>
    <row r="217">
      <c r="A217" s="154"/>
      <c r="B217" s="63"/>
      <c r="C217" s="62"/>
      <c r="D217" s="64" t="s">
        <v>19</v>
      </c>
      <c r="E217" s="64">
        <f t="shared" ref="E217:F217" si="194">sum(E212:E216)</f>
        <v>0</v>
      </c>
      <c r="F217" s="64">
        <f t="shared" si="194"/>
        <v>275.06</v>
      </c>
      <c r="G217" s="65" t="str">
        <f>average(G212:G216)</f>
        <v>#DIV/0!</v>
      </c>
      <c r="H217" s="62"/>
      <c r="I217" s="66"/>
      <c r="J217" s="64">
        <f t="shared" ref="J217:K217" si="195">sum(J212:J216)</f>
        <v>0</v>
      </c>
      <c r="K217" s="64">
        <f t="shared" si="195"/>
        <v>0</v>
      </c>
      <c r="L217" s="65" t="str">
        <f>average(L212:L216)</f>
        <v>#DIV/0!</v>
      </c>
      <c r="M217" s="68"/>
      <c r="N217" s="69">
        <f>sum(N212:N216)</f>
        <v>5300406.2</v>
      </c>
    </row>
    <row r="218">
      <c r="A218" s="154">
        <v>46060.0</v>
      </c>
      <c r="B218" s="156" t="s">
        <v>49</v>
      </c>
      <c r="C218" s="89"/>
      <c r="D218" s="13"/>
      <c r="E218" s="38">
        <f t="shared" ref="E218:E222" si="196">D218-C218</f>
        <v>0</v>
      </c>
      <c r="F218" s="39">
        <v>233.06</v>
      </c>
      <c r="G218" s="14" t="str">
        <f t="shared" ref="G218:G222" si="197">(F218/E218)*100</f>
        <v>#DIV/0!</v>
      </c>
      <c r="H218" s="89"/>
      <c r="I218" s="138"/>
      <c r="J218" s="41">
        <f t="shared" ref="J218:J222" si="198">I218-H218</f>
        <v>0</v>
      </c>
      <c r="K218" s="41">
        <f t="shared" ref="K218:K222" si="199">F218</f>
        <v>233.06</v>
      </c>
      <c r="L218" s="48" t="str">
        <f t="shared" ref="L218:L222" si="200">(K218/J218)*100</f>
        <v>#DIV/0!</v>
      </c>
      <c r="M218" s="72">
        <v>18450.0</v>
      </c>
      <c r="N218" s="131">
        <f t="shared" ref="N218:N221" si="201">M218*K218</f>
        <v>4299957</v>
      </c>
    </row>
    <row r="219">
      <c r="A219" s="154"/>
      <c r="B219" s="156" t="s">
        <v>49</v>
      </c>
      <c r="C219" s="13"/>
      <c r="D219" s="89"/>
      <c r="E219" s="12">
        <f t="shared" si="196"/>
        <v>0</v>
      </c>
      <c r="F219" s="157"/>
      <c r="G219" s="14" t="str">
        <f t="shared" si="197"/>
        <v>#DIV/0!</v>
      </c>
      <c r="H219" s="89"/>
      <c r="I219" s="137"/>
      <c r="J219" s="89">
        <f t="shared" si="198"/>
        <v>0</v>
      </c>
      <c r="K219" s="89" t="str">
        <f t="shared" si="199"/>
        <v/>
      </c>
      <c r="L219" s="152" t="str">
        <f t="shared" si="200"/>
        <v>#DIV/0!</v>
      </c>
      <c r="M219" s="126"/>
      <c r="N219" s="131">
        <f t="shared" si="201"/>
        <v>0</v>
      </c>
    </row>
    <row r="220">
      <c r="A220" s="154"/>
      <c r="B220" s="156" t="s">
        <v>49</v>
      </c>
      <c r="C220" s="89"/>
      <c r="D220" s="89"/>
      <c r="E220" s="12">
        <f t="shared" si="196"/>
        <v>0</v>
      </c>
      <c r="F220" s="157"/>
      <c r="G220" s="14" t="str">
        <f t="shared" si="197"/>
        <v>#DIV/0!</v>
      </c>
      <c r="H220" s="89"/>
      <c r="I220" s="137"/>
      <c r="J220" s="89">
        <f t="shared" si="198"/>
        <v>0</v>
      </c>
      <c r="K220" s="89" t="str">
        <f t="shared" si="199"/>
        <v/>
      </c>
      <c r="L220" s="152" t="str">
        <f t="shared" si="200"/>
        <v>#DIV/0!</v>
      </c>
      <c r="M220" s="126"/>
      <c r="N220" s="131">
        <f t="shared" si="201"/>
        <v>0</v>
      </c>
    </row>
    <row r="221">
      <c r="A221" s="154"/>
      <c r="B221" s="156" t="s">
        <v>49</v>
      </c>
      <c r="C221" s="89"/>
      <c r="D221" s="89"/>
      <c r="E221" s="12">
        <f t="shared" si="196"/>
        <v>0</v>
      </c>
      <c r="F221" s="157"/>
      <c r="G221" s="14" t="str">
        <f t="shared" si="197"/>
        <v>#DIV/0!</v>
      </c>
      <c r="H221" s="89"/>
      <c r="I221" s="137"/>
      <c r="J221" s="89">
        <f t="shared" si="198"/>
        <v>0</v>
      </c>
      <c r="K221" s="89" t="str">
        <f t="shared" si="199"/>
        <v/>
      </c>
      <c r="L221" s="152" t="str">
        <f t="shared" si="200"/>
        <v>#DIV/0!</v>
      </c>
      <c r="M221" s="126"/>
      <c r="N221" s="131">
        <f t="shared" si="201"/>
        <v>0</v>
      </c>
    </row>
    <row r="222">
      <c r="A222" s="154"/>
      <c r="B222" s="156" t="s">
        <v>49</v>
      </c>
      <c r="C222" s="89"/>
      <c r="D222" s="89"/>
      <c r="E222" s="12">
        <f t="shared" si="196"/>
        <v>0</v>
      </c>
      <c r="F222" s="157"/>
      <c r="G222" s="14" t="str">
        <f t="shared" si="197"/>
        <v>#DIV/0!</v>
      </c>
      <c r="H222" s="89"/>
      <c r="I222" s="137"/>
      <c r="J222" s="89">
        <f t="shared" si="198"/>
        <v>0</v>
      </c>
      <c r="K222" s="89" t="str">
        <f t="shared" si="199"/>
        <v/>
      </c>
      <c r="L222" s="152" t="str">
        <f t="shared" si="200"/>
        <v>#DIV/0!</v>
      </c>
      <c r="M222" s="126"/>
      <c r="N222" s="131">
        <f>F222*M222</f>
        <v>0</v>
      </c>
    </row>
    <row r="223">
      <c r="A223" s="154"/>
      <c r="B223" s="63"/>
      <c r="C223" s="62"/>
      <c r="D223" s="64" t="s">
        <v>19</v>
      </c>
      <c r="E223" s="64">
        <f t="shared" ref="E223:F223" si="202">sum(E218:E222)</f>
        <v>0</v>
      </c>
      <c r="F223" s="64">
        <f t="shared" si="202"/>
        <v>233.06</v>
      </c>
      <c r="G223" s="65" t="str">
        <f>average(G218:G222)</f>
        <v>#DIV/0!</v>
      </c>
      <c r="H223" s="62"/>
      <c r="I223" s="66"/>
      <c r="J223" s="64">
        <f t="shared" ref="J223:K223" si="203">sum(J218:J222)</f>
        <v>0</v>
      </c>
      <c r="K223" s="64">
        <f t="shared" si="203"/>
        <v>233.06</v>
      </c>
      <c r="L223" s="65" t="str">
        <f>average(L218:L222)</f>
        <v>#DIV/0!</v>
      </c>
      <c r="M223" s="68"/>
      <c r="N223" s="69">
        <f>sum(N218:N222)</f>
        <v>4299957</v>
      </c>
    </row>
    <row r="224">
      <c r="A224" s="154">
        <v>46063.0</v>
      </c>
      <c r="B224" s="156" t="s">
        <v>50</v>
      </c>
      <c r="C224" s="89"/>
      <c r="D224" s="13"/>
      <c r="E224" s="38"/>
      <c r="F224" s="39">
        <v>222.23</v>
      </c>
      <c r="G224" s="14" t="str">
        <f t="shared" ref="G224:G228" si="204">(F224/E224)*100</f>
        <v>#DIV/0!</v>
      </c>
      <c r="H224" s="89"/>
      <c r="I224" s="138"/>
      <c r="J224" s="89">
        <f t="shared" ref="J224:J228" si="205">I224-H224</f>
        <v>0</v>
      </c>
      <c r="K224" s="89">
        <f t="shared" ref="K224:K228" si="206">F224</f>
        <v>222.23</v>
      </c>
      <c r="L224" s="152" t="str">
        <f t="shared" ref="L224:L228" si="207">(K224/J224)*100</f>
        <v>#DIV/0!</v>
      </c>
      <c r="M224" s="72">
        <v>18450.0</v>
      </c>
      <c r="N224" s="49">
        <f>F224*M224</f>
        <v>4100143.5</v>
      </c>
    </row>
    <row r="225">
      <c r="A225" s="154"/>
      <c r="B225" s="156" t="s">
        <v>50</v>
      </c>
      <c r="C225" s="89"/>
      <c r="D225" s="89"/>
      <c r="E225" s="12">
        <f t="shared" ref="E225:E228" si="208">D225-C225</f>
        <v>0</v>
      </c>
      <c r="F225" s="157"/>
      <c r="G225" s="14" t="str">
        <f t="shared" si="204"/>
        <v>#DIV/0!</v>
      </c>
      <c r="H225" s="89"/>
      <c r="I225" s="137"/>
      <c r="J225" s="89">
        <f t="shared" si="205"/>
        <v>0</v>
      </c>
      <c r="K225" s="89" t="str">
        <f t="shared" si="206"/>
        <v/>
      </c>
      <c r="L225" s="152" t="str">
        <f t="shared" si="207"/>
        <v>#DIV/0!</v>
      </c>
      <c r="M225" s="126"/>
      <c r="N225" s="49">
        <f>M225*K225</f>
        <v>0</v>
      </c>
    </row>
    <row r="226">
      <c r="A226" s="154"/>
      <c r="B226" s="156" t="s">
        <v>50</v>
      </c>
      <c r="C226" s="89"/>
      <c r="D226" s="89"/>
      <c r="E226" s="12">
        <f t="shared" si="208"/>
        <v>0</v>
      </c>
      <c r="F226" s="157"/>
      <c r="G226" s="14" t="str">
        <f t="shared" si="204"/>
        <v>#DIV/0!</v>
      </c>
      <c r="H226" s="89"/>
      <c r="I226" s="137"/>
      <c r="J226" s="89">
        <f t="shared" si="205"/>
        <v>0</v>
      </c>
      <c r="K226" s="89" t="str">
        <f t="shared" si="206"/>
        <v/>
      </c>
      <c r="L226" s="152" t="str">
        <f t="shared" si="207"/>
        <v>#DIV/0!</v>
      </c>
      <c r="M226" s="126"/>
      <c r="N226" s="49">
        <f t="shared" ref="N226:N228" si="209">F226*M226</f>
        <v>0</v>
      </c>
    </row>
    <row r="227">
      <c r="A227" s="154"/>
      <c r="B227" s="156" t="s">
        <v>50</v>
      </c>
      <c r="C227" s="89"/>
      <c r="D227" s="89"/>
      <c r="E227" s="12">
        <f t="shared" si="208"/>
        <v>0</v>
      </c>
      <c r="F227" s="157"/>
      <c r="G227" s="14" t="str">
        <f t="shared" si="204"/>
        <v>#DIV/0!</v>
      </c>
      <c r="H227" s="89"/>
      <c r="I227" s="137"/>
      <c r="J227" s="89">
        <f t="shared" si="205"/>
        <v>0</v>
      </c>
      <c r="K227" s="89" t="str">
        <f t="shared" si="206"/>
        <v/>
      </c>
      <c r="L227" s="152" t="str">
        <f t="shared" si="207"/>
        <v>#DIV/0!</v>
      </c>
      <c r="M227" s="126"/>
      <c r="N227" s="49">
        <f t="shared" si="209"/>
        <v>0</v>
      </c>
    </row>
    <row r="228">
      <c r="A228" s="154"/>
      <c r="B228" s="156" t="s">
        <v>50</v>
      </c>
      <c r="C228" s="89"/>
      <c r="D228" s="89"/>
      <c r="E228" s="12">
        <f t="shared" si="208"/>
        <v>0</v>
      </c>
      <c r="F228" s="157"/>
      <c r="G228" s="14" t="str">
        <f t="shared" si="204"/>
        <v>#DIV/0!</v>
      </c>
      <c r="H228" s="89"/>
      <c r="I228" s="137"/>
      <c r="J228" s="89">
        <f t="shared" si="205"/>
        <v>0</v>
      </c>
      <c r="K228" s="89" t="str">
        <f t="shared" si="206"/>
        <v/>
      </c>
      <c r="L228" s="152" t="str">
        <f t="shared" si="207"/>
        <v>#DIV/0!</v>
      </c>
      <c r="M228" s="126"/>
      <c r="N228" s="49">
        <f t="shared" si="209"/>
        <v>0</v>
      </c>
    </row>
    <row r="229">
      <c r="A229" s="154"/>
      <c r="B229" s="63"/>
      <c r="C229" s="62"/>
      <c r="D229" s="64" t="s">
        <v>19</v>
      </c>
      <c r="E229" s="64">
        <f t="shared" ref="E229:F229" si="210">sum(E224:E228)</f>
        <v>0</v>
      </c>
      <c r="F229" s="64">
        <f t="shared" si="210"/>
        <v>222.23</v>
      </c>
      <c r="G229" s="65" t="str">
        <f>average(G224:G228)</f>
        <v>#DIV/0!</v>
      </c>
      <c r="H229" s="62"/>
      <c r="I229" s="66"/>
      <c r="J229" s="64">
        <f t="shared" ref="J229:K229" si="211">sum(J224:J228)</f>
        <v>0</v>
      </c>
      <c r="K229" s="64">
        <f t="shared" si="211"/>
        <v>222.23</v>
      </c>
      <c r="L229" s="65" t="str">
        <f>average(L224:L228)</f>
        <v>#DIV/0!</v>
      </c>
      <c r="M229" s="68"/>
      <c r="N229" s="69">
        <f>sum(N224:N228)</f>
        <v>4100143.5</v>
      </c>
    </row>
    <row r="230">
      <c r="A230" s="154">
        <v>46059.0</v>
      </c>
      <c r="B230" s="182" t="s">
        <v>51</v>
      </c>
      <c r="C230" s="89">
        <v>304048.0</v>
      </c>
      <c r="D230" s="89">
        <v>304533.0</v>
      </c>
      <c r="E230" s="12">
        <f t="shared" ref="E230:E234" si="212">D230-C230</f>
        <v>485</v>
      </c>
      <c r="F230" s="39">
        <v>146.35</v>
      </c>
      <c r="G230" s="14">
        <f t="shared" ref="G230:G234" si="213">(F230/E230)*100</f>
        <v>30.17525773</v>
      </c>
      <c r="H230" s="137">
        <v>18259.0</v>
      </c>
      <c r="I230" s="137">
        <v>18898.0</v>
      </c>
      <c r="J230" s="41">
        <f t="shared" ref="J230:J234" si="214">I230-H230</f>
        <v>639</v>
      </c>
      <c r="K230" s="41">
        <f t="shared" ref="K230:K234" si="215">F230</f>
        <v>146.35</v>
      </c>
      <c r="L230" s="152">
        <f t="shared" ref="L230:L234" si="216">(K230/J230)*100</f>
        <v>22.9029734</v>
      </c>
      <c r="M230" s="72">
        <v>18450.0</v>
      </c>
      <c r="N230" s="49">
        <f t="shared" ref="N230:N233" si="217">F230*M230</f>
        <v>2700157.5</v>
      </c>
    </row>
    <row r="231">
      <c r="A231" s="154">
        <v>46065.0</v>
      </c>
      <c r="B231" s="182" t="s">
        <v>51</v>
      </c>
      <c r="C231" s="89">
        <v>304533.0</v>
      </c>
      <c r="D231" s="89">
        <v>305035.0</v>
      </c>
      <c r="E231" s="12">
        <f t="shared" si="212"/>
        <v>502</v>
      </c>
      <c r="F231" s="157">
        <v>146.26</v>
      </c>
      <c r="G231" s="14">
        <f t="shared" si="213"/>
        <v>29.13545817</v>
      </c>
      <c r="H231" s="137">
        <v>18898.0</v>
      </c>
      <c r="I231" s="137">
        <v>19238.0</v>
      </c>
      <c r="J231" s="89">
        <f t="shared" si="214"/>
        <v>340</v>
      </c>
      <c r="K231" s="89">
        <f t="shared" si="215"/>
        <v>146.26</v>
      </c>
      <c r="L231" s="152">
        <f t="shared" si="216"/>
        <v>43.01764706</v>
      </c>
      <c r="M231" s="126">
        <v>18460.0</v>
      </c>
      <c r="N231" s="49">
        <f t="shared" si="217"/>
        <v>2699959.6</v>
      </c>
    </row>
    <row r="232">
      <c r="A232" s="154">
        <v>46081.0</v>
      </c>
      <c r="B232" s="182" t="s">
        <v>51</v>
      </c>
      <c r="C232" s="89">
        <v>305035.0</v>
      </c>
      <c r="D232" s="89">
        <v>305507.0</v>
      </c>
      <c r="E232" s="12">
        <f t="shared" si="212"/>
        <v>472</v>
      </c>
      <c r="F232" s="157">
        <v>145.3</v>
      </c>
      <c r="G232" s="14">
        <f t="shared" si="213"/>
        <v>30.78389831</v>
      </c>
      <c r="H232" s="137">
        <v>19238.0</v>
      </c>
      <c r="I232" s="137">
        <v>19708.0</v>
      </c>
      <c r="J232" s="89">
        <f t="shared" si="214"/>
        <v>470</v>
      </c>
      <c r="K232" s="89">
        <f t="shared" si="215"/>
        <v>145.3</v>
      </c>
      <c r="L232" s="152">
        <f t="shared" si="216"/>
        <v>30.91489362</v>
      </c>
      <c r="M232" s="126">
        <v>19270.0</v>
      </c>
      <c r="N232" s="49">
        <f t="shared" si="217"/>
        <v>2799931</v>
      </c>
    </row>
    <row r="233">
      <c r="A233" s="154"/>
      <c r="B233" s="182" t="s">
        <v>51</v>
      </c>
      <c r="C233" s="89"/>
      <c r="D233" s="89"/>
      <c r="E233" s="12">
        <f t="shared" si="212"/>
        <v>0</v>
      </c>
      <c r="F233" s="157"/>
      <c r="G233" s="14" t="str">
        <f t="shared" si="213"/>
        <v>#DIV/0!</v>
      </c>
      <c r="H233" s="89"/>
      <c r="I233" s="137"/>
      <c r="J233" s="89">
        <f t="shared" si="214"/>
        <v>0</v>
      </c>
      <c r="K233" s="89" t="str">
        <f t="shared" si="215"/>
        <v/>
      </c>
      <c r="L233" s="152" t="str">
        <f t="shared" si="216"/>
        <v>#DIV/0!</v>
      </c>
      <c r="M233" s="126"/>
      <c r="N233" s="49">
        <f t="shared" si="217"/>
        <v>0</v>
      </c>
    </row>
    <row r="234">
      <c r="A234" s="154"/>
      <c r="B234" s="182" t="s">
        <v>51</v>
      </c>
      <c r="C234" s="89"/>
      <c r="D234" s="89"/>
      <c r="E234" s="12">
        <f t="shared" si="212"/>
        <v>0</v>
      </c>
      <c r="F234" s="157"/>
      <c r="G234" s="14" t="str">
        <f t="shared" si="213"/>
        <v>#DIV/0!</v>
      </c>
      <c r="H234" s="89"/>
      <c r="I234" s="137"/>
      <c r="J234" s="89">
        <f t="shared" si="214"/>
        <v>0</v>
      </c>
      <c r="K234" s="89" t="str">
        <f t="shared" si="215"/>
        <v/>
      </c>
      <c r="L234" s="152" t="str">
        <f t="shared" si="216"/>
        <v>#DIV/0!</v>
      </c>
      <c r="M234" s="126"/>
      <c r="N234" s="49">
        <f>M234*K234</f>
        <v>0</v>
      </c>
    </row>
    <row r="235">
      <c r="A235" s="154"/>
      <c r="B235" s="63"/>
      <c r="C235" s="62"/>
      <c r="D235" s="64" t="s">
        <v>19</v>
      </c>
      <c r="E235" s="64">
        <f t="shared" ref="E235:F235" si="218">sum(E230:E234)</f>
        <v>1459</v>
      </c>
      <c r="F235" s="64">
        <f t="shared" si="218"/>
        <v>437.91</v>
      </c>
      <c r="G235" s="65" t="str">
        <f>average(G230:G234)</f>
        <v>#DIV/0!</v>
      </c>
      <c r="H235" s="62"/>
      <c r="I235" s="66"/>
      <c r="J235" s="64">
        <f t="shared" ref="J235:K235" si="219">sum(J230:J234)</f>
        <v>1449</v>
      </c>
      <c r="K235" s="64">
        <f t="shared" si="219"/>
        <v>437.91</v>
      </c>
      <c r="L235" s="65" t="str">
        <f>average(L230:L234)</f>
        <v>#DIV/0!</v>
      </c>
      <c r="M235" s="68"/>
      <c r="N235" s="69">
        <f>sum(N230:N234)</f>
        <v>8200048.1</v>
      </c>
    </row>
    <row r="236">
      <c r="A236" s="154">
        <v>46055.0</v>
      </c>
      <c r="B236" s="190" t="s">
        <v>62</v>
      </c>
      <c r="C236" s="89"/>
      <c r="D236" s="13"/>
      <c r="E236" s="38">
        <f t="shared" ref="E236:E240" si="220">D236-C236</f>
        <v>0</v>
      </c>
      <c r="F236" s="39"/>
      <c r="G236" s="14" t="str">
        <f t="shared" ref="G236:G240" si="221">(F236/E236)*100</f>
        <v>#DIV/0!</v>
      </c>
      <c r="H236" s="89"/>
      <c r="I236" s="138"/>
      <c r="J236" s="41">
        <f t="shared" ref="J236:J240" si="222">I236-H236</f>
        <v>0</v>
      </c>
      <c r="K236" s="41" t="str">
        <f t="shared" ref="K236:K240" si="223">F236</f>
        <v/>
      </c>
      <c r="L236" s="152" t="str">
        <f t="shared" ref="L236:L240" si="224">(K236/J236)*100</f>
        <v>#DIV/0!</v>
      </c>
      <c r="M236" s="72"/>
      <c r="N236" s="131">
        <v>5000000.0</v>
      </c>
    </row>
    <row r="237">
      <c r="A237" s="154">
        <v>46063.0</v>
      </c>
      <c r="B237" s="190" t="s">
        <v>62</v>
      </c>
      <c r="C237" s="89"/>
      <c r="D237" s="89"/>
      <c r="E237" s="12">
        <f t="shared" si="220"/>
        <v>0</v>
      </c>
      <c r="F237" s="157"/>
      <c r="G237" s="14" t="str">
        <f t="shared" si="221"/>
        <v>#DIV/0!</v>
      </c>
      <c r="H237" s="89"/>
      <c r="I237" s="137"/>
      <c r="J237" s="89">
        <f t="shared" si="222"/>
        <v>0</v>
      </c>
      <c r="K237" s="89" t="str">
        <f t="shared" si="223"/>
        <v/>
      </c>
      <c r="L237" s="152" t="str">
        <f t="shared" si="224"/>
        <v>#DIV/0!</v>
      </c>
      <c r="M237" s="126"/>
      <c r="N237" s="131">
        <v>3000000.0</v>
      </c>
    </row>
    <row r="238">
      <c r="A238" s="154">
        <v>46076.0</v>
      </c>
      <c r="B238" s="190" t="s">
        <v>62</v>
      </c>
      <c r="C238" s="89"/>
      <c r="D238" s="89"/>
      <c r="E238" s="12">
        <f t="shared" si="220"/>
        <v>0</v>
      </c>
      <c r="F238" s="157"/>
      <c r="G238" s="14" t="str">
        <f t="shared" si="221"/>
        <v>#DIV/0!</v>
      </c>
      <c r="H238" s="89"/>
      <c r="I238" s="137"/>
      <c r="J238" s="89">
        <f t="shared" si="222"/>
        <v>0</v>
      </c>
      <c r="K238" s="89" t="str">
        <f t="shared" si="223"/>
        <v/>
      </c>
      <c r="L238" s="152" t="str">
        <f t="shared" si="224"/>
        <v>#DIV/0!</v>
      </c>
      <c r="M238" s="126"/>
      <c r="N238" s="131">
        <v>4000000.0</v>
      </c>
    </row>
    <row r="239">
      <c r="A239" s="154"/>
      <c r="B239" s="190" t="s">
        <v>62</v>
      </c>
      <c r="C239" s="89"/>
      <c r="D239" s="89"/>
      <c r="E239" s="12">
        <f t="shared" si="220"/>
        <v>0</v>
      </c>
      <c r="F239" s="157"/>
      <c r="G239" s="14" t="str">
        <f t="shared" si="221"/>
        <v>#DIV/0!</v>
      </c>
      <c r="H239" s="89"/>
      <c r="I239" s="137"/>
      <c r="J239" s="89">
        <f t="shared" si="222"/>
        <v>0</v>
      </c>
      <c r="K239" s="89" t="str">
        <f t="shared" si="223"/>
        <v/>
      </c>
      <c r="L239" s="152" t="str">
        <f t="shared" si="224"/>
        <v>#DIV/0!</v>
      </c>
      <c r="M239" s="126"/>
      <c r="N239" s="131">
        <f t="shared" ref="N239:N240" si="225">F239*M239</f>
        <v>0</v>
      </c>
    </row>
    <row r="240">
      <c r="A240" s="154"/>
      <c r="B240" s="190" t="s">
        <v>62</v>
      </c>
      <c r="C240" s="89"/>
      <c r="D240" s="89"/>
      <c r="E240" s="12">
        <f t="shared" si="220"/>
        <v>0</v>
      </c>
      <c r="F240" s="157"/>
      <c r="G240" s="14" t="str">
        <f t="shared" si="221"/>
        <v>#DIV/0!</v>
      </c>
      <c r="H240" s="89"/>
      <c r="I240" s="137"/>
      <c r="J240" s="89">
        <f t="shared" si="222"/>
        <v>0</v>
      </c>
      <c r="K240" s="89" t="str">
        <f t="shared" si="223"/>
        <v/>
      </c>
      <c r="L240" s="152" t="str">
        <f t="shared" si="224"/>
        <v>#DIV/0!</v>
      </c>
      <c r="M240" s="126"/>
      <c r="N240" s="131">
        <f t="shared" si="225"/>
        <v>0</v>
      </c>
    </row>
    <row r="241">
      <c r="A241" s="62"/>
      <c r="B241" s="63"/>
      <c r="C241" s="62"/>
      <c r="D241" s="64"/>
      <c r="E241" s="64">
        <f t="shared" ref="E241:F241" si="226">sum(E236:E240)</f>
        <v>0</v>
      </c>
      <c r="F241" s="64">
        <f t="shared" si="226"/>
        <v>0</v>
      </c>
      <c r="G241" s="65" t="str">
        <f>average(G236:G240)</f>
        <v>#DIV/0!</v>
      </c>
      <c r="H241" s="62"/>
      <c r="I241" s="66"/>
      <c r="J241" s="64">
        <f t="shared" ref="J241:K241" si="227">sum(J236:J240)</f>
        <v>0</v>
      </c>
      <c r="K241" s="64">
        <f t="shared" si="227"/>
        <v>0</v>
      </c>
      <c r="L241" s="65" t="str">
        <f>average(L236:L240)</f>
        <v>#DIV/0!</v>
      </c>
      <c r="M241" s="68"/>
      <c r="N241" s="69">
        <f>sum(N236:N240)</f>
        <v>12000000</v>
      </c>
    </row>
    <row r="242">
      <c r="A242" s="70">
        <v>46055.0</v>
      </c>
      <c r="B242" s="156" t="s">
        <v>54</v>
      </c>
      <c r="C242" s="89"/>
      <c r="D242" s="13"/>
      <c r="E242" s="38">
        <f t="shared" ref="E242:E247" si="228">D242-C242</f>
        <v>0</v>
      </c>
      <c r="F242" s="39"/>
      <c r="G242" s="14" t="str">
        <f t="shared" ref="G242:G247" si="229">(F242/E242)*100</f>
        <v>#DIV/0!</v>
      </c>
      <c r="H242" s="89"/>
      <c r="I242" s="138"/>
      <c r="J242" s="41">
        <f t="shared" ref="J242:J249" si="230">I242-H242</f>
        <v>0</v>
      </c>
      <c r="K242" s="41"/>
      <c r="L242" s="152" t="str">
        <f t="shared" ref="L242:L249" si="231">(K242/J242)*100</f>
        <v>#DIV/0!</v>
      </c>
      <c r="M242" s="72"/>
      <c r="N242" s="49">
        <v>2000000.0</v>
      </c>
    </row>
    <row r="243">
      <c r="A243" s="35">
        <v>46057.0</v>
      </c>
      <c r="B243" s="156" t="s">
        <v>54</v>
      </c>
      <c r="C243" s="89"/>
      <c r="D243" s="89"/>
      <c r="E243" s="12">
        <f t="shared" si="228"/>
        <v>0</v>
      </c>
      <c r="F243" s="157"/>
      <c r="G243" s="14" t="str">
        <f t="shared" si="229"/>
        <v>#DIV/0!</v>
      </c>
      <c r="H243" s="89"/>
      <c r="I243" s="137"/>
      <c r="J243" s="89">
        <f t="shared" si="230"/>
        <v>0</v>
      </c>
      <c r="K243" s="89" t="str">
        <f t="shared" ref="K243:K249" si="232">F243</f>
        <v/>
      </c>
      <c r="L243" s="152" t="str">
        <f t="shared" si="231"/>
        <v>#DIV/0!</v>
      </c>
      <c r="M243" s="126"/>
      <c r="N243" s="49">
        <v>6000000.0</v>
      </c>
    </row>
    <row r="244">
      <c r="A244" s="35">
        <v>46061.0</v>
      </c>
      <c r="B244" s="156" t="s">
        <v>54</v>
      </c>
      <c r="C244" s="89"/>
      <c r="D244" s="89"/>
      <c r="E244" s="12">
        <f t="shared" si="228"/>
        <v>0</v>
      </c>
      <c r="F244" s="157"/>
      <c r="G244" s="14" t="str">
        <f t="shared" si="229"/>
        <v>#DIV/0!</v>
      </c>
      <c r="H244" s="89"/>
      <c r="I244" s="137"/>
      <c r="J244" s="89">
        <f t="shared" si="230"/>
        <v>0</v>
      </c>
      <c r="K244" s="89" t="str">
        <f t="shared" si="232"/>
        <v/>
      </c>
      <c r="L244" s="152" t="str">
        <f t="shared" si="231"/>
        <v>#DIV/0!</v>
      </c>
      <c r="M244" s="126"/>
      <c r="N244" s="49">
        <v>3000000.0</v>
      </c>
    </row>
    <row r="245">
      <c r="A245" s="35">
        <v>46063.0</v>
      </c>
      <c r="B245" s="156" t="s">
        <v>54</v>
      </c>
      <c r="C245" s="89"/>
      <c r="D245" s="89"/>
      <c r="E245" s="12">
        <f t="shared" si="228"/>
        <v>0</v>
      </c>
      <c r="F245" s="157"/>
      <c r="G245" s="14" t="str">
        <f t="shared" si="229"/>
        <v>#DIV/0!</v>
      </c>
      <c r="H245" s="89"/>
      <c r="I245" s="137"/>
      <c r="J245" s="89">
        <f t="shared" si="230"/>
        <v>0</v>
      </c>
      <c r="K245" s="89" t="str">
        <f t="shared" si="232"/>
        <v/>
      </c>
      <c r="L245" s="152" t="str">
        <f t="shared" si="231"/>
        <v>#DIV/0!</v>
      </c>
      <c r="M245" s="126"/>
      <c r="N245" s="49">
        <v>7400000.0</v>
      </c>
    </row>
    <row r="246">
      <c r="A246" s="35">
        <v>46077.0</v>
      </c>
      <c r="B246" s="156" t="s">
        <v>54</v>
      </c>
      <c r="C246" s="89"/>
      <c r="D246" s="89"/>
      <c r="E246" s="12">
        <f t="shared" si="228"/>
        <v>0</v>
      </c>
      <c r="F246" s="157"/>
      <c r="G246" s="14" t="str">
        <f t="shared" si="229"/>
        <v>#DIV/0!</v>
      </c>
      <c r="H246" s="89"/>
      <c r="I246" s="137"/>
      <c r="J246" s="89">
        <f t="shared" si="230"/>
        <v>0</v>
      </c>
      <c r="K246" s="89" t="str">
        <f t="shared" si="232"/>
        <v/>
      </c>
      <c r="L246" s="152" t="str">
        <f t="shared" si="231"/>
        <v>#DIV/0!</v>
      </c>
      <c r="M246" s="126"/>
      <c r="N246" s="49">
        <v>5000000.0</v>
      </c>
    </row>
    <row r="247">
      <c r="A247" s="35"/>
      <c r="B247" s="156" t="s">
        <v>54</v>
      </c>
      <c r="C247" s="89"/>
      <c r="D247" s="89"/>
      <c r="E247" s="12">
        <f t="shared" si="228"/>
        <v>0</v>
      </c>
      <c r="F247" s="157"/>
      <c r="G247" s="14" t="str">
        <f t="shared" si="229"/>
        <v>#DIV/0!</v>
      </c>
      <c r="H247" s="89"/>
      <c r="I247" s="137"/>
      <c r="J247" s="89">
        <f t="shared" si="230"/>
        <v>0</v>
      </c>
      <c r="K247" s="89" t="str">
        <f t="shared" si="232"/>
        <v/>
      </c>
      <c r="L247" s="152" t="str">
        <f t="shared" si="231"/>
        <v>#DIV/0!</v>
      </c>
      <c r="M247" s="126"/>
      <c r="N247" s="49"/>
    </row>
    <row r="248">
      <c r="A248" s="35"/>
      <c r="B248" s="156" t="s">
        <v>54</v>
      </c>
      <c r="C248" s="89"/>
      <c r="D248" s="89"/>
      <c r="E248" s="12"/>
      <c r="F248" s="157"/>
      <c r="G248" s="14"/>
      <c r="H248" s="89"/>
      <c r="I248" s="137"/>
      <c r="J248" s="89">
        <f t="shared" si="230"/>
        <v>0</v>
      </c>
      <c r="K248" s="89" t="str">
        <f t="shared" si="232"/>
        <v/>
      </c>
      <c r="L248" s="152" t="str">
        <f t="shared" si="231"/>
        <v>#DIV/0!</v>
      </c>
      <c r="M248" s="126"/>
      <c r="N248" s="49">
        <f t="shared" ref="N248:N249" si="233">M248*F248</f>
        <v>0</v>
      </c>
    </row>
    <row r="249">
      <c r="A249" s="35"/>
      <c r="B249" s="156" t="s">
        <v>54</v>
      </c>
      <c r="C249" s="89"/>
      <c r="D249" s="89"/>
      <c r="E249" s="12">
        <f>D249-C249</f>
        <v>0</v>
      </c>
      <c r="F249" s="157"/>
      <c r="G249" s="14" t="str">
        <f>(F249/E249)*100</f>
        <v>#DIV/0!</v>
      </c>
      <c r="H249" s="89"/>
      <c r="I249" s="137"/>
      <c r="J249" s="89">
        <f t="shared" si="230"/>
        <v>0</v>
      </c>
      <c r="K249" s="89" t="str">
        <f t="shared" si="232"/>
        <v/>
      </c>
      <c r="L249" s="152" t="str">
        <f t="shared" si="231"/>
        <v>#DIV/0!</v>
      </c>
      <c r="M249" s="126"/>
      <c r="N249" s="49">
        <f t="shared" si="233"/>
        <v>0</v>
      </c>
    </row>
    <row r="250">
      <c r="A250" s="70"/>
      <c r="B250" s="63"/>
      <c r="C250" s="62"/>
      <c r="D250" s="64" t="s">
        <v>19</v>
      </c>
      <c r="E250" s="64">
        <f t="shared" ref="E250:F250" si="234">sum(E242:E249)</f>
        <v>0</v>
      </c>
      <c r="F250" s="64">
        <f t="shared" si="234"/>
        <v>0</v>
      </c>
      <c r="G250" s="65" t="str">
        <f>average(G242:G249)</f>
        <v>#DIV/0!</v>
      </c>
      <c r="H250" s="62"/>
      <c r="I250" s="66"/>
      <c r="J250" s="64">
        <f t="shared" ref="J250:K250" si="235">sum(J242:J249)</f>
        <v>0</v>
      </c>
      <c r="K250" s="64">
        <f t="shared" si="235"/>
        <v>0</v>
      </c>
      <c r="L250" s="65" t="str">
        <f>average(L242:L249)</f>
        <v>#DIV/0!</v>
      </c>
      <c r="M250" s="68"/>
      <c r="N250" s="69">
        <f>sum(N242:N249)</f>
        <v>23400000</v>
      </c>
    </row>
    <row r="251">
      <c r="A251" s="70">
        <v>46057.0</v>
      </c>
      <c r="B251" s="156" t="s">
        <v>69</v>
      </c>
      <c r="C251" s="89"/>
      <c r="D251" s="13"/>
      <c r="E251" s="38">
        <f t="shared" ref="E251:E256" si="236">D251-C251</f>
        <v>0</v>
      </c>
      <c r="F251" s="39"/>
      <c r="G251" s="14" t="str">
        <f t="shared" ref="G251:G256" si="237">(F251/E251)*100</f>
        <v>#DIV/0!</v>
      </c>
      <c r="H251" s="89"/>
      <c r="I251" s="138"/>
      <c r="J251" s="41">
        <f t="shared" ref="J251:J256" si="238">I251-H251</f>
        <v>0</v>
      </c>
      <c r="K251" s="41" t="str">
        <f t="shared" ref="K251:K256" si="239">F251</f>
        <v/>
      </c>
      <c r="L251" s="71" t="str">
        <f t="shared" ref="L251:L256" si="240">(K251/J251)*100</f>
        <v>#DIV/0!</v>
      </c>
      <c r="M251" s="72"/>
      <c r="N251" s="49">
        <v>5953000.0</v>
      </c>
    </row>
    <row r="252">
      <c r="A252" s="35">
        <v>46079.0</v>
      </c>
      <c r="B252" s="156" t="s">
        <v>69</v>
      </c>
      <c r="C252" s="89"/>
      <c r="D252" s="89"/>
      <c r="E252" s="12">
        <f t="shared" si="236"/>
        <v>0</v>
      </c>
      <c r="F252" s="157"/>
      <c r="G252" s="14" t="str">
        <f t="shared" si="237"/>
        <v>#DIV/0!</v>
      </c>
      <c r="H252" s="89"/>
      <c r="I252" s="137"/>
      <c r="J252" s="37">
        <f t="shared" si="238"/>
        <v>0</v>
      </c>
      <c r="K252" s="37" t="str">
        <f t="shared" si="239"/>
        <v/>
      </c>
      <c r="L252" s="48" t="str">
        <f t="shared" si="240"/>
        <v>#DIV/0!</v>
      </c>
      <c r="M252" s="126"/>
      <c r="N252" s="49">
        <v>2000000.0</v>
      </c>
    </row>
    <row r="253">
      <c r="A253" s="35"/>
      <c r="B253" s="156" t="s">
        <v>69</v>
      </c>
      <c r="C253" s="89"/>
      <c r="D253" s="13"/>
      <c r="E253" s="38">
        <f t="shared" si="236"/>
        <v>0</v>
      </c>
      <c r="F253" s="39"/>
      <c r="G253" s="14" t="str">
        <f t="shared" si="237"/>
        <v>#DIV/0!</v>
      </c>
      <c r="H253" s="89"/>
      <c r="I253" s="138"/>
      <c r="J253" s="41">
        <f t="shared" si="238"/>
        <v>0</v>
      </c>
      <c r="K253" s="41" t="str">
        <f t="shared" si="239"/>
        <v/>
      </c>
      <c r="L253" s="71" t="str">
        <f t="shared" si="240"/>
        <v>#DIV/0!</v>
      </c>
      <c r="M253" s="72"/>
      <c r="N253" s="49"/>
    </row>
    <row r="254">
      <c r="A254" s="35"/>
      <c r="B254" s="156" t="s">
        <v>69</v>
      </c>
      <c r="C254" s="89"/>
      <c r="D254" s="89"/>
      <c r="E254" s="12">
        <f t="shared" si="236"/>
        <v>0</v>
      </c>
      <c r="F254" s="157"/>
      <c r="G254" s="14" t="str">
        <f t="shared" si="237"/>
        <v>#DIV/0!</v>
      </c>
      <c r="H254" s="89"/>
      <c r="I254" s="137"/>
      <c r="J254" s="37">
        <f t="shared" si="238"/>
        <v>0</v>
      </c>
      <c r="K254" s="37" t="str">
        <f t="shared" si="239"/>
        <v/>
      </c>
      <c r="L254" s="48" t="str">
        <f t="shared" si="240"/>
        <v>#DIV/0!</v>
      </c>
      <c r="M254" s="126"/>
      <c r="N254" s="49">
        <f t="shared" ref="N254:N256" si="241">M254*F254</f>
        <v>0</v>
      </c>
    </row>
    <row r="255">
      <c r="A255" s="35"/>
      <c r="B255" s="156" t="s">
        <v>69</v>
      </c>
      <c r="C255" s="89"/>
      <c r="D255" s="89"/>
      <c r="E255" s="12">
        <f t="shared" si="236"/>
        <v>0</v>
      </c>
      <c r="F255" s="157"/>
      <c r="G255" s="14" t="str">
        <f t="shared" si="237"/>
        <v>#DIV/0!</v>
      </c>
      <c r="H255" s="89"/>
      <c r="I255" s="137"/>
      <c r="J255" s="37">
        <f t="shared" si="238"/>
        <v>0</v>
      </c>
      <c r="K255" s="37" t="str">
        <f t="shared" si="239"/>
        <v/>
      </c>
      <c r="L255" s="77" t="str">
        <f t="shared" si="240"/>
        <v>#DIV/0!</v>
      </c>
      <c r="M255" s="126"/>
      <c r="N255" s="49">
        <f t="shared" si="241"/>
        <v>0</v>
      </c>
    </row>
    <row r="256">
      <c r="A256" s="35"/>
      <c r="B256" s="156" t="s">
        <v>69</v>
      </c>
      <c r="C256" s="89"/>
      <c r="D256" s="89"/>
      <c r="E256" s="12">
        <f t="shared" si="236"/>
        <v>0</v>
      </c>
      <c r="F256" s="157"/>
      <c r="G256" s="14" t="str">
        <f t="shared" si="237"/>
        <v>#DIV/0!</v>
      </c>
      <c r="H256" s="89"/>
      <c r="I256" s="137"/>
      <c r="J256" s="89">
        <f t="shared" si="238"/>
        <v>0</v>
      </c>
      <c r="K256" s="89" t="str">
        <f t="shared" si="239"/>
        <v/>
      </c>
      <c r="L256" s="152" t="str">
        <f t="shared" si="240"/>
        <v>#DIV/0!</v>
      </c>
      <c r="M256" s="126"/>
      <c r="N256" s="49">
        <f t="shared" si="241"/>
        <v>0</v>
      </c>
    </row>
    <row r="257">
      <c r="A257" s="70"/>
      <c r="B257" s="63"/>
      <c r="C257" s="62"/>
      <c r="D257" s="64" t="s">
        <v>19</v>
      </c>
      <c r="E257" s="64">
        <f t="shared" ref="E257:F257" si="242">sum(E251:E256)</f>
        <v>0</v>
      </c>
      <c r="F257" s="64">
        <f t="shared" si="242"/>
        <v>0</v>
      </c>
      <c r="G257" s="65" t="str">
        <f>average(G251:G256)</f>
        <v>#DIV/0!</v>
      </c>
      <c r="H257" s="62"/>
      <c r="I257" s="66"/>
      <c r="J257" s="64">
        <f t="shared" ref="J257:K257" si="243">sum(J251:J256)</f>
        <v>0</v>
      </c>
      <c r="K257" s="64">
        <f t="shared" si="243"/>
        <v>0</v>
      </c>
      <c r="L257" s="65" t="str">
        <f>average(L251:L256)</f>
        <v>#DIV/0!</v>
      </c>
      <c r="M257" s="68"/>
      <c r="N257" s="69">
        <f>sum(N251:N256)</f>
        <v>7953000</v>
      </c>
    </row>
    <row r="258">
      <c r="A258" s="70">
        <v>46057.0</v>
      </c>
      <c r="B258" s="192" t="s">
        <v>63</v>
      </c>
      <c r="C258" s="89">
        <v>149814.0</v>
      </c>
      <c r="D258" s="89">
        <v>150563.0</v>
      </c>
      <c r="E258" s="38">
        <f t="shared" ref="E258:E263" si="244">D258-C258</f>
        <v>749</v>
      </c>
      <c r="F258" s="39">
        <v>231.15</v>
      </c>
      <c r="G258" s="14">
        <f t="shared" ref="G258:G263" si="245">(F258/E258)*100</f>
        <v>30.8611482</v>
      </c>
      <c r="H258" s="137"/>
      <c r="I258" s="137"/>
      <c r="J258" s="41">
        <f>I258-H258</f>
        <v>0</v>
      </c>
      <c r="K258" s="41">
        <f t="shared" ref="K258:K263" si="246">F258</f>
        <v>231.15</v>
      </c>
      <c r="L258" s="152" t="str">
        <f t="shared" ref="L258:L263" si="247">(K258/J258)*100</f>
        <v>#DIV/0!</v>
      </c>
      <c r="M258" s="72">
        <v>18170.0</v>
      </c>
      <c r="N258" s="49">
        <f t="shared" ref="N258:N263" si="248">M258*F258</f>
        <v>4199995.5</v>
      </c>
    </row>
    <row r="259">
      <c r="A259" s="35">
        <v>46076.0</v>
      </c>
      <c r="B259" s="192" t="s">
        <v>63</v>
      </c>
      <c r="C259" s="89">
        <v>150563.0</v>
      </c>
      <c r="D259" s="13">
        <v>151415.0</v>
      </c>
      <c r="E259" s="12">
        <f t="shared" si="244"/>
        <v>852</v>
      </c>
      <c r="F259" s="157">
        <v>253.78</v>
      </c>
      <c r="G259" s="14">
        <f t="shared" si="245"/>
        <v>29.78638498</v>
      </c>
      <c r="H259" s="89"/>
      <c r="I259" s="137">
        <v>151342.0</v>
      </c>
      <c r="J259" s="89"/>
      <c r="K259" s="37">
        <f t="shared" si="246"/>
        <v>253.78</v>
      </c>
      <c r="L259" s="152" t="str">
        <f t="shared" si="247"/>
        <v>#DIV/0!</v>
      </c>
      <c r="M259" s="72">
        <v>18520.0</v>
      </c>
      <c r="N259" s="49">
        <f t="shared" si="248"/>
        <v>4700005.6</v>
      </c>
    </row>
    <row r="260">
      <c r="A260" s="35"/>
      <c r="B260" s="192" t="s">
        <v>63</v>
      </c>
      <c r="C260" s="13"/>
      <c r="D260" s="89"/>
      <c r="E260" s="12">
        <f t="shared" si="244"/>
        <v>0</v>
      </c>
      <c r="F260" s="157"/>
      <c r="G260" s="14" t="str">
        <f t="shared" si="245"/>
        <v>#DIV/0!</v>
      </c>
      <c r="H260" s="89"/>
      <c r="I260" s="137"/>
      <c r="J260" s="89">
        <f t="shared" ref="J260:J263" si="249">I260-H260</f>
        <v>0</v>
      </c>
      <c r="K260" s="37" t="str">
        <f t="shared" si="246"/>
        <v/>
      </c>
      <c r="L260" s="152" t="str">
        <f t="shared" si="247"/>
        <v>#DIV/0!</v>
      </c>
      <c r="M260" s="126"/>
      <c r="N260" s="49">
        <f t="shared" si="248"/>
        <v>0</v>
      </c>
    </row>
    <row r="261">
      <c r="A261" s="35"/>
      <c r="B261" s="192" t="s">
        <v>63</v>
      </c>
      <c r="C261" s="89"/>
      <c r="D261" s="89"/>
      <c r="E261" s="12">
        <f t="shared" si="244"/>
        <v>0</v>
      </c>
      <c r="F261" s="157"/>
      <c r="G261" s="14" t="str">
        <f t="shared" si="245"/>
        <v>#DIV/0!</v>
      </c>
      <c r="H261" s="137"/>
      <c r="I261" s="137"/>
      <c r="J261" s="89">
        <f t="shared" si="249"/>
        <v>0</v>
      </c>
      <c r="K261" s="37" t="str">
        <f t="shared" si="246"/>
        <v/>
      </c>
      <c r="L261" s="152" t="str">
        <f t="shared" si="247"/>
        <v>#DIV/0!</v>
      </c>
      <c r="M261" s="126"/>
      <c r="N261" s="49">
        <f t="shared" si="248"/>
        <v>0</v>
      </c>
    </row>
    <row r="262">
      <c r="A262" s="35"/>
      <c r="B262" s="192" t="s">
        <v>63</v>
      </c>
      <c r="C262" s="37"/>
      <c r="D262" s="89"/>
      <c r="E262" s="12">
        <f t="shared" si="244"/>
        <v>0</v>
      </c>
      <c r="F262" s="157"/>
      <c r="G262" s="14" t="str">
        <f t="shared" si="245"/>
        <v>#DIV/0!</v>
      </c>
      <c r="H262" s="89"/>
      <c r="I262" s="137"/>
      <c r="J262" s="89">
        <f t="shared" si="249"/>
        <v>0</v>
      </c>
      <c r="K262" s="37" t="str">
        <f t="shared" si="246"/>
        <v/>
      </c>
      <c r="L262" s="152" t="str">
        <f t="shared" si="247"/>
        <v>#DIV/0!</v>
      </c>
      <c r="M262" s="126"/>
      <c r="N262" s="49">
        <f t="shared" si="248"/>
        <v>0</v>
      </c>
    </row>
    <row r="263">
      <c r="A263" s="154"/>
      <c r="B263" s="192" t="s">
        <v>63</v>
      </c>
      <c r="C263" s="89"/>
      <c r="D263" s="89"/>
      <c r="E263" s="12">
        <f t="shared" si="244"/>
        <v>0</v>
      </c>
      <c r="F263" s="157"/>
      <c r="G263" s="14" t="str">
        <f t="shared" si="245"/>
        <v>#DIV/0!</v>
      </c>
      <c r="H263" s="89"/>
      <c r="I263" s="137"/>
      <c r="J263" s="89">
        <f t="shared" si="249"/>
        <v>0</v>
      </c>
      <c r="K263" s="37" t="str">
        <f t="shared" si="246"/>
        <v/>
      </c>
      <c r="L263" s="152" t="str">
        <f t="shared" si="247"/>
        <v>#DIV/0!</v>
      </c>
      <c r="M263" s="126"/>
      <c r="N263" s="49">
        <f t="shared" si="248"/>
        <v>0</v>
      </c>
    </row>
    <row r="264">
      <c r="A264" s="62"/>
      <c r="B264" s="63"/>
      <c r="C264" s="62"/>
      <c r="D264" s="64" t="s">
        <v>19</v>
      </c>
      <c r="E264" s="64">
        <f t="shared" ref="E264:F264" si="250">sum(E258:E263)</f>
        <v>1601</v>
      </c>
      <c r="F264" s="64">
        <f t="shared" si="250"/>
        <v>484.93</v>
      </c>
      <c r="G264" s="65" t="str">
        <f>average(G258:G263)</f>
        <v>#DIV/0!</v>
      </c>
      <c r="H264" s="62"/>
      <c r="I264" s="66"/>
      <c r="J264" s="64">
        <f t="shared" ref="J264:K264" si="251">sum(J258:J263)</f>
        <v>0</v>
      </c>
      <c r="K264" s="64">
        <f t="shared" si="251"/>
        <v>484.93</v>
      </c>
      <c r="L264" s="65" t="str">
        <f>average(L258:L263)</f>
        <v>#DIV/0!</v>
      </c>
      <c r="M264" s="68"/>
      <c r="N264" s="69">
        <f>sum(N258:N263)</f>
        <v>8900001.1</v>
      </c>
    </row>
    <row r="265">
      <c r="A265" s="70">
        <v>46057.0</v>
      </c>
      <c r="B265" s="192" t="s">
        <v>57</v>
      </c>
      <c r="C265" s="89">
        <v>4485.0</v>
      </c>
      <c r="D265" s="89">
        <v>5076.0</v>
      </c>
      <c r="E265" s="12">
        <f t="shared" ref="E265:E270" si="252">D265-C265</f>
        <v>591</v>
      </c>
      <c r="F265" s="39">
        <v>183.28</v>
      </c>
      <c r="G265" s="14">
        <f t="shared" ref="G265:G270" si="253">(F265/E265)*100</f>
        <v>31.01184433</v>
      </c>
      <c r="H265" s="137">
        <v>2384.0</v>
      </c>
      <c r="I265" s="137">
        <v>2931.0</v>
      </c>
      <c r="J265" s="41">
        <f t="shared" ref="J265:J270" si="254">I265-H265</f>
        <v>547</v>
      </c>
      <c r="K265" s="41">
        <f t="shared" ref="K265:K270" si="255">F265</f>
        <v>183.28</v>
      </c>
      <c r="L265" s="152">
        <f t="shared" ref="L265:L270" si="256">(K265/J265)*100</f>
        <v>33.50639854</v>
      </c>
      <c r="M265" s="72">
        <v>18170.0</v>
      </c>
      <c r="N265" s="49">
        <f t="shared" ref="N265:N267" si="257">M265*F265</f>
        <v>3330197.6</v>
      </c>
    </row>
    <row r="266">
      <c r="A266" s="35">
        <v>46063.0</v>
      </c>
      <c r="B266" s="192" t="s">
        <v>57</v>
      </c>
      <c r="C266" s="89">
        <v>5076.0</v>
      </c>
      <c r="D266" s="13">
        <v>5716.0</v>
      </c>
      <c r="E266" s="12">
        <f t="shared" si="252"/>
        <v>640</v>
      </c>
      <c r="F266" s="157">
        <v>189.71</v>
      </c>
      <c r="G266" s="14">
        <f t="shared" si="253"/>
        <v>29.6421875</v>
      </c>
      <c r="H266" s="137">
        <v>2931.0</v>
      </c>
      <c r="I266" s="137">
        <v>3583.0</v>
      </c>
      <c r="J266" s="89">
        <f t="shared" si="254"/>
        <v>652</v>
      </c>
      <c r="K266" s="37">
        <f t="shared" si="255"/>
        <v>189.71</v>
      </c>
      <c r="L266" s="152">
        <f t="shared" si="256"/>
        <v>29.09662577</v>
      </c>
      <c r="M266" s="72">
        <v>18450.0</v>
      </c>
      <c r="N266" s="49">
        <f t="shared" si="257"/>
        <v>3500149.5</v>
      </c>
    </row>
    <row r="267">
      <c r="A267" s="35">
        <v>46076.0</v>
      </c>
      <c r="B267" s="192" t="s">
        <v>57</v>
      </c>
      <c r="C267" s="13">
        <v>5716.0</v>
      </c>
      <c r="D267" s="89">
        <v>6135.0</v>
      </c>
      <c r="E267" s="12">
        <f t="shared" si="252"/>
        <v>419</v>
      </c>
      <c r="F267" s="157">
        <v>119.33</v>
      </c>
      <c r="G267" s="14">
        <f t="shared" si="253"/>
        <v>28.4797136</v>
      </c>
      <c r="H267" s="137">
        <v>3583.0</v>
      </c>
      <c r="I267" s="137">
        <v>4166.0</v>
      </c>
      <c r="J267" s="89">
        <f t="shared" si="254"/>
        <v>583</v>
      </c>
      <c r="K267" s="37">
        <f t="shared" si="255"/>
        <v>119.33</v>
      </c>
      <c r="L267" s="152">
        <f t="shared" si="256"/>
        <v>20.46826758</v>
      </c>
      <c r="M267" s="72">
        <v>18520.0</v>
      </c>
      <c r="N267" s="49">
        <f t="shared" si="257"/>
        <v>2209991.6</v>
      </c>
    </row>
    <row r="268">
      <c r="A268" s="35">
        <v>46081.0</v>
      </c>
      <c r="B268" s="192" t="s">
        <v>57</v>
      </c>
      <c r="C268" s="89">
        <v>6135.0</v>
      </c>
      <c r="D268" s="89">
        <v>6822.0</v>
      </c>
      <c r="E268" s="12">
        <f t="shared" si="252"/>
        <v>687</v>
      </c>
      <c r="F268" s="157">
        <v>186.0</v>
      </c>
      <c r="G268" s="14">
        <f t="shared" si="253"/>
        <v>27.07423581</v>
      </c>
      <c r="H268" s="137">
        <v>4166.0</v>
      </c>
      <c r="I268" s="137">
        <v>4707.0</v>
      </c>
      <c r="J268" s="89">
        <f t="shared" si="254"/>
        <v>541</v>
      </c>
      <c r="K268" s="37">
        <f t="shared" si="255"/>
        <v>186</v>
      </c>
      <c r="L268" s="152">
        <f t="shared" si="256"/>
        <v>34.38077634</v>
      </c>
      <c r="M268" s="126">
        <v>19720.0</v>
      </c>
      <c r="N268" s="247">
        <v>3600000.0</v>
      </c>
    </row>
    <row r="269">
      <c r="A269" s="35"/>
      <c r="B269" s="192" t="s">
        <v>57</v>
      </c>
      <c r="C269" s="37"/>
      <c r="D269" s="89"/>
      <c r="E269" s="12">
        <f t="shared" si="252"/>
        <v>0</v>
      </c>
      <c r="F269" s="157"/>
      <c r="G269" s="14" t="str">
        <f t="shared" si="253"/>
        <v>#DIV/0!</v>
      </c>
      <c r="H269" s="89"/>
      <c r="I269" s="137"/>
      <c r="J269" s="89">
        <f t="shared" si="254"/>
        <v>0</v>
      </c>
      <c r="K269" s="37" t="str">
        <f t="shared" si="255"/>
        <v/>
      </c>
      <c r="L269" s="152" t="str">
        <f t="shared" si="256"/>
        <v>#DIV/0!</v>
      </c>
      <c r="M269" s="126"/>
      <c r="N269" s="49">
        <f t="shared" ref="N269:N270" si="258">M269*F269</f>
        <v>0</v>
      </c>
    </row>
    <row r="270">
      <c r="A270" s="154"/>
      <c r="B270" s="192" t="s">
        <v>57</v>
      </c>
      <c r="C270" s="89"/>
      <c r="D270" s="89"/>
      <c r="E270" s="12">
        <f t="shared" si="252"/>
        <v>0</v>
      </c>
      <c r="F270" s="157"/>
      <c r="G270" s="14" t="str">
        <f t="shared" si="253"/>
        <v>#DIV/0!</v>
      </c>
      <c r="H270" s="89"/>
      <c r="I270" s="137"/>
      <c r="J270" s="89">
        <f t="shared" si="254"/>
        <v>0</v>
      </c>
      <c r="K270" s="37" t="str">
        <f t="shared" si="255"/>
        <v/>
      </c>
      <c r="L270" s="152" t="str">
        <f t="shared" si="256"/>
        <v>#DIV/0!</v>
      </c>
      <c r="M270" s="126"/>
      <c r="N270" s="49">
        <f t="shared" si="258"/>
        <v>0</v>
      </c>
    </row>
    <row r="271">
      <c r="A271" s="62"/>
      <c r="B271" s="63"/>
      <c r="C271" s="62"/>
      <c r="D271" s="64" t="s">
        <v>19</v>
      </c>
      <c r="E271" s="64">
        <f t="shared" ref="E271:F271" si="259">sum(E265:E270)</f>
        <v>2337</v>
      </c>
      <c r="F271" s="64">
        <f t="shared" si="259"/>
        <v>678.32</v>
      </c>
      <c r="G271" s="65" t="str">
        <f>average(G265:G270)</f>
        <v>#DIV/0!</v>
      </c>
      <c r="H271" s="62"/>
      <c r="I271" s="66"/>
      <c r="J271" s="64">
        <f t="shared" ref="J271:K271" si="260">sum(J265:J270)</f>
        <v>2323</v>
      </c>
      <c r="K271" s="64">
        <f t="shared" si="260"/>
        <v>678.32</v>
      </c>
      <c r="L271" s="65" t="str">
        <f>average(L265:L270)</f>
        <v>#DIV/0!</v>
      </c>
      <c r="M271" s="68"/>
      <c r="N271" s="69">
        <f>sum(N265:N270)</f>
        <v>12640338.7</v>
      </c>
    </row>
    <row r="272">
      <c r="A272" s="70">
        <v>46055.0</v>
      </c>
      <c r="B272" s="192" t="s">
        <v>58</v>
      </c>
      <c r="C272" s="89">
        <v>3879.0</v>
      </c>
      <c r="D272" s="89">
        <v>4684.0</v>
      </c>
      <c r="E272" s="12">
        <f t="shared" ref="E272:E277" si="261">D272-C272</f>
        <v>805</v>
      </c>
      <c r="F272" s="39">
        <v>216.29</v>
      </c>
      <c r="G272" s="14">
        <f t="shared" ref="G272:G277" si="262">(F272/E272)*100</f>
        <v>26.86832298</v>
      </c>
      <c r="H272" s="137">
        <v>1877.0</v>
      </c>
      <c r="I272" s="137">
        <v>2694.0</v>
      </c>
      <c r="J272" s="41">
        <f t="shared" ref="J272:J277" si="263">I272-H272</f>
        <v>817</v>
      </c>
      <c r="K272" s="41">
        <f t="shared" ref="K272:K277" si="264">F272</f>
        <v>216.29</v>
      </c>
      <c r="L272" s="152">
        <f t="shared" ref="L272:L277" si="265">(K272/J272)*100</f>
        <v>26.47368421</v>
      </c>
      <c r="M272" s="72">
        <v>18170.0</v>
      </c>
      <c r="N272" s="49">
        <f t="shared" ref="N272:N277" si="266">M272*F272</f>
        <v>3929989.3</v>
      </c>
    </row>
    <row r="273">
      <c r="A273" s="35">
        <v>46060.0</v>
      </c>
      <c r="B273" s="192" t="s">
        <v>58</v>
      </c>
      <c r="C273" s="89">
        <v>4684.0</v>
      </c>
      <c r="D273" s="13">
        <v>5505.0</v>
      </c>
      <c r="E273" s="12">
        <f t="shared" si="261"/>
        <v>821</v>
      </c>
      <c r="F273" s="157">
        <v>205.97</v>
      </c>
      <c r="G273" s="14">
        <f t="shared" si="262"/>
        <v>25.08769793</v>
      </c>
      <c r="H273" s="137">
        <v>2694.0</v>
      </c>
      <c r="I273" s="137">
        <v>3539.0</v>
      </c>
      <c r="J273" s="89">
        <f t="shared" si="263"/>
        <v>845</v>
      </c>
      <c r="K273" s="37">
        <f t="shared" si="264"/>
        <v>205.97</v>
      </c>
      <c r="L273" s="152">
        <f t="shared" si="265"/>
        <v>24.37514793</v>
      </c>
      <c r="M273" s="72">
        <v>18450.0</v>
      </c>
      <c r="N273" s="49">
        <f t="shared" si="266"/>
        <v>3800146.5</v>
      </c>
    </row>
    <row r="274">
      <c r="A274" s="35">
        <v>46077.0</v>
      </c>
      <c r="B274" s="192" t="s">
        <v>58</v>
      </c>
      <c r="C274" s="13">
        <v>5505.0</v>
      </c>
      <c r="D274" s="89">
        <v>6089.0</v>
      </c>
      <c r="E274" s="12">
        <f t="shared" si="261"/>
        <v>584</v>
      </c>
      <c r="F274" s="157">
        <v>172.78</v>
      </c>
      <c r="G274" s="14">
        <f t="shared" si="262"/>
        <v>29.58561644</v>
      </c>
      <c r="H274" s="137">
        <v>3539.0</v>
      </c>
      <c r="I274" s="137">
        <v>4149.0</v>
      </c>
      <c r="J274" s="89">
        <f t="shared" si="263"/>
        <v>610</v>
      </c>
      <c r="K274" s="37">
        <f t="shared" si="264"/>
        <v>172.78</v>
      </c>
      <c r="L274" s="152">
        <f t="shared" si="265"/>
        <v>28.32459016</v>
      </c>
      <c r="M274" s="126">
        <v>18520.0</v>
      </c>
      <c r="N274" s="49">
        <f t="shared" si="266"/>
        <v>3199885.6</v>
      </c>
    </row>
    <row r="275">
      <c r="A275" s="35">
        <v>46079.0</v>
      </c>
      <c r="B275" s="192" t="s">
        <v>58</v>
      </c>
      <c r="C275" s="89">
        <v>6089.0</v>
      </c>
      <c r="D275" s="89">
        <v>6321.0</v>
      </c>
      <c r="E275" s="12">
        <f t="shared" si="261"/>
        <v>232</v>
      </c>
      <c r="F275" s="157">
        <v>75.59</v>
      </c>
      <c r="G275" s="14">
        <f t="shared" si="262"/>
        <v>32.58189655</v>
      </c>
      <c r="H275" s="137">
        <v>4149.0</v>
      </c>
      <c r="I275" s="137">
        <v>4444.0</v>
      </c>
      <c r="J275" s="89">
        <f t="shared" si="263"/>
        <v>295</v>
      </c>
      <c r="K275" s="37">
        <f t="shared" si="264"/>
        <v>75.59</v>
      </c>
      <c r="L275" s="152">
        <f t="shared" si="265"/>
        <v>25.62372881</v>
      </c>
      <c r="M275" s="126">
        <v>18520.0</v>
      </c>
      <c r="N275" s="49">
        <f t="shared" si="266"/>
        <v>1399926.8</v>
      </c>
    </row>
    <row r="276">
      <c r="A276" s="35"/>
      <c r="B276" s="192" t="s">
        <v>58</v>
      </c>
      <c r="C276" s="37"/>
      <c r="D276" s="89"/>
      <c r="E276" s="12">
        <f t="shared" si="261"/>
        <v>0</v>
      </c>
      <c r="F276" s="157"/>
      <c r="G276" s="14" t="str">
        <f t="shared" si="262"/>
        <v>#DIV/0!</v>
      </c>
      <c r="H276" s="89"/>
      <c r="I276" s="137"/>
      <c r="J276" s="89">
        <f t="shared" si="263"/>
        <v>0</v>
      </c>
      <c r="K276" s="37" t="str">
        <f t="shared" si="264"/>
        <v/>
      </c>
      <c r="L276" s="152" t="str">
        <f t="shared" si="265"/>
        <v>#DIV/0!</v>
      </c>
      <c r="M276" s="126"/>
      <c r="N276" s="49">
        <f t="shared" si="266"/>
        <v>0</v>
      </c>
    </row>
    <row r="277">
      <c r="A277" s="154"/>
      <c r="B277" s="192" t="s">
        <v>58</v>
      </c>
      <c r="C277" s="89"/>
      <c r="D277" s="89"/>
      <c r="E277" s="12">
        <f t="shared" si="261"/>
        <v>0</v>
      </c>
      <c r="F277" s="157"/>
      <c r="G277" s="14" t="str">
        <f t="shared" si="262"/>
        <v>#DIV/0!</v>
      </c>
      <c r="H277" s="89"/>
      <c r="I277" s="137"/>
      <c r="J277" s="89">
        <f t="shared" si="263"/>
        <v>0</v>
      </c>
      <c r="K277" s="37" t="str">
        <f t="shared" si="264"/>
        <v/>
      </c>
      <c r="L277" s="152" t="str">
        <f t="shared" si="265"/>
        <v>#DIV/0!</v>
      </c>
      <c r="M277" s="126"/>
      <c r="N277" s="49">
        <f t="shared" si="266"/>
        <v>0</v>
      </c>
    </row>
    <row r="278">
      <c r="A278" s="62"/>
      <c r="B278" s="63"/>
      <c r="C278" s="62"/>
      <c r="D278" s="64" t="s">
        <v>19</v>
      </c>
      <c r="E278" s="64">
        <f t="shared" ref="E278:F278" si="267">sum(E272:E277)</f>
        <v>2442</v>
      </c>
      <c r="F278" s="64">
        <f t="shared" si="267"/>
        <v>670.63</v>
      </c>
      <c r="G278" s="65" t="str">
        <f>average(G272:G277)</f>
        <v>#DIV/0!</v>
      </c>
      <c r="H278" s="62"/>
      <c r="I278" s="66"/>
      <c r="J278" s="64">
        <f t="shared" ref="J278:K278" si="268">sum(J272:J277)</f>
        <v>2567</v>
      </c>
      <c r="K278" s="64">
        <f t="shared" si="268"/>
        <v>670.63</v>
      </c>
      <c r="L278" s="65" t="str">
        <f>average(L272:L277)</f>
        <v>#DIV/0!</v>
      </c>
      <c r="M278" s="68"/>
      <c r="N278" s="69">
        <f>sum(N272:N277)</f>
        <v>12329948.2</v>
      </c>
    </row>
    <row r="279">
      <c r="A279" s="70">
        <v>46055.0</v>
      </c>
      <c r="B279" s="234" t="s">
        <v>70</v>
      </c>
      <c r="C279" s="89"/>
      <c r="D279" s="89"/>
      <c r="E279" s="12">
        <f t="shared" ref="E279:E284" si="269">D279-C279</f>
        <v>0</v>
      </c>
      <c r="F279" s="39"/>
      <c r="G279" s="14" t="str">
        <f t="shared" ref="G279:G284" si="270">(F279/E279)*100</f>
        <v>#DIV/0!</v>
      </c>
      <c r="H279" s="137"/>
      <c r="I279" s="137"/>
      <c r="J279" s="41">
        <f t="shared" ref="J279:J284" si="271">I279-H279</f>
        <v>0</v>
      </c>
      <c r="K279" s="41" t="str">
        <f t="shared" ref="K279:K284" si="272">F279</f>
        <v/>
      </c>
      <c r="L279" s="152" t="str">
        <f t="shared" ref="L279:L284" si="273">(K279/J279)*100</f>
        <v>#DIV/0!</v>
      </c>
      <c r="M279" s="72"/>
      <c r="N279" s="49">
        <v>3600000.0</v>
      </c>
    </row>
    <row r="280">
      <c r="A280" s="35">
        <v>46066.0</v>
      </c>
      <c r="B280" s="234" t="s">
        <v>70</v>
      </c>
      <c r="C280" s="89"/>
      <c r="D280" s="13"/>
      <c r="E280" s="12">
        <f t="shared" si="269"/>
        <v>0</v>
      </c>
      <c r="F280" s="157"/>
      <c r="G280" s="14" t="str">
        <f t="shared" si="270"/>
        <v>#DIV/0!</v>
      </c>
      <c r="H280" s="137"/>
      <c r="I280" s="137"/>
      <c r="J280" s="89">
        <f t="shared" si="271"/>
        <v>0</v>
      </c>
      <c r="K280" s="37" t="str">
        <f t="shared" si="272"/>
        <v/>
      </c>
      <c r="L280" s="152" t="str">
        <f t="shared" si="273"/>
        <v>#DIV/0!</v>
      </c>
      <c r="M280" s="72"/>
      <c r="N280" s="49">
        <v>2100000.0</v>
      </c>
    </row>
    <row r="281">
      <c r="A281" s="35"/>
      <c r="B281" s="234" t="s">
        <v>70</v>
      </c>
      <c r="C281" s="13"/>
      <c r="D281" s="89"/>
      <c r="E281" s="12">
        <f t="shared" si="269"/>
        <v>0</v>
      </c>
      <c r="F281" s="157"/>
      <c r="G281" s="14" t="str">
        <f t="shared" si="270"/>
        <v>#DIV/0!</v>
      </c>
      <c r="H281" s="137"/>
      <c r="I281" s="137"/>
      <c r="J281" s="89">
        <f t="shared" si="271"/>
        <v>0</v>
      </c>
      <c r="K281" s="37" t="str">
        <f t="shared" si="272"/>
        <v/>
      </c>
      <c r="L281" s="152" t="str">
        <f t="shared" si="273"/>
        <v>#DIV/0!</v>
      </c>
      <c r="M281" s="126"/>
      <c r="N281" s="49">
        <f t="shared" ref="N281:N284" si="274">M281*F281</f>
        <v>0</v>
      </c>
    </row>
    <row r="282">
      <c r="A282" s="35"/>
      <c r="B282" s="234" t="s">
        <v>70</v>
      </c>
      <c r="C282" s="89"/>
      <c r="D282" s="89"/>
      <c r="E282" s="12">
        <f t="shared" si="269"/>
        <v>0</v>
      </c>
      <c r="F282" s="157"/>
      <c r="G282" s="14" t="str">
        <f t="shared" si="270"/>
        <v>#DIV/0!</v>
      </c>
      <c r="H282" s="137"/>
      <c r="I282" s="137"/>
      <c r="J282" s="89">
        <f t="shared" si="271"/>
        <v>0</v>
      </c>
      <c r="K282" s="37" t="str">
        <f t="shared" si="272"/>
        <v/>
      </c>
      <c r="L282" s="152" t="str">
        <f t="shared" si="273"/>
        <v>#DIV/0!</v>
      </c>
      <c r="M282" s="126"/>
      <c r="N282" s="49">
        <f t="shared" si="274"/>
        <v>0</v>
      </c>
    </row>
    <row r="283">
      <c r="A283" s="35"/>
      <c r="B283" s="234" t="s">
        <v>70</v>
      </c>
      <c r="C283" s="37"/>
      <c r="D283" s="89"/>
      <c r="E283" s="12">
        <f t="shared" si="269"/>
        <v>0</v>
      </c>
      <c r="F283" s="157"/>
      <c r="G283" s="14" t="str">
        <f t="shared" si="270"/>
        <v>#DIV/0!</v>
      </c>
      <c r="H283" s="89"/>
      <c r="I283" s="137"/>
      <c r="J283" s="89">
        <f t="shared" si="271"/>
        <v>0</v>
      </c>
      <c r="K283" s="37" t="str">
        <f t="shared" si="272"/>
        <v/>
      </c>
      <c r="L283" s="152" t="str">
        <f t="shared" si="273"/>
        <v>#DIV/0!</v>
      </c>
      <c r="M283" s="126"/>
      <c r="N283" s="49">
        <f t="shared" si="274"/>
        <v>0</v>
      </c>
    </row>
    <row r="284">
      <c r="A284" s="154"/>
      <c r="B284" s="234" t="s">
        <v>70</v>
      </c>
      <c r="C284" s="89"/>
      <c r="D284" s="89"/>
      <c r="E284" s="12">
        <f t="shared" si="269"/>
        <v>0</v>
      </c>
      <c r="F284" s="157"/>
      <c r="G284" s="14" t="str">
        <f t="shared" si="270"/>
        <v>#DIV/0!</v>
      </c>
      <c r="H284" s="89"/>
      <c r="I284" s="137"/>
      <c r="J284" s="89">
        <f t="shared" si="271"/>
        <v>0</v>
      </c>
      <c r="K284" s="37" t="str">
        <f t="shared" si="272"/>
        <v/>
      </c>
      <c r="L284" s="152" t="str">
        <f t="shared" si="273"/>
        <v>#DIV/0!</v>
      </c>
      <c r="M284" s="126"/>
      <c r="N284" s="49">
        <f t="shared" si="274"/>
        <v>0</v>
      </c>
    </row>
    <row r="285">
      <c r="A285" s="62"/>
      <c r="B285" s="63"/>
      <c r="C285" s="62"/>
      <c r="D285" s="64" t="s">
        <v>19</v>
      </c>
      <c r="E285" s="64">
        <f t="shared" ref="E285:F285" si="275">sum(E279:E284)</f>
        <v>0</v>
      </c>
      <c r="F285" s="64">
        <f t="shared" si="275"/>
        <v>0</v>
      </c>
      <c r="G285" s="65" t="str">
        <f>average(G279:G284)</f>
        <v>#DIV/0!</v>
      </c>
      <c r="H285" s="62"/>
      <c r="I285" s="66"/>
      <c r="J285" s="64">
        <f t="shared" ref="J285:K285" si="276">sum(J279:J284)</f>
        <v>0</v>
      </c>
      <c r="K285" s="64">
        <f t="shared" si="276"/>
        <v>0</v>
      </c>
      <c r="L285" s="65" t="str">
        <f>average(L279:L284)</f>
        <v>#DIV/0!</v>
      </c>
      <c r="M285" s="68"/>
      <c r="N285" s="69">
        <f>sum(N279:N284)</f>
        <v>5700000</v>
      </c>
    </row>
    <row r="286">
      <c r="A286" s="198" t="s">
        <v>64</v>
      </c>
      <c r="B286" s="199"/>
      <c r="C286" s="199"/>
      <c r="D286" s="199"/>
      <c r="E286" s="199"/>
      <c r="F286" s="199"/>
      <c r="G286" s="199"/>
      <c r="H286" s="199"/>
      <c r="I286" s="199"/>
      <c r="J286" s="199"/>
      <c r="K286" s="199"/>
      <c r="L286" s="200"/>
      <c r="M286" s="68"/>
      <c r="N286" s="69">
        <f>SUM(N285+N278+N271+N264+N257+N250+N241+N235+N229+N223+N217+N211+N205)</f>
        <v>134124615.9</v>
      </c>
    </row>
    <row r="287">
      <c r="G287" s="168"/>
      <c r="L287" s="168"/>
      <c r="N287" s="169"/>
    </row>
    <row r="288">
      <c r="G288" s="168"/>
      <c r="L288" s="168"/>
      <c r="N288" s="169"/>
    </row>
    <row r="289">
      <c r="G289" s="168"/>
      <c r="L289" s="168"/>
      <c r="N289" s="169"/>
    </row>
    <row r="290">
      <c r="G290" s="168"/>
      <c r="L290" s="168"/>
      <c r="N290" s="169"/>
    </row>
    <row r="291">
      <c r="G291" s="168"/>
      <c r="L291" s="168"/>
      <c r="N291" s="169"/>
    </row>
    <row r="292">
      <c r="G292" s="168"/>
      <c r="L292" s="168"/>
      <c r="N292" s="169"/>
    </row>
    <row r="293">
      <c r="G293" s="168"/>
      <c r="L293" s="168"/>
      <c r="N293" s="169"/>
    </row>
    <row r="294">
      <c r="G294" s="168"/>
      <c r="L294" s="168"/>
      <c r="N294" s="169"/>
    </row>
    <row r="295">
      <c r="G295" s="168"/>
      <c r="L295" s="168"/>
      <c r="N295" s="169"/>
    </row>
    <row r="296">
      <c r="G296" s="168"/>
      <c r="L296" s="168"/>
      <c r="N296" s="169"/>
    </row>
    <row r="297">
      <c r="G297" s="168"/>
      <c r="L297" s="168"/>
      <c r="N297" s="169"/>
    </row>
    <row r="298">
      <c r="G298" s="168"/>
      <c r="L298" s="168"/>
      <c r="N298" s="169"/>
    </row>
    <row r="299">
      <c r="G299" s="168"/>
      <c r="L299" s="168"/>
      <c r="N299" s="169"/>
    </row>
    <row r="300">
      <c r="G300" s="168"/>
      <c r="L300" s="168"/>
      <c r="N300" s="169"/>
    </row>
    <row r="301">
      <c r="G301" s="168"/>
      <c r="L301" s="168"/>
      <c r="N301" s="169"/>
    </row>
    <row r="302">
      <c r="G302" s="168"/>
      <c r="L302" s="168"/>
      <c r="N302" s="169"/>
    </row>
    <row r="303">
      <c r="G303" s="168"/>
      <c r="L303" s="168"/>
      <c r="N303" s="169"/>
    </row>
    <row r="304">
      <c r="G304" s="168"/>
      <c r="L304" s="168"/>
      <c r="N304" s="169"/>
    </row>
    <row r="305">
      <c r="G305" s="168"/>
      <c r="L305" s="168"/>
      <c r="N305" s="169"/>
    </row>
    <row r="306">
      <c r="G306" s="168"/>
      <c r="L306" s="168"/>
      <c r="N306" s="169"/>
    </row>
    <row r="307">
      <c r="G307" s="168"/>
      <c r="L307" s="168"/>
      <c r="N307" s="169"/>
    </row>
    <row r="308">
      <c r="G308" s="168"/>
      <c r="L308" s="168"/>
      <c r="N308" s="169"/>
    </row>
    <row r="309">
      <c r="G309" s="168"/>
      <c r="L309" s="168"/>
      <c r="N309" s="169"/>
    </row>
    <row r="310">
      <c r="G310" s="168"/>
      <c r="L310" s="168"/>
      <c r="N310" s="169"/>
    </row>
    <row r="311">
      <c r="G311" s="168"/>
      <c r="L311" s="168"/>
      <c r="N311" s="169"/>
    </row>
    <row r="312">
      <c r="G312" s="168"/>
      <c r="L312" s="168"/>
      <c r="N312" s="169"/>
    </row>
    <row r="313">
      <c r="G313" s="168"/>
      <c r="L313" s="168"/>
      <c r="N313" s="169"/>
    </row>
    <row r="314">
      <c r="G314" s="168"/>
      <c r="L314" s="168"/>
      <c r="N314" s="169"/>
    </row>
    <row r="315">
      <c r="G315" s="168"/>
      <c r="L315" s="168"/>
      <c r="N315" s="169"/>
    </row>
    <row r="316">
      <c r="G316" s="168"/>
      <c r="L316" s="168"/>
      <c r="N316" s="169"/>
    </row>
    <row r="317">
      <c r="G317" s="168"/>
      <c r="L317" s="168"/>
      <c r="N317" s="169"/>
    </row>
    <row r="318">
      <c r="G318" s="168"/>
      <c r="L318" s="168"/>
      <c r="N318" s="169"/>
    </row>
    <row r="319">
      <c r="G319" s="168"/>
      <c r="L319" s="168"/>
      <c r="N319" s="169"/>
    </row>
    <row r="320">
      <c r="G320" s="168"/>
      <c r="L320" s="168"/>
      <c r="N320" s="169"/>
    </row>
    <row r="321">
      <c r="G321" s="168"/>
      <c r="L321" s="168"/>
      <c r="N321" s="169"/>
    </row>
    <row r="322">
      <c r="G322" s="168"/>
      <c r="L322" s="168"/>
      <c r="N322" s="169"/>
    </row>
    <row r="323">
      <c r="G323" s="168"/>
      <c r="L323" s="168"/>
      <c r="N323" s="169"/>
    </row>
    <row r="324">
      <c r="G324" s="168"/>
      <c r="L324" s="168"/>
      <c r="N324" s="169"/>
    </row>
    <row r="325">
      <c r="G325" s="168"/>
      <c r="L325" s="168"/>
      <c r="N325" s="169"/>
    </row>
    <row r="326">
      <c r="G326" s="168"/>
      <c r="L326" s="168"/>
      <c r="N326" s="169"/>
    </row>
    <row r="327">
      <c r="G327" s="168"/>
      <c r="L327" s="168"/>
      <c r="N327" s="169"/>
    </row>
    <row r="328">
      <c r="G328" s="168"/>
      <c r="L328" s="168"/>
      <c r="N328" s="169"/>
    </row>
    <row r="329">
      <c r="G329" s="168"/>
      <c r="L329" s="168"/>
      <c r="N329" s="169"/>
    </row>
    <row r="330">
      <c r="G330" s="168"/>
      <c r="L330" s="168"/>
      <c r="N330" s="169"/>
    </row>
    <row r="331">
      <c r="G331" s="168"/>
      <c r="L331" s="168"/>
      <c r="N331" s="169"/>
    </row>
    <row r="332">
      <c r="G332" s="168"/>
      <c r="L332" s="168"/>
      <c r="N332" s="169"/>
    </row>
    <row r="333">
      <c r="G333" s="168"/>
      <c r="L333" s="168"/>
      <c r="N333" s="169"/>
    </row>
    <row r="334">
      <c r="G334" s="168"/>
      <c r="L334" s="168"/>
      <c r="N334" s="169"/>
    </row>
    <row r="335">
      <c r="G335" s="168"/>
      <c r="L335" s="168"/>
      <c r="N335" s="169"/>
    </row>
    <row r="336">
      <c r="G336" s="168"/>
      <c r="L336" s="168"/>
      <c r="N336" s="169"/>
    </row>
    <row r="337">
      <c r="G337" s="168"/>
      <c r="L337" s="168"/>
      <c r="N337" s="169"/>
    </row>
    <row r="338">
      <c r="G338" s="168"/>
      <c r="L338" s="168"/>
      <c r="N338" s="169"/>
    </row>
    <row r="339">
      <c r="G339" s="168"/>
      <c r="L339" s="168"/>
      <c r="N339" s="169"/>
    </row>
    <row r="340">
      <c r="G340" s="168"/>
      <c r="L340" s="168"/>
      <c r="N340" s="169"/>
    </row>
    <row r="341">
      <c r="G341" s="168"/>
      <c r="L341" s="168"/>
      <c r="N341" s="169"/>
    </row>
    <row r="342">
      <c r="G342" s="168"/>
      <c r="L342" s="168"/>
      <c r="N342" s="169"/>
    </row>
    <row r="343">
      <c r="G343" s="168"/>
      <c r="L343" s="168"/>
      <c r="N343" s="169"/>
    </row>
    <row r="344">
      <c r="G344" s="168"/>
      <c r="L344" s="168"/>
      <c r="N344" s="169"/>
    </row>
    <row r="345">
      <c r="G345" s="168"/>
      <c r="L345" s="168"/>
      <c r="N345" s="169"/>
    </row>
    <row r="346">
      <c r="G346" s="168"/>
      <c r="L346" s="168"/>
      <c r="N346" s="169"/>
    </row>
    <row r="347">
      <c r="G347" s="168"/>
      <c r="L347" s="168"/>
      <c r="N347" s="169"/>
    </row>
    <row r="348">
      <c r="G348" s="168"/>
      <c r="L348" s="168"/>
      <c r="N348" s="169"/>
    </row>
    <row r="349">
      <c r="G349" s="168"/>
      <c r="L349" s="168"/>
      <c r="N349" s="169"/>
    </row>
    <row r="350">
      <c r="G350" s="168"/>
      <c r="L350" s="168"/>
      <c r="N350" s="169"/>
    </row>
    <row r="351">
      <c r="G351" s="168"/>
      <c r="L351" s="168"/>
      <c r="N351" s="169"/>
    </row>
    <row r="352">
      <c r="G352" s="168"/>
      <c r="L352" s="168"/>
      <c r="N352" s="169"/>
    </row>
    <row r="353">
      <c r="G353" s="168"/>
      <c r="L353" s="168"/>
      <c r="N353" s="169"/>
    </row>
    <row r="354">
      <c r="G354" s="168"/>
      <c r="L354" s="168"/>
      <c r="N354" s="169"/>
    </row>
    <row r="355">
      <c r="G355" s="168"/>
      <c r="L355" s="168"/>
      <c r="N355" s="169"/>
    </row>
    <row r="356">
      <c r="G356" s="168"/>
      <c r="L356" s="168"/>
      <c r="N356" s="169"/>
    </row>
    <row r="357">
      <c r="G357" s="168"/>
      <c r="L357" s="168"/>
      <c r="N357" s="169"/>
    </row>
    <row r="358">
      <c r="G358" s="168"/>
      <c r="L358" s="168"/>
      <c r="N358" s="169"/>
    </row>
    <row r="359">
      <c r="G359" s="168"/>
      <c r="L359" s="168"/>
      <c r="N359" s="169"/>
    </row>
    <row r="360">
      <c r="G360" s="168"/>
      <c r="L360" s="168"/>
      <c r="N360" s="169"/>
    </row>
    <row r="361">
      <c r="G361" s="168"/>
      <c r="L361" s="168"/>
      <c r="N361" s="169"/>
    </row>
    <row r="362">
      <c r="G362" s="168"/>
      <c r="L362" s="168"/>
      <c r="N362" s="169"/>
    </row>
    <row r="363">
      <c r="G363" s="168"/>
      <c r="L363" s="168"/>
      <c r="N363" s="169"/>
    </row>
    <row r="364">
      <c r="G364" s="168"/>
      <c r="L364" s="168"/>
      <c r="N364" s="169"/>
    </row>
    <row r="365">
      <c r="G365" s="168"/>
      <c r="L365" s="168"/>
      <c r="N365" s="169"/>
    </row>
    <row r="366">
      <c r="G366" s="168"/>
      <c r="L366" s="168"/>
      <c r="N366" s="169"/>
    </row>
    <row r="367">
      <c r="G367" s="168"/>
      <c r="L367" s="168"/>
      <c r="N367" s="169"/>
    </row>
    <row r="368">
      <c r="G368" s="168"/>
      <c r="L368" s="168"/>
      <c r="N368" s="169"/>
    </row>
    <row r="369">
      <c r="G369" s="168"/>
      <c r="L369" s="168"/>
      <c r="N369" s="169"/>
    </row>
    <row r="370">
      <c r="G370" s="168"/>
      <c r="L370" s="168"/>
      <c r="N370" s="169"/>
    </row>
    <row r="371">
      <c r="G371" s="168"/>
      <c r="L371" s="168"/>
      <c r="N371" s="169"/>
    </row>
    <row r="372">
      <c r="G372" s="168"/>
      <c r="L372" s="168"/>
      <c r="N372" s="169"/>
    </row>
    <row r="373">
      <c r="G373" s="168"/>
      <c r="L373" s="168"/>
      <c r="N373" s="169"/>
    </row>
    <row r="374">
      <c r="G374" s="168"/>
      <c r="L374" s="168"/>
      <c r="N374" s="169"/>
    </row>
    <row r="375">
      <c r="G375" s="168"/>
      <c r="L375" s="168"/>
      <c r="N375" s="169"/>
    </row>
    <row r="376">
      <c r="G376" s="168"/>
      <c r="L376" s="168"/>
      <c r="N376" s="169"/>
    </row>
    <row r="377">
      <c r="G377" s="168"/>
      <c r="L377" s="168"/>
      <c r="N377" s="169"/>
    </row>
    <row r="378">
      <c r="G378" s="168"/>
      <c r="L378" s="168"/>
      <c r="N378" s="169"/>
    </row>
    <row r="379">
      <c r="G379" s="168"/>
      <c r="L379" s="168"/>
      <c r="N379" s="169"/>
    </row>
    <row r="380">
      <c r="G380" s="168"/>
      <c r="L380" s="168"/>
      <c r="N380" s="169"/>
    </row>
    <row r="381">
      <c r="G381" s="168"/>
      <c r="L381" s="168"/>
      <c r="N381" s="169"/>
    </row>
    <row r="382">
      <c r="G382" s="168"/>
      <c r="L382" s="168"/>
      <c r="N382" s="169"/>
    </row>
    <row r="383">
      <c r="G383" s="168"/>
      <c r="L383" s="168"/>
      <c r="N383" s="169"/>
    </row>
    <row r="384">
      <c r="G384" s="168"/>
      <c r="L384" s="168"/>
      <c r="N384" s="169"/>
    </row>
    <row r="385">
      <c r="G385" s="168"/>
      <c r="L385" s="168"/>
      <c r="N385" s="169"/>
    </row>
    <row r="386">
      <c r="G386" s="168"/>
      <c r="L386" s="168"/>
      <c r="N386" s="169"/>
    </row>
    <row r="387">
      <c r="G387" s="168"/>
      <c r="L387" s="168"/>
      <c r="N387" s="169"/>
    </row>
    <row r="388">
      <c r="G388" s="168"/>
      <c r="L388" s="168"/>
      <c r="N388" s="169"/>
    </row>
    <row r="389">
      <c r="G389" s="168"/>
      <c r="L389" s="168"/>
      <c r="N389" s="169"/>
    </row>
    <row r="390">
      <c r="G390" s="168"/>
      <c r="L390" s="168"/>
      <c r="N390" s="169"/>
    </row>
    <row r="391">
      <c r="G391" s="168"/>
      <c r="L391" s="168"/>
      <c r="N391" s="169"/>
    </row>
    <row r="392">
      <c r="G392" s="168"/>
      <c r="L392" s="168"/>
      <c r="N392" s="169"/>
    </row>
    <row r="393">
      <c r="G393" s="168"/>
      <c r="L393" s="168"/>
      <c r="N393" s="169"/>
    </row>
    <row r="394">
      <c r="G394" s="168"/>
      <c r="L394" s="168"/>
      <c r="N394" s="169"/>
    </row>
    <row r="395">
      <c r="G395" s="168"/>
      <c r="L395" s="168"/>
      <c r="N395" s="169"/>
    </row>
    <row r="396">
      <c r="G396" s="168"/>
      <c r="L396" s="168"/>
      <c r="N396" s="169"/>
    </row>
    <row r="397">
      <c r="G397" s="168"/>
      <c r="L397" s="168"/>
      <c r="N397" s="169"/>
    </row>
    <row r="398">
      <c r="G398" s="168"/>
      <c r="L398" s="168"/>
      <c r="N398" s="169"/>
    </row>
    <row r="399">
      <c r="G399" s="168"/>
      <c r="L399" s="168"/>
      <c r="N399" s="169"/>
    </row>
    <row r="400">
      <c r="G400" s="168"/>
      <c r="L400" s="168"/>
      <c r="N400" s="169"/>
    </row>
    <row r="401">
      <c r="G401" s="168"/>
      <c r="L401" s="168"/>
      <c r="N401" s="169"/>
    </row>
    <row r="402">
      <c r="G402" s="168"/>
      <c r="L402" s="168"/>
      <c r="N402" s="169"/>
    </row>
    <row r="403">
      <c r="G403" s="168"/>
      <c r="L403" s="168"/>
      <c r="N403" s="169"/>
    </row>
    <row r="404">
      <c r="G404" s="168"/>
      <c r="L404" s="168"/>
      <c r="N404" s="169"/>
    </row>
    <row r="405">
      <c r="G405" s="168"/>
      <c r="L405" s="168"/>
      <c r="N405" s="169"/>
    </row>
    <row r="406">
      <c r="G406" s="168"/>
      <c r="L406" s="168"/>
      <c r="N406" s="169"/>
    </row>
    <row r="407">
      <c r="G407" s="168"/>
      <c r="L407" s="168"/>
      <c r="N407" s="169"/>
    </row>
    <row r="408">
      <c r="G408" s="168"/>
      <c r="L408" s="168"/>
      <c r="N408" s="169"/>
    </row>
    <row r="409">
      <c r="G409" s="168"/>
      <c r="L409" s="168"/>
      <c r="N409" s="169"/>
    </row>
    <row r="410">
      <c r="G410" s="168"/>
      <c r="L410" s="168"/>
      <c r="N410" s="169"/>
    </row>
    <row r="411">
      <c r="G411" s="168"/>
      <c r="L411" s="168"/>
      <c r="N411" s="169"/>
    </row>
    <row r="412">
      <c r="G412" s="168"/>
      <c r="L412" s="168"/>
      <c r="N412" s="169"/>
    </row>
    <row r="413">
      <c r="G413" s="168"/>
      <c r="L413" s="168"/>
      <c r="N413" s="169"/>
    </row>
    <row r="414">
      <c r="G414" s="168"/>
      <c r="L414" s="168"/>
      <c r="N414" s="169"/>
    </row>
    <row r="415">
      <c r="G415" s="168"/>
      <c r="L415" s="168"/>
      <c r="N415" s="169"/>
    </row>
    <row r="416">
      <c r="G416" s="168"/>
      <c r="L416" s="168"/>
      <c r="N416" s="169"/>
    </row>
    <row r="417">
      <c r="G417" s="168"/>
      <c r="L417" s="168"/>
      <c r="N417" s="169"/>
    </row>
    <row r="418">
      <c r="G418" s="168"/>
      <c r="L418" s="168"/>
      <c r="N418" s="169"/>
    </row>
    <row r="419">
      <c r="G419" s="168"/>
      <c r="L419" s="168"/>
      <c r="N419" s="169"/>
    </row>
    <row r="420">
      <c r="G420" s="168"/>
      <c r="L420" s="168"/>
      <c r="N420" s="169"/>
    </row>
    <row r="421">
      <c r="G421" s="168"/>
      <c r="L421" s="168"/>
      <c r="N421" s="169"/>
    </row>
    <row r="422">
      <c r="G422" s="168"/>
      <c r="L422" s="168"/>
      <c r="N422" s="169"/>
    </row>
    <row r="423">
      <c r="G423" s="168"/>
      <c r="L423" s="168"/>
      <c r="N423" s="169"/>
    </row>
    <row r="424">
      <c r="G424" s="168"/>
      <c r="L424" s="168"/>
      <c r="N424" s="169"/>
    </row>
    <row r="425">
      <c r="G425" s="168"/>
      <c r="L425" s="168"/>
      <c r="N425" s="169"/>
    </row>
    <row r="426">
      <c r="G426" s="168"/>
      <c r="L426" s="168"/>
      <c r="N426" s="169"/>
    </row>
    <row r="427">
      <c r="G427" s="168"/>
      <c r="L427" s="168"/>
      <c r="N427" s="169"/>
    </row>
    <row r="428">
      <c r="G428" s="168"/>
      <c r="L428" s="168"/>
      <c r="N428" s="169"/>
    </row>
    <row r="429">
      <c r="G429" s="168"/>
      <c r="L429" s="168"/>
      <c r="N429" s="169"/>
    </row>
    <row r="430">
      <c r="G430" s="168"/>
      <c r="L430" s="168"/>
      <c r="N430" s="169"/>
    </row>
    <row r="431">
      <c r="G431" s="168"/>
      <c r="L431" s="168"/>
      <c r="N431" s="169"/>
    </row>
    <row r="432">
      <c r="G432" s="168"/>
      <c r="L432" s="168"/>
      <c r="N432" s="169"/>
    </row>
    <row r="433">
      <c r="G433" s="168"/>
      <c r="L433" s="168"/>
      <c r="N433" s="169"/>
    </row>
    <row r="434">
      <c r="G434" s="168"/>
      <c r="L434" s="168"/>
      <c r="N434" s="169"/>
    </row>
    <row r="435">
      <c r="G435" s="168"/>
      <c r="L435" s="168"/>
      <c r="N435" s="169"/>
    </row>
    <row r="436">
      <c r="G436" s="168"/>
      <c r="L436" s="168"/>
      <c r="N436" s="169"/>
    </row>
    <row r="437">
      <c r="G437" s="168"/>
      <c r="L437" s="168"/>
      <c r="N437" s="169"/>
    </row>
    <row r="438">
      <c r="G438" s="168"/>
      <c r="L438" s="168"/>
      <c r="N438" s="169"/>
    </row>
    <row r="439">
      <c r="G439" s="168"/>
      <c r="L439" s="168"/>
      <c r="N439" s="169"/>
    </row>
    <row r="440">
      <c r="G440" s="168"/>
      <c r="L440" s="168"/>
      <c r="N440" s="169"/>
    </row>
    <row r="441">
      <c r="G441" s="168"/>
      <c r="L441" s="168"/>
      <c r="N441" s="169"/>
    </row>
    <row r="442">
      <c r="G442" s="168"/>
      <c r="L442" s="168"/>
      <c r="N442" s="169"/>
    </row>
    <row r="443">
      <c r="G443" s="168"/>
      <c r="L443" s="168"/>
      <c r="N443" s="169"/>
    </row>
    <row r="444">
      <c r="G444" s="168"/>
      <c r="L444" s="168"/>
      <c r="N444" s="169"/>
    </row>
    <row r="445">
      <c r="G445" s="168"/>
      <c r="L445" s="168"/>
      <c r="N445" s="169"/>
    </row>
    <row r="446">
      <c r="G446" s="168"/>
      <c r="L446" s="168"/>
      <c r="N446" s="169"/>
    </row>
    <row r="447">
      <c r="G447" s="168"/>
      <c r="L447" s="168"/>
      <c r="N447" s="169"/>
    </row>
    <row r="448">
      <c r="G448" s="168"/>
      <c r="L448" s="168"/>
      <c r="N448" s="169"/>
    </row>
    <row r="449">
      <c r="G449" s="168"/>
      <c r="L449" s="168"/>
      <c r="N449" s="169"/>
    </row>
    <row r="450">
      <c r="G450" s="168"/>
      <c r="L450" s="168"/>
      <c r="N450" s="169"/>
    </row>
    <row r="451">
      <c r="G451" s="168"/>
      <c r="L451" s="168"/>
      <c r="N451" s="169"/>
    </row>
    <row r="452">
      <c r="G452" s="168"/>
      <c r="L452" s="168"/>
      <c r="N452" s="169"/>
    </row>
    <row r="453">
      <c r="G453" s="168"/>
      <c r="L453" s="168"/>
      <c r="N453" s="169"/>
    </row>
    <row r="454">
      <c r="G454" s="168"/>
      <c r="L454" s="168"/>
      <c r="N454" s="169"/>
    </row>
    <row r="455">
      <c r="G455" s="168"/>
      <c r="L455" s="168"/>
      <c r="N455" s="169"/>
    </row>
    <row r="456">
      <c r="G456" s="168"/>
      <c r="L456" s="168"/>
      <c r="N456" s="169"/>
    </row>
    <row r="457">
      <c r="G457" s="168"/>
      <c r="L457" s="168"/>
      <c r="N457" s="169"/>
    </row>
    <row r="458">
      <c r="G458" s="168"/>
      <c r="L458" s="168"/>
      <c r="N458" s="169"/>
    </row>
    <row r="459">
      <c r="G459" s="168"/>
      <c r="L459" s="168"/>
      <c r="N459" s="169"/>
    </row>
    <row r="460">
      <c r="G460" s="168"/>
      <c r="L460" s="168"/>
      <c r="N460" s="169"/>
    </row>
    <row r="461">
      <c r="G461" s="168"/>
      <c r="L461" s="168"/>
      <c r="N461" s="169"/>
    </row>
    <row r="462">
      <c r="G462" s="168"/>
      <c r="L462" s="168"/>
      <c r="N462" s="169"/>
    </row>
    <row r="463">
      <c r="G463" s="168"/>
      <c r="L463" s="168"/>
      <c r="N463" s="169"/>
    </row>
    <row r="464">
      <c r="G464" s="168"/>
      <c r="L464" s="168"/>
      <c r="N464" s="169"/>
    </row>
    <row r="465">
      <c r="G465" s="168"/>
      <c r="L465" s="168"/>
      <c r="N465" s="169"/>
    </row>
    <row r="466">
      <c r="G466" s="168"/>
      <c r="L466" s="168"/>
      <c r="N466" s="169"/>
    </row>
    <row r="467">
      <c r="G467" s="168"/>
      <c r="L467" s="168"/>
      <c r="N467" s="169"/>
    </row>
    <row r="468">
      <c r="G468" s="168"/>
      <c r="L468" s="168"/>
      <c r="N468" s="169"/>
    </row>
    <row r="469">
      <c r="G469" s="168"/>
      <c r="L469" s="168"/>
      <c r="N469" s="169"/>
    </row>
    <row r="470">
      <c r="G470" s="168"/>
      <c r="L470" s="168"/>
      <c r="N470" s="169"/>
    </row>
    <row r="471">
      <c r="G471" s="168"/>
      <c r="L471" s="168"/>
      <c r="N471" s="169"/>
    </row>
    <row r="472">
      <c r="G472" s="168"/>
      <c r="L472" s="168"/>
      <c r="N472" s="169"/>
    </row>
    <row r="473">
      <c r="G473" s="168"/>
      <c r="L473" s="168"/>
      <c r="N473" s="169"/>
    </row>
    <row r="474">
      <c r="G474" s="168"/>
      <c r="L474" s="168"/>
      <c r="N474" s="169"/>
    </row>
    <row r="475">
      <c r="G475" s="168"/>
      <c r="L475" s="168"/>
      <c r="N475" s="169"/>
    </row>
    <row r="476">
      <c r="G476" s="168"/>
      <c r="L476" s="168"/>
      <c r="N476" s="169"/>
    </row>
    <row r="477">
      <c r="G477" s="168"/>
      <c r="L477" s="168"/>
      <c r="N477" s="169"/>
    </row>
    <row r="478">
      <c r="G478" s="168"/>
      <c r="L478" s="168"/>
      <c r="N478" s="169"/>
    </row>
    <row r="479">
      <c r="G479" s="168"/>
      <c r="L479" s="168"/>
      <c r="N479" s="169"/>
    </row>
    <row r="480">
      <c r="G480" s="168"/>
      <c r="L480" s="168"/>
      <c r="N480" s="169"/>
    </row>
    <row r="481">
      <c r="G481" s="168"/>
      <c r="L481" s="168"/>
      <c r="N481" s="169"/>
    </row>
    <row r="482">
      <c r="G482" s="168"/>
      <c r="L482" s="168"/>
      <c r="N482" s="169"/>
    </row>
    <row r="483">
      <c r="G483" s="168"/>
      <c r="L483" s="168"/>
      <c r="N483" s="169"/>
    </row>
    <row r="484">
      <c r="G484" s="168"/>
      <c r="L484" s="168"/>
      <c r="N484" s="169"/>
    </row>
    <row r="485">
      <c r="G485" s="168"/>
      <c r="L485" s="168"/>
      <c r="N485" s="169"/>
    </row>
    <row r="486">
      <c r="G486" s="168"/>
      <c r="L486" s="168"/>
      <c r="N486" s="169"/>
    </row>
    <row r="487">
      <c r="G487" s="168"/>
      <c r="L487" s="168"/>
      <c r="N487" s="169"/>
    </row>
    <row r="488">
      <c r="G488" s="168"/>
      <c r="L488" s="168"/>
      <c r="N488" s="169"/>
    </row>
    <row r="489">
      <c r="G489" s="168"/>
      <c r="L489" s="168"/>
      <c r="N489" s="169"/>
    </row>
    <row r="490">
      <c r="G490" s="168"/>
      <c r="L490" s="168"/>
      <c r="N490" s="169"/>
    </row>
    <row r="491">
      <c r="G491" s="168"/>
      <c r="L491" s="168"/>
      <c r="N491" s="169"/>
    </row>
    <row r="492">
      <c r="G492" s="168"/>
      <c r="L492" s="168"/>
      <c r="N492" s="169"/>
    </row>
    <row r="493">
      <c r="G493" s="168"/>
      <c r="L493" s="168"/>
      <c r="N493" s="169"/>
    </row>
    <row r="494">
      <c r="G494" s="168"/>
      <c r="L494" s="168"/>
      <c r="N494" s="169"/>
    </row>
    <row r="495">
      <c r="G495" s="168"/>
      <c r="L495" s="168"/>
      <c r="N495" s="169"/>
    </row>
    <row r="496">
      <c r="G496" s="168"/>
      <c r="L496" s="168"/>
      <c r="N496" s="169"/>
    </row>
    <row r="497">
      <c r="G497" s="168"/>
      <c r="L497" s="168"/>
      <c r="N497" s="169"/>
    </row>
    <row r="498">
      <c r="G498" s="168"/>
      <c r="L498" s="168"/>
      <c r="N498" s="169"/>
    </row>
    <row r="499">
      <c r="G499" s="168"/>
      <c r="L499" s="168"/>
      <c r="N499" s="169"/>
    </row>
    <row r="500">
      <c r="G500" s="168"/>
      <c r="L500" s="168"/>
      <c r="N500" s="169"/>
    </row>
    <row r="501">
      <c r="G501" s="168"/>
      <c r="L501" s="168"/>
      <c r="N501" s="169"/>
    </row>
    <row r="502">
      <c r="G502" s="168"/>
      <c r="L502" s="168"/>
      <c r="N502" s="169"/>
    </row>
    <row r="503">
      <c r="G503" s="168"/>
      <c r="L503" s="168"/>
      <c r="N503" s="169"/>
    </row>
    <row r="504">
      <c r="G504" s="168"/>
      <c r="L504" s="168"/>
      <c r="N504" s="169"/>
    </row>
    <row r="505">
      <c r="G505" s="168"/>
      <c r="L505" s="168"/>
      <c r="N505" s="169"/>
    </row>
    <row r="506">
      <c r="G506" s="168"/>
      <c r="L506" s="168"/>
      <c r="N506" s="169"/>
    </row>
    <row r="507">
      <c r="G507" s="168"/>
      <c r="L507" s="168"/>
      <c r="N507" s="169"/>
    </row>
    <row r="508">
      <c r="G508" s="168"/>
      <c r="L508" s="168"/>
      <c r="N508" s="169"/>
    </row>
    <row r="509">
      <c r="G509" s="168"/>
      <c r="L509" s="168"/>
      <c r="N509" s="169"/>
    </row>
    <row r="510">
      <c r="G510" s="168"/>
      <c r="L510" s="168"/>
      <c r="N510" s="169"/>
    </row>
    <row r="511">
      <c r="G511" s="168"/>
      <c r="L511" s="168"/>
      <c r="N511" s="169"/>
    </row>
    <row r="512">
      <c r="G512" s="168"/>
      <c r="L512" s="168"/>
      <c r="N512" s="169"/>
    </row>
    <row r="513">
      <c r="G513" s="168"/>
      <c r="L513" s="168"/>
      <c r="N513" s="169"/>
    </row>
    <row r="514">
      <c r="G514" s="168"/>
      <c r="L514" s="168"/>
      <c r="N514" s="169"/>
    </row>
    <row r="515">
      <c r="G515" s="168"/>
      <c r="L515" s="168"/>
      <c r="N515" s="169"/>
    </row>
    <row r="516">
      <c r="G516" s="168"/>
      <c r="L516" s="168"/>
      <c r="N516" s="169"/>
    </row>
    <row r="517">
      <c r="G517" s="168"/>
      <c r="L517" s="168"/>
      <c r="N517" s="169"/>
    </row>
    <row r="518">
      <c r="G518" s="168"/>
      <c r="L518" s="168"/>
      <c r="N518" s="169"/>
    </row>
    <row r="519">
      <c r="G519" s="168"/>
      <c r="L519" s="168"/>
      <c r="N519" s="169"/>
    </row>
    <row r="520">
      <c r="G520" s="168"/>
      <c r="L520" s="168"/>
      <c r="N520" s="169"/>
    </row>
    <row r="521">
      <c r="G521" s="168"/>
      <c r="L521" s="168"/>
      <c r="N521" s="169"/>
    </row>
    <row r="522">
      <c r="G522" s="168"/>
      <c r="L522" s="168"/>
      <c r="N522" s="169"/>
    </row>
    <row r="523">
      <c r="G523" s="168"/>
      <c r="L523" s="168"/>
      <c r="N523" s="169"/>
    </row>
    <row r="524">
      <c r="G524" s="168"/>
      <c r="L524" s="168"/>
      <c r="N524" s="169"/>
    </row>
    <row r="525">
      <c r="G525" s="168"/>
      <c r="L525" s="168"/>
      <c r="N525" s="169"/>
    </row>
    <row r="526">
      <c r="G526" s="168"/>
      <c r="L526" s="168"/>
      <c r="N526" s="169"/>
    </row>
    <row r="527">
      <c r="G527" s="168"/>
      <c r="L527" s="168"/>
      <c r="N527" s="169"/>
    </row>
    <row r="528">
      <c r="G528" s="168"/>
      <c r="L528" s="168"/>
      <c r="N528" s="169"/>
    </row>
    <row r="529">
      <c r="G529" s="168"/>
      <c r="L529" s="168"/>
      <c r="N529" s="169"/>
    </row>
    <row r="530">
      <c r="G530" s="168"/>
      <c r="L530" s="168"/>
      <c r="N530" s="169"/>
    </row>
    <row r="531">
      <c r="G531" s="168"/>
      <c r="L531" s="168"/>
      <c r="N531" s="169"/>
    </row>
    <row r="532">
      <c r="G532" s="168"/>
      <c r="L532" s="168"/>
      <c r="N532" s="169"/>
    </row>
    <row r="533">
      <c r="G533" s="168"/>
      <c r="L533" s="168"/>
      <c r="N533" s="169"/>
    </row>
    <row r="534">
      <c r="G534" s="168"/>
      <c r="L534" s="168"/>
      <c r="N534" s="169"/>
    </row>
    <row r="535">
      <c r="G535" s="168"/>
      <c r="L535" s="168"/>
      <c r="N535" s="169"/>
    </row>
    <row r="536">
      <c r="G536" s="168"/>
      <c r="L536" s="168"/>
      <c r="N536" s="169"/>
    </row>
    <row r="537">
      <c r="G537" s="168"/>
      <c r="L537" s="168"/>
      <c r="N537" s="169"/>
    </row>
    <row r="538">
      <c r="G538" s="168"/>
      <c r="L538" s="168"/>
      <c r="N538" s="169"/>
    </row>
    <row r="539">
      <c r="G539" s="168"/>
      <c r="L539" s="168"/>
      <c r="N539" s="169"/>
    </row>
    <row r="540">
      <c r="G540" s="168"/>
      <c r="L540" s="168"/>
      <c r="N540" s="169"/>
    </row>
    <row r="541">
      <c r="G541" s="168"/>
      <c r="L541" s="168"/>
      <c r="N541" s="169"/>
    </row>
    <row r="542">
      <c r="G542" s="168"/>
      <c r="L542" s="168"/>
      <c r="N542" s="169"/>
    </row>
    <row r="543">
      <c r="G543" s="168"/>
      <c r="L543" s="168"/>
      <c r="N543" s="169"/>
    </row>
    <row r="544">
      <c r="G544" s="168"/>
      <c r="L544" s="168"/>
      <c r="N544" s="169"/>
    </row>
    <row r="545">
      <c r="G545" s="168"/>
      <c r="L545" s="168"/>
      <c r="N545" s="169"/>
    </row>
    <row r="546">
      <c r="G546" s="168"/>
      <c r="L546" s="168"/>
      <c r="N546" s="169"/>
    </row>
    <row r="547">
      <c r="G547" s="168"/>
      <c r="L547" s="168"/>
      <c r="N547" s="169"/>
    </row>
    <row r="548">
      <c r="G548" s="168"/>
      <c r="L548" s="168"/>
      <c r="N548" s="169"/>
    </row>
    <row r="549">
      <c r="G549" s="168"/>
      <c r="L549" s="168"/>
      <c r="N549" s="169"/>
    </row>
    <row r="550">
      <c r="G550" s="168"/>
      <c r="L550" s="168"/>
      <c r="N550" s="169"/>
    </row>
    <row r="551">
      <c r="G551" s="168"/>
      <c r="L551" s="168"/>
      <c r="N551" s="169"/>
    </row>
    <row r="552">
      <c r="G552" s="168"/>
      <c r="L552" s="168"/>
      <c r="N552" s="169"/>
    </row>
    <row r="553">
      <c r="G553" s="168"/>
      <c r="L553" s="168"/>
      <c r="N553" s="169"/>
    </row>
    <row r="554">
      <c r="G554" s="168"/>
      <c r="L554" s="168"/>
      <c r="N554" s="169"/>
    </row>
    <row r="555">
      <c r="G555" s="168"/>
      <c r="L555" s="168"/>
      <c r="N555" s="169"/>
    </row>
    <row r="556">
      <c r="G556" s="168"/>
      <c r="L556" s="168"/>
      <c r="N556" s="169"/>
    </row>
    <row r="557">
      <c r="G557" s="168"/>
      <c r="L557" s="168"/>
      <c r="N557" s="169"/>
    </row>
    <row r="558">
      <c r="G558" s="168"/>
      <c r="L558" s="168"/>
      <c r="N558" s="169"/>
    </row>
    <row r="559">
      <c r="G559" s="168"/>
      <c r="L559" s="168"/>
      <c r="N559" s="169"/>
    </row>
    <row r="560">
      <c r="G560" s="168"/>
      <c r="L560" s="168"/>
      <c r="N560" s="169"/>
    </row>
    <row r="561">
      <c r="G561" s="168"/>
      <c r="L561" s="168"/>
      <c r="N561" s="169"/>
    </row>
    <row r="562">
      <c r="G562" s="168"/>
      <c r="L562" s="168"/>
      <c r="N562" s="169"/>
    </row>
    <row r="563">
      <c r="G563" s="168"/>
      <c r="L563" s="168"/>
      <c r="N563" s="169"/>
    </row>
    <row r="564">
      <c r="G564" s="168"/>
      <c r="L564" s="168"/>
      <c r="N564" s="169"/>
    </row>
    <row r="565">
      <c r="G565" s="168"/>
      <c r="L565" s="168"/>
      <c r="N565" s="169"/>
    </row>
    <row r="566">
      <c r="G566" s="168"/>
      <c r="L566" s="168"/>
      <c r="N566" s="169"/>
    </row>
    <row r="567">
      <c r="G567" s="168"/>
      <c r="L567" s="168"/>
      <c r="N567" s="169"/>
    </row>
    <row r="568">
      <c r="G568" s="168"/>
      <c r="L568" s="168"/>
      <c r="N568" s="169"/>
    </row>
    <row r="569">
      <c r="G569" s="168"/>
      <c r="L569" s="168"/>
      <c r="N569" s="169"/>
    </row>
    <row r="570">
      <c r="G570" s="168"/>
      <c r="L570" s="168"/>
      <c r="N570" s="169"/>
    </row>
    <row r="571">
      <c r="G571" s="168"/>
      <c r="L571" s="168"/>
      <c r="N571" s="169"/>
    </row>
    <row r="572">
      <c r="G572" s="168"/>
      <c r="L572" s="168"/>
      <c r="N572" s="169"/>
    </row>
    <row r="573">
      <c r="G573" s="168"/>
      <c r="L573" s="168"/>
      <c r="N573" s="169"/>
    </row>
    <row r="574">
      <c r="G574" s="168"/>
      <c r="L574" s="168"/>
      <c r="N574" s="169"/>
    </row>
    <row r="575">
      <c r="G575" s="168"/>
      <c r="L575" s="168"/>
      <c r="N575" s="169"/>
    </row>
    <row r="576">
      <c r="G576" s="168"/>
      <c r="L576" s="168"/>
      <c r="N576" s="169"/>
    </row>
    <row r="577">
      <c r="G577" s="168"/>
      <c r="L577" s="168"/>
      <c r="N577" s="169"/>
    </row>
    <row r="578">
      <c r="G578" s="168"/>
      <c r="L578" s="168"/>
      <c r="N578" s="169"/>
    </row>
    <row r="579">
      <c r="G579" s="168"/>
      <c r="L579" s="168"/>
      <c r="N579" s="169"/>
    </row>
    <row r="580">
      <c r="G580" s="168"/>
      <c r="L580" s="168"/>
      <c r="N580" s="169"/>
    </row>
    <row r="581">
      <c r="G581" s="168"/>
      <c r="L581" s="168"/>
      <c r="N581" s="169"/>
    </row>
    <row r="582">
      <c r="G582" s="168"/>
      <c r="L582" s="168"/>
      <c r="N582" s="169"/>
    </row>
    <row r="583">
      <c r="G583" s="168"/>
      <c r="L583" s="168"/>
      <c r="N583" s="169"/>
    </row>
    <row r="584">
      <c r="G584" s="168"/>
      <c r="L584" s="168"/>
      <c r="N584" s="169"/>
    </row>
    <row r="585">
      <c r="G585" s="168"/>
      <c r="L585" s="168"/>
      <c r="N585" s="169"/>
    </row>
    <row r="586">
      <c r="G586" s="168"/>
      <c r="L586" s="168"/>
      <c r="N586" s="169"/>
    </row>
    <row r="587">
      <c r="G587" s="168"/>
      <c r="L587" s="168"/>
      <c r="N587" s="169"/>
    </row>
    <row r="588">
      <c r="G588" s="168"/>
      <c r="L588" s="168"/>
      <c r="N588" s="169"/>
    </row>
    <row r="589">
      <c r="G589" s="168"/>
      <c r="L589" s="168"/>
      <c r="N589" s="169"/>
    </row>
    <row r="590">
      <c r="G590" s="168"/>
      <c r="L590" s="168"/>
      <c r="N590" s="169"/>
    </row>
    <row r="591">
      <c r="G591" s="168"/>
      <c r="L591" s="168"/>
      <c r="N591" s="169"/>
    </row>
    <row r="592">
      <c r="G592" s="168"/>
      <c r="L592" s="168"/>
      <c r="N592" s="169"/>
    </row>
    <row r="593">
      <c r="G593" s="168"/>
      <c r="L593" s="168"/>
      <c r="N593" s="169"/>
    </row>
    <row r="594">
      <c r="G594" s="168"/>
      <c r="L594" s="168"/>
      <c r="N594" s="169"/>
    </row>
    <row r="595">
      <c r="G595" s="168"/>
      <c r="L595" s="168"/>
      <c r="N595" s="169"/>
    </row>
    <row r="596">
      <c r="G596" s="168"/>
      <c r="L596" s="168"/>
      <c r="N596" s="169"/>
    </row>
    <row r="597">
      <c r="G597" s="168"/>
      <c r="L597" s="168"/>
      <c r="N597" s="169"/>
    </row>
    <row r="598">
      <c r="G598" s="168"/>
      <c r="L598" s="168"/>
      <c r="N598" s="169"/>
    </row>
    <row r="599">
      <c r="G599" s="168"/>
      <c r="L599" s="168"/>
      <c r="N599" s="169"/>
    </row>
    <row r="600">
      <c r="G600" s="168"/>
      <c r="L600" s="168"/>
      <c r="N600" s="169"/>
    </row>
    <row r="601">
      <c r="G601" s="168"/>
      <c r="L601" s="168"/>
      <c r="N601" s="169"/>
    </row>
    <row r="602">
      <c r="G602" s="168"/>
      <c r="L602" s="168"/>
      <c r="N602" s="169"/>
    </row>
    <row r="603">
      <c r="G603" s="168"/>
      <c r="L603" s="168"/>
      <c r="N603" s="169"/>
    </row>
    <row r="604">
      <c r="G604" s="168"/>
      <c r="L604" s="168"/>
      <c r="N604" s="169"/>
    </row>
    <row r="605">
      <c r="G605" s="168"/>
      <c r="L605" s="168"/>
      <c r="N605" s="169"/>
    </row>
    <row r="606">
      <c r="G606" s="168"/>
      <c r="L606" s="168"/>
      <c r="N606" s="169"/>
    </row>
    <row r="607">
      <c r="G607" s="168"/>
      <c r="L607" s="168"/>
      <c r="N607" s="169"/>
    </row>
    <row r="608">
      <c r="G608" s="168"/>
      <c r="L608" s="168"/>
      <c r="N608" s="169"/>
    </row>
    <row r="609">
      <c r="G609" s="168"/>
      <c r="L609" s="168"/>
      <c r="N609" s="169"/>
    </row>
    <row r="610">
      <c r="G610" s="168"/>
      <c r="L610" s="168"/>
      <c r="N610" s="169"/>
    </row>
    <row r="611">
      <c r="G611" s="168"/>
      <c r="L611" s="168"/>
      <c r="N611" s="169"/>
    </row>
    <row r="612">
      <c r="G612" s="168"/>
      <c r="L612" s="168"/>
      <c r="N612" s="169"/>
    </row>
    <row r="613">
      <c r="G613" s="168"/>
      <c r="L613" s="168"/>
      <c r="N613" s="169"/>
    </row>
    <row r="614">
      <c r="G614" s="168"/>
      <c r="L614" s="168"/>
      <c r="N614" s="169"/>
    </row>
    <row r="615">
      <c r="G615" s="168"/>
      <c r="L615" s="168"/>
      <c r="N615" s="169"/>
    </row>
    <row r="616">
      <c r="G616" s="168"/>
      <c r="L616" s="168"/>
      <c r="N616" s="169"/>
    </row>
    <row r="617">
      <c r="G617" s="168"/>
      <c r="L617" s="168"/>
      <c r="N617" s="169"/>
    </row>
    <row r="618">
      <c r="G618" s="168"/>
      <c r="L618" s="168"/>
      <c r="N618" s="169"/>
    </row>
    <row r="619">
      <c r="G619" s="168"/>
      <c r="L619" s="168"/>
      <c r="N619" s="169"/>
    </row>
    <row r="620">
      <c r="G620" s="168"/>
      <c r="L620" s="168"/>
      <c r="N620" s="169"/>
    </row>
    <row r="621">
      <c r="G621" s="168"/>
      <c r="L621" s="168"/>
      <c r="N621" s="169"/>
    </row>
    <row r="622">
      <c r="G622" s="168"/>
      <c r="L622" s="168"/>
      <c r="N622" s="169"/>
    </row>
    <row r="623">
      <c r="G623" s="168"/>
      <c r="L623" s="168"/>
      <c r="N623" s="169"/>
    </row>
    <row r="624">
      <c r="G624" s="168"/>
      <c r="L624" s="168"/>
      <c r="N624" s="169"/>
    </row>
    <row r="625">
      <c r="G625" s="168"/>
      <c r="L625" s="168"/>
      <c r="N625" s="169"/>
    </row>
    <row r="626">
      <c r="G626" s="168"/>
      <c r="L626" s="168"/>
      <c r="N626" s="169"/>
    </row>
    <row r="627">
      <c r="G627" s="168"/>
      <c r="L627" s="168"/>
      <c r="N627" s="169"/>
    </row>
    <row r="628">
      <c r="G628" s="168"/>
      <c r="L628" s="168"/>
      <c r="N628" s="169"/>
    </row>
    <row r="629">
      <c r="G629" s="168"/>
      <c r="L629" s="168"/>
      <c r="N629" s="169"/>
    </row>
    <row r="630">
      <c r="G630" s="168"/>
      <c r="L630" s="168"/>
      <c r="N630" s="169"/>
    </row>
    <row r="631">
      <c r="G631" s="168"/>
      <c r="L631" s="168"/>
      <c r="N631" s="169"/>
    </row>
    <row r="632">
      <c r="G632" s="168"/>
      <c r="L632" s="168"/>
      <c r="N632" s="169"/>
    </row>
    <row r="633">
      <c r="G633" s="168"/>
      <c r="L633" s="168"/>
      <c r="N633" s="169"/>
    </row>
    <row r="634">
      <c r="G634" s="168"/>
      <c r="L634" s="168"/>
      <c r="N634" s="169"/>
    </row>
    <row r="635">
      <c r="G635" s="168"/>
      <c r="L635" s="168"/>
      <c r="N635" s="169"/>
    </row>
    <row r="636">
      <c r="G636" s="168"/>
      <c r="L636" s="168"/>
      <c r="N636" s="169"/>
    </row>
    <row r="637">
      <c r="G637" s="168"/>
      <c r="L637" s="168"/>
      <c r="N637" s="169"/>
    </row>
    <row r="638">
      <c r="G638" s="168"/>
      <c r="L638" s="168"/>
      <c r="N638" s="169"/>
    </row>
    <row r="639">
      <c r="G639" s="168"/>
      <c r="L639" s="168"/>
      <c r="N639" s="169"/>
    </row>
    <row r="640">
      <c r="G640" s="168"/>
      <c r="L640" s="168"/>
      <c r="N640" s="169"/>
    </row>
    <row r="641">
      <c r="G641" s="168"/>
      <c r="L641" s="168"/>
      <c r="N641" s="169"/>
    </row>
    <row r="642">
      <c r="G642" s="168"/>
      <c r="L642" s="168"/>
      <c r="N642" s="169"/>
    </row>
    <row r="643">
      <c r="G643" s="168"/>
      <c r="L643" s="168"/>
      <c r="N643" s="169"/>
    </row>
    <row r="644">
      <c r="G644" s="168"/>
      <c r="L644" s="168"/>
      <c r="N644" s="169"/>
    </row>
    <row r="645">
      <c r="G645" s="168"/>
      <c r="L645" s="168"/>
      <c r="N645" s="169"/>
    </row>
    <row r="646">
      <c r="G646" s="168"/>
      <c r="L646" s="168"/>
      <c r="N646" s="169"/>
    </row>
    <row r="647">
      <c r="G647" s="168"/>
      <c r="L647" s="168"/>
      <c r="N647" s="169"/>
    </row>
    <row r="648">
      <c r="G648" s="168"/>
      <c r="L648" s="168"/>
      <c r="N648" s="169"/>
    </row>
    <row r="649">
      <c r="G649" s="168"/>
      <c r="L649" s="168"/>
      <c r="N649" s="169"/>
    </row>
    <row r="650">
      <c r="G650" s="168"/>
      <c r="L650" s="168"/>
      <c r="N650" s="169"/>
    </row>
    <row r="651">
      <c r="G651" s="168"/>
      <c r="L651" s="168"/>
      <c r="N651" s="169"/>
    </row>
    <row r="652">
      <c r="G652" s="168"/>
      <c r="L652" s="168"/>
      <c r="N652" s="169"/>
    </row>
    <row r="653">
      <c r="G653" s="168"/>
      <c r="L653" s="168"/>
      <c r="N653" s="169"/>
    </row>
    <row r="654">
      <c r="G654" s="168"/>
      <c r="L654" s="168"/>
      <c r="N654" s="169"/>
    </row>
    <row r="655">
      <c r="G655" s="168"/>
      <c r="L655" s="168"/>
      <c r="N655" s="169"/>
    </row>
    <row r="656">
      <c r="G656" s="168"/>
      <c r="L656" s="168"/>
      <c r="N656" s="169"/>
    </row>
    <row r="657">
      <c r="G657" s="168"/>
      <c r="L657" s="168"/>
      <c r="N657" s="169"/>
    </row>
    <row r="658">
      <c r="G658" s="168"/>
      <c r="L658" s="168"/>
      <c r="N658" s="169"/>
    </row>
    <row r="659">
      <c r="G659" s="168"/>
      <c r="L659" s="168"/>
      <c r="N659" s="169"/>
    </row>
    <row r="660">
      <c r="G660" s="168"/>
      <c r="L660" s="168"/>
      <c r="N660" s="169"/>
    </row>
    <row r="661">
      <c r="G661" s="168"/>
      <c r="L661" s="168"/>
      <c r="N661" s="169"/>
    </row>
    <row r="662">
      <c r="G662" s="168"/>
      <c r="L662" s="168"/>
      <c r="N662" s="169"/>
    </row>
    <row r="663">
      <c r="G663" s="168"/>
      <c r="L663" s="168"/>
      <c r="N663" s="169"/>
    </row>
    <row r="664">
      <c r="G664" s="168"/>
      <c r="L664" s="168"/>
      <c r="N664" s="169"/>
    </row>
    <row r="665">
      <c r="G665" s="168"/>
      <c r="L665" s="168"/>
      <c r="N665" s="169"/>
    </row>
    <row r="666">
      <c r="G666" s="168"/>
      <c r="L666" s="168"/>
      <c r="N666" s="169"/>
    </row>
    <row r="667">
      <c r="G667" s="168"/>
      <c r="L667" s="168"/>
      <c r="N667" s="169"/>
    </row>
    <row r="668">
      <c r="G668" s="168"/>
      <c r="L668" s="168"/>
      <c r="N668" s="169"/>
    </row>
    <row r="669">
      <c r="G669" s="168"/>
      <c r="L669" s="168"/>
      <c r="N669" s="169"/>
    </row>
    <row r="670">
      <c r="G670" s="168"/>
      <c r="L670" s="168"/>
      <c r="N670" s="169"/>
    </row>
    <row r="671">
      <c r="G671" s="168"/>
      <c r="L671" s="168"/>
      <c r="N671" s="169"/>
    </row>
    <row r="672">
      <c r="G672" s="168"/>
      <c r="L672" s="168"/>
      <c r="N672" s="169"/>
    </row>
    <row r="673">
      <c r="G673" s="168"/>
      <c r="L673" s="168"/>
      <c r="N673" s="169"/>
    </row>
    <row r="674">
      <c r="G674" s="168"/>
      <c r="L674" s="168"/>
      <c r="N674" s="169"/>
    </row>
    <row r="675">
      <c r="G675" s="168"/>
      <c r="L675" s="168"/>
      <c r="N675" s="169"/>
    </row>
    <row r="676">
      <c r="G676" s="168"/>
      <c r="L676" s="168"/>
      <c r="N676" s="169"/>
    </row>
    <row r="677">
      <c r="G677" s="168"/>
      <c r="L677" s="168"/>
      <c r="N677" s="169"/>
    </row>
    <row r="678">
      <c r="G678" s="168"/>
      <c r="L678" s="168"/>
      <c r="N678" s="169"/>
    </row>
    <row r="679">
      <c r="G679" s="168"/>
      <c r="L679" s="168"/>
      <c r="N679" s="169"/>
    </row>
    <row r="680">
      <c r="G680" s="168"/>
      <c r="L680" s="168"/>
      <c r="N680" s="169"/>
    </row>
    <row r="681">
      <c r="G681" s="168"/>
      <c r="L681" s="168"/>
      <c r="N681" s="169"/>
    </row>
    <row r="682">
      <c r="G682" s="168"/>
      <c r="L682" s="168"/>
      <c r="N682" s="169"/>
    </row>
    <row r="683">
      <c r="G683" s="168"/>
      <c r="L683" s="168"/>
      <c r="N683" s="169"/>
    </row>
    <row r="684">
      <c r="G684" s="168"/>
      <c r="L684" s="168"/>
      <c r="N684" s="169"/>
    </row>
    <row r="685">
      <c r="G685" s="168"/>
      <c r="L685" s="168"/>
      <c r="N685" s="169"/>
    </row>
    <row r="686">
      <c r="G686" s="168"/>
      <c r="L686" s="168"/>
      <c r="N686" s="169"/>
    </row>
    <row r="687">
      <c r="G687" s="168"/>
      <c r="L687" s="168"/>
      <c r="N687" s="169"/>
    </row>
    <row r="688">
      <c r="G688" s="168"/>
      <c r="L688" s="168"/>
      <c r="N688" s="169"/>
    </row>
    <row r="689">
      <c r="G689" s="168"/>
      <c r="L689" s="168"/>
      <c r="N689" s="169"/>
    </row>
    <row r="690">
      <c r="G690" s="168"/>
      <c r="L690" s="168"/>
      <c r="N690" s="169"/>
    </row>
    <row r="691">
      <c r="G691" s="168"/>
      <c r="L691" s="168"/>
      <c r="N691" s="169"/>
    </row>
    <row r="692">
      <c r="G692" s="168"/>
      <c r="L692" s="168"/>
      <c r="N692" s="169"/>
    </row>
    <row r="693">
      <c r="G693" s="168"/>
      <c r="L693" s="168"/>
      <c r="N693" s="169"/>
    </row>
    <row r="694">
      <c r="G694" s="168"/>
      <c r="L694" s="168"/>
      <c r="N694" s="169"/>
    </row>
    <row r="695">
      <c r="G695" s="168"/>
      <c r="L695" s="168"/>
      <c r="N695" s="169"/>
    </row>
    <row r="696">
      <c r="G696" s="168"/>
      <c r="L696" s="168"/>
      <c r="N696" s="169"/>
    </row>
    <row r="697">
      <c r="G697" s="168"/>
      <c r="L697" s="168"/>
      <c r="N697" s="169"/>
    </row>
    <row r="698">
      <c r="G698" s="168"/>
      <c r="L698" s="168"/>
      <c r="N698" s="169"/>
    </row>
    <row r="699">
      <c r="G699" s="168"/>
      <c r="L699" s="168"/>
      <c r="N699" s="169"/>
    </row>
    <row r="700">
      <c r="G700" s="168"/>
      <c r="L700" s="168"/>
      <c r="N700" s="169"/>
    </row>
    <row r="701">
      <c r="G701" s="168"/>
      <c r="L701" s="168"/>
      <c r="N701" s="169"/>
    </row>
    <row r="702">
      <c r="G702" s="168"/>
      <c r="L702" s="168"/>
      <c r="N702" s="169"/>
    </row>
    <row r="703">
      <c r="G703" s="168"/>
      <c r="L703" s="168"/>
      <c r="N703" s="169"/>
    </row>
    <row r="704">
      <c r="G704" s="168"/>
      <c r="L704" s="168"/>
      <c r="N704" s="169"/>
    </row>
    <row r="705">
      <c r="G705" s="168"/>
      <c r="L705" s="168"/>
      <c r="N705" s="169"/>
    </row>
    <row r="706">
      <c r="G706" s="168"/>
      <c r="L706" s="168"/>
      <c r="N706" s="169"/>
    </row>
    <row r="707">
      <c r="G707" s="168"/>
      <c r="L707" s="168"/>
      <c r="N707" s="169"/>
    </row>
    <row r="708">
      <c r="G708" s="168"/>
      <c r="L708" s="168"/>
      <c r="N708" s="169"/>
    </row>
    <row r="709">
      <c r="G709" s="168"/>
      <c r="L709" s="168"/>
      <c r="N709" s="169"/>
    </row>
    <row r="710">
      <c r="G710" s="168"/>
      <c r="L710" s="168"/>
      <c r="N710" s="169"/>
    </row>
    <row r="711">
      <c r="G711" s="168"/>
      <c r="L711" s="168"/>
      <c r="N711" s="169"/>
    </row>
    <row r="712">
      <c r="G712" s="168"/>
      <c r="L712" s="168"/>
      <c r="N712" s="169"/>
    </row>
    <row r="713">
      <c r="G713" s="168"/>
      <c r="L713" s="168"/>
      <c r="N713" s="169"/>
    </row>
    <row r="714">
      <c r="G714" s="168"/>
      <c r="L714" s="168"/>
      <c r="N714" s="169"/>
    </row>
    <row r="715">
      <c r="G715" s="168"/>
      <c r="L715" s="168"/>
      <c r="N715" s="169"/>
    </row>
    <row r="716">
      <c r="G716" s="168"/>
      <c r="L716" s="168"/>
      <c r="N716" s="169"/>
    </row>
    <row r="717">
      <c r="G717" s="168"/>
      <c r="L717" s="168"/>
      <c r="N717" s="169"/>
    </row>
    <row r="718">
      <c r="G718" s="168"/>
      <c r="L718" s="168"/>
      <c r="N718" s="169"/>
    </row>
    <row r="719">
      <c r="G719" s="168"/>
      <c r="L719" s="168"/>
      <c r="N719" s="169"/>
    </row>
    <row r="720">
      <c r="G720" s="168"/>
      <c r="L720" s="168"/>
      <c r="N720" s="169"/>
    </row>
    <row r="721">
      <c r="G721" s="168"/>
      <c r="L721" s="168"/>
      <c r="N721" s="169"/>
    </row>
    <row r="722">
      <c r="G722" s="168"/>
      <c r="L722" s="168"/>
      <c r="N722" s="169"/>
    </row>
    <row r="723">
      <c r="G723" s="168"/>
      <c r="L723" s="168"/>
      <c r="N723" s="169"/>
    </row>
    <row r="724">
      <c r="G724" s="168"/>
      <c r="L724" s="168"/>
      <c r="N724" s="169"/>
    </row>
    <row r="725">
      <c r="G725" s="168"/>
      <c r="L725" s="168"/>
      <c r="N725" s="169"/>
    </row>
    <row r="726">
      <c r="G726" s="168"/>
      <c r="L726" s="168"/>
      <c r="N726" s="169"/>
    </row>
    <row r="727">
      <c r="G727" s="168"/>
      <c r="L727" s="168"/>
      <c r="N727" s="169"/>
    </row>
    <row r="728">
      <c r="G728" s="168"/>
      <c r="L728" s="168"/>
      <c r="N728" s="169"/>
    </row>
    <row r="729">
      <c r="G729" s="168"/>
      <c r="L729" s="168"/>
      <c r="N729" s="169"/>
    </row>
    <row r="730">
      <c r="G730" s="168"/>
      <c r="L730" s="168"/>
      <c r="N730" s="169"/>
    </row>
    <row r="731">
      <c r="G731" s="168"/>
      <c r="L731" s="168"/>
      <c r="N731" s="169"/>
    </row>
    <row r="732">
      <c r="G732" s="168"/>
      <c r="L732" s="168"/>
      <c r="N732" s="169"/>
    </row>
    <row r="733">
      <c r="G733" s="168"/>
      <c r="L733" s="168"/>
      <c r="N733" s="169"/>
    </row>
    <row r="734">
      <c r="G734" s="168"/>
      <c r="L734" s="168"/>
      <c r="N734" s="169"/>
    </row>
    <row r="735">
      <c r="G735" s="168"/>
      <c r="L735" s="168"/>
      <c r="N735" s="169"/>
    </row>
    <row r="736">
      <c r="G736" s="168"/>
      <c r="L736" s="168"/>
      <c r="N736" s="169"/>
    </row>
    <row r="737">
      <c r="G737" s="168"/>
      <c r="L737" s="168"/>
      <c r="N737" s="169"/>
    </row>
    <row r="738">
      <c r="G738" s="168"/>
      <c r="L738" s="168"/>
      <c r="N738" s="169"/>
    </row>
    <row r="739">
      <c r="G739" s="168"/>
      <c r="L739" s="168"/>
      <c r="N739" s="169"/>
    </row>
    <row r="740">
      <c r="G740" s="168"/>
      <c r="L740" s="168"/>
      <c r="N740" s="169"/>
    </row>
    <row r="741">
      <c r="G741" s="168"/>
      <c r="L741" s="168"/>
      <c r="N741" s="169"/>
    </row>
    <row r="742">
      <c r="G742" s="168"/>
      <c r="L742" s="168"/>
      <c r="N742" s="169"/>
    </row>
    <row r="743">
      <c r="G743" s="168"/>
      <c r="L743" s="168"/>
      <c r="N743" s="169"/>
    </row>
    <row r="744">
      <c r="G744" s="168"/>
      <c r="L744" s="168"/>
      <c r="N744" s="169"/>
    </row>
    <row r="745">
      <c r="G745" s="168"/>
      <c r="L745" s="168"/>
      <c r="N745" s="169"/>
    </row>
    <row r="746">
      <c r="G746" s="168"/>
      <c r="L746" s="168"/>
      <c r="N746" s="169"/>
    </row>
    <row r="747">
      <c r="G747" s="168"/>
      <c r="L747" s="168"/>
      <c r="N747" s="169"/>
    </row>
    <row r="748">
      <c r="G748" s="168"/>
      <c r="L748" s="168"/>
      <c r="N748" s="169"/>
    </row>
    <row r="749">
      <c r="G749" s="168"/>
      <c r="L749" s="168"/>
      <c r="N749" s="169"/>
    </row>
    <row r="750">
      <c r="G750" s="168"/>
      <c r="L750" s="168"/>
      <c r="N750" s="169"/>
    </row>
    <row r="751">
      <c r="G751" s="168"/>
      <c r="L751" s="168"/>
      <c r="N751" s="169"/>
    </row>
    <row r="752">
      <c r="G752" s="168"/>
      <c r="L752" s="168"/>
      <c r="N752" s="169"/>
    </row>
    <row r="753">
      <c r="G753" s="168"/>
      <c r="L753" s="168"/>
      <c r="N753" s="169"/>
    </row>
    <row r="754">
      <c r="G754" s="168"/>
      <c r="L754" s="168"/>
      <c r="N754" s="169"/>
    </row>
    <row r="755">
      <c r="G755" s="168"/>
      <c r="L755" s="168"/>
      <c r="N755" s="169"/>
    </row>
    <row r="756">
      <c r="G756" s="168"/>
      <c r="L756" s="168"/>
      <c r="N756" s="169"/>
    </row>
    <row r="757">
      <c r="G757" s="168"/>
      <c r="L757" s="168"/>
      <c r="N757" s="169"/>
    </row>
    <row r="758">
      <c r="G758" s="168"/>
      <c r="L758" s="168"/>
      <c r="N758" s="169"/>
    </row>
    <row r="759">
      <c r="G759" s="168"/>
      <c r="L759" s="168"/>
      <c r="N759" s="169"/>
    </row>
    <row r="760">
      <c r="G760" s="168"/>
      <c r="L760" s="168"/>
      <c r="N760" s="169"/>
    </row>
    <row r="761">
      <c r="G761" s="168"/>
      <c r="L761" s="168"/>
      <c r="N761" s="169"/>
    </row>
    <row r="762">
      <c r="G762" s="168"/>
      <c r="L762" s="168"/>
      <c r="N762" s="169"/>
    </row>
    <row r="763">
      <c r="G763" s="168"/>
      <c r="L763" s="168"/>
      <c r="N763" s="169"/>
    </row>
    <row r="764">
      <c r="G764" s="168"/>
      <c r="L764" s="168"/>
      <c r="N764" s="169"/>
    </row>
    <row r="765">
      <c r="G765" s="168"/>
      <c r="L765" s="168"/>
      <c r="N765" s="169"/>
    </row>
    <row r="766">
      <c r="G766" s="168"/>
      <c r="L766" s="168"/>
      <c r="N766" s="169"/>
    </row>
    <row r="767">
      <c r="G767" s="168"/>
      <c r="L767" s="168"/>
      <c r="N767" s="169"/>
    </row>
    <row r="768">
      <c r="G768" s="168"/>
      <c r="L768" s="168"/>
      <c r="N768" s="169"/>
    </row>
    <row r="769">
      <c r="G769" s="168"/>
      <c r="L769" s="168"/>
      <c r="N769" s="169"/>
    </row>
    <row r="770">
      <c r="G770" s="168"/>
      <c r="L770" s="168"/>
      <c r="N770" s="169"/>
    </row>
    <row r="771">
      <c r="G771" s="168"/>
      <c r="L771" s="168"/>
      <c r="N771" s="169"/>
    </row>
    <row r="772">
      <c r="G772" s="168"/>
      <c r="L772" s="168"/>
      <c r="N772" s="169"/>
    </row>
    <row r="773">
      <c r="G773" s="168"/>
      <c r="L773" s="168"/>
      <c r="N773" s="169"/>
    </row>
    <row r="774">
      <c r="G774" s="168"/>
      <c r="L774" s="168"/>
      <c r="N774" s="169"/>
    </row>
    <row r="775">
      <c r="G775" s="168"/>
      <c r="L775" s="168"/>
      <c r="N775" s="169"/>
    </row>
    <row r="776">
      <c r="G776" s="168"/>
      <c r="L776" s="168"/>
      <c r="N776" s="169"/>
    </row>
    <row r="777">
      <c r="G777" s="168"/>
      <c r="L777" s="168"/>
      <c r="N777" s="169"/>
    </row>
    <row r="778">
      <c r="G778" s="168"/>
      <c r="L778" s="168"/>
      <c r="N778" s="169"/>
    </row>
    <row r="779">
      <c r="G779" s="168"/>
      <c r="L779" s="168"/>
      <c r="N779" s="169"/>
    </row>
    <row r="780">
      <c r="G780" s="168"/>
      <c r="L780" s="168"/>
      <c r="N780" s="169"/>
    </row>
    <row r="781">
      <c r="G781" s="168"/>
      <c r="L781" s="168"/>
      <c r="N781" s="169"/>
    </row>
    <row r="782">
      <c r="G782" s="168"/>
      <c r="L782" s="168"/>
      <c r="N782" s="169"/>
    </row>
    <row r="783">
      <c r="G783" s="168"/>
      <c r="L783" s="168"/>
      <c r="N783" s="169"/>
    </row>
    <row r="784">
      <c r="G784" s="168"/>
      <c r="L784" s="168"/>
      <c r="N784" s="169"/>
    </row>
    <row r="785">
      <c r="G785" s="168"/>
      <c r="L785" s="168"/>
      <c r="N785" s="169"/>
    </row>
    <row r="786">
      <c r="G786" s="168"/>
      <c r="L786" s="168"/>
      <c r="N786" s="169"/>
    </row>
    <row r="787">
      <c r="G787" s="168"/>
      <c r="L787" s="168"/>
      <c r="N787" s="169"/>
    </row>
    <row r="788">
      <c r="G788" s="168"/>
      <c r="L788" s="168"/>
      <c r="N788" s="169"/>
    </row>
    <row r="789">
      <c r="G789" s="168"/>
      <c r="L789" s="168"/>
      <c r="N789" s="169"/>
    </row>
    <row r="790">
      <c r="G790" s="168"/>
      <c r="L790" s="168"/>
      <c r="N790" s="169"/>
    </row>
    <row r="791">
      <c r="G791" s="168"/>
      <c r="L791" s="168"/>
      <c r="N791" s="169"/>
    </row>
    <row r="792">
      <c r="G792" s="168"/>
      <c r="L792" s="168"/>
      <c r="N792" s="169"/>
    </row>
    <row r="793">
      <c r="G793" s="168"/>
      <c r="L793" s="168"/>
      <c r="N793" s="169"/>
    </row>
    <row r="794">
      <c r="G794" s="168"/>
      <c r="L794" s="168"/>
      <c r="N794" s="169"/>
    </row>
    <row r="795">
      <c r="G795" s="168"/>
      <c r="L795" s="168"/>
      <c r="N795" s="169"/>
    </row>
    <row r="796">
      <c r="G796" s="168"/>
      <c r="L796" s="168"/>
      <c r="N796" s="169"/>
    </row>
    <row r="797">
      <c r="G797" s="168"/>
      <c r="L797" s="168"/>
      <c r="N797" s="169"/>
    </row>
    <row r="798">
      <c r="G798" s="168"/>
      <c r="L798" s="168"/>
      <c r="N798" s="169"/>
    </row>
    <row r="799">
      <c r="G799" s="168"/>
      <c r="L799" s="168"/>
      <c r="N799" s="169"/>
    </row>
    <row r="800">
      <c r="G800" s="168"/>
      <c r="L800" s="168"/>
      <c r="N800" s="169"/>
    </row>
    <row r="801">
      <c r="G801" s="168"/>
      <c r="L801" s="168"/>
      <c r="N801" s="169"/>
    </row>
    <row r="802">
      <c r="G802" s="168"/>
      <c r="L802" s="168"/>
      <c r="N802" s="169"/>
    </row>
    <row r="803">
      <c r="G803" s="168"/>
      <c r="L803" s="168"/>
      <c r="N803" s="169"/>
    </row>
    <row r="804">
      <c r="G804" s="168"/>
      <c r="L804" s="168"/>
      <c r="N804" s="169"/>
    </row>
    <row r="805">
      <c r="G805" s="168"/>
      <c r="L805" s="168"/>
      <c r="N805" s="169"/>
    </row>
    <row r="806">
      <c r="G806" s="168"/>
      <c r="L806" s="168"/>
      <c r="N806" s="169"/>
    </row>
    <row r="807">
      <c r="G807" s="168"/>
      <c r="L807" s="168"/>
      <c r="N807" s="169"/>
    </row>
    <row r="808">
      <c r="G808" s="168"/>
      <c r="L808" s="168"/>
      <c r="N808" s="169"/>
    </row>
    <row r="809">
      <c r="G809" s="168"/>
      <c r="L809" s="168"/>
      <c r="N809" s="169"/>
    </row>
    <row r="810">
      <c r="G810" s="168"/>
      <c r="L810" s="168"/>
      <c r="N810" s="169"/>
    </row>
    <row r="811">
      <c r="G811" s="168"/>
      <c r="L811" s="168"/>
      <c r="N811" s="169"/>
    </row>
    <row r="812">
      <c r="G812" s="168"/>
      <c r="L812" s="168"/>
      <c r="N812" s="169"/>
    </row>
    <row r="813">
      <c r="G813" s="168"/>
      <c r="L813" s="168"/>
      <c r="N813" s="169"/>
    </row>
    <row r="814">
      <c r="G814" s="168"/>
      <c r="L814" s="168"/>
      <c r="N814" s="169"/>
    </row>
    <row r="815">
      <c r="G815" s="168"/>
      <c r="L815" s="168"/>
      <c r="N815" s="169"/>
    </row>
    <row r="816">
      <c r="G816" s="168"/>
      <c r="L816" s="168"/>
      <c r="N816" s="169"/>
    </row>
    <row r="817">
      <c r="G817" s="168"/>
      <c r="L817" s="168"/>
      <c r="N817" s="169"/>
    </row>
    <row r="818">
      <c r="G818" s="168"/>
      <c r="L818" s="168"/>
      <c r="N818" s="169"/>
    </row>
    <row r="819">
      <c r="G819" s="168"/>
      <c r="L819" s="168"/>
      <c r="N819" s="169"/>
    </row>
    <row r="820">
      <c r="G820" s="168"/>
      <c r="L820" s="168"/>
      <c r="N820" s="169"/>
    </row>
    <row r="821">
      <c r="G821" s="168"/>
      <c r="L821" s="168"/>
      <c r="N821" s="169"/>
    </row>
    <row r="822">
      <c r="G822" s="168"/>
      <c r="L822" s="168"/>
      <c r="N822" s="169"/>
    </row>
    <row r="823">
      <c r="G823" s="168"/>
      <c r="L823" s="168"/>
      <c r="N823" s="169"/>
    </row>
    <row r="824">
      <c r="G824" s="168"/>
      <c r="L824" s="168"/>
      <c r="N824" s="169"/>
    </row>
    <row r="825">
      <c r="G825" s="168"/>
      <c r="L825" s="168"/>
      <c r="N825" s="169"/>
    </row>
    <row r="826">
      <c r="G826" s="168"/>
      <c r="L826" s="168"/>
      <c r="N826" s="169"/>
    </row>
    <row r="827">
      <c r="G827" s="168"/>
      <c r="L827" s="168"/>
      <c r="N827" s="169"/>
    </row>
    <row r="828">
      <c r="G828" s="168"/>
      <c r="L828" s="168"/>
      <c r="N828" s="169"/>
    </row>
    <row r="829">
      <c r="G829" s="168"/>
      <c r="L829" s="168"/>
      <c r="N829" s="169"/>
    </row>
    <row r="830">
      <c r="G830" s="168"/>
      <c r="L830" s="168"/>
      <c r="N830" s="169"/>
    </row>
    <row r="831">
      <c r="G831" s="168"/>
      <c r="L831" s="168"/>
      <c r="N831" s="169"/>
    </row>
    <row r="832">
      <c r="G832" s="168"/>
      <c r="L832" s="168"/>
      <c r="N832" s="169"/>
    </row>
    <row r="833">
      <c r="G833" s="168"/>
      <c r="L833" s="168"/>
      <c r="N833" s="169"/>
    </row>
    <row r="834">
      <c r="G834" s="168"/>
      <c r="L834" s="168"/>
      <c r="N834" s="169"/>
    </row>
    <row r="835">
      <c r="G835" s="168"/>
      <c r="L835" s="168"/>
      <c r="N835" s="169"/>
    </row>
    <row r="836">
      <c r="G836" s="168"/>
      <c r="L836" s="168"/>
      <c r="N836" s="169"/>
    </row>
    <row r="837">
      <c r="G837" s="168"/>
      <c r="L837" s="168"/>
      <c r="N837" s="169"/>
    </row>
    <row r="838">
      <c r="G838" s="168"/>
      <c r="L838" s="168"/>
      <c r="N838" s="169"/>
    </row>
    <row r="839">
      <c r="G839" s="168"/>
      <c r="L839" s="168"/>
      <c r="N839" s="169"/>
    </row>
    <row r="840">
      <c r="G840" s="168"/>
      <c r="L840" s="168"/>
      <c r="N840" s="169"/>
    </row>
    <row r="841">
      <c r="G841" s="168"/>
      <c r="L841" s="168"/>
      <c r="N841" s="169"/>
    </row>
    <row r="842">
      <c r="G842" s="168"/>
      <c r="L842" s="168"/>
      <c r="N842" s="169"/>
    </row>
    <row r="843">
      <c r="G843" s="168"/>
      <c r="L843" s="168"/>
      <c r="N843" s="169"/>
    </row>
    <row r="844">
      <c r="G844" s="168"/>
      <c r="L844" s="168"/>
      <c r="N844" s="169"/>
    </row>
    <row r="845">
      <c r="G845" s="168"/>
      <c r="L845" s="168"/>
      <c r="N845" s="169"/>
    </row>
    <row r="846">
      <c r="G846" s="168"/>
      <c r="L846" s="168"/>
      <c r="N846" s="169"/>
    </row>
    <row r="847">
      <c r="G847" s="168"/>
      <c r="L847" s="168"/>
      <c r="N847" s="169"/>
    </row>
    <row r="848">
      <c r="G848" s="168"/>
      <c r="L848" s="168"/>
      <c r="N848" s="169"/>
    </row>
    <row r="849">
      <c r="G849" s="168"/>
      <c r="L849" s="168"/>
      <c r="N849" s="169"/>
    </row>
    <row r="850">
      <c r="G850" s="168"/>
      <c r="L850" s="168"/>
      <c r="N850" s="169"/>
    </row>
    <row r="851">
      <c r="G851" s="168"/>
      <c r="L851" s="168"/>
      <c r="N851" s="169"/>
    </row>
    <row r="852">
      <c r="G852" s="168"/>
      <c r="L852" s="168"/>
      <c r="N852" s="169"/>
    </row>
    <row r="853">
      <c r="G853" s="168"/>
      <c r="L853" s="168"/>
      <c r="N853" s="169"/>
    </row>
    <row r="854">
      <c r="G854" s="168"/>
      <c r="L854" s="168"/>
      <c r="N854" s="169"/>
    </row>
    <row r="855">
      <c r="G855" s="168"/>
      <c r="L855" s="168"/>
      <c r="N855" s="169"/>
    </row>
    <row r="856">
      <c r="G856" s="168"/>
      <c r="L856" s="168"/>
      <c r="N856" s="169"/>
    </row>
    <row r="857">
      <c r="G857" s="168"/>
      <c r="L857" s="168"/>
      <c r="N857" s="169"/>
    </row>
    <row r="858">
      <c r="G858" s="168"/>
      <c r="L858" s="168"/>
      <c r="N858" s="169"/>
    </row>
    <row r="859">
      <c r="G859" s="168"/>
      <c r="L859" s="168"/>
      <c r="N859" s="169"/>
    </row>
    <row r="860">
      <c r="G860" s="168"/>
      <c r="L860" s="168"/>
      <c r="N860" s="169"/>
    </row>
    <row r="861">
      <c r="G861" s="168"/>
      <c r="L861" s="168"/>
      <c r="N861" s="169"/>
    </row>
    <row r="862">
      <c r="G862" s="168"/>
      <c r="L862" s="168"/>
      <c r="N862" s="169"/>
    </row>
    <row r="863">
      <c r="G863" s="168"/>
      <c r="L863" s="168"/>
      <c r="N863" s="169"/>
    </row>
    <row r="864">
      <c r="G864" s="168"/>
      <c r="L864" s="168"/>
      <c r="N864" s="169"/>
    </row>
    <row r="865">
      <c r="G865" s="168"/>
      <c r="L865" s="168"/>
      <c r="N865" s="169"/>
    </row>
    <row r="866">
      <c r="G866" s="168"/>
      <c r="L866" s="168"/>
      <c r="N866" s="169"/>
    </row>
    <row r="867">
      <c r="G867" s="168"/>
      <c r="L867" s="168"/>
      <c r="N867" s="169"/>
    </row>
    <row r="868">
      <c r="G868" s="168"/>
      <c r="L868" s="168"/>
      <c r="N868" s="169"/>
    </row>
    <row r="869">
      <c r="G869" s="168"/>
      <c r="L869" s="168"/>
      <c r="N869" s="169"/>
    </row>
    <row r="870">
      <c r="G870" s="168"/>
      <c r="L870" s="168"/>
      <c r="N870" s="169"/>
    </row>
    <row r="871">
      <c r="G871" s="168"/>
      <c r="L871" s="168"/>
      <c r="N871" s="169"/>
    </row>
    <row r="872">
      <c r="G872" s="168"/>
      <c r="L872" s="168"/>
      <c r="N872" s="169"/>
    </row>
    <row r="873">
      <c r="G873" s="168"/>
      <c r="L873" s="168"/>
      <c r="N873" s="169"/>
    </row>
    <row r="874">
      <c r="G874" s="168"/>
      <c r="L874" s="168"/>
      <c r="N874" s="169"/>
    </row>
    <row r="875">
      <c r="G875" s="168"/>
      <c r="L875" s="168"/>
      <c r="N875" s="169"/>
    </row>
    <row r="876">
      <c r="G876" s="168"/>
      <c r="L876" s="168"/>
      <c r="N876" s="169"/>
    </row>
    <row r="877">
      <c r="G877" s="168"/>
      <c r="L877" s="168"/>
      <c r="N877" s="169"/>
    </row>
    <row r="878">
      <c r="G878" s="168"/>
      <c r="L878" s="168"/>
      <c r="N878" s="169"/>
    </row>
    <row r="879">
      <c r="G879" s="168"/>
      <c r="L879" s="168"/>
      <c r="N879" s="169"/>
    </row>
    <row r="880">
      <c r="G880" s="168"/>
      <c r="L880" s="168"/>
      <c r="N880" s="169"/>
    </row>
    <row r="881">
      <c r="G881" s="168"/>
      <c r="L881" s="168"/>
      <c r="N881" s="169"/>
    </row>
    <row r="882">
      <c r="G882" s="168"/>
      <c r="L882" s="168"/>
      <c r="N882" s="169"/>
    </row>
    <row r="883">
      <c r="G883" s="168"/>
      <c r="L883" s="168"/>
      <c r="N883" s="169"/>
    </row>
    <row r="884">
      <c r="G884" s="168"/>
      <c r="L884" s="168"/>
      <c r="N884" s="169"/>
    </row>
    <row r="885">
      <c r="G885" s="168"/>
      <c r="L885" s="168"/>
      <c r="N885" s="169"/>
    </row>
    <row r="886">
      <c r="G886" s="168"/>
      <c r="L886" s="168"/>
      <c r="N886" s="169"/>
    </row>
    <row r="887">
      <c r="G887" s="168"/>
      <c r="L887" s="168"/>
      <c r="N887" s="169"/>
    </row>
    <row r="888">
      <c r="G888" s="168"/>
      <c r="L888" s="168"/>
      <c r="N888" s="169"/>
    </row>
    <row r="889">
      <c r="G889" s="168"/>
      <c r="L889" s="168"/>
      <c r="N889" s="169"/>
    </row>
    <row r="890">
      <c r="G890" s="168"/>
      <c r="L890" s="168"/>
      <c r="N890" s="169"/>
    </row>
    <row r="891">
      <c r="G891" s="168"/>
      <c r="L891" s="168"/>
      <c r="N891" s="169"/>
    </row>
    <row r="892">
      <c r="G892" s="168"/>
      <c r="L892" s="168"/>
      <c r="N892" s="169"/>
    </row>
    <row r="893">
      <c r="G893" s="168"/>
      <c r="L893" s="168"/>
      <c r="N893" s="169"/>
    </row>
    <row r="894">
      <c r="G894" s="168"/>
      <c r="L894" s="168"/>
      <c r="N894" s="169"/>
    </row>
    <row r="895">
      <c r="G895" s="168"/>
      <c r="L895" s="168"/>
      <c r="N895" s="169"/>
    </row>
    <row r="896">
      <c r="G896" s="168"/>
      <c r="L896" s="168"/>
      <c r="N896" s="169"/>
    </row>
    <row r="897">
      <c r="G897" s="168"/>
      <c r="L897" s="168"/>
      <c r="N897" s="169"/>
    </row>
    <row r="898">
      <c r="G898" s="168"/>
      <c r="L898" s="168"/>
      <c r="N898" s="169"/>
    </row>
    <row r="899">
      <c r="G899" s="168"/>
      <c r="L899" s="168"/>
      <c r="N899" s="169"/>
    </row>
    <row r="900">
      <c r="G900" s="168"/>
      <c r="L900" s="168"/>
      <c r="N900" s="169"/>
    </row>
    <row r="901">
      <c r="G901" s="168"/>
      <c r="L901" s="168"/>
      <c r="N901" s="169"/>
    </row>
    <row r="902">
      <c r="G902" s="168"/>
      <c r="L902" s="168"/>
      <c r="N902" s="169"/>
    </row>
    <row r="903">
      <c r="G903" s="168"/>
      <c r="L903" s="168"/>
      <c r="N903" s="169"/>
    </row>
    <row r="904">
      <c r="G904" s="168"/>
      <c r="L904" s="168"/>
      <c r="N904" s="169"/>
    </row>
    <row r="905">
      <c r="G905" s="168"/>
      <c r="L905" s="168"/>
      <c r="N905" s="169"/>
    </row>
    <row r="906">
      <c r="G906" s="168"/>
      <c r="L906" s="168"/>
      <c r="N906" s="169"/>
    </row>
    <row r="907">
      <c r="G907" s="168"/>
      <c r="L907" s="168"/>
      <c r="N907" s="169"/>
    </row>
    <row r="908">
      <c r="G908" s="168"/>
      <c r="L908" s="168"/>
      <c r="N908" s="169"/>
    </row>
    <row r="909">
      <c r="G909" s="168"/>
      <c r="L909" s="168"/>
      <c r="N909" s="169"/>
    </row>
    <row r="910">
      <c r="G910" s="168"/>
      <c r="L910" s="168"/>
      <c r="N910" s="169"/>
    </row>
    <row r="911">
      <c r="G911" s="168"/>
      <c r="L911" s="168"/>
      <c r="N911" s="169"/>
    </row>
    <row r="912">
      <c r="G912" s="168"/>
      <c r="L912" s="168"/>
      <c r="N912" s="169"/>
    </row>
    <row r="913">
      <c r="G913" s="168"/>
      <c r="L913" s="168"/>
      <c r="N913" s="169"/>
    </row>
    <row r="914">
      <c r="G914" s="168"/>
      <c r="L914" s="168"/>
      <c r="N914" s="169"/>
    </row>
    <row r="915">
      <c r="G915" s="168"/>
      <c r="L915" s="168"/>
      <c r="N915" s="169"/>
    </row>
    <row r="916">
      <c r="G916" s="168"/>
      <c r="L916" s="168"/>
      <c r="N916" s="169"/>
    </row>
    <row r="917">
      <c r="G917" s="168"/>
      <c r="L917" s="168"/>
      <c r="N917" s="169"/>
    </row>
    <row r="918">
      <c r="G918" s="168"/>
      <c r="L918" s="168"/>
      <c r="N918" s="169"/>
    </row>
    <row r="919">
      <c r="G919" s="168"/>
      <c r="L919" s="168"/>
      <c r="N919" s="169"/>
    </row>
    <row r="920">
      <c r="G920" s="168"/>
      <c r="L920" s="168"/>
      <c r="N920" s="169"/>
    </row>
    <row r="921">
      <c r="G921" s="168"/>
      <c r="L921" s="168"/>
      <c r="N921" s="169"/>
    </row>
    <row r="922">
      <c r="G922" s="168"/>
      <c r="L922" s="168"/>
      <c r="N922" s="169"/>
    </row>
    <row r="923">
      <c r="G923" s="168"/>
      <c r="L923" s="168"/>
      <c r="N923" s="169"/>
    </row>
    <row r="924">
      <c r="G924" s="168"/>
      <c r="L924" s="168"/>
      <c r="N924" s="169"/>
    </row>
    <row r="925">
      <c r="G925" s="168"/>
      <c r="L925" s="168"/>
      <c r="N925" s="169"/>
    </row>
    <row r="926">
      <c r="G926" s="168"/>
      <c r="L926" s="168"/>
      <c r="N926" s="169"/>
    </row>
    <row r="927">
      <c r="G927" s="168"/>
      <c r="L927" s="168"/>
      <c r="N927" s="169"/>
    </row>
    <row r="928">
      <c r="G928" s="168"/>
      <c r="L928" s="168"/>
      <c r="N928" s="169"/>
    </row>
    <row r="929">
      <c r="G929" s="168"/>
      <c r="L929" s="168"/>
      <c r="N929" s="169"/>
    </row>
    <row r="930">
      <c r="G930" s="168"/>
      <c r="L930" s="168"/>
      <c r="N930" s="169"/>
    </row>
    <row r="931">
      <c r="G931" s="168"/>
      <c r="L931" s="168"/>
      <c r="N931" s="169"/>
    </row>
    <row r="932">
      <c r="G932" s="168"/>
      <c r="L932" s="168"/>
      <c r="N932" s="169"/>
    </row>
    <row r="933">
      <c r="G933" s="168"/>
      <c r="L933" s="168"/>
      <c r="N933" s="169"/>
    </row>
    <row r="934">
      <c r="G934" s="168"/>
      <c r="L934" s="168"/>
      <c r="N934" s="169"/>
    </row>
    <row r="935">
      <c r="G935" s="168"/>
      <c r="L935" s="168"/>
      <c r="N935" s="169"/>
    </row>
    <row r="936">
      <c r="G936" s="168"/>
      <c r="L936" s="168"/>
      <c r="N936" s="169"/>
    </row>
    <row r="937">
      <c r="G937" s="168"/>
      <c r="L937" s="168"/>
      <c r="N937" s="169"/>
    </row>
    <row r="938">
      <c r="G938" s="168"/>
      <c r="L938" s="168"/>
      <c r="N938" s="169"/>
    </row>
    <row r="939">
      <c r="G939" s="168"/>
      <c r="L939" s="168"/>
      <c r="N939" s="169"/>
    </row>
    <row r="940">
      <c r="G940" s="168"/>
      <c r="L940" s="168"/>
      <c r="N940" s="169"/>
    </row>
    <row r="941">
      <c r="G941" s="168"/>
      <c r="L941" s="168"/>
      <c r="N941" s="169"/>
    </row>
    <row r="942">
      <c r="G942" s="168"/>
      <c r="L942" s="168"/>
      <c r="N942" s="169"/>
    </row>
    <row r="943">
      <c r="G943" s="168"/>
      <c r="L943" s="168"/>
      <c r="N943" s="169"/>
    </row>
    <row r="944">
      <c r="G944" s="168"/>
      <c r="L944" s="168"/>
      <c r="N944" s="169"/>
    </row>
    <row r="945">
      <c r="G945" s="168"/>
      <c r="L945" s="168"/>
      <c r="N945" s="169"/>
    </row>
    <row r="946">
      <c r="G946" s="168"/>
      <c r="L946" s="168"/>
      <c r="N946" s="169"/>
    </row>
    <row r="947">
      <c r="G947" s="168"/>
      <c r="L947" s="168"/>
      <c r="N947" s="169"/>
    </row>
    <row r="948">
      <c r="G948" s="168"/>
      <c r="L948" s="168"/>
      <c r="N948" s="169"/>
    </row>
    <row r="949">
      <c r="G949" s="168"/>
      <c r="L949" s="168"/>
      <c r="N949" s="169"/>
    </row>
    <row r="950">
      <c r="G950" s="168"/>
      <c r="L950" s="168"/>
      <c r="N950" s="169"/>
    </row>
    <row r="951">
      <c r="G951" s="168"/>
      <c r="L951" s="168"/>
      <c r="N951" s="169"/>
    </row>
    <row r="952">
      <c r="G952" s="168"/>
      <c r="L952" s="168"/>
      <c r="N952" s="169"/>
    </row>
    <row r="953">
      <c r="G953" s="168"/>
      <c r="L953" s="168"/>
      <c r="N953" s="169"/>
    </row>
    <row r="954">
      <c r="G954" s="168"/>
      <c r="L954" s="168"/>
      <c r="N954" s="169"/>
    </row>
    <row r="955">
      <c r="G955" s="168"/>
      <c r="L955" s="168"/>
      <c r="N955" s="169"/>
    </row>
    <row r="956">
      <c r="G956" s="168"/>
      <c r="L956" s="168"/>
      <c r="N956" s="169"/>
    </row>
    <row r="957">
      <c r="G957" s="168"/>
      <c r="L957" s="168"/>
      <c r="N957" s="169"/>
    </row>
    <row r="958">
      <c r="G958" s="168"/>
      <c r="L958" s="168"/>
      <c r="N958" s="169"/>
    </row>
    <row r="959">
      <c r="G959" s="168"/>
      <c r="L959" s="168"/>
      <c r="N959" s="169"/>
    </row>
    <row r="960">
      <c r="G960" s="168"/>
      <c r="L960" s="168"/>
      <c r="N960" s="169"/>
    </row>
    <row r="961">
      <c r="G961" s="168"/>
      <c r="L961" s="168"/>
      <c r="N961" s="169"/>
    </row>
    <row r="962">
      <c r="G962" s="168"/>
      <c r="L962" s="168"/>
      <c r="N962" s="169"/>
    </row>
    <row r="963">
      <c r="G963" s="168"/>
      <c r="L963" s="168"/>
      <c r="N963" s="169"/>
    </row>
    <row r="964">
      <c r="G964" s="168"/>
      <c r="L964" s="168"/>
      <c r="N964" s="169"/>
    </row>
    <row r="965">
      <c r="G965" s="168"/>
      <c r="L965" s="168"/>
      <c r="N965" s="169"/>
    </row>
    <row r="966">
      <c r="G966" s="168"/>
      <c r="L966" s="168"/>
      <c r="N966" s="169"/>
    </row>
    <row r="967">
      <c r="G967" s="168"/>
      <c r="L967" s="168"/>
      <c r="N967" s="169"/>
    </row>
    <row r="968">
      <c r="G968" s="168"/>
      <c r="L968" s="168"/>
      <c r="N968" s="169"/>
    </row>
    <row r="969">
      <c r="G969" s="168"/>
      <c r="L969" s="168"/>
      <c r="N969" s="169"/>
    </row>
    <row r="970">
      <c r="G970" s="168"/>
      <c r="L970" s="168"/>
      <c r="N970" s="169"/>
    </row>
    <row r="971">
      <c r="G971" s="168"/>
      <c r="L971" s="168"/>
      <c r="N971" s="169"/>
    </row>
    <row r="972">
      <c r="G972" s="168"/>
      <c r="L972" s="168"/>
      <c r="N972" s="169"/>
    </row>
    <row r="973">
      <c r="G973" s="168"/>
      <c r="L973" s="168"/>
      <c r="N973" s="169"/>
    </row>
    <row r="974">
      <c r="G974" s="168"/>
      <c r="L974" s="168"/>
      <c r="N974" s="169"/>
    </row>
    <row r="975">
      <c r="G975" s="168"/>
      <c r="L975" s="168"/>
      <c r="N975" s="169"/>
    </row>
    <row r="976">
      <c r="G976" s="168"/>
      <c r="L976" s="168"/>
      <c r="N976" s="169"/>
    </row>
    <row r="977">
      <c r="G977" s="168"/>
      <c r="L977" s="168"/>
      <c r="N977" s="169"/>
    </row>
    <row r="978">
      <c r="G978" s="168"/>
      <c r="L978" s="168"/>
      <c r="N978" s="169"/>
    </row>
    <row r="979">
      <c r="G979" s="168"/>
      <c r="L979" s="168"/>
      <c r="N979" s="169"/>
    </row>
    <row r="980">
      <c r="G980" s="168"/>
      <c r="L980" s="168"/>
      <c r="N980" s="169"/>
    </row>
    <row r="981">
      <c r="G981" s="168"/>
      <c r="L981" s="168"/>
      <c r="N981" s="169"/>
    </row>
    <row r="982">
      <c r="G982" s="168"/>
      <c r="L982" s="168"/>
      <c r="N982" s="169"/>
    </row>
    <row r="983">
      <c r="G983" s="168"/>
      <c r="L983" s="168"/>
      <c r="N983" s="169"/>
    </row>
    <row r="984">
      <c r="G984" s="168"/>
      <c r="L984" s="168"/>
      <c r="N984" s="169"/>
    </row>
    <row r="985">
      <c r="G985" s="168"/>
      <c r="L985" s="168"/>
      <c r="N985" s="169"/>
    </row>
    <row r="986">
      <c r="G986" s="168"/>
      <c r="L986" s="168"/>
      <c r="N986" s="169"/>
    </row>
    <row r="987">
      <c r="G987" s="168"/>
      <c r="L987" s="168"/>
      <c r="N987" s="169"/>
    </row>
    <row r="988">
      <c r="G988" s="168"/>
      <c r="L988" s="168"/>
      <c r="N988" s="169"/>
    </row>
    <row r="989">
      <c r="G989" s="168"/>
      <c r="L989" s="168"/>
      <c r="N989" s="169"/>
    </row>
    <row r="990">
      <c r="G990" s="168"/>
      <c r="L990" s="168"/>
      <c r="N990" s="169"/>
    </row>
    <row r="991">
      <c r="G991" s="168"/>
      <c r="L991" s="168"/>
      <c r="N991" s="169"/>
    </row>
    <row r="992">
      <c r="G992" s="168"/>
      <c r="L992" s="168"/>
      <c r="N992" s="169"/>
    </row>
    <row r="993">
      <c r="G993" s="168"/>
      <c r="L993" s="168"/>
      <c r="N993" s="169"/>
    </row>
    <row r="994">
      <c r="G994" s="168"/>
      <c r="L994" s="168"/>
      <c r="N994" s="169"/>
    </row>
    <row r="995">
      <c r="G995" s="168"/>
      <c r="L995" s="168"/>
      <c r="N995" s="169"/>
    </row>
    <row r="996">
      <c r="G996" s="168"/>
      <c r="L996" s="168"/>
      <c r="N996" s="169"/>
    </row>
    <row r="997">
      <c r="G997" s="168"/>
      <c r="L997" s="168"/>
      <c r="N997" s="169"/>
    </row>
    <row r="998">
      <c r="G998" s="168"/>
      <c r="L998" s="168"/>
      <c r="N998" s="169"/>
    </row>
    <row r="999">
      <c r="G999" s="168"/>
      <c r="L999" s="168"/>
      <c r="N999" s="169"/>
    </row>
    <row r="1000">
      <c r="G1000" s="168"/>
      <c r="L1000" s="168"/>
      <c r="N1000" s="169"/>
    </row>
    <row r="1001">
      <c r="G1001" s="168"/>
      <c r="L1001" s="168"/>
      <c r="N1001" s="169"/>
    </row>
    <row r="1002">
      <c r="G1002" s="168"/>
      <c r="L1002" s="168"/>
      <c r="N1002" s="169"/>
    </row>
    <row r="1003">
      <c r="G1003" s="168"/>
      <c r="L1003" s="168"/>
      <c r="N1003" s="169"/>
    </row>
    <row r="1004">
      <c r="G1004" s="168"/>
      <c r="L1004" s="168"/>
      <c r="N1004" s="169"/>
    </row>
    <row r="1005">
      <c r="G1005" s="168"/>
      <c r="L1005" s="168"/>
      <c r="N1005" s="169"/>
    </row>
    <row r="1006">
      <c r="G1006" s="168"/>
      <c r="L1006" s="168"/>
      <c r="N1006" s="169"/>
    </row>
    <row r="1007">
      <c r="G1007" s="168"/>
      <c r="L1007" s="168"/>
      <c r="N1007" s="169"/>
    </row>
    <row r="1008">
      <c r="G1008" s="168"/>
      <c r="L1008" s="168"/>
      <c r="N1008" s="169"/>
    </row>
    <row r="1009">
      <c r="G1009" s="168"/>
      <c r="L1009" s="168"/>
      <c r="N1009" s="169"/>
    </row>
    <row r="1010">
      <c r="G1010" s="168"/>
      <c r="L1010" s="168"/>
      <c r="N1010" s="169"/>
    </row>
    <row r="1011">
      <c r="G1011" s="168"/>
      <c r="L1011" s="168"/>
      <c r="N1011" s="169"/>
    </row>
    <row r="1012">
      <c r="G1012" s="168"/>
      <c r="L1012" s="168"/>
      <c r="N1012" s="169"/>
    </row>
    <row r="1013">
      <c r="G1013" s="168"/>
      <c r="L1013" s="168"/>
      <c r="N1013" s="169"/>
    </row>
    <row r="1014">
      <c r="G1014" s="168"/>
      <c r="L1014" s="168"/>
      <c r="N1014" s="169"/>
    </row>
    <row r="1015">
      <c r="G1015" s="168"/>
      <c r="L1015" s="168"/>
      <c r="N1015" s="169"/>
    </row>
    <row r="1016">
      <c r="G1016" s="168"/>
      <c r="L1016" s="168"/>
      <c r="N1016" s="169"/>
    </row>
    <row r="1017">
      <c r="G1017" s="168"/>
      <c r="L1017" s="168"/>
      <c r="N1017" s="169"/>
    </row>
    <row r="1018">
      <c r="G1018" s="168"/>
      <c r="L1018" s="168"/>
      <c r="N1018" s="169"/>
    </row>
    <row r="1019">
      <c r="G1019" s="168"/>
      <c r="L1019" s="168"/>
      <c r="N1019" s="169"/>
    </row>
    <row r="1020">
      <c r="G1020" s="168"/>
      <c r="L1020" s="168"/>
      <c r="N1020" s="169"/>
    </row>
    <row r="1021">
      <c r="G1021" s="168"/>
      <c r="L1021" s="168"/>
      <c r="N1021" s="169"/>
    </row>
    <row r="1022">
      <c r="G1022" s="168"/>
      <c r="L1022" s="168"/>
      <c r="N1022" s="169"/>
    </row>
    <row r="1023">
      <c r="G1023" s="168"/>
      <c r="L1023" s="168"/>
      <c r="N1023" s="169"/>
    </row>
    <row r="1024">
      <c r="G1024" s="168"/>
      <c r="L1024" s="168"/>
      <c r="N1024" s="169"/>
    </row>
    <row r="1025">
      <c r="G1025" s="168"/>
      <c r="L1025" s="168"/>
      <c r="N1025" s="169"/>
    </row>
    <row r="1026">
      <c r="G1026" s="168"/>
      <c r="L1026" s="168"/>
      <c r="N1026" s="169"/>
    </row>
    <row r="1027">
      <c r="G1027" s="168"/>
      <c r="L1027" s="168"/>
      <c r="N1027" s="169"/>
    </row>
    <row r="1028">
      <c r="G1028" s="168"/>
      <c r="L1028" s="168"/>
      <c r="N1028" s="169"/>
    </row>
    <row r="1029">
      <c r="G1029" s="168"/>
      <c r="L1029" s="168"/>
      <c r="N1029" s="169"/>
    </row>
    <row r="1030">
      <c r="G1030" s="168"/>
      <c r="L1030" s="168"/>
      <c r="N1030" s="169"/>
    </row>
    <row r="1031">
      <c r="G1031" s="168"/>
      <c r="L1031" s="168"/>
      <c r="N1031" s="169"/>
    </row>
    <row r="1032">
      <c r="G1032" s="168"/>
      <c r="L1032" s="168"/>
      <c r="N1032" s="169"/>
    </row>
    <row r="1033">
      <c r="G1033" s="168"/>
      <c r="L1033" s="168"/>
      <c r="N1033" s="169"/>
    </row>
    <row r="1034">
      <c r="G1034" s="168"/>
      <c r="L1034" s="168"/>
      <c r="N1034" s="169"/>
    </row>
    <row r="1035">
      <c r="G1035" s="168"/>
      <c r="L1035" s="168"/>
      <c r="N1035" s="169"/>
    </row>
    <row r="1036">
      <c r="G1036" s="168"/>
      <c r="L1036" s="168"/>
      <c r="N1036" s="169"/>
    </row>
    <row r="1037">
      <c r="G1037" s="168"/>
      <c r="L1037" s="168"/>
      <c r="N1037" s="169"/>
    </row>
    <row r="1038">
      <c r="G1038" s="168"/>
      <c r="L1038" s="168"/>
      <c r="N1038" s="169"/>
    </row>
    <row r="1039">
      <c r="G1039" s="168"/>
      <c r="L1039" s="168"/>
      <c r="N1039" s="169"/>
    </row>
    <row r="1040">
      <c r="G1040" s="168"/>
      <c r="L1040" s="168"/>
      <c r="N1040" s="169"/>
    </row>
    <row r="1041">
      <c r="G1041" s="168"/>
      <c r="L1041" s="168"/>
      <c r="N1041" s="169"/>
    </row>
    <row r="1042">
      <c r="G1042" s="168"/>
      <c r="L1042" s="168"/>
      <c r="N1042" s="169"/>
    </row>
    <row r="1043">
      <c r="G1043" s="168"/>
      <c r="L1043" s="168"/>
      <c r="N1043" s="169"/>
    </row>
    <row r="1044">
      <c r="G1044" s="168"/>
      <c r="L1044" s="168"/>
      <c r="N1044" s="169"/>
    </row>
    <row r="1045">
      <c r="G1045" s="168"/>
      <c r="L1045" s="168"/>
      <c r="N1045" s="169"/>
    </row>
    <row r="1046">
      <c r="G1046" s="168"/>
      <c r="L1046" s="168"/>
      <c r="N1046" s="169"/>
    </row>
    <row r="1047">
      <c r="G1047" s="168"/>
      <c r="L1047" s="168"/>
      <c r="N1047" s="169"/>
    </row>
    <row r="1048">
      <c r="G1048" s="168"/>
      <c r="L1048" s="168"/>
      <c r="N1048" s="169"/>
    </row>
    <row r="1049">
      <c r="G1049" s="168"/>
      <c r="L1049" s="168"/>
      <c r="N1049" s="169"/>
    </row>
    <row r="1050">
      <c r="G1050" s="168"/>
      <c r="L1050" s="168"/>
      <c r="N1050" s="169"/>
    </row>
    <row r="1051">
      <c r="G1051" s="168"/>
      <c r="L1051" s="168"/>
      <c r="N1051" s="169"/>
    </row>
    <row r="1052">
      <c r="G1052" s="168"/>
      <c r="L1052" s="168"/>
      <c r="N1052" s="169"/>
    </row>
    <row r="1053">
      <c r="G1053" s="168"/>
      <c r="L1053" s="168"/>
      <c r="N1053" s="169"/>
    </row>
    <row r="1054">
      <c r="G1054" s="168"/>
      <c r="L1054" s="168"/>
      <c r="N1054" s="169"/>
    </row>
    <row r="1055">
      <c r="G1055" s="168"/>
      <c r="L1055" s="168"/>
      <c r="N1055" s="169"/>
    </row>
    <row r="1056">
      <c r="G1056" s="168"/>
      <c r="L1056" s="168"/>
      <c r="N1056" s="169"/>
    </row>
    <row r="1057">
      <c r="G1057" s="168"/>
      <c r="L1057" s="168"/>
      <c r="N1057" s="169"/>
    </row>
    <row r="1058">
      <c r="G1058" s="168"/>
      <c r="L1058" s="168"/>
      <c r="N1058" s="169"/>
    </row>
    <row r="1059">
      <c r="G1059" s="168"/>
      <c r="L1059" s="168"/>
      <c r="N1059" s="169"/>
    </row>
    <row r="1060">
      <c r="G1060" s="168"/>
      <c r="L1060" s="168"/>
      <c r="N1060" s="169"/>
    </row>
    <row r="1061">
      <c r="G1061" s="168"/>
      <c r="L1061" s="168"/>
      <c r="N1061" s="169"/>
    </row>
    <row r="1062">
      <c r="G1062" s="168"/>
      <c r="L1062" s="168"/>
      <c r="N1062" s="169"/>
    </row>
    <row r="1063">
      <c r="G1063" s="168"/>
      <c r="L1063" s="168"/>
      <c r="N1063" s="169"/>
    </row>
    <row r="1064">
      <c r="G1064" s="168"/>
      <c r="L1064" s="168"/>
      <c r="N1064" s="169"/>
    </row>
    <row r="1065">
      <c r="G1065" s="168"/>
      <c r="L1065" s="168"/>
      <c r="N1065" s="169"/>
    </row>
    <row r="1066">
      <c r="G1066" s="168"/>
      <c r="L1066" s="168"/>
      <c r="N1066" s="169"/>
    </row>
    <row r="1067">
      <c r="G1067" s="168"/>
      <c r="L1067" s="168"/>
      <c r="N1067" s="169"/>
    </row>
    <row r="1068">
      <c r="G1068" s="168"/>
      <c r="L1068" s="168"/>
      <c r="N1068" s="169"/>
    </row>
    <row r="1069">
      <c r="G1069" s="168"/>
      <c r="L1069" s="168"/>
      <c r="N1069" s="169"/>
    </row>
    <row r="1070">
      <c r="G1070" s="168"/>
      <c r="L1070" s="168"/>
      <c r="N1070" s="169"/>
    </row>
    <row r="1071">
      <c r="G1071" s="168"/>
      <c r="L1071" s="168"/>
      <c r="N1071" s="169"/>
    </row>
    <row r="1072">
      <c r="G1072" s="168"/>
      <c r="L1072" s="168"/>
      <c r="N1072" s="169"/>
    </row>
    <row r="1073">
      <c r="G1073" s="168"/>
      <c r="L1073" s="168"/>
      <c r="N1073" s="169"/>
    </row>
    <row r="1074">
      <c r="G1074" s="168"/>
      <c r="L1074" s="168"/>
      <c r="N1074" s="169"/>
    </row>
    <row r="1075">
      <c r="G1075" s="168"/>
      <c r="L1075" s="168"/>
      <c r="N1075" s="169"/>
    </row>
    <row r="1076">
      <c r="G1076" s="168"/>
      <c r="L1076" s="168"/>
      <c r="N1076" s="169"/>
    </row>
    <row r="1077">
      <c r="G1077" s="168"/>
      <c r="L1077" s="168"/>
      <c r="N1077" s="169"/>
    </row>
    <row r="1078">
      <c r="G1078" s="168"/>
      <c r="L1078" s="168"/>
      <c r="N1078" s="169"/>
    </row>
    <row r="1079">
      <c r="G1079" s="168"/>
      <c r="L1079" s="168"/>
      <c r="N1079" s="169"/>
    </row>
    <row r="1080">
      <c r="G1080" s="168"/>
      <c r="L1080" s="168"/>
      <c r="N1080" s="169"/>
    </row>
    <row r="1081">
      <c r="G1081" s="168"/>
      <c r="L1081" s="168"/>
      <c r="N1081" s="169"/>
    </row>
    <row r="1082">
      <c r="G1082" s="168"/>
      <c r="L1082" s="168"/>
      <c r="N1082" s="169"/>
    </row>
    <row r="1083">
      <c r="G1083" s="168"/>
      <c r="L1083" s="168"/>
      <c r="N1083" s="169"/>
    </row>
    <row r="1084">
      <c r="G1084" s="168"/>
      <c r="L1084" s="168"/>
      <c r="N1084" s="169"/>
    </row>
    <row r="1085">
      <c r="G1085" s="168"/>
      <c r="L1085" s="168"/>
      <c r="N1085" s="169"/>
    </row>
    <row r="1086">
      <c r="G1086" s="168"/>
      <c r="L1086" s="168"/>
      <c r="N1086" s="169"/>
    </row>
    <row r="1087">
      <c r="G1087" s="168"/>
      <c r="L1087" s="168"/>
      <c r="N1087" s="169"/>
    </row>
    <row r="1088">
      <c r="G1088" s="168"/>
      <c r="L1088" s="168"/>
      <c r="N1088" s="169"/>
    </row>
    <row r="1089">
      <c r="G1089" s="168"/>
      <c r="L1089" s="168"/>
      <c r="N1089" s="169"/>
    </row>
    <row r="1090">
      <c r="G1090" s="168"/>
      <c r="L1090" s="168"/>
      <c r="N1090" s="169"/>
    </row>
    <row r="1091">
      <c r="G1091" s="168"/>
      <c r="L1091" s="168"/>
      <c r="N1091" s="169"/>
    </row>
    <row r="1092">
      <c r="G1092" s="168"/>
      <c r="L1092" s="168"/>
      <c r="N1092" s="169"/>
    </row>
    <row r="1093">
      <c r="G1093" s="168"/>
      <c r="L1093" s="168"/>
      <c r="N1093" s="169"/>
    </row>
    <row r="1094">
      <c r="G1094" s="168"/>
      <c r="L1094" s="168"/>
      <c r="N1094" s="169"/>
    </row>
    <row r="1095">
      <c r="G1095" s="168"/>
      <c r="L1095" s="168"/>
      <c r="N1095" s="169"/>
    </row>
    <row r="1096">
      <c r="G1096" s="168"/>
      <c r="L1096" s="168"/>
      <c r="N1096" s="169"/>
    </row>
    <row r="1097">
      <c r="G1097" s="168"/>
      <c r="L1097" s="168"/>
      <c r="N1097" s="169"/>
    </row>
    <row r="1098">
      <c r="G1098" s="168"/>
      <c r="L1098" s="168"/>
      <c r="N1098" s="169"/>
    </row>
    <row r="1099">
      <c r="G1099" s="168"/>
      <c r="L1099" s="168"/>
      <c r="N1099" s="169"/>
    </row>
    <row r="1100">
      <c r="G1100" s="168"/>
      <c r="L1100" s="168"/>
      <c r="N1100" s="169"/>
    </row>
    <row r="1101">
      <c r="G1101" s="168"/>
      <c r="L1101" s="168"/>
      <c r="N1101" s="169"/>
    </row>
    <row r="1102">
      <c r="G1102" s="168"/>
      <c r="L1102" s="168"/>
      <c r="N1102" s="169"/>
    </row>
    <row r="1103">
      <c r="G1103" s="168"/>
      <c r="L1103" s="168"/>
      <c r="N1103" s="169"/>
    </row>
    <row r="1104">
      <c r="G1104" s="168"/>
      <c r="L1104" s="168"/>
      <c r="N1104" s="169"/>
    </row>
    <row r="1105">
      <c r="G1105" s="168"/>
      <c r="L1105" s="168"/>
      <c r="N1105" s="169"/>
    </row>
    <row r="1106">
      <c r="G1106" s="168"/>
      <c r="L1106" s="168"/>
      <c r="N1106" s="169"/>
    </row>
    <row r="1107">
      <c r="G1107" s="168"/>
      <c r="L1107" s="168"/>
      <c r="N1107" s="169"/>
    </row>
    <row r="1108">
      <c r="G1108" s="168"/>
      <c r="L1108" s="168"/>
      <c r="N1108" s="169"/>
    </row>
    <row r="1109">
      <c r="G1109" s="168"/>
      <c r="L1109" s="168"/>
      <c r="N1109" s="169"/>
    </row>
    <row r="1110">
      <c r="G1110" s="168"/>
      <c r="L1110" s="168"/>
      <c r="N1110" s="169"/>
    </row>
    <row r="1111">
      <c r="G1111" s="168"/>
      <c r="L1111" s="168"/>
      <c r="N1111" s="169"/>
    </row>
    <row r="1112">
      <c r="G1112" s="168"/>
      <c r="L1112" s="168"/>
      <c r="N1112" s="169"/>
    </row>
    <row r="1113">
      <c r="G1113" s="168"/>
      <c r="L1113" s="168"/>
      <c r="N1113" s="169"/>
    </row>
    <row r="1114">
      <c r="G1114" s="168"/>
      <c r="L1114" s="168"/>
      <c r="N1114" s="169"/>
    </row>
    <row r="1115">
      <c r="G1115" s="168"/>
      <c r="L1115" s="168"/>
      <c r="N1115" s="169"/>
    </row>
    <row r="1116">
      <c r="G1116" s="168"/>
      <c r="L1116" s="168"/>
      <c r="N1116" s="169"/>
    </row>
    <row r="1117">
      <c r="G1117" s="168"/>
      <c r="L1117" s="168"/>
      <c r="N1117" s="169"/>
    </row>
    <row r="1118">
      <c r="G1118" s="168"/>
      <c r="L1118" s="168"/>
      <c r="N1118" s="169"/>
    </row>
  </sheetData>
  <mergeCells count="2">
    <mergeCell ref="A1:N1"/>
    <mergeCell ref="A286:L28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75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  <c r="P2" s="80">
        <f>185231+340</f>
        <v>185571</v>
      </c>
    </row>
    <row r="3">
      <c r="A3" s="70">
        <v>46028.0</v>
      </c>
      <c r="B3" s="36" t="s">
        <v>11</v>
      </c>
      <c r="C3" s="249">
        <v>197795.0</v>
      </c>
      <c r="D3" s="52">
        <v>198096.0</v>
      </c>
      <c r="E3" s="12">
        <f t="shared" ref="E3:E10" si="1">D3-C3</f>
        <v>301</v>
      </c>
      <c r="F3" s="39">
        <v>40.0</v>
      </c>
      <c r="G3" s="14">
        <f t="shared" ref="G3:G10" si="2">(F3/E3)*100</f>
        <v>13.28903654</v>
      </c>
      <c r="H3" s="57">
        <v>26734.0</v>
      </c>
      <c r="I3" s="40">
        <v>27074.0</v>
      </c>
      <c r="J3" s="37">
        <f t="shared" ref="J3:J10" si="3">I3-H3</f>
        <v>340</v>
      </c>
      <c r="K3" s="81">
        <f t="shared" ref="K3:K10" si="4">F3</f>
        <v>40</v>
      </c>
      <c r="L3" s="71">
        <f t="shared" ref="L3:L10" si="5">(K3/J3)*100</f>
        <v>11.76470588</v>
      </c>
      <c r="M3" s="72">
        <v>17250.0</v>
      </c>
      <c r="N3" s="131">
        <f t="shared" ref="N3:N10" si="6">F3*M3</f>
        <v>690000</v>
      </c>
    </row>
    <row r="4">
      <c r="A4" s="35">
        <v>46031.0</v>
      </c>
      <c r="B4" s="46" t="s">
        <v>11</v>
      </c>
      <c r="C4" s="52">
        <v>198096.0</v>
      </c>
      <c r="D4" s="52">
        <v>198411.0</v>
      </c>
      <c r="E4" s="12">
        <f t="shared" si="1"/>
        <v>315</v>
      </c>
      <c r="F4" s="47">
        <v>50.0</v>
      </c>
      <c r="G4" s="14">
        <f t="shared" si="2"/>
        <v>15.87301587</v>
      </c>
      <c r="H4" s="40">
        <v>27074.0</v>
      </c>
      <c r="I4" s="40">
        <v>27434.0</v>
      </c>
      <c r="J4" s="37">
        <f t="shared" si="3"/>
        <v>360</v>
      </c>
      <c r="K4" s="52">
        <f t="shared" si="4"/>
        <v>50</v>
      </c>
      <c r="L4" s="48">
        <f t="shared" si="5"/>
        <v>13.88888889</v>
      </c>
      <c r="M4" s="50">
        <v>17060.0</v>
      </c>
      <c r="N4" s="49">
        <f t="shared" si="6"/>
        <v>853000</v>
      </c>
      <c r="O4" s="197">
        <v>1.0</v>
      </c>
      <c r="P4" s="250" t="s">
        <v>12</v>
      </c>
      <c r="Q4" s="251">
        <f>N19</f>
        <v>5057100</v>
      </c>
      <c r="R4" s="251">
        <f t="shared" ref="R4:R15" si="7">Q4</f>
        <v>5057100</v>
      </c>
    </row>
    <row r="5">
      <c r="A5" s="35">
        <v>46037.0</v>
      </c>
      <c r="B5" s="46" t="s">
        <v>11</v>
      </c>
      <c r="C5" s="52">
        <v>198411.0</v>
      </c>
      <c r="D5" s="52">
        <v>198747.0</v>
      </c>
      <c r="E5" s="12">
        <f t="shared" si="1"/>
        <v>336</v>
      </c>
      <c r="F5" s="54">
        <v>40.0</v>
      </c>
      <c r="G5" s="14">
        <f t="shared" si="2"/>
        <v>11.9047619</v>
      </c>
      <c r="H5" s="40">
        <v>27434.0</v>
      </c>
      <c r="I5" s="40">
        <v>27795.0</v>
      </c>
      <c r="J5" s="37">
        <f t="shared" si="3"/>
        <v>361</v>
      </c>
      <c r="K5" s="52">
        <f t="shared" si="4"/>
        <v>40</v>
      </c>
      <c r="L5" s="48">
        <f t="shared" si="5"/>
        <v>11.08033241</v>
      </c>
      <c r="M5" s="50">
        <v>17280.0</v>
      </c>
      <c r="N5" s="49">
        <f t="shared" si="6"/>
        <v>691200</v>
      </c>
      <c r="O5" s="197">
        <v>2.0</v>
      </c>
      <c r="P5" s="250" t="s">
        <v>13</v>
      </c>
      <c r="Q5" s="251">
        <f>N29</f>
        <v>5406690</v>
      </c>
      <c r="R5" s="251">
        <f t="shared" si="7"/>
        <v>5406690</v>
      </c>
    </row>
    <row r="6">
      <c r="A6" s="35">
        <v>46042.0</v>
      </c>
      <c r="B6" s="46" t="s">
        <v>11</v>
      </c>
      <c r="C6" s="52">
        <v>198747.0</v>
      </c>
      <c r="D6" s="52">
        <v>199065.0</v>
      </c>
      <c r="E6" s="12">
        <f t="shared" si="1"/>
        <v>318</v>
      </c>
      <c r="F6" s="54">
        <v>40.0</v>
      </c>
      <c r="G6" s="14">
        <f t="shared" si="2"/>
        <v>12.57861635</v>
      </c>
      <c r="H6" s="40">
        <v>27795.0</v>
      </c>
      <c r="I6" s="40">
        <v>28143.0</v>
      </c>
      <c r="J6" s="37">
        <f t="shared" si="3"/>
        <v>348</v>
      </c>
      <c r="K6" s="52">
        <f t="shared" si="4"/>
        <v>40</v>
      </c>
      <c r="L6" s="48">
        <f t="shared" si="5"/>
        <v>11.49425287</v>
      </c>
      <c r="M6" s="50">
        <v>17280.0</v>
      </c>
      <c r="N6" s="49">
        <f t="shared" si="6"/>
        <v>691200</v>
      </c>
      <c r="O6" s="197">
        <v>3.0</v>
      </c>
      <c r="P6" s="250" t="s">
        <v>14</v>
      </c>
      <c r="Q6" s="251">
        <f>N38</f>
        <v>5760500</v>
      </c>
      <c r="R6" s="251">
        <f t="shared" si="7"/>
        <v>5760500</v>
      </c>
    </row>
    <row r="7">
      <c r="A7" s="35">
        <v>46044.0</v>
      </c>
      <c r="B7" s="46" t="s">
        <v>11</v>
      </c>
      <c r="C7" s="52">
        <v>199065.0</v>
      </c>
      <c r="D7" s="52">
        <v>199398.0</v>
      </c>
      <c r="E7" s="12">
        <f t="shared" si="1"/>
        <v>333</v>
      </c>
      <c r="F7" s="54">
        <v>40.0</v>
      </c>
      <c r="G7" s="14">
        <f t="shared" si="2"/>
        <v>12.01201201</v>
      </c>
      <c r="H7" s="40">
        <v>28143.0</v>
      </c>
      <c r="I7" s="40">
        <v>28518.0</v>
      </c>
      <c r="J7" s="37">
        <f t="shared" si="3"/>
        <v>375</v>
      </c>
      <c r="K7" s="52">
        <f t="shared" si="4"/>
        <v>40</v>
      </c>
      <c r="L7" s="48">
        <f t="shared" si="5"/>
        <v>10.66666667</v>
      </c>
      <c r="M7" s="252">
        <v>17700.0</v>
      </c>
      <c r="N7" s="49">
        <f t="shared" si="6"/>
        <v>708000</v>
      </c>
      <c r="O7" s="197">
        <v>4.0</v>
      </c>
      <c r="P7" s="250" t="s">
        <v>15</v>
      </c>
      <c r="Q7" s="251">
        <f>N48</f>
        <v>5179250</v>
      </c>
      <c r="R7" s="251">
        <f t="shared" si="7"/>
        <v>5179250</v>
      </c>
    </row>
    <row r="8">
      <c r="A8" s="35">
        <v>46049.0</v>
      </c>
      <c r="B8" s="46" t="s">
        <v>11</v>
      </c>
      <c r="C8" s="52">
        <v>199398.0</v>
      </c>
      <c r="D8" s="52">
        <v>199686.0</v>
      </c>
      <c r="E8" s="12">
        <f t="shared" si="1"/>
        <v>288</v>
      </c>
      <c r="F8" s="54">
        <v>40.0</v>
      </c>
      <c r="G8" s="14">
        <f t="shared" si="2"/>
        <v>13.88888889</v>
      </c>
      <c r="H8" s="40">
        <v>28518.0</v>
      </c>
      <c r="I8" s="40">
        <v>28839.0</v>
      </c>
      <c r="J8" s="37">
        <f t="shared" si="3"/>
        <v>321</v>
      </c>
      <c r="K8" s="52">
        <f t="shared" si="4"/>
        <v>40</v>
      </c>
      <c r="L8" s="48">
        <f t="shared" si="5"/>
        <v>12.46105919</v>
      </c>
      <c r="M8" s="252">
        <v>17700.0</v>
      </c>
      <c r="N8" s="49">
        <f t="shared" si="6"/>
        <v>708000</v>
      </c>
      <c r="O8" s="197">
        <v>5.0</v>
      </c>
      <c r="P8" s="250" t="s">
        <v>16</v>
      </c>
      <c r="Q8" s="251">
        <f>N60</f>
        <v>7124810</v>
      </c>
      <c r="R8" s="251">
        <f t="shared" si="7"/>
        <v>7124810</v>
      </c>
    </row>
    <row r="9">
      <c r="A9" s="35">
        <v>46052.0</v>
      </c>
      <c r="B9" s="46" t="s">
        <v>11</v>
      </c>
      <c r="C9" s="52">
        <v>199686.0</v>
      </c>
      <c r="D9" s="249">
        <v>200012.0</v>
      </c>
      <c r="E9" s="12">
        <f t="shared" si="1"/>
        <v>326</v>
      </c>
      <c r="F9" s="253">
        <v>40.0</v>
      </c>
      <c r="G9" s="14">
        <f t="shared" si="2"/>
        <v>12.26993865</v>
      </c>
      <c r="H9" s="40">
        <v>28839.0</v>
      </c>
      <c r="I9" s="57">
        <v>29204.0</v>
      </c>
      <c r="J9" s="37">
        <f t="shared" si="3"/>
        <v>365</v>
      </c>
      <c r="K9" s="52">
        <f t="shared" si="4"/>
        <v>40</v>
      </c>
      <c r="L9" s="48">
        <f t="shared" si="5"/>
        <v>10.95890411</v>
      </c>
      <c r="M9" s="254">
        <v>18170.0</v>
      </c>
      <c r="N9" s="49">
        <f t="shared" si="6"/>
        <v>726800</v>
      </c>
      <c r="O9" s="197">
        <v>6.0</v>
      </c>
      <c r="P9" s="250" t="s">
        <v>17</v>
      </c>
      <c r="Q9" s="251">
        <f>N11</f>
        <v>5068200</v>
      </c>
      <c r="R9" s="251">
        <f t="shared" si="7"/>
        <v>5068200</v>
      </c>
    </row>
    <row r="10">
      <c r="A10" s="35"/>
      <c r="B10" s="83" t="s">
        <v>11</v>
      </c>
      <c r="C10" s="249"/>
      <c r="D10" s="249"/>
      <c r="E10" s="25">
        <f t="shared" si="1"/>
        <v>0</v>
      </c>
      <c r="F10" s="253"/>
      <c r="G10" s="56" t="str">
        <f t="shared" si="2"/>
        <v>#DIV/0!</v>
      </c>
      <c r="H10" s="55"/>
      <c r="I10" s="85"/>
      <c r="J10" s="37">
        <f t="shared" si="3"/>
        <v>0</v>
      </c>
      <c r="K10" s="52" t="str">
        <f t="shared" si="4"/>
        <v/>
      </c>
      <c r="L10" s="48" t="str">
        <f t="shared" si="5"/>
        <v>#DIV/0!</v>
      </c>
      <c r="M10" s="254"/>
      <c r="N10" s="59">
        <f t="shared" si="6"/>
        <v>0</v>
      </c>
      <c r="O10" s="197">
        <v>7.0</v>
      </c>
      <c r="P10" s="250" t="s">
        <v>18</v>
      </c>
      <c r="Q10" s="251">
        <f>N70</f>
        <v>6123960</v>
      </c>
      <c r="R10" s="251">
        <f t="shared" si="7"/>
        <v>6123960</v>
      </c>
    </row>
    <row r="11">
      <c r="A11" s="62"/>
      <c r="B11" s="63"/>
      <c r="C11" s="62"/>
      <c r="D11" s="64" t="s">
        <v>19</v>
      </c>
      <c r="E11" s="64">
        <f t="shared" ref="E11:F11" si="8">sum(E3:E10)</f>
        <v>2217</v>
      </c>
      <c r="F11" s="64">
        <f t="shared" si="8"/>
        <v>290</v>
      </c>
      <c r="G11" s="65" t="str">
        <f>average(G3:G10)</f>
        <v>#DIV/0!</v>
      </c>
      <c r="H11" s="62"/>
      <c r="I11" s="66"/>
      <c r="J11" s="64">
        <f t="shared" ref="J11:K11" si="9">sum(J3:J10)</f>
        <v>2470</v>
      </c>
      <c r="K11" s="64">
        <f t="shared" si="9"/>
        <v>290</v>
      </c>
      <c r="L11" s="65" t="str">
        <f>average(L3:L10)</f>
        <v>#DIV/0!</v>
      </c>
      <c r="M11" s="68"/>
      <c r="N11" s="69">
        <f>sum(N3:N10)</f>
        <v>5068200</v>
      </c>
      <c r="O11" s="197">
        <v>8.0</v>
      </c>
      <c r="P11" s="250" t="s">
        <v>20</v>
      </c>
      <c r="Q11" s="251">
        <f>N78</f>
        <v>6591180</v>
      </c>
      <c r="R11" s="251">
        <f t="shared" si="7"/>
        <v>6591180</v>
      </c>
    </row>
    <row r="12">
      <c r="A12" s="261" t="s">
        <v>76</v>
      </c>
      <c r="B12" s="36" t="s">
        <v>12</v>
      </c>
      <c r="C12" s="37">
        <v>160900.0</v>
      </c>
      <c r="D12" s="55">
        <v>161246.0</v>
      </c>
      <c r="E12" s="38">
        <f t="shared" ref="E12:E18" si="10">D12-C12</f>
        <v>346</v>
      </c>
      <c r="F12" s="39">
        <v>48.0</v>
      </c>
      <c r="G12" s="14">
        <f t="shared" ref="G12:G18" si="11">(F12/E12)*100</f>
        <v>13.87283237</v>
      </c>
      <c r="H12" s="40">
        <v>27650.0</v>
      </c>
      <c r="I12" s="57">
        <v>28100.0</v>
      </c>
      <c r="J12" s="41">
        <f t="shared" ref="J12:J18" si="12">I12-H12</f>
        <v>450</v>
      </c>
      <c r="K12" s="81">
        <f t="shared" ref="K12:K18" si="13">F12</f>
        <v>48</v>
      </c>
      <c r="L12" s="42">
        <f t="shared" ref="L12:L18" si="14">(K12/J12)*100</f>
        <v>10.66666667</v>
      </c>
      <c r="M12" s="43">
        <v>17250.0</v>
      </c>
      <c r="N12" s="44">
        <f t="shared" ref="N12:N18" si="15">F12*M12</f>
        <v>828000</v>
      </c>
      <c r="O12" s="197">
        <v>9.0</v>
      </c>
      <c r="P12" s="250" t="s">
        <v>21</v>
      </c>
      <c r="Q12" s="251">
        <f>N86</f>
        <v>6846650</v>
      </c>
      <c r="R12" s="251">
        <f t="shared" si="7"/>
        <v>6846650</v>
      </c>
    </row>
    <row r="13">
      <c r="A13" s="45">
        <v>46029.0</v>
      </c>
      <c r="B13" s="46" t="s">
        <v>12</v>
      </c>
      <c r="C13" s="55">
        <v>161246.0</v>
      </c>
      <c r="D13" s="37">
        <v>161597.0</v>
      </c>
      <c r="E13" s="12">
        <f t="shared" si="10"/>
        <v>351</v>
      </c>
      <c r="F13" s="47">
        <v>50.0</v>
      </c>
      <c r="G13" s="14">
        <f t="shared" si="11"/>
        <v>14.24501425</v>
      </c>
      <c r="H13" s="57">
        <v>28100.0</v>
      </c>
      <c r="I13" s="40">
        <v>28442.0</v>
      </c>
      <c r="J13" s="37">
        <f t="shared" si="12"/>
        <v>342</v>
      </c>
      <c r="K13" s="52">
        <f t="shared" si="13"/>
        <v>50</v>
      </c>
      <c r="L13" s="48">
        <f t="shared" si="14"/>
        <v>14.61988304</v>
      </c>
      <c r="M13" s="43">
        <v>17250.0</v>
      </c>
      <c r="N13" s="49">
        <f t="shared" si="15"/>
        <v>862500</v>
      </c>
      <c r="O13" s="197">
        <v>10.0</v>
      </c>
      <c r="P13" s="250" t="s">
        <v>22</v>
      </c>
      <c r="Q13" s="251">
        <f>N94</f>
        <v>4861550</v>
      </c>
      <c r="R13" s="251">
        <f t="shared" si="7"/>
        <v>4861550</v>
      </c>
    </row>
    <row r="14">
      <c r="A14" s="45">
        <v>46034.0</v>
      </c>
      <c r="B14" s="46" t="s">
        <v>12</v>
      </c>
      <c r="C14" s="37">
        <v>161597.0</v>
      </c>
      <c r="D14" s="37">
        <v>161915.0</v>
      </c>
      <c r="E14" s="12">
        <f t="shared" si="10"/>
        <v>318</v>
      </c>
      <c r="F14" s="47">
        <v>42.0</v>
      </c>
      <c r="G14" s="14">
        <f t="shared" si="11"/>
        <v>13.20754717</v>
      </c>
      <c r="H14" s="40">
        <v>28442.0</v>
      </c>
      <c r="I14" s="40">
        <v>28777.0</v>
      </c>
      <c r="J14" s="37">
        <f t="shared" si="12"/>
        <v>335</v>
      </c>
      <c r="K14" s="52">
        <f t="shared" si="13"/>
        <v>42</v>
      </c>
      <c r="L14" s="48">
        <f t="shared" si="14"/>
        <v>12.53731343</v>
      </c>
      <c r="M14" s="50">
        <v>17060.0</v>
      </c>
      <c r="N14" s="49">
        <f t="shared" si="15"/>
        <v>716520</v>
      </c>
      <c r="O14" s="197">
        <v>11.0</v>
      </c>
      <c r="P14" s="250" t="s">
        <v>23</v>
      </c>
      <c r="Q14" s="251">
        <f>N101</f>
        <v>4611760</v>
      </c>
      <c r="R14" s="251">
        <f t="shared" si="7"/>
        <v>4611760</v>
      </c>
    </row>
    <row r="15">
      <c r="A15" s="45">
        <v>46037.0</v>
      </c>
      <c r="B15" s="51" t="s">
        <v>12</v>
      </c>
      <c r="C15" s="37">
        <v>161915.0</v>
      </c>
      <c r="D15" s="52">
        <v>162252.0</v>
      </c>
      <c r="E15" s="53">
        <f t="shared" si="10"/>
        <v>337</v>
      </c>
      <c r="F15" s="54">
        <v>48.0</v>
      </c>
      <c r="G15" s="14">
        <f t="shared" si="11"/>
        <v>14.24332344</v>
      </c>
      <c r="H15" s="40">
        <v>28777.0</v>
      </c>
      <c r="I15" s="40">
        <v>29144.0</v>
      </c>
      <c r="J15" s="37">
        <f t="shared" si="12"/>
        <v>367</v>
      </c>
      <c r="K15" s="52">
        <f t="shared" si="13"/>
        <v>48</v>
      </c>
      <c r="L15" s="48">
        <f t="shared" si="14"/>
        <v>13.07901907</v>
      </c>
      <c r="M15" s="50">
        <v>17280.0</v>
      </c>
      <c r="N15" s="49">
        <f t="shared" si="15"/>
        <v>829440</v>
      </c>
      <c r="O15" s="197">
        <v>12.0</v>
      </c>
      <c r="P15" s="250" t="s">
        <v>24</v>
      </c>
      <c r="Q15" s="251">
        <f>N109</f>
        <v>4350700</v>
      </c>
      <c r="R15" s="251">
        <f t="shared" si="7"/>
        <v>4350700</v>
      </c>
    </row>
    <row r="16">
      <c r="A16" s="45">
        <v>46044.0</v>
      </c>
      <c r="B16" s="46" t="s">
        <v>12</v>
      </c>
      <c r="C16" s="52">
        <v>162252.0</v>
      </c>
      <c r="D16" s="37">
        <v>162584.0</v>
      </c>
      <c r="E16" s="12">
        <f t="shared" si="10"/>
        <v>332</v>
      </c>
      <c r="F16" s="47">
        <v>48.0</v>
      </c>
      <c r="G16" s="14">
        <f t="shared" si="11"/>
        <v>14.45783133</v>
      </c>
      <c r="H16" s="40">
        <v>29144.0</v>
      </c>
      <c r="I16" s="40">
        <v>29507.0</v>
      </c>
      <c r="J16" s="37">
        <f t="shared" si="12"/>
        <v>363</v>
      </c>
      <c r="K16" s="52">
        <f t="shared" si="13"/>
        <v>48</v>
      </c>
      <c r="L16" s="48">
        <f t="shared" si="14"/>
        <v>13.2231405</v>
      </c>
      <c r="M16" s="50">
        <v>17280.0</v>
      </c>
      <c r="N16" s="49">
        <f t="shared" si="15"/>
        <v>829440</v>
      </c>
      <c r="O16" s="197">
        <v>13.0</v>
      </c>
      <c r="P16" s="250" t="s">
        <v>25</v>
      </c>
      <c r="Q16" s="251">
        <f>N117</f>
        <v>5365160</v>
      </c>
      <c r="R16" s="251">
        <f>N117</f>
        <v>5365160</v>
      </c>
    </row>
    <row r="17">
      <c r="A17" s="45">
        <v>46050.0</v>
      </c>
      <c r="B17" s="46" t="s">
        <v>12</v>
      </c>
      <c r="C17" s="37">
        <v>162584.0</v>
      </c>
      <c r="D17" s="37">
        <v>163003.0</v>
      </c>
      <c r="E17" s="12">
        <f t="shared" si="10"/>
        <v>419</v>
      </c>
      <c r="F17" s="47">
        <v>56.0</v>
      </c>
      <c r="G17" s="14">
        <f t="shared" si="11"/>
        <v>13.36515513</v>
      </c>
      <c r="H17" s="40">
        <v>29507.0</v>
      </c>
      <c r="I17" s="40">
        <v>29978.0</v>
      </c>
      <c r="J17" s="37">
        <f t="shared" si="12"/>
        <v>471</v>
      </c>
      <c r="K17" s="52">
        <f t="shared" si="13"/>
        <v>56</v>
      </c>
      <c r="L17" s="48">
        <f t="shared" si="14"/>
        <v>11.8895966</v>
      </c>
      <c r="M17" s="50">
        <v>17700.0</v>
      </c>
      <c r="N17" s="49">
        <f t="shared" si="15"/>
        <v>991200</v>
      </c>
      <c r="O17" s="197">
        <v>14.0</v>
      </c>
      <c r="P17" s="250" t="s">
        <v>26</v>
      </c>
      <c r="Q17" s="251">
        <f>N125</f>
        <v>5228650</v>
      </c>
      <c r="R17" s="251">
        <f t="shared" ref="R17:R28" si="16">Q17</f>
        <v>5228650</v>
      </c>
    </row>
    <row r="18">
      <c r="A18" s="45"/>
      <c r="B18" s="46" t="s">
        <v>12</v>
      </c>
      <c r="C18" s="37"/>
      <c r="D18" s="55"/>
      <c r="E18" s="25">
        <f t="shared" si="10"/>
        <v>0</v>
      </c>
      <c r="F18" s="47"/>
      <c r="G18" s="56" t="str">
        <f t="shared" si="11"/>
        <v>#DIV/0!</v>
      </c>
      <c r="H18" s="40"/>
      <c r="I18" s="57"/>
      <c r="J18" s="55">
        <f t="shared" si="12"/>
        <v>0</v>
      </c>
      <c r="K18" s="52" t="str">
        <f t="shared" si="13"/>
        <v/>
      </c>
      <c r="L18" s="48" t="str">
        <f t="shared" si="14"/>
        <v>#DIV/0!</v>
      </c>
      <c r="M18" s="58"/>
      <c r="N18" s="59">
        <f t="shared" si="15"/>
        <v>0</v>
      </c>
      <c r="O18" s="80">
        <f t="shared" ref="O18:O28" si="18">O17+1</f>
        <v>15</v>
      </c>
      <c r="P18" s="255" t="s">
        <v>27</v>
      </c>
      <c r="Q18" s="251">
        <f>N134</f>
        <v>7913090</v>
      </c>
      <c r="R18" s="251">
        <f t="shared" si="16"/>
        <v>7913090</v>
      </c>
    </row>
    <row r="19">
      <c r="A19" s="62"/>
      <c r="B19" s="63"/>
      <c r="C19" s="62"/>
      <c r="D19" s="64" t="s">
        <v>19</v>
      </c>
      <c r="E19" s="64">
        <f>sum(E12:E18)</f>
        <v>2103</v>
      </c>
      <c r="F19" s="64">
        <f>sum(F11:F18)</f>
        <v>582</v>
      </c>
      <c r="G19" s="65" t="str">
        <f>average(G12:G18)</f>
        <v>#DIV/0!</v>
      </c>
      <c r="H19" s="62"/>
      <c r="I19" s="66"/>
      <c r="J19" s="64">
        <f t="shared" ref="J19:K19" si="17">sum(J12:J18)</f>
        <v>2328</v>
      </c>
      <c r="K19" s="64">
        <f t="shared" si="17"/>
        <v>292</v>
      </c>
      <c r="L19" s="65" t="str">
        <f>average(L12:L18)</f>
        <v>#DIV/0!</v>
      </c>
      <c r="M19" s="68"/>
      <c r="N19" s="69">
        <f>sum(N12:N18)</f>
        <v>5057100</v>
      </c>
      <c r="O19" s="80">
        <f t="shared" si="18"/>
        <v>16</v>
      </c>
      <c r="P19" s="255" t="s">
        <v>28</v>
      </c>
      <c r="Q19" s="251">
        <f>N143</f>
        <v>3463700</v>
      </c>
      <c r="R19" s="251">
        <f t="shared" si="16"/>
        <v>3463700</v>
      </c>
    </row>
    <row r="20">
      <c r="A20" s="70">
        <v>46029.0</v>
      </c>
      <c r="B20" s="36" t="s">
        <v>13</v>
      </c>
      <c r="C20" s="75">
        <v>178370.0</v>
      </c>
      <c r="D20" s="37">
        <v>178723.0</v>
      </c>
      <c r="E20" s="12">
        <f t="shared" ref="E20:E28" si="19">D20-C20</f>
        <v>353</v>
      </c>
      <c r="F20" s="39">
        <v>51.0</v>
      </c>
      <c r="G20" s="14">
        <f t="shared" ref="G20:G28" si="20">(F20/E20)*100</f>
        <v>14.44759207</v>
      </c>
      <c r="H20" s="76">
        <v>29700.0</v>
      </c>
      <c r="I20" s="40">
        <v>30089.0</v>
      </c>
      <c r="J20" s="41">
        <f t="shared" ref="J20:J28" si="21">I20-H20</f>
        <v>389</v>
      </c>
      <c r="K20" s="81">
        <f t="shared" ref="K20:K28" si="22">F20</f>
        <v>51</v>
      </c>
      <c r="L20" s="71">
        <f t="shared" ref="L20:L28" si="23">(K20/J20)*100</f>
        <v>13.11053985</v>
      </c>
      <c r="M20" s="72">
        <v>17250.0</v>
      </c>
      <c r="N20" s="44">
        <f t="shared" ref="N20:N28" si="24">F20*M20</f>
        <v>879750</v>
      </c>
      <c r="O20" s="80">
        <f t="shared" si="18"/>
        <v>17</v>
      </c>
      <c r="P20" s="255" t="s">
        <v>29</v>
      </c>
      <c r="Q20" s="251">
        <f>N152</f>
        <v>6066000</v>
      </c>
      <c r="R20" s="251">
        <f t="shared" si="16"/>
        <v>6066000</v>
      </c>
    </row>
    <row r="21">
      <c r="A21" s="70">
        <v>46033.0</v>
      </c>
      <c r="B21" s="46" t="s">
        <v>13</v>
      </c>
      <c r="C21" s="37">
        <v>178723.0</v>
      </c>
      <c r="D21" s="37">
        <v>179080.0</v>
      </c>
      <c r="E21" s="12">
        <f t="shared" si="19"/>
        <v>357</v>
      </c>
      <c r="F21" s="39">
        <v>48.0</v>
      </c>
      <c r="G21" s="14">
        <f t="shared" si="20"/>
        <v>13.44537815</v>
      </c>
      <c r="H21" s="40">
        <v>30089.0</v>
      </c>
      <c r="I21" s="40">
        <v>30496.0</v>
      </c>
      <c r="J21" s="37">
        <f t="shared" si="21"/>
        <v>407</v>
      </c>
      <c r="K21" s="52">
        <f t="shared" si="22"/>
        <v>48</v>
      </c>
      <c r="L21" s="48">
        <f t="shared" si="23"/>
        <v>11.79361179</v>
      </c>
      <c r="M21" s="72">
        <v>17060.0</v>
      </c>
      <c r="N21" s="49">
        <f t="shared" si="24"/>
        <v>818880</v>
      </c>
      <c r="O21" s="80">
        <f t="shared" si="18"/>
        <v>18</v>
      </c>
      <c r="P21" s="255" t="s">
        <v>30</v>
      </c>
      <c r="Q21" s="251">
        <f>N162</f>
        <v>6461250</v>
      </c>
      <c r="R21" s="251">
        <f t="shared" si="16"/>
        <v>6461250</v>
      </c>
    </row>
    <row r="22">
      <c r="A22" s="35">
        <v>46037.0</v>
      </c>
      <c r="B22" s="46" t="s">
        <v>13</v>
      </c>
      <c r="C22" s="37">
        <v>179080.0</v>
      </c>
      <c r="D22" s="37">
        <v>179458.0</v>
      </c>
      <c r="E22" s="12">
        <f t="shared" si="19"/>
        <v>378</v>
      </c>
      <c r="F22" s="47">
        <v>45.0</v>
      </c>
      <c r="G22" s="14">
        <f t="shared" si="20"/>
        <v>11.9047619</v>
      </c>
      <c r="H22" s="40">
        <v>30496.0</v>
      </c>
      <c r="I22" s="40">
        <v>30902.0</v>
      </c>
      <c r="J22" s="37">
        <f t="shared" si="21"/>
        <v>406</v>
      </c>
      <c r="K22" s="52">
        <f t="shared" si="22"/>
        <v>45</v>
      </c>
      <c r="L22" s="48">
        <f t="shared" si="23"/>
        <v>11.08374384</v>
      </c>
      <c r="M22" s="72">
        <v>17060.0</v>
      </c>
      <c r="N22" s="49">
        <f t="shared" si="24"/>
        <v>767700</v>
      </c>
      <c r="O22" s="80">
        <f t="shared" si="18"/>
        <v>19</v>
      </c>
      <c r="P22" s="255" t="s">
        <v>31</v>
      </c>
      <c r="Q22" s="251">
        <f>N171</f>
        <v>10295500</v>
      </c>
      <c r="R22" s="251">
        <f t="shared" si="16"/>
        <v>10295500</v>
      </c>
    </row>
    <row r="23">
      <c r="A23" s="35">
        <v>46042.0</v>
      </c>
      <c r="B23" s="46" t="s">
        <v>13</v>
      </c>
      <c r="C23" s="37">
        <v>179458.0</v>
      </c>
      <c r="D23" s="37">
        <v>179736.0</v>
      </c>
      <c r="E23" s="12">
        <f t="shared" si="19"/>
        <v>278</v>
      </c>
      <c r="F23" s="47">
        <v>37.0</v>
      </c>
      <c r="G23" s="14">
        <f t="shared" si="20"/>
        <v>13.30935252</v>
      </c>
      <c r="H23" s="40">
        <v>30902.0</v>
      </c>
      <c r="I23" s="40">
        <v>31330.0</v>
      </c>
      <c r="J23" s="37">
        <f t="shared" si="21"/>
        <v>428</v>
      </c>
      <c r="K23" s="52">
        <f t="shared" si="22"/>
        <v>37</v>
      </c>
      <c r="L23" s="48">
        <f t="shared" si="23"/>
        <v>8.644859813</v>
      </c>
      <c r="M23" s="50">
        <v>17280.0</v>
      </c>
      <c r="N23" s="49">
        <f t="shared" si="24"/>
        <v>639360</v>
      </c>
      <c r="O23" s="80">
        <f t="shared" si="18"/>
        <v>20</v>
      </c>
      <c r="P23" s="255" t="s">
        <v>32</v>
      </c>
      <c r="Q23" s="251">
        <f>N180</f>
        <v>5562920</v>
      </c>
      <c r="R23" s="251">
        <f t="shared" si="16"/>
        <v>5562920</v>
      </c>
    </row>
    <row r="24">
      <c r="A24" s="35">
        <v>46044.0</v>
      </c>
      <c r="B24" s="46" t="s">
        <v>13</v>
      </c>
      <c r="C24" s="37">
        <v>179736.0</v>
      </c>
      <c r="D24" s="37">
        <v>180074.0</v>
      </c>
      <c r="E24" s="12">
        <f t="shared" si="19"/>
        <v>338</v>
      </c>
      <c r="F24" s="47">
        <v>44.0</v>
      </c>
      <c r="G24" s="14">
        <f t="shared" si="20"/>
        <v>13.01775148</v>
      </c>
      <c r="H24" s="40">
        <v>31330.0</v>
      </c>
      <c r="I24" s="40">
        <v>31579.0</v>
      </c>
      <c r="J24" s="37">
        <f t="shared" si="21"/>
        <v>249</v>
      </c>
      <c r="K24" s="52">
        <f t="shared" si="22"/>
        <v>44</v>
      </c>
      <c r="L24" s="48">
        <f t="shared" si="23"/>
        <v>17.67068273</v>
      </c>
      <c r="M24" s="50">
        <v>17700.0</v>
      </c>
      <c r="N24" s="49">
        <f t="shared" si="24"/>
        <v>778800</v>
      </c>
      <c r="O24" s="80">
        <f t="shared" si="18"/>
        <v>21</v>
      </c>
      <c r="P24" s="255" t="s">
        <v>33</v>
      </c>
      <c r="Q24" s="251">
        <f>N188</f>
        <v>5767890</v>
      </c>
      <c r="R24" s="251">
        <f t="shared" si="16"/>
        <v>5767890</v>
      </c>
    </row>
    <row r="25">
      <c r="A25" s="35">
        <v>46049.0</v>
      </c>
      <c r="B25" s="46" t="s">
        <v>13</v>
      </c>
      <c r="C25" s="37">
        <v>180074.0</v>
      </c>
      <c r="D25" s="37">
        <v>180400.0</v>
      </c>
      <c r="E25" s="12">
        <f t="shared" si="19"/>
        <v>326</v>
      </c>
      <c r="F25" s="47">
        <v>42.0</v>
      </c>
      <c r="G25" s="14">
        <f t="shared" si="20"/>
        <v>12.88343558</v>
      </c>
      <c r="H25" s="262">
        <v>31579.0</v>
      </c>
      <c r="I25" s="262">
        <v>31949.0</v>
      </c>
      <c r="J25" s="37">
        <f t="shared" si="21"/>
        <v>370</v>
      </c>
      <c r="K25" s="52">
        <f t="shared" si="22"/>
        <v>42</v>
      </c>
      <c r="L25" s="48">
        <f t="shared" si="23"/>
        <v>11.35135135</v>
      </c>
      <c r="M25" s="50">
        <v>17700.0</v>
      </c>
      <c r="N25" s="49">
        <f t="shared" si="24"/>
        <v>743400</v>
      </c>
      <c r="O25" s="80">
        <f t="shared" si="18"/>
        <v>22</v>
      </c>
      <c r="P25" s="255" t="s">
        <v>34</v>
      </c>
      <c r="Q25" s="251">
        <f>N196</f>
        <v>4617570</v>
      </c>
      <c r="R25" s="251">
        <f t="shared" si="16"/>
        <v>4617570</v>
      </c>
    </row>
    <row r="26">
      <c r="A26" s="35">
        <v>46051.0</v>
      </c>
      <c r="B26" s="46" t="s">
        <v>13</v>
      </c>
      <c r="C26" s="37">
        <v>180400.0</v>
      </c>
      <c r="D26" s="37">
        <v>180734.0</v>
      </c>
      <c r="E26" s="12">
        <f t="shared" si="19"/>
        <v>334</v>
      </c>
      <c r="F26" s="47">
        <v>44.0</v>
      </c>
      <c r="G26" s="14">
        <f t="shared" si="20"/>
        <v>13.17365269</v>
      </c>
      <c r="H26" s="262">
        <v>31949.0</v>
      </c>
      <c r="I26" s="40">
        <v>32358.0</v>
      </c>
      <c r="J26" s="37">
        <f t="shared" si="21"/>
        <v>409</v>
      </c>
      <c r="K26" s="52">
        <f t="shared" si="22"/>
        <v>44</v>
      </c>
      <c r="L26" s="48">
        <f t="shared" si="23"/>
        <v>10.75794621</v>
      </c>
      <c r="M26" s="50">
        <v>17700.0</v>
      </c>
      <c r="N26" s="49">
        <f t="shared" si="24"/>
        <v>778800</v>
      </c>
      <c r="O26" s="80">
        <f t="shared" si="18"/>
        <v>23</v>
      </c>
      <c r="R26" s="80" t="str">
        <f t="shared" si="16"/>
        <v/>
      </c>
    </row>
    <row r="27">
      <c r="A27" s="35"/>
      <c r="B27" s="46" t="s">
        <v>13</v>
      </c>
      <c r="C27" s="37"/>
      <c r="D27" s="37"/>
      <c r="E27" s="12">
        <f t="shared" si="19"/>
        <v>0</v>
      </c>
      <c r="F27" s="47"/>
      <c r="G27" s="14" t="str">
        <f t="shared" si="20"/>
        <v>#DIV/0!</v>
      </c>
      <c r="H27" s="40"/>
      <c r="I27" s="40"/>
      <c r="J27" s="37">
        <f t="shared" si="21"/>
        <v>0</v>
      </c>
      <c r="K27" s="52" t="str">
        <f t="shared" si="22"/>
        <v/>
      </c>
      <c r="L27" s="48" t="str">
        <f t="shared" si="23"/>
        <v>#DIV/0!</v>
      </c>
      <c r="M27" s="50"/>
      <c r="N27" s="49">
        <f t="shared" si="24"/>
        <v>0</v>
      </c>
      <c r="O27" s="80">
        <f t="shared" si="18"/>
        <v>24</v>
      </c>
      <c r="R27" s="80" t="str">
        <f t="shared" si="16"/>
        <v/>
      </c>
    </row>
    <row r="28">
      <c r="A28" s="74"/>
      <c r="B28" s="46" t="s">
        <v>13</v>
      </c>
      <c r="C28" s="37"/>
      <c r="D28" s="75"/>
      <c r="E28" s="12">
        <f t="shared" si="19"/>
        <v>0</v>
      </c>
      <c r="F28" s="47"/>
      <c r="G28" s="56" t="str">
        <f t="shared" si="20"/>
        <v>#DIV/0!</v>
      </c>
      <c r="H28" s="40"/>
      <c r="I28" s="76"/>
      <c r="J28" s="55">
        <f t="shared" si="21"/>
        <v>0</v>
      </c>
      <c r="K28" s="52" t="str">
        <f t="shared" si="22"/>
        <v/>
      </c>
      <c r="L28" s="77" t="str">
        <f t="shared" si="23"/>
        <v>#DIV/0!</v>
      </c>
      <c r="M28" s="78"/>
      <c r="N28" s="59">
        <f t="shared" si="24"/>
        <v>0</v>
      </c>
      <c r="O28" s="80">
        <f t="shared" si="18"/>
        <v>25</v>
      </c>
      <c r="R28" s="80" t="str">
        <f t="shared" si="16"/>
        <v/>
      </c>
    </row>
    <row r="29">
      <c r="A29" s="62"/>
      <c r="B29" s="63"/>
      <c r="C29" s="62"/>
      <c r="D29" s="64" t="s">
        <v>19</v>
      </c>
      <c r="E29" s="64">
        <f>sum(E20:E26)</f>
        <v>2364</v>
      </c>
      <c r="F29" s="64">
        <f>sum(F20:F28)</f>
        <v>311</v>
      </c>
      <c r="G29" s="65">
        <f>average(G20:G26)</f>
        <v>13.16884634</v>
      </c>
      <c r="H29" s="62"/>
      <c r="I29" s="66"/>
      <c r="J29" s="64">
        <f t="shared" ref="J29:K29" si="25">sum(J20:J26)</f>
        <v>2658</v>
      </c>
      <c r="K29" s="64">
        <f t="shared" si="25"/>
        <v>311</v>
      </c>
      <c r="L29" s="65">
        <f>average(L20:L26)</f>
        <v>12.05896223</v>
      </c>
      <c r="M29" s="68"/>
      <c r="N29" s="69">
        <f>sum(N20:N28)</f>
        <v>5406690</v>
      </c>
      <c r="P29" s="256" t="s">
        <v>19</v>
      </c>
      <c r="Q29" s="251">
        <f>SUM(Q4:Q25)</f>
        <v>127724080</v>
      </c>
      <c r="R29" s="251"/>
    </row>
    <row r="30">
      <c r="A30" s="70">
        <v>46025.0</v>
      </c>
      <c r="B30" s="36" t="s">
        <v>14</v>
      </c>
      <c r="C30" s="37">
        <v>181382.0</v>
      </c>
      <c r="D30" s="37">
        <v>181689.0</v>
      </c>
      <c r="E30" s="38">
        <f t="shared" ref="E30:E37" si="26">D30-C30</f>
        <v>307</v>
      </c>
      <c r="F30" s="39">
        <v>40.0</v>
      </c>
      <c r="G30" s="14">
        <f t="shared" ref="G30:G37" si="27">(F30/E30)*100</f>
        <v>13.02931596</v>
      </c>
      <c r="H30" s="40">
        <v>21272.0</v>
      </c>
      <c r="I30" s="40">
        <v>21730.0</v>
      </c>
      <c r="J30" s="41">
        <f t="shared" ref="J30:J37" si="28">I30-H30</f>
        <v>458</v>
      </c>
      <c r="K30" s="52">
        <f t="shared" ref="K30:K37" si="29">F30</f>
        <v>40</v>
      </c>
      <c r="L30" s="71">
        <f t="shared" ref="L30:L37" si="30">(K30/J30)*100</f>
        <v>8.733624454</v>
      </c>
      <c r="M30" s="72">
        <v>17250.0</v>
      </c>
      <c r="N30" s="44">
        <f t="shared" ref="N30:N37" si="31">F30*M30</f>
        <v>690000</v>
      </c>
      <c r="R30" s="80" t="str">
        <f t="shared" ref="R30:R44" si="32">Q30</f>
        <v/>
      </c>
    </row>
    <row r="31">
      <c r="A31" s="35">
        <v>46029.0</v>
      </c>
      <c r="B31" s="46" t="s">
        <v>14</v>
      </c>
      <c r="C31" s="37">
        <v>181689.0</v>
      </c>
      <c r="D31" s="37">
        <v>182022.0</v>
      </c>
      <c r="E31" s="12">
        <f t="shared" si="26"/>
        <v>333</v>
      </c>
      <c r="F31" s="47">
        <v>40.0</v>
      </c>
      <c r="G31" s="14">
        <f t="shared" si="27"/>
        <v>12.01201201</v>
      </c>
      <c r="H31" s="40">
        <v>21730.0</v>
      </c>
      <c r="I31" s="40">
        <v>21988.0</v>
      </c>
      <c r="J31" s="37">
        <f t="shared" si="28"/>
        <v>258</v>
      </c>
      <c r="K31" s="52">
        <f t="shared" si="29"/>
        <v>40</v>
      </c>
      <c r="L31" s="48">
        <f t="shared" si="30"/>
        <v>15.50387597</v>
      </c>
      <c r="M31" s="72">
        <v>17250.0</v>
      </c>
      <c r="N31" s="49">
        <f t="shared" si="31"/>
        <v>690000</v>
      </c>
      <c r="R31" s="80" t="str">
        <f t="shared" si="32"/>
        <v/>
      </c>
    </row>
    <row r="32">
      <c r="A32" s="35">
        <v>46032.0</v>
      </c>
      <c r="B32" s="36" t="s">
        <v>14</v>
      </c>
      <c r="C32" s="37">
        <v>182022.0</v>
      </c>
      <c r="D32" s="37">
        <v>182323.0</v>
      </c>
      <c r="E32" s="12">
        <f t="shared" si="26"/>
        <v>301</v>
      </c>
      <c r="F32" s="47">
        <v>40.0</v>
      </c>
      <c r="G32" s="14">
        <f t="shared" si="27"/>
        <v>13.28903654</v>
      </c>
      <c r="H32" s="40">
        <v>21988.0</v>
      </c>
      <c r="I32" s="40">
        <v>22339.0</v>
      </c>
      <c r="J32" s="37">
        <f t="shared" si="28"/>
        <v>351</v>
      </c>
      <c r="K32" s="52">
        <f t="shared" si="29"/>
        <v>40</v>
      </c>
      <c r="L32" s="48">
        <f t="shared" si="30"/>
        <v>11.3960114</v>
      </c>
      <c r="M32" s="72">
        <v>17060.0</v>
      </c>
      <c r="N32" s="49">
        <f t="shared" si="31"/>
        <v>682400</v>
      </c>
      <c r="R32" s="80" t="str">
        <f t="shared" si="32"/>
        <v/>
      </c>
    </row>
    <row r="33">
      <c r="A33" s="35">
        <v>46037.0</v>
      </c>
      <c r="B33" s="46" t="s">
        <v>14</v>
      </c>
      <c r="C33" s="37">
        <v>182323.0</v>
      </c>
      <c r="D33" s="37">
        <v>182649.0</v>
      </c>
      <c r="E33" s="12">
        <f t="shared" si="26"/>
        <v>326</v>
      </c>
      <c r="F33" s="47">
        <v>40.0</v>
      </c>
      <c r="G33" s="14">
        <f t="shared" si="27"/>
        <v>12.26993865</v>
      </c>
      <c r="H33" s="40">
        <v>22339.0</v>
      </c>
      <c r="I33" s="40">
        <v>22691.0</v>
      </c>
      <c r="J33" s="37">
        <f t="shared" si="28"/>
        <v>352</v>
      </c>
      <c r="K33" s="52">
        <f t="shared" si="29"/>
        <v>40</v>
      </c>
      <c r="L33" s="48">
        <f t="shared" si="30"/>
        <v>11.36363636</v>
      </c>
      <c r="M33" s="72">
        <v>17060.0</v>
      </c>
      <c r="N33" s="49">
        <f t="shared" si="31"/>
        <v>682400</v>
      </c>
      <c r="R33" s="80" t="str">
        <f t="shared" si="32"/>
        <v/>
      </c>
    </row>
    <row r="34">
      <c r="A34" s="35">
        <v>46042.0</v>
      </c>
      <c r="B34" s="46" t="s">
        <v>14</v>
      </c>
      <c r="C34" s="37">
        <v>182649.0</v>
      </c>
      <c r="D34" s="37">
        <v>182988.0</v>
      </c>
      <c r="E34" s="12">
        <f t="shared" si="26"/>
        <v>339</v>
      </c>
      <c r="F34" s="47">
        <v>40.0</v>
      </c>
      <c r="G34" s="14">
        <f t="shared" si="27"/>
        <v>11.79941003</v>
      </c>
      <c r="H34" s="40">
        <v>22691.0</v>
      </c>
      <c r="I34" s="40">
        <v>23087.0</v>
      </c>
      <c r="J34" s="37">
        <f t="shared" si="28"/>
        <v>396</v>
      </c>
      <c r="K34" s="52">
        <f t="shared" si="29"/>
        <v>40</v>
      </c>
      <c r="L34" s="48">
        <f t="shared" si="30"/>
        <v>10.1010101</v>
      </c>
      <c r="M34" s="50">
        <v>17280.0</v>
      </c>
      <c r="N34" s="49">
        <f t="shared" si="31"/>
        <v>691200</v>
      </c>
      <c r="R34" s="80" t="str">
        <f t="shared" si="32"/>
        <v/>
      </c>
    </row>
    <row r="35">
      <c r="A35" s="35">
        <v>46045.0</v>
      </c>
      <c r="B35" s="46" t="s">
        <v>14</v>
      </c>
      <c r="C35" s="37">
        <v>182988.0</v>
      </c>
      <c r="D35" s="37">
        <v>183285.0</v>
      </c>
      <c r="E35" s="12">
        <f t="shared" si="26"/>
        <v>297</v>
      </c>
      <c r="F35" s="47">
        <v>40.0</v>
      </c>
      <c r="G35" s="14">
        <f t="shared" si="27"/>
        <v>13.46801347</v>
      </c>
      <c r="H35" s="40">
        <v>23087.0</v>
      </c>
      <c r="I35" s="40">
        <v>23450.0</v>
      </c>
      <c r="J35" s="37">
        <f t="shared" si="28"/>
        <v>363</v>
      </c>
      <c r="K35" s="52">
        <f t="shared" si="29"/>
        <v>40</v>
      </c>
      <c r="L35" s="48">
        <f t="shared" si="30"/>
        <v>11.01928375</v>
      </c>
      <c r="M35" s="50">
        <v>17700.0</v>
      </c>
      <c r="N35" s="49">
        <f t="shared" si="31"/>
        <v>708000</v>
      </c>
      <c r="R35" s="80" t="str">
        <f t="shared" si="32"/>
        <v/>
      </c>
    </row>
    <row r="36">
      <c r="A36" s="35">
        <v>46050.0</v>
      </c>
      <c r="B36" s="46" t="s">
        <v>14</v>
      </c>
      <c r="C36" s="37">
        <v>183285.0</v>
      </c>
      <c r="D36" s="37">
        <v>183607.0</v>
      </c>
      <c r="E36" s="12">
        <f t="shared" si="26"/>
        <v>322</v>
      </c>
      <c r="F36" s="47">
        <v>40.0</v>
      </c>
      <c r="G36" s="14">
        <f t="shared" si="27"/>
        <v>12.42236025</v>
      </c>
      <c r="H36" s="40">
        <v>23450.0</v>
      </c>
      <c r="I36" s="40">
        <v>23766.0</v>
      </c>
      <c r="J36" s="37">
        <f t="shared" si="28"/>
        <v>316</v>
      </c>
      <c r="K36" s="52">
        <f t="shared" si="29"/>
        <v>40</v>
      </c>
      <c r="L36" s="48">
        <f t="shared" si="30"/>
        <v>12.65822785</v>
      </c>
      <c r="M36" s="50">
        <v>17700.0</v>
      </c>
      <c r="N36" s="49">
        <f t="shared" si="31"/>
        <v>708000</v>
      </c>
      <c r="R36" s="80" t="str">
        <f t="shared" si="32"/>
        <v/>
      </c>
    </row>
    <row r="37">
      <c r="A37" s="35">
        <v>46053.0</v>
      </c>
      <c r="B37" s="46" t="s">
        <v>14</v>
      </c>
      <c r="C37" s="37">
        <v>183607.0</v>
      </c>
      <c r="D37" s="55">
        <v>183971.0</v>
      </c>
      <c r="E37" s="12">
        <f t="shared" si="26"/>
        <v>364</v>
      </c>
      <c r="F37" s="47">
        <v>50.0</v>
      </c>
      <c r="G37" s="56">
        <f t="shared" si="27"/>
        <v>13.73626374</v>
      </c>
      <c r="H37" s="40">
        <v>23766.0</v>
      </c>
      <c r="I37" s="57">
        <v>24176.0</v>
      </c>
      <c r="J37" s="55">
        <f t="shared" si="28"/>
        <v>410</v>
      </c>
      <c r="K37" s="52">
        <f t="shared" si="29"/>
        <v>50</v>
      </c>
      <c r="L37" s="77">
        <f t="shared" si="30"/>
        <v>12.19512195</v>
      </c>
      <c r="M37" s="50">
        <v>18170.0</v>
      </c>
      <c r="N37" s="59">
        <f t="shared" si="31"/>
        <v>908500</v>
      </c>
      <c r="R37" s="80" t="str">
        <f t="shared" si="32"/>
        <v/>
      </c>
    </row>
    <row r="38">
      <c r="A38" s="62"/>
      <c r="B38" s="63"/>
      <c r="C38" s="62"/>
      <c r="D38" s="64" t="s">
        <v>19</v>
      </c>
      <c r="E38" s="64">
        <f>sum(E30:E37)</f>
        <v>2589</v>
      </c>
      <c r="F38" s="39"/>
      <c r="G38" s="65">
        <f>average(G30:G37)</f>
        <v>12.75329383</v>
      </c>
      <c r="H38" s="62"/>
      <c r="I38" s="66"/>
      <c r="J38" s="64">
        <f t="shared" ref="J38:K38" si="33">sum(J30:J37)</f>
        <v>2904</v>
      </c>
      <c r="K38" s="64">
        <f t="shared" si="33"/>
        <v>330</v>
      </c>
      <c r="L38" s="65">
        <f>average(L30:L37)</f>
        <v>11.62134898</v>
      </c>
      <c r="M38" s="68"/>
      <c r="N38" s="69">
        <f>sum(N30:N37)</f>
        <v>5760500</v>
      </c>
      <c r="R38" s="80" t="str">
        <f t="shared" si="32"/>
        <v/>
      </c>
    </row>
    <row r="39">
      <c r="A39" s="70">
        <v>46027.0</v>
      </c>
      <c r="B39" s="36" t="s">
        <v>15</v>
      </c>
      <c r="C39" s="55">
        <v>168991.0</v>
      </c>
      <c r="D39" s="37">
        <v>169313.0</v>
      </c>
      <c r="E39" s="38">
        <f t="shared" ref="E39:E47" si="34">D39-C39</f>
        <v>322</v>
      </c>
      <c r="F39" s="39">
        <v>35.0</v>
      </c>
      <c r="G39" s="14">
        <f t="shared" ref="G39:G47" si="35">(F39/E39)*100</f>
        <v>10.86956522</v>
      </c>
      <c r="H39" s="57">
        <v>28064.0</v>
      </c>
      <c r="I39" s="40">
        <v>28500.0</v>
      </c>
      <c r="J39" s="41">
        <f t="shared" ref="J39:J47" si="36">I39-H39</f>
        <v>436</v>
      </c>
      <c r="K39" s="81">
        <f t="shared" ref="K39:K47" si="37">F39</f>
        <v>35</v>
      </c>
      <c r="L39" s="71">
        <f t="shared" ref="L39:L47" si="38">(K39/J39)*100</f>
        <v>8.027522936</v>
      </c>
      <c r="M39" s="55">
        <v>17250.0</v>
      </c>
      <c r="N39" s="44">
        <f t="shared" ref="N39:N47" si="39">F39*M39</f>
        <v>603750</v>
      </c>
      <c r="R39" s="80" t="str">
        <f t="shared" si="32"/>
        <v/>
      </c>
    </row>
    <row r="40">
      <c r="A40" s="35">
        <v>46029.0</v>
      </c>
      <c r="B40" s="46" t="s">
        <v>15</v>
      </c>
      <c r="C40" s="37">
        <v>169313.0</v>
      </c>
      <c r="D40" s="37">
        <v>169652.0</v>
      </c>
      <c r="E40" s="12">
        <f t="shared" si="34"/>
        <v>339</v>
      </c>
      <c r="F40" s="47">
        <v>42.0</v>
      </c>
      <c r="G40" s="14">
        <f t="shared" si="35"/>
        <v>12.38938053</v>
      </c>
      <c r="H40" s="40">
        <v>28500.0</v>
      </c>
      <c r="I40" s="40">
        <v>28751.0</v>
      </c>
      <c r="J40" s="37">
        <f t="shared" si="36"/>
        <v>251</v>
      </c>
      <c r="K40" s="52">
        <f t="shared" si="37"/>
        <v>42</v>
      </c>
      <c r="L40" s="48">
        <f t="shared" si="38"/>
        <v>16.73306773</v>
      </c>
      <c r="M40" s="55">
        <v>17250.0</v>
      </c>
      <c r="N40" s="49">
        <f t="shared" si="39"/>
        <v>724500</v>
      </c>
      <c r="P40" s="82"/>
      <c r="R40" s="80" t="str">
        <f t="shared" si="32"/>
        <v/>
      </c>
    </row>
    <row r="41">
      <c r="A41" s="35">
        <v>46032.0</v>
      </c>
      <c r="B41" s="46" t="s">
        <v>15</v>
      </c>
      <c r="C41" s="37">
        <v>169652.0</v>
      </c>
      <c r="D41" s="37">
        <v>169956.0</v>
      </c>
      <c r="E41" s="12">
        <f t="shared" si="34"/>
        <v>304</v>
      </c>
      <c r="F41" s="47">
        <v>38.0</v>
      </c>
      <c r="G41" s="14">
        <f t="shared" si="35"/>
        <v>12.5</v>
      </c>
      <c r="H41" s="40">
        <v>28751.0</v>
      </c>
      <c r="I41" s="40">
        <v>29023.0</v>
      </c>
      <c r="J41" s="37">
        <f t="shared" si="36"/>
        <v>272</v>
      </c>
      <c r="K41" s="52">
        <f t="shared" si="37"/>
        <v>38</v>
      </c>
      <c r="L41" s="48">
        <f t="shared" si="38"/>
        <v>13.97058824</v>
      </c>
      <c r="M41" s="50">
        <v>17060.0</v>
      </c>
      <c r="N41" s="49">
        <f t="shared" si="39"/>
        <v>648280</v>
      </c>
      <c r="R41" s="80" t="str">
        <f t="shared" si="32"/>
        <v/>
      </c>
    </row>
    <row r="42">
      <c r="A42" s="35">
        <v>46037.0</v>
      </c>
      <c r="B42" s="46" t="s">
        <v>15</v>
      </c>
      <c r="C42" s="37">
        <v>169956.0</v>
      </c>
      <c r="D42" s="37">
        <v>170235.0</v>
      </c>
      <c r="E42" s="12">
        <f t="shared" si="34"/>
        <v>279</v>
      </c>
      <c r="F42" s="47">
        <v>31.0</v>
      </c>
      <c r="G42" s="14">
        <f t="shared" si="35"/>
        <v>11.11111111</v>
      </c>
      <c r="H42" s="40">
        <v>29023.0</v>
      </c>
      <c r="I42" s="40">
        <v>29331.0</v>
      </c>
      <c r="J42" s="37">
        <f t="shared" si="36"/>
        <v>308</v>
      </c>
      <c r="K42" s="52">
        <f t="shared" si="37"/>
        <v>31</v>
      </c>
      <c r="L42" s="48">
        <f t="shared" si="38"/>
        <v>10.06493506</v>
      </c>
      <c r="M42" s="50">
        <v>17060.0</v>
      </c>
      <c r="N42" s="49">
        <f t="shared" si="39"/>
        <v>528860</v>
      </c>
      <c r="R42" s="80" t="str">
        <f t="shared" si="32"/>
        <v/>
      </c>
    </row>
    <row r="43">
      <c r="A43" s="35">
        <v>46041.0</v>
      </c>
      <c r="B43" s="46" t="s">
        <v>15</v>
      </c>
      <c r="C43" s="37">
        <v>170235.0</v>
      </c>
      <c r="D43" s="37">
        <v>170551.0</v>
      </c>
      <c r="E43" s="12">
        <f t="shared" si="34"/>
        <v>316</v>
      </c>
      <c r="F43" s="47">
        <v>42.0</v>
      </c>
      <c r="G43" s="14">
        <f t="shared" si="35"/>
        <v>13.29113924</v>
      </c>
      <c r="H43" s="40">
        <v>29331.0</v>
      </c>
      <c r="I43" s="40">
        <v>29616.0</v>
      </c>
      <c r="J43" s="37">
        <f t="shared" si="36"/>
        <v>285</v>
      </c>
      <c r="K43" s="52">
        <f t="shared" si="37"/>
        <v>42</v>
      </c>
      <c r="L43" s="48">
        <f t="shared" si="38"/>
        <v>14.73684211</v>
      </c>
      <c r="M43" s="50">
        <v>17280.0</v>
      </c>
      <c r="N43" s="49">
        <f t="shared" si="39"/>
        <v>725760</v>
      </c>
      <c r="R43" s="80" t="str">
        <f t="shared" si="32"/>
        <v/>
      </c>
    </row>
    <row r="44">
      <c r="A44" s="35">
        <v>46045.0</v>
      </c>
      <c r="B44" s="46" t="s">
        <v>15</v>
      </c>
      <c r="C44" s="37">
        <v>170551.0</v>
      </c>
      <c r="D44" s="37">
        <v>170864.0</v>
      </c>
      <c r="E44" s="12">
        <f t="shared" si="34"/>
        <v>313</v>
      </c>
      <c r="F44" s="47">
        <v>37.0</v>
      </c>
      <c r="G44" s="14">
        <f t="shared" si="35"/>
        <v>11.82108626</v>
      </c>
      <c r="H44" s="40">
        <v>29616.0</v>
      </c>
      <c r="I44" s="40">
        <v>30000.0</v>
      </c>
      <c r="J44" s="37">
        <f t="shared" si="36"/>
        <v>384</v>
      </c>
      <c r="K44" s="52">
        <f t="shared" si="37"/>
        <v>37</v>
      </c>
      <c r="L44" s="48">
        <f t="shared" si="38"/>
        <v>9.635416667</v>
      </c>
      <c r="M44" s="50">
        <v>17700.0</v>
      </c>
      <c r="N44" s="49">
        <f t="shared" si="39"/>
        <v>654900</v>
      </c>
      <c r="R44" s="80" t="str">
        <f t="shared" si="32"/>
        <v/>
      </c>
    </row>
    <row r="45">
      <c r="A45" s="35">
        <v>46049.0</v>
      </c>
      <c r="B45" s="46" t="s">
        <v>15</v>
      </c>
      <c r="C45" s="37">
        <v>170864.0</v>
      </c>
      <c r="D45" s="37">
        <v>171188.0</v>
      </c>
      <c r="E45" s="12">
        <f t="shared" si="34"/>
        <v>324</v>
      </c>
      <c r="F45" s="47">
        <v>32.0</v>
      </c>
      <c r="G45" s="14">
        <f t="shared" si="35"/>
        <v>9.87654321</v>
      </c>
      <c r="H45" s="40">
        <v>30000.0</v>
      </c>
      <c r="I45" s="40">
        <v>30340.0</v>
      </c>
      <c r="J45" s="37">
        <f t="shared" si="36"/>
        <v>340</v>
      </c>
      <c r="K45" s="52">
        <f t="shared" si="37"/>
        <v>32</v>
      </c>
      <c r="L45" s="48">
        <f t="shared" si="38"/>
        <v>9.411764706</v>
      </c>
      <c r="M45" s="50">
        <v>17700.0</v>
      </c>
      <c r="N45" s="49">
        <f t="shared" si="39"/>
        <v>566400</v>
      </c>
    </row>
    <row r="46">
      <c r="A46" s="35">
        <v>46052.0</v>
      </c>
      <c r="B46" s="46" t="s">
        <v>15</v>
      </c>
      <c r="C46" s="37">
        <v>171188.0</v>
      </c>
      <c r="D46" s="37">
        <v>171480.0</v>
      </c>
      <c r="E46" s="12">
        <f t="shared" si="34"/>
        <v>292</v>
      </c>
      <c r="F46" s="47">
        <v>40.0</v>
      </c>
      <c r="G46" s="14">
        <f t="shared" si="35"/>
        <v>13.69863014</v>
      </c>
      <c r="H46" s="40">
        <v>30340.0</v>
      </c>
      <c r="I46" s="40">
        <v>30580.0</v>
      </c>
      <c r="J46" s="37">
        <f t="shared" si="36"/>
        <v>240</v>
      </c>
      <c r="K46" s="52">
        <f t="shared" si="37"/>
        <v>40</v>
      </c>
      <c r="L46" s="48">
        <f t="shared" si="38"/>
        <v>16.66666667</v>
      </c>
      <c r="M46" s="50">
        <v>18170.0</v>
      </c>
      <c r="N46" s="49">
        <f t="shared" si="39"/>
        <v>726800</v>
      </c>
    </row>
    <row r="47">
      <c r="A47" s="35"/>
      <c r="B47" s="83" t="s">
        <v>15</v>
      </c>
      <c r="C47" s="37"/>
      <c r="D47" s="55"/>
      <c r="E47" s="25">
        <f t="shared" si="34"/>
        <v>0</v>
      </c>
      <c r="F47" s="47"/>
      <c r="G47" s="56" t="str">
        <f t="shared" si="35"/>
        <v>#DIV/0!</v>
      </c>
      <c r="H47" s="40"/>
      <c r="I47" s="57"/>
      <c r="J47" s="55">
        <f t="shared" si="36"/>
        <v>0</v>
      </c>
      <c r="K47" s="52" t="str">
        <f t="shared" si="37"/>
        <v/>
      </c>
      <c r="L47" s="77" t="str">
        <f t="shared" si="38"/>
        <v>#DIV/0!</v>
      </c>
      <c r="M47" s="50"/>
      <c r="N47" s="59">
        <f t="shared" si="39"/>
        <v>0</v>
      </c>
      <c r="R47" s="80" t="str">
        <f t="shared" ref="R47:R56" si="42">Q47</f>
        <v/>
      </c>
    </row>
    <row r="48">
      <c r="A48" s="62"/>
      <c r="B48" s="63"/>
      <c r="C48" s="62"/>
      <c r="D48" s="64" t="s">
        <v>19</v>
      </c>
      <c r="E48" s="64">
        <f t="shared" ref="E48:F48" si="40">sum(E39:E47)</f>
        <v>2489</v>
      </c>
      <c r="F48" s="64">
        <f t="shared" si="40"/>
        <v>297</v>
      </c>
      <c r="G48" s="65" t="str">
        <f>average(G39:G47)</f>
        <v>#DIV/0!</v>
      </c>
      <c r="H48" s="62"/>
      <c r="I48" s="66"/>
      <c r="J48" s="64">
        <f t="shared" ref="J48:K48" si="41">sum(J39:J47)</f>
        <v>2516</v>
      </c>
      <c r="K48" s="64">
        <f t="shared" si="41"/>
        <v>297</v>
      </c>
      <c r="L48" s="65" t="str">
        <f>average(L39:L47)</f>
        <v>#DIV/0!</v>
      </c>
      <c r="M48" s="68"/>
      <c r="N48" s="69">
        <f>sum(N39:N47)</f>
        <v>5179250</v>
      </c>
      <c r="R48" s="80" t="str">
        <f t="shared" si="42"/>
        <v/>
      </c>
    </row>
    <row r="49">
      <c r="A49" s="70">
        <v>46024.0</v>
      </c>
      <c r="B49" s="36" t="s">
        <v>16</v>
      </c>
      <c r="C49" s="37">
        <v>145148.0</v>
      </c>
      <c r="D49" s="37">
        <v>145418.0</v>
      </c>
      <c r="E49" s="38">
        <f t="shared" ref="E49:E59" si="43">D49-C49</f>
        <v>270</v>
      </c>
      <c r="F49" s="39">
        <v>38.0</v>
      </c>
      <c r="G49" s="14">
        <f t="shared" ref="G49:G59" si="44">(F49/E49)*100</f>
        <v>14.07407407</v>
      </c>
      <c r="H49" s="40">
        <v>29646.0</v>
      </c>
      <c r="I49" s="40">
        <v>29955.0</v>
      </c>
      <c r="J49" s="41">
        <f t="shared" ref="J49:J59" si="45">I49-H49</f>
        <v>309</v>
      </c>
      <c r="K49" s="81">
        <f t="shared" ref="K49:K59" si="46">F49</f>
        <v>38</v>
      </c>
      <c r="L49" s="71">
        <f t="shared" ref="L49:L59" si="47">(K49/J49)*100</f>
        <v>12.29773463</v>
      </c>
      <c r="M49" s="72">
        <v>17250.0</v>
      </c>
      <c r="N49" s="44">
        <f t="shared" ref="N49:N59" si="48">F49*M49</f>
        <v>655500</v>
      </c>
      <c r="R49" s="80" t="str">
        <f t="shared" si="42"/>
        <v/>
      </c>
    </row>
    <row r="50">
      <c r="A50" s="84">
        <v>46029.0</v>
      </c>
      <c r="B50" s="46" t="s">
        <v>16</v>
      </c>
      <c r="C50" s="37">
        <v>145418.0</v>
      </c>
      <c r="D50" s="37">
        <v>145764.0</v>
      </c>
      <c r="E50" s="12">
        <f t="shared" si="43"/>
        <v>346</v>
      </c>
      <c r="F50" s="47">
        <v>45.0</v>
      </c>
      <c r="G50" s="14">
        <f t="shared" si="44"/>
        <v>13.00578035</v>
      </c>
      <c r="H50" s="40">
        <v>29955.0</v>
      </c>
      <c r="I50" s="40">
        <v>30311.0</v>
      </c>
      <c r="J50" s="37">
        <f t="shared" si="45"/>
        <v>356</v>
      </c>
      <c r="K50" s="52">
        <f t="shared" si="46"/>
        <v>45</v>
      </c>
      <c r="L50" s="48">
        <f t="shared" si="47"/>
        <v>12.64044944</v>
      </c>
      <c r="M50" s="50">
        <v>17250.0</v>
      </c>
      <c r="N50" s="49">
        <f t="shared" si="48"/>
        <v>776250</v>
      </c>
      <c r="R50" s="80" t="str">
        <f t="shared" si="42"/>
        <v/>
      </c>
    </row>
    <row r="51">
      <c r="A51" s="84">
        <v>46034.0</v>
      </c>
      <c r="B51" s="46" t="s">
        <v>16</v>
      </c>
      <c r="C51" s="37">
        <v>145764.0</v>
      </c>
      <c r="D51" s="37">
        <v>146027.0</v>
      </c>
      <c r="E51" s="12">
        <f t="shared" si="43"/>
        <v>263</v>
      </c>
      <c r="F51" s="47">
        <v>37.0</v>
      </c>
      <c r="G51" s="14">
        <f t="shared" si="44"/>
        <v>14.06844106</v>
      </c>
      <c r="H51" s="40">
        <v>30311.0</v>
      </c>
      <c r="I51" s="40">
        <v>30612.0</v>
      </c>
      <c r="J51" s="37">
        <f t="shared" si="45"/>
        <v>301</v>
      </c>
      <c r="K51" s="52">
        <f t="shared" si="46"/>
        <v>37</v>
      </c>
      <c r="L51" s="48">
        <f t="shared" si="47"/>
        <v>12.2923588</v>
      </c>
      <c r="M51" s="50">
        <v>17060.0</v>
      </c>
      <c r="N51" s="49">
        <f t="shared" si="48"/>
        <v>631220</v>
      </c>
      <c r="R51" s="80" t="str">
        <f t="shared" si="42"/>
        <v/>
      </c>
    </row>
    <row r="52">
      <c r="A52" s="84">
        <v>46036.0</v>
      </c>
      <c r="B52" s="46" t="s">
        <v>16</v>
      </c>
      <c r="C52" s="37">
        <v>146027.0</v>
      </c>
      <c r="D52" s="37">
        <v>146331.0</v>
      </c>
      <c r="E52" s="12">
        <f t="shared" si="43"/>
        <v>304</v>
      </c>
      <c r="F52" s="47">
        <v>36.0</v>
      </c>
      <c r="G52" s="14">
        <f t="shared" si="44"/>
        <v>11.84210526</v>
      </c>
      <c r="H52" s="40">
        <v>30612.0</v>
      </c>
      <c r="I52" s="40">
        <v>31035.0</v>
      </c>
      <c r="J52" s="37">
        <f t="shared" si="45"/>
        <v>423</v>
      </c>
      <c r="K52" s="52">
        <f t="shared" si="46"/>
        <v>36</v>
      </c>
      <c r="L52" s="48">
        <f t="shared" si="47"/>
        <v>8.510638298</v>
      </c>
      <c r="M52" s="50">
        <v>17060.0</v>
      </c>
      <c r="N52" s="49">
        <f t="shared" si="48"/>
        <v>614160</v>
      </c>
      <c r="R52" s="80" t="str">
        <f t="shared" si="42"/>
        <v/>
      </c>
    </row>
    <row r="53">
      <c r="A53" s="84">
        <v>46038.0</v>
      </c>
      <c r="B53" s="46" t="s">
        <v>16</v>
      </c>
      <c r="C53" s="37">
        <v>146331.0</v>
      </c>
      <c r="D53" s="37">
        <v>146637.0</v>
      </c>
      <c r="E53" s="12">
        <f t="shared" si="43"/>
        <v>306</v>
      </c>
      <c r="F53" s="47">
        <v>42.0</v>
      </c>
      <c r="G53" s="14">
        <f t="shared" si="44"/>
        <v>13.7254902</v>
      </c>
      <c r="H53" s="40">
        <v>31035.0</v>
      </c>
      <c r="I53" s="40">
        <v>31317.0</v>
      </c>
      <c r="J53" s="37">
        <f t="shared" si="45"/>
        <v>282</v>
      </c>
      <c r="K53" s="52">
        <f t="shared" si="46"/>
        <v>42</v>
      </c>
      <c r="L53" s="48">
        <f t="shared" si="47"/>
        <v>14.89361702</v>
      </c>
      <c r="M53" s="50">
        <v>17280.0</v>
      </c>
      <c r="N53" s="49">
        <f t="shared" si="48"/>
        <v>725760</v>
      </c>
      <c r="P53" s="82"/>
      <c r="R53" s="80" t="str">
        <f t="shared" si="42"/>
        <v/>
      </c>
    </row>
    <row r="54">
      <c r="A54" s="84">
        <v>46043.0</v>
      </c>
      <c r="B54" s="46" t="s">
        <v>16</v>
      </c>
      <c r="C54" s="37">
        <v>146637.0</v>
      </c>
      <c r="D54" s="37">
        <v>146961.0</v>
      </c>
      <c r="E54" s="12">
        <f t="shared" si="43"/>
        <v>324</v>
      </c>
      <c r="F54" s="47">
        <v>42.0</v>
      </c>
      <c r="G54" s="14">
        <f t="shared" si="44"/>
        <v>12.96296296</v>
      </c>
      <c r="H54" s="40">
        <v>31317.0</v>
      </c>
      <c r="I54" s="40">
        <v>31618.0</v>
      </c>
      <c r="J54" s="37">
        <f t="shared" si="45"/>
        <v>301</v>
      </c>
      <c r="K54" s="52">
        <f t="shared" si="46"/>
        <v>42</v>
      </c>
      <c r="L54" s="48">
        <f t="shared" si="47"/>
        <v>13.95348837</v>
      </c>
      <c r="M54" s="50">
        <v>17280.0</v>
      </c>
      <c r="N54" s="49">
        <f t="shared" si="48"/>
        <v>725760</v>
      </c>
      <c r="R54" s="80" t="str">
        <f t="shared" si="42"/>
        <v/>
      </c>
    </row>
    <row r="55">
      <c r="A55" s="84">
        <v>46045.0</v>
      </c>
      <c r="B55" s="46" t="s">
        <v>16</v>
      </c>
      <c r="C55" s="37">
        <v>146961.0</v>
      </c>
      <c r="D55" s="37">
        <v>147267.0</v>
      </c>
      <c r="E55" s="12">
        <f t="shared" si="43"/>
        <v>306</v>
      </c>
      <c r="F55" s="47">
        <v>40.0</v>
      </c>
      <c r="G55" s="14">
        <f t="shared" si="44"/>
        <v>13.07189542</v>
      </c>
      <c r="H55" s="40">
        <v>31618.0</v>
      </c>
      <c r="I55" s="40">
        <v>32037.0</v>
      </c>
      <c r="J55" s="37">
        <f t="shared" si="45"/>
        <v>419</v>
      </c>
      <c r="K55" s="52">
        <f t="shared" si="46"/>
        <v>40</v>
      </c>
      <c r="L55" s="48">
        <f t="shared" si="47"/>
        <v>9.546539379</v>
      </c>
      <c r="M55" s="50">
        <v>17700.0</v>
      </c>
      <c r="N55" s="49">
        <f t="shared" si="48"/>
        <v>708000</v>
      </c>
      <c r="R55" s="80" t="str">
        <f t="shared" si="42"/>
        <v/>
      </c>
    </row>
    <row r="56">
      <c r="A56" s="84">
        <v>46049.0</v>
      </c>
      <c r="B56" s="46" t="s">
        <v>16</v>
      </c>
      <c r="C56" s="37">
        <v>147267.0</v>
      </c>
      <c r="D56" s="37">
        <v>147538.0</v>
      </c>
      <c r="E56" s="12">
        <f t="shared" si="43"/>
        <v>271</v>
      </c>
      <c r="F56" s="47">
        <v>40.0</v>
      </c>
      <c r="G56" s="14">
        <f t="shared" si="44"/>
        <v>14.7601476</v>
      </c>
      <c r="H56" s="40">
        <v>32037.0</v>
      </c>
      <c r="I56" s="40">
        <v>32244.0</v>
      </c>
      <c r="J56" s="37">
        <f t="shared" si="45"/>
        <v>207</v>
      </c>
      <c r="K56" s="52">
        <f t="shared" si="46"/>
        <v>40</v>
      </c>
      <c r="L56" s="48">
        <f t="shared" si="47"/>
        <v>19.3236715</v>
      </c>
      <c r="M56" s="50">
        <v>17700.0</v>
      </c>
      <c r="N56" s="49">
        <f t="shared" si="48"/>
        <v>708000</v>
      </c>
      <c r="R56" s="80" t="str">
        <f t="shared" si="42"/>
        <v/>
      </c>
    </row>
    <row r="57">
      <c r="A57" s="84">
        <v>46051.0</v>
      </c>
      <c r="B57" s="46" t="s">
        <v>16</v>
      </c>
      <c r="C57" s="37">
        <v>147538.0</v>
      </c>
      <c r="D57" s="37">
        <v>147868.0</v>
      </c>
      <c r="E57" s="12">
        <f t="shared" si="43"/>
        <v>330</v>
      </c>
      <c r="F57" s="47">
        <v>40.0</v>
      </c>
      <c r="G57" s="14">
        <f t="shared" si="44"/>
        <v>12.12121212</v>
      </c>
      <c r="H57" s="40">
        <v>32244.0</v>
      </c>
      <c r="I57" s="40">
        <v>32624.0</v>
      </c>
      <c r="J57" s="37">
        <f t="shared" si="45"/>
        <v>380</v>
      </c>
      <c r="K57" s="52">
        <f t="shared" si="46"/>
        <v>40</v>
      </c>
      <c r="L57" s="48">
        <f t="shared" si="47"/>
        <v>10.52631579</v>
      </c>
      <c r="M57" s="50">
        <v>17700.0</v>
      </c>
      <c r="N57" s="49">
        <f t="shared" si="48"/>
        <v>708000</v>
      </c>
    </row>
    <row r="58">
      <c r="A58" s="84">
        <v>46053.0</v>
      </c>
      <c r="B58" s="46" t="s">
        <v>16</v>
      </c>
      <c r="C58" s="37">
        <v>147868.0</v>
      </c>
      <c r="D58" s="37">
        <v>148185.0</v>
      </c>
      <c r="E58" s="12">
        <f t="shared" si="43"/>
        <v>317</v>
      </c>
      <c r="F58" s="47">
        <v>48.0</v>
      </c>
      <c r="G58" s="14">
        <f t="shared" si="44"/>
        <v>15.14195584</v>
      </c>
      <c r="H58" s="40">
        <v>32624.0</v>
      </c>
      <c r="I58" s="40">
        <v>32950.0</v>
      </c>
      <c r="J58" s="37">
        <f t="shared" si="45"/>
        <v>326</v>
      </c>
      <c r="K58" s="52">
        <f t="shared" si="46"/>
        <v>48</v>
      </c>
      <c r="L58" s="48">
        <f t="shared" si="47"/>
        <v>14.72392638</v>
      </c>
      <c r="M58" s="50">
        <v>18170.0</v>
      </c>
      <c r="N58" s="49">
        <f t="shared" si="48"/>
        <v>872160</v>
      </c>
      <c r="R58" s="80" t="str">
        <f t="shared" ref="R58:R63" si="49">Q58</f>
        <v/>
      </c>
    </row>
    <row r="59">
      <c r="A59" s="84"/>
      <c r="B59" s="46" t="s">
        <v>16</v>
      </c>
      <c r="C59" s="55"/>
      <c r="D59" s="55"/>
      <c r="E59" s="25">
        <f t="shared" si="43"/>
        <v>0</v>
      </c>
      <c r="F59" s="47"/>
      <c r="G59" s="56" t="str">
        <f t="shared" si="44"/>
        <v>#DIV/0!</v>
      </c>
      <c r="H59" s="55"/>
      <c r="I59" s="85"/>
      <c r="J59" s="55">
        <f t="shared" si="45"/>
        <v>0</v>
      </c>
      <c r="K59" s="52" t="str">
        <f t="shared" si="46"/>
        <v/>
      </c>
      <c r="L59" s="77" t="str">
        <f t="shared" si="47"/>
        <v>#DIV/0!</v>
      </c>
      <c r="M59" s="50"/>
      <c r="N59" s="59">
        <f t="shared" si="48"/>
        <v>0</v>
      </c>
      <c r="R59" s="80" t="str">
        <f t="shared" si="49"/>
        <v/>
      </c>
    </row>
    <row r="60">
      <c r="A60" s="62"/>
      <c r="B60" s="63"/>
      <c r="C60" s="86"/>
      <c r="D60" s="64" t="s">
        <v>19</v>
      </c>
      <c r="E60" s="64">
        <f>sum(E49:E59)</f>
        <v>3037</v>
      </c>
      <c r="F60" s="39"/>
      <c r="G60" s="65" t="str">
        <f>average(G49:G59)</f>
        <v>#DIV/0!</v>
      </c>
      <c r="H60" s="62"/>
      <c r="I60" s="66"/>
      <c r="J60" s="64">
        <f t="shared" ref="J60:K60" si="50">sum(J49:J59)</f>
        <v>3304</v>
      </c>
      <c r="K60" s="64">
        <f t="shared" si="50"/>
        <v>408</v>
      </c>
      <c r="L60" s="65" t="str">
        <f>average(L49:L59)</f>
        <v>#DIV/0!</v>
      </c>
      <c r="M60" s="68"/>
      <c r="N60" s="69">
        <f>sum(N49:N59)</f>
        <v>7124810</v>
      </c>
      <c r="R60" s="80" t="str">
        <f t="shared" si="49"/>
        <v/>
      </c>
    </row>
    <row r="61">
      <c r="A61" s="70">
        <v>46024.0</v>
      </c>
      <c r="B61" s="87" t="s">
        <v>18</v>
      </c>
      <c r="C61" s="37">
        <v>150067.0</v>
      </c>
      <c r="D61" s="37">
        <v>150406.0</v>
      </c>
      <c r="E61" s="38">
        <f t="shared" ref="E61:E69" si="51">D61-C61</f>
        <v>339</v>
      </c>
      <c r="F61" s="39">
        <v>43.0</v>
      </c>
      <c r="G61" s="14">
        <f t="shared" ref="G61:G69" si="52">(F61/E61)*100</f>
        <v>12.68436578</v>
      </c>
      <c r="H61" s="40">
        <v>21990.0</v>
      </c>
      <c r="I61" s="40">
        <v>22361.0</v>
      </c>
      <c r="J61" s="41">
        <f t="shared" ref="J61:J69" si="53">I61-H61</f>
        <v>371</v>
      </c>
      <c r="K61" s="81">
        <f t="shared" ref="K61:K69" si="54">F61</f>
        <v>43</v>
      </c>
      <c r="L61" s="71">
        <f t="shared" ref="L61:L69" si="55">(K61/J61)*100</f>
        <v>11.5902965</v>
      </c>
      <c r="M61" s="72">
        <v>17250.0</v>
      </c>
      <c r="N61" s="44">
        <f t="shared" ref="N61:N69" si="56">F61*M61</f>
        <v>741750</v>
      </c>
      <c r="R61" s="80" t="str">
        <f t="shared" si="49"/>
        <v/>
      </c>
    </row>
    <row r="62">
      <c r="A62" s="35">
        <v>46028.0</v>
      </c>
      <c r="B62" s="46" t="s">
        <v>18</v>
      </c>
      <c r="C62" s="37">
        <v>150406.0</v>
      </c>
      <c r="D62" s="37">
        <v>150771.0</v>
      </c>
      <c r="E62" s="12">
        <f t="shared" si="51"/>
        <v>365</v>
      </c>
      <c r="F62" s="47">
        <v>45.0</v>
      </c>
      <c r="G62" s="14">
        <f t="shared" si="52"/>
        <v>12.32876712</v>
      </c>
      <c r="H62" s="40">
        <v>22361.0</v>
      </c>
      <c r="I62" s="40">
        <v>22718.0</v>
      </c>
      <c r="J62" s="37">
        <f t="shared" si="53"/>
        <v>357</v>
      </c>
      <c r="K62" s="52">
        <f t="shared" si="54"/>
        <v>45</v>
      </c>
      <c r="L62" s="48">
        <f t="shared" si="55"/>
        <v>12.60504202</v>
      </c>
      <c r="M62" s="50">
        <v>17250.0</v>
      </c>
      <c r="N62" s="49">
        <f t="shared" si="56"/>
        <v>776250</v>
      </c>
      <c r="R62" s="80" t="str">
        <f t="shared" si="49"/>
        <v/>
      </c>
    </row>
    <row r="63">
      <c r="A63" s="35">
        <v>46031.0</v>
      </c>
      <c r="B63" s="46" t="s">
        <v>18</v>
      </c>
      <c r="C63" s="37">
        <v>150771.0</v>
      </c>
      <c r="D63" s="37">
        <v>151130.0</v>
      </c>
      <c r="E63" s="12">
        <f t="shared" si="51"/>
        <v>359</v>
      </c>
      <c r="F63" s="47">
        <v>43.0</v>
      </c>
      <c r="G63" s="14">
        <f t="shared" si="52"/>
        <v>11.97771588</v>
      </c>
      <c r="H63" s="40">
        <v>22718.0</v>
      </c>
      <c r="I63" s="40">
        <v>23141.0</v>
      </c>
      <c r="J63" s="37">
        <f t="shared" si="53"/>
        <v>423</v>
      </c>
      <c r="K63" s="52">
        <f t="shared" si="54"/>
        <v>43</v>
      </c>
      <c r="L63" s="48">
        <f t="shared" si="55"/>
        <v>10.16548463</v>
      </c>
      <c r="M63" s="50">
        <v>17060.0</v>
      </c>
      <c r="N63" s="49">
        <f t="shared" si="56"/>
        <v>733580</v>
      </c>
      <c r="R63" s="80" t="str">
        <f t="shared" si="49"/>
        <v/>
      </c>
    </row>
    <row r="64">
      <c r="A64" s="35">
        <v>46035.0</v>
      </c>
      <c r="B64" s="46" t="s">
        <v>18</v>
      </c>
      <c r="C64" s="37">
        <v>151130.0</v>
      </c>
      <c r="D64" s="37">
        <v>151448.0</v>
      </c>
      <c r="E64" s="12">
        <f t="shared" si="51"/>
        <v>318</v>
      </c>
      <c r="F64" s="47">
        <v>40.0</v>
      </c>
      <c r="G64" s="14">
        <f t="shared" si="52"/>
        <v>12.57861635</v>
      </c>
      <c r="H64" s="40">
        <v>23141.0</v>
      </c>
      <c r="I64" s="40">
        <v>23500.0</v>
      </c>
      <c r="J64" s="37">
        <f t="shared" si="53"/>
        <v>359</v>
      </c>
      <c r="K64" s="52">
        <f t="shared" si="54"/>
        <v>40</v>
      </c>
      <c r="L64" s="48">
        <f t="shared" si="55"/>
        <v>11.14206128</v>
      </c>
      <c r="M64" s="50">
        <v>17060.0</v>
      </c>
      <c r="N64" s="49">
        <f t="shared" si="56"/>
        <v>682400</v>
      </c>
    </row>
    <row r="65">
      <c r="A65" s="35">
        <v>46041.0</v>
      </c>
      <c r="B65" s="46" t="s">
        <v>18</v>
      </c>
      <c r="C65" s="37">
        <v>151448.0</v>
      </c>
      <c r="D65" s="37">
        <v>151777.0</v>
      </c>
      <c r="E65" s="12">
        <f t="shared" si="51"/>
        <v>329</v>
      </c>
      <c r="F65" s="47">
        <v>42.0</v>
      </c>
      <c r="G65" s="14">
        <f t="shared" si="52"/>
        <v>12.76595745</v>
      </c>
      <c r="H65" s="40">
        <v>23500.0</v>
      </c>
      <c r="I65" s="40">
        <v>23849.0</v>
      </c>
      <c r="J65" s="37">
        <f t="shared" si="53"/>
        <v>349</v>
      </c>
      <c r="K65" s="52">
        <f t="shared" si="54"/>
        <v>42</v>
      </c>
      <c r="L65" s="48">
        <f t="shared" si="55"/>
        <v>12.03438395</v>
      </c>
      <c r="M65" s="50">
        <v>17280.0</v>
      </c>
      <c r="N65" s="49">
        <f t="shared" si="56"/>
        <v>725760</v>
      </c>
      <c r="R65" s="80" t="str">
        <f t="shared" ref="R65:R153" si="57">Q65</f>
        <v/>
      </c>
    </row>
    <row r="66">
      <c r="A66" s="35">
        <v>46045.0</v>
      </c>
      <c r="B66" s="46" t="s">
        <v>18</v>
      </c>
      <c r="C66" s="37">
        <v>151777.0</v>
      </c>
      <c r="D66" s="37">
        <v>152093.0</v>
      </c>
      <c r="E66" s="12">
        <f t="shared" si="51"/>
        <v>316</v>
      </c>
      <c r="F66" s="47">
        <v>43.0</v>
      </c>
      <c r="G66" s="14">
        <f t="shared" si="52"/>
        <v>13.60759494</v>
      </c>
      <c r="H66" s="40">
        <v>23849.0</v>
      </c>
      <c r="I66" s="40">
        <v>24200.0</v>
      </c>
      <c r="J66" s="37">
        <f t="shared" si="53"/>
        <v>351</v>
      </c>
      <c r="K66" s="52">
        <f t="shared" si="54"/>
        <v>43</v>
      </c>
      <c r="L66" s="48">
        <f t="shared" si="55"/>
        <v>12.25071225</v>
      </c>
      <c r="M66" s="50">
        <v>17700.0</v>
      </c>
      <c r="N66" s="49">
        <f t="shared" si="56"/>
        <v>761100</v>
      </c>
      <c r="R66" s="80" t="str">
        <f t="shared" si="57"/>
        <v/>
      </c>
    </row>
    <row r="67">
      <c r="A67" s="35">
        <v>46049.0</v>
      </c>
      <c r="B67" s="46" t="s">
        <v>18</v>
      </c>
      <c r="C67" s="37">
        <v>152093.0</v>
      </c>
      <c r="D67" s="37">
        <v>152509.0</v>
      </c>
      <c r="E67" s="53">
        <f t="shared" si="51"/>
        <v>416</v>
      </c>
      <c r="F67" s="47">
        <v>49.0</v>
      </c>
      <c r="G67" s="14">
        <f t="shared" si="52"/>
        <v>11.77884615</v>
      </c>
      <c r="H67" s="40">
        <v>24200.0</v>
      </c>
      <c r="I67" s="40">
        <v>24704.0</v>
      </c>
      <c r="J67" s="37">
        <f t="shared" si="53"/>
        <v>504</v>
      </c>
      <c r="K67" s="52">
        <f t="shared" si="54"/>
        <v>49</v>
      </c>
      <c r="L67" s="48">
        <f t="shared" si="55"/>
        <v>9.722222222</v>
      </c>
      <c r="M67" s="50">
        <v>17700.0</v>
      </c>
      <c r="N67" s="49">
        <f t="shared" si="56"/>
        <v>867300</v>
      </c>
      <c r="R67" s="80" t="str">
        <f t="shared" si="57"/>
        <v/>
      </c>
    </row>
    <row r="68">
      <c r="A68" s="45">
        <v>46053.0</v>
      </c>
      <c r="B68" s="51" t="s">
        <v>18</v>
      </c>
      <c r="C68" s="37">
        <v>152509.0</v>
      </c>
      <c r="D68" s="52">
        <v>152861.0</v>
      </c>
      <c r="E68" s="53">
        <f t="shared" si="51"/>
        <v>352</v>
      </c>
      <c r="F68" s="47">
        <v>46.0</v>
      </c>
      <c r="G68" s="14">
        <f t="shared" si="52"/>
        <v>13.06818182</v>
      </c>
      <c r="H68" s="40">
        <v>24704.0</v>
      </c>
      <c r="I68" s="40">
        <v>25051.0</v>
      </c>
      <c r="J68" s="37">
        <f t="shared" si="53"/>
        <v>347</v>
      </c>
      <c r="K68" s="52">
        <f t="shared" si="54"/>
        <v>46</v>
      </c>
      <c r="L68" s="48">
        <f t="shared" si="55"/>
        <v>13.25648415</v>
      </c>
      <c r="M68" s="50">
        <v>18170.0</v>
      </c>
      <c r="N68" s="49">
        <f t="shared" si="56"/>
        <v>835820</v>
      </c>
      <c r="R68" s="80" t="str">
        <f t="shared" si="57"/>
        <v/>
      </c>
    </row>
    <row r="69">
      <c r="A69" s="35"/>
      <c r="B69" s="46" t="s">
        <v>18</v>
      </c>
      <c r="C69" s="13"/>
      <c r="D69" s="55"/>
      <c r="E69" s="25">
        <f t="shared" si="51"/>
        <v>0</v>
      </c>
      <c r="F69" s="47"/>
      <c r="G69" s="56" t="str">
        <f t="shared" si="52"/>
        <v>#DIV/0!</v>
      </c>
      <c r="H69" s="55"/>
      <c r="I69" s="57"/>
      <c r="J69" s="55">
        <f t="shared" si="53"/>
        <v>0</v>
      </c>
      <c r="K69" s="52" t="str">
        <f t="shared" si="54"/>
        <v/>
      </c>
      <c r="L69" s="77" t="str">
        <f t="shared" si="55"/>
        <v>#DIV/0!</v>
      </c>
      <c r="M69" s="50"/>
      <c r="N69" s="59">
        <f t="shared" si="56"/>
        <v>0</v>
      </c>
      <c r="R69" s="80" t="str">
        <f t="shared" si="57"/>
        <v/>
      </c>
    </row>
    <row r="70">
      <c r="A70" s="62"/>
      <c r="B70" s="63"/>
      <c r="C70" s="88"/>
      <c r="D70" s="64" t="s">
        <v>19</v>
      </c>
      <c r="E70" s="64">
        <f t="shared" ref="E70:F70" si="58">sum(E61:E69)</f>
        <v>2794</v>
      </c>
      <c r="F70" s="64">
        <f t="shared" si="58"/>
        <v>351</v>
      </c>
      <c r="G70" s="65" t="str">
        <f>average(G61:G69)</f>
        <v>#DIV/0!</v>
      </c>
      <c r="H70" s="62"/>
      <c r="I70" s="66"/>
      <c r="J70" s="64">
        <f t="shared" ref="J70:K70" si="59">sum(J61:J69)</f>
        <v>3061</v>
      </c>
      <c r="K70" s="64">
        <f t="shared" si="59"/>
        <v>351</v>
      </c>
      <c r="L70" s="65" t="str">
        <f>average(L61:L69)</f>
        <v>#DIV/0!</v>
      </c>
      <c r="M70" s="68"/>
      <c r="N70" s="69">
        <f>sum(N61:N69)</f>
        <v>6123960</v>
      </c>
      <c r="R70" s="80" t="str">
        <f t="shared" si="57"/>
        <v/>
      </c>
    </row>
    <row r="71">
      <c r="A71" s="70">
        <v>46027.0</v>
      </c>
      <c r="B71" s="36" t="s">
        <v>20</v>
      </c>
      <c r="C71" s="37">
        <v>396468.0</v>
      </c>
      <c r="D71" s="37">
        <v>397020.0</v>
      </c>
      <c r="E71" s="38">
        <f t="shared" ref="E71:E77" si="60">D71-C71</f>
        <v>552</v>
      </c>
      <c r="F71" s="39">
        <v>79.0</v>
      </c>
      <c r="G71" s="14">
        <f t="shared" ref="G71:G77" si="61">(F71/E71)*100</f>
        <v>14.3115942</v>
      </c>
      <c r="H71" s="40">
        <v>28648.0</v>
      </c>
      <c r="I71" s="40">
        <v>29159.0</v>
      </c>
      <c r="J71" s="41">
        <f t="shared" ref="J71:J77" si="62">I71-H71</f>
        <v>511</v>
      </c>
      <c r="K71" s="81">
        <f t="shared" ref="K71:K77" si="63">F71</f>
        <v>79</v>
      </c>
      <c r="L71" s="71">
        <f t="shared" ref="L71:L77" si="64">(K71/J71)*100</f>
        <v>15.45988258</v>
      </c>
      <c r="M71" s="72">
        <v>17250.0</v>
      </c>
      <c r="N71" s="44">
        <f t="shared" ref="N71:N77" si="65">F71*M71</f>
        <v>1362750</v>
      </c>
      <c r="R71" s="80" t="str">
        <f t="shared" si="57"/>
        <v/>
      </c>
    </row>
    <row r="72">
      <c r="A72" s="35">
        <v>46034.0</v>
      </c>
      <c r="B72" s="46" t="s">
        <v>20</v>
      </c>
      <c r="C72" s="37">
        <v>397020.0</v>
      </c>
      <c r="D72" s="37">
        <v>397616.0</v>
      </c>
      <c r="E72" s="12">
        <f t="shared" si="60"/>
        <v>596</v>
      </c>
      <c r="F72" s="47">
        <v>78.0</v>
      </c>
      <c r="G72" s="14">
        <f t="shared" si="61"/>
        <v>13.08724832</v>
      </c>
      <c r="H72" s="40">
        <v>29159.0</v>
      </c>
      <c r="I72" s="89">
        <v>29790.0</v>
      </c>
      <c r="J72" s="37">
        <f t="shared" si="62"/>
        <v>631</v>
      </c>
      <c r="K72" s="52">
        <f t="shared" si="63"/>
        <v>78</v>
      </c>
      <c r="L72" s="48">
        <f t="shared" si="64"/>
        <v>12.36133122</v>
      </c>
      <c r="M72" s="50">
        <v>17060.0</v>
      </c>
      <c r="N72" s="49">
        <f t="shared" si="65"/>
        <v>1330680</v>
      </c>
      <c r="R72" s="80" t="str">
        <f t="shared" si="57"/>
        <v/>
      </c>
    </row>
    <row r="73">
      <c r="A73" s="35">
        <v>46041.0</v>
      </c>
      <c r="B73" s="46" t="s">
        <v>20</v>
      </c>
      <c r="C73" s="37">
        <v>397616.0</v>
      </c>
      <c r="D73" s="37">
        <v>398236.0</v>
      </c>
      <c r="E73" s="12">
        <f t="shared" si="60"/>
        <v>620</v>
      </c>
      <c r="F73" s="47">
        <v>75.0</v>
      </c>
      <c r="G73" s="14">
        <f t="shared" si="61"/>
        <v>12.09677419</v>
      </c>
      <c r="H73" s="89">
        <v>29790.0</v>
      </c>
      <c r="I73" s="40">
        <v>30377.0</v>
      </c>
      <c r="J73" s="37">
        <f t="shared" si="62"/>
        <v>587</v>
      </c>
      <c r="K73" s="52">
        <f t="shared" si="63"/>
        <v>75</v>
      </c>
      <c r="L73" s="48">
        <f t="shared" si="64"/>
        <v>12.77683135</v>
      </c>
      <c r="M73" s="50">
        <v>17280.0</v>
      </c>
      <c r="N73" s="49">
        <f t="shared" si="65"/>
        <v>1296000</v>
      </c>
      <c r="R73" s="80" t="str">
        <f t="shared" si="57"/>
        <v/>
      </c>
    </row>
    <row r="74">
      <c r="A74" s="35">
        <v>46048.0</v>
      </c>
      <c r="B74" s="46" t="s">
        <v>20</v>
      </c>
      <c r="C74" s="37">
        <v>398236.0</v>
      </c>
      <c r="D74" s="37">
        <v>398824.0</v>
      </c>
      <c r="E74" s="12">
        <f t="shared" si="60"/>
        <v>588</v>
      </c>
      <c r="F74" s="47">
        <v>70.0</v>
      </c>
      <c r="G74" s="14">
        <f t="shared" si="61"/>
        <v>11.9047619</v>
      </c>
      <c r="H74" s="40">
        <v>30377.0</v>
      </c>
      <c r="I74" s="40">
        <v>30919.0</v>
      </c>
      <c r="J74" s="37">
        <f t="shared" si="62"/>
        <v>542</v>
      </c>
      <c r="K74" s="52">
        <f t="shared" si="63"/>
        <v>70</v>
      </c>
      <c r="L74" s="48">
        <f t="shared" si="64"/>
        <v>12.91512915</v>
      </c>
      <c r="M74" s="50">
        <v>17700.0</v>
      </c>
      <c r="N74" s="49">
        <f t="shared" si="65"/>
        <v>1239000</v>
      </c>
      <c r="R74" s="80" t="str">
        <f t="shared" si="57"/>
        <v/>
      </c>
    </row>
    <row r="75">
      <c r="A75" s="35">
        <v>46052.0</v>
      </c>
      <c r="B75" s="46" t="s">
        <v>20</v>
      </c>
      <c r="C75" s="37">
        <v>398824.0</v>
      </c>
      <c r="D75" s="37">
        <v>399392.0</v>
      </c>
      <c r="E75" s="12">
        <f t="shared" si="60"/>
        <v>568</v>
      </c>
      <c r="F75" s="47">
        <v>75.0</v>
      </c>
      <c r="G75" s="14">
        <f t="shared" si="61"/>
        <v>13.20422535</v>
      </c>
      <c r="H75" s="40">
        <v>30919.0</v>
      </c>
      <c r="I75" s="40">
        <v>31510.0</v>
      </c>
      <c r="J75" s="37">
        <f t="shared" si="62"/>
        <v>591</v>
      </c>
      <c r="K75" s="52">
        <f t="shared" si="63"/>
        <v>75</v>
      </c>
      <c r="L75" s="48">
        <f t="shared" si="64"/>
        <v>12.69035533</v>
      </c>
      <c r="M75" s="50">
        <v>18170.0</v>
      </c>
      <c r="N75" s="49">
        <f t="shared" si="65"/>
        <v>1362750</v>
      </c>
      <c r="R75" s="80" t="str">
        <f t="shared" si="57"/>
        <v/>
      </c>
    </row>
    <row r="76">
      <c r="A76" s="35"/>
      <c r="B76" s="46" t="s">
        <v>20</v>
      </c>
      <c r="C76" s="37"/>
      <c r="D76" s="37"/>
      <c r="E76" s="12">
        <f t="shared" si="60"/>
        <v>0</v>
      </c>
      <c r="F76" s="90"/>
      <c r="G76" s="14" t="str">
        <f t="shared" si="61"/>
        <v>#DIV/0!</v>
      </c>
      <c r="H76" s="37"/>
      <c r="I76" s="93"/>
      <c r="J76" s="37">
        <f t="shared" si="62"/>
        <v>0</v>
      </c>
      <c r="K76" s="52" t="str">
        <f t="shared" si="63"/>
        <v/>
      </c>
      <c r="L76" s="48" t="str">
        <f t="shared" si="64"/>
        <v>#DIV/0!</v>
      </c>
      <c r="M76" s="50"/>
      <c r="N76" s="49">
        <f t="shared" si="65"/>
        <v>0</v>
      </c>
      <c r="R76" s="80" t="str">
        <f t="shared" si="57"/>
        <v/>
      </c>
    </row>
    <row r="77">
      <c r="A77" s="94"/>
      <c r="B77" s="46" t="s">
        <v>20</v>
      </c>
      <c r="C77" s="55"/>
      <c r="D77" s="95"/>
      <c r="E77" s="25">
        <f t="shared" si="60"/>
        <v>0</v>
      </c>
      <c r="F77" s="47"/>
      <c r="G77" s="56" t="str">
        <f t="shared" si="61"/>
        <v>#DIV/0!</v>
      </c>
      <c r="H77" s="55"/>
      <c r="I77" s="85"/>
      <c r="J77" s="55">
        <f t="shared" si="62"/>
        <v>0</v>
      </c>
      <c r="K77" s="52" t="str">
        <f t="shared" si="63"/>
        <v/>
      </c>
      <c r="L77" s="77" t="str">
        <f t="shared" si="64"/>
        <v>#DIV/0!</v>
      </c>
      <c r="M77" s="96"/>
      <c r="N77" s="59">
        <f t="shared" si="65"/>
        <v>0</v>
      </c>
      <c r="R77" s="80" t="str">
        <f t="shared" si="57"/>
        <v/>
      </c>
    </row>
    <row r="78">
      <c r="A78" s="62"/>
      <c r="B78" s="63"/>
      <c r="C78" s="62"/>
      <c r="D78" s="64" t="s">
        <v>19</v>
      </c>
      <c r="E78" s="64">
        <f>sum(E71:E77)</f>
        <v>2924</v>
      </c>
      <c r="F78" s="39"/>
      <c r="G78" s="65" t="str">
        <f>average(G71:G77)</f>
        <v>#DIV/0!</v>
      </c>
      <c r="H78" s="62"/>
      <c r="I78" s="66"/>
      <c r="J78" s="64">
        <f>sum(J71:J77)</f>
        <v>2862</v>
      </c>
      <c r="K78" s="64">
        <f>sum(K72:K77)</f>
        <v>298</v>
      </c>
      <c r="L78" s="65" t="str">
        <f>average(L71:L77)</f>
        <v>#DIV/0!</v>
      </c>
      <c r="M78" s="68"/>
      <c r="N78" s="69">
        <f>sum(N71:N77)</f>
        <v>6591180</v>
      </c>
      <c r="R78" s="80" t="str">
        <f t="shared" si="57"/>
        <v/>
      </c>
    </row>
    <row r="79">
      <c r="A79" s="91">
        <v>46028.0</v>
      </c>
      <c r="B79" s="36" t="s">
        <v>21</v>
      </c>
      <c r="C79" s="37">
        <v>378341.0</v>
      </c>
      <c r="D79" s="37">
        <v>378974.0</v>
      </c>
      <c r="E79" s="38">
        <f t="shared" ref="E79:E85" si="66">D79-C79</f>
        <v>633</v>
      </c>
      <c r="F79" s="39">
        <v>80.0</v>
      </c>
      <c r="G79" s="14">
        <f t="shared" ref="G79:G85" si="67">(F79/E79)*100</f>
        <v>12.63823065</v>
      </c>
      <c r="H79" s="40">
        <v>21595.0</v>
      </c>
      <c r="I79" s="40">
        <v>22213.0</v>
      </c>
      <c r="J79" s="41">
        <f t="shared" ref="J79:J85" si="68">I79-H79</f>
        <v>618</v>
      </c>
      <c r="K79" s="81">
        <f t="shared" ref="K79:K85" si="69">F79</f>
        <v>80</v>
      </c>
      <c r="L79" s="71">
        <f t="shared" ref="L79:L85" si="70">(K79/J79)*100</f>
        <v>12.94498382</v>
      </c>
      <c r="M79" s="72">
        <v>17250.0</v>
      </c>
      <c r="N79" s="44">
        <f t="shared" ref="N79:N85" si="71">F79*M79</f>
        <v>1380000</v>
      </c>
      <c r="R79" s="80" t="str">
        <f t="shared" si="57"/>
        <v/>
      </c>
    </row>
    <row r="80">
      <c r="A80" s="92">
        <v>46035.0</v>
      </c>
      <c r="B80" s="46" t="s">
        <v>21</v>
      </c>
      <c r="C80" s="37">
        <v>378974.0</v>
      </c>
      <c r="D80" s="37">
        <v>379525.0</v>
      </c>
      <c r="E80" s="12">
        <f t="shared" si="66"/>
        <v>551</v>
      </c>
      <c r="F80" s="47">
        <v>72.0</v>
      </c>
      <c r="G80" s="14">
        <f t="shared" si="67"/>
        <v>13.06715064</v>
      </c>
      <c r="H80" s="40">
        <v>22213.0</v>
      </c>
      <c r="I80" s="40">
        <v>22763.0</v>
      </c>
      <c r="J80" s="37">
        <f t="shared" si="68"/>
        <v>550</v>
      </c>
      <c r="K80" s="52">
        <f t="shared" si="69"/>
        <v>72</v>
      </c>
      <c r="L80" s="48">
        <f t="shared" si="70"/>
        <v>13.09090909</v>
      </c>
      <c r="M80" s="50">
        <v>17060.0</v>
      </c>
      <c r="N80" s="49">
        <f t="shared" si="71"/>
        <v>1228320</v>
      </c>
      <c r="R80" s="80" t="str">
        <f t="shared" si="57"/>
        <v/>
      </c>
    </row>
    <row r="81">
      <c r="A81" s="92">
        <v>46042.0</v>
      </c>
      <c r="B81" s="46" t="s">
        <v>21</v>
      </c>
      <c r="C81" s="37">
        <v>379525.0</v>
      </c>
      <c r="D81" s="37">
        <v>380086.0</v>
      </c>
      <c r="E81" s="12">
        <f t="shared" si="66"/>
        <v>561</v>
      </c>
      <c r="F81" s="47">
        <v>76.0</v>
      </c>
      <c r="G81" s="14">
        <f t="shared" si="67"/>
        <v>13.54723708</v>
      </c>
      <c r="H81" s="40">
        <v>22763.0</v>
      </c>
      <c r="I81" s="40">
        <v>23348.0</v>
      </c>
      <c r="J81" s="37">
        <f t="shared" si="68"/>
        <v>585</v>
      </c>
      <c r="K81" s="52">
        <f t="shared" si="69"/>
        <v>76</v>
      </c>
      <c r="L81" s="48">
        <f t="shared" si="70"/>
        <v>12.99145299</v>
      </c>
      <c r="M81" s="50">
        <v>17280.0</v>
      </c>
      <c r="N81" s="49">
        <f t="shared" si="71"/>
        <v>1313280</v>
      </c>
      <c r="R81" s="80" t="str">
        <f t="shared" si="57"/>
        <v/>
      </c>
    </row>
    <row r="82">
      <c r="A82" s="92">
        <v>46047.0</v>
      </c>
      <c r="B82" s="46" t="s">
        <v>21</v>
      </c>
      <c r="C82" s="37">
        <v>380086.0</v>
      </c>
      <c r="D82" s="37">
        <v>380608.0</v>
      </c>
      <c r="E82" s="12">
        <f t="shared" si="66"/>
        <v>522</v>
      </c>
      <c r="F82" s="47">
        <v>78.0</v>
      </c>
      <c r="G82" s="14">
        <f t="shared" si="67"/>
        <v>14.94252874</v>
      </c>
      <c r="H82" s="40">
        <v>23348.0</v>
      </c>
      <c r="I82" s="40">
        <v>23950.0</v>
      </c>
      <c r="J82" s="37">
        <f t="shared" si="68"/>
        <v>602</v>
      </c>
      <c r="K82" s="52">
        <f t="shared" si="69"/>
        <v>78</v>
      </c>
      <c r="L82" s="48">
        <f t="shared" si="70"/>
        <v>12.95681063</v>
      </c>
      <c r="M82" s="50">
        <v>17700.0</v>
      </c>
      <c r="N82" s="49">
        <f t="shared" si="71"/>
        <v>1380600</v>
      </c>
      <c r="R82" s="80" t="str">
        <f t="shared" si="57"/>
        <v/>
      </c>
    </row>
    <row r="83">
      <c r="A83" s="35">
        <v>46053.0</v>
      </c>
      <c r="B83" s="46" t="s">
        <v>21</v>
      </c>
      <c r="C83" s="37">
        <v>380608.0</v>
      </c>
      <c r="D83" s="37">
        <v>381321.0</v>
      </c>
      <c r="E83" s="12">
        <f t="shared" si="66"/>
        <v>713</v>
      </c>
      <c r="F83" s="47">
        <v>85.0</v>
      </c>
      <c r="G83" s="14">
        <f t="shared" si="67"/>
        <v>11.92145863</v>
      </c>
      <c r="H83" s="40">
        <v>23950.0</v>
      </c>
      <c r="I83" s="40">
        <v>24569.0</v>
      </c>
      <c r="J83" s="37">
        <f t="shared" si="68"/>
        <v>619</v>
      </c>
      <c r="K83" s="52">
        <f t="shared" si="69"/>
        <v>85</v>
      </c>
      <c r="L83" s="48">
        <f t="shared" si="70"/>
        <v>13.73182553</v>
      </c>
      <c r="M83" s="50">
        <v>18170.0</v>
      </c>
      <c r="N83" s="49">
        <f t="shared" si="71"/>
        <v>1544450</v>
      </c>
      <c r="R83" s="80" t="str">
        <f t="shared" si="57"/>
        <v/>
      </c>
    </row>
    <row r="84">
      <c r="A84" s="92"/>
      <c r="B84" s="46" t="s">
        <v>37</v>
      </c>
      <c r="C84" s="37"/>
      <c r="D84" s="37"/>
      <c r="E84" s="12">
        <f t="shared" si="66"/>
        <v>0</v>
      </c>
      <c r="F84" s="47"/>
      <c r="G84" s="14" t="str">
        <f t="shared" si="67"/>
        <v>#DIV/0!</v>
      </c>
      <c r="H84" s="37"/>
      <c r="I84" s="93"/>
      <c r="J84" s="37">
        <f t="shared" si="68"/>
        <v>0</v>
      </c>
      <c r="K84" s="52" t="str">
        <f t="shared" si="69"/>
        <v/>
      </c>
      <c r="L84" s="48" t="str">
        <f t="shared" si="70"/>
        <v>#DIV/0!</v>
      </c>
      <c r="M84" s="50"/>
      <c r="N84" s="49">
        <f t="shared" si="71"/>
        <v>0</v>
      </c>
      <c r="R84" s="80" t="str">
        <f t="shared" si="57"/>
        <v/>
      </c>
    </row>
    <row r="85">
      <c r="A85" s="94"/>
      <c r="B85" s="46" t="s">
        <v>37</v>
      </c>
      <c r="C85" s="55"/>
      <c r="D85" s="95"/>
      <c r="E85" s="25">
        <f t="shared" si="66"/>
        <v>0</v>
      </c>
      <c r="F85" s="47"/>
      <c r="G85" s="56" t="str">
        <f t="shared" si="67"/>
        <v>#DIV/0!</v>
      </c>
      <c r="H85" s="55"/>
      <c r="I85" s="85"/>
      <c r="J85" s="55">
        <f t="shared" si="68"/>
        <v>0</v>
      </c>
      <c r="K85" s="52" t="str">
        <f t="shared" si="69"/>
        <v/>
      </c>
      <c r="L85" s="77" t="str">
        <f t="shared" si="70"/>
        <v>#DIV/0!</v>
      </c>
      <c r="M85" s="96"/>
      <c r="N85" s="59">
        <f t="shared" si="71"/>
        <v>0</v>
      </c>
      <c r="R85" s="80" t="str">
        <f t="shared" si="57"/>
        <v/>
      </c>
    </row>
    <row r="86">
      <c r="A86" s="62"/>
      <c r="B86" s="63"/>
      <c r="C86" s="62"/>
      <c r="D86" s="64" t="s">
        <v>19</v>
      </c>
      <c r="E86" s="64">
        <f>sum(E79:E85)</f>
        <v>2980</v>
      </c>
      <c r="F86" s="39"/>
      <c r="G86" s="65" t="str">
        <f>average(G79:G85)</f>
        <v>#DIV/0!</v>
      </c>
      <c r="H86" s="62"/>
      <c r="I86" s="66"/>
      <c r="J86" s="64">
        <f t="shared" ref="J86:K86" si="72">sum(J79:J85)</f>
        <v>2974</v>
      </c>
      <c r="K86" s="64">
        <f t="shared" si="72"/>
        <v>391</v>
      </c>
      <c r="L86" s="65" t="str">
        <f>average(L79:L85)</f>
        <v>#DIV/0!</v>
      </c>
      <c r="M86" s="68"/>
      <c r="N86" s="69">
        <f>sum(N79:N85)</f>
        <v>6846650</v>
      </c>
      <c r="R86" s="80" t="str">
        <f t="shared" si="57"/>
        <v/>
      </c>
    </row>
    <row r="87">
      <c r="A87" s="35">
        <v>46028.0</v>
      </c>
      <c r="B87" s="87" t="s">
        <v>22</v>
      </c>
      <c r="C87" s="37">
        <v>211980.0</v>
      </c>
      <c r="D87" s="37">
        <v>212416.0</v>
      </c>
      <c r="E87" s="38">
        <f t="shared" ref="E87:E93" si="73">D87-C87</f>
        <v>436</v>
      </c>
      <c r="F87" s="39">
        <v>53.0</v>
      </c>
      <c r="G87" s="14">
        <f t="shared" ref="G87:G93" si="74">(F87/E87)*100</f>
        <v>12.1559633</v>
      </c>
      <c r="H87" s="40">
        <v>21236.0</v>
      </c>
      <c r="I87" s="40">
        <v>21620.0</v>
      </c>
      <c r="J87" s="41">
        <f t="shared" ref="J87:J93" si="75">I87-H87</f>
        <v>384</v>
      </c>
      <c r="K87" s="81">
        <f t="shared" ref="K87:K93" si="76">F87</f>
        <v>53</v>
      </c>
      <c r="L87" s="71">
        <f t="shared" ref="L87:L93" si="77">(K87/J87)*100</f>
        <v>13.80208333</v>
      </c>
      <c r="M87" s="72">
        <v>17250.0</v>
      </c>
      <c r="N87" s="44">
        <f t="shared" ref="N87:N93" si="78">F87*M87</f>
        <v>914250</v>
      </c>
      <c r="R87" s="80" t="str">
        <f t="shared" si="57"/>
        <v/>
      </c>
    </row>
    <row r="88">
      <c r="A88" s="35">
        <v>46034.0</v>
      </c>
      <c r="B88" s="46" t="s">
        <v>22</v>
      </c>
      <c r="C88" s="37">
        <v>212416.0</v>
      </c>
      <c r="D88" s="37">
        <v>212996.0</v>
      </c>
      <c r="E88" s="12">
        <f t="shared" si="73"/>
        <v>580</v>
      </c>
      <c r="F88" s="47">
        <v>67.0</v>
      </c>
      <c r="G88" s="14">
        <f t="shared" si="74"/>
        <v>11.55172414</v>
      </c>
      <c r="H88" s="40">
        <v>21620.0</v>
      </c>
      <c r="I88" s="40">
        <v>22247.0</v>
      </c>
      <c r="J88" s="37">
        <f t="shared" si="75"/>
        <v>627</v>
      </c>
      <c r="K88" s="52">
        <f t="shared" si="76"/>
        <v>67</v>
      </c>
      <c r="L88" s="48">
        <f t="shared" si="77"/>
        <v>10.68580542</v>
      </c>
      <c r="M88" s="50">
        <v>17060.0</v>
      </c>
      <c r="N88" s="49">
        <f t="shared" si="78"/>
        <v>1143020</v>
      </c>
      <c r="R88" s="80" t="str">
        <f t="shared" si="57"/>
        <v/>
      </c>
    </row>
    <row r="89">
      <c r="A89" s="35">
        <v>46041.0</v>
      </c>
      <c r="B89" s="46" t="s">
        <v>22</v>
      </c>
      <c r="C89" s="37">
        <v>212996.0</v>
      </c>
      <c r="D89" s="37">
        <v>213542.0</v>
      </c>
      <c r="E89" s="12">
        <f t="shared" si="73"/>
        <v>546</v>
      </c>
      <c r="F89" s="47">
        <v>66.0</v>
      </c>
      <c r="G89" s="14">
        <f t="shared" si="74"/>
        <v>12.08791209</v>
      </c>
      <c r="H89" s="40">
        <v>22247.0</v>
      </c>
      <c r="I89" s="40">
        <v>22794.0</v>
      </c>
      <c r="J89" s="37">
        <f t="shared" si="75"/>
        <v>547</v>
      </c>
      <c r="K89" s="52">
        <f t="shared" si="76"/>
        <v>66</v>
      </c>
      <c r="L89" s="48">
        <f t="shared" si="77"/>
        <v>12.06581353</v>
      </c>
      <c r="M89" s="50">
        <v>17280.0</v>
      </c>
      <c r="N89" s="49">
        <f t="shared" si="78"/>
        <v>1140480</v>
      </c>
      <c r="R89" s="80" t="str">
        <f t="shared" si="57"/>
        <v/>
      </c>
    </row>
    <row r="90">
      <c r="A90" s="35">
        <v>46048.0</v>
      </c>
      <c r="B90" s="46" t="s">
        <v>22</v>
      </c>
      <c r="C90" s="37">
        <v>213542.0</v>
      </c>
      <c r="D90" s="37">
        <v>214299.0</v>
      </c>
      <c r="E90" s="12">
        <f t="shared" si="73"/>
        <v>757</v>
      </c>
      <c r="F90" s="47">
        <v>94.0</v>
      </c>
      <c r="G90" s="14">
        <f t="shared" si="74"/>
        <v>12.41743725</v>
      </c>
      <c r="H90" s="40">
        <v>22794.0</v>
      </c>
      <c r="I90" s="40">
        <v>23428.0</v>
      </c>
      <c r="J90" s="37">
        <f t="shared" si="75"/>
        <v>634</v>
      </c>
      <c r="K90" s="52">
        <f t="shared" si="76"/>
        <v>94</v>
      </c>
      <c r="L90" s="48">
        <f t="shared" si="77"/>
        <v>14.82649842</v>
      </c>
      <c r="M90" s="50">
        <v>17700.0</v>
      </c>
      <c r="N90" s="49">
        <f t="shared" si="78"/>
        <v>1663800</v>
      </c>
      <c r="R90" s="80" t="str">
        <f t="shared" si="57"/>
        <v/>
      </c>
    </row>
    <row r="91">
      <c r="A91" s="35"/>
      <c r="B91" s="46" t="s">
        <v>22</v>
      </c>
      <c r="C91" s="37"/>
      <c r="D91" s="37"/>
      <c r="E91" s="12">
        <f t="shared" si="73"/>
        <v>0</v>
      </c>
      <c r="F91" s="47"/>
      <c r="G91" s="14" t="str">
        <f t="shared" si="74"/>
        <v>#DIV/0!</v>
      </c>
      <c r="H91" s="40"/>
      <c r="I91" s="40"/>
      <c r="J91" s="37">
        <f t="shared" si="75"/>
        <v>0</v>
      </c>
      <c r="K91" s="52" t="str">
        <f t="shared" si="76"/>
        <v/>
      </c>
      <c r="L91" s="48" t="str">
        <f t="shared" si="77"/>
        <v>#DIV/0!</v>
      </c>
      <c r="M91" s="50"/>
      <c r="N91" s="49">
        <f t="shared" si="78"/>
        <v>0</v>
      </c>
      <c r="R91" s="80" t="str">
        <f t="shared" si="57"/>
        <v/>
      </c>
    </row>
    <row r="92">
      <c r="A92" s="92"/>
      <c r="B92" s="46" t="s">
        <v>22</v>
      </c>
      <c r="C92" s="37"/>
      <c r="D92" s="37"/>
      <c r="E92" s="12">
        <f t="shared" si="73"/>
        <v>0</v>
      </c>
      <c r="F92" s="47"/>
      <c r="G92" s="14" t="str">
        <f t="shared" si="74"/>
        <v>#DIV/0!</v>
      </c>
      <c r="H92" s="37"/>
      <c r="I92" s="93"/>
      <c r="J92" s="37">
        <f t="shared" si="75"/>
        <v>0</v>
      </c>
      <c r="K92" s="52" t="str">
        <f t="shared" si="76"/>
        <v/>
      </c>
      <c r="L92" s="48" t="str">
        <f t="shared" si="77"/>
        <v>#DIV/0!</v>
      </c>
      <c r="M92" s="50"/>
      <c r="N92" s="49">
        <f t="shared" si="78"/>
        <v>0</v>
      </c>
      <c r="R92" s="80" t="str">
        <f t="shared" si="57"/>
        <v/>
      </c>
    </row>
    <row r="93">
      <c r="A93" s="97"/>
      <c r="B93" s="46" t="s">
        <v>22</v>
      </c>
      <c r="C93" s="55"/>
      <c r="D93" s="95"/>
      <c r="E93" s="25">
        <f t="shared" si="73"/>
        <v>0</v>
      </c>
      <c r="F93" s="47"/>
      <c r="G93" s="56" t="str">
        <f t="shared" si="74"/>
        <v>#DIV/0!</v>
      </c>
      <c r="H93" s="55"/>
      <c r="I93" s="57"/>
      <c r="J93" s="55">
        <f t="shared" si="75"/>
        <v>0</v>
      </c>
      <c r="K93" s="52" t="str">
        <f t="shared" si="76"/>
        <v/>
      </c>
      <c r="L93" s="77" t="str">
        <f t="shared" si="77"/>
        <v>#DIV/0!</v>
      </c>
      <c r="M93" s="96"/>
      <c r="N93" s="59">
        <f t="shared" si="78"/>
        <v>0</v>
      </c>
      <c r="R93" s="80" t="str">
        <f t="shared" si="57"/>
        <v/>
      </c>
    </row>
    <row r="94">
      <c r="A94" s="62"/>
      <c r="B94" s="63"/>
      <c r="C94" s="62"/>
      <c r="D94" s="64" t="s">
        <v>19</v>
      </c>
      <c r="E94" s="64">
        <f>sum(E87:E93)</f>
        <v>2319</v>
      </c>
      <c r="F94" s="64">
        <f>sum(F86:F93)</f>
        <v>280</v>
      </c>
      <c r="G94" s="65" t="str">
        <f>average(G87:G93)</f>
        <v>#DIV/0!</v>
      </c>
      <c r="H94" s="62"/>
      <c r="I94" s="66"/>
      <c r="J94" s="64">
        <f t="shared" ref="J94:K94" si="79">sum(J87:J93)</f>
        <v>2192</v>
      </c>
      <c r="K94" s="64">
        <f t="shared" si="79"/>
        <v>280</v>
      </c>
      <c r="L94" s="65" t="str">
        <f>average(L87:L93)</f>
        <v>#DIV/0!</v>
      </c>
      <c r="M94" s="68"/>
      <c r="N94" s="69">
        <f>sum(N87:N93)</f>
        <v>4861550</v>
      </c>
      <c r="R94" s="80" t="str">
        <f t="shared" si="57"/>
        <v/>
      </c>
    </row>
    <row r="95">
      <c r="A95" s="98">
        <v>46030.0</v>
      </c>
      <c r="B95" s="99" t="s">
        <v>38</v>
      </c>
      <c r="C95" s="100">
        <v>168294.0</v>
      </c>
      <c r="D95" s="37">
        <v>168804.0</v>
      </c>
      <c r="E95" s="38">
        <f t="shared" ref="E95:E100" si="80">D95-C95</f>
        <v>510</v>
      </c>
      <c r="F95" s="39">
        <v>65.0</v>
      </c>
      <c r="G95" s="14">
        <f t="shared" ref="G95:G100" si="81">(F95/E95)*100</f>
        <v>12.74509804</v>
      </c>
      <c r="H95" s="40">
        <v>23827.0</v>
      </c>
      <c r="I95" s="40">
        <v>24326.0</v>
      </c>
      <c r="J95" s="41">
        <f t="shared" ref="J95:J100" si="82">I95-H95</f>
        <v>499</v>
      </c>
      <c r="K95" s="81">
        <f t="shared" ref="K95:K100" si="83">F95</f>
        <v>65</v>
      </c>
      <c r="L95" s="71">
        <f t="shared" ref="L95:L100" si="84">(K95/J95)*100</f>
        <v>13.0260521</v>
      </c>
      <c r="M95" s="72">
        <v>17060.0</v>
      </c>
      <c r="N95" s="44">
        <f t="shared" ref="N95:N100" si="85">F95*M95</f>
        <v>1108900</v>
      </c>
      <c r="R95" s="80" t="str">
        <f t="shared" si="57"/>
        <v/>
      </c>
    </row>
    <row r="96">
      <c r="A96" s="101">
        <v>46036.0</v>
      </c>
      <c r="B96" s="46" t="s">
        <v>38</v>
      </c>
      <c r="C96" s="37">
        <v>168804.0</v>
      </c>
      <c r="D96" s="37">
        <v>169407.0</v>
      </c>
      <c r="E96" s="12">
        <f t="shared" si="80"/>
        <v>603</v>
      </c>
      <c r="F96" s="47">
        <v>72.0</v>
      </c>
      <c r="G96" s="14">
        <f t="shared" si="81"/>
        <v>11.94029851</v>
      </c>
      <c r="H96" s="40">
        <v>24326.0</v>
      </c>
      <c r="I96" s="40">
        <v>25004.0</v>
      </c>
      <c r="J96" s="37">
        <f t="shared" si="82"/>
        <v>678</v>
      </c>
      <c r="K96" s="52">
        <f t="shared" si="83"/>
        <v>72</v>
      </c>
      <c r="L96" s="48">
        <f t="shared" si="84"/>
        <v>10.61946903</v>
      </c>
      <c r="M96" s="72">
        <v>17060.0</v>
      </c>
      <c r="N96" s="49">
        <f t="shared" si="85"/>
        <v>1228320</v>
      </c>
      <c r="R96" s="80" t="str">
        <f t="shared" si="57"/>
        <v/>
      </c>
    </row>
    <row r="97">
      <c r="A97" s="101">
        <v>46041.0</v>
      </c>
      <c r="B97" s="46" t="s">
        <v>38</v>
      </c>
      <c r="C97" s="37">
        <v>169407.0</v>
      </c>
      <c r="D97" s="37">
        <v>169946.0</v>
      </c>
      <c r="E97" s="12">
        <f t="shared" si="80"/>
        <v>539</v>
      </c>
      <c r="F97" s="47">
        <v>63.0</v>
      </c>
      <c r="G97" s="14">
        <f t="shared" si="81"/>
        <v>11.68831169</v>
      </c>
      <c r="H97" s="40">
        <v>25004.0</v>
      </c>
      <c r="I97" s="40">
        <v>25464.0</v>
      </c>
      <c r="J97" s="37">
        <f t="shared" si="82"/>
        <v>460</v>
      </c>
      <c r="K97" s="52">
        <f t="shared" si="83"/>
        <v>63</v>
      </c>
      <c r="L97" s="48">
        <f t="shared" si="84"/>
        <v>13.69565217</v>
      </c>
      <c r="M97" s="50">
        <v>17280.0</v>
      </c>
      <c r="N97" s="49">
        <f t="shared" si="85"/>
        <v>1088640</v>
      </c>
      <c r="R97" s="80" t="str">
        <f t="shared" si="57"/>
        <v/>
      </c>
    </row>
    <row r="98">
      <c r="A98" s="101">
        <v>46048.0</v>
      </c>
      <c r="B98" s="46" t="s">
        <v>38</v>
      </c>
      <c r="C98" s="37">
        <v>169946.0</v>
      </c>
      <c r="D98" s="37">
        <v>170516.0</v>
      </c>
      <c r="E98" s="12">
        <f t="shared" si="80"/>
        <v>570</v>
      </c>
      <c r="F98" s="47">
        <v>67.0</v>
      </c>
      <c r="G98" s="14">
        <f t="shared" si="81"/>
        <v>11.75438596</v>
      </c>
      <c r="H98" s="40">
        <v>25464.0</v>
      </c>
      <c r="I98" s="40">
        <v>26034.0</v>
      </c>
      <c r="J98" s="37">
        <f t="shared" si="82"/>
        <v>570</v>
      </c>
      <c r="K98" s="52">
        <f t="shared" si="83"/>
        <v>67</v>
      </c>
      <c r="L98" s="48">
        <f t="shared" si="84"/>
        <v>11.75438596</v>
      </c>
      <c r="M98" s="50">
        <v>17700.0</v>
      </c>
      <c r="N98" s="49">
        <f t="shared" si="85"/>
        <v>1185900</v>
      </c>
      <c r="R98" s="80" t="str">
        <f t="shared" si="57"/>
        <v/>
      </c>
    </row>
    <row r="99">
      <c r="A99" s="101">
        <v>46108.0</v>
      </c>
      <c r="B99" s="46" t="s">
        <v>38</v>
      </c>
      <c r="C99" s="37">
        <v>170516.0</v>
      </c>
      <c r="D99" s="100"/>
      <c r="E99" s="12">
        <f t="shared" si="80"/>
        <v>-170516</v>
      </c>
      <c r="F99" s="47"/>
      <c r="G99" s="14">
        <f t="shared" si="81"/>
        <v>0</v>
      </c>
      <c r="H99" s="40">
        <v>26034.0</v>
      </c>
      <c r="I99" s="40"/>
      <c r="J99" s="37">
        <f t="shared" si="82"/>
        <v>-26034</v>
      </c>
      <c r="K99" s="52" t="str">
        <f t="shared" si="83"/>
        <v/>
      </c>
      <c r="L99" s="48">
        <f t="shared" si="84"/>
        <v>0</v>
      </c>
      <c r="M99" s="50"/>
      <c r="N99" s="49">
        <f t="shared" si="85"/>
        <v>0</v>
      </c>
      <c r="R99" s="80" t="str">
        <f t="shared" si="57"/>
        <v/>
      </c>
    </row>
    <row r="100">
      <c r="A100" s="102"/>
      <c r="B100" s="103" t="s">
        <v>38</v>
      </c>
      <c r="C100" s="104"/>
      <c r="D100" s="105"/>
      <c r="E100" s="12">
        <f t="shared" si="80"/>
        <v>0</v>
      </c>
      <c r="F100" s="47"/>
      <c r="G100" s="106" t="str">
        <f t="shared" si="81"/>
        <v>#DIV/0!</v>
      </c>
      <c r="H100" s="107"/>
      <c r="I100" s="108"/>
      <c r="J100" s="107">
        <f t="shared" si="82"/>
        <v>0</v>
      </c>
      <c r="K100" s="52" t="str">
        <f t="shared" si="83"/>
        <v/>
      </c>
      <c r="L100" s="109" t="str">
        <f t="shared" si="84"/>
        <v>#DIV/0!</v>
      </c>
      <c r="M100" s="110"/>
      <c r="N100" s="111">
        <f t="shared" si="85"/>
        <v>0</v>
      </c>
      <c r="R100" s="80" t="str">
        <f t="shared" si="57"/>
        <v/>
      </c>
    </row>
    <row r="101">
      <c r="A101" s="112"/>
      <c r="B101" s="113"/>
      <c r="C101" s="114"/>
      <c r="D101" s="115" t="s">
        <v>19</v>
      </c>
      <c r="E101" s="116">
        <f>SUM(E95:E100)</f>
        <v>-168294</v>
      </c>
      <c r="F101" s="64">
        <f>sum(F93:F100)</f>
        <v>547</v>
      </c>
      <c r="G101" s="117" t="str">
        <f>average(G95:G100)</f>
        <v>#DIV/0!</v>
      </c>
      <c r="H101" s="114"/>
      <c r="I101" s="118"/>
      <c r="J101" s="115">
        <f t="shared" ref="J101:K101" si="86">sum(J95:J100)</f>
        <v>-23827</v>
      </c>
      <c r="K101" s="115">
        <f t="shared" si="86"/>
        <v>267</v>
      </c>
      <c r="L101" s="119" t="str">
        <f>average(L95:L100)</f>
        <v>#DIV/0!</v>
      </c>
      <c r="M101" s="120"/>
      <c r="N101" s="121">
        <f>sum(N95:N100)</f>
        <v>4611760</v>
      </c>
      <c r="R101" s="80" t="str">
        <f t="shared" si="57"/>
        <v/>
      </c>
    </row>
    <row r="102">
      <c r="A102" s="122">
        <v>46031.0</v>
      </c>
      <c r="B102" s="123" t="s">
        <v>39</v>
      </c>
      <c r="C102" s="37">
        <v>120450.0</v>
      </c>
      <c r="D102" s="37">
        <v>121262.0</v>
      </c>
      <c r="E102" s="38">
        <f t="shared" ref="E102:E108" si="87">D102-C102</f>
        <v>812</v>
      </c>
      <c r="F102" s="39">
        <v>86.0</v>
      </c>
      <c r="G102" s="124">
        <f t="shared" ref="G102:G108" si="88">(F102/E102)*100</f>
        <v>10.591133</v>
      </c>
      <c r="H102" s="40">
        <v>24846.0</v>
      </c>
      <c r="I102" s="40">
        <v>25810.0</v>
      </c>
      <c r="J102" s="89">
        <f t="shared" ref="J102:J108" si="89">I102-H102</f>
        <v>964</v>
      </c>
      <c r="K102" s="52">
        <f t="shared" ref="K102:K108" si="90">F102</f>
        <v>86</v>
      </c>
      <c r="L102" s="125">
        <f t="shared" ref="L102:L108" si="91">(K102/J102)*100</f>
        <v>8.921161826</v>
      </c>
      <c r="M102" s="126">
        <v>17060.0</v>
      </c>
      <c r="N102" s="49">
        <f t="shared" ref="N102:N108" si="92">F102*M102</f>
        <v>1467160</v>
      </c>
      <c r="R102" s="80" t="str">
        <f t="shared" si="57"/>
        <v/>
      </c>
    </row>
    <row r="103">
      <c r="A103" s="127">
        <v>46041.0</v>
      </c>
      <c r="B103" s="46" t="s">
        <v>39</v>
      </c>
      <c r="C103" s="37">
        <v>121262.0</v>
      </c>
      <c r="D103" s="37">
        <v>122078.0</v>
      </c>
      <c r="E103" s="12">
        <f t="shared" si="87"/>
        <v>816</v>
      </c>
      <c r="F103" s="47">
        <v>88.0</v>
      </c>
      <c r="G103" s="14">
        <f t="shared" si="88"/>
        <v>10.78431373</v>
      </c>
      <c r="H103" s="40">
        <v>25810.0</v>
      </c>
      <c r="I103" s="16">
        <v>26470.0</v>
      </c>
      <c r="J103" s="37">
        <f t="shared" si="89"/>
        <v>660</v>
      </c>
      <c r="K103" s="52">
        <f t="shared" si="90"/>
        <v>88</v>
      </c>
      <c r="L103" s="48">
        <f t="shared" si="91"/>
        <v>13.33333333</v>
      </c>
      <c r="M103" s="50">
        <v>17280.0</v>
      </c>
      <c r="N103" s="49">
        <f t="shared" si="92"/>
        <v>1520640</v>
      </c>
      <c r="R103" s="80" t="str">
        <f t="shared" si="57"/>
        <v/>
      </c>
      <c r="S103" s="257"/>
      <c r="T103" s="257"/>
      <c r="U103" s="257"/>
      <c r="V103" s="257"/>
      <c r="W103" s="257"/>
      <c r="X103" s="257"/>
      <c r="Y103" s="257"/>
      <c r="Z103" s="257"/>
    </row>
    <row r="104">
      <c r="A104" s="127">
        <v>46049.0</v>
      </c>
      <c r="B104" s="46" t="s">
        <v>39</v>
      </c>
      <c r="C104" s="37">
        <v>122078.0</v>
      </c>
      <c r="D104" s="37">
        <v>122830.0</v>
      </c>
      <c r="E104" s="12">
        <f t="shared" si="87"/>
        <v>752</v>
      </c>
      <c r="F104" s="47">
        <v>77.0</v>
      </c>
      <c r="G104" s="14">
        <f t="shared" si="88"/>
        <v>10.2393617</v>
      </c>
      <c r="H104" s="263">
        <v>26470.0</v>
      </c>
      <c r="I104" s="262">
        <v>27154.0</v>
      </c>
      <c r="J104" s="37">
        <f t="shared" si="89"/>
        <v>684</v>
      </c>
      <c r="K104" s="52">
        <f t="shared" si="90"/>
        <v>77</v>
      </c>
      <c r="L104" s="48">
        <f t="shared" si="91"/>
        <v>11.25730994</v>
      </c>
      <c r="M104" s="50">
        <v>17700.0</v>
      </c>
      <c r="N104" s="49">
        <f t="shared" si="92"/>
        <v>1362900</v>
      </c>
      <c r="P104" s="82"/>
      <c r="R104" s="80" t="str">
        <f t="shared" si="57"/>
        <v/>
      </c>
    </row>
    <row r="105">
      <c r="A105" s="127"/>
      <c r="B105" s="46" t="s">
        <v>39</v>
      </c>
      <c r="C105" s="37"/>
      <c r="D105" s="37"/>
      <c r="E105" s="12">
        <f t="shared" si="87"/>
        <v>0</v>
      </c>
      <c r="F105" s="47"/>
      <c r="G105" s="14" t="str">
        <f t="shared" si="88"/>
        <v>#DIV/0!</v>
      </c>
      <c r="H105" s="40"/>
      <c r="I105" s="40"/>
      <c r="J105" s="37">
        <f t="shared" si="89"/>
        <v>0</v>
      </c>
      <c r="K105" s="52" t="str">
        <f t="shared" si="90"/>
        <v/>
      </c>
      <c r="L105" s="48" t="str">
        <f t="shared" si="91"/>
        <v>#DIV/0!</v>
      </c>
      <c r="M105" s="50"/>
      <c r="N105" s="49">
        <f t="shared" si="92"/>
        <v>0</v>
      </c>
      <c r="R105" s="80" t="str">
        <f t="shared" si="57"/>
        <v/>
      </c>
    </row>
    <row r="106">
      <c r="A106" s="35"/>
      <c r="B106" s="46" t="s">
        <v>39</v>
      </c>
      <c r="C106" s="37"/>
      <c r="D106" s="37"/>
      <c r="E106" s="12">
        <f t="shared" si="87"/>
        <v>0</v>
      </c>
      <c r="F106" s="47"/>
      <c r="G106" s="14" t="str">
        <f t="shared" si="88"/>
        <v>#DIV/0!</v>
      </c>
      <c r="H106" s="37"/>
      <c r="I106" s="40"/>
      <c r="J106" s="37">
        <f t="shared" si="89"/>
        <v>0</v>
      </c>
      <c r="K106" s="52" t="str">
        <f t="shared" si="90"/>
        <v/>
      </c>
      <c r="L106" s="48" t="str">
        <f t="shared" si="91"/>
        <v>#DIV/0!</v>
      </c>
      <c r="M106" s="50"/>
      <c r="N106" s="49">
        <f t="shared" si="92"/>
        <v>0</v>
      </c>
      <c r="R106" s="80" t="str">
        <f t="shared" si="57"/>
        <v/>
      </c>
    </row>
    <row r="107">
      <c r="A107" s="258"/>
      <c r="B107" s="46" t="s">
        <v>39</v>
      </c>
      <c r="C107" s="37"/>
      <c r="D107" s="133"/>
      <c r="E107" s="12">
        <f t="shared" si="87"/>
        <v>0</v>
      </c>
      <c r="F107" s="47"/>
      <c r="G107" s="14" t="str">
        <f t="shared" si="88"/>
        <v>#DIV/0!</v>
      </c>
      <c r="H107" s="37"/>
      <c r="I107" s="93"/>
      <c r="J107" s="37">
        <f t="shared" si="89"/>
        <v>0</v>
      </c>
      <c r="K107" s="52" t="str">
        <f t="shared" si="90"/>
        <v/>
      </c>
      <c r="L107" s="48" t="str">
        <f t="shared" si="91"/>
        <v>#DIV/0!</v>
      </c>
      <c r="M107" s="134"/>
      <c r="N107" s="49">
        <f t="shared" si="92"/>
        <v>0</v>
      </c>
      <c r="R107" s="80" t="str">
        <f t="shared" si="57"/>
        <v/>
      </c>
    </row>
    <row r="108">
      <c r="A108" s="94"/>
      <c r="B108" s="46" t="s">
        <v>39</v>
      </c>
      <c r="C108" s="55"/>
      <c r="D108" s="95"/>
      <c r="E108" s="25">
        <f t="shared" si="87"/>
        <v>0</v>
      </c>
      <c r="F108" s="47"/>
      <c r="G108" s="56" t="str">
        <f t="shared" si="88"/>
        <v>#DIV/0!</v>
      </c>
      <c r="H108" s="55"/>
      <c r="I108" s="85"/>
      <c r="J108" s="55">
        <f t="shared" si="89"/>
        <v>0</v>
      </c>
      <c r="K108" s="52" t="str">
        <f t="shared" si="90"/>
        <v/>
      </c>
      <c r="L108" s="77" t="str">
        <f t="shared" si="91"/>
        <v>#DIV/0!</v>
      </c>
      <c r="M108" s="96"/>
      <c r="N108" s="49">
        <f t="shared" si="92"/>
        <v>0</v>
      </c>
      <c r="R108" s="80" t="str">
        <f t="shared" si="57"/>
        <v/>
      </c>
    </row>
    <row r="109">
      <c r="A109" s="62"/>
      <c r="B109" s="63"/>
      <c r="C109" s="62"/>
      <c r="D109" s="64" t="s">
        <v>19</v>
      </c>
      <c r="E109" s="64">
        <f>sum(E95:E108)</f>
        <v>-334208</v>
      </c>
      <c r="F109" s="64">
        <f>sum(F101:F108)</f>
        <v>798</v>
      </c>
      <c r="G109" s="65" t="str">
        <f>average(G95:G108)</f>
        <v>#DIV/0!</v>
      </c>
      <c r="H109" s="62"/>
      <c r="I109" s="66"/>
      <c r="J109" s="64">
        <f t="shared" ref="J109:K109" si="93">sum(J95:J108)</f>
        <v>-45346</v>
      </c>
      <c r="K109" s="64">
        <f t="shared" si="93"/>
        <v>785</v>
      </c>
      <c r="L109" s="65" t="str">
        <f>average(L95:L108)</f>
        <v>#DIV/0!</v>
      </c>
      <c r="M109" s="68"/>
      <c r="N109" s="69">
        <f>sum(N102:N108)</f>
        <v>4350700</v>
      </c>
      <c r="R109" s="80" t="str">
        <f t="shared" si="57"/>
        <v/>
      </c>
    </row>
    <row r="110">
      <c r="A110" s="70">
        <v>46024.0</v>
      </c>
      <c r="B110" s="99" t="s">
        <v>40</v>
      </c>
      <c r="C110" s="13">
        <v>116062.0</v>
      </c>
      <c r="D110" s="37">
        <v>116742.0</v>
      </c>
      <c r="E110" s="38">
        <f t="shared" ref="E110:E116" si="94">D110-C110</f>
        <v>680</v>
      </c>
      <c r="F110" s="39">
        <v>78.0</v>
      </c>
      <c r="G110" s="14">
        <f t="shared" ref="G110:G116" si="95">(F110/E110)*100</f>
        <v>11.47058824</v>
      </c>
      <c r="H110" s="40">
        <v>114389.0</v>
      </c>
      <c r="I110" s="40">
        <v>115026.0</v>
      </c>
      <c r="J110" s="41">
        <f t="shared" ref="J110:J116" si="96">I110-H110</f>
        <v>637</v>
      </c>
      <c r="K110" s="81">
        <f t="shared" ref="K110:K116" si="97">F110</f>
        <v>78</v>
      </c>
      <c r="L110" s="71">
        <f t="shared" ref="L110:L116" si="98">(K110/J110)*100</f>
        <v>12.24489796</v>
      </c>
      <c r="M110" s="72">
        <v>17250.0</v>
      </c>
      <c r="N110" s="44">
        <f t="shared" ref="N110:N116" si="99">F110*M110</f>
        <v>1345500</v>
      </c>
      <c r="R110" s="80" t="str">
        <f t="shared" si="57"/>
        <v/>
      </c>
    </row>
    <row r="111">
      <c r="A111" s="45">
        <v>46033.0</v>
      </c>
      <c r="B111" s="51" t="s">
        <v>40</v>
      </c>
      <c r="C111" s="37">
        <v>116742.0</v>
      </c>
      <c r="D111" s="11">
        <v>117496.0</v>
      </c>
      <c r="E111" s="53">
        <f t="shared" si="94"/>
        <v>754</v>
      </c>
      <c r="F111" s="54">
        <v>85.0</v>
      </c>
      <c r="G111" s="14">
        <f t="shared" si="95"/>
        <v>11.27320955</v>
      </c>
      <c r="H111" s="40">
        <v>115026.0</v>
      </c>
      <c r="I111" s="40">
        <v>115724.0</v>
      </c>
      <c r="J111" s="37">
        <f t="shared" si="96"/>
        <v>698</v>
      </c>
      <c r="K111" s="52">
        <f t="shared" si="97"/>
        <v>85</v>
      </c>
      <c r="L111" s="48">
        <f t="shared" si="98"/>
        <v>12.17765043</v>
      </c>
      <c r="M111" s="50">
        <v>17060.0</v>
      </c>
      <c r="N111" s="49">
        <f t="shared" si="99"/>
        <v>1450100</v>
      </c>
      <c r="R111" s="80" t="str">
        <f t="shared" si="57"/>
        <v/>
      </c>
    </row>
    <row r="112">
      <c r="A112" s="35">
        <v>46039.0</v>
      </c>
      <c r="B112" s="46" t="s">
        <v>40</v>
      </c>
      <c r="C112" s="11">
        <v>117496.0</v>
      </c>
      <c r="D112" s="13">
        <v>118215.0</v>
      </c>
      <c r="E112" s="12">
        <f t="shared" si="94"/>
        <v>719</v>
      </c>
      <c r="F112" s="47">
        <v>77.0</v>
      </c>
      <c r="G112" s="14">
        <f t="shared" si="95"/>
        <v>10.7093185</v>
      </c>
      <c r="H112" s="40">
        <v>115724.0</v>
      </c>
      <c r="I112" s="40">
        <v>116396.0</v>
      </c>
      <c r="J112" s="37">
        <f t="shared" si="96"/>
        <v>672</v>
      </c>
      <c r="K112" s="52">
        <f t="shared" si="97"/>
        <v>77</v>
      </c>
      <c r="L112" s="48">
        <f t="shared" si="98"/>
        <v>11.45833333</v>
      </c>
      <c r="M112" s="50">
        <v>17280.0</v>
      </c>
      <c r="N112" s="49">
        <f t="shared" si="99"/>
        <v>1330560</v>
      </c>
      <c r="R112" s="80" t="str">
        <f t="shared" si="57"/>
        <v/>
      </c>
    </row>
    <row r="113">
      <c r="A113" s="35">
        <v>46047.0</v>
      </c>
      <c r="B113" s="46" t="s">
        <v>40</v>
      </c>
      <c r="C113" s="13">
        <v>118215.0</v>
      </c>
      <c r="D113" s="13">
        <v>118825.0</v>
      </c>
      <c r="E113" s="12">
        <f t="shared" si="94"/>
        <v>610</v>
      </c>
      <c r="F113" s="47">
        <v>70.0</v>
      </c>
      <c r="G113" s="14">
        <f t="shared" si="95"/>
        <v>11.47540984</v>
      </c>
      <c r="H113" s="40">
        <v>116396.0</v>
      </c>
      <c r="I113" s="40">
        <v>117012.0</v>
      </c>
      <c r="J113" s="37">
        <f t="shared" si="96"/>
        <v>616</v>
      </c>
      <c r="K113" s="52">
        <f t="shared" si="97"/>
        <v>70</v>
      </c>
      <c r="L113" s="48">
        <f t="shared" si="98"/>
        <v>11.36363636</v>
      </c>
      <c r="M113" s="50">
        <v>17700.0</v>
      </c>
      <c r="N113" s="49">
        <f t="shared" si="99"/>
        <v>1239000</v>
      </c>
      <c r="R113" s="80" t="str">
        <f t="shared" si="57"/>
        <v/>
      </c>
    </row>
    <row r="114">
      <c r="A114" s="35"/>
      <c r="B114" s="46" t="s">
        <v>40</v>
      </c>
      <c r="C114" s="13"/>
      <c r="D114" s="37"/>
      <c r="E114" s="12">
        <f t="shared" si="94"/>
        <v>0</v>
      </c>
      <c r="F114" s="47"/>
      <c r="G114" s="14" t="str">
        <f t="shared" si="95"/>
        <v>#DIV/0!</v>
      </c>
      <c r="H114" s="40"/>
      <c r="I114" s="40"/>
      <c r="J114" s="37">
        <f t="shared" si="96"/>
        <v>0</v>
      </c>
      <c r="K114" s="52" t="str">
        <f t="shared" si="97"/>
        <v/>
      </c>
      <c r="L114" s="48" t="str">
        <f t="shared" si="98"/>
        <v>#DIV/0!</v>
      </c>
      <c r="M114" s="50"/>
      <c r="N114" s="49">
        <f t="shared" si="99"/>
        <v>0</v>
      </c>
      <c r="R114" s="80" t="str">
        <f t="shared" si="57"/>
        <v/>
      </c>
    </row>
    <row r="115">
      <c r="A115" s="132"/>
      <c r="B115" s="46" t="s">
        <v>40</v>
      </c>
      <c r="C115" s="37"/>
      <c r="D115" s="133"/>
      <c r="E115" s="12">
        <f t="shared" si="94"/>
        <v>0</v>
      </c>
      <c r="F115" s="47"/>
      <c r="G115" s="14" t="str">
        <f t="shared" si="95"/>
        <v>#DIV/0!</v>
      </c>
      <c r="H115" s="37"/>
      <c r="I115" s="40"/>
      <c r="J115" s="37">
        <f t="shared" si="96"/>
        <v>0</v>
      </c>
      <c r="K115" s="52" t="str">
        <f t="shared" si="97"/>
        <v/>
      </c>
      <c r="L115" s="48" t="str">
        <f t="shared" si="98"/>
        <v>#DIV/0!</v>
      </c>
      <c r="M115" s="134"/>
      <c r="N115" s="49">
        <f t="shared" si="99"/>
        <v>0</v>
      </c>
      <c r="R115" s="80" t="str">
        <f t="shared" si="57"/>
        <v/>
      </c>
    </row>
    <row r="116">
      <c r="A116" s="94"/>
      <c r="B116" s="46" t="s">
        <v>40</v>
      </c>
      <c r="C116" s="55"/>
      <c r="D116" s="95"/>
      <c r="E116" s="25">
        <f t="shared" si="94"/>
        <v>0</v>
      </c>
      <c r="F116" s="47"/>
      <c r="G116" s="56" t="str">
        <f t="shared" si="95"/>
        <v>#DIV/0!</v>
      </c>
      <c r="H116" s="55"/>
      <c r="I116" s="85"/>
      <c r="J116" s="55">
        <f t="shared" si="96"/>
        <v>0</v>
      </c>
      <c r="K116" s="52" t="str">
        <f t="shared" si="97"/>
        <v/>
      </c>
      <c r="L116" s="77" t="str">
        <f t="shared" si="98"/>
        <v>#DIV/0!</v>
      </c>
      <c r="M116" s="96"/>
      <c r="N116" s="59">
        <f t="shared" si="99"/>
        <v>0</v>
      </c>
      <c r="R116" s="80" t="str">
        <f t="shared" si="57"/>
        <v/>
      </c>
    </row>
    <row r="117">
      <c r="A117" s="62"/>
      <c r="B117" s="63"/>
      <c r="C117" s="62"/>
      <c r="D117" s="64" t="s">
        <v>19</v>
      </c>
      <c r="E117" s="64">
        <f>sum(E110:E116)</f>
        <v>2763</v>
      </c>
      <c r="F117" s="39"/>
      <c r="G117" s="65" t="str">
        <f>average(G110:G116)</f>
        <v>#DIV/0!</v>
      </c>
      <c r="H117" s="62"/>
      <c r="I117" s="66"/>
      <c r="J117" s="64">
        <f t="shared" ref="J117:K117" si="100">sum(J110:J116)</f>
        <v>2623</v>
      </c>
      <c r="K117" s="64">
        <f t="shared" si="100"/>
        <v>310</v>
      </c>
      <c r="L117" s="65" t="str">
        <f>average(L110:L116)</f>
        <v>#DIV/0!</v>
      </c>
      <c r="M117" s="68"/>
      <c r="N117" s="69">
        <f>sum(N110:N116)</f>
        <v>5365160</v>
      </c>
      <c r="R117" s="80" t="str">
        <f t="shared" si="57"/>
        <v/>
      </c>
    </row>
    <row r="118">
      <c r="A118" s="70">
        <v>46027.0</v>
      </c>
      <c r="B118" s="99" t="s">
        <v>41</v>
      </c>
      <c r="C118" s="37">
        <v>171903.0</v>
      </c>
      <c r="D118" s="37">
        <v>172618.0</v>
      </c>
      <c r="E118" s="38">
        <f t="shared" ref="E118:E124" si="101">D118-C118</f>
        <v>715</v>
      </c>
      <c r="F118" s="39">
        <v>79.0</v>
      </c>
      <c r="G118" s="14">
        <f t="shared" ref="G118:G124" si="102">(F118/E118)*100</f>
        <v>11.04895105</v>
      </c>
      <c r="H118" s="40">
        <v>13200.0</v>
      </c>
      <c r="I118" s="40">
        <v>13890.0</v>
      </c>
      <c r="J118" s="41">
        <f t="shared" ref="J118:J124" si="103">I118-H118</f>
        <v>690</v>
      </c>
      <c r="K118" s="81">
        <f t="shared" ref="K118:K124" si="104">F118</f>
        <v>79</v>
      </c>
      <c r="L118" s="71">
        <f t="shared" ref="L118:L124" si="105">(K118/J118)*100</f>
        <v>11.44927536</v>
      </c>
      <c r="M118" s="43">
        <v>17250.0</v>
      </c>
      <c r="N118" s="44">
        <f t="shared" ref="N118:N124" si="106">F118*M118</f>
        <v>1362750</v>
      </c>
      <c r="R118" s="80" t="str">
        <f t="shared" si="57"/>
        <v/>
      </c>
    </row>
    <row r="119">
      <c r="A119" s="128">
        <v>46036.0</v>
      </c>
      <c r="B119" s="129" t="s">
        <v>41</v>
      </c>
      <c r="C119" s="37">
        <v>172618.0</v>
      </c>
      <c r="D119" s="53">
        <v>173332.0</v>
      </c>
      <c r="E119" s="53">
        <f t="shared" si="101"/>
        <v>714</v>
      </c>
      <c r="F119" s="130">
        <v>77.0</v>
      </c>
      <c r="G119" s="14">
        <f t="shared" si="102"/>
        <v>10.78431373</v>
      </c>
      <c r="H119" s="40">
        <v>13890.0</v>
      </c>
      <c r="I119" s="40">
        <v>14699.0</v>
      </c>
      <c r="J119" s="37">
        <f t="shared" si="103"/>
        <v>809</v>
      </c>
      <c r="K119" s="52">
        <f t="shared" si="104"/>
        <v>77</v>
      </c>
      <c r="L119" s="48">
        <f t="shared" si="105"/>
        <v>9.517923362</v>
      </c>
      <c r="M119" s="50">
        <v>17060.0</v>
      </c>
      <c r="N119" s="131">
        <f t="shared" si="106"/>
        <v>1313620</v>
      </c>
      <c r="R119" s="80" t="str">
        <f t="shared" si="57"/>
        <v/>
      </c>
    </row>
    <row r="120">
      <c r="A120" s="128">
        <v>46042.0</v>
      </c>
      <c r="B120" s="129" t="s">
        <v>41</v>
      </c>
      <c r="C120" s="53">
        <v>173332.0</v>
      </c>
      <c r="D120" s="53">
        <v>174060.0</v>
      </c>
      <c r="E120" s="53">
        <f t="shared" si="101"/>
        <v>728</v>
      </c>
      <c r="F120" s="130">
        <v>76.0</v>
      </c>
      <c r="G120" s="14">
        <f t="shared" si="102"/>
        <v>10.43956044</v>
      </c>
      <c r="H120" s="40">
        <v>14699.0</v>
      </c>
      <c r="I120" s="37">
        <v>15310.0</v>
      </c>
      <c r="J120" s="37">
        <f t="shared" si="103"/>
        <v>611</v>
      </c>
      <c r="K120" s="52">
        <f t="shared" si="104"/>
        <v>76</v>
      </c>
      <c r="L120" s="48">
        <f t="shared" si="105"/>
        <v>12.4386252</v>
      </c>
      <c r="M120" s="50">
        <v>17280.0</v>
      </c>
      <c r="N120" s="131">
        <f t="shared" si="106"/>
        <v>1313280</v>
      </c>
      <c r="R120" s="80" t="str">
        <f t="shared" si="57"/>
        <v/>
      </c>
    </row>
    <row r="121">
      <c r="A121" s="35">
        <v>46049.0</v>
      </c>
      <c r="B121" s="46" t="s">
        <v>41</v>
      </c>
      <c r="C121" s="53">
        <v>174060.0</v>
      </c>
      <c r="D121" s="37">
        <v>174834.0</v>
      </c>
      <c r="E121" s="12">
        <f t="shared" si="101"/>
        <v>774</v>
      </c>
      <c r="F121" s="47">
        <v>70.0</v>
      </c>
      <c r="G121" s="14">
        <f t="shared" si="102"/>
        <v>9.043927649</v>
      </c>
      <c r="H121" s="37">
        <v>15310.0</v>
      </c>
      <c r="I121" s="40">
        <v>15964.0</v>
      </c>
      <c r="J121" s="37">
        <f t="shared" si="103"/>
        <v>654</v>
      </c>
      <c r="K121" s="52">
        <f t="shared" si="104"/>
        <v>70</v>
      </c>
      <c r="L121" s="48">
        <f t="shared" si="105"/>
        <v>10.70336391</v>
      </c>
      <c r="M121" s="50">
        <v>17700.0</v>
      </c>
      <c r="N121" s="131">
        <f t="shared" si="106"/>
        <v>1239000</v>
      </c>
      <c r="R121" s="80" t="str">
        <f t="shared" si="57"/>
        <v/>
      </c>
    </row>
    <row r="122">
      <c r="A122" s="136"/>
      <c r="B122" s="51" t="s">
        <v>41</v>
      </c>
      <c r="C122" s="52"/>
      <c r="D122" s="52"/>
      <c r="E122" s="12">
        <f t="shared" si="101"/>
        <v>0</v>
      </c>
      <c r="F122" s="47"/>
      <c r="G122" s="14" t="str">
        <f t="shared" si="102"/>
        <v>#DIV/0!</v>
      </c>
      <c r="H122" s="37"/>
      <c r="I122" s="40"/>
      <c r="J122" s="37">
        <f t="shared" si="103"/>
        <v>0</v>
      </c>
      <c r="K122" s="52" t="str">
        <f t="shared" si="104"/>
        <v/>
      </c>
      <c r="L122" s="48" t="str">
        <f t="shared" si="105"/>
        <v>#DIV/0!</v>
      </c>
      <c r="M122" s="50"/>
      <c r="N122" s="131">
        <f t="shared" si="106"/>
        <v>0</v>
      </c>
      <c r="R122" s="80" t="str">
        <f t="shared" si="57"/>
        <v/>
      </c>
    </row>
    <row r="123">
      <c r="A123" s="132"/>
      <c r="B123" s="46" t="s">
        <v>41</v>
      </c>
      <c r="C123" s="37"/>
      <c r="D123" s="133"/>
      <c r="E123" s="12">
        <f t="shared" si="101"/>
        <v>0</v>
      </c>
      <c r="F123" s="47"/>
      <c r="G123" s="14" t="str">
        <f t="shared" si="102"/>
        <v>#DIV/0!</v>
      </c>
      <c r="H123" s="37"/>
      <c r="I123" s="40"/>
      <c r="J123" s="37">
        <f t="shared" si="103"/>
        <v>0</v>
      </c>
      <c r="K123" s="52" t="str">
        <f t="shared" si="104"/>
        <v/>
      </c>
      <c r="L123" s="48" t="str">
        <f t="shared" si="105"/>
        <v>#DIV/0!</v>
      </c>
      <c r="M123" s="134"/>
      <c r="N123" s="131">
        <f t="shared" si="106"/>
        <v>0</v>
      </c>
      <c r="R123" s="80" t="str">
        <f t="shared" si="57"/>
        <v/>
      </c>
    </row>
    <row r="124">
      <c r="A124" s="94"/>
      <c r="B124" s="46" t="s">
        <v>41</v>
      </c>
      <c r="C124" s="55"/>
      <c r="D124" s="95"/>
      <c r="E124" s="25">
        <f t="shared" si="101"/>
        <v>0</v>
      </c>
      <c r="F124" s="47"/>
      <c r="G124" s="56" t="str">
        <f t="shared" si="102"/>
        <v>#DIV/0!</v>
      </c>
      <c r="H124" s="55"/>
      <c r="I124" s="85"/>
      <c r="J124" s="55">
        <f t="shared" si="103"/>
        <v>0</v>
      </c>
      <c r="K124" s="52" t="str">
        <f t="shared" si="104"/>
        <v/>
      </c>
      <c r="L124" s="77" t="str">
        <f t="shared" si="105"/>
        <v>#DIV/0!</v>
      </c>
      <c r="M124" s="96"/>
      <c r="N124" s="135">
        <f t="shared" si="106"/>
        <v>0</v>
      </c>
      <c r="R124" s="80" t="str">
        <f t="shared" si="57"/>
        <v/>
      </c>
    </row>
    <row r="125">
      <c r="A125" s="62"/>
      <c r="B125" s="63"/>
      <c r="C125" s="62"/>
      <c r="D125" s="64" t="s">
        <v>19</v>
      </c>
      <c r="E125" s="64">
        <f>sum(E118:E124)</f>
        <v>2931</v>
      </c>
      <c r="F125" s="64">
        <f>sum(F117:F124)</f>
        <v>302</v>
      </c>
      <c r="G125" s="65" t="str">
        <f>average(G118:G124)</f>
        <v>#DIV/0!</v>
      </c>
      <c r="H125" s="62"/>
      <c r="I125" s="66"/>
      <c r="J125" s="64">
        <f t="shared" ref="J125:K125" si="107">sum(J118:J124)</f>
        <v>2764</v>
      </c>
      <c r="K125" s="64">
        <f t="shared" si="107"/>
        <v>302</v>
      </c>
      <c r="L125" s="65" t="str">
        <f>average(L118:L124)</f>
        <v>#DIV/0!</v>
      </c>
      <c r="M125" s="68"/>
      <c r="N125" s="69">
        <f>sum(N118:N124)</f>
        <v>5228650</v>
      </c>
      <c r="R125" s="80" t="str">
        <f t="shared" si="57"/>
        <v/>
      </c>
    </row>
    <row r="126">
      <c r="A126" s="70">
        <v>45660.0</v>
      </c>
      <c r="B126" s="99" t="s">
        <v>27</v>
      </c>
      <c r="C126" s="89"/>
      <c r="D126" s="13"/>
      <c r="E126" s="38">
        <f t="shared" ref="E126:E133" si="108">D126-C126</f>
        <v>0</v>
      </c>
      <c r="F126" s="39">
        <v>61.0</v>
      </c>
      <c r="G126" s="14" t="str">
        <f t="shared" ref="G126:G133" si="109">(F126/E126)*100</f>
        <v>#DIV/0!</v>
      </c>
      <c r="H126" s="137"/>
      <c r="I126" s="138"/>
      <c r="J126" s="41">
        <f t="shared" ref="J126:J133" si="110">I126-H126</f>
        <v>0</v>
      </c>
      <c r="K126" s="52">
        <f t="shared" ref="K126:K130" si="111">F126</f>
        <v>61</v>
      </c>
      <c r="L126" s="71" t="str">
        <f t="shared" ref="L126:L133" si="112">(K126/J126)*100</f>
        <v>#DIV/0!</v>
      </c>
      <c r="M126" s="72">
        <v>17250.0</v>
      </c>
      <c r="N126" s="44">
        <f t="shared" ref="N126:N133" si="113">M126*K126</f>
        <v>1052250</v>
      </c>
      <c r="R126" s="80" t="str">
        <f t="shared" si="57"/>
        <v/>
      </c>
    </row>
    <row r="127">
      <c r="A127" s="35">
        <v>46029.0</v>
      </c>
      <c r="B127" s="46" t="s">
        <v>27</v>
      </c>
      <c r="C127" s="37"/>
      <c r="D127" s="13"/>
      <c r="E127" s="12">
        <f t="shared" si="108"/>
        <v>0</v>
      </c>
      <c r="F127" s="47">
        <v>56.0</v>
      </c>
      <c r="G127" s="14" t="str">
        <f t="shared" si="109"/>
        <v>#DIV/0!</v>
      </c>
      <c r="H127" s="40"/>
      <c r="I127" s="40"/>
      <c r="J127" s="37">
        <f t="shared" si="110"/>
        <v>0</v>
      </c>
      <c r="K127" s="52">
        <f t="shared" si="111"/>
        <v>56</v>
      </c>
      <c r="L127" s="48" t="str">
        <f t="shared" si="112"/>
        <v>#DIV/0!</v>
      </c>
      <c r="M127" s="50">
        <v>17250.0</v>
      </c>
      <c r="N127" s="49">
        <f t="shared" si="113"/>
        <v>966000</v>
      </c>
      <c r="R127" s="80" t="str">
        <f t="shared" si="57"/>
        <v/>
      </c>
    </row>
    <row r="128">
      <c r="A128" s="35">
        <v>46035.0</v>
      </c>
      <c r="B128" s="46" t="s">
        <v>27</v>
      </c>
      <c r="C128" s="37"/>
      <c r="D128" s="37"/>
      <c r="E128" s="12">
        <f t="shared" si="108"/>
        <v>0</v>
      </c>
      <c r="F128" s="47">
        <v>61.0</v>
      </c>
      <c r="G128" s="14" t="str">
        <f t="shared" si="109"/>
        <v>#DIV/0!</v>
      </c>
      <c r="H128" s="37"/>
      <c r="I128" s="40"/>
      <c r="J128" s="37">
        <f t="shared" si="110"/>
        <v>0</v>
      </c>
      <c r="K128" s="52">
        <f t="shared" si="111"/>
        <v>61</v>
      </c>
      <c r="L128" s="48" t="str">
        <f t="shared" si="112"/>
        <v>#DIV/0!</v>
      </c>
      <c r="M128" s="50">
        <v>17060.0</v>
      </c>
      <c r="N128" s="49">
        <f t="shared" si="113"/>
        <v>1040660</v>
      </c>
      <c r="R128" s="80" t="str">
        <f t="shared" si="57"/>
        <v/>
      </c>
    </row>
    <row r="129">
      <c r="A129" s="35">
        <v>46039.0</v>
      </c>
      <c r="B129" s="46" t="s">
        <v>27</v>
      </c>
      <c r="C129" s="37"/>
      <c r="D129" s="37"/>
      <c r="E129" s="12">
        <f t="shared" si="108"/>
        <v>0</v>
      </c>
      <c r="F129" s="47">
        <v>60.0</v>
      </c>
      <c r="G129" s="14" t="str">
        <f t="shared" si="109"/>
        <v>#DIV/0!</v>
      </c>
      <c r="H129" s="37"/>
      <c r="I129" s="40"/>
      <c r="J129" s="37">
        <f t="shared" si="110"/>
        <v>0</v>
      </c>
      <c r="K129" s="52">
        <f t="shared" si="111"/>
        <v>60</v>
      </c>
      <c r="L129" s="48" t="str">
        <f t="shared" si="112"/>
        <v>#DIV/0!</v>
      </c>
      <c r="M129" s="50">
        <v>17280.0</v>
      </c>
      <c r="N129" s="49">
        <f t="shared" si="113"/>
        <v>1036800</v>
      </c>
      <c r="R129" s="80" t="str">
        <f t="shared" si="57"/>
        <v/>
      </c>
    </row>
    <row r="130">
      <c r="A130" s="35">
        <v>46042.0</v>
      </c>
      <c r="B130" s="46" t="s">
        <v>27</v>
      </c>
      <c r="C130" s="37"/>
      <c r="D130" s="37"/>
      <c r="E130" s="12">
        <f t="shared" si="108"/>
        <v>0</v>
      </c>
      <c r="F130" s="47">
        <v>56.0</v>
      </c>
      <c r="G130" s="14" t="str">
        <f t="shared" si="109"/>
        <v>#DIV/0!</v>
      </c>
      <c r="H130" s="37"/>
      <c r="I130" s="40"/>
      <c r="J130" s="37">
        <f t="shared" si="110"/>
        <v>0</v>
      </c>
      <c r="K130" s="52">
        <f t="shared" si="111"/>
        <v>56</v>
      </c>
      <c r="L130" s="48" t="str">
        <f t="shared" si="112"/>
        <v>#DIV/0!</v>
      </c>
      <c r="M130" s="50">
        <v>17280.0</v>
      </c>
      <c r="N130" s="49">
        <f t="shared" si="113"/>
        <v>967680</v>
      </c>
      <c r="R130" s="80" t="str">
        <f t="shared" si="57"/>
        <v/>
      </c>
    </row>
    <row r="131">
      <c r="A131" s="35">
        <v>46046.0</v>
      </c>
      <c r="B131" s="46" t="s">
        <v>27</v>
      </c>
      <c r="C131" s="37"/>
      <c r="D131" s="133"/>
      <c r="E131" s="12">
        <f t="shared" si="108"/>
        <v>0</v>
      </c>
      <c r="F131" s="47">
        <v>58.0</v>
      </c>
      <c r="G131" s="14" t="str">
        <f t="shared" si="109"/>
        <v>#DIV/0!</v>
      </c>
      <c r="H131" s="37"/>
      <c r="I131" s="93"/>
      <c r="J131" s="37">
        <f t="shared" si="110"/>
        <v>0</v>
      </c>
      <c r="K131" s="52">
        <v>58.0</v>
      </c>
      <c r="L131" s="48" t="str">
        <f t="shared" si="112"/>
        <v>#DIV/0!</v>
      </c>
      <c r="M131" s="50">
        <v>17700.0</v>
      </c>
      <c r="N131" s="49">
        <f t="shared" si="113"/>
        <v>1026600</v>
      </c>
      <c r="R131" s="80" t="str">
        <f t="shared" si="57"/>
        <v/>
      </c>
    </row>
    <row r="132">
      <c r="A132" s="35">
        <v>46049.0</v>
      </c>
      <c r="B132" s="46" t="s">
        <v>27</v>
      </c>
      <c r="C132" s="37"/>
      <c r="D132" s="133"/>
      <c r="E132" s="12">
        <f t="shared" si="108"/>
        <v>0</v>
      </c>
      <c r="F132" s="47">
        <v>53.0</v>
      </c>
      <c r="G132" s="14" t="str">
        <f t="shared" si="109"/>
        <v>#DIV/0!</v>
      </c>
      <c r="H132" s="37"/>
      <c r="I132" s="93"/>
      <c r="J132" s="37">
        <f t="shared" si="110"/>
        <v>0</v>
      </c>
      <c r="K132" s="52">
        <v>53.0</v>
      </c>
      <c r="L132" s="48" t="str">
        <f t="shared" si="112"/>
        <v>#DIV/0!</v>
      </c>
      <c r="M132" s="50">
        <v>17700.0</v>
      </c>
      <c r="N132" s="49">
        <f t="shared" si="113"/>
        <v>938100</v>
      </c>
      <c r="R132" s="80" t="str">
        <f t="shared" si="57"/>
        <v/>
      </c>
    </row>
    <row r="133">
      <c r="A133" s="236">
        <v>46051.0</v>
      </c>
      <c r="B133" s="83" t="s">
        <v>27</v>
      </c>
      <c r="C133" s="55"/>
      <c r="D133" s="95"/>
      <c r="E133" s="25">
        <f t="shared" si="108"/>
        <v>0</v>
      </c>
      <c r="F133" s="47">
        <v>50.0</v>
      </c>
      <c r="G133" s="56" t="str">
        <f t="shared" si="109"/>
        <v>#DIV/0!</v>
      </c>
      <c r="H133" s="55"/>
      <c r="I133" s="85"/>
      <c r="J133" s="55">
        <f t="shared" si="110"/>
        <v>0</v>
      </c>
      <c r="K133" s="52">
        <v>50.0</v>
      </c>
      <c r="L133" s="77" t="str">
        <f t="shared" si="112"/>
        <v>#DIV/0!</v>
      </c>
      <c r="M133" s="58">
        <v>17700.0</v>
      </c>
      <c r="N133" s="49">
        <f t="shared" si="113"/>
        <v>885000</v>
      </c>
      <c r="R133" s="80" t="str">
        <f t="shared" si="57"/>
        <v/>
      </c>
    </row>
    <row r="134">
      <c r="A134" s="62"/>
      <c r="B134" s="63"/>
      <c r="C134" s="62"/>
      <c r="D134" s="64" t="s">
        <v>19</v>
      </c>
      <c r="E134" s="64">
        <f t="shared" ref="E134:F134" si="114">sum(E126:E133)</f>
        <v>0</v>
      </c>
      <c r="F134" s="64">
        <f t="shared" si="114"/>
        <v>455</v>
      </c>
      <c r="G134" s="65" t="str">
        <f>average(G126:G133)</f>
        <v>#DIV/0!</v>
      </c>
      <c r="H134" s="62"/>
      <c r="I134" s="66"/>
      <c r="J134" s="64">
        <f t="shared" ref="J134:K134" si="115">sum(J126:J133)</f>
        <v>0</v>
      </c>
      <c r="K134" s="64">
        <f t="shared" si="115"/>
        <v>455</v>
      </c>
      <c r="L134" s="65" t="str">
        <f>average(L126:L133)</f>
        <v>#DIV/0!</v>
      </c>
      <c r="M134" s="68"/>
      <c r="N134" s="147">
        <f>sum(N126:N133)</f>
        <v>7913090</v>
      </c>
      <c r="R134" s="80" t="str">
        <f t="shared" si="57"/>
        <v/>
      </c>
    </row>
    <row r="135">
      <c r="A135" s="70">
        <v>46028.0</v>
      </c>
      <c r="B135" s="99" t="s">
        <v>28</v>
      </c>
      <c r="C135" s="89"/>
      <c r="D135" s="13"/>
      <c r="E135" s="38">
        <f t="shared" ref="E135:E142" si="116">D135-C135</f>
        <v>0</v>
      </c>
      <c r="F135" s="39">
        <v>70.0</v>
      </c>
      <c r="G135" s="14" t="str">
        <f t="shared" ref="G135:G142" si="117">(F135/E135)*100</f>
        <v>#DIV/0!</v>
      </c>
      <c r="H135" s="137"/>
      <c r="I135" s="138"/>
      <c r="J135" s="41">
        <f t="shared" ref="J135:J142" si="118">I135-H135</f>
        <v>0</v>
      </c>
      <c r="K135" s="81">
        <v>70.0</v>
      </c>
      <c r="L135" s="71" t="str">
        <f t="shared" ref="L135:L138" si="119">(K135/J135)*100</f>
        <v>#DIV/0!</v>
      </c>
      <c r="M135" s="72">
        <v>17250.0</v>
      </c>
      <c r="N135" s="49">
        <f t="shared" ref="N135:N140" si="120">M135*K135</f>
        <v>1207500</v>
      </c>
      <c r="R135" s="80" t="str">
        <f t="shared" si="57"/>
        <v/>
      </c>
    </row>
    <row r="136">
      <c r="A136" s="35">
        <v>46032.0</v>
      </c>
      <c r="B136" s="99" t="s">
        <v>28</v>
      </c>
      <c r="C136" s="37"/>
      <c r="D136" s="13"/>
      <c r="E136" s="12">
        <f t="shared" si="116"/>
        <v>0</v>
      </c>
      <c r="F136" s="47">
        <v>70.0</v>
      </c>
      <c r="G136" s="14" t="str">
        <f t="shared" si="117"/>
        <v>#DIV/0!</v>
      </c>
      <c r="H136" s="40"/>
      <c r="I136" s="40"/>
      <c r="J136" s="37">
        <f t="shared" si="118"/>
        <v>0</v>
      </c>
      <c r="K136" s="52">
        <v>70.0</v>
      </c>
      <c r="L136" s="71" t="str">
        <f t="shared" si="119"/>
        <v>#DIV/0!</v>
      </c>
      <c r="M136" s="50">
        <v>17060.0</v>
      </c>
      <c r="N136" s="49">
        <f t="shared" si="120"/>
        <v>1194200</v>
      </c>
      <c r="R136" s="80" t="str">
        <f t="shared" si="57"/>
        <v/>
      </c>
    </row>
    <row r="137">
      <c r="A137" s="35">
        <v>46051.0</v>
      </c>
      <c r="B137" s="99" t="s">
        <v>28</v>
      </c>
      <c r="C137" s="37"/>
      <c r="D137" s="37"/>
      <c r="E137" s="12">
        <f t="shared" si="116"/>
        <v>0</v>
      </c>
      <c r="F137" s="47">
        <v>60.0</v>
      </c>
      <c r="G137" s="14" t="str">
        <f t="shared" si="117"/>
        <v>#DIV/0!</v>
      </c>
      <c r="H137" s="37"/>
      <c r="I137" s="40"/>
      <c r="J137" s="37">
        <f t="shared" si="118"/>
        <v>0</v>
      </c>
      <c r="K137" s="52">
        <v>60.0</v>
      </c>
      <c r="L137" s="48" t="str">
        <f t="shared" si="119"/>
        <v>#DIV/0!</v>
      </c>
      <c r="M137" s="50">
        <v>17700.0</v>
      </c>
      <c r="N137" s="49">
        <f t="shared" si="120"/>
        <v>1062000</v>
      </c>
      <c r="R137" s="80" t="str">
        <f t="shared" si="57"/>
        <v/>
      </c>
    </row>
    <row r="138">
      <c r="A138" s="35"/>
      <c r="B138" s="99" t="s">
        <v>28</v>
      </c>
      <c r="C138" s="37"/>
      <c r="D138" s="37"/>
      <c r="E138" s="12">
        <f t="shared" si="116"/>
        <v>0</v>
      </c>
      <c r="F138" s="47"/>
      <c r="G138" s="14" t="str">
        <f t="shared" si="117"/>
        <v>#DIV/0!</v>
      </c>
      <c r="H138" s="37"/>
      <c r="I138" s="40"/>
      <c r="J138" s="37">
        <f t="shared" si="118"/>
        <v>0</v>
      </c>
      <c r="K138" s="52"/>
      <c r="L138" s="48" t="str">
        <f t="shared" si="119"/>
        <v>#DIV/0!</v>
      </c>
      <c r="M138" s="50"/>
      <c r="N138" s="49">
        <f t="shared" si="120"/>
        <v>0</v>
      </c>
      <c r="R138" s="80" t="str">
        <f t="shared" si="57"/>
        <v/>
      </c>
    </row>
    <row r="139">
      <c r="A139" s="35"/>
      <c r="B139" s="99" t="s">
        <v>28</v>
      </c>
      <c r="C139" s="37"/>
      <c r="D139" s="37"/>
      <c r="E139" s="12">
        <f t="shared" si="116"/>
        <v>0</v>
      </c>
      <c r="F139" s="47"/>
      <c r="G139" s="14" t="str">
        <f t="shared" si="117"/>
        <v>#DIV/0!</v>
      </c>
      <c r="H139" s="37"/>
      <c r="I139" s="40"/>
      <c r="J139" s="37">
        <f t="shared" si="118"/>
        <v>0</v>
      </c>
      <c r="K139" s="52"/>
      <c r="L139" s="48"/>
      <c r="M139" s="50"/>
      <c r="N139" s="49">
        <f t="shared" si="120"/>
        <v>0</v>
      </c>
      <c r="R139" s="80" t="str">
        <f t="shared" si="57"/>
        <v/>
      </c>
    </row>
    <row r="140">
      <c r="A140" s="35"/>
      <c r="B140" s="99" t="s">
        <v>28</v>
      </c>
      <c r="C140" s="37"/>
      <c r="D140" s="133"/>
      <c r="E140" s="12">
        <f t="shared" si="116"/>
        <v>0</v>
      </c>
      <c r="F140" s="47"/>
      <c r="G140" s="14" t="str">
        <f t="shared" si="117"/>
        <v>#DIV/0!</v>
      </c>
      <c r="H140" s="37"/>
      <c r="I140" s="93"/>
      <c r="J140" s="37">
        <f t="shared" si="118"/>
        <v>0</v>
      </c>
      <c r="K140" s="52"/>
      <c r="L140" s="48" t="str">
        <f t="shared" ref="L140:L142" si="121">(K140/J140)*100</f>
        <v>#DIV/0!</v>
      </c>
      <c r="M140" s="50"/>
      <c r="N140" s="49">
        <f t="shared" si="120"/>
        <v>0</v>
      </c>
      <c r="R140" s="80" t="str">
        <f t="shared" si="57"/>
        <v/>
      </c>
    </row>
    <row r="141">
      <c r="A141" s="35"/>
      <c r="B141" s="99" t="s">
        <v>28</v>
      </c>
      <c r="C141" s="37"/>
      <c r="D141" s="133"/>
      <c r="E141" s="12">
        <f t="shared" si="116"/>
        <v>0</v>
      </c>
      <c r="F141" s="47"/>
      <c r="G141" s="14" t="str">
        <f t="shared" si="117"/>
        <v>#DIV/0!</v>
      </c>
      <c r="H141" s="37"/>
      <c r="I141" s="93"/>
      <c r="J141" s="37">
        <f t="shared" si="118"/>
        <v>0</v>
      </c>
      <c r="K141" s="52" t="str">
        <f t="shared" ref="K141:K142" si="122">F141</f>
        <v/>
      </c>
      <c r="L141" s="48" t="str">
        <f t="shared" si="121"/>
        <v>#DIV/0!</v>
      </c>
      <c r="M141" s="50"/>
      <c r="N141" s="49">
        <f>F141*M141</f>
        <v>0</v>
      </c>
      <c r="R141" s="80" t="str">
        <f t="shared" si="57"/>
        <v/>
      </c>
    </row>
    <row r="142">
      <c r="A142" s="146"/>
      <c r="B142" s="99" t="s">
        <v>28</v>
      </c>
      <c r="C142" s="55"/>
      <c r="D142" s="95"/>
      <c r="E142" s="25">
        <f t="shared" si="116"/>
        <v>0</v>
      </c>
      <c r="F142" s="47"/>
      <c r="G142" s="56" t="str">
        <f t="shared" si="117"/>
        <v>#DIV/0!</v>
      </c>
      <c r="H142" s="55"/>
      <c r="I142" s="85"/>
      <c r="J142" s="55">
        <f t="shared" si="118"/>
        <v>0</v>
      </c>
      <c r="K142" s="52" t="str">
        <f t="shared" si="122"/>
        <v/>
      </c>
      <c r="L142" s="77" t="str">
        <f t="shared" si="121"/>
        <v>#DIV/0!</v>
      </c>
      <c r="M142" s="58"/>
      <c r="N142" s="49">
        <f>M142*K142</f>
        <v>0</v>
      </c>
      <c r="R142" s="80" t="str">
        <f t="shared" si="57"/>
        <v/>
      </c>
    </row>
    <row r="143">
      <c r="A143" s="62"/>
      <c r="B143" s="63"/>
      <c r="C143" s="62"/>
      <c r="D143" s="64" t="s">
        <v>19</v>
      </c>
      <c r="E143" s="64">
        <f t="shared" ref="E143:F143" si="123">sum(E135:E142)</f>
        <v>0</v>
      </c>
      <c r="F143" s="64">
        <f t="shared" si="123"/>
        <v>200</v>
      </c>
      <c r="G143" s="65" t="str">
        <f>average(G135:G142)</f>
        <v>#DIV/0!</v>
      </c>
      <c r="H143" s="62"/>
      <c r="I143" s="66"/>
      <c r="J143" s="64">
        <f t="shared" ref="J143:K143" si="124">sum(J135:J142)</f>
        <v>0</v>
      </c>
      <c r="K143" s="64">
        <f t="shared" si="124"/>
        <v>200</v>
      </c>
      <c r="L143" s="65" t="str">
        <f>average(L135:L142)</f>
        <v>#DIV/0!</v>
      </c>
      <c r="M143" s="68"/>
      <c r="N143" s="147">
        <f>sum(N135:N142)</f>
        <v>3463700</v>
      </c>
      <c r="R143" s="80" t="str">
        <f t="shared" si="57"/>
        <v/>
      </c>
    </row>
    <row r="144">
      <c r="A144" s="91">
        <v>46026.0</v>
      </c>
      <c r="B144" s="99" t="s">
        <v>43</v>
      </c>
      <c r="C144" s="89"/>
      <c r="D144" s="13"/>
      <c r="E144" s="38">
        <f t="shared" ref="E144:E151" si="125">D144-C144</f>
        <v>0</v>
      </c>
      <c r="F144" s="39">
        <v>60.0</v>
      </c>
      <c r="G144" s="14" t="str">
        <f t="shared" ref="G144:G151" si="126">(F144/E144)*100</f>
        <v>#DIV/0!</v>
      </c>
      <c r="H144" s="137"/>
      <c r="I144" s="138"/>
      <c r="J144" s="41">
        <f t="shared" ref="J144:J151" si="127">I144-H144</f>
        <v>0</v>
      </c>
      <c r="K144" s="52">
        <f t="shared" ref="K144:K146" si="128">F144</f>
        <v>60</v>
      </c>
      <c r="L144" s="71" t="str">
        <f t="shared" ref="L144:L151" si="129">(K144/J144)*100</f>
        <v>#DIV/0!</v>
      </c>
      <c r="M144" s="72">
        <v>17250.0</v>
      </c>
      <c r="N144" s="49">
        <f t="shared" ref="N144:N147" si="130">M144*K144</f>
        <v>1035000</v>
      </c>
      <c r="R144" s="80" t="str">
        <f t="shared" si="57"/>
        <v/>
      </c>
    </row>
    <row r="145">
      <c r="A145" s="35">
        <v>46031.0</v>
      </c>
      <c r="B145" s="46" t="s">
        <v>43</v>
      </c>
      <c r="C145" s="37"/>
      <c r="D145" s="13"/>
      <c r="E145" s="12">
        <f t="shared" si="125"/>
        <v>0</v>
      </c>
      <c r="F145" s="47">
        <v>60.0</v>
      </c>
      <c r="G145" s="14" t="str">
        <f t="shared" si="126"/>
        <v>#DIV/0!</v>
      </c>
      <c r="H145" s="40"/>
      <c r="I145" s="40"/>
      <c r="J145" s="37">
        <f t="shared" si="127"/>
        <v>0</v>
      </c>
      <c r="K145" s="52">
        <f t="shared" si="128"/>
        <v>60</v>
      </c>
      <c r="L145" s="48" t="str">
        <f t="shared" si="129"/>
        <v>#DIV/0!</v>
      </c>
      <c r="M145" s="50">
        <v>17060.0</v>
      </c>
      <c r="N145" s="49">
        <f t="shared" si="130"/>
        <v>1023600</v>
      </c>
      <c r="R145" s="80" t="str">
        <f t="shared" si="57"/>
        <v/>
      </c>
    </row>
    <row r="146">
      <c r="A146" s="35">
        <v>46036.0</v>
      </c>
      <c r="B146" s="46" t="s">
        <v>43</v>
      </c>
      <c r="C146" s="37"/>
      <c r="D146" s="37"/>
      <c r="E146" s="12">
        <f t="shared" si="125"/>
        <v>0</v>
      </c>
      <c r="F146" s="47">
        <v>60.0</v>
      </c>
      <c r="G146" s="14" t="str">
        <f t="shared" si="126"/>
        <v>#DIV/0!</v>
      </c>
      <c r="H146" s="37"/>
      <c r="I146" s="40"/>
      <c r="J146" s="37">
        <f t="shared" si="127"/>
        <v>0</v>
      </c>
      <c r="K146" s="52">
        <f t="shared" si="128"/>
        <v>60</v>
      </c>
      <c r="L146" s="48" t="str">
        <f t="shared" si="129"/>
        <v>#DIV/0!</v>
      </c>
      <c r="M146" s="50">
        <v>17060.0</v>
      </c>
      <c r="N146" s="49">
        <f t="shared" si="130"/>
        <v>1023600</v>
      </c>
      <c r="R146" s="80" t="str">
        <f t="shared" si="57"/>
        <v/>
      </c>
    </row>
    <row r="147">
      <c r="A147" s="35">
        <v>46041.0</v>
      </c>
      <c r="B147" s="46" t="s">
        <v>43</v>
      </c>
      <c r="C147" s="37"/>
      <c r="D147" s="37"/>
      <c r="E147" s="12">
        <f t="shared" si="125"/>
        <v>0</v>
      </c>
      <c r="F147" s="47">
        <v>60.0</v>
      </c>
      <c r="G147" s="14" t="str">
        <f t="shared" si="126"/>
        <v>#DIV/0!</v>
      </c>
      <c r="H147" s="37"/>
      <c r="I147" s="40"/>
      <c r="J147" s="37">
        <f t="shared" si="127"/>
        <v>0</v>
      </c>
      <c r="K147" s="52">
        <v>60.0</v>
      </c>
      <c r="L147" s="48" t="str">
        <f t="shared" si="129"/>
        <v>#DIV/0!</v>
      </c>
      <c r="M147" s="50">
        <v>17280.0</v>
      </c>
      <c r="N147" s="49">
        <f t="shared" si="130"/>
        <v>1036800</v>
      </c>
      <c r="R147" s="80" t="str">
        <f t="shared" si="57"/>
        <v/>
      </c>
    </row>
    <row r="148">
      <c r="A148" s="35">
        <v>46045.0</v>
      </c>
      <c r="B148" s="46" t="s">
        <v>43</v>
      </c>
      <c r="C148" s="37"/>
      <c r="D148" s="37"/>
      <c r="E148" s="12">
        <f t="shared" si="125"/>
        <v>0</v>
      </c>
      <c r="F148" s="47">
        <v>50.0</v>
      </c>
      <c r="G148" s="14" t="str">
        <f t="shared" si="126"/>
        <v>#DIV/0!</v>
      </c>
      <c r="H148" s="37"/>
      <c r="I148" s="40"/>
      <c r="J148" s="37">
        <f t="shared" si="127"/>
        <v>0</v>
      </c>
      <c r="K148" s="52">
        <v>50.0</v>
      </c>
      <c r="L148" s="48" t="str">
        <f t="shared" si="129"/>
        <v>#DIV/0!</v>
      </c>
      <c r="M148" s="50">
        <v>17700.0</v>
      </c>
      <c r="N148" s="49">
        <f t="shared" ref="N148:N150" si="131">F148*M148</f>
        <v>885000</v>
      </c>
      <c r="R148" s="80" t="str">
        <f t="shared" si="57"/>
        <v/>
      </c>
    </row>
    <row r="149">
      <c r="A149" s="35">
        <v>46051.0</v>
      </c>
      <c r="B149" s="46" t="s">
        <v>43</v>
      </c>
      <c r="C149" s="37"/>
      <c r="D149" s="133"/>
      <c r="E149" s="12">
        <f t="shared" si="125"/>
        <v>0</v>
      </c>
      <c r="F149" s="47">
        <v>60.0</v>
      </c>
      <c r="G149" s="14" t="str">
        <f t="shared" si="126"/>
        <v>#DIV/0!</v>
      </c>
      <c r="H149" s="37"/>
      <c r="I149" s="93"/>
      <c r="J149" s="37">
        <f t="shared" si="127"/>
        <v>0</v>
      </c>
      <c r="K149" s="52">
        <f t="shared" ref="K149:K151" si="132">F149</f>
        <v>60</v>
      </c>
      <c r="L149" s="48" t="str">
        <f t="shared" si="129"/>
        <v>#DIV/0!</v>
      </c>
      <c r="M149" s="50">
        <v>17700.0</v>
      </c>
      <c r="N149" s="49">
        <f t="shared" si="131"/>
        <v>1062000</v>
      </c>
      <c r="R149" s="80" t="str">
        <f t="shared" si="57"/>
        <v/>
      </c>
    </row>
    <row r="150">
      <c r="A150" s="35"/>
      <c r="B150" s="46" t="s">
        <v>43</v>
      </c>
      <c r="C150" s="37"/>
      <c r="D150" s="133"/>
      <c r="E150" s="12">
        <f t="shared" si="125"/>
        <v>0</v>
      </c>
      <c r="F150" s="47"/>
      <c r="G150" s="14" t="str">
        <f t="shared" si="126"/>
        <v>#DIV/0!</v>
      </c>
      <c r="H150" s="37"/>
      <c r="I150" s="93"/>
      <c r="J150" s="37">
        <f t="shared" si="127"/>
        <v>0</v>
      </c>
      <c r="K150" s="52" t="str">
        <f t="shared" si="132"/>
        <v/>
      </c>
      <c r="L150" s="48" t="str">
        <f t="shared" si="129"/>
        <v>#DIV/0!</v>
      </c>
      <c r="M150" s="50"/>
      <c r="N150" s="49">
        <f t="shared" si="131"/>
        <v>0</v>
      </c>
      <c r="R150" s="80" t="str">
        <f t="shared" si="57"/>
        <v/>
      </c>
    </row>
    <row r="151">
      <c r="A151" s="146"/>
      <c r="B151" s="46" t="s">
        <v>43</v>
      </c>
      <c r="C151" s="55"/>
      <c r="D151" s="95"/>
      <c r="E151" s="25">
        <f t="shared" si="125"/>
        <v>0</v>
      </c>
      <c r="F151" s="47"/>
      <c r="G151" s="56" t="str">
        <f t="shared" si="126"/>
        <v>#DIV/0!</v>
      </c>
      <c r="H151" s="55"/>
      <c r="I151" s="85"/>
      <c r="J151" s="55">
        <f t="shared" si="127"/>
        <v>0</v>
      </c>
      <c r="K151" s="52" t="str">
        <f t="shared" si="132"/>
        <v/>
      </c>
      <c r="L151" s="77" t="str">
        <f t="shared" si="129"/>
        <v>#DIV/0!</v>
      </c>
      <c r="M151" s="50"/>
      <c r="N151" s="49">
        <f>M151*K151</f>
        <v>0</v>
      </c>
      <c r="R151" s="80" t="str">
        <f t="shared" si="57"/>
        <v/>
      </c>
    </row>
    <row r="152">
      <c r="A152" s="62"/>
      <c r="B152" s="63"/>
      <c r="C152" s="62"/>
      <c r="D152" s="64" t="s">
        <v>19</v>
      </c>
      <c r="E152" s="64">
        <f>sum(E144:E151)</f>
        <v>0</v>
      </c>
      <c r="F152" s="39"/>
      <c r="G152" s="65" t="str">
        <f>average(G144:G151)</f>
        <v>#DIV/0!</v>
      </c>
      <c r="H152" s="62"/>
      <c r="I152" s="66"/>
      <c r="J152" s="64">
        <f t="shared" ref="J152:K152" si="133">sum(J144:J151)</f>
        <v>0</v>
      </c>
      <c r="K152" s="64">
        <f t="shared" si="133"/>
        <v>350</v>
      </c>
      <c r="L152" s="65" t="str">
        <f>average(L144:L151)</f>
        <v>#DIV/0!</v>
      </c>
      <c r="M152" s="72"/>
      <c r="N152" s="147">
        <f>sum(N144:N151)</f>
        <v>6066000</v>
      </c>
      <c r="R152" s="80" t="str">
        <f t="shared" si="57"/>
        <v/>
      </c>
    </row>
    <row r="153">
      <c r="A153" s="70">
        <v>46025.0</v>
      </c>
      <c r="B153" s="99" t="s">
        <v>30</v>
      </c>
      <c r="C153" s="89"/>
      <c r="D153" s="13"/>
      <c r="E153" s="38">
        <f>D153-C153</f>
        <v>0</v>
      </c>
      <c r="F153" s="39">
        <v>73.0</v>
      </c>
      <c r="G153" s="14" t="str">
        <f>(F153/E153)*100</f>
        <v>#DIV/0!</v>
      </c>
      <c r="H153" s="137"/>
      <c r="I153" s="138"/>
      <c r="J153" s="41">
        <f>I153-H153</f>
        <v>0</v>
      </c>
      <c r="K153" s="52">
        <f t="shared" ref="K153:K161" si="134">F153</f>
        <v>73</v>
      </c>
      <c r="L153" s="71" t="str">
        <f t="shared" ref="L153:L161" si="135">(K153/J153)*100</f>
        <v>#DIV/0!</v>
      </c>
      <c r="M153" s="72">
        <v>17250.0</v>
      </c>
      <c r="N153" s="49">
        <f t="shared" ref="N153:N157" si="136">M153*K153</f>
        <v>1259250</v>
      </c>
      <c r="R153" s="80" t="str">
        <f t="shared" si="57"/>
        <v/>
      </c>
    </row>
    <row r="154">
      <c r="A154" s="154">
        <v>46032.0</v>
      </c>
      <c r="B154" s="99" t="s">
        <v>30</v>
      </c>
      <c r="C154" s="89"/>
      <c r="D154" s="13"/>
      <c r="E154" s="38"/>
      <c r="F154" s="157">
        <v>69.0</v>
      </c>
      <c r="G154" s="14"/>
      <c r="H154" s="137"/>
      <c r="I154" s="137"/>
      <c r="J154" s="89"/>
      <c r="K154" s="52">
        <f t="shared" si="134"/>
        <v>69</v>
      </c>
      <c r="L154" s="71" t="str">
        <f t="shared" si="135"/>
        <v>#DIV/0!</v>
      </c>
      <c r="M154" s="126">
        <v>17060.0</v>
      </c>
      <c r="N154" s="49">
        <f t="shared" si="136"/>
        <v>1177140</v>
      </c>
    </row>
    <row r="155">
      <c r="A155" s="35">
        <v>46038.0</v>
      </c>
      <c r="B155" s="46" t="s">
        <v>30</v>
      </c>
      <c r="C155" s="37"/>
      <c r="D155" s="13"/>
      <c r="E155" s="12">
        <f t="shared" ref="E155:E161" si="137">D155-C155</f>
        <v>0</v>
      </c>
      <c r="F155" s="47">
        <v>72.0</v>
      </c>
      <c r="G155" s="14" t="str">
        <f t="shared" ref="G155:G161" si="138">(F155/E155)*100</f>
        <v>#DIV/0!</v>
      </c>
      <c r="H155" s="40"/>
      <c r="I155" s="40"/>
      <c r="J155" s="37">
        <f t="shared" ref="J155:J161" si="139">I155-H155</f>
        <v>0</v>
      </c>
      <c r="K155" s="52">
        <f t="shared" si="134"/>
        <v>72</v>
      </c>
      <c r="L155" s="48" t="str">
        <f t="shared" si="135"/>
        <v>#DIV/0!</v>
      </c>
      <c r="M155" s="50">
        <v>17280.0</v>
      </c>
      <c r="N155" s="49">
        <f t="shared" si="136"/>
        <v>1244160</v>
      </c>
      <c r="R155" s="80" t="str">
        <f t="shared" ref="R155:R162" si="140">Q155</f>
        <v/>
      </c>
    </row>
    <row r="156">
      <c r="A156" s="35">
        <v>46044.0</v>
      </c>
      <c r="B156" s="46" t="s">
        <v>30</v>
      </c>
      <c r="C156" s="37"/>
      <c r="D156" s="37"/>
      <c r="E156" s="12">
        <f t="shared" si="137"/>
        <v>0</v>
      </c>
      <c r="F156" s="47">
        <v>80.0</v>
      </c>
      <c r="G156" s="14" t="str">
        <f t="shared" si="138"/>
        <v>#DIV/0!</v>
      </c>
      <c r="H156" s="37"/>
      <c r="I156" s="40"/>
      <c r="J156" s="37">
        <f t="shared" si="139"/>
        <v>0</v>
      </c>
      <c r="K156" s="52">
        <f t="shared" si="134"/>
        <v>80</v>
      </c>
      <c r="L156" s="48" t="str">
        <f t="shared" si="135"/>
        <v>#DIV/0!</v>
      </c>
      <c r="M156" s="50">
        <v>17280.0</v>
      </c>
      <c r="N156" s="49">
        <f t="shared" si="136"/>
        <v>1382400</v>
      </c>
      <c r="R156" s="80" t="str">
        <f t="shared" si="140"/>
        <v/>
      </c>
    </row>
    <row r="157">
      <c r="A157" s="35">
        <v>46050.0</v>
      </c>
      <c r="B157" s="46" t="s">
        <v>30</v>
      </c>
      <c r="C157" s="37"/>
      <c r="D157" s="37"/>
      <c r="E157" s="12">
        <f t="shared" si="137"/>
        <v>0</v>
      </c>
      <c r="F157" s="47">
        <v>79.0</v>
      </c>
      <c r="G157" s="14" t="str">
        <f t="shared" si="138"/>
        <v>#DIV/0!</v>
      </c>
      <c r="H157" s="37"/>
      <c r="I157" s="40"/>
      <c r="J157" s="37">
        <f t="shared" si="139"/>
        <v>0</v>
      </c>
      <c r="K157" s="52">
        <f t="shared" si="134"/>
        <v>79</v>
      </c>
      <c r="L157" s="48" t="str">
        <f t="shared" si="135"/>
        <v>#DIV/0!</v>
      </c>
      <c r="M157" s="50">
        <v>17700.0</v>
      </c>
      <c r="N157" s="49">
        <f t="shared" si="136"/>
        <v>1398300</v>
      </c>
      <c r="R157" s="80" t="str">
        <f t="shared" si="140"/>
        <v/>
      </c>
    </row>
    <row r="158">
      <c r="A158" s="35"/>
      <c r="B158" s="46" t="s">
        <v>30</v>
      </c>
      <c r="C158" s="37"/>
      <c r="D158" s="37"/>
      <c r="E158" s="12">
        <f t="shared" si="137"/>
        <v>0</v>
      </c>
      <c r="F158" s="47"/>
      <c r="G158" s="14" t="str">
        <f t="shared" si="138"/>
        <v>#DIV/0!</v>
      </c>
      <c r="H158" s="37"/>
      <c r="I158" s="40"/>
      <c r="J158" s="37">
        <f t="shared" si="139"/>
        <v>0</v>
      </c>
      <c r="K158" s="52" t="str">
        <f t="shared" si="134"/>
        <v/>
      </c>
      <c r="L158" s="48" t="str">
        <f t="shared" si="135"/>
        <v>#DIV/0!</v>
      </c>
      <c r="M158" s="50"/>
      <c r="N158" s="49">
        <f t="shared" ref="N158:N160" si="141">F158*M158</f>
        <v>0</v>
      </c>
      <c r="R158" s="80" t="str">
        <f t="shared" si="140"/>
        <v/>
      </c>
    </row>
    <row r="159">
      <c r="A159" s="35"/>
      <c r="B159" s="46" t="s">
        <v>30</v>
      </c>
      <c r="C159" s="37"/>
      <c r="D159" s="133"/>
      <c r="E159" s="12">
        <f t="shared" si="137"/>
        <v>0</v>
      </c>
      <c r="F159" s="47"/>
      <c r="G159" s="14" t="str">
        <f t="shared" si="138"/>
        <v>#DIV/0!</v>
      </c>
      <c r="H159" s="37"/>
      <c r="I159" s="93"/>
      <c r="J159" s="37">
        <f t="shared" si="139"/>
        <v>0</v>
      </c>
      <c r="K159" s="52" t="str">
        <f t="shared" si="134"/>
        <v/>
      </c>
      <c r="L159" s="48" t="str">
        <f t="shared" si="135"/>
        <v>#DIV/0!</v>
      </c>
      <c r="M159" s="50"/>
      <c r="N159" s="49">
        <f t="shared" si="141"/>
        <v>0</v>
      </c>
      <c r="R159" s="80" t="str">
        <f t="shared" si="140"/>
        <v/>
      </c>
    </row>
    <row r="160">
      <c r="A160" s="35"/>
      <c r="B160" s="46" t="s">
        <v>30</v>
      </c>
      <c r="C160" s="37"/>
      <c r="D160" s="133"/>
      <c r="E160" s="12">
        <f t="shared" si="137"/>
        <v>0</v>
      </c>
      <c r="F160" s="47"/>
      <c r="G160" s="14" t="str">
        <f t="shared" si="138"/>
        <v>#DIV/0!</v>
      </c>
      <c r="H160" s="37"/>
      <c r="I160" s="93"/>
      <c r="J160" s="37">
        <f t="shared" si="139"/>
        <v>0</v>
      </c>
      <c r="K160" s="52" t="str">
        <f t="shared" si="134"/>
        <v/>
      </c>
      <c r="L160" s="77" t="str">
        <f t="shared" si="135"/>
        <v>#DIV/0!</v>
      </c>
      <c r="M160" s="50"/>
      <c r="N160" s="49">
        <f t="shared" si="141"/>
        <v>0</v>
      </c>
      <c r="R160" s="80" t="str">
        <f t="shared" si="140"/>
        <v/>
      </c>
    </row>
    <row r="161">
      <c r="A161" s="148"/>
      <c r="B161" s="46" t="s">
        <v>30</v>
      </c>
      <c r="C161" s="149"/>
      <c r="D161" s="150"/>
      <c r="E161" s="25">
        <f t="shared" si="137"/>
        <v>0</v>
      </c>
      <c r="F161" s="39"/>
      <c r="G161" s="56" t="str">
        <f t="shared" si="138"/>
        <v>#DIV/0!</v>
      </c>
      <c r="H161" s="149"/>
      <c r="I161" s="151"/>
      <c r="J161" s="149">
        <f t="shared" si="139"/>
        <v>0</v>
      </c>
      <c r="K161" s="52" t="str">
        <f t="shared" si="134"/>
        <v/>
      </c>
      <c r="L161" s="152" t="str">
        <f t="shared" si="135"/>
        <v>#DIV/0!</v>
      </c>
      <c r="M161" s="153"/>
      <c r="N161" s="49">
        <f>M161*K161</f>
        <v>0</v>
      </c>
      <c r="R161" s="80" t="str">
        <f t="shared" si="140"/>
        <v/>
      </c>
    </row>
    <row r="162">
      <c r="A162" s="62"/>
      <c r="B162" s="63"/>
      <c r="C162" s="62"/>
      <c r="D162" s="64" t="s">
        <v>19</v>
      </c>
      <c r="E162" s="64">
        <f t="shared" ref="E162:F162" si="142">sum(E153:E161)</f>
        <v>0</v>
      </c>
      <c r="F162" s="64">
        <f t="shared" si="142"/>
        <v>373</v>
      </c>
      <c r="G162" s="65" t="str">
        <f>average(G153:G161)</f>
        <v>#DIV/0!</v>
      </c>
      <c r="H162" s="62"/>
      <c r="I162" s="66"/>
      <c r="J162" s="64">
        <f t="shared" ref="J162:K162" si="143">sum(J153:J161)</f>
        <v>0</v>
      </c>
      <c r="K162" s="64">
        <f t="shared" si="143"/>
        <v>373</v>
      </c>
      <c r="L162" s="65" t="str">
        <f>average(L153:L161)</f>
        <v>#DIV/0!</v>
      </c>
      <c r="M162" s="68"/>
      <c r="N162" s="69">
        <f>sum(N153:N161)</f>
        <v>6461250</v>
      </c>
      <c r="R162" s="80" t="str">
        <f t="shared" si="140"/>
        <v/>
      </c>
    </row>
    <row r="163">
      <c r="A163" s="154">
        <v>46024.0</v>
      </c>
      <c r="B163" s="99" t="s">
        <v>44</v>
      </c>
      <c r="C163" s="89"/>
      <c r="D163" s="13"/>
      <c r="E163" s="12">
        <f t="shared" ref="E163:E170" si="144">D163-C163</f>
        <v>0</v>
      </c>
      <c r="F163" s="39">
        <v>70.0</v>
      </c>
      <c r="G163" s="14" t="str">
        <f t="shared" ref="G163:G170" si="145">(F163/E163)*100</f>
        <v>#DIV/0!</v>
      </c>
      <c r="H163" s="137"/>
      <c r="I163" s="138"/>
      <c r="J163" s="41">
        <f t="shared" ref="J163:J170" si="146">I163-H163</f>
        <v>0</v>
      </c>
      <c r="K163" s="52">
        <f t="shared" ref="K163:K170" si="147">F163</f>
        <v>70</v>
      </c>
      <c r="L163" s="71" t="str">
        <f t="shared" ref="L163:L170" si="148">(K163/J163)*100</f>
        <v>#DIV/0!</v>
      </c>
      <c r="M163" s="72">
        <v>17250.0</v>
      </c>
      <c r="N163" s="131">
        <f t="shared" ref="N163:N170" si="149">M163*K163</f>
        <v>1207500</v>
      </c>
    </row>
    <row r="164">
      <c r="A164" s="35">
        <v>46029.0</v>
      </c>
      <c r="B164" s="99" t="s">
        <v>44</v>
      </c>
      <c r="C164" s="37"/>
      <c r="D164" s="13"/>
      <c r="E164" s="12">
        <f t="shared" si="144"/>
        <v>0</v>
      </c>
      <c r="F164" s="47">
        <v>76.0</v>
      </c>
      <c r="G164" s="14" t="str">
        <f t="shared" si="145"/>
        <v>#DIV/0!</v>
      </c>
      <c r="H164" s="40"/>
      <c r="I164" s="40"/>
      <c r="J164" s="37">
        <f t="shared" si="146"/>
        <v>0</v>
      </c>
      <c r="K164" s="52">
        <f t="shared" si="147"/>
        <v>76</v>
      </c>
      <c r="L164" s="48" t="str">
        <f t="shared" si="148"/>
        <v>#DIV/0!</v>
      </c>
      <c r="M164" s="72">
        <v>17250.0</v>
      </c>
      <c r="N164" s="131">
        <f t="shared" si="149"/>
        <v>1311000</v>
      </c>
    </row>
    <row r="165">
      <c r="A165" s="35">
        <v>46032.0</v>
      </c>
      <c r="B165" s="99" t="s">
        <v>44</v>
      </c>
      <c r="C165" s="37"/>
      <c r="D165" s="37"/>
      <c r="E165" s="12">
        <f t="shared" si="144"/>
        <v>0</v>
      </c>
      <c r="F165" s="47">
        <v>60.0</v>
      </c>
      <c r="G165" s="14" t="str">
        <f t="shared" si="145"/>
        <v>#DIV/0!</v>
      </c>
      <c r="H165" s="37"/>
      <c r="I165" s="40"/>
      <c r="J165" s="37">
        <f t="shared" si="146"/>
        <v>0</v>
      </c>
      <c r="K165" s="52">
        <f t="shared" si="147"/>
        <v>60</v>
      </c>
      <c r="L165" s="48" t="str">
        <f t="shared" si="148"/>
        <v>#DIV/0!</v>
      </c>
      <c r="M165" s="72">
        <v>17060.0</v>
      </c>
      <c r="N165" s="131">
        <f t="shared" si="149"/>
        <v>1023600</v>
      </c>
    </row>
    <row r="166">
      <c r="A166" s="35">
        <v>46036.0</v>
      </c>
      <c r="B166" s="99" t="s">
        <v>44</v>
      </c>
      <c r="C166" s="37"/>
      <c r="D166" s="37"/>
      <c r="E166" s="12">
        <f t="shared" si="144"/>
        <v>0</v>
      </c>
      <c r="F166" s="47">
        <v>80.0</v>
      </c>
      <c r="G166" s="14" t="str">
        <f t="shared" si="145"/>
        <v>#DIV/0!</v>
      </c>
      <c r="H166" s="37"/>
      <c r="I166" s="40"/>
      <c r="J166" s="37">
        <f t="shared" si="146"/>
        <v>0</v>
      </c>
      <c r="K166" s="52">
        <f t="shared" si="147"/>
        <v>80</v>
      </c>
      <c r="L166" s="48" t="str">
        <f t="shared" si="148"/>
        <v>#DIV/0!</v>
      </c>
      <c r="M166" s="72">
        <v>17060.0</v>
      </c>
      <c r="N166" s="131">
        <f t="shared" si="149"/>
        <v>1364800</v>
      </c>
    </row>
    <row r="167">
      <c r="A167" s="35">
        <v>46041.0</v>
      </c>
      <c r="B167" s="99" t="s">
        <v>44</v>
      </c>
      <c r="C167" s="37"/>
      <c r="D167" s="37"/>
      <c r="E167" s="12">
        <f t="shared" si="144"/>
        <v>0</v>
      </c>
      <c r="F167" s="47">
        <v>70.0</v>
      </c>
      <c r="G167" s="14" t="str">
        <f t="shared" si="145"/>
        <v>#DIV/0!</v>
      </c>
      <c r="H167" s="37"/>
      <c r="I167" s="40"/>
      <c r="J167" s="37">
        <f t="shared" si="146"/>
        <v>0</v>
      </c>
      <c r="K167" s="52">
        <f t="shared" si="147"/>
        <v>70</v>
      </c>
      <c r="L167" s="48" t="str">
        <f t="shared" si="148"/>
        <v>#DIV/0!</v>
      </c>
      <c r="M167" s="72">
        <v>17280.0</v>
      </c>
      <c r="N167" s="131">
        <f t="shared" si="149"/>
        <v>1209600</v>
      </c>
    </row>
    <row r="168">
      <c r="A168" s="35">
        <v>46044.0</v>
      </c>
      <c r="B168" s="99" t="s">
        <v>44</v>
      </c>
      <c r="C168" s="37"/>
      <c r="D168" s="133"/>
      <c r="E168" s="12">
        <f t="shared" si="144"/>
        <v>0</v>
      </c>
      <c r="F168" s="47">
        <v>80.0</v>
      </c>
      <c r="G168" s="14" t="str">
        <f t="shared" si="145"/>
        <v>#DIV/0!</v>
      </c>
      <c r="H168" s="37"/>
      <c r="I168" s="93"/>
      <c r="J168" s="37">
        <f t="shared" si="146"/>
        <v>0</v>
      </c>
      <c r="K168" s="52">
        <f t="shared" si="147"/>
        <v>80</v>
      </c>
      <c r="L168" s="48" t="str">
        <f t="shared" si="148"/>
        <v>#DIV/0!</v>
      </c>
      <c r="M168" s="72">
        <v>17280.0</v>
      </c>
      <c r="N168" s="131">
        <f t="shared" si="149"/>
        <v>1382400</v>
      </c>
    </row>
    <row r="169">
      <c r="A169" s="35">
        <v>46047.0</v>
      </c>
      <c r="B169" s="99" t="s">
        <v>44</v>
      </c>
      <c r="C169" s="37"/>
      <c r="D169" s="133"/>
      <c r="E169" s="12">
        <f t="shared" si="144"/>
        <v>0</v>
      </c>
      <c r="F169" s="47">
        <v>80.0</v>
      </c>
      <c r="G169" s="14" t="str">
        <f t="shared" si="145"/>
        <v>#DIV/0!</v>
      </c>
      <c r="H169" s="37"/>
      <c r="I169" s="93"/>
      <c r="J169" s="37">
        <f t="shared" si="146"/>
        <v>0</v>
      </c>
      <c r="K169" s="52">
        <f t="shared" si="147"/>
        <v>80</v>
      </c>
      <c r="L169" s="48" t="str">
        <f t="shared" si="148"/>
        <v>#DIV/0!</v>
      </c>
      <c r="M169" s="50">
        <v>17700.0</v>
      </c>
      <c r="N169" s="131">
        <f t="shared" si="149"/>
        <v>1416000</v>
      </c>
    </row>
    <row r="170">
      <c r="A170" s="146">
        <v>46051.0</v>
      </c>
      <c r="B170" s="99" t="s">
        <v>44</v>
      </c>
      <c r="C170" s="55"/>
      <c r="D170" s="95"/>
      <c r="E170" s="25">
        <f t="shared" si="144"/>
        <v>0</v>
      </c>
      <c r="F170" s="47">
        <v>78.0</v>
      </c>
      <c r="G170" s="56" t="str">
        <f t="shared" si="145"/>
        <v>#DIV/0!</v>
      </c>
      <c r="H170" s="55"/>
      <c r="I170" s="85"/>
      <c r="J170" s="55">
        <f t="shared" si="146"/>
        <v>0</v>
      </c>
      <c r="K170" s="52">
        <f t="shared" si="147"/>
        <v>78</v>
      </c>
      <c r="L170" s="77" t="str">
        <f t="shared" si="148"/>
        <v>#DIV/0!</v>
      </c>
      <c r="M170" s="58">
        <v>17700.0</v>
      </c>
      <c r="N170" s="49">
        <f t="shared" si="149"/>
        <v>1380600</v>
      </c>
    </row>
    <row r="171">
      <c r="A171" s="62"/>
      <c r="B171" s="63"/>
      <c r="C171" s="62"/>
      <c r="D171" s="64" t="s">
        <v>19</v>
      </c>
      <c r="E171" s="64">
        <f t="shared" ref="E171:F171" si="150">sum(E163:E170)</f>
        <v>0</v>
      </c>
      <c r="F171" s="64">
        <f t="shared" si="150"/>
        <v>594</v>
      </c>
      <c r="G171" s="65" t="str">
        <f>average(G163:G170)</f>
        <v>#DIV/0!</v>
      </c>
      <c r="H171" s="62"/>
      <c r="I171" s="66"/>
      <c r="J171" s="64">
        <f t="shared" ref="J171:K171" si="151">sum(J163:J170)</f>
        <v>0</v>
      </c>
      <c r="K171" s="64">
        <f t="shared" si="151"/>
        <v>594</v>
      </c>
      <c r="L171" s="65" t="str">
        <f>average(L163:L170)</f>
        <v>#DIV/0!</v>
      </c>
      <c r="M171" s="68"/>
      <c r="N171" s="69">
        <f>sum(N163:N170)</f>
        <v>10295500</v>
      </c>
    </row>
    <row r="172">
      <c r="A172" s="155">
        <v>46024.0</v>
      </c>
      <c r="B172" s="156" t="s">
        <v>32</v>
      </c>
      <c r="C172" s="89"/>
      <c r="D172" s="13"/>
      <c r="E172" s="38">
        <f t="shared" ref="E172:E179" si="152">D172-C172</f>
        <v>0</v>
      </c>
      <c r="F172" s="39">
        <v>80.0</v>
      </c>
      <c r="G172" s="14" t="str">
        <f t="shared" ref="G172:G179" si="153">(F172/E172)*100</f>
        <v>#DIV/0!</v>
      </c>
      <c r="H172" s="137"/>
      <c r="I172" s="138"/>
      <c r="J172" s="41">
        <f t="shared" ref="J172:J179" si="154">I172-H172</f>
        <v>0</v>
      </c>
      <c r="K172" s="52">
        <f t="shared" ref="K172:K176" si="155">F172</f>
        <v>80</v>
      </c>
      <c r="L172" s="152" t="str">
        <f t="shared" ref="L172:L179" si="156">(K172/J172)*100</f>
        <v>#DIV/0!</v>
      </c>
      <c r="M172" s="72">
        <v>17250.0</v>
      </c>
      <c r="N172" s="131">
        <f t="shared" ref="N172:N179" si="157">M172*K172</f>
        <v>1380000</v>
      </c>
    </row>
    <row r="173">
      <c r="A173" s="154">
        <v>46032.0</v>
      </c>
      <c r="B173" s="156" t="s">
        <v>32</v>
      </c>
      <c r="C173" s="89"/>
      <c r="D173" s="13"/>
      <c r="E173" s="38">
        <f t="shared" si="152"/>
        <v>0</v>
      </c>
      <c r="F173" s="47">
        <v>72.0</v>
      </c>
      <c r="G173" s="14" t="str">
        <f t="shared" si="153"/>
        <v>#DIV/0!</v>
      </c>
      <c r="H173" s="40"/>
      <c r="I173" s="40"/>
      <c r="J173" s="37">
        <f t="shared" si="154"/>
        <v>0</v>
      </c>
      <c r="K173" s="52">
        <f t="shared" si="155"/>
        <v>72</v>
      </c>
      <c r="L173" s="152" t="str">
        <f t="shared" si="156"/>
        <v>#DIV/0!</v>
      </c>
      <c r="M173" s="126">
        <v>17060.0</v>
      </c>
      <c r="N173" s="131">
        <f t="shared" si="157"/>
        <v>1228320</v>
      </c>
    </row>
    <row r="174">
      <c r="A174" s="154">
        <v>46037.0</v>
      </c>
      <c r="B174" s="156" t="s">
        <v>32</v>
      </c>
      <c r="C174" s="89"/>
      <c r="D174" s="89"/>
      <c r="E174" s="12">
        <f t="shared" si="152"/>
        <v>0</v>
      </c>
      <c r="F174" s="157">
        <v>85.0</v>
      </c>
      <c r="G174" s="14" t="str">
        <f t="shared" si="153"/>
        <v>#DIV/0!</v>
      </c>
      <c r="H174" s="37"/>
      <c r="I174" s="40"/>
      <c r="J174" s="37">
        <f t="shared" si="154"/>
        <v>0</v>
      </c>
      <c r="K174" s="52">
        <f t="shared" si="155"/>
        <v>85</v>
      </c>
      <c r="L174" s="152" t="str">
        <f t="shared" si="156"/>
        <v>#DIV/0!</v>
      </c>
      <c r="M174" s="126">
        <v>17060.0</v>
      </c>
      <c r="N174" s="131">
        <f t="shared" si="157"/>
        <v>1450100</v>
      </c>
    </row>
    <row r="175">
      <c r="A175" s="154">
        <v>46046.0</v>
      </c>
      <c r="B175" s="156" t="s">
        <v>32</v>
      </c>
      <c r="C175" s="89"/>
      <c r="D175" s="89"/>
      <c r="E175" s="12">
        <f t="shared" si="152"/>
        <v>0</v>
      </c>
      <c r="F175" s="157">
        <v>85.0</v>
      </c>
      <c r="G175" s="14" t="str">
        <f t="shared" si="153"/>
        <v>#DIV/0!</v>
      </c>
      <c r="H175" s="37"/>
      <c r="I175" s="40"/>
      <c r="J175" s="37">
        <f t="shared" si="154"/>
        <v>0</v>
      </c>
      <c r="K175" s="52">
        <f t="shared" si="155"/>
        <v>85</v>
      </c>
      <c r="L175" s="152" t="str">
        <f t="shared" si="156"/>
        <v>#DIV/0!</v>
      </c>
      <c r="M175" s="126">
        <v>17700.0</v>
      </c>
      <c r="N175" s="131">
        <f t="shared" si="157"/>
        <v>1504500</v>
      </c>
    </row>
    <row r="176">
      <c r="A176" s="154"/>
      <c r="B176" s="156" t="s">
        <v>32</v>
      </c>
      <c r="C176" s="89"/>
      <c r="D176" s="89"/>
      <c r="E176" s="12">
        <f t="shared" si="152"/>
        <v>0</v>
      </c>
      <c r="F176" s="157"/>
      <c r="G176" s="14" t="str">
        <f t="shared" si="153"/>
        <v>#DIV/0!</v>
      </c>
      <c r="H176" s="37"/>
      <c r="I176" s="40"/>
      <c r="J176" s="37">
        <f t="shared" si="154"/>
        <v>0</v>
      </c>
      <c r="K176" s="52" t="str">
        <f t="shared" si="155"/>
        <v/>
      </c>
      <c r="L176" s="152" t="str">
        <f t="shared" si="156"/>
        <v>#DIV/0!</v>
      </c>
      <c r="M176" s="126"/>
      <c r="N176" s="131">
        <f t="shared" si="157"/>
        <v>0</v>
      </c>
    </row>
    <row r="177">
      <c r="A177" s="154"/>
      <c r="B177" s="156" t="s">
        <v>32</v>
      </c>
      <c r="C177" s="89"/>
      <c r="D177" s="158"/>
      <c r="E177" s="12">
        <f t="shared" si="152"/>
        <v>0</v>
      </c>
      <c r="F177" s="157"/>
      <c r="G177" s="14" t="str">
        <f t="shared" si="153"/>
        <v>#DIV/0!</v>
      </c>
      <c r="H177" s="37"/>
      <c r="I177" s="93"/>
      <c r="J177" s="37">
        <f t="shared" si="154"/>
        <v>0</v>
      </c>
      <c r="K177" s="52"/>
      <c r="L177" s="152" t="str">
        <f t="shared" si="156"/>
        <v>#DIV/0!</v>
      </c>
      <c r="M177" s="126"/>
      <c r="N177" s="131">
        <f t="shared" si="157"/>
        <v>0</v>
      </c>
    </row>
    <row r="178">
      <c r="A178" s="154"/>
      <c r="B178" s="156" t="s">
        <v>32</v>
      </c>
      <c r="C178" s="89"/>
      <c r="D178" s="158"/>
      <c r="E178" s="12">
        <f t="shared" si="152"/>
        <v>0</v>
      </c>
      <c r="F178" s="157"/>
      <c r="G178" s="14" t="str">
        <f t="shared" si="153"/>
        <v>#DIV/0!</v>
      </c>
      <c r="H178" s="89"/>
      <c r="I178" s="159"/>
      <c r="J178" s="89">
        <f t="shared" si="154"/>
        <v>0</v>
      </c>
      <c r="K178" s="52"/>
      <c r="L178" s="152" t="str">
        <f t="shared" si="156"/>
        <v>#DIV/0!</v>
      </c>
      <c r="M178" s="126"/>
      <c r="N178" s="131">
        <f t="shared" si="157"/>
        <v>0</v>
      </c>
    </row>
    <row r="179">
      <c r="A179" s="160"/>
      <c r="B179" s="156" t="s">
        <v>32</v>
      </c>
      <c r="C179" s="149"/>
      <c r="D179" s="150"/>
      <c r="E179" s="25">
        <f t="shared" si="152"/>
        <v>0</v>
      </c>
      <c r="F179" s="161"/>
      <c r="G179" s="56" t="str">
        <f t="shared" si="153"/>
        <v>#DIV/0!</v>
      </c>
      <c r="H179" s="149"/>
      <c r="I179" s="151"/>
      <c r="J179" s="149">
        <f t="shared" si="154"/>
        <v>0</v>
      </c>
      <c r="K179" s="52"/>
      <c r="L179" s="152" t="str">
        <f t="shared" si="156"/>
        <v>#DIV/0!</v>
      </c>
      <c r="M179" s="153"/>
      <c r="N179" s="49">
        <f t="shared" si="157"/>
        <v>0</v>
      </c>
    </row>
    <row r="180">
      <c r="A180" s="160"/>
      <c r="B180" s="63"/>
      <c r="C180" s="62"/>
      <c r="D180" s="64" t="s">
        <v>19</v>
      </c>
      <c r="E180" s="64">
        <f t="shared" ref="E180:F180" si="158">sum(E172:E179)</f>
        <v>0</v>
      </c>
      <c r="F180" s="64">
        <f t="shared" si="158"/>
        <v>322</v>
      </c>
      <c r="G180" s="65" t="str">
        <f>average(G172:G179)</f>
        <v>#DIV/0!</v>
      </c>
      <c r="H180" s="62"/>
      <c r="I180" s="66"/>
      <c r="J180" s="64">
        <f t="shared" ref="J180:K180" si="159">sum(J172:J179)</f>
        <v>0</v>
      </c>
      <c r="K180" s="64">
        <f t="shared" si="159"/>
        <v>322</v>
      </c>
      <c r="L180" s="65" t="str">
        <f>average(L172:L179)</f>
        <v>#DIV/0!</v>
      </c>
      <c r="M180" s="68"/>
      <c r="N180" s="69">
        <f>sum(N172:N179)</f>
        <v>5562920</v>
      </c>
    </row>
    <row r="181">
      <c r="A181" s="155">
        <v>45660.0</v>
      </c>
      <c r="B181" s="162" t="s">
        <v>33</v>
      </c>
      <c r="C181" s="89"/>
      <c r="D181" s="163"/>
      <c r="E181" s="38">
        <f t="shared" ref="E181:E187" si="160">D181-C181</f>
        <v>0</v>
      </c>
      <c r="F181" s="39">
        <v>83.0</v>
      </c>
      <c r="G181" s="124" t="str">
        <f t="shared" ref="G181:G187" si="161">(F181/E181)*100</f>
        <v>#DIV/0!</v>
      </c>
      <c r="H181" s="137"/>
      <c r="I181" s="138"/>
      <c r="J181" s="41">
        <f t="shared" ref="J181:J187" si="162">I181-H181</f>
        <v>0</v>
      </c>
      <c r="K181" s="52">
        <f t="shared" ref="K181:K187" si="163">F181</f>
        <v>83</v>
      </c>
      <c r="L181" s="164" t="str">
        <f t="shared" ref="L181:L187" si="164">(K181/J181)*100</f>
        <v>#DIV/0!</v>
      </c>
      <c r="M181" s="72">
        <v>17250.0</v>
      </c>
      <c r="N181" s="131">
        <f t="shared" ref="N181:N187" si="165">M181*K181</f>
        <v>1431750</v>
      </c>
      <c r="R181" s="80" t="str">
        <f t="shared" ref="R181:R187" si="166">Q181</f>
        <v/>
      </c>
    </row>
    <row r="182">
      <c r="A182" s="154">
        <v>46035.0</v>
      </c>
      <c r="B182" s="156" t="s">
        <v>33</v>
      </c>
      <c r="C182" s="89"/>
      <c r="D182" s="13"/>
      <c r="E182" s="38">
        <f t="shared" si="160"/>
        <v>0</v>
      </c>
      <c r="F182" s="47">
        <v>87.0</v>
      </c>
      <c r="G182" s="14" t="str">
        <f t="shared" si="161"/>
        <v>#DIV/0!</v>
      </c>
      <c r="H182" s="40"/>
      <c r="I182" s="40"/>
      <c r="J182" s="37">
        <f t="shared" si="162"/>
        <v>0</v>
      </c>
      <c r="K182" s="52">
        <f t="shared" si="163"/>
        <v>87</v>
      </c>
      <c r="L182" s="152" t="str">
        <f t="shared" si="164"/>
        <v>#DIV/0!</v>
      </c>
      <c r="M182" s="126">
        <v>17060.0</v>
      </c>
      <c r="N182" s="131">
        <f t="shared" si="165"/>
        <v>1484220</v>
      </c>
      <c r="R182" s="80" t="str">
        <f t="shared" si="166"/>
        <v/>
      </c>
    </row>
    <row r="183">
      <c r="A183" s="154">
        <v>46038.0</v>
      </c>
      <c r="B183" s="156" t="s">
        <v>33</v>
      </c>
      <c r="C183" s="89"/>
      <c r="D183" s="89"/>
      <c r="E183" s="12">
        <f t="shared" si="160"/>
        <v>0</v>
      </c>
      <c r="F183" s="157">
        <v>79.0</v>
      </c>
      <c r="G183" s="14" t="str">
        <f t="shared" si="161"/>
        <v>#DIV/0!</v>
      </c>
      <c r="H183" s="37"/>
      <c r="I183" s="40"/>
      <c r="J183" s="37">
        <f t="shared" si="162"/>
        <v>0</v>
      </c>
      <c r="K183" s="52">
        <f t="shared" si="163"/>
        <v>79</v>
      </c>
      <c r="L183" s="152" t="str">
        <f t="shared" si="164"/>
        <v>#DIV/0!</v>
      </c>
      <c r="M183" s="126">
        <v>17280.0</v>
      </c>
      <c r="N183" s="131">
        <f t="shared" si="165"/>
        <v>1365120</v>
      </c>
      <c r="R183" s="80" t="str">
        <f t="shared" si="166"/>
        <v/>
      </c>
    </row>
    <row r="184">
      <c r="A184" s="154">
        <v>46047.0</v>
      </c>
      <c r="B184" s="156" t="s">
        <v>33</v>
      </c>
      <c r="C184" s="89"/>
      <c r="D184" s="89"/>
      <c r="E184" s="12">
        <f t="shared" si="160"/>
        <v>0</v>
      </c>
      <c r="F184" s="157">
        <v>84.0</v>
      </c>
      <c r="G184" s="14" t="str">
        <f t="shared" si="161"/>
        <v>#DIV/0!</v>
      </c>
      <c r="H184" s="37"/>
      <c r="I184" s="40"/>
      <c r="J184" s="37">
        <f t="shared" si="162"/>
        <v>0</v>
      </c>
      <c r="K184" s="52">
        <f t="shared" si="163"/>
        <v>84</v>
      </c>
      <c r="L184" s="152" t="str">
        <f t="shared" si="164"/>
        <v>#DIV/0!</v>
      </c>
      <c r="M184" s="126">
        <v>17700.0</v>
      </c>
      <c r="N184" s="131">
        <f t="shared" si="165"/>
        <v>1486800</v>
      </c>
      <c r="R184" s="80" t="str">
        <f t="shared" si="166"/>
        <v/>
      </c>
    </row>
    <row r="185">
      <c r="A185" s="154"/>
      <c r="B185" s="156" t="s">
        <v>33</v>
      </c>
      <c r="C185" s="89"/>
      <c r="D185" s="89"/>
      <c r="E185" s="12">
        <f t="shared" si="160"/>
        <v>0</v>
      </c>
      <c r="F185" s="157"/>
      <c r="G185" s="14" t="str">
        <f t="shared" si="161"/>
        <v>#DIV/0!</v>
      </c>
      <c r="H185" s="37"/>
      <c r="I185" s="40"/>
      <c r="J185" s="37">
        <f t="shared" si="162"/>
        <v>0</v>
      </c>
      <c r="K185" s="52" t="str">
        <f t="shared" si="163"/>
        <v/>
      </c>
      <c r="L185" s="152" t="str">
        <f t="shared" si="164"/>
        <v>#DIV/0!</v>
      </c>
      <c r="M185" s="126"/>
      <c r="N185" s="131">
        <f t="shared" si="165"/>
        <v>0</v>
      </c>
      <c r="R185" s="80" t="str">
        <f t="shared" si="166"/>
        <v/>
      </c>
    </row>
    <row r="186">
      <c r="A186" s="154"/>
      <c r="B186" s="156" t="s">
        <v>33</v>
      </c>
      <c r="C186" s="89"/>
      <c r="D186" s="158"/>
      <c r="E186" s="12">
        <f t="shared" si="160"/>
        <v>0</v>
      </c>
      <c r="F186" s="157"/>
      <c r="G186" s="14" t="str">
        <f t="shared" si="161"/>
        <v>#DIV/0!</v>
      </c>
      <c r="H186" s="37"/>
      <c r="I186" s="93"/>
      <c r="J186" s="37">
        <f t="shared" si="162"/>
        <v>0</v>
      </c>
      <c r="K186" s="52" t="str">
        <f t="shared" si="163"/>
        <v/>
      </c>
      <c r="L186" s="152" t="str">
        <f t="shared" si="164"/>
        <v>#DIV/0!</v>
      </c>
      <c r="M186" s="126"/>
      <c r="N186" s="131">
        <f t="shared" si="165"/>
        <v>0</v>
      </c>
      <c r="R186" s="80" t="str">
        <f t="shared" si="166"/>
        <v/>
      </c>
    </row>
    <row r="187">
      <c r="A187" s="154"/>
      <c r="B187" s="156" t="s">
        <v>33</v>
      </c>
      <c r="C187" s="89"/>
      <c r="D187" s="158"/>
      <c r="E187" s="12">
        <f t="shared" si="160"/>
        <v>0</v>
      </c>
      <c r="F187" s="157"/>
      <c r="G187" s="14" t="str">
        <f t="shared" si="161"/>
        <v>#DIV/0!</v>
      </c>
      <c r="H187" s="89"/>
      <c r="I187" s="159"/>
      <c r="J187" s="89">
        <f t="shared" si="162"/>
        <v>0</v>
      </c>
      <c r="K187" s="52" t="str">
        <f t="shared" si="163"/>
        <v/>
      </c>
      <c r="L187" s="152" t="str">
        <f t="shared" si="164"/>
        <v>#DIV/0!</v>
      </c>
      <c r="M187" s="126"/>
      <c r="N187" s="131">
        <f t="shared" si="165"/>
        <v>0</v>
      </c>
      <c r="R187" s="80" t="str">
        <f t="shared" si="166"/>
        <v/>
      </c>
    </row>
    <row r="188">
      <c r="A188" s="154"/>
      <c r="B188" s="63"/>
      <c r="C188" s="62"/>
      <c r="D188" s="64" t="s">
        <v>19</v>
      </c>
      <c r="E188" s="64">
        <f t="shared" ref="E188:F188" si="167">sum(E175:E187)</f>
        <v>0</v>
      </c>
      <c r="F188" s="64">
        <f t="shared" si="167"/>
        <v>740</v>
      </c>
      <c r="G188" s="65" t="str">
        <f>average(G175:G187)</f>
        <v>#DIV/0!</v>
      </c>
      <c r="H188" s="62"/>
      <c r="I188" s="66"/>
      <c r="J188" s="64">
        <f>sum(J175:J187)</f>
        <v>0</v>
      </c>
      <c r="K188" s="64">
        <f>sum(K181:K187)</f>
        <v>333</v>
      </c>
      <c r="L188" s="65" t="str">
        <f>average(L175:L187)</f>
        <v>#DIV/0!</v>
      </c>
      <c r="M188" s="68"/>
      <c r="N188" s="147">
        <f>sum(N181:N187)</f>
        <v>5767890</v>
      </c>
    </row>
    <row r="189">
      <c r="A189" s="154">
        <v>46029.0</v>
      </c>
      <c r="B189" s="156" t="s">
        <v>34</v>
      </c>
      <c r="C189" s="89"/>
      <c r="D189" s="163"/>
      <c r="E189" s="38">
        <f t="shared" ref="E189:E195" si="168">D189-C189</f>
        <v>0</v>
      </c>
      <c r="F189" s="39">
        <v>67.0</v>
      </c>
      <c r="G189" s="124" t="str">
        <f t="shared" ref="G189:G195" si="169">(F189/E189)*100</f>
        <v>#DIV/0!</v>
      </c>
      <c r="H189" s="137"/>
      <c r="I189" s="138"/>
      <c r="J189" s="41">
        <f t="shared" ref="J189:J195" si="170">I189-H189</f>
        <v>0</v>
      </c>
      <c r="K189" s="52">
        <f t="shared" ref="K189:K195" si="171">F189</f>
        <v>67</v>
      </c>
      <c r="L189" s="164" t="str">
        <f t="shared" ref="L189:L195" si="172">(K189/J189)*100</f>
        <v>#DIV/0!</v>
      </c>
      <c r="M189" s="72">
        <v>17250.0</v>
      </c>
      <c r="N189" s="131">
        <f t="shared" ref="N189:N195" si="173">M189*K189</f>
        <v>1155750</v>
      </c>
    </row>
    <row r="190">
      <c r="A190" s="154">
        <v>46035.0</v>
      </c>
      <c r="B190" s="156" t="s">
        <v>34</v>
      </c>
      <c r="C190" s="89"/>
      <c r="D190" s="13"/>
      <c r="E190" s="38">
        <f t="shared" si="168"/>
        <v>0</v>
      </c>
      <c r="F190" s="47">
        <v>60.0</v>
      </c>
      <c r="G190" s="14" t="str">
        <f t="shared" si="169"/>
        <v>#DIV/0!</v>
      </c>
      <c r="H190" s="40"/>
      <c r="I190" s="40"/>
      <c r="J190" s="37">
        <f t="shared" si="170"/>
        <v>0</v>
      </c>
      <c r="K190" s="52">
        <f t="shared" si="171"/>
        <v>60</v>
      </c>
      <c r="L190" s="152" t="str">
        <f t="shared" si="172"/>
        <v>#DIV/0!</v>
      </c>
      <c r="M190" s="126">
        <v>17060.0</v>
      </c>
      <c r="N190" s="131">
        <f t="shared" si="173"/>
        <v>1023600</v>
      </c>
    </row>
    <row r="191">
      <c r="A191" s="154">
        <v>46048.0</v>
      </c>
      <c r="B191" s="156" t="s">
        <v>34</v>
      </c>
      <c r="C191" s="89"/>
      <c r="D191" s="89"/>
      <c r="E191" s="12">
        <f t="shared" si="168"/>
        <v>0</v>
      </c>
      <c r="F191" s="157">
        <v>70.0</v>
      </c>
      <c r="G191" s="14" t="str">
        <f t="shared" si="169"/>
        <v>#DIV/0!</v>
      </c>
      <c r="H191" s="37"/>
      <c r="I191" s="40"/>
      <c r="J191" s="37">
        <f t="shared" si="170"/>
        <v>0</v>
      </c>
      <c r="K191" s="52">
        <f t="shared" si="171"/>
        <v>70</v>
      </c>
      <c r="L191" s="152" t="str">
        <f t="shared" si="172"/>
        <v>#DIV/0!</v>
      </c>
      <c r="M191" s="126">
        <v>17700.0</v>
      </c>
      <c r="N191" s="131">
        <f t="shared" si="173"/>
        <v>1239000</v>
      </c>
    </row>
    <row r="192">
      <c r="A192" s="154">
        <v>46052.0</v>
      </c>
      <c r="B192" s="156" t="s">
        <v>34</v>
      </c>
      <c r="C192" s="89"/>
      <c r="D192" s="89"/>
      <c r="E192" s="12">
        <f t="shared" si="168"/>
        <v>0</v>
      </c>
      <c r="F192" s="157">
        <v>66.0</v>
      </c>
      <c r="G192" s="14" t="str">
        <f t="shared" si="169"/>
        <v>#DIV/0!</v>
      </c>
      <c r="H192" s="37"/>
      <c r="I192" s="40"/>
      <c r="J192" s="37">
        <f t="shared" si="170"/>
        <v>0</v>
      </c>
      <c r="K192" s="52">
        <f t="shared" si="171"/>
        <v>66</v>
      </c>
      <c r="L192" s="152" t="str">
        <f t="shared" si="172"/>
        <v>#DIV/0!</v>
      </c>
      <c r="M192" s="126">
        <v>18170.0</v>
      </c>
      <c r="N192" s="131">
        <f t="shared" si="173"/>
        <v>1199220</v>
      </c>
    </row>
    <row r="193">
      <c r="A193" s="154"/>
      <c r="B193" s="156" t="s">
        <v>34</v>
      </c>
      <c r="C193" s="89"/>
      <c r="D193" s="89"/>
      <c r="E193" s="12">
        <f t="shared" si="168"/>
        <v>0</v>
      </c>
      <c r="F193" s="157"/>
      <c r="G193" s="14" t="str">
        <f t="shared" si="169"/>
        <v>#DIV/0!</v>
      </c>
      <c r="H193" s="37"/>
      <c r="I193" s="40"/>
      <c r="J193" s="37">
        <f t="shared" si="170"/>
        <v>0</v>
      </c>
      <c r="K193" s="52" t="str">
        <f t="shared" si="171"/>
        <v/>
      </c>
      <c r="L193" s="152" t="str">
        <f t="shared" si="172"/>
        <v>#DIV/0!</v>
      </c>
      <c r="M193" s="126"/>
      <c r="N193" s="131">
        <f t="shared" si="173"/>
        <v>0</v>
      </c>
    </row>
    <row r="194">
      <c r="A194" s="154"/>
      <c r="B194" s="156" t="s">
        <v>34</v>
      </c>
      <c r="C194" s="89"/>
      <c r="D194" s="158"/>
      <c r="E194" s="12">
        <f t="shared" si="168"/>
        <v>0</v>
      </c>
      <c r="F194" s="157"/>
      <c r="G194" s="14" t="str">
        <f t="shared" si="169"/>
        <v>#DIV/0!</v>
      </c>
      <c r="H194" s="37"/>
      <c r="I194" s="93"/>
      <c r="J194" s="37">
        <f t="shared" si="170"/>
        <v>0</v>
      </c>
      <c r="K194" s="52" t="str">
        <f t="shared" si="171"/>
        <v/>
      </c>
      <c r="L194" s="152" t="str">
        <f t="shared" si="172"/>
        <v>#DIV/0!</v>
      </c>
      <c r="M194" s="126"/>
      <c r="N194" s="131">
        <f t="shared" si="173"/>
        <v>0</v>
      </c>
    </row>
    <row r="195">
      <c r="A195" s="154"/>
      <c r="B195" s="156" t="s">
        <v>34</v>
      </c>
      <c r="C195" s="89"/>
      <c r="D195" s="158"/>
      <c r="E195" s="12">
        <f t="shared" si="168"/>
        <v>0</v>
      </c>
      <c r="F195" s="157"/>
      <c r="G195" s="14" t="str">
        <f t="shared" si="169"/>
        <v>#DIV/0!</v>
      </c>
      <c r="H195" s="89"/>
      <c r="I195" s="159"/>
      <c r="J195" s="89">
        <f t="shared" si="170"/>
        <v>0</v>
      </c>
      <c r="K195" s="52" t="str">
        <f t="shared" si="171"/>
        <v/>
      </c>
      <c r="L195" s="152" t="str">
        <f t="shared" si="172"/>
        <v>#DIV/0!</v>
      </c>
      <c r="M195" s="126"/>
      <c r="N195" s="131">
        <f t="shared" si="173"/>
        <v>0</v>
      </c>
      <c r="R195" s="80" t="str">
        <f t="shared" ref="R195:R197" si="175">Q195</f>
        <v/>
      </c>
    </row>
    <row r="196">
      <c r="A196" s="154"/>
      <c r="B196" s="63"/>
      <c r="C196" s="62"/>
      <c r="D196" s="64" t="s">
        <v>19</v>
      </c>
      <c r="E196" s="64">
        <f t="shared" ref="E196:F196" si="174">sum(E181:E195)</f>
        <v>0</v>
      </c>
      <c r="F196" s="64">
        <f t="shared" si="174"/>
        <v>1336</v>
      </c>
      <c r="G196" s="65" t="str">
        <f>average(G181:G195)</f>
        <v>#DIV/0!</v>
      </c>
      <c r="H196" s="62"/>
      <c r="I196" s="66"/>
      <c r="J196" s="64">
        <f>sum(J181:J195)</f>
        <v>0</v>
      </c>
      <c r="K196" s="64">
        <f>sum(K189:K195)</f>
        <v>263</v>
      </c>
      <c r="L196" s="65" t="str">
        <f>average(L181:L195)</f>
        <v>#DIV/0!</v>
      </c>
      <c r="M196" s="68"/>
      <c r="N196" s="147">
        <f>sum(N189:N195)</f>
        <v>4617570</v>
      </c>
      <c r="R196" s="80" t="str">
        <f t="shared" si="175"/>
        <v/>
      </c>
    </row>
    <row r="197">
      <c r="A197" s="154"/>
      <c r="B197" s="165"/>
      <c r="C197" s="165"/>
      <c r="D197" s="165"/>
      <c r="E197" s="165"/>
      <c r="F197" s="165"/>
      <c r="G197" s="165"/>
      <c r="H197" s="165"/>
      <c r="I197" s="165"/>
      <c r="J197" s="165"/>
      <c r="K197" s="165"/>
      <c r="L197" s="165"/>
      <c r="M197" s="166"/>
      <c r="N197" s="167">
        <f>N11+N19+N38+N48+N60+N70+N78+N86+N94+N101+N109+N117+N125+N134+N143+N152+N162+N171+N180+N188+N196+N29</f>
        <v>127724080</v>
      </c>
      <c r="R197" s="80" t="str">
        <f t="shared" si="175"/>
        <v/>
      </c>
    </row>
    <row r="198">
      <c r="A198" s="154"/>
      <c r="G198" s="168"/>
      <c r="L198" s="168"/>
      <c r="N198" s="169"/>
    </row>
    <row r="199" ht="31.5" customHeight="1">
      <c r="A199" s="154"/>
      <c r="D199" s="170" t="s">
        <v>45</v>
      </c>
      <c r="E199" s="171"/>
      <c r="G199" s="168"/>
      <c r="L199" s="168"/>
      <c r="N199" s="169"/>
    </row>
    <row r="200">
      <c r="A200" s="154"/>
      <c r="B200" s="172" t="s">
        <v>2</v>
      </c>
      <c r="C200" s="166" t="s">
        <v>3</v>
      </c>
      <c r="D200" s="166" t="s">
        <v>4</v>
      </c>
      <c r="E200" s="166" t="s">
        <v>5</v>
      </c>
      <c r="F200" s="166" t="s">
        <v>6</v>
      </c>
      <c r="G200" s="173" t="s">
        <v>7</v>
      </c>
      <c r="H200" s="174" t="s">
        <v>8</v>
      </c>
      <c r="I200" s="175" t="s">
        <v>8</v>
      </c>
      <c r="J200" s="166" t="s">
        <v>5</v>
      </c>
      <c r="K200" s="166" t="s">
        <v>6</v>
      </c>
      <c r="L200" s="173" t="s">
        <v>7</v>
      </c>
      <c r="M200" s="166" t="s">
        <v>9</v>
      </c>
      <c r="N200" s="176" t="s">
        <v>10</v>
      </c>
      <c r="O200" s="197">
        <v>1.0</v>
      </c>
      <c r="P200" s="250" t="s">
        <v>46</v>
      </c>
      <c r="Q200" s="259">
        <f>N206</f>
        <v>14820746</v>
      </c>
    </row>
    <row r="201">
      <c r="A201" s="154">
        <v>46031.0</v>
      </c>
      <c r="B201" s="179" t="s">
        <v>46</v>
      </c>
      <c r="C201" s="37"/>
      <c r="D201" s="13"/>
      <c r="E201" s="12"/>
      <c r="F201" s="37">
        <v>434.98</v>
      </c>
      <c r="G201" s="14" t="str">
        <f t="shared" ref="G201:G205" si="176">(F201/E201)*100</f>
        <v>#DIV/0!</v>
      </c>
      <c r="H201" s="89"/>
      <c r="I201" s="138"/>
      <c r="J201" s="41">
        <f t="shared" ref="J201:J205" si="177">I201-H201</f>
        <v>0</v>
      </c>
      <c r="K201" s="52">
        <f t="shared" ref="K201:K205" si="178">F201</f>
        <v>434.98</v>
      </c>
      <c r="L201" s="71" t="str">
        <f t="shared" ref="L201:L205" si="179">(K201/J201)*100</f>
        <v>#DIV/0!</v>
      </c>
      <c r="M201" s="72">
        <v>17060.0</v>
      </c>
      <c r="N201" s="49">
        <f t="shared" ref="N201:N205" si="180">M201*K201</f>
        <v>7420758.8</v>
      </c>
      <c r="O201" s="197">
        <v>2.0</v>
      </c>
      <c r="P201" s="250" t="s">
        <v>47</v>
      </c>
      <c r="Q201" s="259">
        <f>N212</f>
        <v>12425899.6</v>
      </c>
    </row>
    <row r="202">
      <c r="A202" s="154">
        <v>46044.0</v>
      </c>
      <c r="B202" s="180" t="s">
        <v>46</v>
      </c>
      <c r="C202" s="13"/>
      <c r="D202" s="13">
        <v>412015.0</v>
      </c>
      <c r="E202" s="12"/>
      <c r="F202" s="47">
        <v>428.24</v>
      </c>
      <c r="G202" s="14" t="str">
        <f t="shared" si="176"/>
        <v>#DIV/0!</v>
      </c>
      <c r="H202" s="37"/>
      <c r="I202" s="40"/>
      <c r="J202" s="37">
        <f t="shared" si="177"/>
        <v>0</v>
      </c>
      <c r="K202" s="52">
        <f t="shared" si="178"/>
        <v>428.24</v>
      </c>
      <c r="L202" s="48" t="str">
        <f t="shared" si="179"/>
        <v>#DIV/0!</v>
      </c>
      <c r="M202" s="50">
        <v>17280.0</v>
      </c>
      <c r="N202" s="49">
        <f t="shared" si="180"/>
        <v>7399987.2</v>
      </c>
      <c r="O202" s="197">
        <v>3.0</v>
      </c>
      <c r="P202" s="250" t="s">
        <v>48</v>
      </c>
      <c r="Q202" s="259">
        <f>N218</f>
        <v>11811493.5</v>
      </c>
    </row>
    <row r="203">
      <c r="A203" s="154"/>
      <c r="B203" s="180" t="s">
        <v>46</v>
      </c>
      <c r="C203" s="13"/>
      <c r="D203" s="37"/>
      <c r="E203" s="12"/>
      <c r="F203" s="47"/>
      <c r="G203" s="14" t="str">
        <f t="shared" si="176"/>
        <v>#DIV/0!</v>
      </c>
      <c r="H203" s="37"/>
      <c r="I203" s="40"/>
      <c r="J203" s="37">
        <f t="shared" si="177"/>
        <v>0</v>
      </c>
      <c r="K203" s="37" t="str">
        <f t="shared" si="178"/>
        <v/>
      </c>
      <c r="L203" s="48" t="str">
        <f t="shared" si="179"/>
        <v>#DIV/0!</v>
      </c>
      <c r="M203" s="50"/>
      <c r="N203" s="49">
        <f t="shared" si="180"/>
        <v>0</v>
      </c>
      <c r="O203" s="197">
        <v>4.0</v>
      </c>
      <c r="P203" s="250" t="s">
        <v>49</v>
      </c>
      <c r="Q203" s="259">
        <f>N224</f>
        <v>7909875.6</v>
      </c>
    </row>
    <row r="204">
      <c r="A204" s="154"/>
      <c r="B204" s="180" t="s">
        <v>46</v>
      </c>
      <c r="C204" s="37"/>
      <c r="D204" s="37"/>
      <c r="E204" s="12">
        <f t="shared" ref="E204:E205" si="181">D204-C204</f>
        <v>0</v>
      </c>
      <c r="F204" s="47"/>
      <c r="G204" s="14" t="str">
        <f t="shared" si="176"/>
        <v>#DIV/0!</v>
      </c>
      <c r="H204" s="37"/>
      <c r="I204" s="40"/>
      <c r="J204" s="37">
        <f t="shared" si="177"/>
        <v>0</v>
      </c>
      <c r="K204" s="37" t="str">
        <f t="shared" si="178"/>
        <v/>
      </c>
      <c r="L204" s="48" t="str">
        <f t="shared" si="179"/>
        <v>#DIV/0!</v>
      </c>
      <c r="M204" s="50"/>
      <c r="N204" s="49">
        <f t="shared" si="180"/>
        <v>0</v>
      </c>
      <c r="O204" s="197">
        <v>5.0</v>
      </c>
      <c r="P204" s="250" t="s">
        <v>50</v>
      </c>
      <c r="Q204" s="259">
        <f>N230</f>
        <v>7700276.6</v>
      </c>
    </row>
    <row r="205">
      <c r="A205" s="154"/>
      <c r="B205" s="180" t="s">
        <v>46</v>
      </c>
      <c r="C205" s="37"/>
      <c r="D205" s="37"/>
      <c r="E205" s="12">
        <f t="shared" si="181"/>
        <v>0</v>
      </c>
      <c r="F205" s="47"/>
      <c r="G205" s="14" t="str">
        <f t="shared" si="176"/>
        <v>#DIV/0!</v>
      </c>
      <c r="H205" s="37"/>
      <c r="I205" s="40"/>
      <c r="J205" s="37">
        <f t="shared" si="177"/>
        <v>0</v>
      </c>
      <c r="K205" s="37" t="str">
        <f t="shared" si="178"/>
        <v/>
      </c>
      <c r="L205" s="77" t="str">
        <f t="shared" si="179"/>
        <v>#DIV/0!</v>
      </c>
      <c r="M205" s="50"/>
      <c r="N205" s="49">
        <f t="shared" si="180"/>
        <v>0</v>
      </c>
      <c r="O205" s="197">
        <v>6.0</v>
      </c>
      <c r="P205" s="250" t="s">
        <v>51</v>
      </c>
      <c r="Q205" s="259">
        <f>N236</f>
        <v>8500325</v>
      </c>
    </row>
    <row r="206">
      <c r="A206" s="154"/>
      <c r="B206" s="63"/>
      <c r="C206" s="62"/>
      <c r="D206" s="64" t="s">
        <v>19</v>
      </c>
      <c r="E206" s="64">
        <f t="shared" ref="E206:F206" si="182">sum(E201:E205)</f>
        <v>0</v>
      </c>
      <c r="F206" s="64">
        <f t="shared" si="182"/>
        <v>863.22</v>
      </c>
      <c r="G206" s="65" t="str">
        <f>average(G201:G205)</f>
        <v>#DIV/0!</v>
      </c>
      <c r="H206" s="62"/>
      <c r="I206" s="66"/>
      <c r="J206" s="64">
        <f t="shared" ref="J206:K206" si="183">sum(J201:J205)</f>
        <v>0</v>
      </c>
      <c r="K206" s="64">
        <f t="shared" si="183"/>
        <v>863.22</v>
      </c>
      <c r="L206" s="65" t="str">
        <f>average(L201:L205)</f>
        <v>#DIV/0!</v>
      </c>
      <c r="M206" s="68"/>
      <c r="N206" s="69">
        <f>sum(N201:N205)</f>
        <v>14820746</v>
      </c>
      <c r="O206" s="197">
        <v>7.0</v>
      </c>
      <c r="P206" s="260" t="s">
        <v>52</v>
      </c>
      <c r="Q206" s="259">
        <f>N265</f>
        <v>18500239.4</v>
      </c>
    </row>
    <row r="207">
      <c r="A207" s="154">
        <v>46029.0</v>
      </c>
      <c r="B207" s="182" t="s">
        <v>53</v>
      </c>
      <c r="C207" s="89">
        <v>504934.0</v>
      </c>
      <c r="D207" s="89">
        <v>505760.0</v>
      </c>
      <c r="E207" s="12">
        <f t="shared" ref="E207:E211" si="184">D207-C207</f>
        <v>826</v>
      </c>
      <c r="F207" s="157">
        <v>260.92</v>
      </c>
      <c r="G207" s="14">
        <f t="shared" ref="G207:G211" si="185">(F207/E207)*100</f>
        <v>31.58837772</v>
      </c>
      <c r="H207" s="137">
        <v>28200.0</v>
      </c>
      <c r="I207" s="137">
        <v>28952.0</v>
      </c>
      <c r="J207" s="89">
        <f t="shared" ref="J207:J211" si="186">I207-H207</f>
        <v>752</v>
      </c>
      <c r="K207" s="89">
        <f t="shared" ref="K207:K211" si="187">F207</f>
        <v>260.92</v>
      </c>
      <c r="L207" s="152">
        <f t="shared" ref="L207:L211" si="188">(K207/J207)*100</f>
        <v>34.69680851</v>
      </c>
      <c r="M207" s="126">
        <v>17250.0</v>
      </c>
      <c r="N207" s="44">
        <f t="shared" ref="N207:N211" si="189">F207*M207</f>
        <v>4500870</v>
      </c>
      <c r="O207" s="197">
        <v>8.0</v>
      </c>
      <c r="P207" s="250" t="s">
        <v>54</v>
      </c>
      <c r="Q207" s="259">
        <f>N251</f>
        <v>25000000</v>
      </c>
    </row>
    <row r="208">
      <c r="A208" s="154">
        <v>46037.0</v>
      </c>
      <c r="B208" s="182" t="s">
        <v>53</v>
      </c>
      <c r="C208" s="89">
        <v>505760.0</v>
      </c>
      <c r="D208" s="89">
        <v>506521.0</v>
      </c>
      <c r="E208" s="12">
        <f t="shared" si="184"/>
        <v>761</v>
      </c>
      <c r="F208" s="157">
        <v>205.16</v>
      </c>
      <c r="G208" s="14">
        <f t="shared" si="185"/>
        <v>26.95926413</v>
      </c>
      <c r="H208" s="137">
        <v>28952.0</v>
      </c>
      <c r="I208" s="137"/>
      <c r="J208" s="89">
        <f t="shared" si="186"/>
        <v>-28952</v>
      </c>
      <c r="K208" s="89">
        <f t="shared" si="187"/>
        <v>205.16</v>
      </c>
      <c r="L208" s="152">
        <f t="shared" si="188"/>
        <v>-0.7086211661</v>
      </c>
      <c r="M208" s="126">
        <v>17060.0</v>
      </c>
      <c r="N208" s="49">
        <f t="shared" si="189"/>
        <v>3500029.6</v>
      </c>
      <c r="O208" s="197">
        <v>9.0</v>
      </c>
      <c r="P208" s="250" t="s">
        <v>69</v>
      </c>
      <c r="Q208" s="259">
        <f>N258</f>
        <v>21164000</v>
      </c>
    </row>
    <row r="209">
      <c r="A209" s="154">
        <v>46044.0</v>
      </c>
      <c r="B209" s="182" t="s">
        <v>53</v>
      </c>
      <c r="C209" s="89">
        <v>506521.0</v>
      </c>
      <c r="D209" s="89">
        <v>507266.0</v>
      </c>
      <c r="E209" s="12">
        <f t="shared" si="184"/>
        <v>745</v>
      </c>
      <c r="F209" s="157">
        <v>250.0</v>
      </c>
      <c r="G209" s="14">
        <f t="shared" si="185"/>
        <v>33.55704698</v>
      </c>
      <c r="H209" s="137"/>
      <c r="I209" s="137">
        <v>29299.0</v>
      </c>
      <c r="J209" s="89">
        <f t="shared" si="186"/>
        <v>29299</v>
      </c>
      <c r="K209" s="89">
        <f t="shared" si="187"/>
        <v>250</v>
      </c>
      <c r="L209" s="152">
        <f t="shared" si="188"/>
        <v>0.8532714427</v>
      </c>
      <c r="M209" s="126">
        <v>17700.0</v>
      </c>
      <c r="N209" s="49">
        <f t="shared" si="189"/>
        <v>4425000</v>
      </c>
      <c r="O209" s="197">
        <v>10.0</v>
      </c>
      <c r="P209" s="260" t="s">
        <v>56</v>
      </c>
      <c r="Q209" s="259">
        <f>N242</f>
        <v>19300000</v>
      </c>
    </row>
    <row r="210">
      <c r="A210" s="154"/>
      <c r="B210" s="182" t="s">
        <v>53</v>
      </c>
      <c r="C210" s="89"/>
      <c r="D210" s="89"/>
      <c r="E210" s="12">
        <f t="shared" si="184"/>
        <v>0</v>
      </c>
      <c r="F210" s="157"/>
      <c r="G210" s="14" t="str">
        <f t="shared" si="185"/>
        <v>#DIV/0!</v>
      </c>
      <c r="H210" s="137"/>
      <c r="I210" s="137"/>
      <c r="J210" s="89">
        <f t="shared" si="186"/>
        <v>0</v>
      </c>
      <c r="K210" s="89" t="str">
        <f t="shared" si="187"/>
        <v/>
      </c>
      <c r="L210" s="152" t="str">
        <f t="shared" si="188"/>
        <v>#DIV/0!</v>
      </c>
      <c r="M210" s="126"/>
      <c r="N210" s="49">
        <f t="shared" si="189"/>
        <v>0</v>
      </c>
      <c r="O210" s="197">
        <v>11.0</v>
      </c>
      <c r="P210" s="234" t="s">
        <v>57</v>
      </c>
      <c r="Q210" s="251">
        <f>N272</f>
        <v>13174194.6</v>
      </c>
    </row>
    <row r="211">
      <c r="A211" s="154"/>
      <c r="B211" s="182" t="s">
        <v>53</v>
      </c>
      <c r="C211" s="89"/>
      <c r="D211" s="89"/>
      <c r="E211" s="12">
        <f t="shared" si="184"/>
        <v>0</v>
      </c>
      <c r="F211" s="157"/>
      <c r="G211" s="14" t="str">
        <f t="shared" si="185"/>
        <v>#DIV/0!</v>
      </c>
      <c r="H211" s="137"/>
      <c r="I211" s="137"/>
      <c r="J211" s="89">
        <f t="shared" si="186"/>
        <v>0</v>
      </c>
      <c r="K211" s="89" t="str">
        <f t="shared" si="187"/>
        <v/>
      </c>
      <c r="L211" s="152" t="str">
        <f t="shared" si="188"/>
        <v>#DIV/0!</v>
      </c>
      <c r="M211" s="126"/>
      <c r="N211" s="49">
        <f t="shared" si="189"/>
        <v>0</v>
      </c>
      <c r="O211" s="197">
        <v>12.0</v>
      </c>
      <c r="P211" s="234" t="s">
        <v>58</v>
      </c>
      <c r="Q211" s="251">
        <f>N279</f>
        <v>10713925.6</v>
      </c>
    </row>
    <row r="212">
      <c r="A212" s="154"/>
      <c r="B212" s="63"/>
      <c r="C212" s="62"/>
      <c r="D212" s="64" t="s">
        <v>19</v>
      </c>
      <c r="E212" s="64">
        <f t="shared" ref="E212:F212" si="190">sum(E207:E211)</f>
        <v>2332</v>
      </c>
      <c r="F212" s="64">
        <f t="shared" si="190"/>
        <v>716.08</v>
      </c>
      <c r="G212" s="65" t="str">
        <f>average(G207:G211)</f>
        <v>#DIV/0!</v>
      </c>
      <c r="H212" s="62"/>
      <c r="I212" s="66"/>
      <c r="J212" s="64">
        <f t="shared" ref="J212:K212" si="191">sum(J207:J211)</f>
        <v>1099</v>
      </c>
      <c r="K212" s="64">
        <f t="shared" si="191"/>
        <v>716.08</v>
      </c>
      <c r="L212" s="65" t="str">
        <f>average(L207:L211)</f>
        <v>#DIV/0!</v>
      </c>
      <c r="M212" s="68"/>
      <c r="N212" s="69">
        <f>sum(N207:N211)</f>
        <v>12425899.6</v>
      </c>
    </row>
    <row r="213">
      <c r="A213" s="154">
        <v>46029.0</v>
      </c>
      <c r="B213" s="182" t="s">
        <v>48</v>
      </c>
      <c r="C213" s="89"/>
      <c r="D213" s="13"/>
      <c r="E213" s="38">
        <f t="shared" ref="E213:E217" si="192">D213-C213</f>
        <v>0</v>
      </c>
      <c r="F213" s="157">
        <v>231.97</v>
      </c>
      <c r="G213" s="14" t="str">
        <f t="shared" ref="G213:G217" si="193">(F213/E213)*100</f>
        <v>#DIV/0!</v>
      </c>
      <c r="H213" s="89"/>
      <c r="I213" s="138"/>
      <c r="J213" s="41">
        <f t="shared" ref="J213:J217" si="194">I213-H213</f>
        <v>0</v>
      </c>
      <c r="K213" s="41"/>
      <c r="L213" s="152" t="str">
        <f t="shared" ref="L213:L217" si="195">(K213/J213)*100</f>
        <v>#DIV/0!</v>
      </c>
      <c r="M213" s="72">
        <v>17250.0</v>
      </c>
      <c r="N213" s="131">
        <f t="shared" ref="N213:N217" si="196">F213*M213</f>
        <v>4001482.5</v>
      </c>
      <c r="P213" s="256" t="s">
        <v>19</v>
      </c>
      <c r="Q213" s="251">
        <f>SUM(Q200:Q211)</f>
        <v>171020975.9</v>
      </c>
    </row>
    <row r="214">
      <c r="A214" s="154">
        <v>46040.0</v>
      </c>
      <c r="B214" s="182" t="s">
        <v>48</v>
      </c>
      <c r="C214" s="89"/>
      <c r="D214" s="13"/>
      <c r="E214" s="12">
        <f t="shared" si="192"/>
        <v>0</v>
      </c>
      <c r="F214" s="157">
        <v>220.49</v>
      </c>
      <c r="G214" s="14" t="str">
        <f t="shared" si="193"/>
        <v>#DIV/0!</v>
      </c>
      <c r="H214" s="89"/>
      <c r="I214" s="137"/>
      <c r="J214" s="89">
        <f t="shared" si="194"/>
        <v>0</v>
      </c>
      <c r="K214" s="37"/>
      <c r="L214" s="152" t="str">
        <f t="shared" si="195"/>
        <v>#DIV/0!</v>
      </c>
      <c r="M214" s="126">
        <v>17280.0</v>
      </c>
      <c r="N214" s="131">
        <f t="shared" si="196"/>
        <v>3810067.2</v>
      </c>
    </row>
    <row r="215">
      <c r="A215" s="154">
        <v>46052.0</v>
      </c>
      <c r="B215" s="182" t="s">
        <v>48</v>
      </c>
      <c r="C215" s="89"/>
      <c r="D215" s="89"/>
      <c r="E215" s="12">
        <f t="shared" si="192"/>
        <v>0</v>
      </c>
      <c r="F215" s="157">
        <v>220.14</v>
      </c>
      <c r="G215" s="14" t="str">
        <f t="shared" si="193"/>
        <v>#DIV/0!</v>
      </c>
      <c r="H215" s="89"/>
      <c r="I215" s="137"/>
      <c r="J215" s="89">
        <f t="shared" si="194"/>
        <v>0</v>
      </c>
      <c r="K215" s="37"/>
      <c r="L215" s="152" t="str">
        <f t="shared" si="195"/>
        <v>#DIV/0!</v>
      </c>
      <c r="M215" s="126">
        <v>18170.0</v>
      </c>
      <c r="N215" s="131">
        <f t="shared" si="196"/>
        <v>3999943.8</v>
      </c>
    </row>
    <row r="216">
      <c r="A216" s="154"/>
      <c r="B216" s="182" t="s">
        <v>48</v>
      </c>
      <c r="C216" s="89"/>
      <c r="D216" s="89"/>
      <c r="E216" s="12">
        <f t="shared" si="192"/>
        <v>0</v>
      </c>
      <c r="F216" s="157"/>
      <c r="G216" s="14" t="str">
        <f t="shared" si="193"/>
        <v>#DIV/0!</v>
      </c>
      <c r="H216" s="89"/>
      <c r="I216" s="137"/>
      <c r="J216" s="89">
        <f t="shared" si="194"/>
        <v>0</v>
      </c>
      <c r="K216" s="37"/>
      <c r="L216" s="152" t="str">
        <f t="shared" si="195"/>
        <v>#DIV/0!</v>
      </c>
      <c r="M216" s="126"/>
      <c r="N216" s="131">
        <f t="shared" si="196"/>
        <v>0</v>
      </c>
    </row>
    <row r="217">
      <c r="A217" s="154"/>
      <c r="B217" s="182" t="s">
        <v>48</v>
      </c>
      <c r="C217" s="89"/>
      <c r="D217" s="89"/>
      <c r="E217" s="12">
        <f t="shared" si="192"/>
        <v>0</v>
      </c>
      <c r="F217" s="157"/>
      <c r="G217" s="14" t="str">
        <f t="shared" si="193"/>
        <v>#DIV/0!</v>
      </c>
      <c r="H217" s="89"/>
      <c r="I217" s="137"/>
      <c r="J217" s="89">
        <f t="shared" si="194"/>
        <v>0</v>
      </c>
      <c r="K217" s="37"/>
      <c r="L217" s="152" t="str">
        <f t="shared" si="195"/>
        <v>#DIV/0!</v>
      </c>
      <c r="M217" s="126"/>
      <c r="N217" s="131">
        <f t="shared" si="196"/>
        <v>0</v>
      </c>
    </row>
    <row r="218">
      <c r="A218" s="154"/>
      <c r="B218" s="63"/>
      <c r="C218" s="62"/>
      <c r="D218" s="64" t="s">
        <v>19</v>
      </c>
      <c r="E218" s="64">
        <f t="shared" ref="E218:F218" si="197">sum(E213:E217)</f>
        <v>0</v>
      </c>
      <c r="F218" s="64">
        <f t="shared" si="197"/>
        <v>672.6</v>
      </c>
      <c r="G218" s="65" t="str">
        <f>average(G213:G217)</f>
        <v>#DIV/0!</v>
      </c>
      <c r="H218" s="62"/>
      <c r="I218" s="66"/>
      <c r="J218" s="64">
        <f t="shared" ref="J218:K218" si="198">sum(J213:J217)</f>
        <v>0</v>
      </c>
      <c r="K218" s="64">
        <f t="shared" si="198"/>
        <v>0</v>
      </c>
      <c r="L218" s="65" t="str">
        <f>average(L213:L217)</f>
        <v>#DIV/0!</v>
      </c>
      <c r="M218" s="68"/>
      <c r="N218" s="69">
        <f>sum(N213:N217)</f>
        <v>11811493.5</v>
      </c>
    </row>
    <row r="219">
      <c r="A219" s="154">
        <v>46028.0</v>
      </c>
      <c r="B219" s="182" t="s">
        <v>49</v>
      </c>
      <c r="C219" s="89"/>
      <c r="D219" s="13"/>
      <c r="E219" s="38">
        <f t="shared" ref="E219:E223" si="199">D219-C219</f>
        <v>0</v>
      </c>
      <c r="F219" s="39">
        <v>231.88</v>
      </c>
      <c r="G219" s="14" t="str">
        <f t="shared" ref="G219:G223" si="200">(F219/E219)*100</f>
        <v>#DIV/0!</v>
      </c>
      <c r="H219" s="89"/>
      <c r="I219" s="138"/>
      <c r="J219" s="41">
        <f t="shared" ref="J219:J223" si="201">I219-H219</f>
        <v>0</v>
      </c>
      <c r="K219" s="41">
        <f t="shared" ref="K219:K223" si="202">F219</f>
        <v>231.88</v>
      </c>
      <c r="L219" s="48" t="str">
        <f t="shared" ref="L219:L223" si="203">(K219/J219)*100</f>
        <v>#DIV/0!</v>
      </c>
      <c r="M219" s="72">
        <v>17250.0</v>
      </c>
      <c r="N219" s="131">
        <f t="shared" ref="N219:N222" si="204">M219*K219</f>
        <v>3999930</v>
      </c>
    </row>
    <row r="220">
      <c r="A220" s="154">
        <v>46044.0</v>
      </c>
      <c r="B220" s="182" t="s">
        <v>49</v>
      </c>
      <c r="C220" s="13"/>
      <c r="D220" s="89"/>
      <c r="E220" s="12">
        <f t="shared" si="199"/>
        <v>0</v>
      </c>
      <c r="F220" s="157">
        <v>226.27</v>
      </c>
      <c r="G220" s="14" t="str">
        <f t="shared" si="200"/>
        <v>#DIV/0!</v>
      </c>
      <c r="H220" s="89"/>
      <c r="I220" s="137"/>
      <c r="J220" s="89">
        <f t="shared" si="201"/>
        <v>0</v>
      </c>
      <c r="K220" s="89">
        <f t="shared" si="202"/>
        <v>226.27</v>
      </c>
      <c r="L220" s="152" t="str">
        <f t="shared" si="203"/>
        <v>#DIV/0!</v>
      </c>
      <c r="M220" s="126">
        <v>17280.0</v>
      </c>
      <c r="N220" s="131">
        <f t="shared" si="204"/>
        <v>3909945.6</v>
      </c>
    </row>
    <row r="221">
      <c r="A221" s="154"/>
      <c r="B221" s="182" t="s">
        <v>49</v>
      </c>
      <c r="C221" s="89"/>
      <c r="D221" s="89"/>
      <c r="E221" s="12">
        <f t="shared" si="199"/>
        <v>0</v>
      </c>
      <c r="F221" s="157"/>
      <c r="G221" s="14" t="str">
        <f t="shared" si="200"/>
        <v>#DIV/0!</v>
      </c>
      <c r="H221" s="89"/>
      <c r="I221" s="137"/>
      <c r="J221" s="89">
        <f t="shared" si="201"/>
        <v>0</v>
      </c>
      <c r="K221" s="89" t="str">
        <f t="shared" si="202"/>
        <v/>
      </c>
      <c r="L221" s="152" t="str">
        <f t="shared" si="203"/>
        <v>#DIV/0!</v>
      </c>
      <c r="M221" s="126"/>
      <c r="N221" s="131">
        <f t="shared" si="204"/>
        <v>0</v>
      </c>
    </row>
    <row r="222">
      <c r="A222" s="154"/>
      <c r="B222" s="182" t="s">
        <v>49</v>
      </c>
      <c r="C222" s="89"/>
      <c r="D222" s="89"/>
      <c r="E222" s="12">
        <f t="shared" si="199"/>
        <v>0</v>
      </c>
      <c r="F222" s="157"/>
      <c r="G222" s="14" t="str">
        <f t="shared" si="200"/>
        <v>#DIV/0!</v>
      </c>
      <c r="H222" s="89"/>
      <c r="I222" s="137"/>
      <c r="J222" s="89">
        <f t="shared" si="201"/>
        <v>0</v>
      </c>
      <c r="K222" s="89" t="str">
        <f t="shared" si="202"/>
        <v/>
      </c>
      <c r="L222" s="152" t="str">
        <f t="shared" si="203"/>
        <v>#DIV/0!</v>
      </c>
      <c r="M222" s="126"/>
      <c r="N222" s="131">
        <f t="shared" si="204"/>
        <v>0</v>
      </c>
    </row>
    <row r="223">
      <c r="A223" s="154"/>
      <c r="B223" s="182" t="s">
        <v>49</v>
      </c>
      <c r="C223" s="89"/>
      <c r="D223" s="89"/>
      <c r="E223" s="12">
        <f t="shared" si="199"/>
        <v>0</v>
      </c>
      <c r="F223" s="157"/>
      <c r="G223" s="14" t="str">
        <f t="shared" si="200"/>
        <v>#DIV/0!</v>
      </c>
      <c r="H223" s="89"/>
      <c r="I223" s="137"/>
      <c r="J223" s="89">
        <f t="shared" si="201"/>
        <v>0</v>
      </c>
      <c r="K223" s="89" t="str">
        <f t="shared" si="202"/>
        <v/>
      </c>
      <c r="L223" s="152" t="str">
        <f t="shared" si="203"/>
        <v>#DIV/0!</v>
      </c>
      <c r="M223" s="126"/>
      <c r="N223" s="131">
        <f>F223*M223</f>
        <v>0</v>
      </c>
    </row>
    <row r="224">
      <c r="A224" s="154"/>
      <c r="B224" s="63"/>
      <c r="C224" s="62"/>
      <c r="D224" s="64" t="s">
        <v>19</v>
      </c>
      <c r="E224" s="64">
        <f t="shared" ref="E224:F224" si="205">sum(E219:E223)</f>
        <v>0</v>
      </c>
      <c r="F224" s="64">
        <f t="shared" si="205"/>
        <v>458.15</v>
      </c>
      <c r="G224" s="65" t="str">
        <f>average(G219:G223)</f>
        <v>#DIV/0!</v>
      </c>
      <c r="H224" s="62"/>
      <c r="I224" s="66"/>
      <c r="J224" s="64">
        <f t="shared" ref="J224:K224" si="206">sum(J219:J223)</f>
        <v>0</v>
      </c>
      <c r="K224" s="64">
        <f t="shared" si="206"/>
        <v>458.15</v>
      </c>
      <c r="L224" s="65" t="str">
        <f>average(L219:L223)</f>
        <v>#DIV/0!</v>
      </c>
      <c r="M224" s="68"/>
      <c r="N224" s="69">
        <f>sum(N219:N223)</f>
        <v>7909875.6</v>
      </c>
    </row>
    <row r="225">
      <c r="A225" s="154">
        <v>46032.0</v>
      </c>
      <c r="B225" s="182" t="s">
        <v>50</v>
      </c>
      <c r="C225" s="89"/>
      <c r="D225" s="13"/>
      <c r="E225" s="38"/>
      <c r="F225" s="39">
        <v>228.61</v>
      </c>
      <c r="G225" s="14" t="str">
        <f t="shared" ref="G225:G229" si="207">(F225/E225)*100</f>
        <v>#DIV/0!</v>
      </c>
      <c r="H225" s="89"/>
      <c r="I225" s="138"/>
      <c r="J225" s="89">
        <f t="shared" ref="J225:J229" si="208">I225-H225</f>
        <v>0</v>
      </c>
      <c r="K225" s="89">
        <f t="shared" ref="K225:K229" si="209">F225</f>
        <v>228.61</v>
      </c>
      <c r="L225" s="152" t="str">
        <f t="shared" ref="L225:L229" si="210">(K225/J225)*100</f>
        <v>#DIV/0!</v>
      </c>
      <c r="M225" s="72">
        <v>17060.0</v>
      </c>
      <c r="N225" s="49">
        <f>F225*M225</f>
        <v>3900086.6</v>
      </c>
    </row>
    <row r="226">
      <c r="A226" s="154">
        <v>46049.0</v>
      </c>
      <c r="B226" s="182" t="s">
        <v>50</v>
      </c>
      <c r="C226" s="89"/>
      <c r="D226" s="89"/>
      <c r="E226" s="12">
        <f t="shared" ref="E226:E229" si="211">D226-C226</f>
        <v>0</v>
      </c>
      <c r="F226" s="157">
        <v>214.7</v>
      </c>
      <c r="G226" s="14" t="str">
        <f t="shared" si="207"/>
        <v>#DIV/0!</v>
      </c>
      <c r="H226" s="89"/>
      <c r="I226" s="137"/>
      <c r="J226" s="89">
        <f t="shared" si="208"/>
        <v>0</v>
      </c>
      <c r="K226" s="89">
        <f t="shared" si="209"/>
        <v>214.7</v>
      </c>
      <c r="L226" s="152" t="str">
        <f t="shared" si="210"/>
        <v>#DIV/0!</v>
      </c>
      <c r="M226" s="126">
        <v>17700.0</v>
      </c>
      <c r="N226" s="49">
        <f>M226*K226</f>
        <v>3800190</v>
      </c>
    </row>
    <row r="227">
      <c r="A227" s="154"/>
      <c r="B227" s="182" t="s">
        <v>50</v>
      </c>
      <c r="C227" s="89"/>
      <c r="D227" s="89"/>
      <c r="E227" s="12">
        <f t="shared" si="211"/>
        <v>0</v>
      </c>
      <c r="F227" s="157"/>
      <c r="G227" s="14" t="str">
        <f t="shared" si="207"/>
        <v>#DIV/0!</v>
      </c>
      <c r="H227" s="89"/>
      <c r="I227" s="137"/>
      <c r="J227" s="89">
        <f t="shared" si="208"/>
        <v>0</v>
      </c>
      <c r="K227" s="89" t="str">
        <f t="shared" si="209"/>
        <v/>
      </c>
      <c r="L227" s="152" t="str">
        <f t="shared" si="210"/>
        <v>#DIV/0!</v>
      </c>
      <c r="M227" s="126"/>
      <c r="N227" s="49">
        <f t="shared" ref="N227:N229" si="212">F227*M227</f>
        <v>0</v>
      </c>
    </row>
    <row r="228">
      <c r="A228" s="154"/>
      <c r="B228" s="182" t="s">
        <v>50</v>
      </c>
      <c r="C228" s="89"/>
      <c r="D228" s="89"/>
      <c r="E228" s="12">
        <f t="shared" si="211"/>
        <v>0</v>
      </c>
      <c r="F228" s="157"/>
      <c r="G228" s="14" t="str">
        <f t="shared" si="207"/>
        <v>#DIV/0!</v>
      </c>
      <c r="H228" s="89"/>
      <c r="I228" s="137"/>
      <c r="J228" s="89">
        <f t="shared" si="208"/>
        <v>0</v>
      </c>
      <c r="K228" s="89" t="str">
        <f t="shared" si="209"/>
        <v/>
      </c>
      <c r="L228" s="152" t="str">
        <f t="shared" si="210"/>
        <v>#DIV/0!</v>
      </c>
      <c r="M228" s="126"/>
      <c r="N228" s="49">
        <f t="shared" si="212"/>
        <v>0</v>
      </c>
    </row>
    <row r="229">
      <c r="A229" s="154"/>
      <c r="B229" s="182" t="s">
        <v>50</v>
      </c>
      <c r="C229" s="89"/>
      <c r="D229" s="89"/>
      <c r="E229" s="12">
        <f t="shared" si="211"/>
        <v>0</v>
      </c>
      <c r="F229" s="157"/>
      <c r="G229" s="14" t="str">
        <f t="shared" si="207"/>
        <v>#DIV/0!</v>
      </c>
      <c r="H229" s="89"/>
      <c r="I229" s="137"/>
      <c r="J229" s="89">
        <f t="shared" si="208"/>
        <v>0</v>
      </c>
      <c r="K229" s="89" t="str">
        <f t="shared" si="209"/>
        <v/>
      </c>
      <c r="L229" s="152" t="str">
        <f t="shared" si="210"/>
        <v>#DIV/0!</v>
      </c>
      <c r="M229" s="126"/>
      <c r="N229" s="49">
        <f t="shared" si="212"/>
        <v>0</v>
      </c>
    </row>
    <row r="230">
      <c r="A230" s="154"/>
      <c r="B230" s="63"/>
      <c r="C230" s="62"/>
      <c r="D230" s="64" t="s">
        <v>19</v>
      </c>
      <c r="E230" s="64">
        <f t="shared" ref="E230:F230" si="213">sum(E225:E229)</f>
        <v>0</v>
      </c>
      <c r="F230" s="64">
        <f t="shared" si="213"/>
        <v>443.31</v>
      </c>
      <c r="G230" s="65" t="str">
        <f>average(G225:G229)</f>
        <v>#DIV/0!</v>
      </c>
      <c r="H230" s="62"/>
      <c r="I230" s="66"/>
      <c r="J230" s="64">
        <f t="shared" ref="J230:K230" si="214">sum(J225:J229)</f>
        <v>0</v>
      </c>
      <c r="K230" s="64">
        <f t="shared" si="214"/>
        <v>443.31</v>
      </c>
      <c r="L230" s="65" t="str">
        <f>average(L225:L229)</f>
        <v>#DIV/0!</v>
      </c>
      <c r="M230" s="68"/>
      <c r="N230" s="69">
        <f>sum(N225:N229)</f>
        <v>7700276.6</v>
      </c>
    </row>
    <row r="231">
      <c r="A231" s="154">
        <v>46031.0</v>
      </c>
      <c r="B231" s="182" t="s">
        <v>51</v>
      </c>
      <c r="C231" s="89">
        <v>302821.0</v>
      </c>
      <c r="D231" s="13">
        <v>303216.0</v>
      </c>
      <c r="E231" s="12">
        <f t="shared" ref="E231:E235" si="215">D231-C231</f>
        <v>395</v>
      </c>
      <c r="F231" s="39">
        <v>158.29</v>
      </c>
      <c r="G231" s="14">
        <f t="shared" ref="G231:G235" si="216">(F231/E231)*100</f>
        <v>40.07341772</v>
      </c>
      <c r="H231" s="89"/>
      <c r="I231" s="138"/>
      <c r="J231" s="41">
        <f t="shared" ref="J231:J232" si="217">I231-H231</f>
        <v>0</v>
      </c>
      <c r="K231" s="41">
        <f t="shared" ref="K231:K235" si="218">F231</f>
        <v>158.29</v>
      </c>
      <c r="L231" s="152" t="str">
        <f t="shared" ref="L231:L235" si="219">(K231/J231)*100</f>
        <v>#DIV/0!</v>
      </c>
      <c r="M231" s="72">
        <v>17060.0</v>
      </c>
      <c r="N231" s="49">
        <f t="shared" ref="N231:N234" si="220">F231*M231</f>
        <v>2700427.4</v>
      </c>
    </row>
    <row r="232">
      <c r="A232" s="154">
        <v>46043.0</v>
      </c>
      <c r="B232" s="182" t="s">
        <v>51</v>
      </c>
      <c r="C232" s="13">
        <v>303216.0</v>
      </c>
      <c r="D232" s="89">
        <v>303646.0</v>
      </c>
      <c r="E232" s="12">
        <f t="shared" si="215"/>
        <v>430</v>
      </c>
      <c r="F232" s="157">
        <v>167.82</v>
      </c>
      <c r="G232" s="14">
        <f t="shared" si="216"/>
        <v>39.02790698</v>
      </c>
      <c r="H232" s="89"/>
      <c r="I232" s="137"/>
      <c r="J232" s="89">
        <f t="shared" si="217"/>
        <v>0</v>
      </c>
      <c r="K232" s="89">
        <f t="shared" si="218"/>
        <v>167.82</v>
      </c>
      <c r="L232" s="152" t="str">
        <f t="shared" si="219"/>
        <v>#DIV/0!</v>
      </c>
      <c r="M232" s="126">
        <v>17280.0</v>
      </c>
      <c r="N232" s="49">
        <f t="shared" si="220"/>
        <v>2899929.6</v>
      </c>
    </row>
    <row r="233">
      <c r="A233" s="154">
        <v>46051.0</v>
      </c>
      <c r="B233" s="182" t="s">
        <v>51</v>
      </c>
      <c r="C233" s="89">
        <v>303646.0</v>
      </c>
      <c r="D233" s="89">
        <v>304048.0</v>
      </c>
      <c r="E233" s="12">
        <f t="shared" si="215"/>
        <v>402</v>
      </c>
      <c r="F233" s="157">
        <v>163.84</v>
      </c>
      <c r="G233" s="14">
        <f t="shared" si="216"/>
        <v>40.75621891</v>
      </c>
      <c r="H233" s="89"/>
      <c r="I233" s="137">
        <v>18259.0</v>
      </c>
      <c r="J233" s="89"/>
      <c r="K233" s="89">
        <f t="shared" si="218"/>
        <v>163.84</v>
      </c>
      <c r="L233" s="152" t="str">
        <f t="shared" si="219"/>
        <v>#DIV/0!</v>
      </c>
      <c r="M233" s="126">
        <v>17700.0</v>
      </c>
      <c r="N233" s="49">
        <f t="shared" si="220"/>
        <v>2899968</v>
      </c>
    </row>
    <row r="234">
      <c r="A234" s="154"/>
      <c r="B234" s="182" t="s">
        <v>51</v>
      </c>
      <c r="C234" s="89"/>
      <c r="D234" s="89"/>
      <c r="E234" s="12">
        <f t="shared" si="215"/>
        <v>0</v>
      </c>
      <c r="F234" s="157"/>
      <c r="G234" s="14" t="str">
        <f t="shared" si="216"/>
        <v>#DIV/0!</v>
      </c>
      <c r="H234" s="89"/>
      <c r="I234" s="137"/>
      <c r="J234" s="89">
        <f t="shared" ref="J234:J235" si="221">I234-H234</f>
        <v>0</v>
      </c>
      <c r="K234" s="89" t="str">
        <f t="shared" si="218"/>
        <v/>
      </c>
      <c r="L234" s="152" t="str">
        <f t="shared" si="219"/>
        <v>#DIV/0!</v>
      </c>
      <c r="M234" s="126"/>
      <c r="N234" s="49">
        <f t="shared" si="220"/>
        <v>0</v>
      </c>
    </row>
    <row r="235">
      <c r="A235" s="154"/>
      <c r="B235" s="182" t="s">
        <v>51</v>
      </c>
      <c r="C235" s="89"/>
      <c r="D235" s="89"/>
      <c r="E235" s="12">
        <f t="shared" si="215"/>
        <v>0</v>
      </c>
      <c r="F235" s="157"/>
      <c r="G235" s="14" t="str">
        <f t="shared" si="216"/>
        <v>#DIV/0!</v>
      </c>
      <c r="H235" s="89"/>
      <c r="I235" s="137"/>
      <c r="J235" s="89">
        <f t="shared" si="221"/>
        <v>0</v>
      </c>
      <c r="K235" s="89" t="str">
        <f t="shared" si="218"/>
        <v/>
      </c>
      <c r="L235" s="152" t="str">
        <f t="shared" si="219"/>
        <v>#DIV/0!</v>
      </c>
      <c r="M235" s="126"/>
      <c r="N235" s="49">
        <f>M235*K235</f>
        <v>0</v>
      </c>
    </row>
    <row r="236">
      <c r="A236" s="154"/>
      <c r="B236" s="63"/>
      <c r="C236" s="62"/>
      <c r="D236" s="64" t="s">
        <v>19</v>
      </c>
      <c r="E236" s="64">
        <f t="shared" ref="E236:F236" si="222">sum(E231:E235)</f>
        <v>1227</v>
      </c>
      <c r="F236" s="64">
        <f t="shared" si="222"/>
        <v>489.95</v>
      </c>
      <c r="G236" s="65" t="str">
        <f>average(G231:G235)</f>
        <v>#DIV/0!</v>
      </c>
      <c r="H236" s="62"/>
      <c r="I236" s="66"/>
      <c r="J236" s="64">
        <f t="shared" ref="J236:K236" si="223">sum(J231:J235)</f>
        <v>0</v>
      </c>
      <c r="K236" s="64">
        <f t="shared" si="223"/>
        <v>489.95</v>
      </c>
      <c r="L236" s="65" t="str">
        <f>average(L231:L235)</f>
        <v>#DIV/0!</v>
      </c>
      <c r="M236" s="68"/>
      <c r="N236" s="69">
        <f>sum(N231:N235)</f>
        <v>8500325</v>
      </c>
    </row>
    <row r="237">
      <c r="A237" s="154">
        <v>46024.0</v>
      </c>
      <c r="B237" s="190" t="s">
        <v>62</v>
      </c>
      <c r="C237" s="89"/>
      <c r="D237" s="13"/>
      <c r="E237" s="38">
        <f t="shared" ref="E237:E241" si="224">D237-C237</f>
        <v>0</v>
      </c>
      <c r="F237" s="39"/>
      <c r="G237" s="14" t="str">
        <f t="shared" ref="G237:G241" si="225">(F237/E237)*100</f>
        <v>#DIV/0!</v>
      </c>
      <c r="H237" s="89"/>
      <c r="I237" s="138"/>
      <c r="J237" s="41">
        <f t="shared" ref="J237:J241" si="226">I237-H237</f>
        <v>0</v>
      </c>
      <c r="K237" s="41" t="str">
        <f t="shared" ref="K237:K241" si="227">F237</f>
        <v/>
      </c>
      <c r="L237" s="152" t="str">
        <f t="shared" ref="L237:L241" si="228">(K237/J237)*100</f>
        <v>#DIV/0!</v>
      </c>
      <c r="M237" s="72"/>
      <c r="N237" s="131">
        <v>9000000.0</v>
      </c>
    </row>
    <row r="238">
      <c r="A238" s="154">
        <v>46036.0</v>
      </c>
      <c r="B238" s="190" t="s">
        <v>62</v>
      </c>
      <c r="C238" s="89"/>
      <c r="D238" s="89"/>
      <c r="E238" s="12">
        <f t="shared" si="224"/>
        <v>0</v>
      </c>
      <c r="F238" s="157"/>
      <c r="G238" s="14" t="str">
        <f t="shared" si="225"/>
        <v>#DIV/0!</v>
      </c>
      <c r="H238" s="89"/>
      <c r="I238" s="137"/>
      <c r="J238" s="89">
        <f t="shared" si="226"/>
        <v>0</v>
      </c>
      <c r="K238" s="89" t="str">
        <f t="shared" si="227"/>
        <v/>
      </c>
      <c r="L238" s="152" t="str">
        <f t="shared" si="228"/>
        <v>#DIV/0!</v>
      </c>
      <c r="M238" s="126"/>
      <c r="N238" s="131">
        <v>7300000.0</v>
      </c>
    </row>
    <row r="239">
      <c r="A239" s="154">
        <v>46051.0</v>
      </c>
      <c r="B239" s="190" t="s">
        <v>62</v>
      </c>
      <c r="C239" s="89"/>
      <c r="D239" s="89"/>
      <c r="E239" s="12">
        <f t="shared" si="224"/>
        <v>0</v>
      </c>
      <c r="F239" s="157"/>
      <c r="G239" s="14" t="str">
        <f t="shared" si="225"/>
        <v>#DIV/0!</v>
      </c>
      <c r="H239" s="89"/>
      <c r="I239" s="137"/>
      <c r="J239" s="89">
        <f t="shared" si="226"/>
        <v>0</v>
      </c>
      <c r="K239" s="89" t="str">
        <f t="shared" si="227"/>
        <v/>
      </c>
      <c r="L239" s="152" t="str">
        <f t="shared" si="228"/>
        <v>#DIV/0!</v>
      </c>
      <c r="M239" s="126"/>
      <c r="N239" s="131">
        <v>3000000.0</v>
      </c>
    </row>
    <row r="240">
      <c r="A240" s="154"/>
      <c r="B240" s="190" t="s">
        <v>62</v>
      </c>
      <c r="C240" s="89"/>
      <c r="D240" s="89"/>
      <c r="E240" s="12">
        <f t="shared" si="224"/>
        <v>0</v>
      </c>
      <c r="F240" s="157"/>
      <c r="G240" s="14" t="str">
        <f t="shared" si="225"/>
        <v>#DIV/0!</v>
      </c>
      <c r="H240" s="89"/>
      <c r="I240" s="137"/>
      <c r="J240" s="89">
        <f t="shared" si="226"/>
        <v>0</v>
      </c>
      <c r="K240" s="89" t="str">
        <f t="shared" si="227"/>
        <v/>
      </c>
      <c r="L240" s="152" t="str">
        <f t="shared" si="228"/>
        <v>#DIV/0!</v>
      </c>
      <c r="M240" s="126"/>
      <c r="N240" s="131">
        <f t="shared" ref="N240:N241" si="229">F240*M240</f>
        <v>0</v>
      </c>
    </row>
    <row r="241">
      <c r="A241" s="154"/>
      <c r="B241" s="190" t="s">
        <v>62</v>
      </c>
      <c r="C241" s="89"/>
      <c r="D241" s="89"/>
      <c r="E241" s="12">
        <f t="shared" si="224"/>
        <v>0</v>
      </c>
      <c r="F241" s="157"/>
      <c r="G241" s="14" t="str">
        <f t="shared" si="225"/>
        <v>#DIV/0!</v>
      </c>
      <c r="H241" s="89"/>
      <c r="I241" s="137"/>
      <c r="J241" s="89">
        <f t="shared" si="226"/>
        <v>0</v>
      </c>
      <c r="K241" s="89" t="str">
        <f t="shared" si="227"/>
        <v/>
      </c>
      <c r="L241" s="152" t="str">
        <f t="shared" si="228"/>
        <v>#DIV/0!</v>
      </c>
      <c r="M241" s="126"/>
      <c r="N241" s="131">
        <f t="shared" si="229"/>
        <v>0</v>
      </c>
    </row>
    <row r="242">
      <c r="A242" s="62"/>
      <c r="B242" s="63"/>
      <c r="C242" s="62"/>
      <c r="D242" s="64"/>
      <c r="E242" s="64">
        <f t="shared" ref="E242:F242" si="230">sum(E237:E241)</f>
        <v>0</v>
      </c>
      <c r="F242" s="64">
        <f t="shared" si="230"/>
        <v>0</v>
      </c>
      <c r="G242" s="65" t="str">
        <f>average(G237:G241)</f>
        <v>#DIV/0!</v>
      </c>
      <c r="H242" s="62"/>
      <c r="I242" s="66"/>
      <c r="J242" s="64">
        <f t="shared" ref="J242:K242" si="231">sum(J237:J241)</f>
        <v>0</v>
      </c>
      <c r="K242" s="64">
        <f t="shared" si="231"/>
        <v>0</v>
      </c>
      <c r="L242" s="65" t="str">
        <f>average(L237:L241)</f>
        <v>#DIV/0!</v>
      </c>
      <c r="M242" s="68"/>
      <c r="N242" s="69">
        <f>sum(N237:N241)</f>
        <v>19300000</v>
      </c>
    </row>
    <row r="243">
      <c r="A243" s="70">
        <v>46027.0</v>
      </c>
      <c r="B243" s="156" t="s">
        <v>54</v>
      </c>
      <c r="C243" s="89"/>
      <c r="D243" s="13"/>
      <c r="E243" s="38">
        <f t="shared" ref="E243:E248" si="232">D243-C243</f>
        <v>0</v>
      </c>
      <c r="F243" s="39"/>
      <c r="G243" s="14" t="str">
        <f t="shared" ref="G243:G248" si="233">(F243/E243)*100</f>
        <v>#DIV/0!</v>
      </c>
      <c r="H243" s="89"/>
      <c r="I243" s="138"/>
      <c r="J243" s="41">
        <f t="shared" ref="J243:J250" si="234">I243-H243</f>
        <v>0</v>
      </c>
      <c r="K243" s="41"/>
      <c r="L243" s="152" t="str">
        <f t="shared" ref="L243:L250" si="235">(K243/J243)*100</f>
        <v>#DIV/0!</v>
      </c>
      <c r="M243" s="72"/>
      <c r="N243" s="49">
        <v>2000000.0</v>
      </c>
    </row>
    <row r="244">
      <c r="A244" s="35">
        <v>46028.0</v>
      </c>
      <c r="B244" s="156" t="s">
        <v>54</v>
      </c>
      <c r="C244" s="89"/>
      <c r="D244" s="89"/>
      <c r="E244" s="12">
        <f t="shared" si="232"/>
        <v>0</v>
      </c>
      <c r="F244" s="157"/>
      <c r="G244" s="14" t="str">
        <f t="shared" si="233"/>
        <v>#DIV/0!</v>
      </c>
      <c r="H244" s="89"/>
      <c r="I244" s="137"/>
      <c r="J244" s="89">
        <f t="shared" si="234"/>
        <v>0</v>
      </c>
      <c r="K244" s="89" t="str">
        <f t="shared" ref="K244:K250" si="236">F244</f>
        <v/>
      </c>
      <c r="L244" s="152" t="str">
        <f t="shared" si="235"/>
        <v>#DIV/0!</v>
      </c>
      <c r="M244" s="126"/>
      <c r="N244" s="49">
        <v>3000000.0</v>
      </c>
    </row>
    <row r="245">
      <c r="A245" s="35">
        <v>46031.0</v>
      </c>
      <c r="B245" s="156" t="s">
        <v>54</v>
      </c>
      <c r="C245" s="89"/>
      <c r="D245" s="89"/>
      <c r="E245" s="12">
        <f t="shared" si="232"/>
        <v>0</v>
      </c>
      <c r="F245" s="157"/>
      <c r="G245" s="14" t="str">
        <f t="shared" si="233"/>
        <v>#DIV/0!</v>
      </c>
      <c r="H245" s="89"/>
      <c r="I245" s="137"/>
      <c r="J245" s="89">
        <f t="shared" si="234"/>
        <v>0</v>
      </c>
      <c r="K245" s="89" t="str">
        <f t="shared" si="236"/>
        <v/>
      </c>
      <c r="L245" s="152" t="str">
        <f t="shared" si="235"/>
        <v>#DIV/0!</v>
      </c>
      <c r="M245" s="126"/>
      <c r="N245" s="49">
        <v>5000000.0</v>
      </c>
    </row>
    <row r="246">
      <c r="A246" s="35">
        <v>46036.0</v>
      </c>
      <c r="B246" s="156" t="s">
        <v>54</v>
      </c>
      <c r="C246" s="89"/>
      <c r="D246" s="89"/>
      <c r="E246" s="12">
        <f t="shared" si="232"/>
        <v>0</v>
      </c>
      <c r="F246" s="157"/>
      <c r="G246" s="14" t="str">
        <f t="shared" si="233"/>
        <v>#DIV/0!</v>
      </c>
      <c r="H246" s="89"/>
      <c r="I246" s="137"/>
      <c r="J246" s="89">
        <f t="shared" si="234"/>
        <v>0</v>
      </c>
      <c r="K246" s="89" t="str">
        <f t="shared" si="236"/>
        <v/>
      </c>
      <c r="L246" s="152" t="str">
        <f t="shared" si="235"/>
        <v>#DIV/0!</v>
      </c>
      <c r="M246" s="126"/>
      <c r="N246" s="49">
        <v>5000000.0</v>
      </c>
    </row>
    <row r="247">
      <c r="A247" s="35">
        <v>46044.0</v>
      </c>
      <c r="B247" s="156" t="s">
        <v>54</v>
      </c>
      <c r="C247" s="89"/>
      <c r="D247" s="89"/>
      <c r="E247" s="12">
        <f t="shared" si="232"/>
        <v>0</v>
      </c>
      <c r="F247" s="157"/>
      <c r="G247" s="14" t="str">
        <f t="shared" si="233"/>
        <v>#DIV/0!</v>
      </c>
      <c r="H247" s="89"/>
      <c r="I247" s="137"/>
      <c r="J247" s="89">
        <f t="shared" si="234"/>
        <v>0</v>
      </c>
      <c r="K247" s="89" t="str">
        <f t="shared" si="236"/>
        <v/>
      </c>
      <c r="L247" s="152" t="str">
        <f t="shared" si="235"/>
        <v>#DIV/0!</v>
      </c>
      <c r="M247" s="126"/>
      <c r="N247" s="49">
        <v>5000000.0</v>
      </c>
    </row>
    <row r="248">
      <c r="A248" s="35">
        <v>46049.0</v>
      </c>
      <c r="B248" s="156" t="s">
        <v>54</v>
      </c>
      <c r="C248" s="89"/>
      <c r="D248" s="89"/>
      <c r="E248" s="12">
        <f t="shared" si="232"/>
        <v>0</v>
      </c>
      <c r="F248" s="157"/>
      <c r="G248" s="14" t="str">
        <f t="shared" si="233"/>
        <v>#DIV/0!</v>
      </c>
      <c r="H248" s="89"/>
      <c r="I248" s="137"/>
      <c r="J248" s="89">
        <f t="shared" si="234"/>
        <v>0</v>
      </c>
      <c r="K248" s="89" t="str">
        <f t="shared" si="236"/>
        <v/>
      </c>
      <c r="L248" s="152" t="str">
        <f t="shared" si="235"/>
        <v>#DIV/0!</v>
      </c>
      <c r="M248" s="126"/>
      <c r="N248" s="49">
        <v>5000000.0</v>
      </c>
    </row>
    <row r="249">
      <c r="A249" s="35"/>
      <c r="B249" s="156" t="s">
        <v>54</v>
      </c>
      <c r="C249" s="89"/>
      <c r="D249" s="89"/>
      <c r="E249" s="12"/>
      <c r="F249" s="157"/>
      <c r="G249" s="14"/>
      <c r="H249" s="89"/>
      <c r="I249" s="137"/>
      <c r="J249" s="89">
        <f t="shared" si="234"/>
        <v>0</v>
      </c>
      <c r="K249" s="89" t="str">
        <f t="shared" si="236"/>
        <v/>
      </c>
      <c r="L249" s="152" t="str">
        <f t="shared" si="235"/>
        <v>#DIV/0!</v>
      </c>
      <c r="M249" s="126"/>
      <c r="N249" s="49">
        <f t="shared" ref="N249:N250" si="237">M249*F249</f>
        <v>0</v>
      </c>
    </row>
    <row r="250">
      <c r="A250" s="35"/>
      <c r="B250" s="156" t="s">
        <v>54</v>
      </c>
      <c r="C250" s="89"/>
      <c r="D250" s="89"/>
      <c r="E250" s="12">
        <f>D250-C250</f>
        <v>0</v>
      </c>
      <c r="F250" s="157"/>
      <c r="G250" s="14" t="str">
        <f>(F250/E250)*100</f>
        <v>#DIV/0!</v>
      </c>
      <c r="H250" s="89"/>
      <c r="I250" s="137"/>
      <c r="J250" s="89">
        <f t="shared" si="234"/>
        <v>0</v>
      </c>
      <c r="K250" s="89" t="str">
        <f t="shared" si="236"/>
        <v/>
      </c>
      <c r="L250" s="152" t="str">
        <f t="shared" si="235"/>
        <v>#DIV/0!</v>
      </c>
      <c r="M250" s="126"/>
      <c r="N250" s="49">
        <f t="shared" si="237"/>
        <v>0</v>
      </c>
    </row>
    <row r="251">
      <c r="A251" s="70"/>
      <c r="B251" s="63"/>
      <c r="C251" s="62"/>
      <c r="D251" s="64" t="s">
        <v>19</v>
      </c>
      <c r="E251" s="64">
        <f t="shared" ref="E251:F251" si="238">sum(E243:E250)</f>
        <v>0</v>
      </c>
      <c r="F251" s="64">
        <f t="shared" si="238"/>
        <v>0</v>
      </c>
      <c r="G251" s="65" t="str">
        <f>average(G243:G250)</f>
        <v>#DIV/0!</v>
      </c>
      <c r="H251" s="62"/>
      <c r="I251" s="66"/>
      <c r="J251" s="64">
        <f t="shared" ref="J251:K251" si="239">sum(J243:J250)</f>
        <v>0</v>
      </c>
      <c r="K251" s="64">
        <f t="shared" si="239"/>
        <v>0</v>
      </c>
      <c r="L251" s="65" t="str">
        <f>average(L243:L250)</f>
        <v>#DIV/0!</v>
      </c>
      <c r="M251" s="68"/>
      <c r="N251" s="69">
        <f>sum(N243:N250)</f>
        <v>25000000</v>
      </c>
    </row>
    <row r="252">
      <c r="A252" s="70">
        <v>46024.0</v>
      </c>
      <c r="B252" s="156" t="s">
        <v>69</v>
      </c>
      <c r="C252" s="89"/>
      <c r="D252" s="13"/>
      <c r="E252" s="38">
        <f t="shared" ref="E252:E257" si="240">D252-C252</f>
        <v>0</v>
      </c>
      <c r="F252" s="39"/>
      <c r="G252" s="14" t="str">
        <f t="shared" ref="G252:G257" si="241">(F252/E252)*100</f>
        <v>#DIV/0!</v>
      </c>
      <c r="H252" s="89"/>
      <c r="I252" s="138"/>
      <c r="J252" s="41">
        <f t="shared" ref="J252:J257" si="242">I252-H252</f>
        <v>0</v>
      </c>
      <c r="K252" s="41" t="str">
        <f t="shared" ref="K252:K257" si="243">F252</f>
        <v/>
      </c>
      <c r="L252" s="71" t="str">
        <f t="shared" ref="L252:L257" si="244">(K252/J252)*100</f>
        <v>#DIV/0!</v>
      </c>
      <c r="M252" s="72"/>
      <c r="N252" s="49">
        <v>5200000.0</v>
      </c>
    </row>
    <row r="253">
      <c r="A253" s="35">
        <v>46031.0</v>
      </c>
      <c r="B253" s="156" t="s">
        <v>69</v>
      </c>
      <c r="C253" s="89"/>
      <c r="D253" s="89"/>
      <c r="E253" s="12">
        <f t="shared" si="240"/>
        <v>0</v>
      </c>
      <c r="F253" s="157"/>
      <c r="G253" s="14" t="str">
        <f t="shared" si="241"/>
        <v>#DIV/0!</v>
      </c>
      <c r="H253" s="89"/>
      <c r="I253" s="137"/>
      <c r="J253" s="37">
        <f t="shared" si="242"/>
        <v>0</v>
      </c>
      <c r="K253" s="37" t="str">
        <f t="shared" si="243"/>
        <v/>
      </c>
      <c r="L253" s="48" t="str">
        <f t="shared" si="244"/>
        <v>#DIV/0!</v>
      </c>
      <c r="M253" s="126"/>
      <c r="N253" s="49">
        <v>5000000.0</v>
      </c>
    </row>
    <row r="254">
      <c r="A254" s="35">
        <v>46043.0</v>
      </c>
      <c r="B254" s="156" t="s">
        <v>69</v>
      </c>
      <c r="C254" s="89"/>
      <c r="D254" s="13"/>
      <c r="E254" s="38">
        <f t="shared" si="240"/>
        <v>0</v>
      </c>
      <c r="F254" s="39"/>
      <c r="G254" s="14" t="str">
        <f t="shared" si="241"/>
        <v>#DIV/0!</v>
      </c>
      <c r="H254" s="89"/>
      <c r="I254" s="138"/>
      <c r="J254" s="41">
        <f t="shared" si="242"/>
        <v>0</v>
      </c>
      <c r="K254" s="41" t="str">
        <f t="shared" si="243"/>
        <v/>
      </c>
      <c r="L254" s="71" t="str">
        <f t="shared" si="244"/>
        <v>#DIV/0!</v>
      </c>
      <c r="M254" s="72"/>
      <c r="N254" s="49">
        <v>5084000.0</v>
      </c>
    </row>
    <row r="255">
      <c r="A255" s="35">
        <v>46049.0</v>
      </c>
      <c r="B255" s="156" t="s">
        <v>69</v>
      </c>
      <c r="C255" s="89"/>
      <c r="D255" s="89"/>
      <c r="E255" s="12">
        <f t="shared" si="240"/>
        <v>0</v>
      </c>
      <c r="F255" s="157"/>
      <c r="G255" s="14" t="str">
        <f t="shared" si="241"/>
        <v>#DIV/0!</v>
      </c>
      <c r="H255" s="89"/>
      <c r="I255" s="137"/>
      <c r="J255" s="37">
        <f t="shared" si="242"/>
        <v>0</v>
      </c>
      <c r="K255" s="37" t="str">
        <f t="shared" si="243"/>
        <v/>
      </c>
      <c r="L255" s="48" t="str">
        <f t="shared" si="244"/>
        <v>#DIV/0!</v>
      </c>
      <c r="M255" s="126"/>
      <c r="N255" s="49">
        <v>4880000.0</v>
      </c>
    </row>
    <row r="256">
      <c r="A256" s="35">
        <v>46051.0</v>
      </c>
      <c r="B256" s="156" t="s">
        <v>69</v>
      </c>
      <c r="C256" s="89"/>
      <c r="D256" s="89"/>
      <c r="E256" s="12">
        <f t="shared" si="240"/>
        <v>0</v>
      </c>
      <c r="F256" s="157"/>
      <c r="G256" s="14" t="str">
        <f t="shared" si="241"/>
        <v>#DIV/0!</v>
      </c>
      <c r="H256" s="89"/>
      <c r="I256" s="137"/>
      <c r="J256" s="37">
        <f t="shared" si="242"/>
        <v>0</v>
      </c>
      <c r="K256" s="37" t="str">
        <f t="shared" si="243"/>
        <v/>
      </c>
      <c r="L256" s="77" t="str">
        <f t="shared" si="244"/>
        <v>#DIV/0!</v>
      </c>
      <c r="M256" s="126"/>
      <c r="N256" s="49">
        <v>1000000.0</v>
      </c>
    </row>
    <row r="257">
      <c r="A257" s="35"/>
      <c r="B257" s="156" t="s">
        <v>69</v>
      </c>
      <c r="C257" s="89"/>
      <c r="D257" s="89"/>
      <c r="E257" s="12">
        <f t="shared" si="240"/>
        <v>0</v>
      </c>
      <c r="F257" s="157"/>
      <c r="G257" s="14" t="str">
        <f t="shared" si="241"/>
        <v>#DIV/0!</v>
      </c>
      <c r="H257" s="89"/>
      <c r="I257" s="137"/>
      <c r="J257" s="89">
        <f t="shared" si="242"/>
        <v>0</v>
      </c>
      <c r="K257" s="89" t="str">
        <f t="shared" si="243"/>
        <v/>
      </c>
      <c r="L257" s="152" t="str">
        <f t="shared" si="244"/>
        <v>#DIV/0!</v>
      </c>
      <c r="M257" s="126"/>
      <c r="N257" s="49">
        <f>M257*F257</f>
        <v>0</v>
      </c>
    </row>
    <row r="258">
      <c r="A258" s="70"/>
      <c r="B258" s="63"/>
      <c r="C258" s="62"/>
      <c r="D258" s="64" t="s">
        <v>19</v>
      </c>
      <c r="E258" s="64">
        <f t="shared" ref="E258:F258" si="245">sum(E252:E257)</f>
        <v>0</v>
      </c>
      <c r="F258" s="64">
        <f t="shared" si="245"/>
        <v>0</v>
      </c>
      <c r="G258" s="65" t="str">
        <f>average(G252:G257)</f>
        <v>#DIV/0!</v>
      </c>
      <c r="H258" s="62"/>
      <c r="I258" s="66"/>
      <c r="J258" s="64">
        <f t="shared" ref="J258:K258" si="246">sum(J252:J257)</f>
        <v>0</v>
      </c>
      <c r="K258" s="64">
        <f t="shared" si="246"/>
        <v>0</v>
      </c>
      <c r="L258" s="65" t="str">
        <f>average(L252:L257)</f>
        <v>#DIV/0!</v>
      </c>
      <c r="M258" s="68"/>
      <c r="N258" s="69">
        <f>sum(N252:N257)</f>
        <v>21164000</v>
      </c>
    </row>
    <row r="259">
      <c r="A259" s="70">
        <v>46024.0</v>
      </c>
      <c r="B259" s="192" t="s">
        <v>63</v>
      </c>
      <c r="C259" s="89">
        <v>146546.0</v>
      </c>
      <c r="D259" s="13">
        <v>147151.0</v>
      </c>
      <c r="E259" s="38">
        <f t="shared" ref="E259:E264" si="247">D259-C259</f>
        <v>605</v>
      </c>
      <c r="F259" s="39">
        <v>284.06</v>
      </c>
      <c r="G259" s="14">
        <f t="shared" ref="G259:G264" si="248">(F259/E259)*100</f>
        <v>46.95206612</v>
      </c>
      <c r="H259" s="89"/>
      <c r="I259" s="138"/>
      <c r="J259" s="41">
        <f t="shared" ref="J259:J264" si="249">I259-H259</f>
        <v>0</v>
      </c>
      <c r="K259" s="41">
        <f t="shared" ref="K259:K264" si="250">F259</f>
        <v>284.06</v>
      </c>
      <c r="L259" s="152" t="str">
        <f t="shared" ref="L259:L264" si="251">(K259/J259)*100</f>
        <v>#DIV/0!</v>
      </c>
      <c r="M259" s="72">
        <v>17250.0</v>
      </c>
      <c r="N259" s="49">
        <f t="shared" ref="N259:N264" si="252">M259*F259</f>
        <v>4900035</v>
      </c>
    </row>
    <row r="260">
      <c r="A260" s="35">
        <v>46035.0</v>
      </c>
      <c r="B260" s="192" t="s">
        <v>63</v>
      </c>
      <c r="C260" s="13">
        <v>147151.0</v>
      </c>
      <c r="D260" s="13">
        <v>148205.0</v>
      </c>
      <c r="E260" s="12">
        <f t="shared" si="247"/>
        <v>1054</v>
      </c>
      <c r="F260" s="157">
        <v>287.23</v>
      </c>
      <c r="G260" s="14">
        <f t="shared" si="248"/>
        <v>27.25142315</v>
      </c>
      <c r="H260" s="89"/>
      <c r="I260" s="137"/>
      <c r="J260" s="89">
        <f t="shared" si="249"/>
        <v>0</v>
      </c>
      <c r="K260" s="37">
        <f t="shared" si="250"/>
        <v>287.23</v>
      </c>
      <c r="L260" s="152" t="str">
        <f t="shared" si="251"/>
        <v>#DIV/0!</v>
      </c>
      <c r="M260" s="72">
        <v>17060.0</v>
      </c>
      <c r="N260" s="49">
        <f t="shared" si="252"/>
        <v>4900143.8</v>
      </c>
    </row>
    <row r="261">
      <c r="A261" s="35">
        <v>46044.0</v>
      </c>
      <c r="B261" s="192" t="s">
        <v>63</v>
      </c>
      <c r="C261" s="13">
        <v>148205.0</v>
      </c>
      <c r="D261" s="89">
        <v>149101.0</v>
      </c>
      <c r="E261" s="12">
        <f t="shared" si="247"/>
        <v>896</v>
      </c>
      <c r="F261" s="157">
        <v>277.77</v>
      </c>
      <c r="G261" s="14">
        <f t="shared" si="248"/>
        <v>31.00111607</v>
      </c>
      <c r="H261" s="89"/>
      <c r="I261" s="137"/>
      <c r="J261" s="89">
        <f t="shared" si="249"/>
        <v>0</v>
      </c>
      <c r="K261" s="37">
        <f t="shared" si="250"/>
        <v>277.77</v>
      </c>
      <c r="L261" s="152" t="str">
        <f t="shared" si="251"/>
        <v>#DIV/0!</v>
      </c>
      <c r="M261" s="126">
        <v>17280.0</v>
      </c>
      <c r="N261" s="49">
        <f t="shared" si="252"/>
        <v>4799865.6</v>
      </c>
    </row>
    <row r="262">
      <c r="A262" s="35">
        <v>46051.0</v>
      </c>
      <c r="B262" s="192" t="s">
        <v>63</v>
      </c>
      <c r="C262" s="89">
        <v>149101.0</v>
      </c>
      <c r="D262" s="89">
        <v>149814.0</v>
      </c>
      <c r="E262" s="12">
        <f t="shared" si="247"/>
        <v>713</v>
      </c>
      <c r="F262" s="157">
        <v>220.35</v>
      </c>
      <c r="G262" s="14">
        <f t="shared" si="248"/>
        <v>30.90462833</v>
      </c>
      <c r="H262" s="137"/>
      <c r="I262" s="137">
        <v>7302.0</v>
      </c>
      <c r="J262" s="89">
        <f t="shared" si="249"/>
        <v>7302</v>
      </c>
      <c r="K262" s="37">
        <f t="shared" si="250"/>
        <v>220.35</v>
      </c>
      <c r="L262" s="152">
        <f t="shared" si="251"/>
        <v>3.017666393</v>
      </c>
      <c r="M262" s="126">
        <v>17700.0</v>
      </c>
      <c r="N262" s="49">
        <f t="shared" si="252"/>
        <v>3900195</v>
      </c>
    </row>
    <row r="263">
      <c r="A263" s="35"/>
      <c r="B263" s="192" t="s">
        <v>63</v>
      </c>
      <c r="C263" s="37"/>
      <c r="D263" s="89"/>
      <c r="E263" s="12">
        <f t="shared" si="247"/>
        <v>0</v>
      </c>
      <c r="F263" s="157"/>
      <c r="G263" s="14" t="str">
        <f t="shared" si="248"/>
        <v>#DIV/0!</v>
      </c>
      <c r="H263" s="89"/>
      <c r="I263" s="137"/>
      <c r="J263" s="89">
        <f t="shared" si="249"/>
        <v>0</v>
      </c>
      <c r="K263" s="37" t="str">
        <f t="shared" si="250"/>
        <v/>
      </c>
      <c r="L263" s="152" t="str">
        <f t="shared" si="251"/>
        <v>#DIV/0!</v>
      </c>
      <c r="M263" s="126"/>
      <c r="N263" s="49">
        <f t="shared" si="252"/>
        <v>0</v>
      </c>
    </row>
    <row r="264">
      <c r="A264" s="154"/>
      <c r="B264" s="192" t="s">
        <v>63</v>
      </c>
      <c r="C264" s="89"/>
      <c r="D264" s="89"/>
      <c r="E264" s="12">
        <f t="shared" si="247"/>
        <v>0</v>
      </c>
      <c r="F264" s="157"/>
      <c r="G264" s="14" t="str">
        <f t="shared" si="248"/>
        <v>#DIV/0!</v>
      </c>
      <c r="H264" s="89"/>
      <c r="I264" s="137"/>
      <c r="J264" s="89">
        <f t="shared" si="249"/>
        <v>0</v>
      </c>
      <c r="K264" s="37" t="str">
        <f t="shared" si="250"/>
        <v/>
      </c>
      <c r="L264" s="152" t="str">
        <f t="shared" si="251"/>
        <v>#DIV/0!</v>
      </c>
      <c r="M264" s="126"/>
      <c r="N264" s="49">
        <f t="shared" si="252"/>
        <v>0</v>
      </c>
    </row>
    <row r="265">
      <c r="A265" s="62"/>
      <c r="B265" s="63"/>
      <c r="C265" s="62"/>
      <c r="D265" s="64" t="s">
        <v>19</v>
      </c>
      <c r="E265" s="64">
        <f t="shared" ref="E265:F265" si="253">sum(E259:E264)</f>
        <v>3268</v>
      </c>
      <c r="F265" s="64">
        <f t="shared" si="253"/>
        <v>1069.41</v>
      </c>
      <c r="G265" s="65" t="str">
        <f>average(G259:G264)</f>
        <v>#DIV/0!</v>
      </c>
      <c r="H265" s="62"/>
      <c r="I265" s="66"/>
      <c r="J265" s="64">
        <f t="shared" ref="J265:K265" si="254">sum(J259:J264)</f>
        <v>7302</v>
      </c>
      <c r="K265" s="64">
        <f t="shared" si="254"/>
        <v>1069.41</v>
      </c>
      <c r="L265" s="65" t="str">
        <f>average(L259:L264)</f>
        <v>#DIV/0!</v>
      </c>
      <c r="M265" s="68"/>
      <c r="N265" s="69">
        <f>sum(N259:N264)</f>
        <v>18500239.4</v>
      </c>
    </row>
    <row r="266">
      <c r="A266" s="70">
        <v>46034.0</v>
      </c>
      <c r="B266" s="192" t="s">
        <v>57</v>
      </c>
      <c r="C266" s="89"/>
      <c r="D266" s="13">
        <v>2448.0</v>
      </c>
      <c r="E266" s="38"/>
      <c r="F266" s="39">
        <v>205.16</v>
      </c>
      <c r="G266" s="14" t="str">
        <f t="shared" ref="G266:G271" si="255">(F266/E266)*100</f>
        <v>#DIV/0!</v>
      </c>
      <c r="H266" s="89"/>
      <c r="I266" s="138"/>
      <c r="J266" s="41">
        <f t="shared" ref="J266:J271" si="256">I266-H266</f>
        <v>0</v>
      </c>
      <c r="K266" s="41">
        <f t="shared" ref="K266:K271" si="257">F266</f>
        <v>205.16</v>
      </c>
      <c r="L266" s="152" t="str">
        <f t="shared" ref="L266:L271" si="258">(K266/J266)*100</f>
        <v>#DIV/0!</v>
      </c>
      <c r="M266" s="72">
        <v>17060.0</v>
      </c>
      <c r="N266" s="49">
        <f t="shared" ref="N266:N271" si="259">M266*F266</f>
        <v>3500029.6</v>
      </c>
    </row>
    <row r="267">
      <c r="A267" s="35">
        <v>46038.0</v>
      </c>
      <c r="B267" s="192" t="s">
        <v>57</v>
      </c>
      <c r="C267" s="13">
        <v>2448.0</v>
      </c>
      <c r="D267" s="13">
        <v>3036.0</v>
      </c>
      <c r="E267" s="12">
        <f t="shared" ref="E267:E271" si="260">D267-C267</f>
        <v>588</v>
      </c>
      <c r="F267" s="157">
        <v>156.27</v>
      </c>
      <c r="G267" s="14">
        <f t="shared" si="255"/>
        <v>26.57653061</v>
      </c>
      <c r="H267" s="89"/>
      <c r="I267" s="137"/>
      <c r="J267" s="89">
        <f t="shared" si="256"/>
        <v>0</v>
      </c>
      <c r="K267" s="37">
        <f t="shared" si="257"/>
        <v>156.27</v>
      </c>
      <c r="L267" s="152" t="str">
        <f t="shared" si="258"/>
        <v>#DIV/0!</v>
      </c>
      <c r="M267" s="72">
        <v>17280.0</v>
      </c>
      <c r="N267" s="49">
        <f t="shared" si="259"/>
        <v>2700345.6</v>
      </c>
    </row>
    <row r="268">
      <c r="A268" s="35">
        <v>46044.0</v>
      </c>
      <c r="B268" s="192" t="s">
        <v>57</v>
      </c>
      <c r="C268" s="13">
        <v>3036.0</v>
      </c>
      <c r="D268" s="89">
        <v>3775.0</v>
      </c>
      <c r="E268" s="12">
        <f t="shared" si="260"/>
        <v>739</v>
      </c>
      <c r="F268" s="157">
        <v>203.35</v>
      </c>
      <c r="G268" s="14">
        <f t="shared" si="255"/>
        <v>27.51691475</v>
      </c>
      <c r="H268" s="89"/>
      <c r="I268" s="137"/>
      <c r="J268" s="89">
        <f t="shared" si="256"/>
        <v>0</v>
      </c>
      <c r="K268" s="37">
        <f t="shared" si="257"/>
        <v>203.35</v>
      </c>
      <c r="L268" s="152" t="str">
        <f t="shared" si="258"/>
        <v>#DIV/0!</v>
      </c>
      <c r="M268" s="72">
        <v>17280.0</v>
      </c>
      <c r="N268" s="49">
        <f t="shared" si="259"/>
        <v>3513888</v>
      </c>
    </row>
    <row r="269">
      <c r="A269" s="35">
        <v>46052.0</v>
      </c>
      <c r="B269" s="192" t="s">
        <v>57</v>
      </c>
      <c r="C269" s="89">
        <v>3775.0</v>
      </c>
      <c r="D269" s="89">
        <v>4485.0</v>
      </c>
      <c r="E269" s="12">
        <f t="shared" si="260"/>
        <v>710</v>
      </c>
      <c r="F269" s="157">
        <v>190.42</v>
      </c>
      <c r="G269" s="14">
        <f t="shared" si="255"/>
        <v>26.81971831</v>
      </c>
      <c r="H269" s="89"/>
      <c r="I269" s="137">
        <v>2384.0</v>
      </c>
      <c r="J269" s="89">
        <f t="shared" si="256"/>
        <v>2384</v>
      </c>
      <c r="K269" s="37">
        <f t="shared" si="257"/>
        <v>190.42</v>
      </c>
      <c r="L269" s="152">
        <f t="shared" si="258"/>
        <v>7.987416107</v>
      </c>
      <c r="M269" s="126">
        <v>18170.0</v>
      </c>
      <c r="N269" s="49">
        <f t="shared" si="259"/>
        <v>3459931.4</v>
      </c>
    </row>
    <row r="270">
      <c r="A270" s="35"/>
      <c r="B270" s="192" t="s">
        <v>57</v>
      </c>
      <c r="C270" s="37"/>
      <c r="D270" s="89"/>
      <c r="E270" s="12">
        <f t="shared" si="260"/>
        <v>0</v>
      </c>
      <c r="F270" s="157"/>
      <c r="G270" s="14" t="str">
        <f t="shared" si="255"/>
        <v>#DIV/0!</v>
      </c>
      <c r="H270" s="89"/>
      <c r="I270" s="137"/>
      <c r="J270" s="89">
        <f t="shared" si="256"/>
        <v>0</v>
      </c>
      <c r="K270" s="37" t="str">
        <f t="shared" si="257"/>
        <v/>
      </c>
      <c r="L270" s="152" t="str">
        <f t="shared" si="258"/>
        <v>#DIV/0!</v>
      </c>
      <c r="M270" s="126"/>
      <c r="N270" s="49">
        <f t="shared" si="259"/>
        <v>0</v>
      </c>
    </row>
    <row r="271">
      <c r="A271" s="154"/>
      <c r="B271" s="192" t="s">
        <v>57</v>
      </c>
      <c r="C271" s="89"/>
      <c r="D271" s="89"/>
      <c r="E271" s="12">
        <f t="shared" si="260"/>
        <v>0</v>
      </c>
      <c r="F271" s="157"/>
      <c r="G271" s="14" t="str">
        <f t="shared" si="255"/>
        <v>#DIV/0!</v>
      </c>
      <c r="H271" s="89"/>
      <c r="I271" s="137"/>
      <c r="J271" s="89">
        <f t="shared" si="256"/>
        <v>0</v>
      </c>
      <c r="K271" s="37" t="str">
        <f t="shared" si="257"/>
        <v/>
      </c>
      <c r="L271" s="152" t="str">
        <f t="shared" si="258"/>
        <v>#DIV/0!</v>
      </c>
      <c r="M271" s="126"/>
      <c r="N271" s="49">
        <f t="shared" si="259"/>
        <v>0</v>
      </c>
    </row>
    <row r="272">
      <c r="A272" s="62"/>
      <c r="B272" s="63"/>
      <c r="C272" s="62"/>
      <c r="D272" s="64" t="s">
        <v>19</v>
      </c>
      <c r="E272" s="64">
        <f t="shared" ref="E272:F272" si="261">sum(E266:E271)</f>
        <v>2037</v>
      </c>
      <c r="F272" s="64">
        <f t="shared" si="261"/>
        <v>755.2</v>
      </c>
      <c r="G272" s="65" t="str">
        <f>average(G266:G271)</f>
        <v>#DIV/0!</v>
      </c>
      <c r="H272" s="62"/>
      <c r="I272" s="66"/>
      <c r="J272" s="64">
        <f t="shared" ref="J272:K272" si="262">sum(J266:J271)</f>
        <v>2384</v>
      </c>
      <c r="K272" s="64">
        <f t="shared" si="262"/>
        <v>755.2</v>
      </c>
      <c r="L272" s="65" t="str">
        <f>average(L266:L271)</f>
        <v>#DIV/0!</v>
      </c>
      <c r="M272" s="68"/>
      <c r="N272" s="69">
        <f>sum(N266:N271)</f>
        <v>13174194.6</v>
      </c>
    </row>
    <row r="273">
      <c r="A273" s="70">
        <v>46034.0</v>
      </c>
      <c r="B273" s="192" t="s">
        <v>58</v>
      </c>
      <c r="C273" s="89"/>
      <c r="D273" s="13">
        <v>2327.0</v>
      </c>
      <c r="E273" s="38"/>
      <c r="F273" s="39">
        <v>205.16</v>
      </c>
      <c r="G273" s="14" t="str">
        <f t="shared" ref="G273:G278" si="263">(F273/E273)*100</f>
        <v>#DIV/0!</v>
      </c>
      <c r="H273" s="89"/>
      <c r="I273" s="138"/>
      <c r="J273" s="41">
        <f t="shared" ref="J273:J274" si="264">I273-H273</f>
        <v>0</v>
      </c>
      <c r="K273" s="41">
        <f t="shared" ref="K273:K278" si="265">F273</f>
        <v>205.16</v>
      </c>
      <c r="L273" s="152" t="str">
        <f t="shared" ref="L273:L278" si="266">(K273/J273)*100</f>
        <v>#DIV/0!</v>
      </c>
      <c r="M273" s="72">
        <v>17060.0</v>
      </c>
      <c r="N273" s="49">
        <f t="shared" ref="N273:N278" si="267">M273*F273</f>
        <v>3500029.6</v>
      </c>
    </row>
    <row r="274">
      <c r="A274" s="35">
        <v>46043.0</v>
      </c>
      <c r="B274" s="192" t="s">
        <v>58</v>
      </c>
      <c r="C274" s="13">
        <v>2327.0</v>
      </c>
      <c r="D274" s="13">
        <v>3104.0</v>
      </c>
      <c r="E274" s="12">
        <f t="shared" ref="E274:E278" si="268">D274-C274</f>
        <v>777</v>
      </c>
      <c r="F274" s="157">
        <v>203.35</v>
      </c>
      <c r="G274" s="14">
        <f t="shared" si="263"/>
        <v>26.17117117</v>
      </c>
      <c r="H274" s="89"/>
      <c r="I274" s="137"/>
      <c r="J274" s="89">
        <f t="shared" si="264"/>
        <v>0</v>
      </c>
      <c r="K274" s="37">
        <f t="shared" si="265"/>
        <v>203.35</v>
      </c>
      <c r="L274" s="152" t="str">
        <f t="shared" si="266"/>
        <v>#DIV/0!</v>
      </c>
      <c r="M274" s="72">
        <v>17280.0</v>
      </c>
      <c r="N274" s="49">
        <f t="shared" si="267"/>
        <v>3513888</v>
      </c>
    </row>
    <row r="275">
      <c r="A275" s="35">
        <v>46050.0</v>
      </c>
      <c r="B275" s="192" t="s">
        <v>58</v>
      </c>
      <c r="C275" s="13">
        <v>3104.0</v>
      </c>
      <c r="D275" s="89">
        <v>3879.0</v>
      </c>
      <c r="E275" s="12">
        <f t="shared" si="268"/>
        <v>775</v>
      </c>
      <c r="F275" s="157">
        <v>209.04</v>
      </c>
      <c r="G275" s="14">
        <f t="shared" si="263"/>
        <v>26.97290323</v>
      </c>
      <c r="H275" s="89"/>
      <c r="I275" s="137">
        <v>1877.0</v>
      </c>
      <c r="J275" s="89"/>
      <c r="K275" s="37">
        <f t="shared" si="265"/>
        <v>209.04</v>
      </c>
      <c r="L275" s="152" t="str">
        <f t="shared" si="266"/>
        <v>#DIV/0!</v>
      </c>
      <c r="M275" s="126">
        <v>17700.0</v>
      </c>
      <c r="N275" s="49">
        <f t="shared" si="267"/>
        <v>3700008</v>
      </c>
    </row>
    <row r="276">
      <c r="A276" s="35"/>
      <c r="B276" s="192" t="s">
        <v>58</v>
      </c>
      <c r="C276" s="89"/>
      <c r="D276" s="89"/>
      <c r="E276" s="12">
        <f t="shared" si="268"/>
        <v>0</v>
      </c>
      <c r="F276" s="157"/>
      <c r="G276" s="14" t="str">
        <f t="shared" si="263"/>
        <v>#DIV/0!</v>
      </c>
      <c r="H276" s="89"/>
      <c r="I276" s="137"/>
      <c r="J276" s="89">
        <f t="shared" ref="J276:J278" si="269">I276-H276</f>
        <v>0</v>
      </c>
      <c r="K276" s="37" t="str">
        <f t="shared" si="265"/>
        <v/>
      </c>
      <c r="L276" s="152" t="str">
        <f t="shared" si="266"/>
        <v>#DIV/0!</v>
      </c>
      <c r="M276" s="126"/>
      <c r="N276" s="49">
        <f t="shared" si="267"/>
        <v>0</v>
      </c>
    </row>
    <row r="277">
      <c r="A277" s="35"/>
      <c r="B277" s="192" t="s">
        <v>58</v>
      </c>
      <c r="C277" s="37"/>
      <c r="D277" s="89"/>
      <c r="E277" s="12">
        <f t="shared" si="268"/>
        <v>0</v>
      </c>
      <c r="F277" s="157"/>
      <c r="G277" s="14" t="str">
        <f t="shared" si="263"/>
        <v>#DIV/0!</v>
      </c>
      <c r="H277" s="89"/>
      <c r="I277" s="137"/>
      <c r="J277" s="89">
        <f t="shared" si="269"/>
        <v>0</v>
      </c>
      <c r="K277" s="37" t="str">
        <f t="shared" si="265"/>
        <v/>
      </c>
      <c r="L277" s="152" t="str">
        <f t="shared" si="266"/>
        <v>#DIV/0!</v>
      </c>
      <c r="M277" s="126"/>
      <c r="N277" s="49">
        <f t="shared" si="267"/>
        <v>0</v>
      </c>
    </row>
    <row r="278">
      <c r="A278" s="154"/>
      <c r="B278" s="192" t="s">
        <v>58</v>
      </c>
      <c r="C278" s="89"/>
      <c r="D278" s="89"/>
      <c r="E278" s="12">
        <f t="shared" si="268"/>
        <v>0</v>
      </c>
      <c r="F278" s="157"/>
      <c r="G278" s="14" t="str">
        <f t="shared" si="263"/>
        <v>#DIV/0!</v>
      </c>
      <c r="H278" s="89"/>
      <c r="I278" s="137"/>
      <c r="J278" s="89">
        <f t="shared" si="269"/>
        <v>0</v>
      </c>
      <c r="K278" s="37" t="str">
        <f t="shared" si="265"/>
        <v/>
      </c>
      <c r="L278" s="152" t="str">
        <f t="shared" si="266"/>
        <v>#DIV/0!</v>
      </c>
      <c r="M278" s="126"/>
      <c r="N278" s="49">
        <f t="shared" si="267"/>
        <v>0</v>
      </c>
    </row>
    <row r="279">
      <c r="A279" s="62"/>
      <c r="B279" s="63"/>
      <c r="C279" s="62"/>
      <c r="D279" s="64" t="s">
        <v>19</v>
      </c>
      <c r="E279" s="64">
        <f t="shared" ref="E279:F279" si="270">sum(E273:E278)</f>
        <v>1552</v>
      </c>
      <c r="F279" s="64">
        <f t="shared" si="270"/>
        <v>617.55</v>
      </c>
      <c r="G279" s="65" t="str">
        <f>average(G273:G278)</f>
        <v>#DIV/0!</v>
      </c>
      <c r="H279" s="62"/>
      <c r="I279" s="66"/>
      <c r="J279" s="64">
        <f t="shared" ref="J279:K279" si="271">sum(J273:J278)</f>
        <v>0</v>
      </c>
      <c r="K279" s="64">
        <f t="shared" si="271"/>
        <v>617.55</v>
      </c>
      <c r="L279" s="65" t="str">
        <f>average(L273:L278)</f>
        <v>#DIV/0!</v>
      </c>
      <c r="M279" s="68"/>
      <c r="N279" s="69">
        <f>sum(N273:N278)</f>
        <v>10713925.6</v>
      </c>
    </row>
    <row r="280">
      <c r="A280" s="198" t="s">
        <v>64</v>
      </c>
      <c r="B280" s="199"/>
      <c r="C280" s="199"/>
      <c r="D280" s="199"/>
      <c r="E280" s="199"/>
      <c r="F280" s="199"/>
      <c r="G280" s="199"/>
      <c r="H280" s="199"/>
      <c r="I280" s="199"/>
      <c r="J280" s="199"/>
      <c r="K280" s="199"/>
      <c r="L280" s="200"/>
      <c r="M280" s="68"/>
      <c r="N280" s="69">
        <f>SUM(N279+N272+N265+N258+N251+N242+N236+N230+N224+N218+N212+N206)</f>
        <v>171020975.9</v>
      </c>
    </row>
    <row r="281">
      <c r="G281" s="168"/>
      <c r="L281" s="168"/>
      <c r="N281" s="169"/>
    </row>
    <row r="282">
      <c r="G282" s="168"/>
      <c r="L282" s="168"/>
      <c r="N282" s="169"/>
    </row>
    <row r="283">
      <c r="G283" s="168"/>
      <c r="L283" s="168"/>
      <c r="N283" s="169"/>
    </row>
    <row r="284">
      <c r="G284" s="168"/>
      <c r="L284" s="168"/>
      <c r="N284" s="169"/>
    </row>
    <row r="285">
      <c r="G285" s="168"/>
      <c r="L285" s="168"/>
      <c r="N285" s="169"/>
    </row>
    <row r="286">
      <c r="G286" s="168"/>
      <c r="L286" s="168"/>
      <c r="N286" s="169"/>
    </row>
    <row r="287">
      <c r="G287" s="168"/>
      <c r="L287" s="168"/>
      <c r="N287" s="169"/>
    </row>
    <row r="288">
      <c r="G288" s="168"/>
      <c r="L288" s="168"/>
      <c r="N288" s="169"/>
    </row>
    <row r="289">
      <c r="G289" s="168"/>
      <c r="L289" s="168"/>
      <c r="N289" s="169"/>
    </row>
    <row r="290">
      <c r="G290" s="168"/>
      <c r="L290" s="168"/>
      <c r="N290" s="169"/>
    </row>
    <row r="291">
      <c r="G291" s="168"/>
      <c r="L291" s="168"/>
      <c r="N291" s="169"/>
    </row>
    <row r="292">
      <c r="G292" s="168"/>
      <c r="L292" s="168"/>
      <c r="N292" s="169"/>
    </row>
    <row r="293">
      <c r="G293" s="168"/>
      <c r="L293" s="168"/>
      <c r="N293" s="169"/>
    </row>
    <row r="294">
      <c r="G294" s="168"/>
      <c r="L294" s="168"/>
      <c r="N294" s="169"/>
    </row>
    <row r="295">
      <c r="G295" s="168"/>
      <c r="L295" s="168"/>
      <c r="N295" s="169"/>
    </row>
    <row r="296">
      <c r="G296" s="168"/>
      <c r="L296" s="168"/>
      <c r="N296" s="169"/>
    </row>
    <row r="297">
      <c r="G297" s="168"/>
      <c r="L297" s="168"/>
      <c r="N297" s="169"/>
    </row>
    <row r="298">
      <c r="G298" s="168"/>
      <c r="L298" s="168"/>
      <c r="N298" s="169"/>
    </row>
    <row r="299">
      <c r="G299" s="168"/>
      <c r="L299" s="168"/>
      <c r="N299" s="169"/>
    </row>
    <row r="300">
      <c r="G300" s="168"/>
      <c r="L300" s="168"/>
      <c r="N300" s="169"/>
    </row>
    <row r="301">
      <c r="G301" s="168"/>
      <c r="L301" s="168"/>
      <c r="N301" s="169"/>
    </row>
    <row r="302">
      <c r="G302" s="168"/>
      <c r="L302" s="168"/>
      <c r="N302" s="169"/>
    </row>
    <row r="303">
      <c r="G303" s="168"/>
      <c r="L303" s="168"/>
      <c r="N303" s="169"/>
    </row>
    <row r="304">
      <c r="G304" s="168"/>
      <c r="L304" s="168"/>
      <c r="N304" s="169"/>
    </row>
    <row r="305">
      <c r="G305" s="168"/>
      <c r="L305" s="168"/>
      <c r="N305" s="169"/>
    </row>
    <row r="306">
      <c r="G306" s="168"/>
      <c r="L306" s="168"/>
      <c r="N306" s="169"/>
    </row>
    <row r="307">
      <c r="G307" s="168"/>
      <c r="L307" s="168"/>
      <c r="N307" s="169"/>
    </row>
    <row r="308">
      <c r="G308" s="168"/>
      <c r="L308" s="168"/>
      <c r="N308" s="169"/>
    </row>
    <row r="309">
      <c r="G309" s="168"/>
      <c r="L309" s="168"/>
      <c r="N309" s="169"/>
    </row>
    <row r="310">
      <c r="G310" s="168"/>
      <c r="L310" s="168"/>
      <c r="N310" s="169"/>
    </row>
    <row r="311">
      <c r="G311" s="168"/>
      <c r="L311" s="168"/>
      <c r="N311" s="169"/>
    </row>
    <row r="312">
      <c r="G312" s="168"/>
      <c r="L312" s="168"/>
      <c r="N312" s="169"/>
    </row>
    <row r="313">
      <c r="G313" s="168"/>
      <c r="L313" s="168"/>
      <c r="N313" s="169"/>
    </row>
    <row r="314">
      <c r="G314" s="168"/>
      <c r="L314" s="168"/>
      <c r="N314" s="169"/>
    </row>
    <row r="315">
      <c r="G315" s="168"/>
      <c r="L315" s="168"/>
      <c r="N315" s="169"/>
    </row>
    <row r="316">
      <c r="G316" s="168"/>
      <c r="L316" s="168"/>
      <c r="N316" s="169"/>
    </row>
    <row r="317">
      <c r="G317" s="168"/>
      <c r="L317" s="168"/>
      <c r="N317" s="169"/>
    </row>
    <row r="318">
      <c r="G318" s="168"/>
      <c r="L318" s="168"/>
      <c r="N318" s="169"/>
    </row>
    <row r="319">
      <c r="G319" s="168"/>
      <c r="L319" s="168"/>
      <c r="N319" s="169"/>
    </row>
    <row r="320">
      <c r="G320" s="168"/>
      <c r="L320" s="168"/>
      <c r="N320" s="169"/>
    </row>
    <row r="321">
      <c r="G321" s="168"/>
      <c r="L321" s="168"/>
      <c r="N321" s="169"/>
    </row>
    <row r="322">
      <c r="G322" s="168"/>
      <c r="L322" s="168"/>
      <c r="N322" s="169"/>
    </row>
    <row r="323">
      <c r="G323" s="168"/>
      <c r="L323" s="168"/>
      <c r="N323" s="169"/>
    </row>
    <row r="324">
      <c r="G324" s="168"/>
      <c r="L324" s="168"/>
      <c r="N324" s="169"/>
    </row>
    <row r="325">
      <c r="G325" s="168"/>
      <c r="L325" s="168"/>
      <c r="N325" s="169"/>
    </row>
    <row r="326">
      <c r="G326" s="168"/>
      <c r="L326" s="168"/>
      <c r="N326" s="169"/>
    </row>
    <row r="327">
      <c r="G327" s="168"/>
      <c r="L327" s="168"/>
      <c r="N327" s="169"/>
    </row>
    <row r="328">
      <c r="G328" s="168"/>
      <c r="L328" s="168"/>
      <c r="N328" s="169"/>
    </row>
    <row r="329">
      <c r="G329" s="168"/>
      <c r="L329" s="168"/>
      <c r="N329" s="169"/>
    </row>
    <row r="330">
      <c r="G330" s="168"/>
      <c r="L330" s="168"/>
      <c r="N330" s="169"/>
    </row>
    <row r="331">
      <c r="G331" s="168"/>
      <c r="L331" s="168"/>
      <c r="N331" s="169"/>
    </row>
    <row r="332">
      <c r="G332" s="168"/>
      <c r="L332" s="168"/>
      <c r="N332" s="169"/>
    </row>
    <row r="333">
      <c r="G333" s="168"/>
      <c r="L333" s="168"/>
      <c r="N333" s="169"/>
    </row>
    <row r="334">
      <c r="G334" s="168"/>
      <c r="L334" s="168"/>
      <c r="N334" s="169"/>
    </row>
    <row r="335">
      <c r="G335" s="168"/>
      <c r="L335" s="168"/>
      <c r="N335" s="169"/>
    </row>
    <row r="336">
      <c r="G336" s="168"/>
      <c r="L336" s="168"/>
      <c r="N336" s="169"/>
    </row>
    <row r="337">
      <c r="G337" s="168"/>
      <c r="L337" s="168"/>
      <c r="N337" s="169"/>
    </row>
    <row r="338">
      <c r="G338" s="168"/>
      <c r="L338" s="168"/>
      <c r="N338" s="169"/>
    </row>
    <row r="339">
      <c r="G339" s="168"/>
      <c r="L339" s="168"/>
      <c r="N339" s="169"/>
    </row>
    <row r="340">
      <c r="G340" s="168"/>
      <c r="L340" s="168"/>
      <c r="N340" s="169"/>
    </row>
    <row r="341">
      <c r="G341" s="168"/>
      <c r="L341" s="168"/>
      <c r="N341" s="169"/>
    </row>
    <row r="342">
      <c r="G342" s="168"/>
      <c r="L342" s="168"/>
      <c r="N342" s="169"/>
    </row>
    <row r="343">
      <c r="G343" s="168"/>
      <c r="L343" s="168"/>
      <c r="N343" s="169"/>
    </row>
    <row r="344">
      <c r="G344" s="168"/>
      <c r="L344" s="168"/>
      <c r="N344" s="169"/>
    </row>
    <row r="345">
      <c r="G345" s="168"/>
      <c r="L345" s="168"/>
      <c r="N345" s="169"/>
    </row>
    <row r="346">
      <c r="G346" s="168"/>
      <c r="L346" s="168"/>
      <c r="N346" s="169"/>
    </row>
    <row r="347">
      <c r="G347" s="168"/>
      <c r="L347" s="168"/>
      <c r="N347" s="169"/>
    </row>
    <row r="348">
      <c r="G348" s="168"/>
      <c r="L348" s="168"/>
      <c r="N348" s="169"/>
    </row>
    <row r="349">
      <c r="G349" s="168"/>
      <c r="L349" s="168"/>
      <c r="N349" s="169"/>
    </row>
    <row r="350">
      <c r="G350" s="168"/>
      <c r="L350" s="168"/>
      <c r="N350" s="169"/>
    </row>
    <row r="351">
      <c r="G351" s="168"/>
      <c r="L351" s="168"/>
      <c r="N351" s="169"/>
    </row>
    <row r="352">
      <c r="G352" s="168"/>
      <c r="L352" s="168"/>
      <c r="N352" s="169"/>
    </row>
    <row r="353">
      <c r="G353" s="168"/>
      <c r="L353" s="168"/>
      <c r="N353" s="169"/>
    </row>
    <row r="354">
      <c r="G354" s="168"/>
      <c r="L354" s="168"/>
      <c r="N354" s="169"/>
    </row>
    <row r="355">
      <c r="G355" s="168"/>
      <c r="L355" s="168"/>
      <c r="N355" s="169"/>
    </row>
    <row r="356">
      <c r="G356" s="168"/>
      <c r="L356" s="168"/>
      <c r="N356" s="169"/>
    </row>
    <row r="357">
      <c r="G357" s="168"/>
      <c r="L357" s="168"/>
      <c r="N357" s="169"/>
    </row>
    <row r="358">
      <c r="G358" s="168"/>
      <c r="L358" s="168"/>
      <c r="N358" s="169"/>
    </row>
    <row r="359">
      <c r="G359" s="168"/>
      <c r="L359" s="168"/>
      <c r="N359" s="169"/>
    </row>
    <row r="360">
      <c r="G360" s="168"/>
      <c r="L360" s="168"/>
      <c r="N360" s="169"/>
    </row>
    <row r="361">
      <c r="G361" s="168"/>
      <c r="L361" s="168"/>
      <c r="N361" s="169"/>
    </row>
    <row r="362">
      <c r="G362" s="168"/>
      <c r="L362" s="168"/>
      <c r="N362" s="169"/>
    </row>
    <row r="363">
      <c r="G363" s="168"/>
      <c r="L363" s="168"/>
      <c r="N363" s="169"/>
    </row>
    <row r="364">
      <c r="G364" s="168"/>
      <c r="L364" s="168"/>
      <c r="N364" s="169"/>
    </row>
    <row r="365">
      <c r="G365" s="168"/>
      <c r="L365" s="168"/>
      <c r="N365" s="169"/>
    </row>
    <row r="366">
      <c r="G366" s="168"/>
      <c r="L366" s="168"/>
      <c r="N366" s="169"/>
    </row>
    <row r="367">
      <c r="G367" s="168"/>
      <c r="L367" s="168"/>
      <c r="N367" s="169"/>
    </row>
    <row r="368">
      <c r="G368" s="168"/>
      <c r="L368" s="168"/>
      <c r="N368" s="169"/>
    </row>
    <row r="369">
      <c r="G369" s="168"/>
      <c r="L369" s="168"/>
      <c r="N369" s="169"/>
    </row>
    <row r="370">
      <c r="G370" s="168"/>
      <c r="L370" s="168"/>
      <c r="N370" s="169"/>
    </row>
    <row r="371">
      <c r="G371" s="168"/>
      <c r="L371" s="168"/>
      <c r="N371" s="169"/>
    </row>
    <row r="372">
      <c r="G372" s="168"/>
      <c r="L372" s="168"/>
      <c r="N372" s="169"/>
    </row>
    <row r="373">
      <c r="G373" s="168"/>
      <c r="L373" s="168"/>
      <c r="N373" s="169"/>
    </row>
    <row r="374">
      <c r="G374" s="168"/>
      <c r="L374" s="168"/>
      <c r="N374" s="169"/>
    </row>
    <row r="375">
      <c r="G375" s="168"/>
      <c r="L375" s="168"/>
      <c r="N375" s="169"/>
    </row>
    <row r="376">
      <c r="G376" s="168"/>
      <c r="L376" s="168"/>
      <c r="N376" s="169"/>
    </row>
    <row r="377">
      <c r="G377" s="168"/>
      <c r="L377" s="168"/>
      <c r="N377" s="169"/>
    </row>
    <row r="378">
      <c r="G378" s="168"/>
      <c r="L378" s="168"/>
      <c r="N378" s="169"/>
    </row>
    <row r="379">
      <c r="G379" s="168"/>
      <c r="L379" s="168"/>
      <c r="N379" s="169"/>
    </row>
    <row r="380">
      <c r="G380" s="168"/>
      <c r="L380" s="168"/>
      <c r="N380" s="169"/>
    </row>
    <row r="381">
      <c r="G381" s="168"/>
      <c r="L381" s="168"/>
      <c r="N381" s="169"/>
    </row>
    <row r="382">
      <c r="G382" s="168"/>
      <c r="L382" s="168"/>
      <c r="N382" s="169"/>
    </row>
    <row r="383">
      <c r="G383" s="168"/>
      <c r="L383" s="168"/>
      <c r="N383" s="169"/>
    </row>
    <row r="384">
      <c r="G384" s="168"/>
      <c r="L384" s="168"/>
      <c r="N384" s="169"/>
    </row>
    <row r="385">
      <c r="G385" s="168"/>
      <c r="L385" s="168"/>
      <c r="N385" s="169"/>
    </row>
    <row r="386">
      <c r="G386" s="168"/>
      <c r="L386" s="168"/>
      <c r="N386" s="169"/>
    </row>
    <row r="387">
      <c r="G387" s="168"/>
      <c r="L387" s="168"/>
      <c r="N387" s="169"/>
    </row>
    <row r="388">
      <c r="G388" s="168"/>
      <c r="L388" s="168"/>
      <c r="N388" s="169"/>
    </row>
    <row r="389">
      <c r="G389" s="168"/>
      <c r="L389" s="168"/>
      <c r="N389" s="169"/>
    </row>
    <row r="390">
      <c r="G390" s="168"/>
      <c r="L390" s="168"/>
      <c r="N390" s="169"/>
    </row>
    <row r="391">
      <c r="G391" s="168"/>
      <c r="L391" s="168"/>
      <c r="N391" s="169"/>
    </row>
    <row r="392">
      <c r="G392" s="168"/>
      <c r="L392" s="168"/>
      <c r="N392" s="169"/>
    </row>
    <row r="393">
      <c r="G393" s="168"/>
      <c r="L393" s="168"/>
      <c r="N393" s="169"/>
    </row>
    <row r="394">
      <c r="G394" s="168"/>
      <c r="L394" s="168"/>
      <c r="N394" s="169"/>
    </row>
    <row r="395">
      <c r="G395" s="168"/>
      <c r="L395" s="168"/>
      <c r="N395" s="169"/>
    </row>
    <row r="396">
      <c r="G396" s="168"/>
      <c r="L396" s="168"/>
      <c r="N396" s="169"/>
    </row>
    <row r="397">
      <c r="G397" s="168"/>
      <c r="L397" s="168"/>
      <c r="N397" s="169"/>
    </row>
    <row r="398">
      <c r="G398" s="168"/>
      <c r="L398" s="168"/>
      <c r="N398" s="169"/>
    </row>
    <row r="399">
      <c r="G399" s="168"/>
      <c r="L399" s="168"/>
      <c r="N399" s="169"/>
    </row>
    <row r="400">
      <c r="G400" s="168"/>
      <c r="L400" s="168"/>
      <c r="N400" s="169"/>
    </row>
    <row r="401">
      <c r="G401" s="168"/>
      <c r="L401" s="168"/>
      <c r="N401" s="169"/>
    </row>
    <row r="402">
      <c r="G402" s="168"/>
      <c r="L402" s="168"/>
      <c r="N402" s="169"/>
    </row>
    <row r="403">
      <c r="G403" s="168"/>
      <c r="L403" s="168"/>
      <c r="N403" s="169"/>
    </row>
    <row r="404">
      <c r="G404" s="168"/>
      <c r="L404" s="168"/>
      <c r="N404" s="169"/>
    </row>
    <row r="405">
      <c r="G405" s="168"/>
      <c r="L405" s="168"/>
      <c r="N405" s="169"/>
    </row>
    <row r="406">
      <c r="G406" s="168"/>
      <c r="L406" s="168"/>
      <c r="N406" s="169"/>
    </row>
    <row r="407">
      <c r="G407" s="168"/>
      <c r="L407" s="168"/>
      <c r="N407" s="169"/>
    </row>
    <row r="408">
      <c r="G408" s="168"/>
      <c r="L408" s="168"/>
      <c r="N408" s="169"/>
    </row>
    <row r="409">
      <c r="G409" s="168"/>
      <c r="L409" s="168"/>
      <c r="N409" s="169"/>
    </row>
    <row r="410">
      <c r="G410" s="168"/>
      <c r="L410" s="168"/>
      <c r="N410" s="169"/>
    </row>
    <row r="411">
      <c r="G411" s="168"/>
      <c r="L411" s="168"/>
      <c r="N411" s="169"/>
    </row>
    <row r="412">
      <c r="G412" s="168"/>
      <c r="L412" s="168"/>
      <c r="N412" s="169"/>
    </row>
    <row r="413">
      <c r="G413" s="168"/>
      <c r="L413" s="168"/>
      <c r="N413" s="169"/>
    </row>
    <row r="414">
      <c r="G414" s="168"/>
      <c r="L414" s="168"/>
      <c r="N414" s="169"/>
    </row>
    <row r="415">
      <c r="G415" s="168"/>
      <c r="L415" s="168"/>
      <c r="N415" s="169"/>
    </row>
    <row r="416">
      <c r="G416" s="168"/>
      <c r="L416" s="168"/>
      <c r="N416" s="169"/>
    </row>
    <row r="417">
      <c r="G417" s="168"/>
      <c r="L417" s="168"/>
      <c r="N417" s="169"/>
    </row>
    <row r="418">
      <c r="G418" s="168"/>
      <c r="L418" s="168"/>
      <c r="N418" s="169"/>
    </row>
    <row r="419">
      <c r="G419" s="168"/>
      <c r="L419" s="168"/>
      <c r="N419" s="169"/>
    </row>
    <row r="420">
      <c r="G420" s="168"/>
      <c r="L420" s="168"/>
      <c r="N420" s="169"/>
    </row>
    <row r="421">
      <c r="G421" s="168"/>
      <c r="L421" s="168"/>
      <c r="N421" s="169"/>
    </row>
    <row r="422">
      <c r="G422" s="168"/>
      <c r="L422" s="168"/>
      <c r="N422" s="169"/>
    </row>
    <row r="423">
      <c r="G423" s="168"/>
      <c r="L423" s="168"/>
      <c r="N423" s="169"/>
    </row>
    <row r="424">
      <c r="G424" s="168"/>
      <c r="L424" s="168"/>
      <c r="N424" s="169"/>
    </row>
    <row r="425">
      <c r="G425" s="168"/>
      <c r="L425" s="168"/>
      <c r="N425" s="169"/>
    </row>
    <row r="426">
      <c r="G426" s="168"/>
      <c r="L426" s="168"/>
      <c r="N426" s="169"/>
    </row>
    <row r="427">
      <c r="G427" s="168"/>
      <c r="L427" s="168"/>
      <c r="N427" s="169"/>
    </row>
    <row r="428">
      <c r="G428" s="168"/>
      <c r="L428" s="168"/>
      <c r="N428" s="169"/>
    </row>
    <row r="429">
      <c r="G429" s="168"/>
      <c r="L429" s="168"/>
      <c r="N429" s="169"/>
    </row>
    <row r="430">
      <c r="G430" s="168"/>
      <c r="L430" s="168"/>
      <c r="N430" s="169"/>
    </row>
    <row r="431">
      <c r="G431" s="168"/>
      <c r="L431" s="168"/>
      <c r="N431" s="169"/>
    </row>
    <row r="432">
      <c r="G432" s="168"/>
      <c r="L432" s="168"/>
      <c r="N432" s="169"/>
    </row>
    <row r="433">
      <c r="G433" s="168"/>
      <c r="L433" s="168"/>
      <c r="N433" s="169"/>
    </row>
    <row r="434">
      <c r="G434" s="168"/>
      <c r="L434" s="168"/>
      <c r="N434" s="169"/>
    </row>
    <row r="435">
      <c r="G435" s="168"/>
      <c r="L435" s="168"/>
      <c r="N435" s="169"/>
    </row>
    <row r="436">
      <c r="G436" s="168"/>
      <c r="L436" s="168"/>
      <c r="N436" s="169"/>
    </row>
    <row r="437">
      <c r="G437" s="168"/>
      <c r="L437" s="168"/>
      <c r="N437" s="169"/>
    </row>
    <row r="438">
      <c r="G438" s="168"/>
      <c r="L438" s="168"/>
      <c r="N438" s="169"/>
    </row>
    <row r="439">
      <c r="G439" s="168"/>
      <c r="L439" s="168"/>
      <c r="N439" s="169"/>
    </row>
    <row r="440">
      <c r="G440" s="168"/>
      <c r="L440" s="168"/>
      <c r="N440" s="169"/>
    </row>
    <row r="441">
      <c r="G441" s="168"/>
      <c r="L441" s="168"/>
      <c r="N441" s="169"/>
    </row>
    <row r="442">
      <c r="G442" s="168"/>
      <c r="L442" s="168"/>
      <c r="N442" s="169"/>
    </row>
    <row r="443">
      <c r="G443" s="168"/>
      <c r="L443" s="168"/>
      <c r="N443" s="169"/>
    </row>
    <row r="444">
      <c r="G444" s="168"/>
      <c r="L444" s="168"/>
      <c r="N444" s="169"/>
    </row>
    <row r="445">
      <c r="G445" s="168"/>
      <c r="L445" s="168"/>
      <c r="N445" s="169"/>
    </row>
    <row r="446">
      <c r="G446" s="168"/>
      <c r="L446" s="168"/>
      <c r="N446" s="169"/>
    </row>
    <row r="447">
      <c r="G447" s="168"/>
      <c r="L447" s="168"/>
      <c r="N447" s="169"/>
    </row>
    <row r="448">
      <c r="G448" s="168"/>
      <c r="L448" s="168"/>
      <c r="N448" s="169"/>
    </row>
    <row r="449">
      <c r="G449" s="168"/>
      <c r="L449" s="168"/>
      <c r="N449" s="169"/>
    </row>
    <row r="450">
      <c r="G450" s="168"/>
      <c r="L450" s="168"/>
      <c r="N450" s="169"/>
    </row>
    <row r="451">
      <c r="G451" s="168"/>
      <c r="L451" s="168"/>
      <c r="N451" s="169"/>
    </row>
    <row r="452">
      <c r="G452" s="168"/>
      <c r="L452" s="168"/>
      <c r="N452" s="169"/>
    </row>
    <row r="453">
      <c r="G453" s="168"/>
      <c r="L453" s="168"/>
      <c r="N453" s="169"/>
    </row>
    <row r="454">
      <c r="G454" s="168"/>
      <c r="L454" s="168"/>
      <c r="N454" s="169"/>
    </row>
    <row r="455">
      <c r="G455" s="168"/>
      <c r="L455" s="168"/>
      <c r="N455" s="169"/>
    </row>
    <row r="456">
      <c r="G456" s="168"/>
      <c r="L456" s="168"/>
      <c r="N456" s="169"/>
    </row>
    <row r="457">
      <c r="G457" s="168"/>
      <c r="L457" s="168"/>
      <c r="N457" s="169"/>
    </row>
    <row r="458">
      <c r="G458" s="168"/>
      <c r="L458" s="168"/>
      <c r="N458" s="169"/>
    </row>
    <row r="459">
      <c r="G459" s="168"/>
      <c r="L459" s="168"/>
      <c r="N459" s="169"/>
    </row>
    <row r="460">
      <c r="G460" s="168"/>
      <c r="L460" s="168"/>
      <c r="N460" s="169"/>
    </row>
    <row r="461">
      <c r="G461" s="168"/>
      <c r="L461" s="168"/>
      <c r="N461" s="169"/>
    </row>
    <row r="462">
      <c r="G462" s="168"/>
      <c r="L462" s="168"/>
      <c r="N462" s="169"/>
    </row>
    <row r="463">
      <c r="G463" s="168"/>
      <c r="L463" s="168"/>
      <c r="N463" s="169"/>
    </row>
    <row r="464">
      <c r="G464" s="168"/>
      <c r="L464" s="168"/>
      <c r="N464" s="169"/>
    </row>
    <row r="465">
      <c r="G465" s="168"/>
      <c r="L465" s="168"/>
      <c r="N465" s="169"/>
    </row>
    <row r="466">
      <c r="G466" s="168"/>
      <c r="L466" s="168"/>
      <c r="N466" s="169"/>
    </row>
    <row r="467">
      <c r="G467" s="168"/>
      <c r="L467" s="168"/>
      <c r="N467" s="169"/>
    </row>
    <row r="468">
      <c r="G468" s="168"/>
      <c r="L468" s="168"/>
      <c r="N468" s="169"/>
    </row>
    <row r="469">
      <c r="G469" s="168"/>
      <c r="L469" s="168"/>
      <c r="N469" s="169"/>
    </row>
    <row r="470">
      <c r="G470" s="168"/>
      <c r="L470" s="168"/>
      <c r="N470" s="169"/>
    </row>
    <row r="471">
      <c r="G471" s="168"/>
      <c r="L471" s="168"/>
      <c r="N471" s="169"/>
    </row>
    <row r="472">
      <c r="G472" s="168"/>
      <c r="L472" s="168"/>
      <c r="N472" s="169"/>
    </row>
    <row r="473">
      <c r="G473" s="168"/>
      <c r="L473" s="168"/>
      <c r="N473" s="169"/>
    </row>
    <row r="474">
      <c r="G474" s="168"/>
      <c r="L474" s="168"/>
      <c r="N474" s="169"/>
    </row>
    <row r="475">
      <c r="G475" s="168"/>
      <c r="L475" s="168"/>
      <c r="N475" s="169"/>
    </row>
    <row r="476">
      <c r="G476" s="168"/>
      <c r="L476" s="168"/>
      <c r="N476" s="169"/>
    </row>
    <row r="477">
      <c r="G477" s="168"/>
      <c r="L477" s="168"/>
      <c r="N477" s="169"/>
    </row>
    <row r="478">
      <c r="G478" s="168"/>
      <c r="L478" s="168"/>
      <c r="N478" s="169"/>
    </row>
    <row r="479">
      <c r="G479" s="168"/>
      <c r="L479" s="168"/>
      <c r="N479" s="169"/>
    </row>
    <row r="480">
      <c r="G480" s="168"/>
      <c r="L480" s="168"/>
      <c r="N480" s="169"/>
    </row>
    <row r="481">
      <c r="G481" s="168"/>
      <c r="L481" s="168"/>
      <c r="N481" s="169"/>
    </row>
    <row r="482">
      <c r="G482" s="168"/>
      <c r="L482" s="168"/>
      <c r="N482" s="169"/>
    </row>
    <row r="483">
      <c r="G483" s="168"/>
      <c r="L483" s="168"/>
      <c r="N483" s="169"/>
    </row>
    <row r="484">
      <c r="G484" s="168"/>
      <c r="L484" s="168"/>
      <c r="N484" s="169"/>
    </row>
    <row r="485">
      <c r="G485" s="168"/>
      <c r="L485" s="168"/>
      <c r="N485" s="169"/>
    </row>
    <row r="486">
      <c r="G486" s="168"/>
      <c r="L486" s="168"/>
      <c r="N486" s="169"/>
    </row>
    <row r="487">
      <c r="G487" s="168"/>
      <c r="L487" s="168"/>
      <c r="N487" s="169"/>
    </row>
    <row r="488">
      <c r="G488" s="168"/>
      <c r="L488" s="168"/>
      <c r="N488" s="169"/>
    </row>
    <row r="489">
      <c r="G489" s="168"/>
      <c r="L489" s="168"/>
      <c r="N489" s="169"/>
    </row>
    <row r="490">
      <c r="G490" s="168"/>
      <c r="L490" s="168"/>
      <c r="N490" s="169"/>
    </row>
    <row r="491">
      <c r="G491" s="168"/>
      <c r="L491" s="168"/>
      <c r="N491" s="169"/>
    </row>
    <row r="492">
      <c r="G492" s="168"/>
      <c r="L492" s="168"/>
      <c r="N492" s="169"/>
    </row>
    <row r="493">
      <c r="G493" s="168"/>
      <c r="L493" s="168"/>
      <c r="N493" s="169"/>
    </row>
    <row r="494">
      <c r="G494" s="168"/>
      <c r="L494" s="168"/>
      <c r="N494" s="169"/>
    </row>
    <row r="495">
      <c r="G495" s="168"/>
      <c r="L495" s="168"/>
      <c r="N495" s="169"/>
    </row>
    <row r="496">
      <c r="G496" s="168"/>
      <c r="L496" s="168"/>
      <c r="N496" s="169"/>
    </row>
    <row r="497">
      <c r="G497" s="168"/>
      <c r="L497" s="168"/>
      <c r="N497" s="169"/>
    </row>
    <row r="498">
      <c r="G498" s="168"/>
      <c r="L498" s="168"/>
      <c r="N498" s="169"/>
    </row>
    <row r="499">
      <c r="G499" s="168"/>
      <c r="L499" s="168"/>
      <c r="N499" s="169"/>
    </row>
    <row r="500">
      <c r="G500" s="168"/>
      <c r="L500" s="168"/>
      <c r="N500" s="169"/>
    </row>
    <row r="501">
      <c r="G501" s="168"/>
      <c r="L501" s="168"/>
      <c r="N501" s="169"/>
    </row>
    <row r="502">
      <c r="G502" s="168"/>
      <c r="L502" s="168"/>
      <c r="N502" s="169"/>
    </row>
    <row r="503">
      <c r="G503" s="168"/>
      <c r="L503" s="168"/>
      <c r="N503" s="169"/>
    </row>
    <row r="504">
      <c r="G504" s="168"/>
      <c r="L504" s="168"/>
      <c r="N504" s="169"/>
    </row>
    <row r="505">
      <c r="G505" s="168"/>
      <c r="L505" s="168"/>
      <c r="N505" s="169"/>
    </row>
    <row r="506">
      <c r="G506" s="168"/>
      <c r="L506" s="168"/>
      <c r="N506" s="169"/>
    </row>
    <row r="507">
      <c r="G507" s="168"/>
      <c r="L507" s="168"/>
      <c r="N507" s="169"/>
    </row>
    <row r="508">
      <c r="G508" s="168"/>
      <c r="L508" s="168"/>
      <c r="N508" s="169"/>
    </row>
    <row r="509">
      <c r="G509" s="168"/>
      <c r="L509" s="168"/>
      <c r="N509" s="169"/>
    </row>
    <row r="510">
      <c r="G510" s="168"/>
      <c r="L510" s="168"/>
      <c r="N510" s="169"/>
    </row>
    <row r="511">
      <c r="G511" s="168"/>
      <c r="L511" s="168"/>
      <c r="N511" s="169"/>
    </row>
    <row r="512">
      <c r="G512" s="168"/>
      <c r="L512" s="168"/>
      <c r="N512" s="169"/>
    </row>
    <row r="513">
      <c r="G513" s="168"/>
      <c r="L513" s="168"/>
      <c r="N513" s="169"/>
    </row>
    <row r="514">
      <c r="G514" s="168"/>
      <c r="L514" s="168"/>
      <c r="N514" s="169"/>
    </row>
    <row r="515">
      <c r="G515" s="168"/>
      <c r="L515" s="168"/>
      <c r="N515" s="169"/>
    </row>
    <row r="516">
      <c r="G516" s="168"/>
      <c r="L516" s="168"/>
      <c r="N516" s="169"/>
    </row>
    <row r="517">
      <c r="G517" s="168"/>
      <c r="L517" s="168"/>
      <c r="N517" s="169"/>
    </row>
    <row r="518">
      <c r="G518" s="168"/>
      <c r="L518" s="168"/>
      <c r="N518" s="169"/>
    </row>
    <row r="519">
      <c r="G519" s="168"/>
      <c r="L519" s="168"/>
      <c r="N519" s="169"/>
    </row>
    <row r="520">
      <c r="G520" s="168"/>
      <c r="L520" s="168"/>
      <c r="N520" s="169"/>
    </row>
    <row r="521">
      <c r="G521" s="168"/>
      <c r="L521" s="168"/>
      <c r="N521" s="169"/>
    </row>
    <row r="522">
      <c r="G522" s="168"/>
      <c r="L522" s="168"/>
      <c r="N522" s="169"/>
    </row>
    <row r="523">
      <c r="G523" s="168"/>
      <c r="L523" s="168"/>
      <c r="N523" s="169"/>
    </row>
    <row r="524">
      <c r="G524" s="168"/>
      <c r="L524" s="168"/>
      <c r="N524" s="169"/>
    </row>
    <row r="525">
      <c r="G525" s="168"/>
      <c r="L525" s="168"/>
      <c r="N525" s="169"/>
    </row>
    <row r="526">
      <c r="G526" s="168"/>
      <c r="L526" s="168"/>
      <c r="N526" s="169"/>
    </row>
    <row r="527">
      <c r="G527" s="168"/>
      <c r="L527" s="168"/>
      <c r="N527" s="169"/>
    </row>
    <row r="528">
      <c r="G528" s="168"/>
      <c r="L528" s="168"/>
      <c r="N528" s="169"/>
    </row>
    <row r="529">
      <c r="G529" s="168"/>
      <c r="L529" s="168"/>
      <c r="N529" s="169"/>
    </row>
    <row r="530">
      <c r="G530" s="168"/>
      <c r="L530" s="168"/>
      <c r="N530" s="169"/>
    </row>
    <row r="531">
      <c r="G531" s="168"/>
      <c r="L531" s="168"/>
      <c r="N531" s="169"/>
    </row>
    <row r="532">
      <c r="G532" s="168"/>
      <c r="L532" s="168"/>
      <c r="N532" s="169"/>
    </row>
    <row r="533">
      <c r="G533" s="168"/>
      <c r="L533" s="168"/>
      <c r="N533" s="169"/>
    </row>
    <row r="534">
      <c r="G534" s="168"/>
      <c r="L534" s="168"/>
      <c r="N534" s="169"/>
    </row>
    <row r="535">
      <c r="G535" s="168"/>
      <c r="L535" s="168"/>
      <c r="N535" s="169"/>
    </row>
    <row r="536">
      <c r="G536" s="168"/>
      <c r="L536" s="168"/>
      <c r="N536" s="169"/>
    </row>
    <row r="537">
      <c r="G537" s="168"/>
      <c r="L537" s="168"/>
      <c r="N537" s="169"/>
    </row>
    <row r="538">
      <c r="G538" s="168"/>
      <c r="L538" s="168"/>
      <c r="N538" s="169"/>
    </row>
    <row r="539">
      <c r="G539" s="168"/>
      <c r="L539" s="168"/>
      <c r="N539" s="169"/>
    </row>
    <row r="540">
      <c r="G540" s="168"/>
      <c r="L540" s="168"/>
      <c r="N540" s="169"/>
    </row>
    <row r="541">
      <c r="G541" s="168"/>
      <c r="L541" s="168"/>
      <c r="N541" s="169"/>
    </row>
    <row r="542">
      <c r="G542" s="168"/>
      <c r="L542" s="168"/>
      <c r="N542" s="169"/>
    </row>
    <row r="543">
      <c r="G543" s="168"/>
      <c r="L543" s="168"/>
      <c r="N543" s="169"/>
    </row>
    <row r="544">
      <c r="G544" s="168"/>
      <c r="L544" s="168"/>
      <c r="N544" s="169"/>
    </row>
    <row r="545">
      <c r="G545" s="168"/>
      <c r="L545" s="168"/>
      <c r="N545" s="169"/>
    </row>
    <row r="546">
      <c r="G546" s="168"/>
      <c r="L546" s="168"/>
      <c r="N546" s="169"/>
    </row>
    <row r="547">
      <c r="G547" s="168"/>
      <c r="L547" s="168"/>
      <c r="N547" s="169"/>
    </row>
    <row r="548">
      <c r="G548" s="168"/>
      <c r="L548" s="168"/>
      <c r="N548" s="169"/>
    </row>
    <row r="549">
      <c r="G549" s="168"/>
      <c r="L549" s="168"/>
      <c r="N549" s="169"/>
    </row>
    <row r="550">
      <c r="G550" s="168"/>
      <c r="L550" s="168"/>
      <c r="N550" s="169"/>
    </row>
    <row r="551">
      <c r="G551" s="168"/>
      <c r="L551" s="168"/>
      <c r="N551" s="169"/>
    </row>
    <row r="552">
      <c r="G552" s="168"/>
      <c r="L552" s="168"/>
      <c r="N552" s="169"/>
    </row>
    <row r="553">
      <c r="G553" s="168"/>
      <c r="L553" s="168"/>
      <c r="N553" s="169"/>
    </row>
    <row r="554">
      <c r="G554" s="168"/>
      <c r="L554" s="168"/>
      <c r="N554" s="169"/>
    </row>
    <row r="555">
      <c r="G555" s="168"/>
      <c r="L555" s="168"/>
      <c r="N555" s="169"/>
    </row>
    <row r="556">
      <c r="G556" s="168"/>
      <c r="L556" s="168"/>
      <c r="N556" s="169"/>
    </row>
    <row r="557">
      <c r="G557" s="168"/>
      <c r="L557" s="168"/>
      <c r="N557" s="169"/>
    </row>
    <row r="558">
      <c r="G558" s="168"/>
      <c r="L558" s="168"/>
      <c r="N558" s="169"/>
    </row>
    <row r="559">
      <c r="G559" s="168"/>
      <c r="L559" s="168"/>
      <c r="N559" s="169"/>
    </row>
    <row r="560">
      <c r="G560" s="168"/>
      <c r="L560" s="168"/>
      <c r="N560" s="169"/>
    </row>
    <row r="561">
      <c r="G561" s="168"/>
      <c r="L561" s="168"/>
      <c r="N561" s="169"/>
    </row>
    <row r="562">
      <c r="G562" s="168"/>
      <c r="L562" s="168"/>
      <c r="N562" s="169"/>
    </row>
    <row r="563">
      <c r="G563" s="168"/>
      <c r="L563" s="168"/>
      <c r="N563" s="169"/>
    </row>
    <row r="564">
      <c r="G564" s="168"/>
      <c r="L564" s="168"/>
      <c r="N564" s="169"/>
    </row>
    <row r="565">
      <c r="G565" s="168"/>
      <c r="L565" s="168"/>
      <c r="N565" s="169"/>
    </row>
    <row r="566">
      <c r="G566" s="168"/>
      <c r="L566" s="168"/>
      <c r="N566" s="169"/>
    </row>
    <row r="567">
      <c r="G567" s="168"/>
      <c r="L567" s="168"/>
      <c r="N567" s="169"/>
    </row>
    <row r="568">
      <c r="G568" s="168"/>
      <c r="L568" s="168"/>
      <c r="N568" s="169"/>
    </row>
    <row r="569">
      <c r="G569" s="168"/>
      <c r="L569" s="168"/>
      <c r="N569" s="169"/>
    </row>
    <row r="570">
      <c r="G570" s="168"/>
      <c r="L570" s="168"/>
      <c r="N570" s="169"/>
    </row>
    <row r="571">
      <c r="G571" s="168"/>
      <c r="L571" s="168"/>
      <c r="N571" s="169"/>
    </row>
    <row r="572">
      <c r="G572" s="168"/>
      <c r="L572" s="168"/>
      <c r="N572" s="169"/>
    </row>
    <row r="573">
      <c r="G573" s="168"/>
      <c r="L573" s="168"/>
      <c r="N573" s="169"/>
    </row>
    <row r="574">
      <c r="G574" s="168"/>
      <c r="L574" s="168"/>
      <c r="N574" s="169"/>
    </row>
    <row r="575">
      <c r="G575" s="168"/>
      <c r="L575" s="168"/>
      <c r="N575" s="169"/>
    </row>
    <row r="576">
      <c r="G576" s="168"/>
      <c r="L576" s="168"/>
      <c r="N576" s="169"/>
    </row>
    <row r="577">
      <c r="G577" s="168"/>
      <c r="L577" s="168"/>
      <c r="N577" s="169"/>
    </row>
    <row r="578">
      <c r="G578" s="168"/>
      <c r="L578" s="168"/>
      <c r="N578" s="169"/>
    </row>
    <row r="579">
      <c r="G579" s="168"/>
      <c r="L579" s="168"/>
      <c r="N579" s="169"/>
    </row>
    <row r="580">
      <c r="G580" s="168"/>
      <c r="L580" s="168"/>
      <c r="N580" s="169"/>
    </row>
    <row r="581">
      <c r="G581" s="168"/>
      <c r="L581" s="168"/>
      <c r="N581" s="169"/>
    </row>
    <row r="582">
      <c r="G582" s="168"/>
      <c r="L582" s="168"/>
      <c r="N582" s="169"/>
    </row>
    <row r="583">
      <c r="G583" s="168"/>
      <c r="L583" s="168"/>
      <c r="N583" s="169"/>
    </row>
    <row r="584">
      <c r="G584" s="168"/>
      <c r="L584" s="168"/>
      <c r="N584" s="169"/>
    </row>
    <row r="585">
      <c r="G585" s="168"/>
      <c r="L585" s="168"/>
      <c r="N585" s="169"/>
    </row>
    <row r="586">
      <c r="G586" s="168"/>
      <c r="L586" s="168"/>
      <c r="N586" s="169"/>
    </row>
    <row r="587">
      <c r="G587" s="168"/>
      <c r="L587" s="168"/>
      <c r="N587" s="169"/>
    </row>
    <row r="588">
      <c r="G588" s="168"/>
      <c r="L588" s="168"/>
      <c r="N588" s="169"/>
    </row>
    <row r="589">
      <c r="G589" s="168"/>
      <c r="L589" s="168"/>
      <c r="N589" s="169"/>
    </row>
    <row r="590">
      <c r="G590" s="168"/>
      <c r="L590" s="168"/>
      <c r="N590" s="169"/>
    </row>
    <row r="591">
      <c r="G591" s="168"/>
      <c r="L591" s="168"/>
      <c r="N591" s="169"/>
    </row>
    <row r="592">
      <c r="G592" s="168"/>
      <c r="L592" s="168"/>
      <c r="N592" s="169"/>
    </row>
    <row r="593">
      <c r="G593" s="168"/>
      <c r="L593" s="168"/>
      <c r="N593" s="169"/>
    </row>
    <row r="594">
      <c r="G594" s="168"/>
      <c r="L594" s="168"/>
      <c r="N594" s="169"/>
    </row>
    <row r="595">
      <c r="G595" s="168"/>
      <c r="L595" s="168"/>
      <c r="N595" s="169"/>
    </row>
    <row r="596">
      <c r="G596" s="168"/>
      <c r="L596" s="168"/>
      <c r="N596" s="169"/>
    </row>
    <row r="597">
      <c r="G597" s="168"/>
      <c r="L597" s="168"/>
      <c r="N597" s="169"/>
    </row>
    <row r="598">
      <c r="G598" s="168"/>
      <c r="L598" s="168"/>
      <c r="N598" s="169"/>
    </row>
    <row r="599">
      <c r="G599" s="168"/>
      <c r="L599" s="168"/>
      <c r="N599" s="169"/>
    </row>
    <row r="600">
      <c r="G600" s="168"/>
      <c r="L600" s="168"/>
      <c r="N600" s="169"/>
    </row>
    <row r="601">
      <c r="G601" s="168"/>
      <c r="L601" s="168"/>
      <c r="N601" s="169"/>
    </row>
    <row r="602">
      <c r="G602" s="168"/>
      <c r="L602" s="168"/>
      <c r="N602" s="169"/>
    </row>
    <row r="603">
      <c r="G603" s="168"/>
      <c r="L603" s="168"/>
      <c r="N603" s="169"/>
    </row>
    <row r="604">
      <c r="G604" s="168"/>
      <c r="L604" s="168"/>
      <c r="N604" s="169"/>
    </row>
    <row r="605">
      <c r="G605" s="168"/>
      <c r="L605" s="168"/>
      <c r="N605" s="169"/>
    </row>
    <row r="606">
      <c r="G606" s="168"/>
      <c r="L606" s="168"/>
      <c r="N606" s="169"/>
    </row>
    <row r="607">
      <c r="G607" s="168"/>
      <c r="L607" s="168"/>
      <c r="N607" s="169"/>
    </row>
    <row r="608">
      <c r="G608" s="168"/>
      <c r="L608" s="168"/>
      <c r="N608" s="169"/>
    </row>
    <row r="609">
      <c r="G609" s="168"/>
      <c r="L609" s="168"/>
      <c r="N609" s="169"/>
    </row>
    <row r="610">
      <c r="G610" s="168"/>
      <c r="L610" s="168"/>
      <c r="N610" s="169"/>
    </row>
    <row r="611">
      <c r="G611" s="168"/>
      <c r="L611" s="168"/>
      <c r="N611" s="169"/>
    </row>
    <row r="612">
      <c r="G612" s="168"/>
      <c r="L612" s="168"/>
      <c r="N612" s="169"/>
    </row>
    <row r="613">
      <c r="G613" s="168"/>
      <c r="L613" s="168"/>
      <c r="N613" s="169"/>
    </row>
    <row r="614">
      <c r="G614" s="168"/>
      <c r="L614" s="168"/>
      <c r="N614" s="169"/>
    </row>
    <row r="615">
      <c r="G615" s="168"/>
      <c r="L615" s="168"/>
      <c r="N615" s="169"/>
    </row>
    <row r="616">
      <c r="G616" s="168"/>
      <c r="L616" s="168"/>
      <c r="N616" s="169"/>
    </row>
    <row r="617">
      <c r="G617" s="168"/>
      <c r="L617" s="168"/>
      <c r="N617" s="169"/>
    </row>
    <row r="618">
      <c r="G618" s="168"/>
      <c r="L618" s="168"/>
      <c r="N618" s="169"/>
    </row>
    <row r="619">
      <c r="G619" s="168"/>
      <c r="L619" s="168"/>
      <c r="N619" s="169"/>
    </row>
    <row r="620">
      <c r="G620" s="168"/>
      <c r="L620" s="168"/>
      <c r="N620" s="169"/>
    </row>
    <row r="621">
      <c r="G621" s="168"/>
      <c r="L621" s="168"/>
      <c r="N621" s="169"/>
    </row>
    <row r="622">
      <c r="G622" s="168"/>
      <c r="L622" s="168"/>
      <c r="N622" s="169"/>
    </row>
    <row r="623">
      <c r="G623" s="168"/>
      <c r="L623" s="168"/>
      <c r="N623" s="169"/>
    </row>
    <row r="624">
      <c r="G624" s="168"/>
      <c r="L624" s="168"/>
      <c r="N624" s="169"/>
    </row>
    <row r="625">
      <c r="G625" s="168"/>
      <c r="L625" s="168"/>
      <c r="N625" s="169"/>
    </row>
    <row r="626">
      <c r="G626" s="168"/>
      <c r="L626" s="168"/>
      <c r="N626" s="169"/>
    </row>
    <row r="627">
      <c r="G627" s="168"/>
      <c r="L627" s="168"/>
      <c r="N627" s="169"/>
    </row>
    <row r="628">
      <c r="G628" s="168"/>
      <c r="L628" s="168"/>
      <c r="N628" s="169"/>
    </row>
    <row r="629">
      <c r="G629" s="168"/>
      <c r="L629" s="168"/>
      <c r="N629" s="169"/>
    </row>
    <row r="630">
      <c r="G630" s="168"/>
      <c r="L630" s="168"/>
      <c r="N630" s="169"/>
    </row>
    <row r="631">
      <c r="G631" s="168"/>
      <c r="L631" s="168"/>
      <c r="N631" s="169"/>
    </row>
    <row r="632">
      <c r="G632" s="168"/>
      <c r="L632" s="168"/>
      <c r="N632" s="169"/>
    </row>
    <row r="633">
      <c r="G633" s="168"/>
      <c r="L633" s="168"/>
      <c r="N633" s="169"/>
    </row>
    <row r="634">
      <c r="G634" s="168"/>
      <c r="L634" s="168"/>
      <c r="N634" s="169"/>
    </row>
    <row r="635">
      <c r="G635" s="168"/>
      <c r="L635" s="168"/>
      <c r="N635" s="169"/>
    </row>
    <row r="636">
      <c r="G636" s="168"/>
      <c r="L636" s="168"/>
      <c r="N636" s="169"/>
    </row>
    <row r="637">
      <c r="G637" s="168"/>
      <c r="L637" s="168"/>
      <c r="N637" s="169"/>
    </row>
    <row r="638">
      <c r="G638" s="168"/>
      <c r="L638" s="168"/>
      <c r="N638" s="169"/>
    </row>
    <row r="639">
      <c r="G639" s="168"/>
      <c r="L639" s="168"/>
      <c r="N639" s="169"/>
    </row>
    <row r="640">
      <c r="G640" s="168"/>
      <c r="L640" s="168"/>
      <c r="N640" s="169"/>
    </row>
    <row r="641">
      <c r="G641" s="168"/>
      <c r="L641" s="168"/>
      <c r="N641" s="169"/>
    </row>
    <row r="642">
      <c r="G642" s="168"/>
      <c r="L642" s="168"/>
      <c r="N642" s="169"/>
    </row>
    <row r="643">
      <c r="G643" s="168"/>
      <c r="L643" s="168"/>
      <c r="N643" s="169"/>
    </row>
    <row r="644">
      <c r="G644" s="168"/>
      <c r="L644" s="168"/>
      <c r="N644" s="169"/>
    </row>
    <row r="645">
      <c r="G645" s="168"/>
      <c r="L645" s="168"/>
      <c r="N645" s="169"/>
    </row>
    <row r="646">
      <c r="G646" s="168"/>
      <c r="L646" s="168"/>
      <c r="N646" s="169"/>
    </row>
    <row r="647">
      <c r="G647" s="168"/>
      <c r="L647" s="168"/>
      <c r="N647" s="169"/>
    </row>
    <row r="648">
      <c r="G648" s="168"/>
      <c r="L648" s="168"/>
      <c r="N648" s="169"/>
    </row>
    <row r="649">
      <c r="G649" s="168"/>
      <c r="L649" s="168"/>
      <c r="N649" s="169"/>
    </row>
    <row r="650">
      <c r="G650" s="168"/>
      <c r="L650" s="168"/>
      <c r="N650" s="169"/>
    </row>
    <row r="651">
      <c r="G651" s="168"/>
      <c r="L651" s="168"/>
      <c r="N651" s="169"/>
    </row>
    <row r="652">
      <c r="G652" s="168"/>
      <c r="L652" s="168"/>
      <c r="N652" s="169"/>
    </row>
    <row r="653">
      <c r="G653" s="168"/>
      <c r="L653" s="168"/>
      <c r="N653" s="169"/>
    </row>
    <row r="654">
      <c r="G654" s="168"/>
      <c r="L654" s="168"/>
      <c r="N654" s="169"/>
    </row>
    <row r="655">
      <c r="G655" s="168"/>
      <c r="L655" s="168"/>
      <c r="N655" s="169"/>
    </row>
    <row r="656">
      <c r="G656" s="168"/>
      <c r="L656" s="168"/>
      <c r="N656" s="169"/>
    </row>
    <row r="657">
      <c r="G657" s="168"/>
      <c r="L657" s="168"/>
      <c r="N657" s="169"/>
    </row>
    <row r="658">
      <c r="G658" s="168"/>
      <c r="L658" s="168"/>
      <c r="N658" s="169"/>
    </row>
    <row r="659">
      <c r="G659" s="168"/>
      <c r="L659" s="168"/>
      <c r="N659" s="169"/>
    </row>
    <row r="660">
      <c r="G660" s="168"/>
      <c r="L660" s="168"/>
      <c r="N660" s="169"/>
    </row>
    <row r="661">
      <c r="G661" s="168"/>
      <c r="L661" s="168"/>
      <c r="N661" s="169"/>
    </row>
    <row r="662">
      <c r="G662" s="168"/>
      <c r="L662" s="168"/>
      <c r="N662" s="169"/>
    </row>
    <row r="663">
      <c r="G663" s="168"/>
      <c r="L663" s="168"/>
      <c r="N663" s="169"/>
    </row>
    <row r="664">
      <c r="G664" s="168"/>
      <c r="L664" s="168"/>
      <c r="N664" s="169"/>
    </row>
    <row r="665">
      <c r="G665" s="168"/>
      <c r="L665" s="168"/>
      <c r="N665" s="169"/>
    </row>
    <row r="666">
      <c r="G666" s="168"/>
      <c r="L666" s="168"/>
      <c r="N666" s="169"/>
    </row>
    <row r="667">
      <c r="G667" s="168"/>
      <c r="L667" s="168"/>
      <c r="N667" s="169"/>
    </row>
    <row r="668">
      <c r="G668" s="168"/>
      <c r="L668" s="168"/>
      <c r="N668" s="169"/>
    </row>
    <row r="669">
      <c r="G669" s="168"/>
      <c r="L669" s="168"/>
      <c r="N669" s="169"/>
    </row>
    <row r="670">
      <c r="G670" s="168"/>
      <c r="L670" s="168"/>
      <c r="N670" s="169"/>
    </row>
    <row r="671">
      <c r="G671" s="168"/>
      <c r="L671" s="168"/>
      <c r="N671" s="169"/>
    </row>
    <row r="672">
      <c r="G672" s="168"/>
      <c r="L672" s="168"/>
      <c r="N672" s="169"/>
    </row>
    <row r="673">
      <c r="G673" s="168"/>
      <c r="L673" s="168"/>
      <c r="N673" s="169"/>
    </row>
    <row r="674">
      <c r="G674" s="168"/>
      <c r="L674" s="168"/>
      <c r="N674" s="169"/>
    </row>
    <row r="675">
      <c r="G675" s="168"/>
      <c r="L675" s="168"/>
      <c r="N675" s="169"/>
    </row>
    <row r="676">
      <c r="G676" s="168"/>
      <c r="L676" s="168"/>
      <c r="N676" s="169"/>
    </row>
    <row r="677">
      <c r="G677" s="168"/>
      <c r="L677" s="168"/>
      <c r="N677" s="169"/>
    </row>
    <row r="678">
      <c r="G678" s="168"/>
      <c r="L678" s="168"/>
      <c r="N678" s="169"/>
    </row>
    <row r="679">
      <c r="G679" s="168"/>
      <c r="L679" s="168"/>
      <c r="N679" s="169"/>
    </row>
    <row r="680">
      <c r="G680" s="168"/>
      <c r="L680" s="168"/>
      <c r="N680" s="169"/>
    </row>
    <row r="681">
      <c r="G681" s="168"/>
      <c r="L681" s="168"/>
      <c r="N681" s="169"/>
    </row>
    <row r="682">
      <c r="G682" s="168"/>
      <c r="L682" s="168"/>
      <c r="N682" s="169"/>
    </row>
    <row r="683">
      <c r="G683" s="168"/>
      <c r="L683" s="168"/>
      <c r="N683" s="169"/>
    </row>
    <row r="684">
      <c r="G684" s="168"/>
      <c r="L684" s="168"/>
      <c r="N684" s="169"/>
    </row>
    <row r="685">
      <c r="G685" s="168"/>
      <c r="L685" s="168"/>
      <c r="N685" s="169"/>
    </row>
    <row r="686">
      <c r="G686" s="168"/>
      <c r="L686" s="168"/>
      <c r="N686" s="169"/>
    </row>
    <row r="687">
      <c r="G687" s="168"/>
      <c r="L687" s="168"/>
      <c r="N687" s="169"/>
    </row>
    <row r="688">
      <c r="G688" s="168"/>
      <c r="L688" s="168"/>
      <c r="N688" s="169"/>
    </row>
    <row r="689">
      <c r="G689" s="168"/>
      <c r="L689" s="168"/>
      <c r="N689" s="169"/>
    </row>
    <row r="690">
      <c r="G690" s="168"/>
      <c r="L690" s="168"/>
      <c r="N690" s="169"/>
    </row>
    <row r="691">
      <c r="G691" s="168"/>
      <c r="L691" s="168"/>
      <c r="N691" s="169"/>
    </row>
    <row r="692">
      <c r="G692" s="168"/>
      <c r="L692" s="168"/>
      <c r="N692" s="169"/>
    </row>
    <row r="693">
      <c r="G693" s="168"/>
      <c r="L693" s="168"/>
      <c r="N693" s="169"/>
    </row>
    <row r="694">
      <c r="G694" s="168"/>
      <c r="L694" s="168"/>
      <c r="N694" s="169"/>
    </row>
    <row r="695">
      <c r="G695" s="168"/>
      <c r="L695" s="168"/>
      <c r="N695" s="169"/>
    </row>
    <row r="696">
      <c r="G696" s="168"/>
      <c r="L696" s="168"/>
      <c r="N696" s="169"/>
    </row>
    <row r="697">
      <c r="G697" s="168"/>
      <c r="L697" s="168"/>
      <c r="N697" s="169"/>
    </row>
    <row r="698">
      <c r="G698" s="168"/>
      <c r="L698" s="168"/>
      <c r="N698" s="169"/>
    </row>
    <row r="699">
      <c r="G699" s="168"/>
      <c r="L699" s="168"/>
      <c r="N699" s="169"/>
    </row>
    <row r="700">
      <c r="G700" s="168"/>
      <c r="L700" s="168"/>
      <c r="N700" s="169"/>
    </row>
    <row r="701">
      <c r="G701" s="168"/>
      <c r="L701" s="168"/>
      <c r="N701" s="169"/>
    </row>
    <row r="702">
      <c r="G702" s="168"/>
      <c r="L702" s="168"/>
      <c r="N702" s="169"/>
    </row>
    <row r="703">
      <c r="G703" s="168"/>
      <c r="L703" s="168"/>
      <c r="N703" s="169"/>
    </row>
    <row r="704">
      <c r="G704" s="168"/>
      <c r="L704" s="168"/>
      <c r="N704" s="169"/>
    </row>
    <row r="705">
      <c r="G705" s="168"/>
      <c r="L705" s="168"/>
      <c r="N705" s="169"/>
    </row>
    <row r="706">
      <c r="G706" s="168"/>
      <c r="L706" s="168"/>
      <c r="N706" s="169"/>
    </row>
    <row r="707">
      <c r="G707" s="168"/>
      <c r="L707" s="168"/>
      <c r="N707" s="169"/>
    </row>
    <row r="708">
      <c r="G708" s="168"/>
      <c r="L708" s="168"/>
      <c r="N708" s="169"/>
    </row>
    <row r="709">
      <c r="G709" s="168"/>
      <c r="L709" s="168"/>
      <c r="N709" s="169"/>
    </row>
    <row r="710">
      <c r="G710" s="168"/>
      <c r="L710" s="168"/>
      <c r="N710" s="169"/>
    </row>
    <row r="711">
      <c r="G711" s="168"/>
      <c r="L711" s="168"/>
      <c r="N711" s="169"/>
    </row>
    <row r="712">
      <c r="G712" s="168"/>
      <c r="L712" s="168"/>
      <c r="N712" s="169"/>
    </row>
    <row r="713">
      <c r="G713" s="168"/>
      <c r="L713" s="168"/>
      <c r="N713" s="169"/>
    </row>
    <row r="714">
      <c r="G714" s="168"/>
      <c r="L714" s="168"/>
      <c r="N714" s="169"/>
    </row>
    <row r="715">
      <c r="G715" s="168"/>
      <c r="L715" s="168"/>
      <c r="N715" s="169"/>
    </row>
    <row r="716">
      <c r="G716" s="168"/>
      <c r="L716" s="168"/>
      <c r="N716" s="169"/>
    </row>
    <row r="717">
      <c r="G717" s="168"/>
      <c r="L717" s="168"/>
      <c r="N717" s="169"/>
    </row>
    <row r="718">
      <c r="G718" s="168"/>
      <c r="L718" s="168"/>
      <c r="N718" s="169"/>
    </row>
    <row r="719">
      <c r="G719" s="168"/>
      <c r="L719" s="168"/>
      <c r="N719" s="169"/>
    </row>
    <row r="720">
      <c r="G720" s="168"/>
      <c r="L720" s="168"/>
      <c r="N720" s="169"/>
    </row>
    <row r="721">
      <c r="G721" s="168"/>
      <c r="L721" s="168"/>
      <c r="N721" s="169"/>
    </row>
    <row r="722">
      <c r="G722" s="168"/>
      <c r="L722" s="168"/>
      <c r="N722" s="169"/>
    </row>
    <row r="723">
      <c r="G723" s="168"/>
      <c r="L723" s="168"/>
      <c r="N723" s="169"/>
    </row>
    <row r="724">
      <c r="G724" s="168"/>
      <c r="L724" s="168"/>
      <c r="N724" s="169"/>
    </row>
    <row r="725">
      <c r="G725" s="168"/>
      <c r="L725" s="168"/>
      <c r="N725" s="169"/>
    </row>
    <row r="726">
      <c r="G726" s="168"/>
      <c r="L726" s="168"/>
      <c r="N726" s="169"/>
    </row>
    <row r="727">
      <c r="G727" s="168"/>
      <c r="L727" s="168"/>
      <c r="N727" s="169"/>
    </row>
    <row r="728">
      <c r="G728" s="168"/>
      <c r="L728" s="168"/>
      <c r="N728" s="169"/>
    </row>
    <row r="729">
      <c r="G729" s="168"/>
      <c r="L729" s="168"/>
      <c r="N729" s="169"/>
    </row>
    <row r="730">
      <c r="G730" s="168"/>
      <c r="L730" s="168"/>
      <c r="N730" s="169"/>
    </row>
    <row r="731">
      <c r="G731" s="168"/>
      <c r="L731" s="168"/>
      <c r="N731" s="169"/>
    </row>
    <row r="732">
      <c r="G732" s="168"/>
      <c r="L732" s="168"/>
      <c r="N732" s="169"/>
    </row>
    <row r="733">
      <c r="G733" s="168"/>
      <c r="L733" s="168"/>
      <c r="N733" s="169"/>
    </row>
    <row r="734">
      <c r="G734" s="168"/>
      <c r="L734" s="168"/>
      <c r="N734" s="169"/>
    </row>
    <row r="735">
      <c r="G735" s="168"/>
      <c r="L735" s="168"/>
      <c r="N735" s="169"/>
    </row>
    <row r="736">
      <c r="G736" s="168"/>
      <c r="L736" s="168"/>
      <c r="N736" s="169"/>
    </row>
    <row r="737">
      <c r="G737" s="168"/>
      <c r="L737" s="168"/>
      <c r="N737" s="169"/>
    </row>
    <row r="738">
      <c r="G738" s="168"/>
      <c r="L738" s="168"/>
      <c r="N738" s="169"/>
    </row>
    <row r="739">
      <c r="G739" s="168"/>
      <c r="L739" s="168"/>
      <c r="N739" s="169"/>
    </row>
    <row r="740">
      <c r="G740" s="168"/>
      <c r="L740" s="168"/>
      <c r="N740" s="169"/>
    </row>
    <row r="741">
      <c r="G741" s="168"/>
      <c r="L741" s="168"/>
      <c r="N741" s="169"/>
    </row>
    <row r="742">
      <c r="G742" s="168"/>
      <c r="L742" s="168"/>
      <c r="N742" s="169"/>
    </row>
    <row r="743">
      <c r="G743" s="168"/>
      <c r="L743" s="168"/>
      <c r="N743" s="169"/>
    </row>
    <row r="744">
      <c r="G744" s="168"/>
      <c r="L744" s="168"/>
      <c r="N744" s="169"/>
    </row>
    <row r="745">
      <c r="G745" s="168"/>
      <c r="L745" s="168"/>
      <c r="N745" s="169"/>
    </row>
    <row r="746">
      <c r="G746" s="168"/>
      <c r="L746" s="168"/>
      <c r="N746" s="169"/>
    </row>
    <row r="747">
      <c r="G747" s="168"/>
      <c r="L747" s="168"/>
      <c r="N747" s="169"/>
    </row>
    <row r="748">
      <c r="G748" s="168"/>
      <c r="L748" s="168"/>
      <c r="N748" s="169"/>
    </row>
    <row r="749">
      <c r="G749" s="168"/>
      <c r="L749" s="168"/>
      <c r="N749" s="169"/>
    </row>
    <row r="750">
      <c r="G750" s="168"/>
      <c r="L750" s="168"/>
      <c r="N750" s="169"/>
    </row>
    <row r="751">
      <c r="G751" s="168"/>
      <c r="L751" s="168"/>
      <c r="N751" s="169"/>
    </row>
    <row r="752">
      <c r="G752" s="168"/>
      <c r="L752" s="168"/>
      <c r="N752" s="169"/>
    </row>
    <row r="753">
      <c r="G753" s="168"/>
      <c r="L753" s="168"/>
      <c r="N753" s="169"/>
    </row>
    <row r="754">
      <c r="G754" s="168"/>
      <c r="L754" s="168"/>
      <c r="N754" s="169"/>
    </row>
    <row r="755">
      <c r="G755" s="168"/>
      <c r="L755" s="168"/>
      <c r="N755" s="169"/>
    </row>
    <row r="756">
      <c r="G756" s="168"/>
      <c r="L756" s="168"/>
      <c r="N756" s="169"/>
    </row>
    <row r="757">
      <c r="G757" s="168"/>
      <c r="L757" s="168"/>
      <c r="N757" s="169"/>
    </row>
    <row r="758">
      <c r="G758" s="168"/>
      <c r="L758" s="168"/>
      <c r="N758" s="169"/>
    </row>
    <row r="759">
      <c r="G759" s="168"/>
      <c r="L759" s="168"/>
      <c r="N759" s="169"/>
    </row>
    <row r="760">
      <c r="G760" s="168"/>
      <c r="L760" s="168"/>
      <c r="N760" s="169"/>
    </row>
    <row r="761">
      <c r="G761" s="168"/>
      <c r="L761" s="168"/>
      <c r="N761" s="169"/>
    </row>
    <row r="762">
      <c r="G762" s="168"/>
      <c r="L762" s="168"/>
      <c r="N762" s="169"/>
    </row>
    <row r="763">
      <c r="G763" s="168"/>
      <c r="L763" s="168"/>
      <c r="N763" s="169"/>
    </row>
    <row r="764">
      <c r="G764" s="168"/>
      <c r="L764" s="168"/>
      <c r="N764" s="169"/>
    </row>
    <row r="765">
      <c r="G765" s="168"/>
      <c r="L765" s="168"/>
      <c r="N765" s="169"/>
    </row>
    <row r="766">
      <c r="G766" s="168"/>
      <c r="L766" s="168"/>
      <c r="N766" s="169"/>
    </row>
    <row r="767">
      <c r="G767" s="168"/>
      <c r="L767" s="168"/>
      <c r="N767" s="169"/>
    </row>
    <row r="768">
      <c r="G768" s="168"/>
      <c r="L768" s="168"/>
      <c r="N768" s="169"/>
    </row>
    <row r="769">
      <c r="G769" s="168"/>
      <c r="L769" s="168"/>
      <c r="N769" s="169"/>
    </row>
    <row r="770">
      <c r="G770" s="168"/>
      <c r="L770" s="168"/>
      <c r="N770" s="169"/>
    </row>
    <row r="771">
      <c r="G771" s="168"/>
      <c r="L771" s="168"/>
      <c r="N771" s="169"/>
    </row>
    <row r="772">
      <c r="G772" s="168"/>
      <c r="L772" s="168"/>
      <c r="N772" s="169"/>
    </row>
    <row r="773">
      <c r="G773" s="168"/>
      <c r="L773" s="168"/>
      <c r="N773" s="169"/>
    </row>
    <row r="774">
      <c r="G774" s="168"/>
      <c r="L774" s="168"/>
      <c r="N774" s="169"/>
    </row>
    <row r="775">
      <c r="G775" s="168"/>
      <c r="L775" s="168"/>
      <c r="N775" s="169"/>
    </row>
    <row r="776">
      <c r="G776" s="168"/>
      <c r="L776" s="168"/>
      <c r="N776" s="169"/>
    </row>
    <row r="777">
      <c r="G777" s="168"/>
      <c r="L777" s="168"/>
      <c r="N777" s="169"/>
    </row>
    <row r="778">
      <c r="G778" s="168"/>
      <c r="L778" s="168"/>
      <c r="N778" s="169"/>
    </row>
    <row r="779">
      <c r="G779" s="168"/>
      <c r="L779" s="168"/>
      <c r="N779" s="169"/>
    </row>
    <row r="780">
      <c r="G780" s="168"/>
      <c r="L780" s="168"/>
      <c r="N780" s="169"/>
    </row>
    <row r="781">
      <c r="G781" s="168"/>
      <c r="L781" s="168"/>
      <c r="N781" s="169"/>
    </row>
    <row r="782">
      <c r="G782" s="168"/>
      <c r="L782" s="168"/>
      <c r="N782" s="169"/>
    </row>
    <row r="783">
      <c r="G783" s="168"/>
      <c r="L783" s="168"/>
      <c r="N783" s="169"/>
    </row>
    <row r="784">
      <c r="G784" s="168"/>
      <c r="L784" s="168"/>
      <c r="N784" s="169"/>
    </row>
    <row r="785">
      <c r="G785" s="168"/>
      <c r="L785" s="168"/>
      <c r="N785" s="169"/>
    </row>
    <row r="786">
      <c r="G786" s="168"/>
      <c r="L786" s="168"/>
      <c r="N786" s="169"/>
    </row>
    <row r="787">
      <c r="G787" s="168"/>
      <c r="L787" s="168"/>
      <c r="N787" s="169"/>
    </row>
    <row r="788">
      <c r="G788" s="168"/>
      <c r="L788" s="168"/>
      <c r="N788" s="169"/>
    </row>
    <row r="789">
      <c r="G789" s="168"/>
      <c r="L789" s="168"/>
      <c r="N789" s="169"/>
    </row>
    <row r="790">
      <c r="G790" s="168"/>
      <c r="L790" s="168"/>
      <c r="N790" s="169"/>
    </row>
    <row r="791">
      <c r="G791" s="168"/>
      <c r="L791" s="168"/>
      <c r="N791" s="169"/>
    </row>
    <row r="792">
      <c r="G792" s="168"/>
      <c r="L792" s="168"/>
      <c r="N792" s="169"/>
    </row>
    <row r="793">
      <c r="G793" s="168"/>
      <c r="L793" s="168"/>
      <c r="N793" s="169"/>
    </row>
    <row r="794">
      <c r="G794" s="168"/>
      <c r="L794" s="168"/>
      <c r="N794" s="169"/>
    </row>
    <row r="795">
      <c r="G795" s="168"/>
      <c r="L795" s="168"/>
      <c r="N795" s="169"/>
    </row>
    <row r="796">
      <c r="G796" s="168"/>
      <c r="L796" s="168"/>
      <c r="N796" s="169"/>
    </row>
    <row r="797">
      <c r="G797" s="168"/>
      <c r="L797" s="168"/>
      <c r="N797" s="169"/>
    </row>
    <row r="798">
      <c r="G798" s="168"/>
      <c r="L798" s="168"/>
      <c r="N798" s="169"/>
    </row>
    <row r="799">
      <c r="G799" s="168"/>
      <c r="L799" s="168"/>
      <c r="N799" s="169"/>
    </row>
    <row r="800">
      <c r="G800" s="168"/>
      <c r="L800" s="168"/>
      <c r="N800" s="169"/>
    </row>
    <row r="801">
      <c r="G801" s="168"/>
      <c r="L801" s="168"/>
      <c r="N801" s="169"/>
    </row>
    <row r="802">
      <c r="G802" s="168"/>
      <c r="L802" s="168"/>
      <c r="N802" s="169"/>
    </row>
    <row r="803">
      <c r="G803" s="168"/>
      <c r="L803" s="168"/>
      <c r="N803" s="169"/>
    </row>
    <row r="804">
      <c r="G804" s="168"/>
      <c r="L804" s="168"/>
      <c r="N804" s="169"/>
    </row>
    <row r="805">
      <c r="G805" s="168"/>
      <c r="L805" s="168"/>
      <c r="N805" s="169"/>
    </row>
    <row r="806">
      <c r="G806" s="168"/>
      <c r="L806" s="168"/>
      <c r="N806" s="169"/>
    </row>
    <row r="807">
      <c r="G807" s="168"/>
      <c r="L807" s="168"/>
      <c r="N807" s="169"/>
    </row>
    <row r="808">
      <c r="G808" s="168"/>
      <c r="L808" s="168"/>
      <c r="N808" s="169"/>
    </row>
    <row r="809">
      <c r="G809" s="168"/>
      <c r="L809" s="168"/>
      <c r="N809" s="169"/>
    </row>
    <row r="810">
      <c r="G810" s="168"/>
      <c r="L810" s="168"/>
      <c r="N810" s="169"/>
    </row>
    <row r="811">
      <c r="G811" s="168"/>
      <c r="L811" s="168"/>
      <c r="N811" s="169"/>
    </row>
    <row r="812">
      <c r="G812" s="168"/>
      <c r="L812" s="168"/>
      <c r="N812" s="169"/>
    </row>
    <row r="813">
      <c r="G813" s="168"/>
      <c r="L813" s="168"/>
      <c r="N813" s="169"/>
    </row>
    <row r="814">
      <c r="G814" s="168"/>
      <c r="L814" s="168"/>
      <c r="N814" s="169"/>
    </row>
    <row r="815">
      <c r="G815" s="168"/>
      <c r="L815" s="168"/>
      <c r="N815" s="169"/>
    </row>
    <row r="816">
      <c r="G816" s="168"/>
      <c r="L816" s="168"/>
      <c r="N816" s="169"/>
    </row>
    <row r="817">
      <c r="G817" s="168"/>
      <c r="L817" s="168"/>
      <c r="N817" s="169"/>
    </row>
    <row r="818">
      <c r="G818" s="168"/>
      <c r="L818" s="168"/>
      <c r="N818" s="169"/>
    </row>
    <row r="819">
      <c r="G819" s="168"/>
      <c r="L819" s="168"/>
      <c r="N819" s="169"/>
    </row>
    <row r="820">
      <c r="G820" s="168"/>
      <c r="L820" s="168"/>
      <c r="N820" s="169"/>
    </row>
    <row r="821">
      <c r="G821" s="168"/>
      <c r="L821" s="168"/>
      <c r="N821" s="169"/>
    </row>
    <row r="822">
      <c r="G822" s="168"/>
      <c r="L822" s="168"/>
      <c r="N822" s="169"/>
    </row>
    <row r="823">
      <c r="G823" s="168"/>
      <c r="L823" s="168"/>
      <c r="N823" s="169"/>
    </row>
    <row r="824">
      <c r="G824" s="168"/>
      <c r="L824" s="168"/>
      <c r="N824" s="169"/>
    </row>
    <row r="825">
      <c r="G825" s="168"/>
      <c r="L825" s="168"/>
      <c r="N825" s="169"/>
    </row>
    <row r="826">
      <c r="G826" s="168"/>
      <c r="L826" s="168"/>
      <c r="N826" s="169"/>
    </row>
    <row r="827">
      <c r="G827" s="168"/>
      <c r="L827" s="168"/>
      <c r="N827" s="169"/>
    </row>
    <row r="828">
      <c r="G828" s="168"/>
      <c r="L828" s="168"/>
      <c r="N828" s="169"/>
    </row>
    <row r="829">
      <c r="G829" s="168"/>
      <c r="L829" s="168"/>
      <c r="N829" s="169"/>
    </row>
    <row r="830">
      <c r="G830" s="168"/>
      <c r="L830" s="168"/>
      <c r="N830" s="169"/>
    </row>
    <row r="831">
      <c r="G831" s="168"/>
      <c r="L831" s="168"/>
      <c r="N831" s="169"/>
    </row>
    <row r="832">
      <c r="G832" s="168"/>
      <c r="L832" s="168"/>
      <c r="N832" s="169"/>
    </row>
    <row r="833">
      <c r="G833" s="168"/>
      <c r="L833" s="168"/>
      <c r="N833" s="169"/>
    </row>
    <row r="834">
      <c r="G834" s="168"/>
      <c r="L834" s="168"/>
      <c r="N834" s="169"/>
    </row>
    <row r="835">
      <c r="G835" s="168"/>
      <c r="L835" s="168"/>
      <c r="N835" s="169"/>
    </row>
    <row r="836">
      <c r="G836" s="168"/>
      <c r="L836" s="168"/>
      <c r="N836" s="169"/>
    </row>
    <row r="837">
      <c r="G837" s="168"/>
      <c r="L837" s="168"/>
      <c r="N837" s="169"/>
    </row>
    <row r="838">
      <c r="G838" s="168"/>
      <c r="L838" s="168"/>
      <c r="N838" s="169"/>
    </row>
    <row r="839">
      <c r="G839" s="168"/>
      <c r="L839" s="168"/>
      <c r="N839" s="169"/>
    </row>
    <row r="840">
      <c r="G840" s="168"/>
      <c r="L840" s="168"/>
      <c r="N840" s="169"/>
    </row>
    <row r="841">
      <c r="G841" s="168"/>
      <c r="L841" s="168"/>
      <c r="N841" s="169"/>
    </row>
    <row r="842">
      <c r="G842" s="168"/>
      <c r="L842" s="168"/>
      <c r="N842" s="169"/>
    </row>
    <row r="843">
      <c r="G843" s="168"/>
      <c r="L843" s="168"/>
      <c r="N843" s="169"/>
    </row>
    <row r="844">
      <c r="G844" s="168"/>
      <c r="L844" s="168"/>
      <c r="N844" s="169"/>
    </row>
    <row r="845">
      <c r="G845" s="168"/>
      <c r="L845" s="168"/>
      <c r="N845" s="169"/>
    </row>
    <row r="846">
      <c r="G846" s="168"/>
      <c r="L846" s="168"/>
      <c r="N846" s="169"/>
    </row>
    <row r="847">
      <c r="G847" s="168"/>
      <c r="L847" s="168"/>
      <c r="N847" s="169"/>
    </row>
    <row r="848">
      <c r="G848" s="168"/>
      <c r="L848" s="168"/>
      <c r="N848" s="169"/>
    </row>
    <row r="849">
      <c r="G849" s="168"/>
      <c r="L849" s="168"/>
      <c r="N849" s="169"/>
    </row>
    <row r="850">
      <c r="G850" s="168"/>
      <c r="L850" s="168"/>
      <c r="N850" s="169"/>
    </row>
    <row r="851">
      <c r="G851" s="168"/>
      <c r="L851" s="168"/>
      <c r="N851" s="169"/>
    </row>
    <row r="852">
      <c r="G852" s="168"/>
      <c r="L852" s="168"/>
      <c r="N852" s="169"/>
    </row>
    <row r="853">
      <c r="G853" s="168"/>
      <c r="L853" s="168"/>
      <c r="N853" s="169"/>
    </row>
    <row r="854">
      <c r="G854" s="168"/>
      <c r="L854" s="168"/>
      <c r="N854" s="169"/>
    </row>
    <row r="855">
      <c r="G855" s="168"/>
      <c r="L855" s="168"/>
      <c r="N855" s="169"/>
    </row>
    <row r="856">
      <c r="G856" s="168"/>
      <c r="L856" s="168"/>
      <c r="N856" s="169"/>
    </row>
    <row r="857">
      <c r="G857" s="168"/>
      <c r="L857" s="168"/>
      <c r="N857" s="169"/>
    </row>
    <row r="858">
      <c r="G858" s="168"/>
      <c r="L858" s="168"/>
      <c r="N858" s="169"/>
    </row>
    <row r="859">
      <c r="G859" s="168"/>
      <c r="L859" s="168"/>
      <c r="N859" s="169"/>
    </row>
    <row r="860">
      <c r="G860" s="168"/>
      <c r="L860" s="168"/>
      <c r="N860" s="169"/>
    </row>
    <row r="861">
      <c r="G861" s="168"/>
      <c r="L861" s="168"/>
      <c r="N861" s="169"/>
    </row>
    <row r="862">
      <c r="G862" s="168"/>
      <c r="L862" s="168"/>
      <c r="N862" s="169"/>
    </row>
    <row r="863">
      <c r="G863" s="168"/>
      <c r="L863" s="168"/>
      <c r="N863" s="169"/>
    </row>
    <row r="864">
      <c r="G864" s="168"/>
      <c r="L864" s="168"/>
      <c r="N864" s="169"/>
    </row>
    <row r="865">
      <c r="G865" s="168"/>
      <c r="L865" s="168"/>
      <c r="N865" s="169"/>
    </row>
    <row r="866">
      <c r="G866" s="168"/>
      <c r="L866" s="168"/>
      <c r="N866" s="169"/>
    </row>
    <row r="867">
      <c r="G867" s="168"/>
      <c r="L867" s="168"/>
      <c r="N867" s="169"/>
    </row>
    <row r="868">
      <c r="G868" s="168"/>
      <c r="L868" s="168"/>
      <c r="N868" s="169"/>
    </row>
    <row r="869">
      <c r="G869" s="168"/>
      <c r="L869" s="168"/>
      <c r="N869" s="169"/>
    </row>
    <row r="870">
      <c r="G870" s="168"/>
      <c r="L870" s="168"/>
      <c r="N870" s="169"/>
    </row>
    <row r="871">
      <c r="G871" s="168"/>
      <c r="L871" s="168"/>
      <c r="N871" s="169"/>
    </row>
    <row r="872">
      <c r="G872" s="168"/>
      <c r="L872" s="168"/>
      <c r="N872" s="169"/>
    </row>
    <row r="873">
      <c r="G873" s="168"/>
      <c r="L873" s="168"/>
      <c r="N873" s="169"/>
    </row>
    <row r="874">
      <c r="G874" s="168"/>
      <c r="L874" s="168"/>
      <c r="N874" s="169"/>
    </row>
    <row r="875">
      <c r="G875" s="168"/>
      <c r="L875" s="168"/>
      <c r="N875" s="169"/>
    </row>
    <row r="876">
      <c r="G876" s="168"/>
      <c r="L876" s="168"/>
      <c r="N876" s="169"/>
    </row>
    <row r="877">
      <c r="G877" s="168"/>
      <c r="L877" s="168"/>
      <c r="N877" s="169"/>
    </row>
    <row r="878">
      <c r="G878" s="168"/>
      <c r="L878" s="168"/>
      <c r="N878" s="169"/>
    </row>
    <row r="879">
      <c r="G879" s="168"/>
      <c r="L879" s="168"/>
      <c r="N879" s="169"/>
    </row>
    <row r="880">
      <c r="G880" s="168"/>
      <c r="L880" s="168"/>
      <c r="N880" s="169"/>
    </row>
    <row r="881">
      <c r="G881" s="168"/>
      <c r="L881" s="168"/>
      <c r="N881" s="169"/>
    </row>
    <row r="882">
      <c r="G882" s="168"/>
      <c r="L882" s="168"/>
      <c r="N882" s="169"/>
    </row>
    <row r="883">
      <c r="G883" s="168"/>
      <c r="L883" s="168"/>
      <c r="N883" s="169"/>
    </row>
    <row r="884">
      <c r="G884" s="168"/>
      <c r="L884" s="168"/>
      <c r="N884" s="169"/>
    </row>
    <row r="885">
      <c r="G885" s="168"/>
      <c r="L885" s="168"/>
      <c r="N885" s="169"/>
    </row>
    <row r="886">
      <c r="G886" s="168"/>
      <c r="L886" s="168"/>
      <c r="N886" s="169"/>
    </row>
    <row r="887">
      <c r="G887" s="168"/>
      <c r="L887" s="168"/>
      <c r="N887" s="169"/>
    </row>
    <row r="888">
      <c r="G888" s="168"/>
      <c r="L888" s="168"/>
      <c r="N888" s="169"/>
    </row>
    <row r="889">
      <c r="G889" s="168"/>
      <c r="L889" s="168"/>
      <c r="N889" s="169"/>
    </row>
    <row r="890">
      <c r="G890" s="168"/>
      <c r="L890" s="168"/>
      <c r="N890" s="169"/>
    </row>
    <row r="891">
      <c r="G891" s="168"/>
      <c r="L891" s="168"/>
      <c r="N891" s="169"/>
    </row>
    <row r="892">
      <c r="G892" s="168"/>
      <c r="L892" s="168"/>
      <c r="N892" s="169"/>
    </row>
    <row r="893">
      <c r="G893" s="168"/>
      <c r="L893" s="168"/>
      <c r="N893" s="169"/>
    </row>
    <row r="894">
      <c r="G894" s="168"/>
      <c r="L894" s="168"/>
      <c r="N894" s="169"/>
    </row>
    <row r="895">
      <c r="G895" s="168"/>
      <c r="L895" s="168"/>
      <c r="N895" s="169"/>
    </row>
    <row r="896">
      <c r="G896" s="168"/>
      <c r="L896" s="168"/>
      <c r="N896" s="169"/>
    </row>
    <row r="897">
      <c r="G897" s="168"/>
      <c r="L897" s="168"/>
      <c r="N897" s="169"/>
    </row>
    <row r="898">
      <c r="G898" s="168"/>
      <c r="L898" s="168"/>
      <c r="N898" s="169"/>
    </row>
    <row r="899">
      <c r="G899" s="168"/>
      <c r="L899" s="168"/>
      <c r="N899" s="169"/>
    </row>
    <row r="900">
      <c r="G900" s="168"/>
      <c r="L900" s="168"/>
      <c r="N900" s="169"/>
    </row>
    <row r="901">
      <c r="G901" s="168"/>
      <c r="L901" s="168"/>
      <c r="N901" s="169"/>
    </row>
    <row r="902">
      <c r="G902" s="168"/>
      <c r="L902" s="168"/>
      <c r="N902" s="169"/>
    </row>
    <row r="903">
      <c r="G903" s="168"/>
      <c r="L903" s="168"/>
      <c r="N903" s="169"/>
    </row>
    <row r="904">
      <c r="G904" s="168"/>
      <c r="L904" s="168"/>
      <c r="N904" s="169"/>
    </row>
    <row r="905">
      <c r="G905" s="168"/>
      <c r="L905" s="168"/>
      <c r="N905" s="169"/>
    </row>
    <row r="906">
      <c r="G906" s="168"/>
      <c r="L906" s="168"/>
      <c r="N906" s="169"/>
    </row>
    <row r="907">
      <c r="G907" s="168"/>
      <c r="L907" s="168"/>
      <c r="N907" s="169"/>
    </row>
    <row r="908">
      <c r="G908" s="168"/>
      <c r="L908" s="168"/>
      <c r="N908" s="169"/>
    </row>
    <row r="909">
      <c r="G909" s="168"/>
      <c r="L909" s="168"/>
      <c r="N909" s="169"/>
    </row>
    <row r="910">
      <c r="G910" s="168"/>
      <c r="L910" s="168"/>
      <c r="N910" s="169"/>
    </row>
    <row r="911">
      <c r="G911" s="168"/>
      <c r="L911" s="168"/>
      <c r="N911" s="169"/>
    </row>
    <row r="912">
      <c r="G912" s="168"/>
      <c r="L912" s="168"/>
      <c r="N912" s="169"/>
    </row>
    <row r="913">
      <c r="G913" s="168"/>
      <c r="L913" s="168"/>
      <c r="N913" s="169"/>
    </row>
    <row r="914">
      <c r="G914" s="168"/>
      <c r="L914" s="168"/>
      <c r="N914" s="169"/>
    </row>
    <row r="915">
      <c r="G915" s="168"/>
      <c r="L915" s="168"/>
      <c r="N915" s="169"/>
    </row>
    <row r="916">
      <c r="G916" s="168"/>
      <c r="L916" s="168"/>
      <c r="N916" s="169"/>
    </row>
    <row r="917">
      <c r="G917" s="168"/>
      <c r="L917" s="168"/>
      <c r="N917" s="169"/>
    </row>
    <row r="918">
      <c r="G918" s="168"/>
      <c r="L918" s="168"/>
      <c r="N918" s="169"/>
    </row>
    <row r="919">
      <c r="G919" s="168"/>
      <c r="L919" s="168"/>
      <c r="N919" s="169"/>
    </row>
    <row r="920">
      <c r="G920" s="168"/>
      <c r="L920" s="168"/>
      <c r="N920" s="169"/>
    </row>
    <row r="921">
      <c r="G921" s="168"/>
      <c r="L921" s="168"/>
      <c r="N921" s="169"/>
    </row>
    <row r="922">
      <c r="G922" s="168"/>
      <c r="L922" s="168"/>
      <c r="N922" s="169"/>
    </row>
    <row r="923">
      <c r="G923" s="168"/>
      <c r="L923" s="168"/>
      <c r="N923" s="169"/>
    </row>
    <row r="924">
      <c r="G924" s="168"/>
      <c r="L924" s="168"/>
      <c r="N924" s="169"/>
    </row>
    <row r="925">
      <c r="G925" s="168"/>
      <c r="L925" s="168"/>
      <c r="N925" s="169"/>
    </row>
    <row r="926">
      <c r="G926" s="168"/>
      <c r="L926" s="168"/>
      <c r="N926" s="169"/>
    </row>
    <row r="927">
      <c r="G927" s="168"/>
      <c r="L927" s="168"/>
      <c r="N927" s="169"/>
    </row>
    <row r="928">
      <c r="G928" s="168"/>
      <c r="L928" s="168"/>
      <c r="N928" s="169"/>
    </row>
    <row r="929">
      <c r="G929" s="168"/>
      <c r="L929" s="168"/>
      <c r="N929" s="169"/>
    </row>
    <row r="930">
      <c r="G930" s="168"/>
      <c r="L930" s="168"/>
      <c r="N930" s="169"/>
    </row>
    <row r="931">
      <c r="G931" s="168"/>
      <c r="L931" s="168"/>
      <c r="N931" s="169"/>
    </row>
    <row r="932">
      <c r="G932" s="168"/>
      <c r="L932" s="168"/>
      <c r="N932" s="169"/>
    </row>
    <row r="933">
      <c r="G933" s="168"/>
      <c r="L933" s="168"/>
      <c r="N933" s="169"/>
    </row>
    <row r="934">
      <c r="G934" s="168"/>
      <c r="L934" s="168"/>
      <c r="N934" s="169"/>
    </row>
    <row r="935">
      <c r="G935" s="168"/>
      <c r="L935" s="168"/>
      <c r="N935" s="169"/>
    </row>
    <row r="936">
      <c r="G936" s="168"/>
      <c r="L936" s="168"/>
      <c r="N936" s="169"/>
    </row>
    <row r="937">
      <c r="G937" s="168"/>
      <c r="L937" s="168"/>
      <c r="N937" s="169"/>
    </row>
    <row r="938">
      <c r="G938" s="168"/>
      <c r="L938" s="168"/>
      <c r="N938" s="169"/>
    </row>
    <row r="939">
      <c r="G939" s="168"/>
      <c r="L939" s="168"/>
      <c r="N939" s="169"/>
    </row>
    <row r="940">
      <c r="G940" s="168"/>
      <c r="L940" s="168"/>
      <c r="N940" s="169"/>
    </row>
    <row r="941">
      <c r="G941" s="168"/>
      <c r="L941" s="168"/>
      <c r="N941" s="169"/>
    </row>
    <row r="942">
      <c r="G942" s="168"/>
      <c r="L942" s="168"/>
      <c r="N942" s="169"/>
    </row>
    <row r="943">
      <c r="G943" s="168"/>
      <c r="L943" s="168"/>
      <c r="N943" s="169"/>
    </row>
    <row r="944">
      <c r="G944" s="168"/>
      <c r="L944" s="168"/>
      <c r="N944" s="169"/>
    </row>
    <row r="945">
      <c r="G945" s="168"/>
      <c r="L945" s="168"/>
      <c r="N945" s="169"/>
    </row>
    <row r="946">
      <c r="G946" s="168"/>
      <c r="L946" s="168"/>
      <c r="N946" s="169"/>
    </row>
    <row r="947">
      <c r="G947" s="168"/>
      <c r="L947" s="168"/>
      <c r="N947" s="169"/>
    </row>
    <row r="948">
      <c r="G948" s="168"/>
      <c r="L948" s="168"/>
      <c r="N948" s="169"/>
    </row>
    <row r="949">
      <c r="G949" s="168"/>
      <c r="L949" s="168"/>
      <c r="N949" s="169"/>
    </row>
    <row r="950">
      <c r="G950" s="168"/>
      <c r="L950" s="168"/>
      <c r="N950" s="169"/>
    </row>
    <row r="951">
      <c r="G951" s="168"/>
      <c r="L951" s="168"/>
      <c r="N951" s="169"/>
    </row>
    <row r="952">
      <c r="G952" s="168"/>
      <c r="L952" s="168"/>
      <c r="N952" s="169"/>
    </row>
    <row r="953">
      <c r="G953" s="168"/>
      <c r="L953" s="168"/>
      <c r="N953" s="169"/>
    </row>
    <row r="954">
      <c r="G954" s="168"/>
      <c r="L954" s="168"/>
      <c r="N954" s="169"/>
    </row>
    <row r="955">
      <c r="G955" s="168"/>
      <c r="L955" s="168"/>
      <c r="N955" s="169"/>
    </row>
    <row r="956">
      <c r="G956" s="168"/>
      <c r="L956" s="168"/>
      <c r="N956" s="169"/>
    </row>
    <row r="957">
      <c r="G957" s="168"/>
      <c r="L957" s="168"/>
      <c r="N957" s="169"/>
    </row>
    <row r="958">
      <c r="G958" s="168"/>
      <c r="L958" s="168"/>
      <c r="N958" s="169"/>
    </row>
    <row r="959">
      <c r="G959" s="168"/>
      <c r="L959" s="168"/>
      <c r="N959" s="169"/>
    </row>
    <row r="960">
      <c r="G960" s="168"/>
      <c r="L960" s="168"/>
      <c r="N960" s="169"/>
    </row>
    <row r="961">
      <c r="G961" s="168"/>
      <c r="L961" s="168"/>
      <c r="N961" s="169"/>
    </row>
    <row r="962">
      <c r="G962" s="168"/>
      <c r="L962" s="168"/>
      <c r="N962" s="169"/>
    </row>
    <row r="963">
      <c r="G963" s="168"/>
      <c r="L963" s="168"/>
      <c r="N963" s="169"/>
    </row>
    <row r="964">
      <c r="G964" s="168"/>
      <c r="L964" s="168"/>
      <c r="N964" s="169"/>
    </row>
    <row r="965">
      <c r="G965" s="168"/>
      <c r="L965" s="168"/>
      <c r="N965" s="169"/>
    </row>
    <row r="966">
      <c r="G966" s="168"/>
      <c r="L966" s="168"/>
      <c r="N966" s="169"/>
    </row>
    <row r="967">
      <c r="G967" s="168"/>
      <c r="L967" s="168"/>
      <c r="N967" s="169"/>
    </row>
    <row r="968">
      <c r="G968" s="168"/>
      <c r="L968" s="168"/>
      <c r="N968" s="169"/>
    </row>
    <row r="969">
      <c r="G969" s="168"/>
      <c r="L969" s="168"/>
      <c r="N969" s="169"/>
    </row>
    <row r="970">
      <c r="G970" s="168"/>
      <c r="L970" s="168"/>
      <c r="N970" s="169"/>
    </row>
    <row r="971">
      <c r="G971" s="168"/>
      <c r="L971" s="168"/>
      <c r="N971" s="169"/>
    </row>
    <row r="972">
      <c r="G972" s="168"/>
      <c r="L972" s="168"/>
      <c r="N972" s="169"/>
    </row>
    <row r="973">
      <c r="G973" s="168"/>
      <c r="L973" s="168"/>
      <c r="N973" s="169"/>
    </row>
    <row r="974">
      <c r="G974" s="168"/>
      <c r="L974" s="168"/>
      <c r="N974" s="169"/>
    </row>
    <row r="975">
      <c r="G975" s="168"/>
      <c r="L975" s="168"/>
      <c r="N975" s="169"/>
    </row>
    <row r="976">
      <c r="G976" s="168"/>
      <c r="L976" s="168"/>
      <c r="N976" s="169"/>
    </row>
    <row r="977">
      <c r="G977" s="168"/>
      <c r="L977" s="168"/>
      <c r="N977" s="169"/>
    </row>
    <row r="978">
      <c r="G978" s="168"/>
      <c r="L978" s="168"/>
      <c r="N978" s="169"/>
    </row>
    <row r="979">
      <c r="G979" s="168"/>
      <c r="L979" s="168"/>
      <c r="N979" s="169"/>
    </row>
    <row r="980">
      <c r="G980" s="168"/>
      <c r="L980" s="168"/>
      <c r="N980" s="169"/>
    </row>
    <row r="981">
      <c r="G981" s="168"/>
      <c r="L981" s="168"/>
      <c r="N981" s="169"/>
    </row>
    <row r="982">
      <c r="G982" s="168"/>
      <c r="L982" s="168"/>
      <c r="N982" s="169"/>
    </row>
    <row r="983">
      <c r="G983" s="168"/>
      <c r="L983" s="168"/>
      <c r="N983" s="169"/>
    </row>
    <row r="984">
      <c r="G984" s="168"/>
      <c r="L984" s="168"/>
      <c r="N984" s="169"/>
    </row>
    <row r="985">
      <c r="G985" s="168"/>
      <c r="L985" s="168"/>
      <c r="N985" s="169"/>
    </row>
    <row r="986">
      <c r="G986" s="168"/>
      <c r="L986" s="168"/>
      <c r="N986" s="169"/>
    </row>
    <row r="987">
      <c r="G987" s="168"/>
      <c r="L987" s="168"/>
      <c r="N987" s="169"/>
    </row>
    <row r="988">
      <c r="G988" s="168"/>
      <c r="L988" s="168"/>
      <c r="N988" s="169"/>
    </row>
    <row r="989">
      <c r="G989" s="168"/>
      <c r="L989" s="168"/>
      <c r="N989" s="169"/>
    </row>
    <row r="990">
      <c r="G990" s="168"/>
      <c r="L990" s="168"/>
      <c r="N990" s="169"/>
    </row>
    <row r="991">
      <c r="G991" s="168"/>
      <c r="L991" s="168"/>
      <c r="N991" s="169"/>
    </row>
    <row r="992">
      <c r="G992" s="168"/>
      <c r="L992" s="168"/>
      <c r="N992" s="169"/>
    </row>
    <row r="993">
      <c r="G993" s="168"/>
      <c r="L993" s="168"/>
      <c r="N993" s="169"/>
    </row>
    <row r="994">
      <c r="G994" s="168"/>
      <c r="L994" s="168"/>
      <c r="N994" s="169"/>
    </row>
    <row r="995">
      <c r="G995" s="168"/>
      <c r="L995" s="168"/>
      <c r="N995" s="169"/>
    </row>
    <row r="996">
      <c r="G996" s="168"/>
      <c r="L996" s="168"/>
      <c r="N996" s="169"/>
    </row>
    <row r="997">
      <c r="G997" s="168"/>
      <c r="L997" s="168"/>
      <c r="N997" s="169"/>
    </row>
    <row r="998">
      <c r="G998" s="168"/>
      <c r="L998" s="168"/>
      <c r="N998" s="169"/>
    </row>
    <row r="999">
      <c r="G999" s="168"/>
      <c r="L999" s="168"/>
      <c r="N999" s="169"/>
    </row>
    <row r="1000">
      <c r="G1000" s="168"/>
      <c r="L1000" s="168"/>
      <c r="N1000" s="169"/>
    </row>
    <row r="1001">
      <c r="G1001" s="168"/>
      <c r="L1001" s="168"/>
      <c r="N1001" s="169"/>
    </row>
    <row r="1002">
      <c r="G1002" s="168"/>
      <c r="L1002" s="168"/>
      <c r="N1002" s="169"/>
    </row>
    <row r="1003">
      <c r="G1003" s="168"/>
      <c r="L1003" s="168"/>
      <c r="N1003" s="169"/>
    </row>
    <row r="1004">
      <c r="G1004" s="168"/>
      <c r="L1004" s="168"/>
      <c r="N1004" s="169"/>
    </row>
    <row r="1005">
      <c r="G1005" s="168"/>
      <c r="L1005" s="168"/>
      <c r="N1005" s="169"/>
    </row>
    <row r="1006">
      <c r="G1006" s="168"/>
      <c r="L1006" s="168"/>
      <c r="N1006" s="169"/>
    </row>
    <row r="1007">
      <c r="G1007" s="168"/>
      <c r="L1007" s="168"/>
      <c r="N1007" s="169"/>
    </row>
    <row r="1008">
      <c r="G1008" s="168"/>
      <c r="L1008" s="168"/>
      <c r="N1008" s="169"/>
    </row>
    <row r="1009">
      <c r="G1009" s="168"/>
      <c r="L1009" s="168"/>
      <c r="N1009" s="169"/>
    </row>
    <row r="1010">
      <c r="G1010" s="168"/>
      <c r="L1010" s="168"/>
      <c r="N1010" s="169"/>
    </row>
    <row r="1011">
      <c r="G1011" s="168"/>
      <c r="L1011" s="168"/>
      <c r="N1011" s="169"/>
    </row>
    <row r="1012">
      <c r="G1012" s="168"/>
      <c r="L1012" s="168"/>
      <c r="N1012" s="169"/>
    </row>
    <row r="1013">
      <c r="G1013" s="168"/>
      <c r="L1013" s="168"/>
      <c r="N1013" s="169"/>
    </row>
    <row r="1014">
      <c r="G1014" s="168"/>
      <c r="L1014" s="168"/>
      <c r="N1014" s="169"/>
    </row>
    <row r="1015">
      <c r="G1015" s="168"/>
      <c r="L1015" s="168"/>
      <c r="N1015" s="169"/>
    </row>
    <row r="1016">
      <c r="G1016" s="168"/>
      <c r="L1016" s="168"/>
      <c r="N1016" s="169"/>
    </row>
    <row r="1017">
      <c r="G1017" s="168"/>
      <c r="L1017" s="168"/>
      <c r="N1017" s="169"/>
    </row>
    <row r="1018">
      <c r="G1018" s="168"/>
      <c r="L1018" s="168"/>
      <c r="N1018" s="169"/>
    </row>
    <row r="1019">
      <c r="G1019" s="168"/>
      <c r="L1019" s="168"/>
      <c r="N1019" s="169"/>
    </row>
    <row r="1020">
      <c r="G1020" s="168"/>
      <c r="L1020" s="168"/>
      <c r="N1020" s="169"/>
    </row>
    <row r="1021">
      <c r="G1021" s="168"/>
      <c r="L1021" s="168"/>
      <c r="N1021" s="169"/>
    </row>
    <row r="1022">
      <c r="G1022" s="168"/>
      <c r="L1022" s="168"/>
      <c r="N1022" s="169"/>
    </row>
    <row r="1023">
      <c r="G1023" s="168"/>
      <c r="L1023" s="168"/>
      <c r="N1023" s="169"/>
    </row>
    <row r="1024">
      <c r="G1024" s="168"/>
      <c r="L1024" s="168"/>
      <c r="N1024" s="169"/>
    </row>
    <row r="1025">
      <c r="G1025" s="168"/>
      <c r="L1025" s="168"/>
      <c r="N1025" s="169"/>
    </row>
    <row r="1026">
      <c r="G1026" s="168"/>
      <c r="L1026" s="168"/>
      <c r="N1026" s="169"/>
    </row>
    <row r="1027">
      <c r="G1027" s="168"/>
      <c r="L1027" s="168"/>
      <c r="N1027" s="169"/>
    </row>
    <row r="1028">
      <c r="G1028" s="168"/>
      <c r="L1028" s="168"/>
      <c r="N1028" s="169"/>
    </row>
    <row r="1029">
      <c r="G1029" s="168"/>
      <c r="L1029" s="168"/>
      <c r="N1029" s="169"/>
    </row>
    <row r="1030">
      <c r="G1030" s="168"/>
      <c r="L1030" s="168"/>
      <c r="N1030" s="169"/>
    </row>
    <row r="1031">
      <c r="G1031" s="168"/>
      <c r="L1031" s="168"/>
      <c r="N1031" s="169"/>
    </row>
    <row r="1032">
      <c r="G1032" s="168"/>
      <c r="L1032" s="168"/>
      <c r="N1032" s="169"/>
    </row>
    <row r="1033">
      <c r="G1033" s="168"/>
      <c r="L1033" s="168"/>
      <c r="N1033" s="169"/>
    </row>
    <row r="1034">
      <c r="G1034" s="168"/>
      <c r="L1034" s="168"/>
      <c r="N1034" s="169"/>
    </row>
    <row r="1035">
      <c r="G1035" s="168"/>
      <c r="L1035" s="168"/>
      <c r="N1035" s="169"/>
    </row>
    <row r="1036">
      <c r="G1036" s="168"/>
      <c r="L1036" s="168"/>
      <c r="N1036" s="169"/>
    </row>
    <row r="1037">
      <c r="G1037" s="168"/>
      <c r="L1037" s="168"/>
      <c r="N1037" s="169"/>
    </row>
    <row r="1038">
      <c r="G1038" s="168"/>
      <c r="L1038" s="168"/>
      <c r="N1038" s="169"/>
    </row>
    <row r="1039">
      <c r="G1039" s="168"/>
      <c r="L1039" s="168"/>
      <c r="N1039" s="169"/>
    </row>
    <row r="1040">
      <c r="G1040" s="168"/>
      <c r="L1040" s="168"/>
      <c r="N1040" s="169"/>
    </row>
    <row r="1041">
      <c r="G1041" s="168"/>
      <c r="L1041" s="168"/>
      <c r="N1041" s="169"/>
    </row>
    <row r="1042">
      <c r="G1042" s="168"/>
      <c r="L1042" s="168"/>
      <c r="N1042" s="169"/>
    </row>
    <row r="1043">
      <c r="G1043" s="168"/>
      <c r="L1043" s="168"/>
      <c r="N1043" s="169"/>
    </row>
    <row r="1044">
      <c r="G1044" s="168"/>
      <c r="L1044" s="168"/>
      <c r="N1044" s="169"/>
    </row>
    <row r="1045">
      <c r="G1045" s="168"/>
      <c r="L1045" s="168"/>
      <c r="N1045" s="169"/>
    </row>
    <row r="1046">
      <c r="G1046" s="168"/>
      <c r="L1046" s="168"/>
      <c r="N1046" s="169"/>
    </row>
    <row r="1047">
      <c r="G1047" s="168"/>
      <c r="L1047" s="168"/>
      <c r="N1047" s="169"/>
    </row>
    <row r="1048">
      <c r="G1048" s="168"/>
      <c r="L1048" s="168"/>
      <c r="N1048" s="169"/>
    </row>
    <row r="1049">
      <c r="G1049" s="168"/>
      <c r="L1049" s="168"/>
      <c r="N1049" s="169"/>
    </row>
    <row r="1050">
      <c r="G1050" s="168"/>
      <c r="L1050" s="168"/>
      <c r="N1050" s="169"/>
    </row>
    <row r="1051">
      <c r="G1051" s="168"/>
      <c r="L1051" s="168"/>
      <c r="N1051" s="169"/>
    </row>
    <row r="1052">
      <c r="G1052" s="168"/>
      <c r="L1052" s="168"/>
      <c r="N1052" s="169"/>
    </row>
    <row r="1053">
      <c r="G1053" s="168"/>
      <c r="L1053" s="168"/>
      <c r="N1053" s="169"/>
    </row>
    <row r="1054">
      <c r="G1054" s="168"/>
      <c r="L1054" s="168"/>
      <c r="N1054" s="169"/>
    </row>
    <row r="1055">
      <c r="G1055" s="168"/>
      <c r="L1055" s="168"/>
      <c r="N1055" s="169"/>
    </row>
    <row r="1056">
      <c r="G1056" s="168"/>
      <c r="L1056" s="168"/>
      <c r="N1056" s="169"/>
    </row>
    <row r="1057">
      <c r="G1057" s="168"/>
      <c r="L1057" s="168"/>
      <c r="N1057" s="169"/>
    </row>
    <row r="1058">
      <c r="G1058" s="168"/>
      <c r="L1058" s="168"/>
      <c r="N1058" s="169"/>
    </row>
    <row r="1059">
      <c r="G1059" s="168"/>
      <c r="L1059" s="168"/>
      <c r="N1059" s="169"/>
    </row>
    <row r="1060">
      <c r="G1060" s="168"/>
      <c r="L1060" s="168"/>
      <c r="N1060" s="169"/>
    </row>
    <row r="1061">
      <c r="G1061" s="168"/>
      <c r="L1061" s="168"/>
      <c r="N1061" s="169"/>
    </row>
    <row r="1062">
      <c r="G1062" s="168"/>
      <c r="L1062" s="168"/>
      <c r="N1062" s="169"/>
    </row>
    <row r="1063">
      <c r="G1063" s="168"/>
      <c r="L1063" s="168"/>
      <c r="N1063" s="169"/>
    </row>
    <row r="1064">
      <c r="G1064" s="168"/>
      <c r="L1064" s="168"/>
      <c r="N1064" s="169"/>
    </row>
    <row r="1065">
      <c r="G1065" s="168"/>
      <c r="L1065" s="168"/>
      <c r="N1065" s="169"/>
    </row>
    <row r="1066">
      <c r="G1066" s="168"/>
      <c r="L1066" s="168"/>
      <c r="N1066" s="169"/>
    </row>
    <row r="1067">
      <c r="G1067" s="168"/>
      <c r="L1067" s="168"/>
      <c r="N1067" s="169"/>
    </row>
    <row r="1068">
      <c r="G1068" s="168"/>
      <c r="L1068" s="168"/>
      <c r="N1068" s="169"/>
    </row>
    <row r="1069">
      <c r="G1069" s="168"/>
      <c r="L1069" s="168"/>
      <c r="N1069" s="169"/>
    </row>
    <row r="1070">
      <c r="G1070" s="168"/>
      <c r="L1070" s="168"/>
      <c r="N1070" s="169"/>
    </row>
    <row r="1071">
      <c r="G1071" s="168"/>
      <c r="L1071" s="168"/>
      <c r="N1071" s="169"/>
    </row>
    <row r="1072">
      <c r="G1072" s="168"/>
      <c r="L1072" s="168"/>
      <c r="N1072" s="169"/>
    </row>
    <row r="1073">
      <c r="G1073" s="168"/>
      <c r="L1073" s="168"/>
      <c r="N1073" s="169"/>
    </row>
    <row r="1074">
      <c r="G1074" s="168"/>
      <c r="L1074" s="168"/>
      <c r="N1074" s="169"/>
    </row>
    <row r="1075">
      <c r="G1075" s="168"/>
      <c r="L1075" s="168"/>
      <c r="N1075" s="169"/>
    </row>
    <row r="1076">
      <c r="G1076" s="168"/>
      <c r="L1076" s="168"/>
      <c r="N1076" s="169"/>
    </row>
    <row r="1077">
      <c r="G1077" s="168"/>
      <c r="L1077" s="168"/>
      <c r="N1077" s="169"/>
    </row>
    <row r="1078">
      <c r="G1078" s="168"/>
      <c r="L1078" s="168"/>
      <c r="N1078" s="169"/>
    </row>
    <row r="1079">
      <c r="G1079" s="168"/>
      <c r="L1079" s="168"/>
      <c r="N1079" s="169"/>
    </row>
    <row r="1080">
      <c r="G1080" s="168"/>
      <c r="L1080" s="168"/>
      <c r="N1080" s="169"/>
    </row>
    <row r="1081">
      <c r="G1081" s="168"/>
      <c r="L1081" s="168"/>
      <c r="N1081" s="169"/>
    </row>
    <row r="1082">
      <c r="G1082" s="168"/>
      <c r="L1082" s="168"/>
      <c r="N1082" s="169"/>
    </row>
    <row r="1083">
      <c r="G1083" s="168"/>
      <c r="L1083" s="168"/>
      <c r="N1083" s="169"/>
    </row>
    <row r="1084">
      <c r="G1084" s="168"/>
      <c r="L1084" s="168"/>
      <c r="N1084" s="169"/>
    </row>
    <row r="1085">
      <c r="G1085" s="168"/>
      <c r="L1085" s="168"/>
      <c r="N1085" s="169"/>
    </row>
    <row r="1086">
      <c r="G1086" s="168"/>
      <c r="L1086" s="168"/>
      <c r="N1086" s="169"/>
    </row>
    <row r="1087">
      <c r="G1087" s="168"/>
      <c r="L1087" s="168"/>
      <c r="N1087" s="169"/>
    </row>
    <row r="1088">
      <c r="G1088" s="168"/>
      <c r="L1088" s="168"/>
      <c r="N1088" s="169"/>
    </row>
    <row r="1089">
      <c r="G1089" s="168"/>
      <c r="L1089" s="168"/>
      <c r="N1089" s="169"/>
    </row>
    <row r="1090">
      <c r="G1090" s="168"/>
      <c r="L1090" s="168"/>
      <c r="N1090" s="169"/>
    </row>
    <row r="1091">
      <c r="G1091" s="168"/>
      <c r="L1091" s="168"/>
      <c r="N1091" s="169"/>
    </row>
    <row r="1092">
      <c r="G1092" s="168"/>
      <c r="L1092" s="168"/>
      <c r="N1092" s="169"/>
    </row>
    <row r="1093">
      <c r="G1093" s="168"/>
      <c r="L1093" s="168"/>
      <c r="N1093" s="169"/>
    </row>
    <row r="1094">
      <c r="G1094" s="168"/>
      <c r="L1094" s="168"/>
      <c r="N1094" s="169"/>
    </row>
    <row r="1095">
      <c r="G1095" s="168"/>
      <c r="L1095" s="168"/>
      <c r="N1095" s="169"/>
    </row>
    <row r="1096">
      <c r="G1096" s="168"/>
      <c r="L1096" s="168"/>
      <c r="N1096" s="169"/>
    </row>
    <row r="1097">
      <c r="G1097" s="168"/>
      <c r="L1097" s="168"/>
      <c r="N1097" s="169"/>
    </row>
    <row r="1098">
      <c r="G1098" s="168"/>
      <c r="L1098" s="168"/>
      <c r="N1098" s="169"/>
    </row>
    <row r="1099">
      <c r="G1099" s="168"/>
      <c r="L1099" s="168"/>
      <c r="N1099" s="169"/>
    </row>
    <row r="1100">
      <c r="G1100" s="168"/>
      <c r="L1100" s="168"/>
      <c r="N1100" s="169"/>
    </row>
    <row r="1101">
      <c r="G1101" s="168"/>
      <c r="L1101" s="168"/>
      <c r="N1101" s="169"/>
    </row>
    <row r="1102">
      <c r="G1102" s="168"/>
      <c r="L1102" s="168"/>
      <c r="N1102" s="169"/>
    </row>
    <row r="1103">
      <c r="G1103" s="168"/>
      <c r="L1103" s="168"/>
      <c r="N1103" s="169"/>
    </row>
    <row r="1104">
      <c r="G1104" s="168"/>
      <c r="L1104" s="168"/>
      <c r="N1104" s="169"/>
    </row>
    <row r="1105">
      <c r="G1105" s="168"/>
      <c r="L1105" s="168"/>
      <c r="N1105" s="169"/>
    </row>
    <row r="1106">
      <c r="G1106" s="168"/>
      <c r="L1106" s="168"/>
      <c r="N1106" s="169"/>
    </row>
    <row r="1107">
      <c r="G1107" s="168"/>
      <c r="L1107" s="168"/>
      <c r="N1107" s="169"/>
    </row>
    <row r="1108">
      <c r="G1108" s="168"/>
      <c r="L1108" s="168"/>
      <c r="N1108" s="169"/>
    </row>
    <row r="1109">
      <c r="G1109" s="168"/>
      <c r="L1109" s="168"/>
      <c r="N1109" s="169"/>
    </row>
    <row r="1110">
      <c r="G1110" s="168"/>
      <c r="L1110" s="168"/>
      <c r="N1110" s="169"/>
    </row>
    <row r="1111">
      <c r="G1111" s="168"/>
      <c r="L1111" s="168"/>
      <c r="N1111" s="169"/>
    </row>
    <row r="1112">
      <c r="G1112" s="168"/>
      <c r="L1112" s="168"/>
      <c r="N1112" s="169"/>
    </row>
    <row r="1113">
      <c r="G1113" s="168"/>
      <c r="L1113" s="168"/>
      <c r="N1113" s="169"/>
    </row>
    <row r="1114">
      <c r="G1114" s="168"/>
      <c r="L1114" s="168"/>
      <c r="N1114" s="169"/>
    </row>
    <row r="1115">
      <c r="G1115" s="168"/>
      <c r="L1115" s="168"/>
      <c r="N1115" s="169"/>
    </row>
    <row r="1116">
      <c r="G1116" s="168"/>
      <c r="L1116" s="168"/>
      <c r="N1116" s="169"/>
    </row>
    <row r="1117">
      <c r="G1117" s="168"/>
      <c r="L1117" s="168"/>
      <c r="N1117" s="169"/>
    </row>
    <row r="1118">
      <c r="G1118" s="168"/>
      <c r="L1118" s="168"/>
      <c r="N1118" s="169"/>
    </row>
    <row r="1119">
      <c r="G1119" s="168"/>
      <c r="L1119" s="168"/>
      <c r="N1119" s="169"/>
    </row>
  </sheetData>
  <mergeCells count="2">
    <mergeCell ref="A1:N1"/>
    <mergeCell ref="A280:L28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77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  <c r="P2" s="80">
        <f>185231+340</f>
        <v>185571</v>
      </c>
    </row>
    <row r="3">
      <c r="A3" s="70">
        <v>45993.0</v>
      </c>
      <c r="B3" s="36" t="s">
        <v>11</v>
      </c>
      <c r="C3" s="52">
        <v>195659.0</v>
      </c>
      <c r="D3" s="52">
        <v>195928.0</v>
      </c>
      <c r="E3" s="12">
        <f t="shared" ref="E3:E10" si="1">D3-C3</f>
        <v>269</v>
      </c>
      <c r="F3" s="39">
        <v>40.0</v>
      </c>
      <c r="G3" s="14">
        <f t="shared" ref="G3:G10" si="2">(F3/E3)*100</f>
        <v>14.86988848</v>
      </c>
      <c r="H3" s="40"/>
      <c r="I3" s="40">
        <v>24680.0</v>
      </c>
      <c r="J3" s="41"/>
      <c r="K3" s="81">
        <f t="shared" ref="K3:K10" si="3">F3</f>
        <v>40</v>
      </c>
      <c r="L3" s="71" t="str">
        <f t="shared" ref="L3:L10" si="4">(K3/J3)*100</f>
        <v>#DIV/0!</v>
      </c>
      <c r="M3" s="72">
        <v>18800.0</v>
      </c>
      <c r="N3" s="131">
        <f t="shared" ref="N3:N10" si="5">F3*M3</f>
        <v>752000</v>
      </c>
    </row>
    <row r="4">
      <c r="A4" s="35">
        <v>46000.0</v>
      </c>
      <c r="B4" s="46" t="s">
        <v>11</v>
      </c>
      <c r="C4" s="52">
        <v>195928.0</v>
      </c>
      <c r="D4" s="52">
        <v>196294.0</v>
      </c>
      <c r="E4" s="12">
        <f t="shared" si="1"/>
        <v>366</v>
      </c>
      <c r="F4" s="47">
        <v>45.0</v>
      </c>
      <c r="G4" s="14">
        <f t="shared" si="2"/>
        <v>12.29508197</v>
      </c>
      <c r="H4" s="40">
        <v>24680.0</v>
      </c>
      <c r="I4" s="40">
        <v>25068.0</v>
      </c>
      <c r="J4" s="37">
        <f t="shared" ref="J4:J10" si="6">I4-H4</f>
        <v>388</v>
      </c>
      <c r="K4" s="52">
        <f t="shared" si="3"/>
        <v>45</v>
      </c>
      <c r="L4" s="48">
        <f t="shared" si="4"/>
        <v>11.59793814</v>
      </c>
      <c r="M4" s="50">
        <v>18380.0</v>
      </c>
      <c r="N4" s="49">
        <f t="shared" si="5"/>
        <v>827100</v>
      </c>
      <c r="O4" s="197">
        <v>1.0</v>
      </c>
      <c r="P4" s="250" t="s">
        <v>12</v>
      </c>
      <c r="Q4" s="251">
        <f>N19</f>
        <v>4939740</v>
      </c>
      <c r="R4" s="251">
        <f t="shared" ref="R4:R15" si="7">Q4</f>
        <v>4939740</v>
      </c>
    </row>
    <row r="5">
      <c r="A5" s="35">
        <v>46004.0</v>
      </c>
      <c r="B5" s="46" t="s">
        <v>11</v>
      </c>
      <c r="C5" s="52">
        <v>196294.0</v>
      </c>
      <c r="D5" s="52">
        <v>196604.0</v>
      </c>
      <c r="E5" s="12">
        <f t="shared" si="1"/>
        <v>310</v>
      </c>
      <c r="F5" s="54">
        <v>40.0</v>
      </c>
      <c r="G5" s="14">
        <f t="shared" si="2"/>
        <v>12.90322581</v>
      </c>
      <c r="H5" s="40">
        <v>25068.0</v>
      </c>
      <c r="I5" s="40">
        <v>25415.0</v>
      </c>
      <c r="J5" s="37">
        <f t="shared" si="6"/>
        <v>347</v>
      </c>
      <c r="K5" s="52">
        <f t="shared" si="3"/>
        <v>40</v>
      </c>
      <c r="L5" s="48">
        <f t="shared" si="4"/>
        <v>11.52737752</v>
      </c>
      <c r="M5" s="252">
        <v>18150.0</v>
      </c>
      <c r="N5" s="49">
        <f t="shared" si="5"/>
        <v>726000</v>
      </c>
      <c r="O5" s="197">
        <v>2.0</v>
      </c>
      <c r="P5" s="250" t="s">
        <v>13</v>
      </c>
      <c r="Q5" s="251">
        <f>N29</f>
        <v>7062910</v>
      </c>
      <c r="R5" s="251">
        <f t="shared" si="7"/>
        <v>7062910</v>
      </c>
    </row>
    <row r="6">
      <c r="A6" s="35">
        <v>46008.0</v>
      </c>
      <c r="B6" s="46" t="s">
        <v>11</v>
      </c>
      <c r="C6" s="52">
        <v>196604.0</v>
      </c>
      <c r="D6" s="52">
        <v>196909.0</v>
      </c>
      <c r="E6" s="12">
        <f t="shared" si="1"/>
        <v>305</v>
      </c>
      <c r="F6" s="54">
        <v>40.0</v>
      </c>
      <c r="G6" s="14">
        <f t="shared" si="2"/>
        <v>13.1147541</v>
      </c>
      <c r="H6" s="40">
        <v>25415.0</v>
      </c>
      <c r="I6" s="40">
        <v>25750.0</v>
      </c>
      <c r="J6" s="37">
        <f t="shared" si="6"/>
        <v>335</v>
      </c>
      <c r="K6" s="52">
        <f t="shared" si="3"/>
        <v>40</v>
      </c>
      <c r="L6" s="48">
        <f t="shared" si="4"/>
        <v>11.94029851</v>
      </c>
      <c r="M6" s="252">
        <v>18150.0</v>
      </c>
      <c r="N6" s="49">
        <f t="shared" si="5"/>
        <v>726000</v>
      </c>
      <c r="O6" s="197">
        <v>3.0</v>
      </c>
      <c r="P6" s="250" t="s">
        <v>14</v>
      </c>
      <c r="Q6" s="251">
        <f>N38</f>
        <v>5580100</v>
      </c>
      <c r="R6" s="251">
        <f t="shared" si="7"/>
        <v>5580100</v>
      </c>
    </row>
    <row r="7">
      <c r="A7" s="35">
        <v>46013.0</v>
      </c>
      <c r="B7" s="46" t="s">
        <v>11</v>
      </c>
      <c r="C7" s="52">
        <v>196909.0</v>
      </c>
      <c r="D7" s="52">
        <v>197221.0</v>
      </c>
      <c r="E7" s="12">
        <f t="shared" si="1"/>
        <v>312</v>
      </c>
      <c r="F7" s="54">
        <v>40.0</v>
      </c>
      <c r="G7" s="14">
        <f t="shared" si="2"/>
        <v>12.82051282</v>
      </c>
      <c r="H7" s="40">
        <v>25750.0</v>
      </c>
      <c r="I7" s="40">
        <v>26098.0</v>
      </c>
      <c r="J7" s="37">
        <f t="shared" si="6"/>
        <v>348</v>
      </c>
      <c r="K7" s="52">
        <f t="shared" si="3"/>
        <v>40</v>
      </c>
      <c r="L7" s="48">
        <f t="shared" si="4"/>
        <v>11.49425287</v>
      </c>
      <c r="M7" s="252">
        <v>17470.0</v>
      </c>
      <c r="N7" s="49">
        <f t="shared" si="5"/>
        <v>698800</v>
      </c>
      <c r="O7" s="197">
        <v>4.0</v>
      </c>
      <c r="P7" s="250" t="s">
        <v>15</v>
      </c>
      <c r="Q7" s="251">
        <f>N48</f>
        <v>6439380</v>
      </c>
      <c r="R7" s="251">
        <f t="shared" si="7"/>
        <v>6439380</v>
      </c>
    </row>
    <row r="8">
      <c r="A8" s="35">
        <v>46016.0</v>
      </c>
      <c r="B8" s="46" t="s">
        <v>11</v>
      </c>
      <c r="C8" s="52">
        <v>197221.0</v>
      </c>
      <c r="D8" s="52">
        <v>197497.0</v>
      </c>
      <c r="E8" s="12">
        <f t="shared" si="1"/>
        <v>276</v>
      </c>
      <c r="F8" s="54">
        <v>40.0</v>
      </c>
      <c r="G8" s="14">
        <f t="shared" si="2"/>
        <v>14.49275362</v>
      </c>
      <c r="H8" s="40">
        <v>26098.0</v>
      </c>
      <c r="I8" s="40">
        <v>26399.0</v>
      </c>
      <c r="J8" s="37">
        <f t="shared" si="6"/>
        <v>301</v>
      </c>
      <c r="K8" s="52">
        <f t="shared" si="3"/>
        <v>40</v>
      </c>
      <c r="L8" s="48">
        <f t="shared" si="4"/>
        <v>13.28903654</v>
      </c>
      <c r="M8" s="252">
        <v>17250.0</v>
      </c>
      <c r="N8" s="49">
        <f t="shared" si="5"/>
        <v>690000</v>
      </c>
      <c r="O8" s="197">
        <v>5.0</v>
      </c>
      <c r="P8" s="250" t="s">
        <v>16</v>
      </c>
      <c r="Q8" s="251">
        <f>N60</f>
        <v>5457860</v>
      </c>
      <c r="R8" s="251">
        <f t="shared" si="7"/>
        <v>5457860</v>
      </c>
    </row>
    <row r="9">
      <c r="A9" s="35">
        <v>46021.0</v>
      </c>
      <c r="B9" s="46" t="s">
        <v>11</v>
      </c>
      <c r="C9" s="52">
        <v>197497.0</v>
      </c>
      <c r="D9" s="249">
        <v>197795.0</v>
      </c>
      <c r="E9" s="12">
        <f t="shared" si="1"/>
        <v>298</v>
      </c>
      <c r="F9" s="253">
        <v>35.0</v>
      </c>
      <c r="G9" s="14">
        <f t="shared" si="2"/>
        <v>11.74496644</v>
      </c>
      <c r="H9" s="40">
        <v>26399.0</v>
      </c>
      <c r="I9" s="57">
        <v>26734.0</v>
      </c>
      <c r="J9" s="37">
        <f t="shared" si="6"/>
        <v>335</v>
      </c>
      <c r="K9" s="52">
        <f t="shared" si="3"/>
        <v>35</v>
      </c>
      <c r="L9" s="48">
        <f t="shared" si="4"/>
        <v>10.44776119</v>
      </c>
      <c r="M9" s="254">
        <v>17250.0</v>
      </c>
      <c r="N9" s="49">
        <f t="shared" si="5"/>
        <v>603750</v>
      </c>
      <c r="O9" s="197">
        <v>6.0</v>
      </c>
      <c r="P9" s="250" t="s">
        <v>17</v>
      </c>
      <c r="Q9" s="251">
        <f>N11</f>
        <v>5023650</v>
      </c>
      <c r="R9" s="251">
        <f t="shared" si="7"/>
        <v>5023650</v>
      </c>
    </row>
    <row r="10">
      <c r="A10" s="35"/>
      <c r="B10" s="83" t="s">
        <v>11</v>
      </c>
      <c r="C10" s="249"/>
      <c r="D10" s="249"/>
      <c r="E10" s="25">
        <f t="shared" si="1"/>
        <v>0</v>
      </c>
      <c r="F10" s="253"/>
      <c r="G10" s="56" t="str">
        <f t="shared" si="2"/>
        <v>#DIV/0!</v>
      </c>
      <c r="H10" s="55"/>
      <c r="I10" s="85"/>
      <c r="J10" s="37">
        <f t="shared" si="6"/>
        <v>0</v>
      </c>
      <c r="K10" s="52" t="str">
        <f t="shared" si="3"/>
        <v/>
      </c>
      <c r="L10" s="48" t="str">
        <f t="shared" si="4"/>
        <v>#DIV/0!</v>
      </c>
      <c r="M10" s="254"/>
      <c r="N10" s="59">
        <f t="shared" si="5"/>
        <v>0</v>
      </c>
      <c r="O10" s="197">
        <v>7.0</v>
      </c>
      <c r="P10" s="250" t="s">
        <v>18</v>
      </c>
      <c r="Q10" s="251">
        <f>N70</f>
        <v>5757310</v>
      </c>
      <c r="R10" s="251">
        <f t="shared" si="7"/>
        <v>5757310</v>
      </c>
    </row>
    <row r="11">
      <c r="A11" s="62"/>
      <c r="B11" s="63"/>
      <c r="C11" s="62"/>
      <c r="D11" s="64" t="s">
        <v>19</v>
      </c>
      <c r="E11" s="64">
        <f t="shared" ref="E11:F11" si="8">sum(E3:E10)</f>
        <v>2136</v>
      </c>
      <c r="F11" s="64">
        <f t="shared" si="8"/>
        <v>280</v>
      </c>
      <c r="G11" s="65" t="str">
        <f>average(G3:G10)</f>
        <v>#DIV/0!</v>
      </c>
      <c r="H11" s="62"/>
      <c r="I11" s="66"/>
      <c r="J11" s="64">
        <f t="shared" ref="J11:K11" si="9">sum(J3:J10)</f>
        <v>2054</v>
      </c>
      <c r="K11" s="64">
        <f t="shared" si="9"/>
        <v>280</v>
      </c>
      <c r="L11" s="65" t="str">
        <f>average(L3:L10)</f>
        <v>#DIV/0!</v>
      </c>
      <c r="M11" s="68"/>
      <c r="N11" s="69">
        <f>sum(N3:N10)</f>
        <v>5023650</v>
      </c>
      <c r="O11" s="197">
        <v>8.0</v>
      </c>
      <c r="P11" s="250" t="s">
        <v>20</v>
      </c>
      <c r="Q11" s="251">
        <f>N78</f>
        <v>5763100</v>
      </c>
      <c r="R11" s="251">
        <f t="shared" si="7"/>
        <v>5763100</v>
      </c>
    </row>
    <row r="12">
      <c r="A12" s="264">
        <v>45996.0</v>
      </c>
      <c r="B12" s="36" t="s">
        <v>12</v>
      </c>
      <c r="C12" s="55">
        <v>158789.0</v>
      </c>
      <c r="D12" s="55">
        <v>159139.0</v>
      </c>
      <c r="E12" s="38">
        <f t="shared" ref="E12:E18" si="10">D12-C12</f>
        <v>350</v>
      </c>
      <c r="F12" s="39">
        <v>40.0</v>
      </c>
      <c r="G12" s="14">
        <f t="shared" ref="G12:G18" si="11">(F12/E12)*100</f>
        <v>11.42857143</v>
      </c>
      <c r="H12" s="57">
        <v>25311.0</v>
      </c>
      <c r="I12" s="57">
        <v>25696.0</v>
      </c>
      <c r="J12" s="41">
        <f t="shared" ref="J12:J18" si="12">I12-H12</f>
        <v>385</v>
      </c>
      <c r="K12" s="81">
        <f t="shared" ref="K12:K18" si="13">F12</f>
        <v>40</v>
      </c>
      <c r="L12" s="42">
        <f t="shared" ref="L12:L18" si="14">(K12/J12)*100</f>
        <v>10.38961039</v>
      </c>
      <c r="M12" s="43">
        <v>18380.0</v>
      </c>
      <c r="N12" s="44">
        <f t="shared" ref="N12:N18" si="15">F12*M12</f>
        <v>735200</v>
      </c>
      <c r="O12" s="197">
        <v>9.0</v>
      </c>
      <c r="P12" s="250" t="s">
        <v>21</v>
      </c>
      <c r="Q12" s="251">
        <f>N86</f>
        <v>6793530</v>
      </c>
      <c r="R12" s="251">
        <f t="shared" si="7"/>
        <v>6793530</v>
      </c>
    </row>
    <row r="13">
      <c r="A13" s="45">
        <v>46000.0</v>
      </c>
      <c r="B13" s="46" t="s">
        <v>12</v>
      </c>
      <c r="C13" s="55">
        <v>159139.0</v>
      </c>
      <c r="D13" s="37">
        <v>159503.0</v>
      </c>
      <c r="E13" s="12">
        <f t="shared" si="10"/>
        <v>364</v>
      </c>
      <c r="F13" s="47">
        <v>53.0</v>
      </c>
      <c r="G13" s="14">
        <f t="shared" si="11"/>
        <v>14.56043956</v>
      </c>
      <c r="H13" s="57">
        <v>25696.0</v>
      </c>
      <c r="I13" s="40">
        <v>26094.0</v>
      </c>
      <c r="J13" s="37">
        <f t="shared" si="12"/>
        <v>398</v>
      </c>
      <c r="K13" s="52">
        <f t="shared" si="13"/>
        <v>53</v>
      </c>
      <c r="L13" s="48">
        <f t="shared" si="14"/>
        <v>13.31658291</v>
      </c>
      <c r="M13" s="50">
        <v>18380.0</v>
      </c>
      <c r="N13" s="49">
        <f t="shared" si="15"/>
        <v>974140</v>
      </c>
      <c r="O13" s="197">
        <v>10.0</v>
      </c>
      <c r="P13" s="250" t="s">
        <v>22</v>
      </c>
      <c r="Q13" s="251">
        <f>N94</f>
        <v>6370500</v>
      </c>
      <c r="R13" s="251">
        <f t="shared" si="7"/>
        <v>6370500</v>
      </c>
    </row>
    <row r="14">
      <c r="A14" s="45">
        <v>46007.0</v>
      </c>
      <c r="B14" s="46" t="s">
        <v>12</v>
      </c>
      <c r="C14" s="37">
        <v>159503.0</v>
      </c>
      <c r="D14" s="37">
        <v>159898.0</v>
      </c>
      <c r="E14" s="12">
        <f t="shared" si="10"/>
        <v>395</v>
      </c>
      <c r="F14" s="47">
        <v>50.0</v>
      </c>
      <c r="G14" s="14">
        <f t="shared" si="11"/>
        <v>12.65822785</v>
      </c>
      <c r="H14" s="40">
        <v>26094.0</v>
      </c>
      <c r="I14" s="40">
        <v>26547.0</v>
      </c>
      <c r="J14" s="37">
        <f t="shared" si="12"/>
        <v>453</v>
      </c>
      <c r="K14" s="52">
        <f t="shared" si="13"/>
        <v>50</v>
      </c>
      <c r="L14" s="48">
        <f t="shared" si="14"/>
        <v>11.03752759</v>
      </c>
      <c r="M14" s="50">
        <v>18150.0</v>
      </c>
      <c r="N14" s="49">
        <f t="shared" si="15"/>
        <v>907500</v>
      </c>
      <c r="O14" s="197">
        <v>11.0</v>
      </c>
      <c r="P14" s="250" t="s">
        <v>23</v>
      </c>
      <c r="Q14" s="251">
        <f>N101</f>
        <v>6395260</v>
      </c>
      <c r="R14" s="251">
        <f t="shared" si="7"/>
        <v>6395260</v>
      </c>
    </row>
    <row r="15">
      <c r="A15" s="45">
        <v>46009.0</v>
      </c>
      <c r="B15" s="51" t="s">
        <v>12</v>
      </c>
      <c r="C15" s="37">
        <v>159898.0</v>
      </c>
      <c r="D15" s="52">
        <v>160207.0</v>
      </c>
      <c r="E15" s="53">
        <f t="shared" si="10"/>
        <v>309</v>
      </c>
      <c r="F15" s="54">
        <v>40.0</v>
      </c>
      <c r="G15" s="14">
        <f t="shared" si="11"/>
        <v>12.94498382</v>
      </c>
      <c r="H15" s="40">
        <v>26547.0</v>
      </c>
      <c r="I15" s="40">
        <v>26874.0</v>
      </c>
      <c r="J15" s="37">
        <f t="shared" si="12"/>
        <v>327</v>
      </c>
      <c r="K15" s="52">
        <f t="shared" si="13"/>
        <v>40</v>
      </c>
      <c r="L15" s="48">
        <f t="shared" si="14"/>
        <v>12.2324159</v>
      </c>
      <c r="M15" s="50">
        <v>18150.0</v>
      </c>
      <c r="N15" s="49">
        <f t="shared" si="15"/>
        <v>726000</v>
      </c>
      <c r="O15" s="197">
        <v>12.0</v>
      </c>
      <c r="P15" s="250" t="s">
        <v>24</v>
      </c>
      <c r="Q15" s="251">
        <f>N109</f>
        <v>6828420</v>
      </c>
      <c r="R15" s="251">
        <f t="shared" si="7"/>
        <v>6828420</v>
      </c>
    </row>
    <row r="16">
      <c r="A16" s="45">
        <v>46015.0</v>
      </c>
      <c r="B16" s="46" t="s">
        <v>12</v>
      </c>
      <c r="C16" s="52">
        <v>160207.0</v>
      </c>
      <c r="D16" s="37">
        <v>160554.0</v>
      </c>
      <c r="E16" s="12">
        <f t="shared" si="10"/>
        <v>347</v>
      </c>
      <c r="F16" s="47">
        <v>45.0</v>
      </c>
      <c r="G16" s="14">
        <f t="shared" si="11"/>
        <v>12.96829971</v>
      </c>
      <c r="H16" s="40">
        <v>26874.0</v>
      </c>
      <c r="I16" s="40">
        <v>27265.0</v>
      </c>
      <c r="J16" s="37">
        <f t="shared" si="12"/>
        <v>391</v>
      </c>
      <c r="K16" s="52">
        <f t="shared" si="13"/>
        <v>45</v>
      </c>
      <c r="L16" s="48">
        <f t="shared" si="14"/>
        <v>11.50895141</v>
      </c>
      <c r="M16" s="50">
        <v>17470.0</v>
      </c>
      <c r="N16" s="49">
        <f t="shared" si="15"/>
        <v>786150</v>
      </c>
      <c r="O16" s="197">
        <v>13.0</v>
      </c>
      <c r="P16" s="250" t="s">
        <v>25</v>
      </c>
      <c r="Q16" s="251">
        <f>N117</f>
        <v>5623750</v>
      </c>
      <c r="R16" s="251">
        <f>N117</f>
        <v>5623750</v>
      </c>
    </row>
    <row r="17">
      <c r="A17" s="45">
        <v>46020.0</v>
      </c>
      <c r="B17" s="46" t="s">
        <v>12</v>
      </c>
      <c r="C17" s="37">
        <v>160554.0</v>
      </c>
      <c r="D17" s="37">
        <v>160900.0</v>
      </c>
      <c r="E17" s="12">
        <f t="shared" si="10"/>
        <v>346</v>
      </c>
      <c r="F17" s="47">
        <v>47.0</v>
      </c>
      <c r="G17" s="14">
        <f t="shared" si="11"/>
        <v>13.58381503</v>
      </c>
      <c r="H17" s="40">
        <v>27265.0</v>
      </c>
      <c r="I17" s="40">
        <v>27650.0</v>
      </c>
      <c r="J17" s="37">
        <f t="shared" si="12"/>
        <v>385</v>
      </c>
      <c r="K17" s="52">
        <f t="shared" si="13"/>
        <v>47</v>
      </c>
      <c r="L17" s="48">
        <f t="shared" si="14"/>
        <v>12.20779221</v>
      </c>
      <c r="M17" s="50">
        <v>17250.0</v>
      </c>
      <c r="N17" s="49">
        <f t="shared" si="15"/>
        <v>810750</v>
      </c>
      <c r="O17" s="197">
        <v>14.0</v>
      </c>
      <c r="P17" s="250" t="s">
        <v>26</v>
      </c>
      <c r="Q17" s="251">
        <f>N125</f>
        <v>5269100</v>
      </c>
      <c r="R17" s="251">
        <f t="shared" ref="R17:R28" si="16">Q17</f>
        <v>5269100</v>
      </c>
    </row>
    <row r="18">
      <c r="A18" s="45"/>
      <c r="B18" s="46" t="s">
        <v>12</v>
      </c>
      <c r="C18" s="37"/>
      <c r="D18" s="55"/>
      <c r="E18" s="25">
        <f t="shared" si="10"/>
        <v>0</v>
      </c>
      <c r="F18" s="47"/>
      <c r="G18" s="56" t="str">
        <f t="shared" si="11"/>
        <v>#DIV/0!</v>
      </c>
      <c r="H18" s="40"/>
      <c r="I18" s="57"/>
      <c r="J18" s="55">
        <f t="shared" si="12"/>
        <v>0</v>
      </c>
      <c r="K18" s="52" t="str">
        <f t="shared" si="13"/>
        <v/>
      </c>
      <c r="L18" s="48" t="str">
        <f t="shared" si="14"/>
        <v>#DIV/0!</v>
      </c>
      <c r="M18" s="58"/>
      <c r="N18" s="59">
        <f t="shared" si="15"/>
        <v>0</v>
      </c>
      <c r="O18" s="80">
        <f t="shared" ref="O18:O27" si="18">O17+1</f>
        <v>15</v>
      </c>
      <c r="P18" s="255" t="s">
        <v>27</v>
      </c>
      <c r="Q18" s="251">
        <f>N134</f>
        <v>8794980</v>
      </c>
      <c r="R18" s="251">
        <f t="shared" si="16"/>
        <v>8794980</v>
      </c>
    </row>
    <row r="19">
      <c r="A19" s="62"/>
      <c r="B19" s="63"/>
      <c r="C19" s="62"/>
      <c r="D19" s="64" t="s">
        <v>19</v>
      </c>
      <c r="E19" s="64">
        <f>sum(E12:E18)</f>
        <v>2111</v>
      </c>
      <c r="F19" s="64">
        <f>sum(F11:F18)</f>
        <v>555</v>
      </c>
      <c r="G19" s="65" t="str">
        <f>average(G12:G18)</f>
        <v>#DIV/0!</v>
      </c>
      <c r="H19" s="62"/>
      <c r="I19" s="66"/>
      <c r="J19" s="64">
        <f t="shared" ref="J19:K19" si="17">sum(J12:J18)</f>
        <v>2339</v>
      </c>
      <c r="K19" s="64">
        <f t="shared" si="17"/>
        <v>275</v>
      </c>
      <c r="L19" s="65" t="str">
        <f>average(L12:L18)</f>
        <v>#DIV/0!</v>
      </c>
      <c r="M19" s="68"/>
      <c r="N19" s="69">
        <f>sum(N12:N18)</f>
        <v>4939740</v>
      </c>
      <c r="O19" s="80">
        <f t="shared" si="18"/>
        <v>16</v>
      </c>
      <c r="P19" s="255" t="s">
        <v>28</v>
      </c>
      <c r="Q19" s="251">
        <f>N143</f>
        <v>0</v>
      </c>
      <c r="R19" s="251">
        <f t="shared" si="16"/>
        <v>0</v>
      </c>
    </row>
    <row r="20">
      <c r="A20" s="70">
        <v>45993.0</v>
      </c>
      <c r="B20" s="36" t="s">
        <v>13</v>
      </c>
      <c r="C20" s="37">
        <v>175575.0</v>
      </c>
      <c r="D20" s="37">
        <v>175900.0</v>
      </c>
      <c r="E20" s="38">
        <f t="shared" ref="E20:E28" si="19">D20-C20</f>
        <v>325</v>
      </c>
      <c r="F20" s="39">
        <v>45.0</v>
      </c>
      <c r="G20" s="14">
        <f t="shared" ref="G20:G28" si="20">(F20/E20)*100</f>
        <v>13.84615385</v>
      </c>
      <c r="H20" s="40">
        <v>26756.0</v>
      </c>
      <c r="I20" s="40">
        <v>27005.0</v>
      </c>
      <c r="J20" s="41">
        <f t="shared" ref="J20:J28" si="21">I20-H20</f>
        <v>249</v>
      </c>
      <c r="K20" s="81">
        <f t="shared" ref="K20:K28" si="22">F20</f>
        <v>45</v>
      </c>
      <c r="L20" s="71">
        <f t="shared" ref="L20:L28" si="23">(K20/J20)*100</f>
        <v>18.07228916</v>
      </c>
      <c r="M20" s="72">
        <v>18800.0</v>
      </c>
      <c r="N20" s="44">
        <f t="shared" ref="N20:N28" si="24">F20*M20</f>
        <v>846000</v>
      </c>
      <c r="O20" s="80">
        <f t="shared" si="18"/>
        <v>17</v>
      </c>
      <c r="P20" s="255" t="s">
        <v>29</v>
      </c>
      <c r="Q20" s="251">
        <f>N152</f>
        <v>6427100</v>
      </c>
      <c r="R20" s="251">
        <f t="shared" si="16"/>
        <v>6427100</v>
      </c>
    </row>
    <row r="21">
      <c r="A21" s="70">
        <v>45996.0</v>
      </c>
      <c r="B21" s="46" t="s">
        <v>13</v>
      </c>
      <c r="C21" s="37">
        <v>175900.0</v>
      </c>
      <c r="D21" s="37">
        <v>176182.0</v>
      </c>
      <c r="E21" s="12">
        <f t="shared" si="19"/>
        <v>282</v>
      </c>
      <c r="F21" s="39">
        <v>44.0</v>
      </c>
      <c r="G21" s="14">
        <f t="shared" si="20"/>
        <v>15.60283688</v>
      </c>
      <c r="H21" s="40">
        <v>27005.0</v>
      </c>
      <c r="I21" s="40">
        <v>27311.0</v>
      </c>
      <c r="J21" s="37">
        <f t="shared" si="21"/>
        <v>306</v>
      </c>
      <c r="K21" s="52">
        <f t="shared" si="22"/>
        <v>44</v>
      </c>
      <c r="L21" s="48">
        <f t="shared" si="23"/>
        <v>14.37908497</v>
      </c>
      <c r="M21" s="72">
        <v>18380.0</v>
      </c>
      <c r="N21" s="49">
        <f t="shared" si="24"/>
        <v>808720</v>
      </c>
      <c r="O21" s="80">
        <f t="shared" si="18"/>
        <v>18</v>
      </c>
      <c r="P21" s="255" t="s">
        <v>30</v>
      </c>
      <c r="Q21" s="251">
        <f>N161</f>
        <v>5595840</v>
      </c>
      <c r="R21" s="251">
        <f t="shared" si="16"/>
        <v>5595840</v>
      </c>
    </row>
    <row r="22">
      <c r="A22" s="35">
        <v>46000.0</v>
      </c>
      <c r="B22" s="46" t="s">
        <v>13</v>
      </c>
      <c r="C22" s="37">
        <v>176182.0</v>
      </c>
      <c r="D22" s="37">
        <v>176522.0</v>
      </c>
      <c r="E22" s="12">
        <f t="shared" si="19"/>
        <v>340</v>
      </c>
      <c r="F22" s="47">
        <v>44.0</v>
      </c>
      <c r="G22" s="14">
        <f t="shared" si="20"/>
        <v>12.94117647</v>
      </c>
      <c r="H22" s="40">
        <v>27311.0</v>
      </c>
      <c r="I22" s="40">
        <v>27682.0</v>
      </c>
      <c r="J22" s="37">
        <f t="shared" si="21"/>
        <v>371</v>
      </c>
      <c r="K22" s="52">
        <f t="shared" si="22"/>
        <v>44</v>
      </c>
      <c r="L22" s="48">
        <f t="shared" si="23"/>
        <v>11.85983827</v>
      </c>
      <c r="M22" s="50">
        <v>18380.0</v>
      </c>
      <c r="N22" s="49">
        <f t="shared" si="24"/>
        <v>808720</v>
      </c>
      <c r="O22" s="80">
        <f t="shared" si="18"/>
        <v>19</v>
      </c>
      <c r="P22" s="255" t="s">
        <v>31</v>
      </c>
      <c r="Q22" s="251">
        <f>N170</f>
        <v>10354950</v>
      </c>
      <c r="R22" s="251">
        <f t="shared" si="16"/>
        <v>10354950</v>
      </c>
    </row>
    <row r="23">
      <c r="A23" s="35">
        <v>46003.0</v>
      </c>
      <c r="B23" s="46" t="s">
        <v>13</v>
      </c>
      <c r="C23" s="37">
        <v>176522.0</v>
      </c>
      <c r="D23" s="37">
        <v>176811.0</v>
      </c>
      <c r="E23" s="12">
        <f t="shared" si="19"/>
        <v>289</v>
      </c>
      <c r="F23" s="47">
        <v>44.0</v>
      </c>
      <c r="G23" s="14">
        <f t="shared" si="20"/>
        <v>15.22491349</v>
      </c>
      <c r="H23" s="40">
        <v>27682.0</v>
      </c>
      <c r="I23" s="40">
        <v>28020.0</v>
      </c>
      <c r="J23" s="37">
        <f t="shared" si="21"/>
        <v>338</v>
      </c>
      <c r="K23" s="52">
        <f t="shared" si="22"/>
        <v>44</v>
      </c>
      <c r="L23" s="48">
        <f t="shared" si="23"/>
        <v>13.01775148</v>
      </c>
      <c r="M23" s="50">
        <v>18150.0</v>
      </c>
      <c r="N23" s="49">
        <f t="shared" si="24"/>
        <v>798600</v>
      </c>
      <c r="O23" s="80">
        <f t="shared" si="18"/>
        <v>20</v>
      </c>
      <c r="P23" s="255" t="s">
        <v>32</v>
      </c>
      <c r="Q23" s="251">
        <f>N179</f>
        <v>6279160</v>
      </c>
      <c r="R23" s="251">
        <f t="shared" si="16"/>
        <v>6279160</v>
      </c>
    </row>
    <row r="24">
      <c r="A24" s="35">
        <v>46008.0</v>
      </c>
      <c r="B24" s="46" t="s">
        <v>13</v>
      </c>
      <c r="C24" s="37">
        <v>176811.0</v>
      </c>
      <c r="D24" s="37">
        <v>177114.0</v>
      </c>
      <c r="E24" s="12">
        <f t="shared" si="19"/>
        <v>303</v>
      </c>
      <c r="F24" s="47">
        <v>43.0</v>
      </c>
      <c r="G24" s="14">
        <f t="shared" si="20"/>
        <v>14.19141914</v>
      </c>
      <c r="H24" s="40">
        <v>28020.0</v>
      </c>
      <c r="I24" s="40">
        <v>28441.0</v>
      </c>
      <c r="J24" s="37">
        <f t="shared" si="21"/>
        <v>421</v>
      </c>
      <c r="K24" s="52">
        <f t="shared" si="22"/>
        <v>43</v>
      </c>
      <c r="L24" s="48">
        <f t="shared" si="23"/>
        <v>10.21377672</v>
      </c>
      <c r="M24" s="50">
        <v>18150.0</v>
      </c>
      <c r="N24" s="49">
        <f t="shared" si="24"/>
        <v>780450</v>
      </c>
      <c r="O24" s="80">
        <f t="shared" si="18"/>
        <v>21</v>
      </c>
      <c r="P24" s="255" t="s">
        <v>33</v>
      </c>
      <c r="Q24" s="251">
        <f>N187</f>
        <v>7709893.05</v>
      </c>
      <c r="R24" s="251">
        <f t="shared" si="16"/>
        <v>7709893.05</v>
      </c>
    </row>
    <row r="25">
      <c r="A25" s="35">
        <v>46010.0</v>
      </c>
      <c r="B25" s="46" t="s">
        <v>13</v>
      </c>
      <c r="C25" s="37">
        <v>177114.0</v>
      </c>
      <c r="D25" s="37">
        <v>177417.0</v>
      </c>
      <c r="E25" s="12">
        <f t="shared" si="19"/>
        <v>303</v>
      </c>
      <c r="F25" s="47">
        <v>41.0</v>
      </c>
      <c r="G25" s="14">
        <f t="shared" si="20"/>
        <v>13.53135314</v>
      </c>
      <c r="H25" s="40">
        <v>28441.0</v>
      </c>
      <c r="I25" s="40">
        <v>28687.0</v>
      </c>
      <c r="J25" s="37">
        <f t="shared" si="21"/>
        <v>246</v>
      </c>
      <c r="K25" s="52">
        <f t="shared" si="22"/>
        <v>41</v>
      </c>
      <c r="L25" s="48">
        <f t="shared" si="23"/>
        <v>16.66666667</v>
      </c>
      <c r="M25" s="50">
        <v>17470.0</v>
      </c>
      <c r="N25" s="49">
        <f t="shared" si="24"/>
        <v>716270</v>
      </c>
      <c r="O25" s="80">
        <f t="shared" si="18"/>
        <v>22</v>
      </c>
      <c r="P25" s="255" t="s">
        <v>34</v>
      </c>
      <c r="Q25" s="251">
        <f>N195</f>
        <v>3764460</v>
      </c>
      <c r="R25" s="251">
        <f t="shared" si="16"/>
        <v>3764460</v>
      </c>
    </row>
    <row r="26">
      <c r="A26" s="35">
        <v>46014.0</v>
      </c>
      <c r="B26" s="46" t="s">
        <v>13</v>
      </c>
      <c r="C26" s="37">
        <v>177417.0</v>
      </c>
      <c r="D26" s="37">
        <v>177785.0</v>
      </c>
      <c r="E26" s="12">
        <f t="shared" si="19"/>
        <v>368</v>
      </c>
      <c r="F26" s="47">
        <v>45.0</v>
      </c>
      <c r="G26" s="14">
        <f t="shared" si="20"/>
        <v>12.22826087</v>
      </c>
      <c r="H26" s="40">
        <v>28687.0</v>
      </c>
      <c r="I26" s="40">
        <v>29070.0</v>
      </c>
      <c r="J26" s="37">
        <f t="shared" si="21"/>
        <v>383</v>
      </c>
      <c r="K26" s="52">
        <f t="shared" si="22"/>
        <v>45</v>
      </c>
      <c r="L26" s="48">
        <f t="shared" si="23"/>
        <v>11.74934726</v>
      </c>
      <c r="M26" s="50">
        <v>17470.0</v>
      </c>
      <c r="N26" s="49">
        <f t="shared" si="24"/>
        <v>786150</v>
      </c>
      <c r="O26" s="80">
        <f t="shared" si="18"/>
        <v>23</v>
      </c>
      <c r="R26" s="80" t="str">
        <f t="shared" si="16"/>
        <v/>
      </c>
    </row>
    <row r="27">
      <c r="A27" s="35">
        <v>46017.0</v>
      </c>
      <c r="B27" s="46" t="s">
        <v>13</v>
      </c>
      <c r="C27" s="37">
        <v>177785.0</v>
      </c>
      <c r="D27" s="37">
        <v>178077.0</v>
      </c>
      <c r="E27" s="12">
        <f t="shared" si="19"/>
        <v>292</v>
      </c>
      <c r="F27" s="47">
        <v>45.0</v>
      </c>
      <c r="G27" s="14">
        <f t="shared" si="20"/>
        <v>15.4109589</v>
      </c>
      <c r="H27" s="40">
        <v>29070.0</v>
      </c>
      <c r="I27" s="40">
        <v>29377.0</v>
      </c>
      <c r="J27" s="37">
        <f t="shared" si="21"/>
        <v>307</v>
      </c>
      <c r="K27" s="52">
        <f t="shared" si="22"/>
        <v>45</v>
      </c>
      <c r="L27" s="48">
        <f t="shared" si="23"/>
        <v>14.65798046</v>
      </c>
      <c r="M27" s="50">
        <v>17250.0</v>
      </c>
      <c r="N27" s="49">
        <f t="shared" si="24"/>
        <v>776250</v>
      </c>
      <c r="O27" s="80">
        <f t="shared" si="18"/>
        <v>24</v>
      </c>
      <c r="R27" s="80" t="str">
        <f t="shared" si="16"/>
        <v/>
      </c>
    </row>
    <row r="28">
      <c r="A28" s="74">
        <v>46022.0</v>
      </c>
      <c r="B28" s="46" t="s">
        <v>13</v>
      </c>
      <c r="C28" s="37">
        <v>178077.0</v>
      </c>
      <c r="D28" s="75">
        <v>178370.0</v>
      </c>
      <c r="E28" s="25">
        <f t="shared" si="19"/>
        <v>293</v>
      </c>
      <c r="F28" s="47">
        <v>43.0</v>
      </c>
      <c r="G28" s="56">
        <f t="shared" si="20"/>
        <v>14.67576792</v>
      </c>
      <c r="H28" s="40">
        <v>29377.0</v>
      </c>
      <c r="I28" s="76">
        <v>29700.0</v>
      </c>
      <c r="J28" s="55">
        <f t="shared" si="21"/>
        <v>323</v>
      </c>
      <c r="K28" s="52">
        <f t="shared" si="22"/>
        <v>43</v>
      </c>
      <c r="L28" s="77">
        <f t="shared" si="23"/>
        <v>13.3126935</v>
      </c>
      <c r="M28" s="78">
        <v>17250.0</v>
      </c>
      <c r="N28" s="59">
        <f t="shared" si="24"/>
        <v>741750</v>
      </c>
      <c r="O28" s="80">
        <f>O26+1</f>
        <v>24</v>
      </c>
      <c r="R28" s="80" t="str">
        <f t="shared" si="16"/>
        <v/>
      </c>
    </row>
    <row r="29">
      <c r="A29" s="62"/>
      <c r="B29" s="63"/>
      <c r="C29" s="62"/>
      <c r="D29" s="64" t="s">
        <v>19</v>
      </c>
      <c r="E29" s="64">
        <f>sum(E20:E26)</f>
        <v>2210</v>
      </c>
      <c r="F29" s="64">
        <f>sum(F20:F28)</f>
        <v>394</v>
      </c>
      <c r="G29" s="65">
        <f>average(G20:G26)</f>
        <v>13.93801626</v>
      </c>
      <c r="H29" s="62"/>
      <c r="I29" s="66"/>
      <c r="J29" s="64">
        <f t="shared" ref="J29:K29" si="25">sum(J20:J26)</f>
        <v>2314</v>
      </c>
      <c r="K29" s="64">
        <f t="shared" si="25"/>
        <v>306</v>
      </c>
      <c r="L29" s="65">
        <f>average(L20:L26)</f>
        <v>13.7083935</v>
      </c>
      <c r="M29" s="68"/>
      <c r="N29" s="69">
        <f>sum(N20:N28)</f>
        <v>7062910</v>
      </c>
      <c r="P29" s="256" t="s">
        <v>19</v>
      </c>
      <c r="Q29" s="251">
        <f>SUM(Q4:Q25)</f>
        <v>132230993.1</v>
      </c>
      <c r="R29" s="251"/>
    </row>
    <row r="30">
      <c r="A30" s="70">
        <v>45993.0</v>
      </c>
      <c r="B30" s="36" t="s">
        <v>14</v>
      </c>
      <c r="C30" s="37">
        <v>178933.0</v>
      </c>
      <c r="D30" s="37">
        <v>179247.0</v>
      </c>
      <c r="E30" s="38">
        <f t="shared" ref="E30:E36" si="26">D30-C30</f>
        <v>314</v>
      </c>
      <c r="F30" s="39">
        <v>50.0</v>
      </c>
      <c r="G30" s="14">
        <f t="shared" ref="G30:G37" si="27">(F30/E30)*100</f>
        <v>15.92356688</v>
      </c>
      <c r="H30" s="40">
        <v>18704.0</v>
      </c>
      <c r="I30" s="40">
        <v>18957.0</v>
      </c>
      <c r="J30" s="41">
        <f t="shared" ref="J30:J37" si="28">I30-H30</f>
        <v>253</v>
      </c>
      <c r="K30" s="52">
        <f t="shared" ref="K30:K37" si="29">F30</f>
        <v>50</v>
      </c>
      <c r="L30" s="71">
        <f t="shared" ref="L30:L37" si="30">(K30/J30)*100</f>
        <v>19.76284585</v>
      </c>
      <c r="M30" s="72">
        <v>18800.0</v>
      </c>
      <c r="N30" s="44">
        <f t="shared" ref="N30:N37" si="31">F30*M30</f>
        <v>940000</v>
      </c>
      <c r="R30" s="80" t="str">
        <f t="shared" ref="R30:R44" si="32">Q30</f>
        <v/>
      </c>
    </row>
    <row r="31">
      <c r="A31" s="35">
        <v>45999.0</v>
      </c>
      <c r="B31" s="46" t="s">
        <v>14</v>
      </c>
      <c r="C31" s="37">
        <v>179247.0</v>
      </c>
      <c r="D31" s="37">
        <v>179649.0</v>
      </c>
      <c r="E31" s="12">
        <f t="shared" si="26"/>
        <v>402</v>
      </c>
      <c r="F31" s="47">
        <v>50.0</v>
      </c>
      <c r="G31" s="14">
        <f t="shared" si="27"/>
        <v>12.43781095</v>
      </c>
      <c r="H31" s="40">
        <v>18957.0</v>
      </c>
      <c r="I31" s="40">
        <v>19425.0</v>
      </c>
      <c r="J31" s="37">
        <f t="shared" si="28"/>
        <v>468</v>
      </c>
      <c r="K31" s="52">
        <f t="shared" si="29"/>
        <v>50</v>
      </c>
      <c r="L31" s="48">
        <f t="shared" si="30"/>
        <v>10.68376068</v>
      </c>
      <c r="M31" s="72">
        <v>18380.0</v>
      </c>
      <c r="N31" s="49">
        <f t="shared" si="31"/>
        <v>919000</v>
      </c>
      <c r="R31" s="80" t="str">
        <f t="shared" si="32"/>
        <v/>
      </c>
    </row>
    <row r="32">
      <c r="A32" s="35">
        <v>46003.0</v>
      </c>
      <c r="B32" s="36" t="s">
        <v>14</v>
      </c>
      <c r="C32" s="37">
        <v>179649.0</v>
      </c>
      <c r="D32" s="37">
        <v>180035.0</v>
      </c>
      <c r="E32" s="12">
        <f t="shared" si="26"/>
        <v>386</v>
      </c>
      <c r="F32" s="47">
        <v>40.0</v>
      </c>
      <c r="G32" s="14">
        <f t="shared" si="27"/>
        <v>10.3626943</v>
      </c>
      <c r="H32" s="40">
        <v>19425.0</v>
      </c>
      <c r="I32" s="40">
        <v>19833.0</v>
      </c>
      <c r="J32" s="37">
        <f t="shared" si="28"/>
        <v>408</v>
      </c>
      <c r="K32" s="52">
        <f t="shared" si="29"/>
        <v>40</v>
      </c>
      <c r="L32" s="48">
        <f t="shared" si="30"/>
        <v>9.803921569</v>
      </c>
      <c r="M32" s="265">
        <v>18150.0</v>
      </c>
      <c r="N32" s="49">
        <f t="shared" si="31"/>
        <v>726000</v>
      </c>
      <c r="R32" s="80" t="str">
        <f t="shared" si="32"/>
        <v/>
      </c>
    </row>
    <row r="33">
      <c r="A33" s="35">
        <v>46008.0</v>
      </c>
      <c r="B33" s="46" t="s">
        <v>14</v>
      </c>
      <c r="C33" s="37">
        <v>180035.0</v>
      </c>
      <c r="D33" s="37">
        <v>180404.0</v>
      </c>
      <c r="E33" s="12">
        <f t="shared" si="26"/>
        <v>369</v>
      </c>
      <c r="F33" s="47">
        <v>50.0</v>
      </c>
      <c r="G33" s="14">
        <f t="shared" si="27"/>
        <v>13.5501355</v>
      </c>
      <c r="H33" s="40">
        <v>19833.0</v>
      </c>
      <c r="I33" s="40">
        <v>20230.0</v>
      </c>
      <c r="J33" s="37">
        <f t="shared" si="28"/>
        <v>397</v>
      </c>
      <c r="K33" s="52">
        <f t="shared" si="29"/>
        <v>50</v>
      </c>
      <c r="L33" s="48">
        <f t="shared" si="30"/>
        <v>12.59445844</v>
      </c>
      <c r="M33" s="50">
        <v>18150.0</v>
      </c>
      <c r="N33" s="49">
        <f t="shared" si="31"/>
        <v>907500</v>
      </c>
      <c r="R33" s="80" t="str">
        <f t="shared" si="32"/>
        <v/>
      </c>
    </row>
    <row r="34">
      <c r="A34" s="35">
        <v>46011.0</v>
      </c>
      <c r="B34" s="46" t="s">
        <v>14</v>
      </c>
      <c r="C34" s="37">
        <v>180404.0</v>
      </c>
      <c r="D34" s="37">
        <v>180764.0</v>
      </c>
      <c r="E34" s="12">
        <f t="shared" si="26"/>
        <v>360</v>
      </c>
      <c r="F34" s="47">
        <v>40.0</v>
      </c>
      <c r="G34" s="14">
        <f t="shared" si="27"/>
        <v>11.11111111</v>
      </c>
      <c r="H34" s="40">
        <v>20230.0</v>
      </c>
      <c r="I34" s="40">
        <v>20600.0</v>
      </c>
      <c r="J34" s="37">
        <f t="shared" si="28"/>
        <v>370</v>
      </c>
      <c r="K34" s="52">
        <f t="shared" si="29"/>
        <v>40</v>
      </c>
      <c r="L34" s="48">
        <f t="shared" si="30"/>
        <v>10.81081081</v>
      </c>
      <c r="M34" s="50">
        <v>17470.0</v>
      </c>
      <c r="N34" s="49">
        <f t="shared" si="31"/>
        <v>698800</v>
      </c>
      <c r="R34" s="80" t="str">
        <f t="shared" si="32"/>
        <v/>
      </c>
    </row>
    <row r="35">
      <c r="A35" s="35">
        <v>46016.0</v>
      </c>
      <c r="B35" s="46" t="s">
        <v>14</v>
      </c>
      <c r="C35" s="37">
        <v>180764.0</v>
      </c>
      <c r="D35" s="37">
        <v>181049.0</v>
      </c>
      <c r="E35" s="12">
        <f t="shared" si="26"/>
        <v>285</v>
      </c>
      <c r="F35" s="47">
        <v>40.0</v>
      </c>
      <c r="G35" s="14">
        <f t="shared" si="27"/>
        <v>14.03508772</v>
      </c>
      <c r="H35" s="40">
        <v>20600.0</v>
      </c>
      <c r="I35" s="40">
        <v>20913.0</v>
      </c>
      <c r="J35" s="37">
        <f t="shared" si="28"/>
        <v>313</v>
      </c>
      <c r="K35" s="52">
        <f t="shared" si="29"/>
        <v>40</v>
      </c>
      <c r="L35" s="48">
        <f t="shared" si="30"/>
        <v>12.77955272</v>
      </c>
      <c r="M35" s="50">
        <v>17470.0</v>
      </c>
      <c r="N35" s="49">
        <f t="shared" si="31"/>
        <v>698800</v>
      </c>
      <c r="R35" s="80" t="str">
        <f t="shared" si="32"/>
        <v/>
      </c>
    </row>
    <row r="36">
      <c r="A36" s="35">
        <v>46020.0</v>
      </c>
      <c r="B36" s="46" t="s">
        <v>14</v>
      </c>
      <c r="C36" s="37">
        <v>181049.0</v>
      </c>
      <c r="D36" s="37">
        <v>181382.0</v>
      </c>
      <c r="E36" s="12">
        <f t="shared" si="26"/>
        <v>333</v>
      </c>
      <c r="F36" s="47">
        <v>40.0</v>
      </c>
      <c r="G36" s="14">
        <f t="shared" si="27"/>
        <v>12.01201201</v>
      </c>
      <c r="H36" s="40">
        <v>20913.0</v>
      </c>
      <c r="I36" s="40">
        <v>21272.0</v>
      </c>
      <c r="J36" s="37">
        <f t="shared" si="28"/>
        <v>359</v>
      </c>
      <c r="K36" s="52">
        <f t="shared" si="29"/>
        <v>40</v>
      </c>
      <c r="L36" s="48">
        <f t="shared" si="30"/>
        <v>11.14206128</v>
      </c>
      <c r="M36" s="50">
        <v>17250.0</v>
      </c>
      <c r="N36" s="49">
        <f t="shared" si="31"/>
        <v>690000</v>
      </c>
      <c r="R36" s="80" t="str">
        <f t="shared" si="32"/>
        <v/>
      </c>
    </row>
    <row r="37">
      <c r="A37" s="266"/>
      <c r="B37" s="267"/>
      <c r="C37" s="55"/>
      <c r="D37" s="95"/>
      <c r="E37" s="25"/>
      <c r="F37" s="47"/>
      <c r="G37" s="56" t="str">
        <f t="shared" si="27"/>
        <v>#DIV/0!</v>
      </c>
      <c r="H37" s="55"/>
      <c r="I37" s="85"/>
      <c r="J37" s="55">
        <f t="shared" si="28"/>
        <v>0</v>
      </c>
      <c r="K37" s="52" t="str">
        <f t="shared" si="29"/>
        <v/>
      </c>
      <c r="L37" s="77" t="str">
        <f t="shared" si="30"/>
        <v>#DIV/0!</v>
      </c>
      <c r="M37" s="50"/>
      <c r="N37" s="59">
        <f t="shared" si="31"/>
        <v>0</v>
      </c>
      <c r="R37" s="80" t="str">
        <f t="shared" si="32"/>
        <v/>
      </c>
    </row>
    <row r="38">
      <c r="A38" s="62"/>
      <c r="B38" s="63"/>
      <c r="C38" s="62"/>
      <c r="D38" s="64" t="s">
        <v>19</v>
      </c>
      <c r="E38" s="64">
        <f>sum(E30:E37)</f>
        <v>2449</v>
      </c>
      <c r="F38" s="39"/>
      <c r="G38" s="65" t="str">
        <f>average(G30:G37)</f>
        <v>#DIV/0!</v>
      </c>
      <c r="H38" s="62"/>
      <c r="I38" s="66"/>
      <c r="J38" s="64">
        <f t="shared" ref="J38:K38" si="33">sum(J30:J37)</f>
        <v>2568</v>
      </c>
      <c r="K38" s="64">
        <f t="shared" si="33"/>
        <v>310</v>
      </c>
      <c r="L38" s="65" t="str">
        <f>average(L30:L37)</f>
        <v>#DIV/0!</v>
      </c>
      <c r="M38" s="68"/>
      <c r="N38" s="69">
        <f>sum(N30:N37)</f>
        <v>5580100</v>
      </c>
      <c r="R38" s="80" t="str">
        <f t="shared" si="32"/>
        <v/>
      </c>
    </row>
    <row r="39">
      <c r="A39" s="70">
        <v>45993.0</v>
      </c>
      <c r="B39" s="36" t="s">
        <v>15</v>
      </c>
      <c r="C39" s="37">
        <v>166111.0</v>
      </c>
      <c r="D39" s="37">
        <v>166453.0</v>
      </c>
      <c r="E39" s="38">
        <f t="shared" ref="E39:E47" si="34">D39-C39</f>
        <v>342</v>
      </c>
      <c r="F39" s="39">
        <v>43.0</v>
      </c>
      <c r="G39" s="14">
        <f t="shared" ref="G39:G47" si="35">(F39/E39)*100</f>
        <v>12.57309942</v>
      </c>
      <c r="H39" s="40"/>
      <c r="I39" s="40">
        <v>25515.0</v>
      </c>
      <c r="J39" s="41">
        <f t="shared" ref="J39:J47" si="36">I39-H39</f>
        <v>25515</v>
      </c>
      <c r="K39" s="81">
        <f t="shared" ref="K39:K47" si="37">F39</f>
        <v>43</v>
      </c>
      <c r="L39" s="71">
        <f t="shared" ref="L39:L47" si="38">(K39/J39)*100</f>
        <v>0.1685283167</v>
      </c>
      <c r="M39" s="55">
        <v>18800.0</v>
      </c>
      <c r="N39" s="44">
        <f t="shared" ref="N39:N47" si="39">F39*M39</f>
        <v>808400</v>
      </c>
      <c r="R39" s="80" t="str">
        <f t="shared" si="32"/>
        <v/>
      </c>
    </row>
    <row r="40">
      <c r="A40" s="35">
        <v>45996.0</v>
      </c>
      <c r="B40" s="46" t="s">
        <v>15</v>
      </c>
      <c r="C40" s="37">
        <v>166453.0</v>
      </c>
      <c r="D40" s="37">
        <v>166709.0</v>
      </c>
      <c r="E40" s="12">
        <f t="shared" si="34"/>
        <v>256</v>
      </c>
      <c r="F40" s="47">
        <v>28.0</v>
      </c>
      <c r="G40" s="14">
        <f t="shared" si="35"/>
        <v>10.9375</v>
      </c>
      <c r="H40" s="40">
        <v>25515.0</v>
      </c>
      <c r="I40" s="40">
        <v>25825.0</v>
      </c>
      <c r="J40" s="37">
        <f t="shared" si="36"/>
        <v>310</v>
      </c>
      <c r="K40" s="52">
        <f t="shared" si="37"/>
        <v>28</v>
      </c>
      <c r="L40" s="48">
        <f t="shared" si="38"/>
        <v>9.032258065</v>
      </c>
      <c r="M40" s="50">
        <v>18380.0</v>
      </c>
      <c r="N40" s="49">
        <f t="shared" si="39"/>
        <v>514640</v>
      </c>
      <c r="P40" s="82"/>
      <c r="R40" s="80" t="str">
        <f t="shared" si="32"/>
        <v/>
      </c>
    </row>
    <row r="41">
      <c r="A41" s="35">
        <v>46000.0</v>
      </c>
      <c r="B41" s="46" t="s">
        <v>15</v>
      </c>
      <c r="C41" s="37">
        <v>166709.0</v>
      </c>
      <c r="D41" s="37">
        <v>167014.0</v>
      </c>
      <c r="E41" s="12">
        <f t="shared" si="34"/>
        <v>305</v>
      </c>
      <c r="F41" s="47">
        <v>39.0</v>
      </c>
      <c r="G41" s="14">
        <f t="shared" si="35"/>
        <v>12.78688525</v>
      </c>
      <c r="H41" s="40">
        <v>25825.0</v>
      </c>
      <c r="I41" s="40">
        <v>26147.0</v>
      </c>
      <c r="J41" s="37">
        <f t="shared" si="36"/>
        <v>322</v>
      </c>
      <c r="K41" s="52">
        <f t="shared" si="37"/>
        <v>39</v>
      </c>
      <c r="L41" s="48">
        <f t="shared" si="38"/>
        <v>12.11180124</v>
      </c>
      <c r="M41" s="50">
        <v>18380.0</v>
      </c>
      <c r="N41" s="49">
        <f t="shared" si="39"/>
        <v>716820</v>
      </c>
      <c r="R41" s="80" t="str">
        <f t="shared" si="32"/>
        <v/>
      </c>
    </row>
    <row r="42">
      <c r="A42" s="35">
        <v>46002.0</v>
      </c>
      <c r="B42" s="46" t="s">
        <v>15</v>
      </c>
      <c r="C42" s="37">
        <v>167014.0</v>
      </c>
      <c r="D42" s="37">
        <v>167379.0</v>
      </c>
      <c r="E42" s="12">
        <f t="shared" si="34"/>
        <v>365</v>
      </c>
      <c r="F42" s="47">
        <v>47.0</v>
      </c>
      <c r="G42" s="14">
        <f t="shared" si="35"/>
        <v>12.87671233</v>
      </c>
      <c r="H42" s="40">
        <v>26147.0</v>
      </c>
      <c r="I42" s="40">
        <v>26430.0</v>
      </c>
      <c r="J42" s="37">
        <f t="shared" si="36"/>
        <v>283</v>
      </c>
      <c r="K42" s="52">
        <f t="shared" si="37"/>
        <v>47</v>
      </c>
      <c r="L42" s="48">
        <f t="shared" si="38"/>
        <v>16.60777385</v>
      </c>
      <c r="M42" s="50">
        <v>18150.0</v>
      </c>
      <c r="N42" s="49">
        <f t="shared" si="39"/>
        <v>853050</v>
      </c>
      <c r="R42" s="80" t="str">
        <f t="shared" si="32"/>
        <v/>
      </c>
    </row>
    <row r="43">
      <c r="A43" s="35">
        <v>46007.0</v>
      </c>
      <c r="B43" s="46" t="s">
        <v>15</v>
      </c>
      <c r="C43" s="37">
        <v>167379.0</v>
      </c>
      <c r="D43" s="37">
        <v>167722.0</v>
      </c>
      <c r="E43" s="12">
        <f t="shared" si="34"/>
        <v>343</v>
      </c>
      <c r="F43" s="47">
        <v>47.0</v>
      </c>
      <c r="G43" s="14">
        <f t="shared" si="35"/>
        <v>13.70262391</v>
      </c>
      <c r="H43" s="40">
        <v>26430.0</v>
      </c>
      <c r="I43" s="40">
        <v>26800.0</v>
      </c>
      <c r="J43" s="37">
        <f t="shared" si="36"/>
        <v>370</v>
      </c>
      <c r="K43" s="52">
        <f t="shared" si="37"/>
        <v>47</v>
      </c>
      <c r="L43" s="48">
        <f t="shared" si="38"/>
        <v>12.7027027</v>
      </c>
      <c r="M43" s="50">
        <v>18150.0</v>
      </c>
      <c r="N43" s="49">
        <f t="shared" si="39"/>
        <v>853050</v>
      </c>
      <c r="R43" s="80" t="str">
        <f t="shared" si="32"/>
        <v/>
      </c>
    </row>
    <row r="44">
      <c r="A44" s="35">
        <v>46009.0</v>
      </c>
      <c r="B44" s="46" t="s">
        <v>15</v>
      </c>
      <c r="C44" s="37">
        <v>167722.0</v>
      </c>
      <c r="D44" s="37">
        <v>168048.0</v>
      </c>
      <c r="E44" s="12">
        <f t="shared" si="34"/>
        <v>326</v>
      </c>
      <c r="F44" s="47">
        <v>31.0</v>
      </c>
      <c r="G44" s="14">
        <f t="shared" si="35"/>
        <v>9.509202454</v>
      </c>
      <c r="H44" s="40">
        <v>26800.0</v>
      </c>
      <c r="I44" s="40">
        <v>27174.0</v>
      </c>
      <c r="J44" s="37">
        <f t="shared" si="36"/>
        <v>374</v>
      </c>
      <c r="K44" s="52">
        <f t="shared" si="37"/>
        <v>31</v>
      </c>
      <c r="L44" s="48">
        <f t="shared" si="38"/>
        <v>8.288770053</v>
      </c>
      <c r="M44" s="50">
        <v>18150.0</v>
      </c>
      <c r="N44" s="49">
        <f t="shared" si="39"/>
        <v>562650</v>
      </c>
      <c r="R44" s="80" t="str">
        <f t="shared" si="32"/>
        <v/>
      </c>
    </row>
    <row r="45">
      <c r="A45" s="35">
        <v>46013.0</v>
      </c>
      <c r="B45" s="46" t="s">
        <v>15</v>
      </c>
      <c r="C45" s="37">
        <v>168048.0</v>
      </c>
      <c r="D45" s="37">
        <v>168308.0</v>
      </c>
      <c r="E45" s="12">
        <f t="shared" si="34"/>
        <v>260</v>
      </c>
      <c r="F45" s="47">
        <v>41.0</v>
      </c>
      <c r="G45" s="14">
        <f t="shared" si="35"/>
        <v>15.76923077</v>
      </c>
      <c r="H45" s="40">
        <v>27174.0</v>
      </c>
      <c r="I45" s="40">
        <v>27418.0</v>
      </c>
      <c r="J45" s="37">
        <f t="shared" si="36"/>
        <v>244</v>
      </c>
      <c r="K45" s="52">
        <f t="shared" si="37"/>
        <v>41</v>
      </c>
      <c r="L45" s="48">
        <f t="shared" si="38"/>
        <v>16.80327869</v>
      </c>
      <c r="M45" s="50">
        <v>17470.0</v>
      </c>
      <c r="N45" s="49">
        <f t="shared" si="39"/>
        <v>716270</v>
      </c>
    </row>
    <row r="46">
      <c r="A46" s="35">
        <v>46016.0</v>
      </c>
      <c r="B46" s="46" t="s">
        <v>15</v>
      </c>
      <c r="C46" s="37">
        <v>168308.0</v>
      </c>
      <c r="D46" s="37">
        <v>168678.0</v>
      </c>
      <c r="E46" s="12">
        <f t="shared" si="34"/>
        <v>370</v>
      </c>
      <c r="F46" s="47">
        <v>42.0</v>
      </c>
      <c r="G46" s="14">
        <f t="shared" si="35"/>
        <v>11.35135135</v>
      </c>
      <c r="H46" s="40">
        <v>27418.0</v>
      </c>
      <c r="I46" s="40">
        <v>27727.0</v>
      </c>
      <c r="J46" s="37">
        <f t="shared" si="36"/>
        <v>309</v>
      </c>
      <c r="K46" s="52">
        <f t="shared" si="37"/>
        <v>42</v>
      </c>
      <c r="L46" s="48">
        <f t="shared" si="38"/>
        <v>13.59223301</v>
      </c>
      <c r="M46" s="50">
        <v>17250.0</v>
      </c>
      <c r="N46" s="49">
        <f t="shared" si="39"/>
        <v>724500</v>
      </c>
    </row>
    <row r="47">
      <c r="A47" s="35">
        <v>46020.0</v>
      </c>
      <c r="B47" s="83" t="s">
        <v>15</v>
      </c>
      <c r="C47" s="37">
        <v>168678.0</v>
      </c>
      <c r="D47" s="55">
        <v>168991.0</v>
      </c>
      <c r="E47" s="25">
        <f t="shared" si="34"/>
        <v>313</v>
      </c>
      <c r="F47" s="47">
        <v>40.0</v>
      </c>
      <c r="G47" s="56">
        <f t="shared" si="35"/>
        <v>12.77955272</v>
      </c>
      <c r="H47" s="40">
        <v>27727.0</v>
      </c>
      <c r="I47" s="57">
        <v>28064.0</v>
      </c>
      <c r="J47" s="55">
        <f t="shared" si="36"/>
        <v>337</v>
      </c>
      <c r="K47" s="52">
        <f t="shared" si="37"/>
        <v>40</v>
      </c>
      <c r="L47" s="77">
        <f t="shared" si="38"/>
        <v>11.8694362</v>
      </c>
      <c r="M47" s="50">
        <v>17250.0</v>
      </c>
      <c r="N47" s="59">
        <f t="shared" si="39"/>
        <v>690000</v>
      </c>
      <c r="R47" s="80" t="str">
        <f t="shared" ref="R47:R56" si="42">Q47</f>
        <v/>
      </c>
    </row>
    <row r="48">
      <c r="A48" s="62"/>
      <c r="B48" s="63"/>
      <c r="C48" s="62"/>
      <c r="D48" s="64" t="s">
        <v>19</v>
      </c>
      <c r="E48" s="64">
        <f t="shared" ref="E48:F48" si="40">sum(E39:E47)</f>
        <v>2880</v>
      </c>
      <c r="F48" s="64">
        <f t="shared" si="40"/>
        <v>358</v>
      </c>
      <c r="G48" s="65">
        <f>average(G39:G47)</f>
        <v>12.4762398</v>
      </c>
      <c r="H48" s="62"/>
      <c r="I48" s="66"/>
      <c r="J48" s="64">
        <f t="shared" ref="J48:K48" si="41">sum(J39:J47)</f>
        <v>28064</v>
      </c>
      <c r="K48" s="64">
        <f t="shared" si="41"/>
        <v>358</v>
      </c>
      <c r="L48" s="65">
        <f>average(L39:L47)</f>
        <v>11.24186468</v>
      </c>
      <c r="M48" s="68"/>
      <c r="N48" s="69">
        <f>sum(N39:N47)</f>
        <v>6439380</v>
      </c>
      <c r="R48" s="80" t="str">
        <f t="shared" si="42"/>
        <v/>
      </c>
    </row>
    <row r="49">
      <c r="A49" s="70">
        <v>45993.0</v>
      </c>
      <c r="B49" s="36" t="s">
        <v>16</v>
      </c>
      <c r="C49" s="37">
        <v>142861.0</v>
      </c>
      <c r="D49" s="37">
        <v>143079.0</v>
      </c>
      <c r="E49" s="38">
        <f t="shared" ref="E49:E59" si="43">D49-C49</f>
        <v>218</v>
      </c>
      <c r="F49" s="39">
        <v>30.0</v>
      </c>
      <c r="G49" s="14">
        <f t="shared" ref="G49:G59" si="44">(F49/E49)*100</f>
        <v>13.76146789</v>
      </c>
      <c r="H49" s="40">
        <v>27171.0</v>
      </c>
      <c r="I49" s="40">
        <v>27509.0</v>
      </c>
      <c r="J49" s="41">
        <f t="shared" ref="J49:J59" si="45">I49-H49</f>
        <v>338</v>
      </c>
      <c r="K49" s="81">
        <f t="shared" ref="K49:K59" si="46">F49</f>
        <v>30</v>
      </c>
      <c r="L49" s="71">
        <f t="shared" ref="L49:L59" si="47">(K49/J49)*100</f>
        <v>8.875739645</v>
      </c>
      <c r="M49" s="72">
        <v>18800.0</v>
      </c>
      <c r="N49" s="44">
        <f t="shared" ref="N49:N59" si="48">F49*M49</f>
        <v>564000</v>
      </c>
      <c r="R49" s="80" t="str">
        <f t="shared" si="42"/>
        <v/>
      </c>
    </row>
    <row r="50">
      <c r="A50" s="84">
        <v>45996.0</v>
      </c>
      <c r="B50" s="46" t="s">
        <v>16</v>
      </c>
      <c r="C50" s="37">
        <v>143079.0</v>
      </c>
      <c r="D50" s="37">
        <v>143371.0</v>
      </c>
      <c r="E50" s="12">
        <f t="shared" si="43"/>
        <v>292</v>
      </c>
      <c r="F50" s="47">
        <v>36.0</v>
      </c>
      <c r="G50" s="14">
        <f t="shared" si="44"/>
        <v>12.32876712</v>
      </c>
      <c r="H50" s="40">
        <v>27509.0</v>
      </c>
      <c r="I50" s="40">
        <v>27702.0</v>
      </c>
      <c r="J50" s="37">
        <f t="shared" si="45"/>
        <v>193</v>
      </c>
      <c r="K50" s="52">
        <f t="shared" si="46"/>
        <v>36</v>
      </c>
      <c r="L50" s="48">
        <f t="shared" si="47"/>
        <v>18.65284974</v>
      </c>
      <c r="M50" s="50">
        <v>18380.0</v>
      </c>
      <c r="N50" s="49">
        <f t="shared" si="48"/>
        <v>661680</v>
      </c>
      <c r="R50" s="80" t="str">
        <f t="shared" si="42"/>
        <v/>
      </c>
    </row>
    <row r="51">
      <c r="A51" s="84">
        <v>45999.0</v>
      </c>
      <c r="B51" s="46" t="s">
        <v>16</v>
      </c>
      <c r="C51" s="37">
        <v>143371.0</v>
      </c>
      <c r="D51" s="37">
        <v>143589.0</v>
      </c>
      <c r="E51" s="12">
        <f t="shared" si="43"/>
        <v>218</v>
      </c>
      <c r="F51" s="47">
        <v>34.0</v>
      </c>
      <c r="G51" s="14">
        <f t="shared" si="44"/>
        <v>15.59633028</v>
      </c>
      <c r="H51" s="40">
        <v>27702.0</v>
      </c>
      <c r="I51" s="40">
        <v>27971.0</v>
      </c>
      <c r="J51" s="37">
        <f t="shared" si="45"/>
        <v>269</v>
      </c>
      <c r="K51" s="52">
        <f t="shared" si="46"/>
        <v>34</v>
      </c>
      <c r="L51" s="48">
        <f t="shared" si="47"/>
        <v>12.6394052</v>
      </c>
      <c r="M51" s="50">
        <v>18380.0</v>
      </c>
      <c r="N51" s="49">
        <f t="shared" si="48"/>
        <v>624920</v>
      </c>
      <c r="R51" s="80" t="str">
        <f t="shared" si="42"/>
        <v/>
      </c>
    </row>
    <row r="52">
      <c r="A52" s="84">
        <v>46003.0</v>
      </c>
      <c r="B52" s="46" t="s">
        <v>16</v>
      </c>
      <c r="C52" s="37"/>
      <c r="D52" s="37"/>
      <c r="E52" s="12">
        <f t="shared" si="43"/>
        <v>0</v>
      </c>
      <c r="F52" s="47">
        <v>39.0</v>
      </c>
      <c r="G52" s="14" t="str">
        <f t="shared" si="44"/>
        <v>#DIV/0!</v>
      </c>
      <c r="H52" s="40">
        <v>27702.0</v>
      </c>
      <c r="I52" s="40">
        <v>27971.0</v>
      </c>
      <c r="J52" s="37">
        <f t="shared" si="45"/>
        <v>269</v>
      </c>
      <c r="K52" s="52">
        <f t="shared" si="46"/>
        <v>39</v>
      </c>
      <c r="L52" s="48">
        <f t="shared" si="47"/>
        <v>14.49814126</v>
      </c>
      <c r="M52" s="50">
        <v>18150.0</v>
      </c>
      <c r="N52" s="49">
        <f t="shared" si="48"/>
        <v>707850</v>
      </c>
      <c r="R52" s="80" t="str">
        <f t="shared" si="42"/>
        <v/>
      </c>
    </row>
    <row r="53">
      <c r="A53" s="84">
        <v>46009.0</v>
      </c>
      <c r="B53" s="46" t="s">
        <v>16</v>
      </c>
      <c r="C53" s="37"/>
      <c r="D53" s="37">
        <v>144204.0</v>
      </c>
      <c r="E53" s="12">
        <f t="shared" si="43"/>
        <v>144204</v>
      </c>
      <c r="F53" s="47">
        <v>40.0</v>
      </c>
      <c r="G53" s="14">
        <f t="shared" si="44"/>
        <v>0.0277384816</v>
      </c>
      <c r="H53" s="40"/>
      <c r="I53" s="40">
        <v>28615.0</v>
      </c>
      <c r="J53" s="37">
        <f t="shared" si="45"/>
        <v>28615</v>
      </c>
      <c r="K53" s="52">
        <f t="shared" si="46"/>
        <v>40</v>
      </c>
      <c r="L53" s="48">
        <f t="shared" si="47"/>
        <v>0.1397868251</v>
      </c>
      <c r="M53" s="50">
        <v>18150.0</v>
      </c>
      <c r="N53" s="49">
        <f t="shared" si="48"/>
        <v>726000</v>
      </c>
      <c r="P53" s="82"/>
      <c r="R53" s="80" t="str">
        <f t="shared" si="42"/>
        <v/>
      </c>
    </row>
    <row r="54">
      <c r="A54" s="84">
        <v>46011.0</v>
      </c>
      <c r="B54" s="46" t="s">
        <v>16</v>
      </c>
      <c r="C54" s="37">
        <v>144204.0</v>
      </c>
      <c r="D54" s="37">
        <v>144456.0</v>
      </c>
      <c r="E54" s="12">
        <f t="shared" si="43"/>
        <v>252</v>
      </c>
      <c r="F54" s="47">
        <v>35.0</v>
      </c>
      <c r="G54" s="14">
        <f t="shared" si="44"/>
        <v>13.88888889</v>
      </c>
      <c r="H54" s="40">
        <v>28615.0</v>
      </c>
      <c r="I54" s="40">
        <v>28952.0</v>
      </c>
      <c r="J54" s="37">
        <f t="shared" si="45"/>
        <v>337</v>
      </c>
      <c r="K54" s="52">
        <f t="shared" si="46"/>
        <v>35</v>
      </c>
      <c r="L54" s="48">
        <f t="shared" si="47"/>
        <v>10.38575668</v>
      </c>
      <c r="M54" s="50">
        <v>17470.0</v>
      </c>
      <c r="N54" s="49">
        <f t="shared" si="48"/>
        <v>611450</v>
      </c>
      <c r="R54" s="80" t="str">
        <f t="shared" si="42"/>
        <v/>
      </c>
    </row>
    <row r="55">
      <c r="A55" s="84">
        <v>46015.0</v>
      </c>
      <c r="B55" s="46" t="s">
        <v>16</v>
      </c>
      <c r="C55" s="37">
        <v>144456.0</v>
      </c>
      <c r="D55" s="37">
        <v>144788.0</v>
      </c>
      <c r="E55" s="12">
        <f t="shared" si="43"/>
        <v>332</v>
      </c>
      <c r="F55" s="47">
        <v>43.0</v>
      </c>
      <c r="G55" s="14">
        <f t="shared" si="44"/>
        <v>12.95180723</v>
      </c>
      <c r="H55" s="40">
        <v>28952.0</v>
      </c>
      <c r="I55" s="40">
        <v>29248.0</v>
      </c>
      <c r="J55" s="37">
        <f t="shared" si="45"/>
        <v>296</v>
      </c>
      <c r="K55" s="52">
        <f t="shared" si="46"/>
        <v>43</v>
      </c>
      <c r="L55" s="48">
        <f t="shared" si="47"/>
        <v>14.52702703</v>
      </c>
      <c r="M55" s="50">
        <v>17470.0</v>
      </c>
      <c r="N55" s="49">
        <f t="shared" si="48"/>
        <v>751210</v>
      </c>
      <c r="R55" s="80" t="str">
        <f t="shared" si="42"/>
        <v/>
      </c>
    </row>
    <row r="56">
      <c r="A56" s="84">
        <v>46020.0</v>
      </c>
      <c r="B56" s="46" t="s">
        <v>16</v>
      </c>
      <c r="C56" s="37">
        <v>144788.0</v>
      </c>
      <c r="D56" s="37">
        <v>145148.0</v>
      </c>
      <c r="E56" s="12">
        <f t="shared" si="43"/>
        <v>360</v>
      </c>
      <c r="F56" s="47">
        <v>47.0</v>
      </c>
      <c r="G56" s="14">
        <f t="shared" si="44"/>
        <v>13.05555556</v>
      </c>
      <c r="H56" s="40">
        <v>29248.0</v>
      </c>
      <c r="I56" s="40">
        <v>29646.0</v>
      </c>
      <c r="J56" s="37">
        <f t="shared" si="45"/>
        <v>398</v>
      </c>
      <c r="K56" s="52">
        <f t="shared" si="46"/>
        <v>47</v>
      </c>
      <c r="L56" s="48">
        <f t="shared" si="47"/>
        <v>11.80904523</v>
      </c>
      <c r="M56" s="50">
        <v>17250.0</v>
      </c>
      <c r="N56" s="49">
        <f t="shared" si="48"/>
        <v>810750</v>
      </c>
      <c r="R56" s="80" t="str">
        <f t="shared" si="42"/>
        <v/>
      </c>
    </row>
    <row r="57">
      <c r="A57" s="84"/>
      <c r="B57" s="46" t="s">
        <v>16</v>
      </c>
      <c r="C57" s="37"/>
      <c r="D57" s="37"/>
      <c r="E57" s="12">
        <f t="shared" si="43"/>
        <v>0</v>
      </c>
      <c r="F57" s="47"/>
      <c r="G57" s="14" t="str">
        <f t="shared" si="44"/>
        <v>#DIV/0!</v>
      </c>
      <c r="H57" s="40"/>
      <c r="I57" s="40"/>
      <c r="J57" s="37">
        <f t="shared" si="45"/>
        <v>0</v>
      </c>
      <c r="K57" s="52" t="str">
        <f t="shared" si="46"/>
        <v/>
      </c>
      <c r="L57" s="48" t="str">
        <f t="shared" si="47"/>
        <v>#DIV/0!</v>
      </c>
      <c r="M57" s="50"/>
      <c r="N57" s="49">
        <f t="shared" si="48"/>
        <v>0</v>
      </c>
    </row>
    <row r="58">
      <c r="A58" s="84"/>
      <c r="B58" s="46" t="s">
        <v>16</v>
      </c>
      <c r="C58" s="37"/>
      <c r="D58" s="37"/>
      <c r="E58" s="12">
        <f t="shared" si="43"/>
        <v>0</v>
      </c>
      <c r="F58" s="47"/>
      <c r="G58" s="14" t="str">
        <f t="shared" si="44"/>
        <v>#DIV/0!</v>
      </c>
      <c r="H58" s="40"/>
      <c r="I58" s="40"/>
      <c r="J58" s="37">
        <f t="shared" si="45"/>
        <v>0</v>
      </c>
      <c r="K58" s="52" t="str">
        <f t="shared" si="46"/>
        <v/>
      </c>
      <c r="L58" s="48" t="str">
        <f t="shared" si="47"/>
        <v>#DIV/0!</v>
      </c>
      <c r="M58" s="50"/>
      <c r="N58" s="49">
        <f t="shared" si="48"/>
        <v>0</v>
      </c>
      <c r="R58" s="80" t="str">
        <f t="shared" ref="R58:R63" si="49">Q58</f>
        <v/>
      </c>
    </row>
    <row r="59">
      <c r="A59" s="84"/>
      <c r="B59" s="46" t="s">
        <v>16</v>
      </c>
      <c r="C59" s="55"/>
      <c r="D59" s="55"/>
      <c r="E59" s="25">
        <f t="shared" si="43"/>
        <v>0</v>
      </c>
      <c r="F59" s="47"/>
      <c r="G59" s="56" t="str">
        <f t="shared" si="44"/>
        <v>#DIV/0!</v>
      </c>
      <c r="H59" s="55"/>
      <c r="I59" s="85"/>
      <c r="J59" s="55">
        <f t="shared" si="45"/>
        <v>0</v>
      </c>
      <c r="K59" s="52" t="str">
        <f t="shared" si="46"/>
        <v/>
      </c>
      <c r="L59" s="77" t="str">
        <f t="shared" si="47"/>
        <v>#DIV/0!</v>
      </c>
      <c r="M59" s="50"/>
      <c r="N59" s="59">
        <f t="shared" si="48"/>
        <v>0</v>
      </c>
      <c r="R59" s="80" t="str">
        <f t="shared" si="49"/>
        <v/>
      </c>
    </row>
    <row r="60">
      <c r="A60" s="62"/>
      <c r="B60" s="63"/>
      <c r="C60" s="86"/>
      <c r="D60" s="64" t="s">
        <v>19</v>
      </c>
      <c r="E60" s="64">
        <f>sum(E49:E59)</f>
        <v>145876</v>
      </c>
      <c r="F60" s="39"/>
      <c r="G60" s="65" t="str">
        <f>average(G49:G59)</f>
        <v>#DIV/0!</v>
      </c>
      <c r="H60" s="62"/>
      <c r="I60" s="66"/>
      <c r="J60" s="64">
        <f t="shared" ref="J60:K60" si="50">sum(J49:J59)</f>
        <v>30715</v>
      </c>
      <c r="K60" s="64">
        <f t="shared" si="50"/>
        <v>304</v>
      </c>
      <c r="L60" s="65" t="str">
        <f>average(L49:L59)</f>
        <v>#DIV/0!</v>
      </c>
      <c r="M60" s="68"/>
      <c r="N60" s="69">
        <f>sum(N49:N59)</f>
        <v>5457860</v>
      </c>
      <c r="R60" s="80" t="str">
        <f t="shared" si="49"/>
        <v/>
      </c>
    </row>
    <row r="61">
      <c r="A61" s="70">
        <v>45993.0</v>
      </c>
      <c r="B61" s="87" t="s">
        <v>18</v>
      </c>
      <c r="C61" s="37">
        <v>147705.0</v>
      </c>
      <c r="D61" s="37">
        <v>148039.0</v>
      </c>
      <c r="E61" s="38">
        <f t="shared" ref="E61:E69" si="51">D61-C61</f>
        <v>334</v>
      </c>
      <c r="F61" s="39">
        <v>47.0</v>
      </c>
      <c r="G61" s="14">
        <f t="shared" ref="G61:G69" si="52">(F61/E61)*100</f>
        <v>14.07185629</v>
      </c>
      <c r="H61" s="40">
        <v>19473.0</v>
      </c>
      <c r="I61" s="40">
        <v>19738.0</v>
      </c>
      <c r="J61" s="41">
        <f t="shared" ref="J61:J69" si="53">I61-H61</f>
        <v>265</v>
      </c>
      <c r="K61" s="81">
        <f t="shared" ref="K61:K69" si="54">F61</f>
        <v>47</v>
      </c>
      <c r="L61" s="71">
        <f t="shared" ref="L61:L69" si="55">(K61/J61)*100</f>
        <v>17.73584906</v>
      </c>
      <c r="M61" s="72">
        <v>18800.0</v>
      </c>
      <c r="N61" s="44">
        <f t="shared" ref="N61:N69" si="56">F61*M61</f>
        <v>883600</v>
      </c>
      <c r="R61" s="80" t="str">
        <f t="shared" si="49"/>
        <v/>
      </c>
    </row>
    <row r="62">
      <c r="A62" s="35">
        <v>45997.0</v>
      </c>
      <c r="B62" s="46" t="s">
        <v>18</v>
      </c>
      <c r="C62" s="37">
        <v>148039.0</v>
      </c>
      <c r="D62" s="37">
        <v>148338.0</v>
      </c>
      <c r="E62" s="12">
        <f t="shared" si="51"/>
        <v>299</v>
      </c>
      <c r="F62" s="47">
        <v>41.0</v>
      </c>
      <c r="G62" s="14">
        <f t="shared" si="52"/>
        <v>13.71237458</v>
      </c>
      <c r="H62" s="40">
        <v>19738.0</v>
      </c>
      <c r="I62" s="40">
        <v>20035.0</v>
      </c>
      <c r="J62" s="37">
        <f t="shared" si="53"/>
        <v>297</v>
      </c>
      <c r="K62" s="52">
        <f t="shared" si="54"/>
        <v>41</v>
      </c>
      <c r="L62" s="48">
        <f t="shared" si="55"/>
        <v>13.8047138</v>
      </c>
      <c r="M62" s="50">
        <v>18380.0</v>
      </c>
      <c r="N62" s="49">
        <f t="shared" si="56"/>
        <v>753580</v>
      </c>
      <c r="R62" s="80" t="str">
        <f t="shared" si="49"/>
        <v/>
      </c>
    </row>
    <row r="63">
      <c r="A63" s="35">
        <v>46001.0</v>
      </c>
      <c r="B63" s="46" t="s">
        <v>18</v>
      </c>
      <c r="C63" s="37">
        <v>148338.0</v>
      </c>
      <c r="D63" s="37">
        <v>148669.0</v>
      </c>
      <c r="E63" s="12">
        <f t="shared" si="51"/>
        <v>331</v>
      </c>
      <c r="F63" s="47">
        <v>45.0</v>
      </c>
      <c r="G63" s="14">
        <f t="shared" si="52"/>
        <v>13.59516616</v>
      </c>
      <c r="H63" s="40">
        <v>20035.0</v>
      </c>
      <c r="I63" s="40">
        <v>20412.0</v>
      </c>
      <c r="J63" s="37">
        <f t="shared" si="53"/>
        <v>377</v>
      </c>
      <c r="K63" s="52">
        <f t="shared" si="54"/>
        <v>45</v>
      </c>
      <c r="L63" s="48">
        <f t="shared" si="55"/>
        <v>11.93633952</v>
      </c>
      <c r="M63" s="50">
        <v>18380.0</v>
      </c>
      <c r="N63" s="49">
        <f t="shared" si="56"/>
        <v>827100</v>
      </c>
      <c r="R63" s="80" t="str">
        <f t="shared" si="49"/>
        <v/>
      </c>
    </row>
    <row r="64">
      <c r="A64" s="35">
        <v>46006.0</v>
      </c>
      <c r="B64" s="46" t="s">
        <v>18</v>
      </c>
      <c r="C64" s="37">
        <v>148669.0</v>
      </c>
      <c r="D64" s="37">
        <v>149061.0</v>
      </c>
      <c r="E64" s="12">
        <f t="shared" si="51"/>
        <v>392</v>
      </c>
      <c r="F64" s="47">
        <v>53.0</v>
      </c>
      <c r="G64" s="14">
        <f t="shared" si="52"/>
        <v>13.52040816</v>
      </c>
      <c r="H64" s="40">
        <v>20412.0</v>
      </c>
      <c r="I64" s="40">
        <v>20854.0</v>
      </c>
      <c r="J64" s="37">
        <f t="shared" si="53"/>
        <v>442</v>
      </c>
      <c r="K64" s="52">
        <f t="shared" si="54"/>
        <v>53</v>
      </c>
      <c r="L64" s="48">
        <f t="shared" si="55"/>
        <v>11.99095023</v>
      </c>
      <c r="M64" s="50">
        <v>18150.0</v>
      </c>
      <c r="N64" s="49">
        <f t="shared" si="56"/>
        <v>961950</v>
      </c>
    </row>
    <row r="65">
      <c r="A65" s="35">
        <v>46009.0</v>
      </c>
      <c r="B65" s="46" t="s">
        <v>18</v>
      </c>
      <c r="C65" s="37">
        <v>149061.0</v>
      </c>
      <c r="D65" s="37">
        <v>149359.0</v>
      </c>
      <c r="E65" s="12">
        <f t="shared" si="51"/>
        <v>298</v>
      </c>
      <c r="F65" s="47">
        <v>38.0</v>
      </c>
      <c r="G65" s="14">
        <f t="shared" si="52"/>
        <v>12.75167785</v>
      </c>
      <c r="H65" s="40">
        <v>20854.0</v>
      </c>
      <c r="I65" s="40">
        <v>21149.0</v>
      </c>
      <c r="J65" s="37">
        <f t="shared" si="53"/>
        <v>295</v>
      </c>
      <c r="K65" s="52">
        <f t="shared" si="54"/>
        <v>38</v>
      </c>
      <c r="L65" s="48">
        <f t="shared" si="55"/>
        <v>12.88135593</v>
      </c>
      <c r="M65" s="50">
        <v>17470.0</v>
      </c>
      <c r="N65" s="49">
        <f t="shared" si="56"/>
        <v>663860</v>
      </c>
      <c r="R65" s="80" t="str">
        <f t="shared" ref="R65:R161" si="57">Q65</f>
        <v/>
      </c>
    </row>
    <row r="66">
      <c r="A66" s="35">
        <v>46014.0</v>
      </c>
      <c r="B66" s="46" t="s">
        <v>18</v>
      </c>
      <c r="C66" s="37">
        <v>149359.0</v>
      </c>
      <c r="D66" s="37">
        <v>149729.0</v>
      </c>
      <c r="E66" s="12">
        <f t="shared" si="51"/>
        <v>370</v>
      </c>
      <c r="F66" s="47">
        <v>51.0</v>
      </c>
      <c r="G66" s="14">
        <f t="shared" si="52"/>
        <v>13.78378378</v>
      </c>
      <c r="H66" s="40">
        <v>21149.0</v>
      </c>
      <c r="I66" s="40">
        <v>21556.0</v>
      </c>
      <c r="J66" s="37">
        <f t="shared" si="53"/>
        <v>407</v>
      </c>
      <c r="K66" s="52">
        <f t="shared" si="54"/>
        <v>51</v>
      </c>
      <c r="L66" s="48">
        <f t="shared" si="55"/>
        <v>12.53071253</v>
      </c>
      <c r="M66" s="50">
        <v>17470.0</v>
      </c>
      <c r="N66" s="49">
        <f t="shared" si="56"/>
        <v>890970</v>
      </c>
      <c r="R66" s="80" t="str">
        <f t="shared" si="57"/>
        <v/>
      </c>
    </row>
    <row r="67">
      <c r="A67" s="35">
        <v>46018.0</v>
      </c>
      <c r="B67" s="46" t="s">
        <v>18</v>
      </c>
      <c r="C67" s="37">
        <v>149729.0</v>
      </c>
      <c r="D67" s="37">
        <v>150067.0</v>
      </c>
      <c r="E67" s="53">
        <f t="shared" si="51"/>
        <v>338</v>
      </c>
      <c r="F67" s="47">
        <v>45.0</v>
      </c>
      <c r="G67" s="14">
        <f t="shared" si="52"/>
        <v>13.31360947</v>
      </c>
      <c r="H67" s="40">
        <v>21556.0</v>
      </c>
      <c r="I67" s="40">
        <v>21990.0</v>
      </c>
      <c r="J67" s="37">
        <f t="shared" si="53"/>
        <v>434</v>
      </c>
      <c r="K67" s="52">
        <f t="shared" si="54"/>
        <v>45</v>
      </c>
      <c r="L67" s="48">
        <f t="shared" si="55"/>
        <v>10.36866359</v>
      </c>
      <c r="M67" s="50">
        <v>17250.0</v>
      </c>
      <c r="N67" s="49">
        <f t="shared" si="56"/>
        <v>776250</v>
      </c>
      <c r="R67" s="80" t="str">
        <f t="shared" si="57"/>
        <v/>
      </c>
    </row>
    <row r="68">
      <c r="A68" s="45"/>
      <c r="B68" s="51" t="s">
        <v>18</v>
      </c>
      <c r="C68" s="11"/>
      <c r="D68" s="52"/>
      <c r="E68" s="53">
        <f t="shared" si="51"/>
        <v>0</v>
      </c>
      <c r="F68" s="47"/>
      <c r="G68" s="14" t="str">
        <f t="shared" si="52"/>
        <v>#DIV/0!</v>
      </c>
      <c r="H68" s="37"/>
      <c r="I68" s="40"/>
      <c r="J68" s="37">
        <f t="shared" si="53"/>
        <v>0</v>
      </c>
      <c r="K68" s="52" t="str">
        <f t="shared" si="54"/>
        <v/>
      </c>
      <c r="L68" s="48" t="str">
        <f t="shared" si="55"/>
        <v>#DIV/0!</v>
      </c>
      <c r="M68" s="50"/>
      <c r="N68" s="49">
        <f t="shared" si="56"/>
        <v>0</v>
      </c>
      <c r="R68" s="80" t="str">
        <f t="shared" si="57"/>
        <v/>
      </c>
    </row>
    <row r="69">
      <c r="A69" s="35"/>
      <c r="B69" s="46" t="s">
        <v>18</v>
      </c>
      <c r="C69" s="13"/>
      <c r="D69" s="55"/>
      <c r="E69" s="25">
        <f t="shared" si="51"/>
        <v>0</v>
      </c>
      <c r="F69" s="47"/>
      <c r="G69" s="56" t="str">
        <f t="shared" si="52"/>
        <v>#DIV/0!</v>
      </c>
      <c r="H69" s="55"/>
      <c r="I69" s="57"/>
      <c r="J69" s="55">
        <f t="shared" si="53"/>
        <v>0</v>
      </c>
      <c r="K69" s="52" t="str">
        <f t="shared" si="54"/>
        <v/>
      </c>
      <c r="L69" s="77" t="str">
        <f t="shared" si="55"/>
        <v>#DIV/0!</v>
      </c>
      <c r="M69" s="50"/>
      <c r="N69" s="59">
        <f t="shared" si="56"/>
        <v>0</v>
      </c>
      <c r="R69" s="80" t="str">
        <f t="shared" si="57"/>
        <v/>
      </c>
    </row>
    <row r="70">
      <c r="A70" s="62"/>
      <c r="B70" s="63"/>
      <c r="C70" s="88"/>
      <c r="D70" s="64" t="s">
        <v>19</v>
      </c>
      <c r="E70" s="64">
        <f t="shared" ref="E70:F70" si="58">sum(E61:E69)</f>
        <v>2362</v>
      </c>
      <c r="F70" s="64">
        <f t="shared" si="58"/>
        <v>320</v>
      </c>
      <c r="G70" s="65" t="str">
        <f>average(G61:G69)</f>
        <v>#DIV/0!</v>
      </c>
      <c r="H70" s="62"/>
      <c r="I70" s="66"/>
      <c r="J70" s="64">
        <f t="shared" ref="J70:K70" si="59">sum(J61:J69)</f>
        <v>2517</v>
      </c>
      <c r="K70" s="64">
        <f t="shared" si="59"/>
        <v>320</v>
      </c>
      <c r="L70" s="65" t="str">
        <f>average(L61:L69)</f>
        <v>#DIV/0!</v>
      </c>
      <c r="M70" s="68"/>
      <c r="N70" s="69">
        <f>sum(N61:N69)</f>
        <v>5757310</v>
      </c>
      <c r="R70" s="80" t="str">
        <f t="shared" si="57"/>
        <v/>
      </c>
    </row>
    <row r="71">
      <c r="A71" s="70">
        <v>45995.0</v>
      </c>
      <c r="B71" s="36" t="s">
        <v>20</v>
      </c>
      <c r="C71" s="37">
        <v>393946.0</v>
      </c>
      <c r="D71" s="37">
        <v>394711.0</v>
      </c>
      <c r="E71" s="38">
        <f t="shared" ref="E71:E74" si="60">D71-C71</f>
        <v>765</v>
      </c>
      <c r="F71" s="39">
        <v>87.0</v>
      </c>
      <c r="G71" s="14">
        <f t="shared" ref="G71:G77" si="61">(F71/E71)*100</f>
        <v>11.37254902</v>
      </c>
      <c r="H71" s="40"/>
      <c r="I71" s="40">
        <v>26896.0</v>
      </c>
      <c r="J71" s="41">
        <f t="shared" ref="J71:J77" si="62">I71-H71</f>
        <v>26896</v>
      </c>
      <c r="K71" s="81">
        <f t="shared" ref="K71:K74" si="63">F71</f>
        <v>87</v>
      </c>
      <c r="L71" s="71">
        <f t="shared" ref="L71:L77" si="64">(K71/J71)*100</f>
        <v>0.3234681737</v>
      </c>
      <c r="M71" s="72">
        <v>18800.0</v>
      </c>
      <c r="N71" s="44">
        <f t="shared" ref="N71:N74" si="65">F71*M71</f>
        <v>1635600</v>
      </c>
      <c r="R71" s="80" t="str">
        <f t="shared" si="57"/>
        <v/>
      </c>
    </row>
    <row r="72">
      <c r="A72" s="35">
        <v>46003.0</v>
      </c>
      <c r="B72" s="46" t="s">
        <v>20</v>
      </c>
      <c r="C72" s="37">
        <v>394711.0</v>
      </c>
      <c r="D72" s="37">
        <v>395322.0</v>
      </c>
      <c r="E72" s="12">
        <f t="shared" si="60"/>
        <v>611</v>
      </c>
      <c r="F72" s="47">
        <v>84.0</v>
      </c>
      <c r="G72" s="14">
        <f t="shared" si="61"/>
        <v>13.74795417</v>
      </c>
      <c r="H72" s="40">
        <v>26896.0</v>
      </c>
      <c r="I72" s="89">
        <v>27497.0</v>
      </c>
      <c r="J72" s="37">
        <f t="shared" si="62"/>
        <v>601</v>
      </c>
      <c r="K72" s="52">
        <f t="shared" si="63"/>
        <v>84</v>
      </c>
      <c r="L72" s="48">
        <f t="shared" si="64"/>
        <v>13.97670549</v>
      </c>
      <c r="M72" s="50">
        <v>18150.0</v>
      </c>
      <c r="N72" s="49">
        <f t="shared" si="65"/>
        <v>1524600</v>
      </c>
      <c r="R72" s="80" t="str">
        <f t="shared" si="57"/>
        <v/>
      </c>
    </row>
    <row r="73">
      <c r="A73" s="35">
        <v>46009.0</v>
      </c>
      <c r="B73" s="46" t="s">
        <v>20</v>
      </c>
      <c r="C73" s="37">
        <v>395322.0</v>
      </c>
      <c r="D73" s="37">
        <v>395853.0</v>
      </c>
      <c r="E73" s="12">
        <f t="shared" si="60"/>
        <v>531</v>
      </c>
      <c r="F73" s="47">
        <v>70.0</v>
      </c>
      <c r="G73" s="14">
        <f t="shared" si="61"/>
        <v>13.1826742</v>
      </c>
      <c r="H73" s="89">
        <v>27497.0</v>
      </c>
      <c r="I73" s="40">
        <v>28013.0</v>
      </c>
      <c r="J73" s="37">
        <f t="shared" si="62"/>
        <v>516</v>
      </c>
      <c r="K73" s="52">
        <f t="shared" si="63"/>
        <v>70</v>
      </c>
      <c r="L73" s="48">
        <f t="shared" si="64"/>
        <v>13.56589147</v>
      </c>
      <c r="M73" s="50">
        <v>17470.0</v>
      </c>
      <c r="N73" s="49">
        <f t="shared" si="65"/>
        <v>1222900</v>
      </c>
      <c r="R73" s="80" t="str">
        <f t="shared" si="57"/>
        <v/>
      </c>
    </row>
    <row r="74">
      <c r="A74" s="35">
        <v>46016.0</v>
      </c>
      <c r="B74" s="46" t="s">
        <v>20</v>
      </c>
      <c r="C74" s="37">
        <v>395853.0</v>
      </c>
      <c r="D74" s="37">
        <v>396468.0</v>
      </c>
      <c r="E74" s="12">
        <f t="shared" si="60"/>
        <v>615</v>
      </c>
      <c r="F74" s="47">
        <v>80.0</v>
      </c>
      <c r="G74" s="14">
        <f t="shared" si="61"/>
        <v>13.00813008</v>
      </c>
      <c r="H74" s="40">
        <v>28013.0</v>
      </c>
      <c r="I74" s="40">
        <v>28648.0</v>
      </c>
      <c r="J74" s="37">
        <f t="shared" si="62"/>
        <v>635</v>
      </c>
      <c r="K74" s="52">
        <f t="shared" si="63"/>
        <v>80</v>
      </c>
      <c r="L74" s="48">
        <f t="shared" si="64"/>
        <v>12.5984252</v>
      </c>
      <c r="M74" s="50">
        <v>17250.0</v>
      </c>
      <c r="N74" s="49">
        <f t="shared" si="65"/>
        <v>1380000</v>
      </c>
      <c r="R74" s="80" t="str">
        <f t="shared" si="57"/>
        <v/>
      </c>
    </row>
    <row r="75">
      <c r="A75" s="35"/>
      <c r="B75" s="46" t="s">
        <v>20</v>
      </c>
      <c r="C75" s="37"/>
      <c r="D75" s="37"/>
      <c r="E75" s="12"/>
      <c r="F75" s="47"/>
      <c r="G75" s="14" t="str">
        <f t="shared" si="61"/>
        <v>#DIV/0!</v>
      </c>
      <c r="H75" s="37"/>
      <c r="I75" s="40"/>
      <c r="J75" s="37">
        <f t="shared" si="62"/>
        <v>0</v>
      </c>
      <c r="K75" s="52"/>
      <c r="L75" s="48" t="str">
        <f t="shared" si="64"/>
        <v>#DIV/0!</v>
      </c>
      <c r="M75" s="50"/>
      <c r="N75" s="49">
        <f>M75*K75</f>
        <v>0</v>
      </c>
      <c r="R75" s="80" t="str">
        <f t="shared" si="57"/>
        <v/>
      </c>
    </row>
    <row r="76">
      <c r="A76" s="35"/>
      <c r="B76" s="46" t="s">
        <v>20</v>
      </c>
      <c r="C76" s="37"/>
      <c r="D76" s="37"/>
      <c r="E76" s="12">
        <f t="shared" ref="E76:E77" si="66">D76-C76</f>
        <v>0</v>
      </c>
      <c r="F76" s="90"/>
      <c r="G76" s="14" t="str">
        <f t="shared" si="61"/>
        <v>#DIV/0!</v>
      </c>
      <c r="H76" s="37"/>
      <c r="I76" s="93"/>
      <c r="J76" s="37">
        <f t="shared" si="62"/>
        <v>0</v>
      </c>
      <c r="K76" s="52" t="str">
        <f t="shared" ref="K76:K77" si="67">F76</f>
        <v/>
      </c>
      <c r="L76" s="48" t="str">
        <f t="shared" si="64"/>
        <v>#DIV/0!</v>
      </c>
      <c r="M76" s="50"/>
      <c r="N76" s="49">
        <f t="shared" ref="N76:N77" si="68">F76*M76</f>
        <v>0</v>
      </c>
      <c r="R76" s="80" t="str">
        <f t="shared" si="57"/>
        <v/>
      </c>
    </row>
    <row r="77">
      <c r="A77" s="94"/>
      <c r="B77" s="267"/>
      <c r="C77" s="55"/>
      <c r="D77" s="95"/>
      <c r="E77" s="25">
        <f t="shared" si="66"/>
        <v>0</v>
      </c>
      <c r="F77" s="47"/>
      <c r="G77" s="56" t="str">
        <f t="shared" si="61"/>
        <v>#DIV/0!</v>
      </c>
      <c r="H77" s="55"/>
      <c r="I77" s="85"/>
      <c r="J77" s="55">
        <f t="shared" si="62"/>
        <v>0</v>
      </c>
      <c r="K77" s="52" t="str">
        <f t="shared" si="67"/>
        <v/>
      </c>
      <c r="L77" s="77" t="str">
        <f t="shared" si="64"/>
        <v>#DIV/0!</v>
      </c>
      <c r="M77" s="96"/>
      <c r="N77" s="59">
        <f t="shared" si="68"/>
        <v>0</v>
      </c>
      <c r="R77" s="80" t="str">
        <f t="shared" si="57"/>
        <v/>
      </c>
    </row>
    <row r="78">
      <c r="A78" s="62"/>
      <c r="B78" s="63"/>
      <c r="C78" s="62"/>
      <c r="D78" s="64" t="s">
        <v>19</v>
      </c>
      <c r="E78" s="64">
        <f>sum(E71:E77)</f>
        <v>2522</v>
      </c>
      <c r="F78" s="39"/>
      <c r="G78" s="65" t="str">
        <f>average(G71:G77)</f>
        <v>#DIV/0!</v>
      </c>
      <c r="H78" s="62"/>
      <c r="I78" s="66"/>
      <c r="J78" s="64">
        <f>sum(J71:J77)</f>
        <v>28648</v>
      </c>
      <c r="K78" s="64">
        <f>sum(K72:K77)</f>
        <v>234</v>
      </c>
      <c r="L78" s="65" t="str">
        <f>average(L71:L77)</f>
        <v>#DIV/0!</v>
      </c>
      <c r="M78" s="68"/>
      <c r="N78" s="69">
        <f>sum(N71:N77)</f>
        <v>5763100</v>
      </c>
      <c r="R78" s="80" t="str">
        <f t="shared" si="57"/>
        <v/>
      </c>
    </row>
    <row r="79">
      <c r="A79" s="91">
        <v>45996.0</v>
      </c>
      <c r="B79" s="36" t="s">
        <v>21</v>
      </c>
      <c r="C79" s="37">
        <v>375459.0</v>
      </c>
      <c r="D79" s="37">
        <v>376000.0</v>
      </c>
      <c r="E79" s="38">
        <f t="shared" ref="E79:E85" si="69">D79-C79</f>
        <v>541</v>
      </c>
      <c r="F79" s="39">
        <v>74.0</v>
      </c>
      <c r="G79" s="14">
        <f t="shared" ref="G79:G85" si="70">(F79/E79)*100</f>
        <v>13.67837338</v>
      </c>
      <c r="H79" s="40">
        <v>18829.0</v>
      </c>
      <c r="I79" s="40">
        <v>19216.0</v>
      </c>
      <c r="J79" s="41">
        <f t="shared" ref="J79:J85" si="71">I79-H79</f>
        <v>387</v>
      </c>
      <c r="K79" s="81">
        <f t="shared" ref="K79:K85" si="72">F79</f>
        <v>74</v>
      </c>
      <c r="L79" s="71">
        <f t="shared" ref="L79:L85" si="73">(K79/J79)*100</f>
        <v>19.12144703</v>
      </c>
      <c r="M79" s="72">
        <v>18380.0</v>
      </c>
      <c r="N79" s="44">
        <f t="shared" ref="N79:N85" si="74">F79*M79</f>
        <v>1360120</v>
      </c>
      <c r="R79" s="80" t="str">
        <f t="shared" si="57"/>
        <v/>
      </c>
    </row>
    <row r="80">
      <c r="A80" s="92">
        <v>46002.0</v>
      </c>
      <c r="B80" s="46" t="s">
        <v>21</v>
      </c>
      <c r="C80" s="37">
        <v>376000.0</v>
      </c>
      <c r="D80" s="37">
        <v>376622.0</v>
      </c>
      <c r="E80" s="12">
        <f t="shared" si="69"/>
        <v>622</v>
      </c>
      <c r="F80" s="47">
        <v>76.0</v>
      </c>
      <c r="G80" s="14">
        <f t="shared" si="70"/>
        <v>12.21864952</v>
      </c>
      <c r="H80" s="268">
        <v>19216.0</v>
      </c>
      <c r="I80" s="40">
        <v>19871.0</v>
      </c>
      <c r="J80" s="37">
        <f t="shared" si="71"/>
        <v>655</v>
      </c>
      <c r="K80" s="52">
        <f t="shared" si="72"/>
        <v>76</v>
      </c>
      <c r="L80" s="48">
        <f t="shared" si="73"/>
        <v>11.60305344</v>
      </c>
      <c r="M80" s="50">
        <v>18150.0</v>
      </c>
      <c r="N80" s="49">
        <f t="shared" si="74"/>
        <v>1379400</v>
      </c>
      <c r="R80" s="80" t="str">
        <f t="shared" si="57"/>
        <v/>
      </c>
    </row>
    <row r="81">
      <c r="A81" s="92">
        <v>46009.0</v>
      </c>
      <c r="B81" s="46" t="s">
        <v>21</v>
      </c>
      <c r="C81" s="37">
        <v>376622.0</v>
      </c>
      <c r="D81" s="37">
        <v>377218.0</v>
      </c>
      <c r="E81" s="12">
        <f t="shared" si="69"/>
        <v>596</v>
      </c>
      <c r="F81" s="47">
        <v>82.0</v>
      </c>
      <c r="G81" s="14">
        <f t="shared" si="70"/>
        <v>13.75838926</v>
      </c>
      <c r="H81" s="40">
        <v>19871.0</v>
      </c>
      <c r="I81" s="40">
        <v>20444.0</v>
      </c>
      <c r="J81" s="37">
        <f t="shared" si="71"/>
        <v>573</v>
      </c>
      <c r="K81" s="52">
        <f t="shared" si="72"/>
        <v>82</v>
      </c>
      <c r="L81" s="48">
        <f t="shared" si="73"/>
        <v>14.31064572</v>
      </c>
      <c r="M81" s="50">
        <v>17470.0</v>
      </c>
      <c r="N81" s="49">
        <f t="shared" si="74"/>
        <v>1432540</v>
      </c>
      <c r="R81" s="80" t="str">
        <f t="shared" si="57"/>
        <v/>
      </c>
    </row>
    <row r="82">
      <c r="A82" s="92">
        <v>46015.0</v>
      </c>
      <c r="B82" s="46" t="s">
        <v>21</v>
      </c>
      <c r="C82" s="37">
        <v>377218.0</v>
      </c>
      <c r="D82" s="37">
        <v>377771.0</v>
      </c>
      <c r="E82" s="12">
        <f t="shared" si="69"/>
        <v>553</v>
      </c>
      <c r="F82" s="47">
        <v>76.0</v>
      </c>
      <c r="G82" s="14">
        <f t="shared" si="70"/>
        <v>13.74321881</v>
      </c>
      <c r="H82" s="40">
        <v>20444.0</v>
      </c>
      <c r="I82" s="40">
        <v>20998.0</v>
      </c>
      <c r="J82" s="37">
        <f t="shared" si="71"/>
        <v>554</v>
      </c>
      <c r="K82" s="52">
        <f t="shared" si="72"/>
        <v>76</v>
      </c>
      <c r="L82" s="48">
        <f t="shared" si="73"/>
        <v>13.71841155</v>
      </c>
      <c r="M82" s="50">
        <v>17470.0</v>
      </c>
      <c r="N82" s="49">
        <f t="shared" si="74"/>
        <v>1327720</v>
      </c>
      <c r="R82" s="80" t="str">
        <f t="shared" si="57"/>
        <v/>
      </c>
    </row>
    <row r="83">
      <c r="A83" s="35">
        <v>46021.0</v>
      </c>
      <c r="B83" s="46" t="s">
        <v>21</v>
      </c>
      <c r="C83" s="37">
        <v>377771.0</v>
      </c>
      <c r="D83" s="37">
        <v>378341.0</v>
      </c>
      <c r="E83" s="12">
        <f t="shared" si="69"/>
        <v>570</v>
      </c>
      <c r="F83" s="47">
        <v>75.0</v>
      </c>
      <c r="G83" s="14">
        <f t="shared" si="70"/>
        <v>13.15789474</v>
      </c>
      <c r="H83" s="40">
        <v>20998.0</v>
      </c>
      <c r="I83" s="40">
        <v>21595.0</v>
      </c>
      <c r="J83" s="37">
        <f t="shared" si="71"/>
        <v>597</v>
      </c>
      <c r="K83" s="52">
        <f t="shared" si="72"/>
        <v>75</v>
      </c>
      <c r="L83" s="48">
        <f t="shared" si="73"/>
        <v>12.56281407</v>
      </c>
      <c r="M83" s="50">
        <v>17250.0</v>
      </c>
      <c r="N83" s="49">
        <f t="shared" si="74"/>
        <v>1293750</v>
      </c>
      <c r="R83" s="80" t="str">
        <f t="shared" si="57"/>
        <v/>
      </c>
    </row>
    <row r="84">
      <c r="A84" s="92"/>
      <c r="B84" s="46" t="s">
        <v>37</v>
      </c>
      <c r="C84" s="37"/>
      <c r="D84" s="37"/>
      <c r="E84" s="12">
        <f t="shared" si="69"/>
        <v>0</v>
      </c>
      <c r="F84" s="47"/>
      <c r="G84" s="14" t="str">
        <f t="shared" si="70"/>
        <v>#DIV/0!</v>
      </c>
      <c r="H84" s="37"/>
      <c r="I84" s="93"/>
      <c r="J84" s="37">
        <f t="shared" si="71"/>
        <v>0</v>
      </c>
      <c r="K84" s="52" t="str">
        <f t="shared" si="72"/>
        <v/>
      </c>
      <c r="L84" s="48" t="str">
        <f t="shared" si="73"/>
        <v>#DIV/0!</v>
      </c>
      <c r="M84" s="50"/>
      <c r="N84" s="49">
        <f t="shared" si="74"/>
        <v>0</v>
      </c>
      <c r="R84" s="80" t="str">
        <f t="shared" si="57"/>
        <v/>
      </c>
    </row>
    <row r="85">
      <c r="A85" s="94"/>
      <c r="B85" s="267"/>
      <c r="C85" s="55"/>
      <c r="D85" s="95"/>
      <c r="E85" s="25">
        <f t="shared" si="69"/>
        <v>0</v>
      </c>
      <c r="F85" s="47"/>
      <c r="G85" s="56" t="str">
        <f t="shared" si="70"/>
        <v>#DIV/0!</v>
      </c>
      <c r="H85" s="55"/>
      <c r="I85" s="85"/>
      <c r="J85" s="55">
        <f t="shared" si="71"/>
        <v>0</v>
      </c>
      <c r="K85" s="52" t="str">
        <f t="shared" si="72"/>
        <v/>
      </c>
      <c r="L85" s="77" t="str">
        <f t="shared" si="73"/>
        <v>#DIV/0!</v>
      </c>
      <c r="M85" s="96"/>
      <c r="N85" s="59">
        <f t="shared" si="74"/>
        <v>0</v>
      </c>
      <c r="R85" s="80" t="str">
        <f t="shared" si="57"/>
        <v/>
      </c>
    </row>
    <row r="86">
      <c r="A86" s="62"/>
      <c r="B86" s="63"/>
      <c r="C86" s="62"/>
      <c r="D86" s="64" t="s">
        <v>19</v>
      </c>
      <c r="E86" s="64">
        <f>sum(E79:E85)</f>
        <v>2882</v>
      </c>
      <c r="F86" s="39"/>
      <c r="G86" s="65" t="str">
        <f>average(G79:G85)</f>
        <v>#DIV/0!</v>
      </c>
      <c r="H86" s="62"/>
      <c r="I86" s="66"/>
      <c r="J86" s="64">
        <f t="shared" ref="J86:K86" si="75">sum(J79:J85)</f>
        <v>2766</v>
      </c>
      <c r="K86" s="64">
        <f t="shared" si="75"/>
        <v>383</v>
      </c>
      <c r="L86" s="65" t="str">
        <f>average(L79:L85)</f>
        <v>#DIV/0!</v>
      </c>
      <c r="M86" s="68"/>
      <c r="N86" s="69">
        <f>sum(N79:N85)</f>
        <v>6793530</v>
      </c>
      <c r="R86" s="80" t="str">
        <f t="shared" si="57"/>
        <v/>
      </c>
    </row>
    <row r="87">
      <c r="A87" s="35">
        <v>45996.0</v>
      </c>
      <c r="B87" s="87" t="s">
        <v>22</v>
      </c>
      <c r="C87" s="37">
        <v>209110.0</v>
      </c>
      <c r="D87" s="37">
        <v>209775.0</v>
      </c>
      <c r="E87" s="38">
        <f t="shared" ref="E87:E93" si="76">D87-C87</f>
        <v>665</v>
      </c>
      <c r="F87" s="39">
        <v>20.0</v>
      </c>
      <c r="G87" s="14">
        <f t="shared" ref="G87:G93" si="77">(F87/E87)*100</f>
        <v>3.007518797</v>
      </c>
      <c r="H87" s="40">
        <v>18585.0</v>
      </c>
      <c r="I87" s="40">
        <v>19117.0</v>
      </c>
      <c r="J87" s="41">
        <f t="shared" ref="J87:J93" si="78">I87-H87</f>
        <v>532</v>
      </c>
      <c r="K87" s="81">
        <f t="shared" ref="K87:K93" si="79">F87</f>
        <v>20</v>
      </c>
      <c r="L87" s="71">
        <f t="shared" ref="L87:L93" si="80">(K87/J87)*100</f>
        <v>3.759398496</v>
      </c>
      <c r="M87" s="72">
        <v>18380.0</v>
      </c>
      <c r="N87" s="44">
        <f t="shared" ref="N87:N93" si="81">F87*M87</f>
        <v>367600</v>
      </c>
      <c r="R87" s="80" t="str">
        <f t="shared" si="57"/>
        <v/>
      </c>
    </row>
    <row r="88">
      <c r="A88" s="35">
        <v>45999.0</v>
      </c>
      <c r="B88" s="46" t="s">
        <v>22</v>
      </c>
      <c r="C88" s="37">
        <v>209775.0</v>
      </c>
      <c r="D88" s="37">
        <v>209908.0</v>
      </c>
      <c r="E88" s="12">
        <f t="shared" si="76"/>
        <v>133</v>
      </c>
      <c r="F88" s="47">
        <v>80.0</v>
      </c>
      <c r="G88" s="14">
        <f t="shared" si="77"/>
        <v>60.15037594</v>
      </c>
      <c r="H88" s="40">
        <v>19117.0</v>
      </c>
      <c r="I88" s="40">
        <v>19125.0</v>
      </c>
      <c r="J88" s="37">
        <f t="shared" si="78"/>
        <v>8</v>
      </c>
      <c r="K88" s="52">
        <f t="shared" si="79"/>
        <v>80</v>
      </c>
      <c r="L88" s="48">
        <f t="shared" si="80"/>
        <v>1000</v>
      </c>
      <c r="M88" s="50">
        <v>18380.0</v>
      </c>
      <c r="N88" s="49">
        <f t="shared" si="81"/>
        <v>1470400</v>
      </c>
      <c r="R88" s="80" t="str">
        <f t="shared" si="57"/>
        <v/>
      </c>
    </row>
    <row r="89">
      <c r="A89" s="35">
        <v>46006.0</v>
      </c>
      <c r="B89" s="46" t="s">
        <v>22</v>
      </c>
      <c r="C89" s="37">
        <v>209908.0</v>
      </c>
      <c r="D89" s="37">
        <v>210475.0</v>
      </c>
      <c r="E89" s="12">
        <f t="shared" si="76"/>
        <v>567</v>
      </c>
      <c r="F89" s="47">
        <v>74.0</v>
      </c>
      <c r="G89" s="14">
        <f t="shared" si="77"/>
        <v>13.05114638</v>
      </c>
      <c r="H89" s="40">
        <v>19125.0</v>
      </c>
      <c r="I89" s="40">
        <v>19782.0</v>
      </c>
      <c r="J89" s="37">
        <f t="shared" si="78"/>
        <v>657</v>
      </c>
      <c r="K89" s="52">
        <f t="shared" si="79"/>
        <v>74</v>
      </c>
      <c r="L89" s="48">
        <f t="shared" si="80"/>
        <v>11.26331811</v>
      </c>
      <c r="M89" s="50">
        <v>18150.0</v>
      </c>
      <c r="N89" s="49">
        <f t="shared" si="81"/>
        <v>1343100</v>
      </c>
      <c r="R89" s="80" t="str">
        <f t="shared" si="57"/>
        <v/>
      </c>
    </row>
    <row r="90">
      <c r="A90" s="35">
        <v>46011.0</v>
      </c>
      <c r="B90" s="46" t="s">
        <v>22</v>
      </c>
      <c r="C90" s="37">
        <v>210475.0</v>
      </c>
      <c r="D90" s="37">
        <v>211066.0</v>
      </c>
      <c r="E90" s="12">
        <f t="shared" si="76"/>
        <v>591</v>
      </c>
      <c r="F90" s="47">
        <v>70.0</v>
      </c>
      <c r="G90" s="14">
        <f t="shared" si="77"/>
        <v>11.84433164</v>
      </c>
      <c r="H90" s="40">
        <v>19782.0</v>
      </c>
      <c r="I90" s="40">
        <v>20300.0</v>
      </c>
      <c r="J90" s="37">
        <f t="shared" si="78"/>
        <v>518</v>
      </c>
      <c r="K90" s="52">
        <f t="shared" si="79"/>
        <v>70</v>
      </c>
      <c r="L90" s="48">
        <f t="shared" si="80"/>
        <v>13.51351351</v>
      </c>
      <c r="M90" s="50">
        <v>17470.0</v>
      </c>
      <c r="N90" s="49">
        <f t="shared" si="81"/>
        <v>1222900</v>
      </c>
      <c r="R90" s="80" t="str">
        <f t="shared" si="57"/>
        <v/>
      </c>
    </row>
    <row r="91">
      <c r="A91" s="35">
        <v>46016.0</v>
      </c>
      <c r="B91" s="46" t="s">
        <v>22</v>
      </c>
      <c r="C91" s="37">
        <v>211066.0</v>
      </c>
      <c r="D91" s="37">
        <v>211555.0</v>
      </c>
      <c r="E91" s="12">
        <f t="shared" si="76"/>
        <v>489</v>
      </c>
      <c r="F91" s="47">
        <v>63.0</v>
      </c>
      <c r="G91" s="14">
        <f t="shared" si="77"/>
        <v>12.88343558</v>
      </c>
      <c r="H91" s="40">
        <v>20300.0</v>
      </c>
      <c r="I91" s="40">
        <v>20758.0</v>
      </c>
      <c r="J91" s="37">
        <f t="shared" si="78"/>
        <v>458</v>
      </c>
      <c r="K91" s="52">
        <f t="shared" si="79"/>
        <v>63</v>
      </c>
      <c r="L91" s="48">
        <f t="shared" si="80"/>
        <v>13.75545852</v>
      </c>
      <c r="M91" s="50">
        <v>17250.0</v>
      </c>
      <c r="N91" s="49">
        <f t="shared" si="81"/>
        <v>1086750</v>
      </c>
      <c r="R91" s="80" t="str">
        <f t="shared" si="57"/>
        <v/>
      </c>
    </row>
    <row r="92">
      <c r="A92" s="92">
        <v>46022.0</v>
      </c>
      <c r="B92" s="46" t="s">
        <v>22</v>
      </c>
      <c r="C92" s="37">
        <v>211555.0</v>
      </c>
      <c r="D92" s="37">
        <v>211980.0</v>
      </c>
      <c r="E92" s="12">
        <f t="shared" si="76"/>
        <v>425</v>
      </c>
      <c r="F92" s="47">
        <v>51.0</v>
      </c>
      <c r="G92" s="14">
        <f t="shared" si="77"/>
        <v>12</v>
      </c>
      <c r="H92" s="40">
        <v>20758.0</v>
      </c>
      <c r="I92" s="40">
        <v>21236.0</v>
      </c>
      <c r="J92" s="37">
        <f t="shared" si="78"/>
        <v>478</v>
      </c>
      <c r="K92" s="52">
        <f t="shared" si="79"/>
        <v>51</v>
      </c>
      <c r="L92" s="48">
        <f t="shared" si="80"/>
        <v>10.66945607</v>
      </c>
      <c r="M92" s="50">
        <v>17250.0</v>
      </c>
      <c r="N92" s="49">
        <f t="shared" si="81"/>
        <v>879750</v>
      </c>
      <c r="R92" s="80" t="str">
        <f t="shared" si="57"/>
        <v/>
      </c>
    </row>
    <row r="93">
      <c r="A93" s="97"/>
      <c r="B93" s="267"/>
      <c r="C93" s="55"/>
      <c r="D93" s="95"/>
      <c r="E93" s="25">
        <f t="shared" si="76"/>
        <v>0</v>
      </c>
      <c r="F93" s="47"/>
      <c r="G93" s="56" t="str">
        <f t="shared" si="77"/>
        <v>#DIV/0!</v>
      </c>
      <c r="H93" s="55"/>
      <c r="I93" s="57"/>
      <c r="J93" s="55">
        <f t="shared" si="78"/>
        <v>0</v>
      </c>
      <c r="K93" s="52" t="str">
        <f t="shared" si="79"/>
        <v/>
      </c>
      <c r="L93" s="77" t="str">
        <f t="shared" si="80"/>
        <v>#DIV/0!</v>
      </c>
      <c r="M93" s="96"/>
      <c r="N93" s="59">
        <f t="shared" si="81"/>
        <v>0</v>
      </c>
      <c r="R93" s="80" t="str">
        <f t="shared" si="57"/>
        <v/>
      </c>
    </row>
    <row r="94">
      <c r="A94" s="62"/>
      <c r="B94" s="63"/>
      <c r="C94" s="62"/>
      <c r="D94" s="64" t="s">
        <v>19</v>
      </c>
      <c r="E94" s="64">
        <f>sum(E87:E93)</f>
        <v>2870</v>
      </c>
      <c r="F94" s="64">
        <f>sum(F86:F93)</f>
        <v>358</v>
      </c>
      <c r="G94" s="65" t="str">
        <f>average(G87:G93)</f>
        <v>#DIV/0!</v>
      </c>
      <c r="H94" s="62"/>
      <c r="I94" s="66"/>
      <c r="J94" s="64">
        <f t="shared" ref="J94:K94" si="82">sum(J87:J93)</f>
        <v>2651</v>
      </c>
      <c r="K94" s="64">
        <f t="shared" si="82"/>
        <v>358</v>
      </c>
      <c r="L94" s="65" t="str">
        <f>average(L87:L93)</f>
        <v>#DIV/0!</v>
      </c>
      <c r="M94" s="68"/>
      <c r="N94" s="69">
        <f>sum(N87:N93)</f>
        <v>6370500</v>
      </c>
      <c r="R94" s="80" t="str">
        <f t="shared" si="57"/>
        <v/>
      </c>
    </row>
    <row r="95">
      <c r="A95" s="98">
        <v>45992.0</v>
      </c>
      <c r="B95" s="99" t="s">
        <v>38</v>
      </c>
      <c r="C95" s="37">
        <v>165333.0</v>
      </c>
      <c r="D95" s="37">
        <v>165832.0</v>
      </c>
      <c r="E95" s="38">
        <f t="shared" ref="E95:E100" si="83">D95-C95</f>
        <v>499</v>
      </c>
      <c r="F95" s="39">
        <v>62.0</v>
      </c>
      <c r="G95" s="14">
        <f t="shared" ref="G95:G100" si="84">(F95/E95)*100</f>
        <v>12.4248497</v>
      </c>
      <c r="H95" s="40">
        <v>21012.0</v>
      </c>
      <c r="I95" s="40">
        <v>21496.0</v>
      </c>
      <c r="J95" s="41">
        <f t="shared" ref="J95:J100" si="85">I95-H95</f>
        <v>484</v>
      </c>
      <c r="K95" s="81">
        <f t="shared" ref="K95:K100" si="86">F95</f>
        <v>62</v>
      </c>
      <c r="L95" s="71">
        <f t="shared" ref="L95:L100" si="87">(K95/J95)*100</f>
        <v>12.80991736</v>
      </c>
      <c r="M95" s="72">
        <v>18800.0</v>
      </c>
      <c r="N95" s="44">
        <f t="shared" ref="N95:N100" si="88">F95*M95</f>
        <v>1165600</v>
      </c>
      <c r="R95" s="80" t="str">
        <f t="shared" si="57"/>
        <v/>
      </c>
    </row>
    <row r="96">
      <c r="A96" s="101">
        <v>46000.0</v>
      </c>
      <c r="B96" s="46" t="s">
        <v>38</v>
      </c>
      <c r="C96" s="37">
        <v>165832.0</v>
      </c>
      <c r="D96" s="37">
        <v>166402.0</v>
      </c>
      <c r="E96" s="12">
        <f t="shared" si="83"/>
        <v>570</v>
      </c>
      <c r="F96" s="47">
        <v>72.0</v>
      </c>
      <c r="G96" s="14">
        <f t="shared" si="84"/>
        <v>12.63157895</v>
      </c>
      <c r="H96" s="40">
        <v>21496.0</v>
      </c>
      <c r="I96" s="40">
        <v>21934.0</v>
      </c>
      <c r="J96" s="37">
        <f t="shared" si="85"/>
        <v>438</v>
      </c>
      <c r="K96" s="52">
        <f t="shared" si="86"/>
        <v>72</v>
      </c>
      <c r="L96" s="48">
        <f t="shared" si="87"/>
        <v>16.43835616</v>
      </c>
      <c r="M96" s="50">
        <v>18380.0</v>
      </c>
      <c r="N96" s="49">
        <f t="shared" si="88"/>
        <v>1323360</v>
      </c>
      <c r="R96" s="80" t="str">
        <f t="shared" si="57"/>
        <v/>
      </c>
    </row>
    <row r="97">
      <c r="A97" s="101">
        <v>46007.0</v>
      </c>
      <c r="B97" s="46" t="s">
        <v>38</v>
      </c>
      <c r="C97" s="37">
        <v>166402.0</v>
      </c>
      <c r="D97" s="37">
        <v>166988.0</v>
      </c>
      <c r="E97" s="12">
        <f t="shared" si="83"/>
        <v>586</v>
      </c>
      <c r="F97" s="47">
        <v>67.0</v>
      </c>
      <c r="G97" s="14">
        <f t="shared" si="84"/>
        <v>11.4334471</v>
      </c>
      <c r="H97" s="40">
        <v>21934.0</v>
      </c>
      <c r="I97" s="40">
        <v>22552.0</v>
      </c>
      <c r="J97" s="37">
        <f t="shared" si="85"/>
        <v>618</v>
      </c>
      <c r="K97" s="52">
        <f t="shared" si="86"/>
        <v>67</v>
      </c>
      <c r="L97" s="48">
        <f t="shared" si="87"/>
        <v>10.84142395</v>
      </c>
      <c r="M97" s="50">
        <v>18150.0</v>
      </c>
      <c r="N97" s="49">
        <f t="shared" si="88"/>
        <v>1216050</v>
      </c>
      <c r="R97" s="80" t="str">
        <f t="shared" si="57"/>
        <v/>
      </c>
    </row>
    <row r="98">
      <c r="A98" s="101">
        <v>46013.0</v>
      </c>
      <c r="B98" s="46" t="s">
        <v>38</v>
      </c>
      <c r="C98" s="37">
        <v>166988.0</v>
      </c>
      <c r="D98" s="37">
        <v>167591.0</v>
      </c>
      <c r="E98" s="12">
        <f t="shared" si="83"/>
        <v>603</v>
      </c>
      <c r="F98" s="47">
        <v>75.0</v>
      </c>
      <c r="G98" s="14">
        <f t="shared" si="84"/>
        <v>12.43781095</v>
      </c>
      <c r="H98" s="40">
        <v>22552.0</v>
      </c>
      <c r="I98" s="40">
        <v>23115.0</v>
      </c>
      <c r="J98" s="37">
        <f t="shared" si="85"/>
        <v>563</v>
      </c>
      <c r="K98" s="52">
        <f t="shared" si="86"/>
        <v>75</v>
      </c>
      <c r="L98" s="48">
        <f t="shared" si="87"/>
        <v>13.32149201</v>
      </c>
      <c r="M98" s="50">
        <v>17470.0</v>
      </c>
      <c r="N98" s="49">
        <f t="shared" si="88"/>
        <v>1310250</v>
      </c>
      <c r="R98" s="80" t="str">
        <f t="shared" si="57"/>
        <v/>
      </c>
    </row>
    <row r="99">
      <c r="A99" s="101">
        <v>46021.0</v>
      </c>
      <c r="B99" s="46" t="s">
        <v>38</v>
      </c>
      <c r="C99" s="37">
        <v>167591.0</v>
      </c>
      <c r="D99" s="100">
        <v>168294.0</v>
      </c>
      <c r="E99" s="12">
        <f t="shared" si="83"/>
        <v>703</v>
      </c>
      <c r="F99" s="47">
        <v>80.0</v>
      </c>
      <c r="G99" s="14">
        <f t="shared" si="84"/>
        <v>11.37980085</v>
      </c>
      <c r="H99" s="40">
        <v>23115.0</v>
      </c>
      <c r="I99" s="40">
        <v>23827.0</v>
      </c>
      <c r="J99" s="37">
        <f t="shared" si="85"/>
        <v>712</v>
      </c>
      <c r="K99" s="52">
        <f t="shared" si="86"/>
        <v>80</v>
      </c>
      <c r="L99" s="48">
        <f t="shared" si="87"/>
        <v>11.23595506</v>
      </c>
      <c r="M99" s="50">
        <v>17250.0</v>
      </c>
      <c r="N99" s="49">
        <f t="shared" si="88"/>
        <v>1380000</v>
      </c>
      <c r="R99" s="80" t="str">
        <f t="shared" si="57"/>
        <v/>
      </c>
    </row>
    <row r="100">
      <c r="A100" s="102"/>
      <c r="B100" s="103" t="s">
        <v>38</v>
      </c>
      <c r="C100" s="104"/>
      <c r="D100" s="105"/>
      <c r="E100" s="12">
        <f t="shared" si="83"/>
        <v>0</v>
      </c>
      <c r="F100" s="47"/>
      <c r="G100" s="106" t="str">
        <f t="shared" si="84"/>
        <v>#DIV/0!</v>
      </c>
      <c r="H100" s="107"/>
      <c r="I100" s="108"/>
      <c r="J100" s="107">
        <f t="shared" si="85"/>
        <v>0</v>
      </c>
      <c r="K100" s="52" t="str">
        <f t="shared" si="86"/>
        <v/>
      </c>
      <c r="L100" s="109" t="str">
        <f t="shared" si="87"/>
        <v>#DIV/0!</v>
      </c>
      <c r="M100" s="110"/>
      <c r="N100" s="111">
        <f t="shared" si="88"/>
        <v>0</v>
      </c>
      <c r="R100" s="80" t="str">
        <f t="shared" si="57"/>
        <v/>
      </c>
    </row>
    <row r="101">
      <c r="A101" s="112"/>
      <c r="B101" s="113"/>
      <c r="C101" s="114"/>
      <c r="D101" s="115" t="s">
        <v>19</v>
      </c>
      <c r="E101" s="116">
        <f>SUM(E95:E100)</f>
        <v>2961</v>
      </c>
      <c r="F101" s="64">
        <f>sum(F93:F100)</f>
        <v>714</v>
      </c>
      <c r="G101" s="117" t="str">
        <f>average(G95:G100)</f>
        <v>#DIV/0!</v>
      </c>
      <c r="H101" s="114"/>
      <c r="I101" s="118"/>
      <c r="J101" s="115">
        <f t="shared" ref="J101:K101" si="89">sum(J95:J100)</f>
        <v>2815</v>
      </c>
      <c r="K101" s="115">
        <f t="shared" si="89"/>
        <v>356</v>
      </c>
      <c r="L101" s="119" t="str">
        <f>average(L95:L100)</f>
        <v>#DIV/0!</v>
      </c>
      <c r="M101" s="120"/>
      <c r="N101" s="269">
        <f>sum(N95:N100)</f>
        <v>6395260</v>
      </c>
      <c r="R101" s="80" t="str">
        <f t="shared" si="57"/>
        <v/>
      </c>
    </row>
    <row r="102">
      <c r="A102" s="122">
        <v>45993.0</v>
      </c>
      <c r="B102" s="123" t="s">
        <v>39</v>
      </c>
      <c r="C102" s="37"/>
      <c r="D102" s="37"/>
      <c r="E102" s="38">
        <f t="shared" ref="E102:E103" si="90">D102-C102</f>
        <v>0</v>
      </c>
      <c r="F102" s="39">
        <v>66.0</v>
      </c>
      <c r="G102" s="124" t="str">
        <f t="shared" ref="G102:G108" si="91">(F102/E102)*100</f>
        <v>#DIV/0!</v>
      </c>
      <c r="H102" s="40"/>
      <c r="I102" s="40"/>
      <c r="J102" s="89">
        <f t="shared" ref="J102:J103" si="92">I102-H102</f>
        <v>0</v>
      </c>
      <c r="K102" s="52">
        <f t="shared" ref="K102:K108" si="93">F102</f>
        <v>66</v>
      </c>
      <c r="L102" s="125" t="str">
        <f t="shared" ref="L102:L108" si="94">(K102/J102)*100</f>
        <v>#DIV/0!</v>
      </c>
      <c r="M102" s="126">
        <v>18800.0</v>
      </c>
      <c r="N102" s="270">
        <f t="shared" ref="N102:N108" si="95">F102*M102</f>
        <v>1240800</v>
      </c>
      <c r="R102" s="80" t="str">
        <f t="shared" si="57"/>
        <v/>
      </c>
    </row>
    <row r="103">
      <c r="A103" s="127">
        <v>46002.0</v>
      </c>
      <c r="B103" s="46" t="s">
        <v>39</v>
      </c>
      <c r="C103" s="89"/>
      <c r="D103" s="37"/>
      <c r="E103" s="12">
        <f t="shared" si="90"/>
        <v>0</v>
      </c>
      <c r="F103" s="47">
        <v>88.0</v>
      </c>
      <c r="G103" s="14" t="str">
        <f t="shared" si="91"/>
        <v>#DIV/0!</v>
      </c>
      <c r="H103" s="271"/>
      <c r="I103" s="16"/>
      <c r="J103" s="37">
        <f t="shared" si="92"/>
        <v>0</v>
      </c>
      <c r="K103" s="52">
        <f t="shared" si="93"/>
        <v>88</v>
      </c>
      <c r="L103" s="48" t="str">
        <f t="shared" si="94"/>
        <v>#DIV/0!</v>
      </c>
      <c r="M103" s="50">
        <v>18380.0</v>
      </c>
      <c r="N103" s="270">
        <f t="shared" si="95"/>
        <v>1617440</v>
      </c>
      <c r="R103" s="80" t="str">
        <f t="shared" si="57"/>
        <v/>
      </c>
      <c r="S103" s="257"/>
      <c r="T103" s="257"/>
      <c r="U103" s="257"/>
      <c r="V103" s="257"/>
      <c r="W103" s="257"/>
      <c r="X103" s="257"/>
      <c r="Y103" s="257"/>
      <c r="Z103" s="257"/>
    </row>
    <row r="104">
      <c r="A104" s="127">
        <v>46009.0</v>
      </c>
      <c r="B104" s="46" t="s">
        <v>39</v>
      </c>
      <c r="C104" s="37"/>
      <c r="D104" s="37">
        <v>119115.0</v>
      </c>
      <c r="E104" s="12"/>
      <c r="F104" s="47">
        <v>89.0</v>
      </c>
      <c r="G104" s="14" t="str">
        <f t="shared" si="91"/>
        <v>#DIV/0!</v>
      </c>
      <c r="H104" s="16"/>
      <c r="I104" s="40">
        <v>23581.0</v>
      </c>
      <c r="J104" s="37"/>
      <c r="K104" s="52">
        <f t="shared" si="93"/>
        <v>89</v>
      </c>
      <c r="L104" s="48" t="str">
        <f t="shared" si="94"/>
        <v>#DIV/0!</v>
      </c>
      <c r="M104" s="50">
        <v>17470.0</v>
      </c>
      <c r="N104" s="270">
        <f t="shared" si="95"/>
        <v>1554830</v>
      </c>
      <c r="P104" s="82"/>
      <c r="R104" s="80" t="str">
        <f t="shared" si="57"/>
        <v/>
      </c>
    </row>
    <row r="105">
      <c r="A105" s="127">
        <v>46015.0</v>
      </c>
      <c r="B105" s="46" t="s">
        <v>39</v>
      </c>
      <c r="C105" s="37">
        <v>119115.0</v>
      </c>
      <c r="D105" s="37">
        <v>119861.0</v>
      </c>
      <c r="E105" s="12">
        <f t="shared" ref="E105:E108" si="96">D105-C105</f>
        <v>746</v>
      </c>
      <c r="F105" s="47">
        <v>80.0</v>
      </c>
      <c r="G105" s="14">
        <f t="shared" si="91"/>
        <v>10.72386059</v>
      </c>
      <c r="H105" s="40">
        <v>23581.0</v>
      </c>
      <c r="I105" s="40">
        <v>24269.0</v>
      </c>
      <c r="J105" s="37">
        <f t="shared" ref="J105:J108" si="97">I105-H105</f>
        <v>688</v>
      </c>
      <c r="K105" s="52">
        <f t="shared" si="93"/>
        <v>80</v>
      </c>
      <c r="L105" s="48">
        <f t="shared" si="94"/>
        <v>11.62790698</v>
      </c>
      <c r="M105" s="50">
        <v>17470.0</v>
      </c>
      <c r="N105" s="270">
        <f t="shared" si="95"/>
        <v>1397600</v>
      </c>
      <c r="R105" s="80" t="str">
        <f t="shared" si="57"/>
        <v/>
      </c>
    </row>
    <row r="106">
      <c r="A106" s="35">
        <v>46022.0</v>
      </c>
      <c r="B106" s="46" t="s">
        <v>39</v>
      </c>
      <c r="C106" s="37">
        <v>119861.0</v>
      </c>
      <c r="D106" s="37">
        <v>120450.0</v>
      </c>
      <c r="E106" s="12">
        <f t="shared" si="96"/>
        <v>589</v>
      </c>
      <c r="F106" s="47">
        <v>59.0</v>
      </c>
      <c r="G106" s="14">
        <f t="shared" si="91"/>
        <v>10.01697793</v>
      </c>
      <c r="H106" s="40">
        <v>24269.0</v>
      </c>
      <c r="I106" s="40">
        <v>24846.0</v>
      </c>
      <c r="J106" s="37">
        <f t="shared" si="97"/>
        <v>577</v>
      </c>
      <c r="K106" s="52">
        <f t="shared" si="93"/>
        <v>59</v>
      </c>
      <c r="L106" s="48">
        <f t="shared" si="94"/>
        <v>10.22530329</v>
      </c>
      <c r="M106" s="50">
        <v>17250.0</v>
      </c>
      <c r="N106" s="270">
        <f t="shared" si="95"/>
        <v>1017750</v>
      </c>
      <c r="R106" s="80" t="str">
        <f t="shared" si="57"/>
        <v/>
      </c>
    </row>
    <row r="107">
      <c r="A107" s="258"/>
      <c r="B107" s="46" t="s">
        <v>39</v>
      </c>
      <c r="C107" s="37"/>
      <c r="D107" s="133"/>
      <c r="E107" s="12">
        <f t="shared" si="96"/>
        <v>0</v>
      </c>
      <c r="F107" s="47"/>
      <c r="G107" s="14" t="str">
        <f t="shared" si="91"/>
        <v>#DIV/0!</v>
      </c>
      <c r="H107" s="37"/>
      <c r="I107" s="93"/>
      <c r="J107" s="37">
        <f t="shared" si="97"/>
        <v>0</v>
      </c>
      <c r="K107" s="52" t="str">
        <f t="shared" si="93"/>
        <v/>
      </c>
      <c r="L107" s="48" t="str">
        <f t="shared" si="94"/>
        <v>#DIV/0!</v>
      </c>
      <c r="M107" s="134"/>
      <c r="N107" s="270">
        <f t="shared" si="95"/>
        <v>0</v>
      </c>
      <c r="R107" s="80" t="str">
        <f t="shared" si="57"/>
        <v/>
      </c>
    </row>
    <row r="108">
      <c r="A108" s="94"/>
      <c r="B108" s="267"/>
      <c r="C108" s="55"/>
      <c r="D108" s="95"/>
      <c r="E108" s="25">
        <f t="shared" si="96"/>
        <v>0</v>
      </c>
      <c r="F108" s="47"/>
      <c r="G108" s="56" t="str">
        <f t="shared" si="91"/>
        <v>#DIV/0!</v>
      </c>
      <c r="H108" s="55"/>
      <c r="I108" s="85"/>
      <c r="J108" s="55">
        <f t="shared" si="97"/>
        <v>0</v>
      </c>
      <c r="K108" s="52" t="str">
        <f t="shared" si="93"/>
        <v/>
      </c>
      <c r="L108" s="77" t="str">
        <f t="shared" si="94"/>
        <v>#DIV/0!</v>
      </c>
      <c r="M108" s="96"/>
      <c r="N108" s="270">
        <f t="shared" si="95"/>
        <v>0</v>
      </c>
      <c r="R108" s="80" t="str">
        <f t="shared" si="57"/>
        <v/>
      </c>
    </row>
    <row r="109">
      <c r="A109" s="62"/>
      <c r="B109" s="63"/>
      <c r="C109" s="62"/>
      <c r="D109" s="64" t="s">
        <v>19</v>
      </c>
      <c r="E109" s="64">
        <f>sum(E95:E108)</f>
        <v>7257</v>
      </c>
      <c r="F109" s="64">
        <f>sum(F101:F108)</f>
        <v>1096</v>
      </c>
      <c r="G109" s="65" t="str">
        <f>average(G95:G108)</f>
        <v>#DIV/0!</v>
      </c>
      <c r="H109" s="62"/>
      <c r="I109" s="66"/>
      <c r="J109" s="64">
        <f t="shared" ref="J109:K109" si="98">sum(J95:J108)</f>
        <v>6895</v>
      </c>
      <c r="K109" s="64">
        <f t="shared" si="98"/>
        <v>1094</v>
      </c>
      <c r="L109" s="65" t="str">
        <f>average(L95:L108)</f>
        <v>#DIV/0!</v>
      </c>
      <c r="M109" s="68"/>
      <c r="N109" s="69">
        <f>sum(N102:N108)</f>
        <v>6828420</v>
      </c>
      <c r="R109" s="80" t="str">
        <f t="shared" si="57"/>
        <v/>
      </c>
    </row>
    <row r="110">
      <c r="A110" s="70">
        <v>45997.0</v>
      </c>
      <c r="B110" s="99" t="s">
        <v>40</v>
      </c>
      <c r="C110" s="37">
        <v>113390.0</v>
      </c>
      <c r="D110" s="37">
        <v>114038.0</v>
      </c>
      <c r="E110" s="38">
        <f t="shared" ref="E110:E116" si="99">D110-C110</f>
        <v>648</v>
      </c>
      <c r="F110" s="39">
        <v>75.0</v>
      </c>
      <c r="G110" s="14">
        <f t="shared" ref="G110:G116" si="100">(F110/E110)*100</f>
        <v>11.57407407</v>
      </c>
      <c r="H110" s="40">
        <v>111908.0</v>
      </c>
      <c r="I110" s="40">
        <v>112498.0</v>
      </c>
      <c r="J110" s="41">
        <f t="shared" ref="J110:J116" si="101">I110-H110</f>
        <v>590</v>
      </c>
      <c r="K110" s="81">
        <f t="shared" ref="K110:K116" si="102">F110</f>
        <v>75</v>
      </c>
      <c r="L110" s="71">
        <f t="shared" ref="L110:L116" si="103">(K110/J110)*100</f>
        <v>12.71186441</v>
      </c>
      <c r="M110" s="72">
        <v>18380.0</v>
      </c>
      <c r="N110" s="44">
        <f t="shared" ref="N110:N116" si="104">F110*M110</f>
        <v>1378500</v>
      </c>
      <c r="R110" s="80" t="str">
        <f t="shared" si="57"/>
        <v/>
      </c>
    </row>
    <row r="111">
      <c r="A111" s="45">
        <v>46005.0</v>
      </c>
      <c r="B111" s="51" t="s">
        <v>40</v>
      </c>
      <c r="C111" s="37">
        <v>114038.0</v>
      </c>
      <c r="D111" s="11">
        <v>114673.0</v>
      </c>
      <c r="E111" s="53">
        <f t="shared" si="99"/>
        <v>635</v>
      </c>
      <c r="F111" s="54">
        <v>77.0</v>
      </c>
      <c r="G111" s="14">
        <f t="shared" si="100"/>
        <v>12.12598425</v>
      </c>
      <c r="H111" s="40">
        <v>112498.0</v>
      </c>
      <c r="I111" s="40">
        <v>113093.0</v>
      </c>
      <c r="J111" s="37">
        <f t="shared" si="101"/>
        <v>595</v>
      </c>
      <c r="K111" s="52">
        <f t="shared" si="102"/>
        <v>77</v>
      </c>
      <c r="L111" s="48">
        <f t="shared" si="103"/>
        <v>12.94117647</v>
      </c>
      <c r="M111" s="50">
        <v>18150.0</v>
      </c>
      <c r="N111" s="49">
        <f t="shared" si="104"/>
        <v>1397550</v>
      </c>
      <c r="R111" s="80" t="str">
        <f t="shared" si="57"/>
        <v/>
      </c>
    </row>
    <row r="112">
      <c r="A112" s="35">
        <v>46010.0</v>
      </c>
      <c r="B112" s="46" t="s">
        <v>40</v>
      </c>
      <c r="C112" s="11">
        <v>114673.0</v>
      </c>
      <c r="D112" s="13">
        <v>115382.0</v>
      </c>
      <c r="E112" s="12">
        <f t="shared" si="99"/>
        <v>709</v>
      </c>
      <c r="F112" s="47">
        <v>85.0</v>
      </c>
      <c r="G112" s="14">
        <f t="shared" si="100"/>
        <v>11.9887165</v>
      </c>
      <c r="H112" s="40">
        <v>113093.0</v>
      </c>
      <c r="I112" s="40">
        <v>113747.0</v>
      </c>
      <c r="J112" s="37">
        <f t="shared" si="101"/>
        <v>654</v>
      </c>
      <c r="K112" s="52">
        <f t="shared" si="102"/>
        <v>85</v>
      </c>
      <c r="L112" s="48">
        <f t="shared" si="103"/>
        <v>12.9969419</v>
      </c>
      <c r="M112" s="50">
        <v>17470.0</v>
      </c>
      <c r="N112" s="49">
        <f t="shared" si="104"/>
        <v>1484950</v>
      </c>
      <c r="R112" s="80" t="str">
        <f t="shared" si="57"/>
        <v/>
      </c>
    </row>
    <row r="113">
      <c r="A113" s="35">
        <v>46016.0</v>
      </c>
      <c r="B113" s="46" t="s">
        <v>40</v>
      </c>
      <c r="C113" s="13">
        <v>115382.0</v>
      </c>
      <c r="D113" s="13">
        <v>116062.0</v>
      </c>
      <c r="E113" s="12">
        <f t="shared" si="99"/>
        <v>680</v>
      </c>
      <c r="F113" s="47">
        <v>79.0</v>
      </c>
      <c r="G113" s="14">
        <f t="shared" si="100"/>
        <v>11.61764706</v>
      </c>
      <c r="H113" s="40">
        <v>113747.0</v>
      </c>
      <c r="I113" s="40">
        <v>114389.0</v>
      </c>
      <c r="J113" s="37">
        <f t="shared" si="101"/>
        <v>642</v>
      </c>
      <c r="K113" s="52">
        <f t="shared" si="102"/>
        <v>79</v>
      </c>
      <c r="L113" s="48">
        <f t="shared" si="103"/>
        <v>12.30529595</v>
      </c>
      <c r="M113" s="50">
        <v>17250.0</v>
      </c>
      <c r="N113" s="49">
        <f t="shared" si="104"/>
        <v>1362750</v>
      </c>
      <c r="R113" s="80" t="str">
        <f t="shared" si="57"/>
        <v/>
      </c>
    </row>
    <row r="114">
      <c r="A114" s="35"/>
      <c r="B114" s="46" t="s">
        <v>40</v>
      </c>
      <c r="C114" s="13"/>
      <c r="D114" s="37"/>
      <c r="E114" s="12">
        <f t="shared" si="99"/>
        <v>0</v>
      </c>
      <c r="F114" s="47"/>
      <c r="G114" s="14" t="str">
        <f t="shared" si="100"/>
        <v>#DIV/0!</v>
      </c>
      <c r="H114" s="40"/>
      <c r="I114" s="40"/>
      <c r="J114" s="37">
        <f t="shared" si="101"/>
        <v>0</v>
      </c>
      <c r="K114" s="52" t="str">
        <f t="shared" si="102"/>
        <v/>
      </c>
      <c r="L114" s="48" t="str">
        <f t="shared" si="103"/>
        <v>#DIV/0!</v>
      </c>
      <c r="M114" s="50"/>
      <c r="N114" s="49">
        <f t="shared" si="104"/>
        <v>0</v>
      </c>
      <c r="R114" s="80" t="str">
        <f t="shared" si="57"/>
        <v/>
      </c>
    </row>
    <row r="115">
      <c r="A115" s="132"/>
      <c r="B115" s="46"/>
      <c r="C115" s="37"/>
      <c r="D115" s="133"/>
      <c r="E115" s="12">
        <f t="shared" si="99"/>
        <v>0</v>
      </c>
      <c r="F115" s="47"/>
      <c r="G115" s="14" t="str">
        <f t="shared" si="100"/>
        <v>#DIV/0!</v>
      </c>
      <c r="H115" s="37"/>
      <c r="I115" s="40"/>
      <c r="J115" s="37">
        <f t="shared" si="101"/>
        <v>0</v>
      </c>
      <c r="K115" s="52" t="str">
        <f t="shared" si="102"/>
        <v/>
      </c>
      <c r="L115" s="48" t="str">
        <f t="shared" si="103"/>
        <v>#DIV/0!</v>
      </c>
      <c r="M115" s="134"/>
      <c r="N115" s="49">
        <f t="shared" si="104"/>
        <v>0</v>
      </c>
      <c r="R115" s="80" t="str">
        <f t="shared" si="57"/>
        <v/>
      </c>
    </row>
    <row r="116">
      <c r="A116" s="94"/>
      <c r="B116" s="267"/>
      <c r="C116" s="55"/>
      <c r="D116" s="95"/>
      <c r="E116" s="25">
        <f t="shared" si="99"/>
        <v>0</v>
      </c>
      <c r="F116" s="47"/>
      <c r="G116" s="56" t="str">
        <f t="shared" si="100"/>
        <v>#DIV/0!</v>
      </c>
      <c r="H116" s="55"/>
      <c r="I116" s="85"/>
      <c r="J116" s="55">
        <f t="shared" si="101"/>
        <v>0</v>
      </c>
      <c r="K116" s="52" t="str">
        <f t="shared" si="102"/>
        <v/>
      </c>
      <c r="L116" s="77" t="str">
        <f t="shared" si="103"/>
        <v>#DIV/0!</v>
      </c>
      <c r="M116" s="96"/>
      <c r="N116" s="59">
        <f t="shared" si="104"/>
        <v>0</v>
      </c>
      <c r="R116" s="80" t="str">
        <f t="shared" si="57"/>
        <v/>
      </c>
    </row>
    <row r="117">
      <c r="A117" s="62"/>
      <c r="B117" s="63"/>
      <c r="C117" s="62"/>
      <c r="D117" s="64" t="s">
        <v>19</v>
      </c>
      <c r="E117" s="64">
        <f>sum(E110:E116)</f>
        <v>2672</v>
      </c>
      <c r="F117" s="39"/>
      <c r="G117" s="65" t="str">
        <f>average(G110:G116)</f>
        <v>#DIV/0!</v>
      </c>
      <c r="H117" s="62"/>
      <c r="I117" s="66"/>
      <c r="J117" s="64">
        <f t="shared" ref="J117:K117" si="105">sum(J110:J116)</f>
        <v>2481</v>
      </c>
      <c r="K117" s="64">
        <f t="shared" si="105"/>
        <v>316</v>
      </c>
      <c r="L117" s="65" t="str">
        <f>average(L110:L116)</f>
        <v>#DIV/0!</v>
      </c>
      <c r="M117" s="68"/>
      <c r="N117" s="69">
        <f>sum(N110:N116)</f>
        <v>5623750</v>
      </c>
      <c r="R117" s="80" t="str">
        <f t="shared" si="57"/>
        <v/>
      </c>
    </row>
    <row r="118">
      <c r="A118" s="70">
        <v>45993.0</v>
      </c>
      <c r="B118" s="99" t="s">
        <v>41</v>
      </c>
      <c r="C118" s="37">
        <v>169222.0</v>
      </c>
      <c r="D118" s="37">
        <v>169879.0</v>
      </c>
      <c r="E118" s="38">
        <f t="shared" ref="E118:E124" si="106">D118-C118</f>
        <v>657</v>
      </c>
      <c r="F118" s="39">
        <v>74.0</v>
      </c>
      <c r="G118" s="14">
        <f t="shared" ref="G118:G124" si="107">(F118/E118)*100</f>
        <v>11.26331811</v>
      </c>
      <c r="H118" s="40"/>
      <c r="I118" s="40">
        <v>11218.0</v>
      </c>
      <c r="J118" s="41">
        <f t="shared" ref="J118:J124" si="108">I118-H118</f>
        <v>11218</v>
      </c>
      <c r="K118" s="81">
        <f t="shared" ref="K118:K124" si="109">F118</f>
        <v>74</v>
      </c>
      <c r="L118" s="71">
        <f t="shared" ref="L118:L124" si="110">(K118/J118)*100</f>
        <v>0.6596541273</v>
      </c>
      <c r="M118" s="43">
        <v>18800.0</v>
      </c>
      <c r="N118" s="44">
        <f t="shared" ref="N118:N124" si="111">F118*M118</f>
        <v>1391200</v>
      </c>
      <c r="R118" s="80" t="str">
        <f t="shared" si="57"/>
        <v/>
      </c>
    </row>
    <row r="119">
      <c r="A119" s="128">
        <v>46004.0</v>
      </c>
      <c r="B119" s="129" t="s">
        <v>41</v>
      </c>
      <c r="C119" s="37">
        <v>169879.0</v>
      </c>
      <c r="D119" s="53">
        <v>170553.0</v>
      </c>
      <c r="E119" s="53">
        <f t="shared" si="106"/>
        <v>674</v>
      </c>
      <c r="F119" s="130">
        <v>75.0</v>
      </c>
      <c r="G119" s="14">
        <f t="shared" si="107"/>
        <v>11.12759644</v>
      </c>
      <c r="H119" s="40">
        <v>11218.0</v>
      </c>
      <c r="I119" s="40">
        <v>11947.0</v>
      </c>
      <c r="J119" s="37">
        <f t="shared" si="108"/>
        <v>729</v>
      </c>
      <c r="K119" s="52">
        <f t="shared" si="109"/>
        <v>75</v>
      </c>
      <c r="L119" s="48">
        <f t="shared" si="110"/>
        <v>10.28806584</v>
      </c>
      <c r="M119" s="50">
        <v>18150.0</v>
      </c>
      <c r="N119" s="131">
        <f t="shared" si="111"/>
        <v>1361250</v>
      </c>
      <c r="R119" s="80" t="str">
        <f t="shared" si="57"/>
        <v/>
      </c>
    </row>
    <row r="120">
      <c r="A120" s="128">
        <v>46011.0</v>
      </c>
      <c r="B120" s="129" t="s">
        <v>41</v>
      </c>
      <c r="C120" s="53">
        <v>170553.0</v>
      </c>
      <c r="D120" s="53">
        <v>171232.0</v>
      </c>
      <c r="E120" s="53">
        <f t="shared" si="106"/>
        <v>679</v>
      </c>
      <c r="F120" s="130">
        <v>70.0</v>
      </c>
      <c r="G120" s="14">
        <f t="shared" si="107"/>
        <v>10.30927835</v>
      </c>
      <c r="H120" s="40">
        <v>11947.0</v>
      </c>
      <c r="I120" s="37">
        <v>12582.0</v>
      </c>
      <c r="J120" s="37">
        <f t="shared" si="108"/>
        <v>635</v>
      </c>
      <c r="K120" s="52">
        <f t="shared" si="109"/>
        <v>70</v>
      </c>
      <c r="L120" s="48">
        <f t="shared" si="110"/>
        <v>11.02362205</v>
      </c>
      <c r="M120" s="50">
        <v>17470.0</v>
      </c>
      <c r="N120" s="131">
        <f t="shared" si="111"/>
        <v>1222900</v>
      </c>
      <c r="R120" s="80" t="str">
        <f t="shared" si="57"/>
        <v/>
      </c>
    </row>
    <row r="121">
      <c r="A121" s="35">
        <v>46018.0</v>
      </c>
      <c r="B121" s="46" t="s">
        <v>41</v>
      </c>
      <c r="C121" s="53">
        <v>171232.0</v>
      </c>
      <c r="D121" s="37">
        <v>171903.0</v>
      </c>
      <c r="E121" s="12">
        <f t="shared" si="106"/>
        <v>671</v>
      </c>
      <c r="F121" s="47">
        <v>75.0</v>
      </c>
      <c r="G121" s="14">
        <f t="shared" si="107"/>
        <v>11.17734724</v>
      </c>
      <c r="H121" s="37">
        <v>12582.0</v>
      </c>
      <c r="I121" s="40">
        <v>13200.0</v>
      </c>
      <c r="J121" s="37">
        <f t="shared" si="108"/>
        <v>618</v>
      </c>
      <c r="K121" s="52">
        <f t="shared" si="109"/>
        <v>75</v>
      </c>
      <c r="L121" s="48">
        <f t="shared" si="110"/>
        <v>12.13592233</v>
      </c>
      <c r="M121" s="50">
        <v>17250.0</v>
      </c>
      <c r="N121" s="131">
        <f t="shared" si="111"/>
        <v>1293750</v>
      </c>
      <c r="R121" s="80" t="str">
        <f t="shared" si="57"/>
        <v/>
      </c>
    </row>
    <row r="122">
      <c r="A122" s="136"/>
      <c r="B122" s="51" t="s">
        <v>41</v>
      </c>
      <c r="C122" s="52"/>
      <c r="D122" s="52"/>
      <c r="E122" s="12">
        <f t="shared" si="106"/>
        <v>0</v>
      </c>
      <c r="F122" s="47"/>
      <c r="G122" s="14" t="str">
        <f t="shared" si="107"/>
        <v>#DIV/0!</v>
      </c>
      <c r="H122" s="37"/>
      <c r="I122" s="40"/>
      <c r="J122" s="37">
        <f t="shared" si="108"/>
        <v>0</v>
      </c>
      <c r="K122" s="52" t="str">
        <f t="shared" si="109"/>
        <v/>
      </c>
      <c r="L122" s="48" t="str">
        <f t="shared" si="110"/>
        <v>#DIV/0!</v>
      </c>
      <c r="M122" s="50"/>
      <c r="N122" s="131">
        <f t="shared" si="111"/>
        <v>0</v>
      </c>
      <c r="R122" s="80" t="str">
        <f t="shared" si="57"/>
        <v/>
      </c>
    </row>
    <row r="123">
      <c r="A123" s="132"/>
      <c r="B123" s="46" t="s">
        <v>41</v>
      </c>
      <c r="C123" s="37"/>
      <c r="D123" s="133"/>
      <c r="E123" s="12">
        <f t="shared" si="106"/>
        <v>0</v>
      </c>
      <c r="F123" s="47"/>
      <c r="G123" s="14" t="str">
        <f t="shared" si="107"/>
        <v>#DIV/0!</v>
      </c>
      <c r="H123" s="37"/>
      <c r="I123" s="40"/>
      <c r="J123" s="37">
        <f t="shared" si="108"/>
        <v>0</v>
      </c>
      <c r="K123" s="52" t="str">
        <f t="shared" si="109"/>
        <v/>
      </c>
      <c r="L123" s="48" t="str">
        <f t="shared" si="110"/>
        <v>#DIV/0!</v>
      </c>
      <c r="M123" s="134"/>
      <c r="N123" s="131">
        <f t="shared" si="111"/>
        <v>0</v>
      </c>
      <c r="R123" s="80" t="str">
        <f t="shared" si="57"/>
        <v/>
      </c>
    </row>
    <row r="124">
      <c r="A124" s="94"/>
      <c r="B124" s="267"/>
      <c r="C124" s="55"/>
      <c r="D124" s="95"/>
      <c r="E124" s="25">
        <f t="shared" si="106"/>
        <v>0</v>
      </c>
      <c r="F124" s="47"/>
      <c r="G124" s="56" t="str">
        <f t="shared" si="107"/>
        <v>#DIV/0!</v>
      </c>
      <c r="H124" s="55"/>
      <c r="I124" s="85"/>
      <c r="J124" s="55">
        <f t="shared" si="108"/>
        <v>0</v>
      </c>
      <c r="K124" s="52" t="str">
        <f t="shared" si="109"/>
        <v/>
      </c>
      <c r="L124" s="77" t="str">
        <f t="shared" si="110"/>
        <v>#DIV/0!</v>
      </c>
      <c r="M124" s="96"/>
      <c r="N124" s="135">
        <f t="shared" si="111"/>
        <v>0</v>
      </c>
      <c r="R124" s="80" t="str">
        <f t="shared" si="57"/>
        <v/>
      </c>
    </row>
    <row r="125">
      <c r="A125" s="62"/>
      <c r="B125" s="63"/>
      <c r="C125" s="62"/>
      <c r="D125" s="64" t="s">
        <v>19</v>
      </c>
      <c r="E125" s="64">
        <f>sum(E118:E124)</f>
        <v>2681</v>
      </c>
      <c r="F125" s="64">
        <f>sum(F117:F124)</f>
        <v>294</v>
      </c>
      <c r="G125" s="65" t="str">
        <f>average(G118:G124)</f>
        <v>#DIV/0!</v>
      </c>
      <c r="H125" s="62"/>
      <c r="I125" s="66"/>
      <c r="J125" s="64">
        <f t="shared" ref="J125:K125" si="112">sum(J118:J124)</f>
        <v>13200</v>
      </c>
      <c r="K125" s="64">
        <f t="shared" si="112"/>
        <v>294</v>
      </c>
      <c r="L125" s="65" t="str">
        <f>average(L118:L124)</f>
        <v>#DIV/0!</v>
      </c>
      <c r="M125" s="68"/>
      <c r="N125" s="69">
        <f>sum(N118:N124)</f>
        <v>5269100</v>
      </c>
      <c r="R125" s="80" t="str">
        <f t="shared" si="57"/>
        <v/>
      </c>
    </row>
    <row r="126">
      <c r="A126" s="70">
        <v>45995.0</v>
      </c>
      <c r="B126" s="99" t="s">
        <v>27</v>
      </c>
      <c r="C126" s="89"/>
      <c r="D126" s="13"/>
      <c r="E126" s="38">
        <f t="shared" ref="E126:E133" si="113">D126-C126</f>
        <v>0</v>
      </c>
      <c r="F126" s="39">
        <v>63.0</v>
      </c>
      <c r="G126" s="14" t="str">
        <f t="shared" ref="G126:G133" si="114">(F126/E126)*100</f>
        <v>#DIV/0!</v>
      </c>
      <c r="H126" s="137"/>
      <c r="I126" s="138"/>
      <c r="J126" s="41">
        <f t="shared" ref="J126:J133" si="115">I126-H126</f>
        <v>0</v>
      </c>
      <c r="K126" s="52">
        <f t="shared" ref="K126:K130" si="116">F126</f>
        <v>63</v>
      </c>
      <c r="L126" s="71" t="str">
        <f t="shared" ref="L126:L133" si="117">(K126/J126)*100</f>
        <v>#DIV/0!</v>
      </c>
      <c r="M126" s="72">
        <v>18800.0</v>
      </c>
      <c r="N126" s="44">
        <f t="shared" ref="N126:N133" si="118">M126*K126</f>
        <v>1184400</v>
      </c>
      <c r="R126" s="80" t="str">
        <f t="shared" si="57"/>
        <v/>
      </c>
    </row>
    <row r="127">
      <c r="A127" s="35">
        <v>45999.0</v>
      </c>
      <c r="B127" s="46" t="s">
        <v>27</v>
      </c>
      <c r="C127" s="37"/>
      <c r="D127" s="13"/>
      <c r="E127" s="12">
        <f t="shared" si="113"/>
        <v>0</v>
      </c>
      <c r="F127" s="47">
        <v>68.0</v>
      </c>
      <c r="G127" s="14" t="str">
        <f t="shared" si="114"/>
        <v>#DIV/0!</v>
      </c>
      <c r="H127" s="40"/>
      <c r="I127" s="40"/>
      <c r="J127" s="37">
        <f t="shared" si="115"/>
        <v>0</v>
      </c>
      <c r="K127" s="52">
        <f t="shared" si="116"/>
        <v>68</v>
      </c>
      <c r="L127" s="48" t="str">
        <f t="shared" si="117"/>
        <v>#DIV/0!</v>
      </c>
      <c r="M127" s="50">
        <v>18380.0</v>
      </c>
      <c r="N127" s="44">
        <f t="shared" si="118"/>
        <v>1249840</v>
      </c>
      <c r="R127" s="80" t="str">
        <f t="shared" si="57"/>
        <v/>
      </c>
    </row>
    <row r="128">
      <c r="A128" s="35">
        <v>46003.0</v>
      </c>
      <c r="B128" s="46" t="s">
        <v>27</v>
      </c>
      <c r="C128" s="37"/>
      <c r="D128" s="37"/>
      <c r="E128" s="12">
        <f t="shared" si="113"/>
        <v>0</v>
      </c>
      <c r="F128" s="47">
        <v>62.0</v>
      </c>
      <c r="G128" s="14" t="str">
        <f t="shared" si="114"/>
        <v>#DIV/0!</v>
      </c>
      <c r="H128" s="37"/>
      <c r="I128" s="40"/>
      <c r="J128" s="37">
        <f t="shared" si="115"/>
        <v>0</v>
      </c>
      <c r="K128" s="52">
        <f t="shared" si="116"/>
        <v>62</v>
      </c>
      <c r="L128" s="48" t="str">
        <f t="shared" si="117"/>
        <v>#DIV/0!</v>
      </c>
      <c r="M128" s="50">
        <v>18150.0</v>
      </c>
      <c r="N128" s="44">
        <f t="shared" si="118"/>
        <v>1125300</v>
      </c>
      <c r="R128" s="80" t="str">
        <f t="shared" si="57"/>
        <v/>
      </c>
    </row>
    <row r="129">
      <c r="A129" s="35">
        <v>46006.0</v>
      </c>
      <c r="B129" s="46" t="s">
        <v>27</v>
      </c>
      <c r="C129" s="37"/>
      <c r="D129" s="37"/>
      <c r="E129" s="12">
        <f t="shared" si="113"/>
        <v>0</v>
      </c>
      <c r="F129" s="47">
        <v>54.0</v>
      </c>
      <c r="G129" s="14" t="str">
        <f t="shared" si="114"/>
        <v>#DIV/0!</v>
      </c>
      <c r="H129" s="37"/>
      <c r="I129" s="40"/>
      <c r="J129" s="37">
        <f t="shared" si="115"/>
        <v>0</v>
      </c>
      <c r="K129" s="52">
        <f t="shared" si="116"/>
        <v>54</v>
      </c>
      <c r="L129" s="48" t="str">
        <f t="shared" si="117"/>
        <v>#DIV/0!</v>
      </c>
      <c r="M129" s="50">
        <v>18150.0</v>
      </c>
      <c r="N129" s="44">
        <f t="shared" si="118"/>
        <v>980100</v>
      </c>
      <c r="R129" s="80" t="str">
        <f t="shared" si="57"/>
        <v/>
      </c>
    </row>
    <row r="130">
      <c r="A130" s="35">
        <v>46009.0</v>
      </c>
      <c r="B130" s="46" t="s">
        <v>27</v>
      </c>
      <c r="C130" s="37"/>
      <c r="D130" s="37"/>
      <c r="E130" s="12">
        <f t="shared" si="113"/>
        <v>0</v>
      </c>
      <c r="F130" s="47">
        <v>60.0</v>
      </c>
      <c r="G130" s="14" t="str">
        <f t="shared" si="114"/>
        <v>#DIV/0!</v>
      </c>
      <c r="H130" s="37"/>
      <c r="I130" s="40"/>
      <c r="J130" s="37">
        <f t="shared" si="115"/>
        <v>0</v>
      </c>
      <c r="K130" s="52">
        <f t="shared" si="116"/>
        <v>60</v>
      </c>
      <c r="L130" s="48" t="str">
        <f t="shared" si="117"/>
        <v>#DIV/0!</v>
      </c>
      <c r="M130" s="50">
        <v>18150.0</v>
      </c>
      <c r="N130" s="44">
        <f t="shared" si="118"/>
        <v>1089000</v>
      </c>
      <c r="R130" s="80" t="str">
        <f t="shared" si="57"/>
        <v/>
      </c>
    </row>
    <row r="131">
      <c r="A131" s="35">
        <v>46012.0</v>
      </c>
      <c r="B131" s="46" t="s">
        <v>27</v>
      </c>
      <c r="C131" s="37"/>
      <c r="D131" s="133"/>
      <c r="E131" s="12">
        <f t="shared" si="113"/>
        <v>0</v>
      </c>
      <c r="F131" s="47">
        <v>62.0</v>
      </c>
      <c r="G131" s="14" t="str">
        <f t="shared" si="114"/>
        <v>#DIV/0!</v>
      </c>
      <c r="H131" s="37"/>
      <c r="I131" s="93"/>
      <c r="J131" s="37">
        <f t="shared" si="115"/>
        <v>0</v>
      </c>
      <c r="K131" s="52">
        <v>62.0</v>
      </c>
      <c r="L131" s="48" t="str">
        <f t="shared" si="117"/>
        <v>#DIV/0!</v>
      </c>
      <c r="M131" s="50">
        <v>17470.0</v>
      </c>
      <c r="N131" s="44">
        <f t="shared" si="118"/>
        <v>1083140</v>
      </c>
      <c r="R131" s="80" t="str">
        <f t="shared" si="57"/>
        <v/>
      </c>
    </row>
    <row r="132">
      <c r="A132" s="35">
        <v>46016.0</v>
      </c>
      <c r="B132" s="46" t="s">
        <v>27</v>
      </c>
      <c r="C132" s="37"/>
      <c r="D132" s="133"/>
      <c r="E132" s="12">
        <f t="shared" si="113"/>
        <v>0</v>
      </c>
      <c r="F132" s="47">
        <v>60.0</v>
      </c>
      <c r="G132" s="14" t="str">
        <f t="shared" si="114"/>
        <v>#DIV/0!</v>
      </c>
      <c r="H132" s="37"/>
      <c r="I132" s="93"/>
      <c r="J132" s="37">
        <f t="shared" si="115"/>
        <v>0</v>
      </c>
      <c r="K132" s="52">
        <v>60.0</v>
      </c>
      <c r="L132" s="48" t="str">
        <f t="shared" si="117"/>
        <v>#DIV/0!</v>
      </c>
      <c r="M132" s="50">
        <v>17470.0</v>
      </c>
      <c r="N132" s="44">
        <f t="shared" si="118"/>
        <v>1048200</v>
      </c>
      <c r="R132" s="80" t="str">
        <f t="shared" si="57"/>
        <v/>
      </c>
    </row>
    <row r="133">
      <c r="A133" s="236">
        <v>46021.0</v>
      </c>
      <c r="B133" s="83" t="s">
        <v>27</v>
      </c>
      <c r="C133" s="55"/>
      <c r="D133" s="95"/>
      <c r="E133" s="25">
        <f t="shared" si="113"/>
        <v>0</v>
      </c>
      <c r="F133" s="47">
        <v>60.0</v>
      </c>
      <c r="G133" s="56" t="str">
        <f t="shared" si="114"/>
        <v>#DIV/0!</v>
      </c>
      <c r="H133" s="55"/>
      <c r="I133" s="85"/>
      <c r="J133" s="55">
        <f t="shared" si="115"/>
        <v>0</v>
      </c>
      <c r="K133" s="52">
        <v>60.0</v>
      </c>
      <c r="L133" s="77" t="str">
        <f t="shared" si="117"/>
        <v>#DIV/0!</v>
      </c>
      <c r="M133" s="58">
        <v>17250.0</v>
      </c>
      <c r="N133" s="49">
        <f t="shared" si="118"/>
        <v>1035000</v>
      </c>
      <c r="R133" s="80" t="str">
        <f t="shared" si="57"/>
        <v/>
      </c>
    </row>
    <row r="134">
      <c r="A134" s="62"/>
      <c r="B134" s="63"/>
      <c r="C134" s="62"/>
      <c r="D134" s="64" t="s">
        <v>19</v>
      </c>
      <c r="E134" s="64">
        <f t="shared" ref="E134:F134" si="119">sum(E126:E133)</f>
        <v>0</v>
      </c>
      <c r="F134" s="64">
        <f t="shared" si="119"/>
        <v>489</v>
      </c>
      <c r="G134" s="65" t="str">
        <f>average(G126:G133)</f>
        <v>#DIV/0!</v>
      </c>
      <c r="H134" s="62"/>
      <c r="I134" s="66"/>
      <c r="J134" s="64">
        <f t="shared" ref="J134:K134" si="120">sum(J126:J133)</f>
        <v>0</v>
      </c>
      <c r="K134" s="64">
        <f t="shared" si="120"/>
        <v>489</v>
      </c>
      <c r="L134" s="65" t="str">
        <f>average(L126:L133)</f>
        <v>#DIV/0!</v>
      </c>
      <c r="M134" s="68"/>
      <c r="N134" s="147">
        <f>sum(N126:N133)</f>
        <v>8794980</v>
      </c>
      <c r="R134" s="80" t="str">
        <f t="shared" si="57"/>
        <v/>
      </c>
    </row>
    <row r="135">
      <c r="A135" s="70"/>
      <c r="B135" s="99" t="s">
        <v>28</v>
      </c>
      <c r="C135" s="89"/>
      <c r="D135" s="13"/>
      <c r="E135" s="38">
        <f t="shared" ref="E135:E142" si="121">D135-C135</f>
        <v>0</v>
      </c>
      <c r="F135" s="39"/>
      <c r="G135" s="14" t="str">
        <f t="shared" ref="G135:G142" si="122">(F135/E135)*100</f>
        <v>#DIV/0!</v>
      </c>
      <c r="H135" s="137"/>
      <c r="I135" s="138"/>
      <c r="J135" s="41">
        <f t="shared" ref="J135:J142" si="123">I135-H135</f>
        <v>0</v>
      </c>
      <c r="K135" s="81"/>
      <c r="L135" s="71" t="str">
        <f t="shared" ref="L135:L138" si="124">(K135/J135)*100</f>
        <v>#DIV/0!</v>
      </c>
      <c r="M135" s="72"/>
      <c r="N135" s="49">
        <f t="shared" ref="N135:N140" si="125">M135*K135</f>
        <v>0</v>
      </c>
      <c r="R135" s="80" t="str">
        <f t="shared" si="57"/>
        <v/>
      </c>
    </row>
    <row r="136">
      <c r="A136" s="35"/>
      <c r="B136" s="99" t="s">
        <v>28</v>
      </c>
      <c r="C136" s="37"/>
      <c r="D136" s="13"/>
      <c r="E136" s="12">
        <f t="shared" si="121"/>
        <v>0</v>
      </c>
      <c r="F136" s="47"/>
      <c r="G136" s="14" t="str">
        <f t="shared" si="122"/>
        <v>#DIV/0!</v>
      </c>
      <c r="H136" s="40"/>
      <c r="I136" s="40"/>
      <c r="J136" s="37">
        <f t="shared" si="123"/>
        <v>0</v>
      </c>
      <c r="K136" s="52"/>
      <c r="L136" s="71" t="str">
        <f t="shared" si="124"/>
        <v>#DIV/0!</v>
      </c>
      <c r="M136" s="50"/>
      <c r="N136" s="49">
        <f t="shared" si="125"/>
        <v>0</v>
      </c>
      <c r="R136" s="80" t="str">
        <f t="shared" si="57"/>
        <v/>
      </c>
    </row>
    <row r="137">
      <c r="A137" s="35"/>
      <c r="B137" s="99" t="s">
        <v>28</v>
      </c>
      <c r="C137" s="37"/>
      <c r="D137" s="37"/>
      <c r="E137" s="12">
        <f t="shared" si="121"/>
        <v>0</v>
      </c>
      <c r="F137" s="47"/>
      <c r="G137" s="14" t="str">
        <f t="shared" si="122"/>
        <v>#DIV/0!</v>
      </c>
      <c r="H137" s="37"/>
      <c r="I137" s="40"/>
      <c r="J137" s="37">
        <f t="shared" si="123"/>
        <v>0</v>
      </c>
      <c r="K137" s="52"/>
      <c r="L137" s="48" t="str">
        <f t="shared" si="124"/>
        <v>#DIV/0!</v>
      </c>
      <c r="M137" s="50"/>
      <c r="N137" s="49">
        <f t="shared" si="125"/>
        <v>0</v>
      </c>
      <c r="R137" s="80" t="str">
        <f t="shared" si="57"/>
        <v/>
      </c>
    </row>
    <row r="138">
      <c r="A138" s="35"/>
      <c r="B138" s="99" t="s">
        <v>28</v>
      </c>
      <c r="C138" s="37"/>
      <c r="D138" s="37"/>
      <c r="E138" s="12">
        <f t="shared" si="121"/>
        <v>0</v>
      </c>
      <c r="F138" s="47"/>
      <c r="G138" s="14" t="str">
        <f t="shared" si="122"/>
        <v>#DIV/0!</v>
      </c>
      <c r="H138" s="37"/>
      <c r="I138" s="40"/>
      <c r="J138" s="37">
        <f t="shared" si="123"/>
        <v>0</v>
      </c>
      <c r="K138" s="52"/>
      <c r="L138" s="48" t="str">
        <f t="shared" si="124"/>
        <v>#DIV/0!</v>
      </c>
      <c r="M138" s="50"/>
      <c r="N138" s="49">
        <f t="shared" si="125"/>
        <v>0</v>
      </c>
      <c r="R138" s="80" t="str">
        <f t="shared" si="57"/>
        <v/>
      </c>
    </row>
    <row r="139">
      <c r="A139" s="35"/>
      <c r="B139" s="99" t="s">
        <v>28</v>
      </c>
      <c r="C139" s="37"/>
      <c r="D139" s="37"/>
      <c r="E139" s="12">
        <f t="shared" si="121"/>
        <v>0</v>
      </c>
      <c r="F139" s="47"/>
      <c r="G139" s="14" t="str">
        <f t="shared" si="122"/>
        <v>#DIV/0!</v>
      </c>
      <c r="H139" s="37"/>
      <c r="I139" s="40"/>
      <c r="J139" s="37">
        <f t="shared" si="123"/>
        <v>0</v>
      </c>
      <c r="K139" s="52"/>
      <c r="L139" s="48"/>
      <c r="M139" s="50"/>
      <c r="N139" s="49">
        <f t="shared" si="125"/>
        <v>0</v>
      </c>
      <c r="R139" s="80" t="str">
        <f t="shared" si="57"/>
        <v/>
      </c>
    </row>
    <row r="140">
      <c r="A140" s="35"/>
      <c r="B140" s="99" t="s">
        <v>28</v>
      </c>
      <c r="C140" s="37"/>
      <c r="D140" s="133"/>
      <c r="E140" s="12">
        <f t="shared" si="121"/>
        <v>0</v>
      </c>
      <c r="F140" s="47"/>
      <c r="G140" s="14" t="str">
        <f t="shared" si="122"/>
        <v>#DIV/0!</v>
      </c>
      <c r="H140" s="37"/>
      <c r="I140" s="93"/>
      <c r="J140" s="37">
        <f t="shared" si="123"/>
        <v>0</v>
      </c>
      <c r="K140" s="52"/>
      <c r="L140" s="48" t="str">
        <f t="shared" ref="L140:L142" si="126">(K140/J140)*100</f>
        <v>#DIV/0!</v>
      </c>
      <c r="M140" s="50"/>
      <c r="N140" s="49">
        <f t="shared" si="125"/>
        <v>0</v>
      </c>
      <c r="R140" s="80" t="str">
        <f t="shared" si="57"/>
        <v/>
      </c>
    </row>
    <row r="141">
      <c r="A141" s="35"/>
      <c r="B141" s="46"/>
      <c r="C141" s="37"/>
      <c r="D141" s="133"/>
      <c r="E141" s="12">
        <f t="shared" si="121"/>
        <v>0</v>
      </c>
      <c r="F141" s="47"/>
      <c r="G141" s="14" t="str">
        <f t="shared" si="122"/>
        <v>#DIV/0!</v>
      </c>
      <c r="H141" s="37"/>
      <c r="I141" s="93"/>
      <c r="J141" s="37">
        <f t="shared" si="123"/>
        <v>0</v>
      </c>
      <c r="K141" s="52" t="str">
        <f t="shared" ref="K141:K142" si="127">F141</f>
        <v/>
      </c>
      <c r="L141" s="48" t="str">
        <f t="shared" si="126"/>
        <v>#DIV/0!</v>
      </c>
      <c r="M141" s="50"/>
      <c r="N141" s="49">
        <f>F141*M141</f>
        <v>0</v>
      </c>
      <c r="R141" s="80" t="str">
        <f t="shared" si="57"/>
        <v/>
      </c>
    </row>
    <row r="142">
      <c r="A142" s="146"/>
      <c r="B142" s="83"/>
      <c r="C142" s="55"/>
      <c r="D142" s="95"/>
      <c r="E142" s="25">
        <f t="shared" si="121"/>
        <v>0</v>
      </c>
      <c r="F142" s="47"/>
      <c r="G142" s="56" t="str">
        <f t="shared" si="122"/>
        <v>#DIV/0!</v>
      </c>
      <c r="H142" s="55"/>
      <c r="I142" s="85"/>
      <c r="J142" s="55">
        <f t="shared" si="123"/>
        <v>0</v>
      </c>
      <c r="K142" s="52" t="str">
        <f t="shared" si="127"/>
        <v/>
      </c>
      <c r="L142" s="77" t="str">
        <f t="shared" si="126"/>
        <v>#DIV/0!</v>
      </c>
      <c r="M142" s="58"/>
      <c r="N142" s="49">
        <f>M142*K142</f>
        <v>0</v>
      </c>
      <c r="R142" s="80" t="str">
        <f t="shared" si="57"/>
        <v/>
      </c>
    </row>
    <row r="143">
      <c r="A143" s="62"/>
      <c r="B143" s="63"/>
      <c r="C143" s="62"/>
      <c r="D143" s="64" t="s">
        <v>19</v>
      </c>
      <c r="E143" s="64">
        <f t="shared" ref="E143:F143" si="128">sum(E135:E142)</f>
        <v>0</v>
      </c>
      <c r="F143" s="64">
        <f t="shared" si="128"/>
        <v>0</v>
      </c>
      <c r="G143" s="65" t="str">
        <f>average(G135:G142)</f>
        <v>#DIV/0!</v>
      </c>
      <c r="H143" s="62"/>
      <c r="I143" s="66"/>
      <c r="J143" s="64">
        <f t="shared" ref="J143:K143" si="129">sum(J135:J142)</f>
        <v>0</v>
      </c>
      <c r="K143" s="64">
        <f t="shared" si="129"/>
        <v>0</v>
      </c>
      <c r="L143" s="65" t="str">
        <f>average(L135:L142)</f>
        <v>#DIV/0!</v>
      </c>
      <c r="M143" s="68"/>
      <c r="N143" s="147">
        <f>sum(N135:N142)</f>
        <v>0</v>
      </c>
      <c r="R143" s="80" t="str">
        <f t="shared" si="57"/>
        <v/>
      </c>
    </row>
    <row r="144">
      <c r="A144" s="91">
        <v>45996.0</v>
      </c>
      <c r="B144" s="99" t="s">
        <v>43</v>
      </c>
      <c r="C144" s="89"/>
      <c r="D144" s="13"/>
      <c r="E144" s="38">
        <f t="shared" ref="E144:E151" si="130">D144-C144</f>
        <v>0</v>
      </c>
      <c r="F144" s="39">
        <v>60.0</v>
      </c>
      <c r="G144" s="14" t="str">
        <f t="shared" ref="G144:G151" si="131">(F144/E144)*100</f>
        <v>#DIV/0!</v>
      </c>
      <c r="H144" s="137"/>
      <c r="I144" s="138"/>
      <c r="J144" s="41">
        <f t="shared" ref="J144:J151" si="132">I144-H144</f>
        <v>0</v>
      </c>
      <c r="K144" s="52">
        <f t="shared" ref="K144:K146" si="133">F144</f>
        <v>60</v>
      </c>
      <c r="L144" s="71" t="str">
        <f t="shared" ref="L144:L151" si="134">(K144/J144)*100</f>
        <v>#DIV/0!</v>
      </c>
      <c r="M144" s="72">
        <v>18380.0</v>
      </c>
      <c r="N144" s="49">
        <f t="shared" ref="N144:N147" si="135">M144*K144</f>
        <v>1102800</v>
      </c>
      <c r="R144" s="80" t="str">
        <f t="shared" si="57"/>
        <v/>
      </c>
    </row>
    <row r="145">
      <c r="A145" s="35">
        <v>46001.0</v>
      </c>
      <c r="B145" s="46" t="s">
        <v>43</v>
      </c>
      <c r="C145" s="37"/>
      <c r="D145" s="13"/>
      <c r="E145" s="12">
        <f t="shared" si="130"/>
        <v>0</v>
      </c>
      <c r="F145" s="47">
        <v>60.0</v>
      </c>
      <c r="G145" s="14" t="str">
        <f t="shared" si="131"/>
        <v>#DIV/0!</v>
      </c>
      <c r="H145" s="40"/>
      <c r="I145" s="40"/>
      <c r="J145" s="37">
        <f t="shared" si="132"/>
        <v>0</v>
      </c>
      <c r="K145" s="52">
        <f t="shared" si="133"/>
        <v>60</v>
      </c>
      <c r="L145" s="48" t="str">
        <f t="shared" si="134"/>
        <v>#DIV/0!</v>
      </c>
      <c r="M145" s="50">
        <v>18380.0</v>
      </c>
      <c r="N145" s="49">
        <f t="shared" si="135"/>
        <v>1102800</v>
      </c>
      <c r="R145" s="80" t="str">
        <f t="shared" si="57"/>
        <v/>
      </c>
    </row>
    <row r="146">
      <c r="A146" s="35">
        <v>46007.0</v>
      </c>
      <c r="B146" s="46" t="s">
        <v>43</v>
      </c>
      <c r="C146" s="37"/>
      <c r="D146" s="37"/>
      <c r="E146" s="12">
        <f t="shared" si="130"/>
        <v>0</v>
      </c>
      <c r="F146" s="47">
        <v>60.0</v>
      </c>
      <c r="G146" s="14" t="str">
        <f t="shared" si="131"/>
        <v>#DIV/0!</v>
      </c>
      <c r="H146" s="37"/>
      <c r="I146" s="40"/>
      <c r="J146" s="37">
        <f t="shared" si="132"/>
        <v>0</v>
      </c>
      <c r="K146" s="52">
        <f t="shared" si="133"/>
        <v>60</v>
      </c>
      <c r="L146" s="48" t="str">
        <f t="shared" si="134"/>
        <v>#DIV/0!</v>
      </c>
      <c r="M146" s="50">
        <v>18150.0</v>
      </c>
      <c r="N146" s="49">
        <f t="shared" si="135"/>
        <v>1089000</v>
      </c>
      <c r="R146" s="80" t="str">
        <f t="shared" si="57"/>
        <v/>
      </c>
    </row>
    <row r="147">
      <c r="A147" s="35">
        <v>46010.0</v>
      </c>
      <c r="B147" s="46" t="s">
        <v>43</v>
      </c>
      <c r="C147" s="37"/>
      <c r="D147" s="37"/>
      <c r="E147" s="12">
        <f t="shared" si="130"/>
        <v>0</v>
      </c>
      <c r="F147" s="47">
        <v>60.0</v>
      </c>
      <c r="G147" s="14" t="str">
        <f t="shared" si="131"/>
        <v>#DIV/0!</v>
      </c>
      <c r="H147" s="37"/>
      <c r="I147" s="40"/>
      <c r="J147" s="37">
        <f t="shared" si="132"/>
        <v>0</v>
      </c>
      <c r="K147" s="52">
        <v>60.0</v>
      </c>
      <c r="L147" s="48" t="str">
        <f t="shared" si="134"/>
        <v>#DIV/0!</v>
      </c>
      <c r="M147" s="50">
        <v>17470.0</v>
      </c>
      <c r="N147" s="49">
        <f t="shared" si="135"/>
        <v>1048200</v>
      </c>
      <c r="R147" s="80" t="str">
        <f t="shared" si="57"/>
        <v/>
      </c>
    </row>
    <row r="148">
      <c r="A148" s="35">
        <v>46015.0</v>
      </c>
      <c r="B148" s="46" t="s">
        <v>43</v>
      </c>
      <c r="C148" s="37"/>
      <c r="D148" s="37"/>
      <c r="E148" s="12">
        <f t="shared" si="130"/>
        <v>0</v>
      </c>
      <c r="F148" s="47">
        <v>65.0</v>
      </c>
      <c r="G148" s="14" t="str">
        <f t="shared" si="131"/>
        <v>#DIV/0!</v>
      </c>
      <c r="H148" s="37"/>
      <c r="I148" s="40"/>
      <c r="J148" s="37">
        <f t="shared" si="132"/>
        <v>0</v>
      </c>
      <c r="K148" s="52">
        <v>65.0</v>
      </c>
      <c r="L148" s="48" t="str">
        <f t="shared" si="134"/>
        <v>#DIV/0!</v>
      </c>
      <c r="M148" s="50">
        <v>17470.0</v>
      </c>
      <c r="N148" s="49">
        <f t="shared" ref="N148:N150" si="136">F148*M148</f>
        <v>1135550</v>
      </c>
      <c r="R148" s="80" t="str">
        <f t="shared" si="57"/>
        <v/>
      </c>
    </row>
    <row r="149">
      <c r="A149" s="35">
        <v>46021.0</v>
      </c>
      <c r="B149" s="46" t="s">
        <v>43</v>
      </c>
      <c r="C149" s="37"/>
      <c r="D149" s="133"/>
      <c r="E149" s="12">
        <f t="shared" si="130"/>
        <v>0</v>
      </c>
      <c r="F149" s="47">
        <v>55.0</v>
      </c>
      <c r="G149" s="14" t="str">
        <f t="shared" si="131"/>
        <v>#DIV/0!</v>
      </c>
      <c r="H149" s="37"/>
      <c r="I149" s="93"/>
      <c r="J149" s="37">
        <f t="shared" si="132"/>
        <v>0</v>
      </c>
      <c r="K149" s="52">
        <f t="shared" ref="K149:K151" si="137">F149</f>
        <v>55</v>
      </c>
      <c r="L149" s="48" t="str">
        <f t="shared" si="134"/>
        <v>#DIV/0!</v>
      </c>
      <c r="M149" s="50">
        <v>17250.0</v>
      </c>
      <c r="N149" s="49">
        <f t="shared" si="136"/>
        <v>948750</v>
      </c>
      <c r="R149" s="80" t="str">
        <f t="shared" si="57"/>
        <v/>
      </c>
    </row>
    <row r="150">
      <c r="A150" s="35"/>
      <c r="B150" s="46" t="s">
        <v>43</v>
      </c>
      <c r="C150" s="37"/>
      <c r="D150" s="133"/>
      <c r="E150" s="12">
        <f t="shared" si="130"/>
        <v>0</v>
      </c>
      <c r="F150" s="47"/>
      <c r="G150" s="14" t="str">
        <f t="shared" si="131"/>
        <v>#DIV/0!</v>
      </c>
      <c r="H150" s="37"/>
      <c r="I150" s="93"/>
      <c r="J150" s="37">
        <f t="shared" si="132"/>
        <v>0</v>
      </c>
      <c r="K150" s="52" t="str">
        <f t="shared" si="137"/>
        <v/>
      </c>
      <c r="L150" s="48" t="str">
        <f t="shared" si="134"/>
        <v>#DIV/0!</v>
      </c>
      <c r="M150" s="50"/>
      <c r="N150" s="49">
        <f t="shared" si="136"/>
        <v>0</v>
      </c>
      <c r="R150" s="80" t="str">
        <f t="shared" si="57"/>
        <v/>
      </c>
    </row>
    <row r="151">
      <c r="A151" s="146"/>
      <c r="B151" s="83"/>
      <c r="C151" s="55"/>
      <c r="D151" s="95"/>
      <c r="E151" s="25">
        <f t="shared" si="130"/>
        <v>0</v>
      </c>
      <c r="F151" s="47"/>
      <c r="G151" s="56" t="str">
        <f t="shared" si="131"/>
        <v>#DIV/0!</v>
      </c>
      <c r="H151" s="55"/>
      <c r="I151" s="85"/>
      <c r="J151" s="55">
        <f t="shared" si="132"/>
        <v>0</v>
      </c>
      <c r="K151" s="52" t="str">
        <f t="shared" si="137"/>
        <v/>
      </c>
      <c r="L151" s="77" t="str">
        <f t="shared" si="134"/>
        <v>#DIV/0!</v>
      </c>
      <c r="M151" s="50"/>
      <c r="N151" s="49">
        <f>M151*K151</f>
        <v>0</v>
      </c>
      <c r="R151" s="80" t="str">
        <f t="shared" si="57"/>
        <v/>
      </c>
    </row>
    <row r="152">
      <c r="A152" s="62"/>
      <c r="B152" s="63"/>
      <c r="C152" s="62"/>
      <c r="D152" s="64" t="s">
        <v>19</v>
      </c>
      <c r="E152" s="64">
        <f>sum(E144:E151)</f>
        <v>0</v>
      </c>
      <c r="F152" s="39"/>
      <c r="G152" s="65" t="str">
        <f>average(G144:G151)</f>
        <v>#DIV/0!</v>
      </c>
      <c r="H152" s="62"/>
      <c r="I152" s="66"/>
      <c r="J152" s="64">
        <f t="shared" ref="J152:K152" si="138">sum(J144:J151)</f>
        <v>0</v>
      </c>
      <c r="K152" s="64">
        <f t="shared" si="138"/>
        <v>360</v>
      </c>
      <c r="L152" s="65" t="str">
        <f>average(L144:L151)</f>
        <v>#DIV/0!</v>
      </c>
      <c r="M152" s="72"/>
      <c r="N152" s="147">
        <f>sum(N144:N151)</f>
        <v>6427100</v>
      </c>
      <c r="R152" s="80" t="str">
        <f t="shared" si="57"/>
        <v/>
      </c>
    </row>
    <row r="153">
      <c r="A153" s="70">
        <v>45998.0</v>
      </c>
      <c r="B153" s="99" t="s">
        <v>30</v>
      </c>
      <c r="C153" s="89"/>
      <c r="D153" s="13"/>
      <c r="E153" s="38">
        <f t="shared" ref="E153:E160" si="139">D153-C153</f>
        <v>0</v>
      </c>
      <c r="F153" s="39">
        <v>80.0</v>
      </c>
      <c r="G153" s="14" t="str">
        <f t="shared" ref="G153:G160" si="140">(F153/E153)*100</f>
        <v>#DIV/0!</v>
      </c>
      <c r="H153" s="137"/>
      <c r="I153" s="138"/>
      <c r="J153" s="41">
        <f t="shared" ref="J153:J160" si="141">I153-H153</f>
        <v>0</v>
      </c>
      <c r="K153" s="52">
        <f t="shared" ref="K153:K154" si="142">F153</f>
        <v>80</v>
      </c>
      <c r="L153" s="71" t="str">
        <f t="shared" ref="L153:L160" si="143">(K153/J153)*100</f>
        <v>#DIV/0!</v>
      </c>
      <c r="M153" s="72">
        <v>18380.0</v>
      </c>
      <c r="N153" s="49">
        <f t="shared" ref="N153:N156" si="144">M153*K153</f>
        <v>1470400</v>
      </c>
      <c r="R153" s="80" t="str">
        <f t="shared" si="57"/>
        <v/>
      </c>
    </row>
    <row r="154">
      <c r="A154" s="35">
        <v>46006.0</v>
      </c>
      <c r="B154" s="46" t="s">
        <v>30</v>
      </c>
      <c r="C154" s="37"/>
      <c r="D154" s="13"/>
      <c r="E154" s="12">
        <f t="shared" si="139"/>
        <v>0</v>
      </c>
      <c r="F154" s="47">
        <v>80.0</v>
      </c>
      <c r="G154" s="14" t="str">
        <f t="shared" si="140"/>
        <v>#DIV/0!</v>
      </c>
      <c r="H154" s="40"/>
      <c r="I154" s="40"/>
      <c r="J154" s="37">
        <f t="shared" si="141"/>
        <v>0</v>
      </c>
      <c r="K154" s="52">
        <f t="shared" si="142"/>
        <v>80</v>
      </c>
      <c r="L154" s="48" t="str">
        <f t="shared" si="143"/>
        <v>#DIV/0!</v>
      </c>
      <c r="M154" s="50">
        <v>18150.0</v>
      </c>
      <c r="N154" s="49">
        <f t="shared" si="144"/>
        <v>1452000</v>
      </c>
      <c r="R154" s="80" t="str">
        <f t="shared" si="57"/>
        <v/>
      </c>
    </row>
    <row r="155">
      <c r="A155" s="35">
        <v>46011.0</v>
      </c>
      <c r="B155" s="46" t="s">
        <v>30</v>
      </c>
      <c r="C155" s="37"/>
      <c r="D155" s="37"/>
      <c r="E155" s="12">
        <f t="shared" si="139"/>
        <v>0</v>
      </c>
      <c r="F155" s="47">
        <v>77.0</v>
      </c>
      <c r="G155" s="14" t="str">
        <f t="shared" si="140"/>
        <v>#DIV/0!</v>
      </c>
      <c r="H155" s="37"/>
      <c r="I155" s="40"/>
      <c r="J155" s="37">
        <f t="shared" si="141"/>
        <v>0</v>
      </c>
      <c r="K155" s="41">
        <v>77.0</v>
      </c>
      <c r="L155" s="48" t="str">
        <f t="shared" si="143"/>
        <v>#DIV/0!</v>
      </c>
      <c r="M155" s="50">
        <v>17470.0</v>
      </c>
      <c r="N155" s="49">
        <f t="shared" si="144"/>
        <v>1345190</v>
      </c>
      <c r="R155" s="80" t="str">
        <f t="shared" si="57"/>
        <v/>
      </c>
    </row>
    <row r="156">
      <c r="A156" s="35">
        <v>46018.0</v>
      </c>
      <c r="B156" s="46" t="s">
        <v>30</v>
      </c>
      <c r="C156" s="37"/>
      <c r="D156" s="37"/>
      <c r="E156" s="12">
        <f t="shared" si="139"/>
        <v>0</v>
      </c>
      <c r="F156" s="47">
        <v>77.0</v>
      </c>
      <c r="G156" s="14" t="str">
        <f t="shared" si="140"/>
        <v>#DIV/0!</v>
      </c>
      <c r="H156" s="37"/>
      <c r="I156" s="40"/>
      <c r="J156" s="37">
        <f t="shared" si="141"/>
        <v>0</v>
      </c>
      <c r="K156" s="41">
        <v>77.0</v>
      </c>
      <c r="L156" s="48" t="str">
        <f t="shared" si="143"/>
        <v>#DIV/0!</v>
      </c>
      <c r="M156" s="50">
        <v>17250.0</v>
      </c>
      <c r="N156" s="49">
        <f t="shared" si="144"/>
        <v>1328250</v>
      </c>
      <c r="R156" s="80" t="str">
        <f t="shared" si="57"/>
        <v/>
      </c>
    </row>
    <row r="157">
      <c r="A157" s="35"/>
      <c r="B157" s="46" t="s">
        <v>30</v>
      </c>
      <c r="C157" s="37"/>
      <c r="D157" s="37"/>
      <c r="E157" s="12">
        <f t="shared" si="139"/>
        <v>0</v>
      </c>
      <c r="F157" s="47"/>
      <c r="G157" s="14" t="str">
        <f t="shared" si="140"/>
        <v>#DIV/0!</v>
      </c>
      <c r="H157" s="37"/>
      <c r="I157" s="40"/>
      <c r="J157" s="37">
        <f t="shared" si="141"/>
        <v>0</v>
      </c>
      <c r="K157" s="41"/>
      <c r="L157" s="48" t="str">
        <f t="shared" si="143"/>
        <v>#DIV/0!</v>
      </c>
      <c r="M157" s="50"/>
      <c r="N157" s="49">
        <f t="shared" ref="N157:N159" si="145">F157*M157</f>
        <v>0</v>
      </c>
      <c r="R157" s="80" t="str">
        <f t="shared" si="57"/>
        <v/>
      </c>
    </row>
    <row r="158">
      <c r="A158" s="35"/>
      <c r="B158" s="46" t="s">
        <v>30</v>
      </c>
      <c r="C158" s="37"/>
      <c r="D158" s="133"/>
      <c r="E158" s="12">
        <f t="shared" si="139"/>
        <v>0</v>
      </c>
      <c r="F158" s="47"/>
      <c r="G158" s="14" t="str">
        <f t="shared" si="140"/>
        <v>#DIV/0!</v>
      </c>
      <c r="H158" s="37"/>
      <c r="I158" s="93"/>
      <c r="J158" s="37">
        <f t="shared" si="141"/>
        <v>0</v>
      </c>
      <c r="K158" s="41"/>
      <c r="L158" s="48" t="str">
        <f t="shared" si="143"/>
        <v>#DIV/0!</v>
      </c>
      <c r="M158" s="50"/>
      <c r="N158" s="49">
        <f t="shared" si="145"/>
        <v>0</v>
      </c>
      <c r="R158" s="80" t="str">
        <f t="shared" si="57"/>
        <v/>
      </c>
    </row>
    <row r="159">
      <c r="A159" s="35"/>
      <c r="B159" s="83"/>
      <c r="C159" s="37"/>
      <c r="D159" s="133"/>
      <c r="E159" s="12">
        <f t="shared" si="139"/>
        <v>0</v>
      </c>
      <c r="F159" s="47"/>
      <c r="G159" s="14" t="str">
        <f t="shared" si="140"/>
        <v>#DIV/0!</v>
      </c>
      <c r="H159" s="37"/>
      <c r="I159" s="93"/>
      <c r="J159" s="37">
        <f t="shared" si="141"/>
        <v>0</v>
      </c>
      <c r="K159" s="41" t="str">
        <f>D159</f>
        <v/>
      </c>
      <c r="L159" s="77" t="str">
        <f t="shared" si="143"/>
        <v>#DIV/0!</v>
      </c>
      <c r="M159" s="50"/>
      <c r="N159" s="49">
        <f t="shared" si="145"/>
        <v>0</v>
      </c>
      <c r="R159" s="80" t="str">
        <f t="shared" si="57"/>
        <v/>
      </c>
    </row>
    <row r="160">
      <c r="A160" s="148"/>
      <c r="B160" s="156"/>
      <c r="C160" s="149"/>
      <c r="D160" s="150"/>
      <c r="E160" s="25">
        <f t="shared" si="139"/>
        <v>0</v>
      </c>
      <c r="F160" s="39"/>
      <c r="G160" s="56" t="str">
        <f t="shared" si="140"/>
        <v>#DIV/0!</v>
      </c>
      <c r="H160" s="149"/>
      <c r="I160" s="151"/>
      <c r="J160" s="149">
        <f t="shared" si="141"/>
        <v>0</v>
      </c>
      <c r="K160" s="149"/>
      <c r="L160" s="152" t="str">
        <f t="shared" si="143"/>
        <v>#DIV/0!</v>
      </c>
      <c r="M160" s="153"/>
      <c r="N160" s="49">
        <f>M160*K160</f>
        <v>0</v>
      </c>
      <c r="R160" s="80" t="str">
        <f t="shared" si="57"/>
        <v/>
      </c>
    </row>
    <row r="161">
      <c r="A161" s="62"/>
      <c r="B161" s="63"/>
      <c r="C161" s="62"/>
      <c r="D161" s="64" t="s">
        <v>19</v>
      </c>
      <c r="E161" s="64">
        <f t="shared" ref="E161:F161" si="146">sum(E153:E160)</f>
        <v>0</v>
      </c>
      <c r="F161" s="64">
        <f t="shared" si="146"/>
        <v>314</v>
      </c>
      <c r="G161" s="65" t="str">
        <f>average(G153:G160)</f>
        <v>#DIV/0!</v>
      </c>
      <c r="H161" s="62"/>
      <c r="I161" s="66"/>
      <c r="J161" s="64">
        <f t="shared" ref="J161:K161" si="147">sum(J153:J160)</f>
        <v>0</v>
      </c>
      <c r="K161" s="64">
        <f t="shared" si="147"/>
        <v>314</v>
      </c>
      <c r="L161" s="65" t="str">
        <f>average(L153:L160)</f>
        <v>#DIV/0!</v>
      </c>
      <c r="M161" s="68"/>
      <c r="N161" s="69">
        <f>sum(N153:N160)</f>
        <v>5595840</v>
      </c>
      <c r="R161" s="80" t="str">
        <f t="shared" si="57"/>
        <v/>
      </c>
    </row>
    <row r="162">
      <c r="A162" s="154">
        <v>45994.0</v>
      </c>
      <c r="B162" s="99" t="s">
        <v>44</v>
      </c>
      <c r="C162" s="89"/>
      <c r="D162" s="13"/>
      <c r="E162" s="12">
        <f t="shared" ref="E162:E169" si="148">D162-C162</f>
        <v>0</v>
      </c>
      <c r="F162" s="39">
        <v>70.0</v>
      </c>
      <c r="G162" s="14" t="str">
        <f t="shared" ref="G162:G169" si="149">(F162/E162)*100</f>
        <v>#DIV/0!</v>
      </c>
      <c r="H162" s="137"/>
      <c r="I162" s="138"/>
      <c r="J162" s="41">
        <f t="shared" ref="J162:J169" si="150">I162-H162</f>
        <v>0</v>
      </c>
      <c r="K162" s="52">
        <f t="shared" ref="K162:K165" si="151">F162</f>
        <v>70</v>
      </c>
      <c r="L162" s="71" t="str">
        <f t="shared" ref="L162:L169" si="152">(K162/J162)*100</f>
        <v>#DIV/0!</v>
      </c>
      <c r="M162" s="72">
        <v>18800.0</v>
      </c>
      <c r="N162" s="131">
        <f t="shared" ref="N162:N169" si="153">M162*K162</f>
        <v>1316000</v>
      </c>
    </row>
    <row r="163">
      <c r="A163" s="35">
        <v>45999.0</v>
      </c>
      <c r="B163" s="99" t="s">
        <v>44</v>
      </c>
      <c r="C163" s="37"/>
      <c r="D163" s="13"/>
      <c r="E163" s="12">
        <f t="shared" si="148"/>
        <v>0</v>
      </c>
      <c r="F163" s="47">
        <v>75.0</v>
      </c>
      <c r="G163" s="14" t="str">
        <f t="shared" si="149"/>
        <v>#DIV/0!</v>
      </c>
      <c r="H163" s="40"/>
      <c r="I163" s="40"/>
      <c r="J163" s="37">
        <f t="shared" si="150"/>
        <v>0</v>
      </c>
      <c r="K163" s="52">
        <f t="shared" si="151"/>
        <v>75</v>
      </c>
      <c r="L163" s="48" t="str">
        <f t="shared" si="152"/>
        <v>#DIV/0!</v>
      </c>
      <c r="M163" s="72">
        <v>18380.0</v>
      </c>
      <c r="N163" s="131">
        <f t="shared" si="153"/>
        <v>1378500</v>
      </c>
    </row>
    <row r="164">
      <c r="A164" s="35">
        <v>46003.0</v>
      </c>
      <c r="B164" s="99" t="s">
        <v>44</v>
      </c>
      <c r="C164" s="37"/>
      <c r="D164" s="37"/>
      <c r="E164" s="12">
        <f t="shared" si="148"/>
        <v>0</v>
      </c>
      <c r="F164" s="47">
        <v>75.0</v>
      </c>
      <c r="G164" s="14" t="str">
        <f t="shared" si="149"/>
        <v>#DIV/0!</v>
      </c>
      <c r="H164" s="37"/>
      <c r="I164" s="40"/>
      <c r="J164" s="37">
        <f t="shared" si="150"/>
        <v>0</v>
      </c>
      <c r="K164" s="52">
        <f t="shared" si="151"/>
        <v>75</v>
      </c>
      <c r="L164" s="48" t="str">
        <f t="shared" si="152"/>
        <v>#DIV/0!</v>
      </c>
      <c r="M164" s="72">
        <v>18150.0</v>
      </c>
      <c r="N164" s="131">
        <f t="shared" si="153"/>
        <v>1361250</v>
      </c>
    </row>
    <row r="165">
      <c r="A165" s="35">
        <v>46006.0</v>
      </c>
      <c r="B165" s="99" t="s">
        <v>44</v>
      </c>
      <c r="C165" s="37"/>
      <c r="D165" s="37"/>
      <c r="E165" s="12">
        <f t="shared" si="148"/>
        <v>0</v>
      </c>
      <c r="F165" s="47">
        <v>60.0</v>
      </c>
      <c r="G165" s="14" t="str">
        <f t="shared" si="149"/>
        <v>#DIV/0!</v>
      </c>
      <c r="H165" s="37"/>
      <c r="I165" s="40"/>
      <c r="J165" s="37">
        <f t="shared" si="150"/>
        <v>0</v>
      </c>
      <c r="K165" s="52">
        <f t="shared" si="151"/>
        <v>60</v>
      </c>
      <c r="L165" s="48" t="str">
        <f t="shared" si="152"/>
        <v>#DIV/0!</v>
      </c>
      <c r="M165" s="72">
        <v>18150.0</v>
      </c>
      <c r="N165" s="131">
        <f t="shared" si="153"/>
        <v>1089000</v>
      </c>
    </row>
    <row r="166">
      <c r="A166" s="35">
        <v>46010.0</v>
      </c>
      <c r="B166" s="99" t="s">
        <v>44</v>
      </c>
      <c r="C166" s="37"/>
      <c r="D166" s="37"/>
      <c r="E166" s="12">
        <f t="shared" si="148"/>
        <v>0</v>
      </c>
      <c r="F166" s="47">
        <v>80.0</v>
      </c>
      <c r="G166" s="14" t="str">
        <f t="shared" si="149"/>
        <v>#DIV/0!</v>
      </c>
      <c r="H166" s="37"/>
      <c r="I166" s="40"/>
      <c r="J166" s="37">
        <f t="shared" si="150"/>
        <v>0</v>
      </c>
      <c r="K166" s="81">
        <v>80.0</v>
      </c>
      <c r="L166" s="48" t="str">
        <f t="shared" si="152"/>
        <v>#DIV/0!</v>
      </c>
      <c r="M166" s="72">
        <v>17470.0</v>
      </c>
      <c r="N166" s="131">
        <f t="shared" si="153"/>
        <v>1397600</v>
      </c>
    </row>
    <row r="167">
      <c r="A167" s="35">
        <v>46014.0</v>
      </c>
      <c r="B167" s="99" t="s">
        <v>44</v>
      </c>
      <c r="C167" s="37"/>
      <c r="D167" s="133"/>
      <c r="E167" s="12">
        <f t="shared" si="148"/>
        <v>0</v>
      </c>
      <c r="F167" s="47">
        <v>80.0</v>
      </c>
      <c r="G167" s="14" t="str">
        <f t="shared" si="149"/>
        <v>#DIV/0!</v>
      </c>
      <c r="H167" s="37"/>
      <c r="I167" s="93"/>
      <c r="J167" s="37">
        <f t="shared" si="150"/>
        <v>0</v>
      </c>
      <c r="K167" s="81">
        <v>80.0</v>
      </c>
      <c r="L167" s="48" t="str">
        <f t="shared" si="152"/>
        <v>#DIV/0!</v>
      </c>
      <c r="M167" s="72">
        <v>17470.0</v>
      </c>
      <c r="N167" s="131">
        <f t="shared" si="153"/>
        <v>1397600</v>
      </c>
    </row>
    <row r="168">
      <c r="A168" s="35">
        <v>46018.0</v>
      </c>
      <c r="B168" s="99" t="s">
        <v>44</v>
      </c>
      <c r="C168" s="37"/>
      <c r="D168" s="133"/>
      <c r="E168" s="12">
        <f t="shared" si="148"/>
        <v>0</v>
      </c>
      <c r="F168" s="47">
        <v>80.0</v>
      </c>
      <c r="G168" s="14" t="str">
        <f t="shared" si="149"/>
        <v>#DIV/0!</v>
      </c>
      <c r="H168" s="37"/>
      <c r="I168" s="93"/>
      <c r="J168" s="37">
        <f t="shared" si="150"/>
        <v>0</v>
      </c>
      <c r="K168" s="52">
        <f t="shared" ref="K168:K169" si="154">F168</f>
        <v>80</v>
      </c>
      <c r="L168" s="48" t="str">
        <f t="shared" si="152"/>
        <v>#DIV/0!</v>
      </c>
      <c r="M168" s="50">
        <v>17250.0</v>
      </c>
      <c r="N168" s="131">
        <f t="shared" si="153"/>
        <v>1380000</v>
      </c>
    </row>
    <row r="169">
      <c r="A169" s="146">
        <v>46022.0</v>
      </c>
      <c r="B169" s="99" t="s">
        <v>44</v>
      </c>
      <c r="C169" s="55"/>
      <c r="D169" s="95"/>
      <c r="E169" s="25">
        <f t="shared" si="148"/>
        <v>0</v>
      </c>
      <c r="F169" s="47">
        <v>60.0</v>
      </c>
      <c r="G169" s="56" t="str">
        <f t="shared" si="149"/>
        <v>#DIV/0!</v>
      </c>
      <c r="H169" s="55"/>
      <c r="I169" s="85"/>
      <c r="J169" s="55">
        <f t="shared" si="150"/>
        <v>0</v>
      </c>
      <c r="K169" s="52">
        <f t="shared" si="154"/>
        <v>60</v>
      </c>
      <c r="L169" s="77" t="str">
        <f t="shared" si="152"/>
        <v>#DIV/0!</v>
      </c>
      <c r="M169" s="58">
        <v>17250.0</v>
      </c>
      <c r="N169" s="49">
        <f t="shared" si="153"/>
        <v>1035000</v>
      </c>
    </row>
    <row r="170">
      <c r="A170" s="62"/>
      <c r="B170" s="63"/>
      <c r="C170" s="62"/>
      <c r="D170" s="64" t="s">
        <v>19</v>
      </c>
      <c r="E170" s="64">
        <f t="shared" ref="E170:F170" si="155">sum(E162:E169)</f>
        <v>0</v>
      </c>
      <c r="F170" s="64">
        <f t="shared" si="155"/>
        <v>580</v>
      </c>
      <c r="G170" s="65" t="str">
        <f>average(G162:G169)</f>
        <v>#DIV/0!</v>
      </c>
      <c r="H170" s="62"/>
      <c r="I170" s="66"/>
      <c r="J170" s="64">
        <f t="shared" ref="J170:K170" si="156">sum(J162:J169)</f>
        <v>0</v>
      </c>
      <c r="K170" s="64">
        <f t="shared" si="156"/>
        <v>580</v>
      </c>
      <c r="L170" s="65" t="str">
        <f>average(L162:L169)</f>
        <v>#DIV/0!</v>
      </c>
      <c r="M170" s="68"/>
      <c r="N170" s="69">
        <f>sum(N162:N169)</f>
        <v>10354950</v>
      </c>
    </row>
    <row r="171">
      <c r="A171" s="155">
        <v>45994.0</v>
      </c>
      <c r="B171" s="156" t="s">
        <v>32</v>
      </c>
      <c r="C171" s="89"/>
      <c r="D171" s="13"/>
      <c r="E171" s="38">
        <f t="shared" ref="E171:E178" si="157">D171-C171</f>
        <v>0</v>
      </c>
      <c r="F171" s="39">
        <v>90.0</v>
      </c>
      <c r="G171" s="14" t="str">
        <f t="shared" ref="G171:G178" si="158">(F171/E171)*100</f>
        <v>#DIV/0!</v>
      </c>
      <c r="H171" s="137"/>
      <c r="I171" s="138"/>
      <c r="J171" s="41">
        <f t="shared" ref="J171:J178" si="159">I171-H171</f>
        <v>0</v>
      </c>
      <c r="K171" s="52">
        <f t="shared" ref="K171:K172" si="160">F171</f>
        <v>90</v>
      </c>
      <c r="L171" s="152" t="str">
        <f t="shared" ref="L171:L178" si="161">(K171/J171)*100</f>
        <v>#DIV/0!</v>
      </c>
      <c r="M171" s="72">
        <v>18800.0</v>
      </c>
      <c r="N171" s="131">
        <f t="shared" ref="N171:N178" si="162">M171*K171</f>
        <v>1692000</v>
      </c>
    </row>
    <row r="172">
      <c r="A172" s="154">
        <v>46003.0</v>
      </c>
      <c r="B172" s="156" t="s">
        <v>32</v>
      </c>
      <c r="C172" s="89"/>
      <c r="D172" s="13"/>
      <c r="E172" s="38">
        <f t="shared" si="157"/>
        <v>0</v>
      </c>
      <c r="F172" s="47">
        <v>92.0</v>
      </c>
      <c r="G172" s="14" t="str">
        <f t="shared" si="158"/>
        <v>#DIV/0!</v>
      </c>
      <c r="H172" s="40"/>
      <c r="I172" s="40"/>
      <c r="J172" s="37">
        <f t="shared" si="159"/>
        <v>0</v>
      </c>
      <c r="K172" s="52">
        <f t="shared" si="160"/>
        <v>92</v>
      </c>
      <c r="L172" s="152" t="str">
        <f t="shared" si="161"/>
        <v>#DIV/0!</v>
      </c>
      <c r="M172" s="126">
        <v>18150.0</v>
      </c>
      <c r="N172" s="131">
        <f t="shared" si="162"/>
        <v>1669800</v>
      </c>
    </row>
    <row r="173">
      <c r="A173" s="154">
        <v>46010.0</v>
      </c>
      <c r="B173" s="156" t="s">
        <v>32</v>
      </c>
      <c r="C173" s="89"/>
      <c r="D173" s="89"/>
      <c r="E173" s="12">
        <f t="shared" si="157"/>
        <v>0</v>
      </c>
      <c r="F173" s="157">
        <v>88.0</v>
      </c>
      <c r="G173" s="14" t="str">
        <f t="shared" si="158"/>
        <v>#DIV/0!</v>
      </c>
      <c r="H173" s="37"/>
      <c r="I173" s="40"/>
      <c r="J173" s="37">
        <f t="shared" si="159"/>
        <v>0</v>
      </c>
      <c r="K173" s="52">
        <v>88.0</v>
      </c>
      <c r="L173" s="152" t="str">
        <f t="shared" si="161"/>
        <v>#DIV/0!</v>
      </c>
      <c r="M173" s="126">
        <v>17470.0</v>
      </c>
      <c r="N173" s="131">
        <f t="shared" si="162"/>
        <v>1537360</v>
      </c>
    </row>
    <row r="174">
      <c r="A174" s="154">
        <v>46016.0</v>
      </c>
      <c r="B174" s="156" t="s">
        <v>32</v>
      </c>
      <c r="C174" s="89"/>
      <c r="D174" s="89"/>
      <c r="E174" s="12">
        <f t="shared" si="157"/>
        <v>0</v>
      </c>
      <c r="F174" s="157">
        <v>80.0</v>
      </c>
      <c r="G174" s="14" t="str">
        <f t="shared" si="158"/>
        <v>#DIV/0!</v>
      </c>
      <c r="H174" s="37"/>
      <c r="I174" s="40"/>
      <c r="J174" s="37">
        <f t="shared" si="159"/>
        <v>0</v>
      </c>
      <c r="K174" s="52">
        <v>80.0</v>
      </c>
      <c r="L174" s="152" t="str">
        <f t="shared" si="161"/>
        <v>#DIV/0!</v>
      </c>
      <c r="M174" s="126">
        <v>17250.0</v>
      </c>
      <c r="N174" s="131">
        <f t="shared" si="162"/>
        <v>1380000</v>
      </c>
    </row>
    <row r="175">
      <c r="A175" s="154"/>
      <c r="B175" s="156" t="s">
        <v>32</v>
      </c>
      <c r="C175" s="89"/>
      <c r="D175" s="89"/>
      <c r="E175" s="12">
        <f t="shared" si="157"/>
        <v>0</v>
      </c>
      <c r="F175" s="157"/>
      <c r="G175" s="14" t="str">
        <f t="shared" si="158"/>
        <v>#DIV/0!</v>
      </c>
      <c r="H175" s="37"/>
      <c r="I175" s="40"/>
      <c r="J175" s="37">
        <f t="shared" si="159"/>
        <v>0</v>
      </c>
      <c r="K175" s="52"/>
      <c r="L175" s="152" t="str">
        <f t="shared" si="161"/>
        <v>#DIV/0!</v>
      </c>
      <c r="M175" s="126"/>
      <c r="N175" s="131">
        <f t="shared" si="162"/>
        <v>0</v>
      </c>
    </row>
    <row r="176">
      <c r="A176" s="154"/>
      <c r="B176" s="156" t="s">
        <v>32</v>
      </c>
      <c r="C176" s="89"/>
      <c r="D176" s="158"/>
      <c r="E176" s="12">
        <f t="shared" si="157"/>
        <v>0</v>
      </c>
      <c r="F176" s="157"/>
      <c r="G176" s="14" t="str">
        <f t="shared" si="158"/>
        <v>#DIV/0!</v>
      </c>
      <c r="H176" s="37"/>
      <c r="I176" s="93"/>
      <c r="J176" s="37">
        <f t="shared" si="159"/>
        <v>0</v>
      </c>
      <c r="K176" s="52"/>
      <c r="L176" s="152" t="str">
        <f t="shared" si="161"/>
        <v>#DIV/0!</v>
      </c>
      <c r="M176" s="126"/>
      <c r="N176" s="131">
        <f t="shared" si="162"/>
        <v>0</v>
      </c>
    </row>
    <row r="177">
      <c r="A177" s="154"/>
      <c r="B177" s="156" t="s">
        <v>32</v>
      </c>
      <c r="C177" s="89"/>
      <c r="D177" s="158"/>
      <c r="E177" s="12">
        <f t="shared" si="157"/>
        <v>0</v>
      </c>
      <c r="F177" s="157"/>
      <c r="G177" s="14" t="str">
        <f t="shared" si="158"/>
        <v>#DIV/0!</v>
      </c>
      <c r="H177" s="89"/>
      <c r="I177" s="159"/>
      <c r="J177" s="89">
        <f t="shared" si="159"/>
        <v>0</v>
      </c>
      <c r="K177" s="52"/>
      <c r="L177" s="152" t="str">
        <f t="shared" si="161"/>
        <v>#DIV/0!</v>
      </c>
      <c r="M177" s="126"/>
      <c r="N177" s="131">
        <f t="shared" si="162"/>
        <v>0</v>
      </c>
    </row>
    <row r="178">
      <c r="A178" s="160"/>
      <c r="B178" s="156" t="s">
        <v>32</v>
      </c>
      <c r="C178" s="149"/>
      <c r="D178" s="150"/>
      <c r="E178" s="25">
        <f t="shared" si="157"/>
        <v>0</v>
      </c>
      <c r="F178" s="161"/>
      <c r="G178" s="56" t="str">
        <f t="shared" si="158"/>
        <v>#DIV/0!</v>
      </c>
      <c r="H178" s="149"/>
      <c r="I178" s="151"/>
      <c r="J178" s="149">
        <f t="shared" si="159"/>
        <v>0</v>
      </c>
      <c r="K178" s="52"/>
      <c r="L178" s="152" t="str">
        <f t="shared" si="161"/>
        <v>#DIV/0!</v>
      </c>
      <c r="M178" s="153"/>
      <c r="N178" s="49">
        <f t="shared" si="162"/>
        <v>0</v>
      </c>
    </row>
    <row r="179">
      <c r="A179" s="160"/>
      <c r="B179" s="63"/>
      <c r="C179" s="62"/>
      <c r="D179" s="64" t="s">
        <v>19</v>
      </c>
      <c r="E179" s="64">
        <f t="shared" ref="E179:F179" si="163">sum(E171:E178)</f>
        <v>0</v>
      </c>
      <c r="F179" s="64">
        <f t="shared" si="163"/>
        <v>350</v>
      </c>
      <c r="G179" s="65" t="str">
        <f>average(G171:G178)</f>
        <v>#DIV/0!</v>
      </c>
      <c r="H179" s="62"/>
      <c r="I179" s="66"/>
      <c r="J179" s="64">
        <f t="shared" ref="J179:K179" si="164">sum(J171:J178)</f>
        <v>0</v>
      </c>
      <c r="K179" s="64">
        <f t="shared" si="164"/>
        <v>350</v>
      </c>
      <c r="L179" s="65" t="str">
        <f>average(L171:L178)</f>
        <v>#DIV/0!</v>
      </c>
      <c r="M179" s="68"/>
      <c r="N179" s="69">
        <f>sum(N171:N178)</f>
        <v>6279160</v>
      </c>
    </row>
    <row r="180">
      <c r="A180" s="155">
        <v>45999.0</v>
      </c>
      <c r="B180" s="162" t="s">
        <v>33</v>
      </c>
      <c r="C180" s="89"/>
      <c r="D180" s="163"/>
      <c r="E180" s="38">
        <f t="shared" ref="E180:E186" si="165">D180-C180</f>
        <v>0</v>
      </c>
      <c r="F180" s="39">
        <v>81.61</v>
      </c>
      <c r="G180" s="124" t="str">
        <f t="shared" ref="G180:G186" si="166">(F180/E180)*100</f>
        <v>#DIV/0!</v>
      </c>
      <c r="H180" s="137"/>
      <c r="I180" s="138"/>
      <c r="J180" s="41">
        <f t="shared" ref="J180:J186" si="167">I180-H180</f>
        <v>0</v>
      </c>
      <c r="K180" s="52">
        <f t="shared" ref="K180:K182" si="168">F180</f>
        <v>81.61</v>
      </c>
      <c r="L180" s="164" t="str">
        <f t="shared" ref="L180:L186" si="169">(K180/J180)*100</f>
        <v>#DIV/0!</v>
      </c>
      <c r="M180" s="72">
        <v>18380.0</v>
      </c>
      <c r="N180" s="131">
        <f t="shared" ref="N180:N186" si="170">M180*K180</f>
        <v>1499991.8</v>
      </c>
      <c r="R180" s="80" t="str">
        <f t="shared" ref="R180:R186" si="171">Q180</f>
        <v/>
      </c>
    </row>
    <row r="181">
      <c r="A181" s="154">
        <v>46003.0</v>
      </c>
      <c r="B181" s="156" t="s">
        <v>33</v>
      </c>
      <c r="C181" s="89"/>
      <c r="D181" s="13"/>
      <c r="E181" s="38">
        <f t="shared" si="165"/>
        <v>0</v>
      </c>
      <c r="F181" s="47">
        <v>89.475</v>
      </c>
      <c r="G181" s="14" t="str">
        <f t="shared" si="166"/>
        <v>#DIV/0!</v>
      </c>
      <c r="H181" s="40"/>
      <c r="I181" s="40"/>
      <c r="J181" s="37">
        <f t="shared" si="167"/>
        <v>0</v>
      </c>
      <c r="K181" s="52">
        <f t="shared" si="168"/>
        <v>89.475</v>
      </c>
      <c r="L181" s="152" t="str">
        <f t="shared" si="169"/>
        <v>#DIV/0!</v>
      </c>
      <c r="M181" s="126">
        <v>18150.0</v>
      </c>
      <c r="N181" s="131">
        <f t="shared" si="170"/>
        <v>1623971.25</v>
      </c>
      <c r="R181" s="80" t="str">
        <f t="shared" si="171"/>
        <v/>
      </c>
    </row>
    <row r="182">
      <c r="A182" s="154">
        <v>46008.0</v>
      </c>
      <c r="B182" s="156" t="s">
        <v>33</v>
      </c>
      <c r="C182" s="89"/>
      <c r="D182" s="89"/>
      <c r="E182" s="12">
        <f t="shared" si="165"/>
        <v>0</v>
      </c>
      <c r="F182" s="157">
        <v>90.0</v>
      </c>
      <c r="G182" s="14" t="str">
        <f t="shared" si="166"/>
        <v>#DIV/0!</v>
      </c>
      <c r="H182" s="37"/>
      <c r="I182" s="40"/>
      <c r="J182" s="37">
        <f t="shared" si="167"/>
        <v>0</v>
      </c>
      <c r="K182" s="52">
        <f t="shared" si="168"/>
        <v>90</v>
      </c>
      <c r="L182" s="152" t="str">
        <f t="shared" si="169"/>
        <v>#DIV/0!</v>
      </c>
      <c r="M182" s="126">
        <v>18150.0</v>
      </c>
      <c r="N182" s="131">
        <f t="shared" si="170"/>
        <v>1633500</v>
      </c>
      <c r="R182" s="80" t="str">
        <f t="shared" si="171"/>
        <v/>
      </c>
    </row>
    <row r="183">
      <c r="A183" s="154">
        <v>46010.0</v>
      </c>
      <c r="B183" s="156" t="s">
        <v>33</v>
      </c>
      <c r="C183" s="89"/>
      <c r="D183" s="89"/>
      <c r="E183" s="12">
        <f t="shared" si="165"/>
        <v>0</v>
      </c>
      <c r="F183" s="157">
        <v>80.0</v>
      </c>
      <c r="G183" s="14" t="str">
        <f t="shared" si="166"/>
        <v>#DIV/0!</v>
      </c>
      <c r="H183" s="37"/>
      <c r="I183" s="40"/>
      <c r="J183" s="37">
        <f t="shared" si="167"/>
        <v>0</v>
      </c>
      <c r="K183" s="52">
        <v>80.0</v>
      </c>
      <c r="L183" s="152" t="str">
        <f t="shared" si="169"/>
        <v>#DIV/0!</v>
      </c>
      <c r="M183" s="126">
        <v>17470.0</v>
      </c>
      <c r="N183" s="131">
        <f t="shared" si="170"/>
        <v>1397600</v>
      </c>
      <c r="R183" s="80" t="str">
        <f t="shared" si="171"/>
        <v/>
      </c>
    </row>
    <row r="184">
      <c r="A184" s="154">
        <v>46013.0</v>
      </c>
      <c r="B184" s="156" t="s">
        <v>33</v>
      </c>
      <c r="C184" s="89"/>
      <c r="D184" s="89"/>
      <c r="E184" s="12">
        <f t="shared" si="165"/>
        <v>0</v>
      </c>
      <c r="F184" s="157">
        <v>89.0</v>
      </c>
      <c r="G184" s="14" t="str">
        <f t="shared" si="166"/>
        <v>#DIV/0!</v>
      </c>
      <c r="H184" s="37"/>
      <c r="I184" s="40"/>
      <c r="J184" s="37">
        <f t="shared" si="167"/>
        <v>0</v>
      </c>
      <c r="K184" s="52">
        <v>89.0</v>
      </c>
      <c r="L184" s="152" t="str">
        <f t="shared" si="169"/>
        <v>#DIV/0!</v>
      </c>
      <c r="M184" s="126">
        <v>17470.0</v>
      </c>
      <c r="N184" s="131">
        <f t="shared" si="170"/>
        <v>1554830</v>
      </c>
      <c r="R184" s="80" t="str">
        <f t="shared" si="171"/>
        <v/>
      </c>
    </row>
    <row r="185">
      <c r="A185" s="154"/>
      <c r="B185" s="156" t="s">
        <v>33</v>
      </c>
      <c r="C185" s="89"/>
      <c r="D185" s="158"/>
      <c r="E185" s="12">
        <f t="shared" si="165"/>
        <v>0</v>
      </c>
      <c r="F185" s="157"/>
      <c r="G185" s="14" t="str">
        <f t="shared" si="166"/>
        <v>#DIV/0!</v>
      </c>
      <c r="H185" s="37"/>
      <c r="I185" s="93"/>
      <c r="J185" s="37">
        <f t="shared" si="167"/>
        <v>0</v>
      </c>
      <c r="K185" s="52"/>
      <c r="L185" s="152" t="str">
        <f t="shared" si="169"/>
        <v>#DIV/0!</v>
      </c>
      <c r="M185" s="126"/>
      <c r="N185" s="131">
        <f t="shared" si="170"/>
        <v>0</v>
      </c>
      <c r="R185" s="80" t="str">
        <f t="shared" si="171"/>
        <v/>
      </c>
    </row>
    <row r="186">
      <c r="A186" s="154"/>
      <c r="B186" s="156" t="s">
        <v>33</v>
      </c>
      <c r="C186" s="89"/>
      <c r="D186" s="158"/>
      <c r="E186" s="12">
        <f t="shared" si="165"/>
        <v>0</v>
      </c>
      <c r="F186" s="157"/>
      <c r="G186" s="14" t="str">
        <f t="shared" si="166"/>
        <v>#DIV/0!</v>
      </c>
      <c r="H186" s="89"/>
      <c r="I186" s="159"/>
      <c r="J186" s="89">
        <f t="shared" si="167"/>
        <v>0</v>
      </c>
      <c r="K186" s="52"/>
      <c r="L186" s="152" t="str">
        <f t="shared" si="169"/>
        <v>#DIV/0!</v>
      </c>
      <c r="M186" s="126"/>
      <c r="N186" s="131">
        <f t="shared" si="170"/>
        <v>0</v>
      </c>
      <c r="R186" s="80" t="str">
        <f t="shared" si="171"/>
        <v/>
      </c>
    </row>
    <row r="187">
      <c r="A187" s="154"/>
      <c r="B187" s="63"/>
      <c r="C187" s="62"/>
      <c r="D187" s="64" t="s">
        <v>19</v>
      </c>
      <c r="E187" s="64">
        <f t="shared" ref="E187:F187" si="172">sum(E174:E186)</f>
        <v>0</v>
      </c>
      <c r="F187" s="64">
        <f t="shared" si="172"/>
        <v>860.085</v>
      </c>
      <c r="G187" s="65" t="str">
        <f>average(G174:G186)</f>
        <v>#DIV/0!</v>
      </c>
      <c r="H187" s="62"/>
      <c r="I187" s="66"/>
      <c r="J187" s="64">
        <f>sum(J174:J186)</f>
        <v>0</v>
      </c>
      <c r="K187" s="64">
        <f>sum(K180:K186)</f>
        <v>430.085</v>
      </c>
      <c r="L187" s="65" t="str">
        <f>average(L174:L186)</f>
        <v>#DIV/0!</v>
      </c>
      <c r="M187" s="68"/>
      <c r="N187" s="147">
        <f>sum(N180:N186)</f>
        <v>7709893.05</v>
      </c>
    </row>
    <row r="188">
      <c r="A188" s="154">
        <v>46007.0</v>
      </c>
      <c r="B188" s="156" t="s">
        <v>34</v>
      </c>
      <c r="C188" s="89"/>
      <c r="D188" s="163"/>
      <c r="E188" s="38">
        <f t="shared" ref="E188:E194" si="173">D188-C188</f>
        <v>0</v>
      </c>
      <c r="F188" s="39">
        <v>62.0</v>
      </c>
      <c r="G188" s="124" t="str">
        <f t="shared" ref="G188:G194" si="174">(F188/E188)*100</f>
        <v>#DIV/0!</v>
      </c>
      <c r="H188" s="137"/>
      <c r="I188" s="138"/>
      <c r="J188" s="41">
        <f t="shared" ref="J188:J194" si="175">I188-H188</f>
        <v>0</v>
      </c>
      <c r="K188" s="52">
        <f>F188</f>
        <v>62</v>
      </c>
      <c r="L188" s="164" t="str">
        <f t="shared" ref="L188:L194" si="176">(K188/J188)*100</f>
        <v>#DIV/0!</v>
      </c>
      <c r="M188" s="72">
        <v>18150.0</v>
      </c>
      <c r="N188" s="131">
        <f t="shared" ref="N188:N194" si="177">M188*K188</f>
        <v>1125300</v>
      </c>
    </row>
    <row r="189">
      <c r="A189" s="154">
        <v>46012.0</v>
      </c>
      <c r="B189" s="156" t="s">
        <v>34</v>
      </c>
      <c r="C189" s="89"/>
      <c r="D189" s="13"/>
      <c r="E189" s="38">
        <f t="shared" si="173"/>
        <v>0</v>
      </c>
      <c r="F189" s="47"/>
      <c r="G189" s="14" t="str">
        <f t="shared" si="174"/>
        <v>#DIV/0!</v>
      </c>
      <c r="H189" s="40"/>
      <c r="I189" s="40"/>
      <c r="J189" s="37">
        <f t="shared" si="175"/>
        <v>0</v>
      </c>
      <c r="K189" s="52">
        <v>78.0</v>
      </c>
      <c r="L189" s="152" t="str">
        <f t="shared" si="176"/>
        <v>#DIV/0!</v>
      </c>
      <c r="M189" s="126">
        <v>17470.0</v>
      </c>
      <c r="N189" s="131">
        <f t="shared" si="177"/>
        <v>1362660</v>
      </c>
    </row>
    <row r="190">
      <c r="A190" s="154">
        <v>46021.0</v>
      </c>
      <c r="B190" s="156" t="s">
        <v>34</v>
      </c>
      <c r="C190" s="89"/>
      <c r="D190" s="89"/>
      <c r="E190" s="12">
        <f t="shared" si="173"/>
        <v>0</v>
      </c>
      <c r="F190" s="157">
        <v>74.0</v>
      </c>
      <c r="G190" s="14" t="str">
        <f t="shared" si="174"/>
        <v>#DIV/0!</v>
      </c>
      <c r="H190" s="37"/>
      <c r="I190" s="40"/>
      <c r="J190" s="37">
        <f t="shared" si="175"/>
        <v>0</v>
      </c>
      <c r="K190" s="52">
        <v>74.0</v>
      </c>
      <c r="L190" s="152" t="str">
        <f t="shared" si="176"/>
        <v>#DIV/0!</v>
      </c>
      <c r="M190" s="126">
        <v>17250.0</v>
      </c>
      <c r="N190" s="131">
        <f t="shared" si="177"/>
        <v>1276500</v>
      </c>
    </row>
    <row r="191">
      <c r="A191" s="154"/>
      <c r="B191" s="156" t="s">
        <v>34</v>
      </c>
      <c r="C191" s="89"/>
      <c r="D191" s="89"/>
      <c r="E191" s="12">
        <f t="shared" si="173"/>
        <v>0</v>
      </c>
      <c r="F191" s="157"/>
      <c r="G191" s="14" t="str">
        <f t="shared" si="174"/>
        <v>#DIV/0!</v>
      </c>
      <c r="H191" s="37"/>
      <c r="I191" s="40"/>
      <c r="J191" s="37">
        <f t="shared" si="175"/>
        <v>0</v>
      </c>
      <c r="K191" s="52"/>
      <c r="L191" s="152" t="str">
        <f t="shared" si="176"/>
        <v>#DIV/0!</v>
      </c>
      <c r="M191" s="126"/>
      <c r="N191" s="131">
        <f t="shared" si="177"/>
        <v>0</v>
      </c>
    </row>
    <row r="192">
      <c r="A192" s="154"/>
      <c r="B192" s="156" t="s">
        <v>34</v>
      </c>
      <c r="C192" s="89"/>
      <c r="D192" s="89"/>
      <c r="E192" s="12">
        <f t="shared" si="173"/>
        <v>0</v>
      </c>
      <c r="F192" s="157"/>
      <c r="G192" s="14" t="str">
        <f t="shared" si="174"/>
        <v>#DIV/0!</v>
      </c>
      <c r="H192" s="37"/>
      <c r="I192" s="40"/>
      <c r="J192" s="37">
        <f t="shared" si="175"/>
        <v>0</v>
      </c>
      <c r="K192" s="52"/>
      <c r="L192" s="152" t="str">
        <f t="shared" si="176"/>
        <v>#DIV/0!</v>
      </c>
      <c r="M192" s="126"/>
      <c r="N192" s="131">
        <f t="shared" si="177"/>
        <v>0</v>
      </c>
    </row>
    <row r="193">
      <c r="A193" s="154"/>
      <c r="B193" s="156" t="s">
        <v>34</v>
      </c>
      <c r="C193" s="89"/>
      <c r="D193" s="158"/>
      <c r="E193" s="12">
        <f t="shared" si="173"/>
        <v>0</v>
      </c>
      <c r="F193" s="157"/>
      <c r="G193" s="14" t="str">
        <f t="shared" si="174"/>
        <v>#DIV/0!</v>
      </c>
      <c r="H193" s="37"/>
      <c r="I193" s="93"/>
      <c r="J193" s="37">
        <f t="shared" si="175"/>
        <v>0</v>
      </c>
      <c r="K193" s="52"/>
      <c r="L193" s="152" t="str">
        <f t="shared" si="176"/>
        <v>#DIV/0!</v>
      </c>
      <c r="M193" s="126"/>
      <c r="N193" s="131">
        <f t="shared" si="177"/>
        <v>0</v>
      </c>
    </row>
    <row r="194">
      <c r="A194" s="154"/>
      <c r="B194" s="156" t="s">
        <v>34</v>
      </c>
      <c r="C194" s="89"/>
      <c r="D194" s="158"/>
      <c r="E194" s="12">
        <f t="shared" si="173"/>
        <v>0</v>
      </c>
      <c r="F194" s="157"/>
      <c r="G194" s="14" t="str">
        <f t="shared" si="174"/>
        <v>#DIV/0!</v>
      </c>
      <c r="H194" s="89"/>
      <c r="I194" s="159"/>
      <c r="J194" s="89">
        <f t="shared" si="175"/>
        <v>0</v>
      </c>
      <c r="K194" s="52"/>
      <c r="L194" s="152" t="str">
        <f t="shared" si="176"/>
        <v>#DIV/0!</v>
      </c>
      <c r="M194" s="126"/>
      <c r="N194" s="131">
        <f t="shared" si="177"/>
        <v>0</v>
      </c>
      <c r="R194" s="80" t="str">
        <f t="shared" ref="R194:R196" si="179">Q194</f>
        <v/>
      </c>
    </row>
    <row r="195">
      <c r="A195" s="154"/>
      <c r="B195" s="63"/>
      <c r="C195" s="62"/>
      <c r="D195" s="64" t="s">
        <v>19</v>
      </c>
      <c r="E195" s="64">
        <f t="shared" ref="E195:F195" si="178">sum(E180:E194)</f>
        <v>0</v>
      </c>
      <c r="F195" s="64">
        <f t="shared" si="178"/>
        <v>1426.17</v>
      </c>
      <c r="G195" s="65" t="str">
        <f>average(G180:G194)</f>
        <v>#DIV/0!</v>
      </c>
      <c r="H195" s="62"/>
      <c r="I195" s="66"/>
      <c r="J195" s="64">
        <f>sum(J180:J194)</f>
        <v>0</v>
      </c>
      <c r="K195" s="64">
        <f>sum(K188:K194)</f>
        <v>214</v>
      </c>
      <c r="L195" s="65" t="str">
        <f>average(L180:L194)</f>
        <v>#DIV/0!</v>
      </c>
      <c r="M195" s="68"/>
      <c r="N195" s="147">
        <f>sum(N188:N194)</f>
        <v>3764460</v>
      </c>
      <c r="Q195" s="80">
        <f>127500/2</f>
        <v>63750</v>
      </c>
      <c r="R195" s="80">
        <f t="shared" si="179"/>
        <v>63750</v>
      </c>
    </row>
    <row r="196">
      <c r="A196" s="154"/>
      <c r="B196" s="165"/>
      <c r="C196" s="165"/>
      <c r="D196" s="165"/>
      <c r="E196" s="165"/>
      <c r="F196" s="165"/>
      <c r="G196" s="165"/>
      <c r="H196" s="165"/>
      <c r="I196" s="165"/>
      <c r="J196" s="165"/>
      <c r="K196" s="165"/>
      <c r="L196" s="165"/>
      <c r="M196" s="166"/>
      <c r="N196" s="167">
        <f>N11+N19+N38+N48+N60+N70+N78+N86+N94+N101+N109+N117+N125+N134+N143+N152+N161+N170+N179+N187+N195+N29</f>
        <v>132230993.1</v>
      </c>
      <c r="R196" s="80" t="str">
        <f t="shared" si="179"/>
        <v/>
      </c>
    </row>
    <row r="197">
      <c r="A197" s="154"/>
      <c r="G197" s="168"/>
      <c r="L197" s="168"/>
      <c r="N197" s="169"/>
    </row>
    <row r="198" ht="31.5" customHeight="1">
      <c r="A198" s="154"/>
      <c r="D198" s="170" t="s">
        <v>45</v>
      </c>
      <c r="E198" s="171"/>
      <c r="G198" s="168"/>
      <c r="L198" s="168"/>
      <c r="N198" s="169"/>
    </row>
    <row r="199">
      <c r="A199" s="154"/>
      <c r="B199" s="172" t="s">
        <v>2</v>
      </c>
      <c r="C199" s="166" t="s">
        <v>3</v>
      </c>
      <c r="D199" s="166" t="s">
        <v>4</v>
      </c>
      <c r="E199" s="166" t="s">
        <v>5</v>
      </c>
      <c r="F199" s="166" t="s">
        <v>6</v>
      </c>
      <c r="G199" s="173" t="s">
        <v>7</v>
      </c>
      <c r="H199" s="174" t="s">
        <v>8</v>
      </c>
      <c r="I199" s="175" t="s">
        <v>8</v>
      </c>
      <c r="J199" s="166" t="s">
        <v>5</v>
      </c>
      <c r="K199" s="166" t="s">
        <v>6</v>
      </c>
      <c r="L199" s="173" t="s">
        <v>7</v>
      </c>
      <c r="M199" s="166" t="s">
        <v>9</v>
      </c>
      <c r="N199" s="176" t="s">
        <v>10</v>
      </c>
      <c r="O199" s="197">
        <v>1.0</v>
      </c>
      <c r="P199" s="255" t="s">
        <v>46</v>
      </c>
      <c r="Q199" s="259">
        <f>N205</f>
        <v>21950246</v>
      </c>
    </row>
    <row r="200">
      <c r="A200" s="272" t="s">
        <v>78</v>
      </c>
      <c r="B200" s="99" t="s">
        <v>46</v>
      </c>
      <c r="C200" s="13">
        <v>405166.0</v>
      </c>
      <c r="D200" s="13">
        <v>406390.0</v>
      </c>
      <c r="E200" s="12">
        <f t="shared" ref="E200:E204" si="180">D200-C200</f>
        <v>1224</v>
      </c>
      <c r="F200" s="37">
        <v>372.34</v>
      </c>
      <c r="G200" s="14">
        <f t="shared" ref="G200:G204" si="181">(F200/E200)*100</f>
        <v>30.41993464</v>
      </c>
      <c r="H200" s="89"/>
      <c r="I200" s="138"/>
      <c r="J200" s="41">
        <f t="shared" ref="J200:J204" si="182">I200-H200</f>
        <v>0</v>
      </c>
      <c r="K200" s="37">
        <v>372.34</v>
      </c>
      <c r="L200" s="71" t="str">
        <f t="shared" ref="L200:L204" si="183">(K200/J200)*100</f>
        <v>#DIV/0!</v>
      </c>
      <c r="M200" s="72">
        <v>18800.0</v>
      </c>
      <c r="N200" s="49">
        <f t="shared" ref="N200:N204" si="184">M200*K200</f>
        <v>6999992</v>
      </c>
      <c r="O200" s="197">
        <v>2.0</v>
      </c>
      <c r="P200" s="255" t="s">
        <v>47</v>
      </c>
      <c r="Q200" s="259">
        <f>N211</f>
        <v>23999987.9</v>
      </c>
    </row>
    <row r="201">
      <c r="A201" s="154">
        <v>46003.0</v>
      </c>
      <c r="B201" s="46" t="s">
        <v>46</v>
      </c>
      <c r="C201" s="13">
        <v>406390.0</v>
      </c>
      <c r="D201" s="13">
        <v>407710.0</v>
      </c>
      <c r="E201" s="12">
        <f t="shared" si="180"/>
        <v>1320</v>
      </c>
      <c r="F201" s="47">
        <v>399.46</v>
      </c>
      <c r="G201" s="14">
        <f t="shared" si="181"/>
        <v>30.26212121</v>
      </c>
      <c r="H201" s="37"/>
      <c r="I201" s="40"/>
      <c r="J201" s="37">
        <f t="shared" si="182"/>
        <v>0</v>
      </c>
      <c r="K201" s="52">
        <f t="shared" ref="K201:K204" si="185">F201</f>
        <v>399.46</v>
      </c>
      <c r="L201" s="48" t="str">
        <f t="shared" si="183"/>
        <v>#DIV/0!</v>
      </c>
      <c r="M201" s="50">
        <v>18150.0</v>
      </c>
      <c r="N201" s="49">
        <f t="shared" si="184"/>
        <v>7250199</v>
      </c>
      <c r="O201" s="197">
        <v>3.0</v>
      </c>
      <c r="P201" s="255" t="s">
        <v>48</v>
      </c>
      <c r="Q201" s="259">
        <f>N217</f>
        <v>8200197.4</v>
      </c>
    </row>
    <row r="202">
      <c r="A202" s="154">
        <v>46018.0</v>
      </c>
      <c r="B202" s="46" t="s">
        <v>46</v>
      </c>
      <c r="C202" s="13">
        <v>407710.0</v>
      </c>
      <c r="D202" s="37">
        <v>409135.0</v>
      </c>
      <c r="E202" s="12">
        <f t="shared" si="180"/>
        <v>1425</v>
      </c>
      <c r="F202" s="47">
        <v>446.38</v>
      </c>
      <c r="G202" s="14">
        <f t="shared" si="181"/>
        <v>31.32491228</v>
      </c>
      <c r="H202" s="37"/>
      <c r="I202" s="40"/>
      <c r="J202" s="37">
        <f t="shared" si="182"/>
        <v>0</v>
      </c>
      <c r="K202" s="37">
        <f t="shared" si="185"/>
        <v>446.38</v>
      </c>
      <c r="L202" s="48" t="str">
        <f t="shared" si="183"/>
        <v>#DIV/0!</v>
      </c>
      <c r="M202" s="50">
        <v>17250.0</v>
      </c>
      <c r="N202" s="49">
        <f t="shared" si="184"/>
        <v>7700055</v>
      </c>
      <c r="O202" s="197">
        <v>4.0</v>
      </c>
      <c r="P202" s="255" t="s">
        <v>49</v>
      </c>
      <c r="Q202" s="259">
        <f>N223</f>
        <v>8499931.2</v>
      </c>
    </row>
    <row r="203">
      <c r="A203" s="154"/>
      <c r="B203" s="46" t="s">
        <v>46</v>
      </c>
      <c r="C203" s="37"/>
      <c r="D203" s="37"/>
      <c r="E203" s="12">
        <f t="shared" si="180"/>
        <v>0</v>
      </c>
      <c r="F203" s="47"/>
      <c r="G203" s="14" t="str">
        <f t="shared" si="181"/>
        <v>#DIV/0!</v>
      </c>
      <c r="H203" s="37"/>
      <c r="I203" s="40"/>
      <c r="J203" s="37">
        <f t="shared" si="182"/>
        <v>0</v>
      </c>
      <c r="K203" s="37" t="str">
        <f t="shared" si="185"/>
        <v/>
      </c>
      <c r="L203" s="48" t="str">
        <f t="shared" si="183"/>
        <v>#DIV/0!</v>
      </c>
      <c r="M203" s="50"/>
      <c r="N203" s="49">
        <f t="shared" si="184"/>
        <v>0</v>
      </c>
      <c r="O203" s="197">
        <v>5.0</v>
      </c>
      <c r="P203" s="255" t="s">
        <v>50</v>
      </c>
      <c r="Q203" s="259">
        <f>N229</f>
        <v>8000088.2</v>
      </c>
    </row>
    <row r="204">
      <c r="A204" s="154"/>
      <c r="B204" s="83"/>
      <c r="C204" s="37"/>
      <c r="D204" s="37"/>
      <c r="E204" s="12">
        <f t="shared" si="180"/>
        <v>0</v>
      </c>
      <c r="F204" s="47"/>
      <c r="G204" s="14" t="str">
        <f t="shared" si="181"/>
        <v>#DIV/0!</v>
      </c>
      <c r="H204" s="37"/>
      <c r="I204" s="40"/>
      <c r="J204" s="37">
        <f t="shared" si="182"/>
        <v>0</v>
      </c>
      <c r="K204" s="37" t="str">
        <f t="shared" si="185"/>
        <v/>
      </c>
      <c r="L204" s="77" t="str">
        <f t="shared" si="183"/>
        <v>#DIV/0!</v>
      </c>
      <c r="M204" s="50"/>
      <c r="N204" s="49">
        <f t="shared" si="184"/>
        <v>0</v>
      </c>
      <c r="O204" s="197">
        <v>6.0</v>
      </c>
      <c r="P204" s="255" t="s">
        <v>51</v>
      </c>
      <c r="Q204" s="259">
        <f>N235</f>
        <v>11695483.5</v>
      </c>
    </row>
    <row r="205">
      <c r="A205" s="154"/>
      <c r="B205" s="63"/>
      <c r="C205" s="62"/>
      <c r="D205" s="64" t="s">
        <v>19</v>
      </c>
      <c r="E205" s="64">
        <f t="shared" ref="E205:F205" si="186">sum(E200:E204)</f>
        <v>3969</v>
      </c>
      <c r="F205" s="64">
        <f t="shared" si="186"/>
        <v>1218.18</v>
      </c>
      <c r="G205" s="65" t="str">
        <f>average(G200:G204)</f>
        <v>#DIV/0!</v>
      </c>
      <c r="H205" s="62"/>
      <c r="I205" s="66"/>
      <c r="J205" s="64">
        <f t="shared" ref="J205:K205" si="187">sum(J200:J204)</f>
        <v>0</v>
      </c>
      <c r="K205" s="64">
        <f t="shared" si="187"/>
        <v>1218.18</v>
      </c>
      <c r="L205" s="65" t="str">
        <f>average(L200:L204)</f>
        <v>#DIV/0!</v>
      </c>
      <c r="M205" s="68"/>
      <c r="N205" s="69">
        <f>sum(N200:N204)</f>
        <v>21950246</v>
      </c>
      <c r="O205" s="197">
        <v>7.0</v>
      </c>
      <c r="P205" s="273" t="s">
        <v>52</v>
      </c>
      <c r="Q205" s="259">
        <f>N264</f>
        <v>15800015.3</v>
      </c>
    </row>
    <row r="206">
      <c r="A206" s="154">
        <v>45993.0</v>
      </c>
      <c r="B206" s="156" t="s">
        <v>53</v>
      </c>
      <c r="C206" s="89">
        <v>500835.0</v>
      </c>
      <c r="D206" s="89">
        <v>501584.0</v>
      </c>
      <c r="E206" s="12">
        <f t="shared" ref="E206:E210" si="188">D206-C206</f>
        <v>749</v>
      </c>
      <c r="F206" s="157">
        <v>255.32</v>
      </c>
      <c r="G206" s="14">
        <f t="shared" ref="G206:G210" si="189">(F206/E206)*100</f>
        <v>34.08811749</v>
      </c>
      <c r="H206" s="89"/>
      <c r="I206" s="137"/>
      <c r="J206" s="89">
        <f t="shared" ref="J206:J210" si="190">I206-H206</f>
        <v>0</v>
      </c>
      <c r="K206" s="89">
        <f t="shared" ref="K206:K210" si="191">F206</f>
        <v>255.32</v>
      </c>
      <c r="L206" s="152" t="str">
        <f t="shared" ref="L206:L210" si="192">(K206/J206)*100</f>
        <v>#DIV/0!</v>
      </c>
      <c r="M206" s="126">
        <v>18800.0</v>
      </c>
      <c r="N206" s="44">
        <f t="shared" ref="N206:N210" si="193">F206*M206</f>
        <v>4800016</v>
      </c>
      <c r="O206" s="197">
        <v>8.0</v>
      </c>
      <c r="P206" s="250" t="s">
        <v>54</v>
      </c>
      <c r="Q206" s="259">
        <f>N250</f>
        <v>32000000</v>
      </c>
    </row>
    <row r="207">
      <c r="A207" s="154">
        <v>46000.0</v>
      </c>
      <c r="B207" s="156" t="s">
        <v>53</v>
      </c>
      <c r="C207" s="89">
        <v>501584.0</v>
      </c>
      <c r="D207" s="89">
        <v>502408.0</v>
      </c>
      <c r="E207" s="12">
        <f t="shared" si="188"/>
        <v>824</v>
      </c>
      <c r="F207" s="157">
        <v>261.16</v>
      </c>
      <c r="G207" s="14">
        <f t="shared" si="189"/>
        <v>31.69417476</v>
      </c>
      <c r="H207" s="89"/>
      <c r="I207" s="137">
        <v>25718.0</v>
      </c>
      <c r="J207" s="89">
        <f t="shared" si="190"/>
        <v>25718</v>
      </c>
      <c r="K207" s="89">
        <f t="shared" si="191"/>
        <v>261.16</v>
      </c>
      <c r="L207" s="152">
        <f t="shared" si="192"/>
        <v>1.015475542</v>
      </c>
      <c r="M207" s="126">
        <v>18380.0</v>
      </c>
      <c r="N207" s="49">
        <f t="shared" si="193"/>
        <v>4800120.8</v>
      </c>
      <c r="O207" s="197">
        <v>9.0</v>
      </c>
      <c r="P207" s="250" t="s">
        <v>69</v>
      </c>
      <c r="Q207" s="259">
        <f>N257</f>
        <v>18627440</v>
      </c>
    </row>
    <row r="208">
      <c r="A208" s="154">
        <v>46007.0</v>
      </c>
      <c r="B208" s="156" t="s">
        <v>53</v>
      </c>
      <c r="C208" s="89">
        <v>502408.0</v>
      </c>
      <c r="D208" s="89">
        <v>503334.0</v>
      </c>
      <c r="E208" s="12">
        <f t="shared" si="188"/>
        <v>926</v>
      </c>
      <c r="F208" s="157">
        <v>275.48</v>
      </c>
      <c r="G208" s="14">
        <f t="shared" si="189"/>
        <v>29.74946004</v>
      </c>
      <c r="H208" s="137">
        <v>25718.0</v>
      </c>
      <c r="I208" s="137">
        <v>26609.0</v>
      </c>
      <c r="J208" s="89">
        <f t="shared" si="190"/>
        <v>891</v>
      </c>
      <c r="K208" s="89">
        <f t="shared" si="191"/>
        <v>275.48</v>
      </c>
      <c r="L208" s="152">
        <f t="shared" si="192"/>
        <v>30.91806958</v>
      </c>
      <c r="M208" s="126">
        <v>18150.0</v>
      </c>
      <c r="N208" s="49">
        <f t="shared" si="193"/>
        <v>4999962</v>
      </c>
      <c r="O208" s="197">
        <v>10.0</v>
      </c>
      <c r="P208" s="260" t="s">
        <v>56</v>
      </c>
      <c r="Q208" s="259">
        <f>N241</f>
        <v>23000000</v>
      </c>
    </row>
    <row r="209">
      <c r="A209" s="154">
        <v>46014.0</v>
      </c>
      <c r="B209" s="156" t="s">
        <v>53</v>
      </c>
      <c r="C209" s="89">
        <v>503334.0</v>
      </c>
      <c r="D209" s="89">
        <v>504164.0</v>
      </c>
      <c r="E209" s="12">
        <f t="shared" si="188"/>
        <v>830</v>
      </c>
      <c r="F209" s="157">
        <v>269.03</v>
      </c>
      <c r="G209" s="14">
        <f t="shared" si="189"/>
        <v>32.41325301</v>
      </c>
      <c r="H209" s="137">
        <v>26609.0</v>
      </c>
      <c r="I209" s="137">
        <v>27406.0</v>
      </c>
      <c r="J209" s="89">
        <f t="shared" si="190"/>
        <v>797</v>
      </c>
      <c r="K209" s="89">
        <f t="shared" si="191"/>
        <v>269.03</v>
      </c>
      <c r="L209" s="152">
        <f t="shared" si="192"/>
        <v>33.7553325</v>
      </c>
      <c r="M209" s="126">
        <v>17470.0</v>
      </c>
      <c r="N209" s="49">
        <f t="shared" si="193"/>
        <v>4699954.1</v>
      </c>
    </row>
    <row r="210">
      <c r="A210" s="154">
        <v>46021.0</v>
      </c>
      <c r="B210" s="156" t="s">
        <v>53</v>
      </c>
      <c r="C210" s="89">
        <v>504164.0</v>
      </c>
      <c r="D210" s="89">
        <v>504934.0</v>
      </c>
      <c r="E210" s="12">
        <f t="shared" si="188"/>
        <v>770</v>
      </c>
      <c r="F210" s="157">
        <v>272.46</v>
      </c>
      <c r="G210" s="14">
        <f t="shared" si="189"/>
        <v>35.38441558</v>
      </c>
      <c r="H210" s="137">
        <v>27406.0</v>
      </c>
      <c r="I210" s="137">
        <v>28200.0</v>
      </c>
      <c r="J210" s="89">
        <f t="shared" si="190"/>
        <v>794</v>
      </c>
      <c r="K210" s="89">
        <f t="shared" si="191"/>
        <v>272.46</v>
      </c>
      <c r="L210" s="152">
        <f t="shared" si="192"/>
        <v>34.31486146</v>
      </c>
      <c r="M210" s="126">
        <v>17250.0</v>
      </c>
      <c r="N210" s="49">
        <f t="shared" si="193"/>
        <v>4699935</v>
      </c>
      <c r="P210" s="256" t="s">
        <v>19</v>
      </c>
      <c r="Q210" s="251">
        <f>SUM(Q199:Q208)</f>
        <v>171773389.5</v>
      </c>
    </row>
    <row r="211">
      <c r="A211" s="154"/>
      <c r="B211" s="63"/>
      <c r="C211" s="62"/>
      <c r="D211" s="64" t="s">
        <v>19</v>
      </c>
      <c r="E211" s="64">
        <f t="shared" ref="E211:F211" si="194">sum(E206:E210)</f>
        <v>4099</v>
      </c>
      <c r="F211" s="64">
        <f t="shared" si="194"/>
        <v>1333.45</v>
      </c>
      <c r="G211" s="65">
        <f>average(G206:G210)</f>
        <v>32.66588418</v>
      </c>
      <c r="H211" s="62"/>
      <c r="I211" s="66"/>
      <c r="J211" s="64">
        <f t="shared" ref="J211:K211" si="195">sum(J206:J210)</f>
        <v>28200</v>
      </c>
      <c r="K211" s="64">
        <f t="shared" si="195"/>
        <v>1333.45</v>
      </c>
      <c r="L211" s="65" t="str">
        <f>average(L206:L210)</f>
        <v>#DIV/0!</v>
      </c>
      <c r="M211" s="68"/>
      <c r="N211" s="69">
        <f>sum(N206:N210)</f>
        <v>23999987.9</v>
      </c>
    </row>
    <row r="212">
      <c r="A212" s="154">
        <v>46003.0</v>
      </c>
      <c r="B212" s="156" t="s">
        <v>48</v>
      </c>
      <c r="C212" s="89"/>
      <c r="D212" s="13"/>
      <c r="E212" s="38">
        <f t="shared" ref="E212:E216" si="196">D212-C212</f>
        <v>0</v>
      </c>
      <c r="F212" s="157">
        <v>231.41</v>
      </c>
      <c r="G212" s="14" t="str">
        <f t="shared" ref="G212:G216" si="197">(F212/E212)*100</f>
        <v>#DIV/0!</v>
      </c>
      <c r="H212" s="89"/>
      <c r="I212" s="138"/>
      <c r="J212" s="41">
        <f t="shared" ref="J212:J216" si="198">I212-H212</f>
        <v>0</v>
      </c>
      <c r="K212" s="41"/>
      <c r="L212" s="152" t="str">
        <f t="shared" ref="L212:L216" si="199">(K212/J212)*100</f>
        <v>#DIV/0!</v>
      </c>
      <c r="M212" s="72">
        <v>18150.0</v>
      </c>
      <c r="N212" s="131">
        <f t="shared" ref="N212:N216" si="200">F212*M212</f>
        <v>4200091.5</v>
      </c>
    </row>
    <row r="213">
      <c r="A213" s="154">
        <v>46015.0</v>
      </c>
      <c r="B213" s="156" t="s">
        <v>48</v>
      </c>
      <c r="C213" s="89"/>
      <c r="D213" s="13"/>
      <c r="E213" s="12">
        <f t="shared" si="196"/>
        <v>0</v>
      </c>
      <c r="F213" s="157">
        <v>228.97</v>
      </c>
      <c r="G213" s="14" t="str">
        <f t="shared" si="197"/>
        <v>#DIV/0!</v>
      </c>
      <c r="H213" s="89"/>
      <c r="I213" s="137"/>
      <c r="J213" s="89">
        <f t="shared" si="198"/>
        <v>0</v>
      </c>
      <c r="K213" s="37"/>
      <c r="L213" s="152" t="str">
        <f t="shared" si="199"/>
        <v>#DIV/0!</v>
      </c>
      <c r="M213" s="126">
        <v>17470.0</v>
      </c>
      <c r="N213" s="131">
        <f t="shared" si="200"/>
        <v>4000105.9</v>
      </c>
    </row>
    <row r="214">
      <c r="A214" s="154"/>
      <c r="B214" s="156" t="s">
        <v>48</v>
      </c>
      <c r="C214" s="89"/>
      <c r="D214" s="89"/>
      <c r="E214" s="12">
        <f t="shared" si="196"/>
        <v>0</v>
      </c>
      <c r="F214" s="157"/>
      <c r="G214" s="14" t="str">
        <f t="shared" si="197"/>
        <v>#DIV/0!</v>
      </c>
      <c r="H214" s="89"/>
      <c r="I214" s="137"/>
      <c r="J214" s="89">
        <f t="shared" si="198"/>
        <v>0</v>
      </c>
      <c r="K214" s="37" t="str">
        <f t="shared" ref="K214:K216" si="201">F214</f>
        <v/>
      </c>
      <c r="L214" s="152" t="str">
        <f t="shared" si="199"/>
        <v>#DIV/0!</v>
      </c>
      <c r="M214" s="126"/>
      <c r="N214" s="131">
        <f t="shared" si="200"/>
        <v>0</v>
      </c>
    </row>
    <row r="215">
      <c r="A215" s="154"/>
      <c r="B215" s="156" t="s">
        <v>48</v>
      </c>
      <c r="C215" s="89"/>
      <c r="D215" s="89"/>
      <c r="E215" s="12">
        <f t="shared" si="196"/>
        <v>0</v>
      </c>
      <c r="F215" s="157"/>
      <c r="G215" s="14" t="str">
        <f t="shared" si="197"/>
        <v>#DIV/0!</v>
      </c>
      <c r="H215" s="89"/>
      <c r="I215" s="137"/>
      <c r="J215" s="89">
        <f t="shared" si="198"/>
        <v>0</v>
      </c>
      <c r="K215" s="41" t="str">
        <f t="shared" si="201"/>
        <v/>
      </c>
      <c r="L215" s="152" t="str">
        <f t="shared" si="199"/>
        <v>#DIV/0!</v>
      </c>
      <c r="M215" s="126"/>
      <c r="N215" s="131">
        <f t="shared" si="200"/>
        <v>0</v>
      </c>
    </row>
    <row r="216">
      <c r="A216" s="154"/>
      <c r="B216" s="156"/>
      <c r="C216" s="89"/>
      <c r="D216" s="89"/>
      <c r="E216" s="12">
        <f t="shared" si="196"/>
        <v>0</v>
      </c>
      <c r="F216" s="157"/>
      <c r="G216" s="14" t="str">
        <f t="shared" si="197"/>
        <v>#DIV/0!</v>
      </c>
      <c r="H216" s="89"/>
      <c r="I216" s="137"/>
      <c r="J216" s="89">
        <f t="shared" si="198"/>
        <v>0</v>
      </c>
      <c r="K216" s="89" t="str">
        <f t="shared" si="201"/>
        <v/>
      </c>
      <c r="L216" s="152" t="str">
        <f t="shared" si="199"/>
        <v>#DIV/0!</v>
      </c>
      <c r="M216" s="126"/>
      <c r="N216" s="131">
        <f t="shared" si="200"/>
        <v>0</v>
      </c>
    </row>
    <row r="217">
      <c r="A217" s="154"/>
      <c r="B217" s="63"/>
      <c r="C217" s="62"/>
      <c r="D217" s="64" t="s">
        <v>19</v>
      </c>
      <c r="E217" s="64">
        <f t="shared" ref="E217:F217" si="202">sum(E212:E216)</f>
        <v>0</v>
      </c>
      <c r="F217" s="64">
        <f t="shared" si="202"/>
        <v>460.38</v>
      </c>
      <c r="G217" s="65" t="str">
        <f>average(G212:G216)</f>
        <v>#DIV/0!</v>
      </c>
      <c r="H217" s="62"/>
      <c r="I217" s="66"/>
      <c r="J217" s="64">
        <f t="shared" ref="J217:K217" si="203">sum(J212:J216)</f>
        <v>0</v>
      </c>
      <c r="K217" s="64">
        <f t="shared" si="203"/>
        <v>0</v>
      </c>
      <c r="L217" s="65" t="str">
        <f>average(L212:L216)</f>
        <v>#DIV/0!</v>
      </c>
      <c r="M217" s="68"/>
      <c r="N217" s="69">
        <f>sum(N212:N216)</f>
        <v>8200197.4</v>
      </c>
    </row>
    <row r="218">
      <c r="A218" s="154">
        <v>45996.0</v>
      </c>
      <c r="B218" s="156" t="s">
        <v>49</v>
      </c>
      <c r="C218" s="89"/>
      <c r="D218" s="13"/>
      <c r="E218" s="38">
        <f t="shared" ref="E218:E222" si="204">D218-C218</f>
        <v>0</v>
      </c>
      <c r="F218" s="39"/>
      <c r="G218" s="14" t="str">
        <f t="shared" ref="G218:G222" si="205">(F218/E218)*100</f>
        <v>#DIV/0!</v>
      </c>
      <c r="H218" s="89"/>
      <c r="I218" s="138"/>
      <c r="J218" s="41">
        <f t="shared" ref="J218:J222" si="206">I218-H218</f>
        <v>0</v>
      </c>
      <c r="K218" s="41" t="str">
        <f t="shared" ref="K218:K222" si="207">F218</f>
        <v/>
      </c>
      <c r="L218" s="48" t="str">
        <f t="shared" ref="L218:L222" si="208">(K218/J218)*100</f>
        <v>#DIV/0!</v>
      </c>
      <c r="M218" s="72"/>
      <c r="N218" s="131">
        <v>4500000.0</v>
      </c>
    </row>
    <row r="219">
      <c r="A219" s="154">
        <v>46011.0</v>
      </c>
      <c r="B219" s="156" t="s">
        <v>49</v>
      </c>
      <c r="C219" s="13"/>
      <c r="D219" s="89"/>
      <c r="E219" s="12">
        <f t="shared" si="204"/>
        <v>0</v>
      </c>
      <c r="F219" s="157">
        <v>228.96</v>
      </c>
      <c r="G219" s="14" t="str">
        <f t="shared" si="205"/>
        <v>#DIV/0!</v>
      </c>
      <c r="H219" s="89"/>
      <c r="I219" s="137"/>
      <c r="J219" s="89">
        <f t="shared" si="206"/>
        <v>0</v>
      </c>
      <c r="K219" s="89">
        <f t="shared" si="207"/>
        <v>228.96</v>
      </c>
      <c r="L219" s="152" t="str">
        <f t="shared" si="208"/>
        <v>#DIV/0!</v>
      </c>
      <c r="M219" s="126">
        <v>17470.0</v>
      </c>
      <c r="N219" s="131">
        <f t="shared" ref="N219:N221" si="209">M219*K219</f>
        <v>3999931.2</v>
      </c>
    </row>
    <row r="220">
      <c r="A220" s="154"/>
      <c r="B220" s="156" t="s">
        <v>49</v>
      </c>
      <c r="C220" s="89"/>
      <c r="D220" s="89"/>
      <c r="E220" s="12">
        <f t="shared" si="204"/>
        <v>0</v>
      </c>
      <c r="F220" s="157"/>
      <c r="G220" s="14" t="str">
        <f t="shared" si="205"/>
        <v>#DIV/0!</v>
      </c>
      <c r="H220" s="89"/>
      <c r="I220" s="137"/>
      <c r="J220" s="89">
        <f t="shared" si="206"/>
        <v>0</v>
      </c>
      <c r="K220" s="89" t="str">
        <f t="shared" si="207"/>
        <v/>
      </c>
      <c r="L220" s="152" t="str">
        <f t="shared" si="208"/>
        <v>#DIV/0!</v>
      </c>
      <c r="M220" s="126"/>
      <c r="N220" s="131">
        <f t="shared" si="209"/>
        <v>0</v>
      </c>
    </row>
    <row r="221">
      <c r="A221" s="154"/>
      <c r="B221" s="156" t="s">
        <v>49</v>
      </c>
      <c r="C221" s="89"/>
      <c r="D221" s="89"/>
      <c r="E221" s="12">
        <f t="shared" si="204"/>
        <v>0</v>
      </c>
      <c r="F221" s="157"/>
      <c r="G221" s="14" t="str">
        <f t="shared" si="205"/>
        <v>#DIV/0!</v>
      </c>
      <c r="H221" s="89"/>
      <c r="I221" s="137"/>
      <c r="J221" s="89">
        <f t="shared" si="206"/>
        <v>0</v>
      </c>
      <c r="K221" s="89" t="str">
        <f t="shared" si="207"/>
        <v/>
      </c>
      <c r="L221" s="152" t="str">
        <f t="shared" si="208"/>
        <v>#DIV/0!</v>
      </c>
      <c r="M221" s="126"/>
      <c r="N221" s="131">
        <f t="shared" si="209"/>
        <v>0</v>
      </c>
    </row>
    <row r="222">
      <c r="A222" s="154"/>
      <c r="B222" s="156"/>
      <c r="C222" s="89"/>
      <c r="D222" s="89"/>
      <c r="E222" s="12">
        <f t="shared" si="204"/>
        <v>0</v>
      </c>
      <c r="F222" s="157"/>
      <c r="G222" s="14" t="str">
        <f t="shared" si="205"/>
        <v>#DIV/0!</v>
      </c>
      <c r="H222" s="89"/>
      <c r="I222" s="137"/>
      <c r="J222" s="89">
        <f t="shared" si="206"/>
        <v>0</v>
      </c>
      <c r="K222" s="89" t="str">
        <f t="shared" si="207"/>
        <v/>
      </c>
      <c r="L222" s="152" t="str">
        <f t="shared" si="208"/>
        <v>#DIV/0!</v>
      </c>
      <c r="M222" s="126"/>
      <c r="N222" s="131">
        <f>F222*M222</f>
        <v>0</v>
      </c>
    </row>
    <row r="223">
      <c r="A223" s="154"/>
      <c r="B223" s="63"/>
      <c r="C223" s="62"/>
      <c r="D223" s="64" t="s">
        <v>19</v>
      </c>
      <c r="E223" s="64">
        <f t="shared" ref="E223:F223" si="210">sum(E218:E222)</f>
        <v>0</v>
      </c>
      <c r="F223" s="64">
        <f t="shared" si="210"/>
        <v>228.96</v>
      </c>
      <c r="G223" s="65" t="str">
        <f>average(G218:G222)</f>
        <v>#DIV/0!</v>
      </c>
      <c r="H223" s="62"/>
      <c r="I223" s="66"/>
      <c r="J223" s="64">
        <f t="shared" ref="J223:K223" si="211">sum(J218:J222)</f>
        <v>0</v>
      </c>
      <c r="K223" s="64">
        <f t="shared" si="211"/>
        <v>228.96</v>
      </c>
      <c r="L223" s="65" t="str">
        <f>average(L218:L222)</f>
        <v>#DIV/0!</v>
      </c>
      <c r="M223" s="68"/>
      <c r="N223" s="69">
        <f>sum(N218:N222)</f>
        <v>8499931.2</v>
      </c>
    </row>
    <row r="224">
      <c r="A224" s="154">
        <v>45999.0</v>
      </c>
      <c r="B224" s="156" t="s">
        <v>50</v>
      </c>
      <c r="C224" s="89"/>
      <c r="D224" s="13"/>
      <c r="E224" s="38"/>
      <c r="F224" s="39">
        <v>228.51</v>
      </c>
      <c r="G224" s="14" t="str">
        <f t="shared" ref="G224:G228" si="212">(F224/E224)*100</f>
        <v>#DIV/0!</v>
      </c>
      <c r="H224" s="89"/>
      <c r="I224" s="138"/>
      <c r="J224" s="41"/>
      <c r="K224" s="41">
        <f t="shared" ref="K224:K228" si="213">F224</f>
        <v>228.51</v>
      </c>
      <c r="L224" s="152" t="str">
        <f t="shared" ref="L224:L228" si="214">(K224/J224)*100</f>
        <v>#DIV/0!</v>
      </c>
      <c r="M224" s="72">
        <v>18380.0</v>
      </c>
      <c r="N224" s="49">
        <f>F224*M224</f>
        <v>4200013.8</v>
      </c>
    </row>
    <row r="225">
      <c r="A225" s="154">
        <v>46012.0</v>
      </c>
      <c r="B225" s="156" t="s">
        <v>50</v>
      </c>
      <c r="C225" s="89"/>
      <c r="D225" s="89"/>
      <c r="E225" s="12">
        <f t="shared" ref="E225:E228" si="215">D225-C225</f>
        <v>0</v>
      </c>
      <c r="F225" s="157">
        <v>217.52</v>
      </c>
      <c r="G225" s="14" t="str">
        <f t="shared" si="212"/>
        <v>#DIV/0!</v>
      </c>
      <c r="H225" s="89"/>
      <c r="I225" s="137"/>
      <c r="J225" s="89"/>
      <c r="K225" s="41">
        <f t="shared" si="213"/>
        <v>217.52</v>
      </c>
      <c r="L225" s="152" t="str">
        <f t="shared" si="214"/>
        <v>#DIV/0!</v>
      </c>
      <c r="M225" s="126">
        <v>17470.0</v>
      </c>
      <c r="N225" s="49">
        <f>M225*K225</f>
        <v>3800074.4</v>
      </c>
    </row>
    <row r="226">
      <c r="A226" s="154"/>
      <c r="B226" s="156" t="s">
        <v>50</v>
      </c>
      <c r="C226" s="89"/>
      <c r="D226" s="89"/>
      <c r="E226" s="12">
        <f t="shared" si="215"/>
        <v>0</v>
      </c>
      <c r="F226" s="157"/>
      <c r="G226" s="14" t="str">
        <f t="shared" si="212"/>
        <v>#DIV/0!</v>
      </c>
      <c r="H226" s="89"/>
      <c r="I226" s="137"/>
      <c r="J226" s="89">
        <f t="shared" ref="J226:J228" si="216">I226-H226</f>
        <v>0</v>
      </c>
      <c r="K226" s="41" t="str">
        <f t="shared" si="213"/>
        <v/>
      </c>
      <c r="L226" s="152" t="str">
        <f t="shared" si="214"/>
        <v>#DIV/0!</v>
      </c>
      <c r="M226" s="126"/>
      <c r="N226" s="49">
        <f t="shared" ref="N226:N228" si="217">F226*M226</f>
        <v>0</v>
      </c>
    </row>
    <row r="227">
      <c r="A227" s="154"/>
      <c r="B227" s="156" t="s">
        <v>50</v>
      </c>
      <c r="C227" s="89"/>
      <c r="D227" s="89"/>
      <c r="E227" s="12">
        <f t="shared" si="215"/>
        <v>0</v>
      </c>
      <c r="F227" s="157"/>
      <c r="G227" s="14" t="str">
        <f t="shared" si="212"/>
        <v>#DIV/0!</v>
      </c>
      <c r="H227" s="89"/>
      <c r="I227" s="137"/>
      <c r="J227" s="89">
        <f t="shared" si="216"/>
        <v>0</v>
      </c>
      <c r="K227" s="41" t="str">
        <f t="shared" si="213"/>
        <v/>
      </c>
      <c r="L227" s="152" t="str">
        <f t="shared" si="214"/>
        <v>#DIV/0!</v>
      </c>
      <c r="M227" s="126"/>
      <c r="N227" s="49">
        <f t="shared" si="217"/>
        <v>0</v>
      </c>
    </row>
    <row r="228">
      <c r="A228" s="154"/>
      <c r="B228" s="156" t="s">
        <v>50</v>
      </c>
      <c r="C228" s="89"/>
      <c r="D228" s="89"/>
      <c r="E228" s="12">
        <f t="shared" si="215"/>
        <v>0</v>
      </c>
      <c r="F228" s="157"/>
      <c r="G228" s="14" t="str">
        <f t="shared" si="212"/>
        <v>#DIV/0!</v>
      </c>
      <c r="H228" s="89"/>
      <c r="I228" s="137"/>
      <c r="J228" s="89">
        <f t="shared" si="216"/>
        <v>0</v>
      </c>
      <c r="K228" s="41" t="str">
        <f t="shared" si="213"/>
        <v/>
      </c>
      <c r="L228" s="152" t="str">
        <f t="shared" si="214"/>
        <v>#DIV/0!</v>
      </c>
      <c r="M228" s="126"/>
      <c r="N228" s="49">
        <f t="shared" si="217"/>
        <v>0</v>
      </c>
    </row>
    <row r="229">
      <c r="A229" s="154"/>
      <c r="B229" s="63"/>
      <c r="C229" s="62"/>
      <c r="D229" s="64" t="s">
        <v>19</v>
      </c>
      <c r="E229" s="64">
        <f t="shared" ref="E229:F229" si="218">sum(E224:E228)</f>
        <v>0</v>
      </c>
      <c r="F229" s="64">
        <f t="shared" si="218"/>
        <v>446.03</v>
      </c>
      <c r="G229" s="65" t="str">
        <f>average(G224:G228)</f>
        <v>#DIV/0!</v>
      </c>
      <c r="H229" s="62"/>
      <c r="I229" s="66"/>
      <c r="J229" s="64">
        <f t="shared" ref="J229:K229" si="219">sum(J224:J228)</f>
        <v>0</v>
      </c>
      <c r="K229" s="64">
        <f t="shared" si="219"/>
        <v>446.03</v>
      </c>
      <c r="L229" s="65" t="str">
        <f>average(L224:L228)</f>
        <v>#DIV/0!</v>
      </c>
      <c r="M229" s="68"/>
      <c r="N229" s="69">
        <f>sum(N224:N228)</f>
        <v>8000088.2</v>
      </c>
    </row>
    <row r="230">
      <c r="A230" s="154">
        <v>45994.0</v>
      </c>
      <c r="B230" s="156" t="s">
        <v>51</v>
      </c>
      <c r="C230" s="89">
        <v>301477.0</v>
      </c>
      <c r="D230" s="13">
        <v>301772.0</v>
      </c>
      <c r="E230" s="12">
        <f t="shared" ref="E230:E234" si="220">D230-C230</f>
        <v>295</v>
      </c>
      <c r="F230" s="39">
        <v>159.58</v>
      </c>
      <c r="G230" s="14">
        <f t="shared" ref="G230:G234" si="221">(F230/E230)*100</f>
        <v>54.09491525</v>
      </c>
      <c r="H230" s="89"/>
      <c r="I230" s="138"/>
      <c r="J230" s="41">
        <f t="shared" ref="J230:J234" si="222">I230-H230</f>
        <v>0</v>
      </c>
      <c r="K230" s="41">
        <f t="shared" ref="K230:K234" si="223">F230</f>
        <v>159.58</v>
      </c>
      <c r="L230" s="152" t="str">
        <f t="shared" ref="L230:L234" si="224">(K230/J230)*100</f>
        <v>#DIV/0!</v>
      </c>
      <c r="M230" s="72">
        <v>18800.0</v>
      </c>
      <c r="N230" s="49">
        <f t="shared" ref="N230:N233" si="225">F230*M230</f>
        <v>3000104</v>
      </c>
    </row>
    <row r="231">
      <c r="A231" s="154">
        <v>46003.0</v>
      </c>
      <c r="B231" s="156" t="s">
        <v>51</v>
      </c>
      <c r="C231" s="13">
        <v>301772.0</v>
      </c>
      <c r="D231" s="89">
        <v>302110.0</v>
      </c>
      <c r="E231" s="12">
        <f t="shared" si="220"/>
        <v>338</v>
      </c>
      <c r="F231" s="157">
        <v>163.93</v>
      </c>
      <c r="G231" s="14">
        <f t="shared" si="221"/>
        <v>48.5</v>
      </c>
      <c r="H231" s="89"/>
      <c r="I231" s="137"/>
      <c r="J231" s="89">
        <f t="shared" si="222"/>
        <v>0</v>
      </c>
      <c r="K231" s="89">
        <f t="shared" si="223"/>
        <v>163.93</v>
      </c>
      <c r="L231" s="152" t="str">
        <f t="shared" si="224"/>
        <v>#DIV/0!</v>
      </c>
      <c r="M231" s="126">
        <v>18150.0</v>
      </c>
      <c r="N231" s="49">
        <f t="shared" si="225"/>
        <v>2975329.5</v>
      </c>
    </row>
    <row r="232">
      <c r="A232" s="154">
        <v>46013.0</v>
      </c>
      <c r="B232" s="156" t="s">
        <v>51</v>
      </c>
      <c r="C232" s="89">
        <v>302110.0</v>
      </c>
      <c r="D232" s="89">
        <v>302486.0</v>
      </c>
      <c r="E232" s="12">
        <f t="shared" si="220"/>
        <v>376</v>
      </c>
      <c r="F232" s="157">
        <v>166.0</v>
      </c>
      <c r="G232" s="14">
        <f t="shared" si="221"/>
        <v>44.14893617</v>
      </c>
      <c r="H232" s="89"/>
      <c r="I232" s="137"/>
      <c r="J232" s="89">
        <f t="shared" si="222"/>
        <v>0</v>
      </c>
      <c r="K232" s="89">
        <f t="shared" si="223"/>
        <v>166</v>
      </c>
      <c r="L232" s="152" t="str">
        <f t="shared" si="224"/>
        <v>#DIV/0!</v>
      </c>
      <c r="M232" s="126">
        <v>17470.0</v>
      </c>
      <c r="N232" s="49">
        <f t="shared" si="225"/>
        <v>2900020</v>
      </c>
    </row>
    <row r="233">
      <c r="A233" s="154">
        <v>46022.0</v>
      </c>
      <c r="B233" s="156" t="s">
        <v>51</v>
      </c>
      <c r="C233" s="89">
        <v>302486.0</v>
      </c>
      <c r="D233" s="89">
        <v>302821.0</v>
      </c>
      <c r="E233" s="12">
        <f t="shared" si="220"/>
        <v>335</v>
      </c>
      <c r="F233" s="157">
        <v>163.48</v>
      </c>
      <c r="G233" s="14">
        <f t="shared" si="221"/>
        <v>48.8</v>
      </c>
      <c r="H233" s="89"/>
      <c r="I233" s="137"/>
      <c r="J233" s="89">
        <f t="shared" si="222"/>
        <v>0</v>
      </c>
      <c r="K233" s="89">
        <f t="shared" si="223"/>
        <v>163.48</v>
      </c>
      <c r="L233" s="152" t="str">
        <f t="shared" si="224"/>
        <v>#DIV/0!</v>
      </c>
      <c r="M233" s="126">
        <v>17250.0</v>
      </c>
      <c r="N233" s="49">
        <f t="shared" si="225"/>
        <v>2820030</v>
      </c>
    </row>
    <row r="234">
      <c r="A234" s="154"/>
      <c r="B234" s="156"/>
      <c r="C234" s="89"/>
      <c r="D234" s="89"/>
      <c r="E234" s="12">
        <f t="shared" si="220"/>
        <v>0</v>
      </c>
      <c r="F234" s="157"/>
      <c r="G234" s="14" t="str">
        <f t="shared" si="221"/>
        <v>#DIV/0!</v>
      </c>
      <c r="H234" s="89"/>
      <c r="I234" s="137"/>
      <c r="J234" s="89">
        <f t="shared" si="222"/>
        <v>0</v>
      </c>
      <c r="K234" s="89" t="str">
        <f t="shared" si="223"/>
        <v/>
      </c>
      <c r="L234" s="152" t="str">
        <f t="shared" si="224"/>
        <v>#DIV/0!</v>
      </c>
      <c r="M234" s="126"/>
      <c r="N234" s="49">
        <f>M234*K234</f>
        <v>0</v>
      </c>
    </row>
    <row r="235">
      <c r="A235" s="154"/>
      <c r="B235" s="63"/>
      <c r="C235" s="62"/>
      <c r="D235" s="64" t="s">
        <v>19</v>
      </c>
      <c r="E235" s="64">
        <f t="shared" ref="E235:F235" si="226">sum(E230:E234)</f>
        <v>1344</v>
      </c>
      <c r="F235" s="64">
        <f t="shared" si="226"/>
        <v>652.99</v>
      </c>
      <c r="G235" s="65" t="str">
        <f>average(G230:G234)</f>
        <v>#DIV/0!</v>
      </c>
      <c r="H235" s="62"/>
      <c r="I235" s="66"/>
      <c r="J235" s="64">
        <f t="shared" ref="J235:K235" si="227">sum(J230:J234)</f>
        <v>0</v>
      </c>
      <c r="K235" s="64">
        <f t="shared" si="227"/>
        <v>652.99</v>
      </c>
      <c r="L235" s="65" t="str">
        <f>average(L230:L234)</f>
        <v>#DIV/0!</v>
      </c>
      <c r="M235" s="68"/>
      <c r="N235" s="69">
        <f>sum(N230:N234)</f>
        <v>11695483.5</v>
      </c>
    </row>
    <row r="236">
      <c r="A236" s="154">
        <v>45992.0</v>
      </c>
      <c r="B236" s="190" t="s">
        <v>62</v>
      </c>
      <c r="C236" s="89"/>
      <c r="D236" s="13"/>
      <c r="E236" s="38">
        <f t="shared" ref="E236:E240" si="228">D236-C236</f>
        <v>0</v>
      </c>
      <c r="F236" s="39"/>
      <c r="G236" s="14" t="str">
        <f t="shared" ref="G236:G240" si="229">(F236/E236)*100</f>
        <v>#DIV/0!</v>
      </c>
      <c r="H236" s="89"/>
      <c r="I236" s="138"/>
      <c r="J236" s="41">
        <f t="shared" ref="J236:J240" si="230">I236-H236</f>
        <v>0</v>
      </c>
      <c r="K236" s="41" t="str">
        <f t="shared" ref="K236:K240" si="231">F236</f>
        <v/>
      </c>
      <c r="L236" s="152" t="str">
        <f t="shared" ref="L236:L240" si="232">(K236/J236)*100</f>
        <v>#DIV/0!</v>
      </c>
      <c r="M236" s="72"/>
      <c r="N236" s="131">
        <v>1.0E7</v>
      </c>
    </row>
    <row r="237">
      <c r="A237" s="154">
        <v>46002.0</v>
      </c>
      <c r="B237" s="190" t="s">
        <v>62</v>
      </c>
      <c r="C237" s="89"/>
      <c r="D237" s="89"/>
      <c r="E237" s="12">
        <f t="shared" si="228"/>
        <v>0</v>
      </c>
      <c r="F237" s="157"/>
      <c r="G237" s="14" t="str">
        <f t="shared" si="229"/>
        <v>#DIV/0!</v>
      </c>
      <c r="H237" s="89"/>
      <c r="I237" s="137"/>
      <c r="J237" s="89">
        <f t="shared" si="230"/>
        <v>0</v>
      </c>
      <c r="K237" s="89" t="str">
        <f t="shared" si="231"/>
        <v/>
      </c>
      <c r="L237" s="152" t="str">
        <f t="shared" si="232"/>
        <v>#DIV/0!</v>
      </c>
      <c r="M237" s="126"/>
      <c r="N237" s="131">
        <v>8000000.0</v>
      </c>
    </row>
    <row r="238">
      <c r="A238" s="154">
        <v>46380.0</v>
      </c>
      <c r="B238" s="190" t="s">
        <v>62</v>
      </c>
      <c r="C238" s="89"/>
      <c r="D238" s="89"/>
      <c r="E238" s="12">
        <f t="shared" si="228"/>
        <v>0</v>
      </c>
      <c r="F238" s="157"/>
      <c r="G238" s="14" t="str">
        <f t="shared" si="229"/>
        <v>#DIV/0!</v>
      </c>
      <c r="H238" s="89"/>
      <c r="I238" s="137"/>
      <c r="J238" s="89">
        <f t="shared" si="230"/>
        <v>0</v>
      </c>
      <c r="K238" s="89" t="str">
        <f t="shared" si="231"/>
        <v/>
      </c>
      <c r="L238" s="152" t="str">
        <f t="shared" si="232"/>
        <v>#DIV/0!</v>
      </c>
      <c r="M238" s="126"/>
      <c r="N238" s="131">
        <v>5000000.0</v>
      </c>
    </row>
    <row r="239">
      <c r="A239" s="154"/>
      <c r="B239" s="190" t="s">
        <v>62</v>
      </c>
      <c r="C239" s="89"/>
      <c r="D239" s="89"/>
      <c r="E239" s="12">
        <f t="shared" si="228"/>
        <v>0</v>
      </c>
      <c r="F239" s="157"/>
      <c r="G239" s="14" t="str">
        <f t="shared" si="229"/>
        <v>#DIV/0!</v>
      </c>
      <c r="H239" s="89"/>
      <c r="I239" s="137"/>
      <c r="J239" s="89">
        <f t="shared" si="230"/>
        <v>0</v>
      </c>
      <c r="K239" s="89" t="str">
        <f t="shared" si="231"/>
        <v/>
      </c>
      <c r="L239" s="152" t="str">
        <f t="shared" si="232"/>
        <v>#DIV/0!</v>
      </c>
      <c r="M239" s="126"/>
      <c r="N239" s="131">
        <f t="shared" ref="N239:N240" si="233">F239*M239</f>
        <v>0</v>
      </c>
    </row>
    <row r="240">
      <c r="A240" s="154"/>
      <c r="B240" s="190" t="s">
        <v>62</v>
      </c>
      <c r="C240" s="89"/>
      <c r="D240" s="89"/>
      <c r="E240" s="12">
        <f t="shared" si="228"/>
        <v>0</v>
      </c>
      <c r="F240" s="157"/>
      <c r="G240" s="14" t="str">
        <f t="shared" si="229"/>
        <v>#DIV/0!</v>
      </c>
      <c r="H240" s="89"/>
      <c r="I240" s="137"/>
      <c r="J240" s="89">
        <f t="shared" si="230"/>
        <v>0</v>
      </c>
      <c r="K240" s="89" t="str">
        <f t="shared" si="231"/>
        <v/>
      </c>
      <c r="L240" s="152" t="str">
        <f t="shared" si="232"/>
        <v>#DIV/0!</v>
      </c>
      <c r="M240" s="126"/>
      <c r="N240" s="131">
        <f t="shared" si="233"/>
        <v>0</v>
      </c>
    </row>
    <row r="241">
      <c r="A241" s="62"/>
      <c r="B241" s="63"/>
      <c r="C241" s="62"/>
      <c r="D241" s="64"/>
      <c r="E241" s="64">
        <f t="shared" ref="E241:F241" si="234">sum(E236:E240)</f>
        <v>0</v>
      </c>
      <c r="F241" s="64">
        <f t="shared" si="234"/>
        <v>0</v>
      </c>
      <c r="G241" s="65" t="str">
        <f>average(G236:G240)</f>
        <v>#DIV/0!</v>
      </c>
      <c r="H241" s="62"/>
      <c r="I241" s="66"/>
      <c r="J241" s="64">
        <f t="shared" ref="J241:K241" si="235">sum(J236:J240)</f>
        <v>0</v>
      </c>
      <c r="K241" s="64">
        <f t="shared" si="235"/>
        <v>0</v>
      </c>
      <c r="L241" s="65" t="str">
        <f>average(L236:L240)</f>
        <v>#DIV/0!</v>
      </c>
      <c r="M241" s="68"/>
      <c r="N241" s="69">
        <f>sum(N236:N240)</f>
        <v>23000000</v>
      </c>
    </row>
    <row r="242">
      <c r="A242" s="70">
        <v>45994.0</v>
      </c>
      <c r="B242" s="156" t="s">
        <v>54</v>
      </c>
      <c r="C242" s="89"/>
      <c r="D242" s="13"/>
      <c r="E242" s="38">
        <f t="shared" ref="E242:E247" si="236">D242-C242</f>
        <v>0</v>
      </c>
      <c r="F242" s="39"/>
      <c r="G242" s="14" t="str">
        <f t="shared" ref="G242:G247" si="237">(F242/E242)*100</f>
        <v>#DIV/0!</v>
      </c>
      <c r="H242" s="89"/>
      <c r="I242" s="138"/>
      <c r="J242" s="41">
        <f t="shared" ref="J242:J249" si="238">I242-H242</f>
        <v>0</v>
      </c>
      <c r="K242" s="41"/>
      <c r="L242" s="152" t="str">
        <f t="shared" ref="L242:L249" si="239">(K242/J242)*100</f>
        <v>#DIV/0!</v>
      </c>
      <c r="M242" s="72"/>
      <c r="N242" s="49">
        <v>5000000.0</v>
      </c>
    </row>
    <row r="243">
      <c r="A243" s="35">
        <v>45996.0</v>
      </c>
      <c r="B243" s="156" t="s">
        <v>54</v>
      </c>
      <c r="C243" s="89"/>
      <c r="D243" s="89"/>
      <c r="E243" s="12">
        <f t="shared" si="236"/>
        <v>0</v>
      </c>
      <c r="F243" s="157"/>
      <c r="G243" s="14" t="str">
        <f t="shared" si="237"/>
        <v>#DIV/0!</v>
      </c>
      <c r="H243" s="89"/>
      <c r="I243" s="137"/>
      <c r="J243" s="89">
        <f t="shared" si="238"/>
        <v>0</v>
      </c>
      <c r="K243" s="89" t="str">
        <f t="shared" ref="K243:K249" si="240">F243</f>
        <v/>
      </c>
      <c r="L243" s="152" t="str">
        <f t="shared" si="239"/>
        <v>#DIV/0!</v>
      </c>
      <c r="M243" s="126"/>
      <c r="N243" s="49">
        <v>5000000.0</v>
      </c>
    </row>
    <row r="244">
      <c r="A244" s="35">
        <v>46001.0</v>
      </c>
      <c r="B244" s="156" t="s">
        <v>54</v>
      </c>
      <c r="C244" s="89"/>
      <c r="D244" s="89"/>
      <c r="E244" s="12">
        <f t="shared" si="236"/>
        <v>0</v>
      </c>
      <c r="F244" s="157"/>
      <c r="G244" s="14" t="str">
        <f t="shared" si="237"/>
        <v>#DIV/0!</v>
      </c>
      <c r="H244" s="89"/>
      <c r="I244" s="137"/>
      <c r="J244" s="89">
        <f t="shared" si="238"/>
        <v>0</v>
      </c>
      <c r="K244" s="89" t="str">
        <f t="shared" si="240"/>
        <v/>
      </c>
      <c r="L244" s="152" t="str">
        <f t="shared" si="239"/>
        <v>#DIV/0!</v>
      </c>
      <c r="M244" s="126"/>
      <c r="N244" s="49">
        <v>5000000.0</v>
      </c>
    </row>
    <row r="245">
      <c r="A245" s="35">
        <v>46008.0</v>
      </c>
      <c r="B245" s="156" t="s">
        <v>54</v>
      </c>
      <c r="C245" s="89"/>
      <c r="D245" s="89"/>
      <c r="E245" s="12">
        <f t="shared" si="236"/>
        <v>0</v>
      </c>
      <c r="F245" s="157"/>
      <c r="G245" s="14" t="str">
        <f t="shared" si="237"/>
        <v>#DIV/0!</v>
      </c>
      <c r="H245" s="89"/>
      <c r="I245" s="137"/>
      <c r="J245" s="89">
        <f t="shared" si="238"/>
        <v>0</v>
      </c>
      <c r="K245" s="89" t="str">
        <f t="shared" si="240"/>
        <v/>
      </c>
      <c r="L245" s="152" t="str">
        <f t="shared" si="239"/>
        <v>#DIV/0!</v>
      </c>
      <c r="M245" s="126"/>
      <c r="N245" s="49">
        <v>7000000.0</v>
      </c>
    </row>
    <row r="246">
      <c r="A246" s="35">
        <v>46380.0</v>
      </c>
      <c r="B246" s="156" t="s">
        <v>54</v>
      </c>
      <c r="C246" s="89"/>
      <c r="D246" s="89"/>
      <c r="E246" s="12">
        <f t="shared" si="236"/>
        <v>0</v>
      </c>
      <c r="F246" s="157"/>
      <c r="G246" s="14" t="str">
        <f t="shared" si="237"/>
        <v>#DIV/0!</v>
      </c>
      <c r="H246" s="89"/>
      <c r="I246" s="137"/>
      <c r="J246" s="89">
        <f t="shared" si="238"/>
        <v>0</v>
      </c>
      <c r="K246" s="89" t="str">
        <f t="shared" si="240"/>
        <v/>
      </c>
      <c r="L246" s="152" t="str">
        <f t="shared" si="239"/>
        <v>#DIV/0!</v>
      </c>
      <c r="M246" s="126"/>
      <c r="N246" s="49">
        <v>5000000.0</v>
      </c>
    </row>
    <row r="247">
      <c r="A247" s="35">
        <v>46386.0</v>
      </c>
      <c r="B247" s="156" t="s">
        <v>54</v>
      </c>
      <c r="C247" s="89"/>
      <c r="D247" s="89"/>
      <c r="E247" s="12">
        <f t="shared" si="236"/>
        <v>0</v>
      </c>
      <c r="F247" s="157"/>
      <c r="G247" s="14" t="str">
        <f t="shared" si="237"/>
        <v>#DIV/0!</v>
      </c>
      <c r="H247" s="89"/>
      <c r="I247" s="137"/>
      <c r="J247" s="89">
        <f t="shared" si="238"/>
        <v>0</v>
      </c>
      <c r="K247" s="89" t="str">
        <f t="shared" si="240"/>
        <v/>
      </c>
      <c r="L247" s="152" t="str">
        <f t="shared" si="239"/>
        <v>#DIV/0!</v>
      </c>
      <c r="M247" s="126"/>
      <c r="N247" s="49">
        <v>5000000.0</v>
      </c>
    </row>
    <row r="248">
      <c r="A248" s="35"/>
      <c r="B248" s="156" t="s">
        <v>54</v>
      </c>
      <c r="C248" s="89"/>
      <c r="D248" s="89"/>
      <c r="E248" s="12"/>
      <c r="F248" s="157"/>
      <c r="G248" s="14"/>
      <c r="H248" s="89"/>
      <c r="I248" s="137"/>
      <c r="J248" s="89">
        <f t="shared" si="238"/>
        <v>0</v>
      </c>
      <c r="K248" s="89" t="str">
        <f t="shared" si="240"/>
        <v/>
      </c>
      <c r="L248" s="152" t="str">
        <f t="shared" si="239"/>
        <v>#DIV/0!</v>
      </c>
      <c r="M248" s="126"/>
      <c r="N248" s="49">
        <f t="shared" ref="N248:N249" si="241">M248*F248</f>
        <v>0</v>
      </c>
    </row>
    <row r="249">
      <c r="A249" s="35"/>
      <c r="B249" s="156" t="s">
        <v>54</v>
      </c>
      <c r="C249" s="89"/>
      <c r="D249" s="89"/>
      <c r="E249" s="12">
        <f>D249-C249</f>
        <v>0</v>
      </c>
      <c r="F249" s="157"/>
      <c r="G249" s="14" t="str">
        <f>(F249/E249)*100</f>
        <v>#DIV/0!</v>
      </c>
      <c r="H249" s="89"/>
      <c r="I249" s="137"/>
      <c r="J249" s="89">
        <f t="shared" si="238"/>
        <v>0</v>
      </c>
      <c r="K249" s="89" t="str">
        <f t="shared" si="240"/>
        <v/>
      </c>
      <c r="L249" s="152" t="str">
        <f t="shared" si="239"/>
        <v>#DIV/0!</v>
      </c>
      <c r="M249" s="126"/>
      <c r="N249" s="49">
        <f t="shared" si="241"/>
        <v>0</v>
      </c>
    </row>
    <row r="250">
      <c r="A250" s="70"/>
      <c r="B250" s="63"/>
      <c r="C250" s="62"/>
      <c r="D250" s="64" t="s">
        <v>19</v>
      </c>
      <c r="E250" s="64">
        <f t="shared" ref="E250:F250" si="242">sum(E242:E249)</f>
        <v>0</v>
      </c>
      <c r="F250" s="64">
        <f t="shared" si="242"/>
        <v>0</v>
      </c>
      <c r="G250" s="65" t="str">
        <f>average(G242:G249)</f>
        <v>#DIV/0!</v>
      </c>
      <c r="H250" s="62"/>
      <c r="I250" s="66"/>
      <c r="J250" s="64">
        <f t="shared" ref="J250:K250" si="243">sum(J242:J249)</f>
        <v>0</v>
      </c>
      <c r="K250" s="64">
        <f t="shared" si="243"/>
        <v>0</v>
      </c>
      <c r="L250" s="65" t="str">
        <f>average(L242:L249)</f>
        <v>#DIV/0!</v>
      </c>
      <c r="M250" s="68"/>
      <c r="N250" s="69">
        <f>sum(N242:N249)</f>
        <v>32000000</v>
      </c>
    </row>
    <row r="251">
      <c r="A251" s="70">
        <v>45992.0</v>
      </c>
      <c r="B251" s="156" t="s">
        <v>69</v>
      </c>
      <c r="C251" s="89"/>
      <c r="D251" s="13"/>
      <c r="E251" s="38">
        <f t="shared" ref="E251:E256" si="244">D251-C251</f>
        <v>0</v>
      </c>
      <c r="F251" s="39"/>
      <c r="G251" s="14" t="str">
        <f t="shared" ref="G251:G256" si="245">(F251/E251)*100</f>
        <v>#DIV/0!</v>
      </c>
      <c r="H251" s="89"/>
      <c r="I251" s="138"/>
      <c r="J251" s="41">
        <f t="shared" ref="J251:J256" si="246">I251-H251</f>
        <v>0</v>
      </c>
      <c r="K251" s="41" t="str">
        <f t="shared" ref="K251:K256" si="247">F251</f>
        <v/>
      </c>
      <c r="L251" s="71" t="str">
        <f t="shared" ref="L251:L256" si="248">(K251/J251)*100</f>
        <v>#DIV/0!</v>
      </c>
      <c r="M251" s="72"/>
      <c r="N251" s="49">
        <v>6137440.0</v>
      </c>
    </row>
    <row r="252">
      <c r="A252" s="35">
        <v>46000.0</v>
      </c>
      <c r="B252" s="156" t="s">
        <v>69</v>
      </c>
      <c r="C252" s="89"/>
      <c r="D252" s="89"/>
      <c r="E252" s="12">
        <f t="shared" si="244"/>
        <v>0</v>
      </c>
      <c r="F252" s="157"/>
      <c r="G252" s="14" t="str">
        <f t="shared" si="245"/>
        <v>#DIV/0!</v>
      </c>
      <c r="H252" s="89"/>
      <c r="I252" s="137"/>
      <c r="J252" s="37">
        <f t="shared" si="246"/>
        <v>0</v>
      </c>
      <c r="K252" s="37" t="str">
        <f t="shared" si="247"/>
        <v/>
      </c>
      <c r="L252" s="48" t="str">
        <f t="shared" si="248"/>
        <v>#DIV/0!</v>
      </c>
      <c r="M252" s="126"/>
      <c r="N252" s="49">
        <v>2000000.0</v>
      </c>
    </row>
    <row r="253">
      <c r="A253" s="35">
        <v>46006.0</v>
      </c>
      <c r="B253" s="156" t="s">
        <v>69</v>
      </c>
      <c r="C253" s="89"/>
      <c r="D253" s="13"/>
      <c r="E253" s="38">
        <f t="shared" si="244"/>
        <v>0</v>
      </c>
      <c r="F253" s="39"/>
      <c r="G253" s="14" t="str">
        <f t="shared" si="245"/>
        <v>#DIV/0!</v>
      </c>
      <c r="H253" s="89"/>
      <c r="I253" s="138"/>
      <c r="J253" s="41">
        <f t="shared" si="246"/>
        <v>0</v>
      </c>
      <c r="K253" s="41" t="str">
        <f t="shared" si="247"/>
        <v/>
      </c>
      <c r="L253" s="71" t="str">
        <f t="shared" si="248"/>
        <v>#DIV/0!</v>
      </c>
      <c r="M253" s="72"/>
      <c r="N253" s="49">
        <v>6490000.0</v>
      </c>
    </row>
    <row r="254">
      <c r="A254" s="35">
        <v>46383.0</v>
      </c>
      <c r="B254" s="156" t="s">
        <v>69</v>
      </c>
      <c r="C254" s="89"/>
      <c r="D254" s="89"/>
      <c r="E254" s="12">
        <f t="shared" si="244"/>
        <v>0</v>
      </c>
      <c r="F254" s="157"/>
      <c r="G254" s="14" t="str">
        <f t="shared" si="245"/>
        <v>#DIV/0!</v>
      </c>
      <c r="H254" s="89"/>
      <c r="I254" s="137"/>
      <c r="J254" s="37">
        <f t="shared" si="246"/>
        <v>0</v>
      </c>
      <c r="K254" s="37" t="str">
        <f t="shared" si="247"/>
        <v/>
      </c>
      <c r="L254" s="48" t="str">
        <f t="shared" si="248"/>
        <v>#DIV/0!</v>
      </c>
      <c r="M254" s="126"/>
      <c r="N254" s="49">
        <v>2000000.0</v>
      </c>
    </row>
    <row r="255">
      <c r="A255" s="35">
        <v>46385.0</v>
      </c>
      <c r="B255" s="156" t="s">
        <v>69</v>
      </c>
      <c r="C255" s="89"/>
      <c r="D255" s="89"/>
      <c r="E255" s="12">
        <f t="shared" si="244"/>
        <v>0</v>
      </c>
      <c r="F255" s="157"/>
      <c r="G255" s="14" t="str">
        <f t="shared" si="245"/>
        <v>#DIV/0!</v>
      </c>
      <c r="H255" s="89"/>
      <c r="I255" s="137"/>
      <c r="J255" s="37">
        <f t="shared" si="246"/>
        <v>0</v>
      </c>
      <c r="K255" s="37" t="str">
        <f t="shared" si="247"/>
        <v/>
      </c>
      <c r="L255" s="77" t="str">
        <f t="shared" si="248"/>
        <v>#DIV/0!</v>
      </c>
      <c r="M255" s="126"/>
      <c r="N255" s="49">
        <v>1000000.0</v>
      </c>
    </row>
    <row r="256">
      <c r="A256" s="35">
        <v>46386.0</v>
      </c>
      <c r="B256" s="156" t="s">
        <v>69</v>
      </c>
      <c r="C256" s="89"/>
      <c r="D256" s="89"/>
      <c r="E256" s="12">
        <f t="shared" si="244"/>
        <v>0</v>
      </c>
      <c r="F256" s="157"/>
      <c r="G256" s="14" t="str">
        <f t="shared" si="245"/>
        <v>#DIV/0!</v>
      </c>
      <c r="H256" s="89"/>
      <c r="I256" s="137"/>
      <c r="J256" s="89">
        <f t="shared" si="246"/>
        <v>0</v>
      </c>
      <c r="K256" s="89" t="str">
        <f t="shared" si="247"/>
        <v/>
      </c>
      <c r="L256" s="152" t="str">
        <f t="shared" si="248"/>
        <v>#DIV/0!</v>
      </c>
      <c r="M256" s="126"/>
      <c r="N256" s="49">
        <v>1000000.0</v>
      </c>
    </row>
    <row r="257">
      <c r="A257" s="70"/>
      <c r="B257" s="63"/>
      <c r="C257" s="62"/>
      <c r="D257" s="64" t="s">
        <v>19</v>
      </c>
      <c r="E257" s="64">
        <f t="shared" ref="E257:F257" si="249">sum(E251:E256)</f>
        <v>0</v>
      </c>
      <c r="F257" s="64">
        <f t="shared" si="249"/>
        <v>0</v>
      </c>
      <c r="G257" s="65" t="str">
        <f>average(G251:G256)</f>
        <v>#DIV/0!</v>
      </c>
      <c r="H257" s="62"/>
      <c r="I257" s="66"/>
      <c r="J257" s="64">
        <f t="shared" ref="J257:K257" si="250">sum(J251:J256)</f>
        <v>0</v>
      </c>
      <c r="K257" s="64">
        <f t="shared" si="250"/>
        <v>0</v>
      </c>
      <c r="L257" s="65" t="str">
        <f>average(L251:L256)</f>
        <v>#DIV/0!</v>
      </c>
      <c r="M257" s="68"/>
      <c r="N257" s="69">
        <f>sum(N251:N256)</f>
        <v>18627440</v>
      </c>
    </row>
    <row r="258">
      <c r="A258" s="70">
        <v>45996.0</v>
      </c>
      <c r="B258" s="234" t="s">
        <v>63</v>
      </c>
      <c r="C258" s="89">
        <v>142721.0</v>
      </c>
      <c r="D258" s="13">
        <v>143701.0</v>
      </c>
      <c r="E258" s="38">
        <f t="shared" ref="E258:E263" si="251">D258-C258</f>
        <v>980</v>
      </c>
      <c r="F258" s="39">
        <v>272.03</v>
      </c>
      <c r="G258" s="14">
        <f t="shared" ref="G258:G263" si="252">(F258/E258)*100</f>
        <v>27.75816327</v>
      </c>
      <c r="H258" s="89"/>
      <c r="I258" s="138"/>
      <c r="J258" s="41">
        <f t="shared" ref="J258:J263" si="253">I258-H258</f>
        <v>0</v>
      </c>
      <c r="K258" s="41">
        <f t="shared" ref="K258:K263" si="254">F258</f>
        <v>272.03</v>
      </c>
      <c r="L258" s="152" t="str">
        <f t="shared" ref="L258:L263" si="255">(K258/J258)*100</f>
        <v>#DIV/0!</v>
      </c>
      <c r="M258" s="72">
        <v>18380.0</v>
      </c>
      <c r="N258" s="49">
        <f t="shared" ref="N258:N263" si="256">M258*F258</f>
        <v>4999911.4</v>
      </c>
    </row>
    <row r="259">
      <c r="A259" s="35">
        <v>46001.0</v>
      </c>
      <c r="B259" s="234" t="s">
        <v>63</v>
      </c>
      <c r="C259" s="13">
        <v>143701.0</v>
      </c>
      <c r="D259" s="13">
        <v>144515.0</v>
      </c>
      <c r="E259" s="12">
        <f t="shared" si="251"/>
        <v>814</v>
      </c>
      <c r="F259" s="157">
        <v>250.28</v>
      </c>
      <c r="G259" s="14">
        <f t="shared" si="252"/>
        <v>30.74692875</v>
      </c>
      <c r="H259" s="89"/>
      <c r="I259" s="137"/>
      <c r="J259" s="89">
        <f t="shared" si="253"/>
        <v>0</v>
      </c>
      <c r="K259" s="37">
        <f t="shared" si="254"/>
        <v>250.28</v>
      </c>
      <c r="L259" s="152" t="str">
        <f t="shared" si="255"/>
        <v>#DIV/0!</v>
      </c>
      <c r="M259" s="72">
        <v>18380.0</v>
      </c>
      <c r="N259" s="49">
        <f t="shared" si="256"/>
        <v>4600146.4</v>
      </c>
    </row>
    <row r="260">
      <c r="A260" s="35">
        <v>46008.0</v>
      </c>
      <c r="B260" s="234" t="s">
        <v>63</v>
      </c>
      <c r="C260" s="13">
        <v>144515.0</v>
      </c>
      <c r="D260" s="89">
        <v>145565.0</v>
      </c>
      <c r="E260" s="12">
        <f t="shared" si="251"/>
        <v>1050</v>
      </c>
      <c r="F260" s="157">
        <v>286.5</v>
      </c>
      <c r="G260" s="14">
        <f t="shared" si="252"/>
        <v>27.28571429</v>
      </c>
      <c r="H260" s="89"/>
      <c r="I260" s="137"/>
      <c r="J260" s="89">
        <f t="shared" si="253"/>
        <v>0</v>
      </c>
      <c r="K260" s="37">
        <f t="shared" si="254"/>
        <v>286.5</v>
      </c>
      <c r="L260" s="152" t="str">
        <f t="shared" si="255"/>
        <v>#DIV/0!</v>
      </c>
      <c r="M260" s="126">
        <v>18150.0</v>
      </c>
      <c r="N260" s="49">
        <f t="shared" si="256"/>
        <v>5199975</v>
      </c>
    </row>
    <row r="261">
      <c r="A261" s="35">
        <v>46017.0</v>
      </c>
      <c r="B261" s="234" t="s">
        <v>63</v>
      </c>
      <c r="C261" s="89">
        <v>145565.0</v>
      </c>
      <c r="D261" s="89">
        <v>146546.0</v>
      </c>
      <c r="E261" s="12">
        <f t="shared" si="251"/>
        <v>981</v>
      </c>
      <c r="F261" s="157">
        <v>57.97</v>
      </c>
      <c r="G261" s="14">
        <f t="shared" si="252"/>
        <v>5.909276249</v>
      </c>
      <c r="H261" s="89"/>
      <c r="I261" s="137"/>
      <c r="J261" s="89">
        <f t="shared" si="253"/>
        <v>0</v>
      </c>
      <c r="K261" s="37">
        <f t="shared" si="254"/>
        <v>57.97</v>
      </c>
      <c r="L261" s="152" t="str">
        <f t="shared" si="255"/>
        <v>#DIV/0!</v>
      </c>
      <c r="M261" s="126">
        <v>17250.0</v>
      </c>
      <c r="N261" s="49">
        <f t="shared" si="256"/>
        <v>999982.5</v>
      </c>
    </row>
    <row r="262">
      <c r="A262" s="35"/>
      <c r="B262" s="234" t="s">
        <v>63</v>
      </c>
      <c r="C262" s="37"/>
      <c r="D262" s="89"/>
      <c r="E262" s="12">
        <f t="shared" si="251"/>
        <v>0</v>
      </c>
      <c r="F262" s="157"/>
      <c r="G262" s="14" t="str">
        <f t="shared" si="252"/>
        <v>#DIV/0!</v>
      </c>
      <c r="H262" s="89"/>
      <c r="I262" s="137"/>
      <c r="J262" s="89">
        <f t="shared" si="253"/>
        <v>0</v>
      </c>
      <c r="K262" s="37" t="str">
        <f t="shared" si="254"/>
        <v/>
      </c>
      <c r="L262" s="152" t="str">
        <f t="shared" si="255"/>
        <v>#DIV/0!</v>
      </c>
      <c r="M262" s="126"/>
      <c r="N262" s="49">
        <f t="shared" si="256"/>
        <v>0</v>
      </c>
    </row>
    <row r="263">
      <c r="A263" s="154"/>
      <c r="B263" s="156"/>
      <c r="C263" s="89"/>
      <c r="D263" s="89"/>
      <c r="E263" s="12">
        <f t="shared" si="251"/>
        <v>0</v>
      </c>
      <c r="F263" s="157"/>
      <c r="G263" s="14" t="str">
        <f t="shared" si="252"/>
        <v>#DIV/0!</v>
      </c>
      <c r="H263" s="89"/>
      <c r="I263" s="137"/>
      <c r="J263" s="89">
        <f t="shared" si="253"/>
        <v>0</v>
      </c>
      <c r="K263" s="37" t="str">
        <f t="shared" si="254"/>
        <v/>
      </c>
      <c r="L263" s="152" t="str">
        <f t="shared" si="255"/>
        <v>#DIV/0!</v>
      </c>
      <c r="M263" s="126"/>
      <c r="N263" s="49">
        <f t="shared" si="256"/>
        <v>0</v>
      </c>
    </row>
    <row r="264">
      <c r="A264" s="62"/>
      <c r="B264" s="63"/>
      <c r="C264" s="62"/>
      <c r="D264" s="64" t="s">
        <v>19</v>
      </c>
      <c r="E264" s="64">
        <f t="shared" ref="E264:F264" si="257">sum(E258:E263)</f>
        <v>3825</v>
      </c>
      <c r="F264" s="64">
        <f t="shared" si="257"/>
        <v>866.78</v>
      </c>
      <c r="G264" s="65" t="str">
        <f>average(G258:G263)</f>
        <v>#DIV/0!</v>
      </c>
      <c r="H264" s="62"/>
      <c r="I264" s="66"/>
      <c r="J264" s="64">
        <f t="shared" ref="J264:K264" si="258">sum(J258:J263)</f>
        <v>0</v>
      </c>
      <c r="K264" s="64">
        <f t="shared" si="258"/>
        <v>866.78</v>
      </c>
      <c r="L264" s="65" t="str">
        <f>average(L258:L263)</f>
        <v>#DIV/0!</v>
      </c>
      <c r="M264" s="68"/>
      <c r="N264" s="69">
        <f>sum(N258:N263)</f>
        <v>15800015.3</v>
      </c>
    </row>
    <row r="265">
      <c r="A265" s="198" t="s">
        <v>64</v>
      </c>
      <c r="B265" s="199"/>
      <c r="C265" s="199"/>
      <c r="D265" s="199"/>
      <c r="E265" s="199"/>
      <c r="F265" s="199"/>
      <c r="G265" s="199"/>
      <c r="H265" s="199"/>
      <c r="I265" s="199"/>
      <c r="J265" s="199"/>
      <c r="K265" s="199"/>
      <c r="L265" s="200"/>
      <c r="M265" s="68"/>
      <c r="N265" s="69">
        <f>SUM(N200:N264)/2</f>
        <v>171773389.5</v>
      </c>
    </row>
    <row r="266">
      <c r="G266" s="168"/>
      <c r="L266" s="168"/>
      <c r="N266" s="169"/>
    </row>
    <row r="267">
      <c r="G267" s="168"/>
      <c r="L267" s="168"/>
      <c r="N267" s="274">
        <v>1.24719013E8</v>
      </c>
    </row>
    <row r="268">
      <c r="G268" s="168"/>
      <c r="L268" s="168"/>
      <c r="N268" s="169"/>
    </row>
    <row r="269">
      <c r="G269" s="168"/>
      <c r="L269" s="168"/>
      <c r="N269" s="169"/>
    </row>
    <row r="270">
      <c r="G270" s="168"/>
      <c r="L270" s="168"/>
      <c r="N270" s="169"/>
    </row>
    <row r="271">
      <c r="G271" s="168"/>
      <c r="L271" s="168"/>
      <c r="N271" s="169"/>
    </row>
    <row r="272">
      <c r="G272" s="168"/>
      <c r="L272" s="168"/>
      <c r="N272" s="169"/>
    </row>
    <row r="273">
      <c r="G273" s="168"/>
      <c r="L273" s="168"/>
      <c r="N273" s="169"/>
    </row>
    <row r="274">
      <c r="G274" s="168"/>
      <c r="L274" s="168"/>
      <c r="N274" s="169"/>
    </row>
    <row r="275">
      <c r="G275" s="168"/>
      <c r="L275" s="168"/>
      <c r="N275" s="169"/>
    </row>
    <row r="276">
      <c r="G276" s="168"/>
      <c r="L276" s="168"/>
      <c r="N276" s="169"/>
    </row>
    <row r="277">
      <c r="G277" s="168"/>
      <c r="L277" s="168"/>
      <c r="N277" s="169"/>
    </row>
    <row r="278">
      <c r="G278" s="168"/>
      <c r="L278" s="168"/>
      <c r="N278" s="169"/>
    </row>
    <row r="279">
      <c r="G279" s="168"/>
      <c r="L279" s="168"/>
      <c r="N279" s="169"/>
    </row>
    <row r="280">
      <c r="G280" s="168"/>
      <c r="L280" s="168"/>
      <c r="N280" s="169"/>
    </row>
    <row r="281">
      <c r="G281" s="168"/>
      <c r="L281" s="168"/>
      <c r="N281" s="169"/>
    </row>
    <row r="282">
      <c r="G282" s="168"/>
      <c r="L282" s="168"/>
      <c r="N282" s="169"/>
    </row>
    <row r="283">
      <c r="G283" s="168"/>
      <c r="L283" s="168"/>
      <c r="N283" s="169"/>
    </row>
    <row r="284">
      <c r="G284" s="168"/>
      <c r="L284" s="168"/>
      <c r="N284" s="169"/>
    </row>
    <row r="285">
      <c r="G285" s="168"/>
      <c r="L285" s="168"/>
      <c r="N285" s="169"/>
    </row>
    <row r="286">
      <c r="G286" s="168"/>
      <c r="L286" s="168"/>
      <c r="N286" s="169"/>
    </row>
    <row r="287">
      <c r="G287" s="168"/>
      <c r="L287" s="168"/>
      <c r="N287" s="169"/>
    </row>
    <row r="288">
      <c r="G288" s="168"/>
      <c r="L288" s="168"/>
      <c r="N288" s="169"/>
    </row>
    <row r="289">
      <c r="G289" s="168"/>
      <c r="L289" s="168"/>
      <c r="N289" s="169"/>
    </row>
    <row r="290">
      <c r="G290" s="168"/>
      <c r="L290" s="168"/>
      <c r="N290" s="169"/>
    </row>
    <row r="291">
      <c r="G291" s="168"/>
      <c r="L291" s="168"/>
      <c r="N291" s="169"/>
    </row>
    <row r="292">
      <c r="G292" s="168"/>
      <c r="L292" s="168"/>
      <c r="N292" s="169"/>
    </row>
    <row r="293">
      <c r="G293" s="168"/>
      <c r="L293" s="168"/>
      <c r="N293" s="169"/>
    </row>
    <row r="294">
      <c r="G294" s="168"/>
      <c r="L294" s="168"/>
      <c r="N294" s="169"/>
    </row>
    <row r="295">
      <c r="G295" s="168"/>
      <c r="L295" s="168"/>
      <c r="N295" s="169"/>
    </row>
    <row r="296">
      <c r="G296" s="168"/>
      <c r="L296" s="168"/>
      <c r="N296" s="169"/>
    </row>
    <row r="297">
      <c r="G297" s="168"/>
      <c r="L297" s="168"/>
      <c r="N297" s="169"/>
    </row>
    <row r="298">
      <c r="G298" s="168"/>
      <c r="L298" s="168"/>
      <c r="N298" s="169"/>
    </row>
    <row r="299">
      <c r="G299" s="168"/>
      <c r="L299" s="168"/>
      <c r="N299" s="169"/>
    </row>
    <row r="300">
      <c r="G300" s="168"/>
      <c r="L300" s="168"/>
      <c r="N300" s="169"/>
    </row>
    <row r="301">
      <c r="G301" s="168"/>
      <c r="L301" s="168"/>
      <c r="N301" s="169"/>
    </row>
    <row r="302">
      <c r="G302" s="168"/>
      <c r="L302" s="168"/>
      <c r="N302" s="169"/>
    </row>
    <row r="303">
      <c r="G303" s="168"/>
      <c r="L303" s="168"/>
      <c r="N303" s="169"/>
    </row>
    <row r="304">
      <c r="G304" s="168"/>
      <c r="L304" s="168"/>
      <c r="N304" s="169"/>
    </row>
    <row r="305">
      <c r="G305" s="168"/>
      <c r="L305" s="168"/>
      <c r="N305" s="169"/>
    </row>
    <row r="306">
      <c r="G306" s="168"/>
      <c r="L306" s="168"/>
      <c r="N306" s="169"/>
    </row>
    <row r="307">
      <c r="G307" s="168"/>
      <c r="L307" s="168"/>
      <c r="N307" s="169"/>
    </row>
    <row r="308">
      <c r="G308" s="168"/>
      <c r="L308" s="168"/>
      <c r="N308" s="169"/>
    </row>
    <row r="309">
      <c r="G309" s="168"/>
      <c r="L309" s="168"/>
      <c r="N309" s="169"/>
    </row>
    <row r="310">
      <c r="G310" s="168"/>
      <c r="L310" s="168"/>
      <c r="N310" s="169"/>
    </row>
    <row r="311">
      <c r="G311" s="168"/>
      <c r="L311" s="168"/>
      <c r="N311" s="169"/>
    </row>
    <row r="312">
      <c r="G312" s="168"/>
      <c r="L312" s="168"/>
      <c r="N312" s="169"/>
    </row>
    <row r="313">
      <c r="G313" s="168"/>
      <c r="L313" s="168"/>
      <c r="N313" s="169"/>
    </row>
    <row r="314">
      <c r="G314" s="168"/>
      <c r="L314" s="168"/>
      <c r="N314" s="169"/>
    </row>
    <row r="315">
      <c r="G315" s="168"/>
      <c r="L315" s="168"/>
      <c r="N315" s="169"/>
    </row>
    <row r="316">
      <c r="G316" s="168"/>
      <c r="L316" s="168"/>
      <c r="N316" s="169"/>
    </row>
    <row r="317">
      <c r="G317" s="168"/>
      <c r="L317" s="168"/>
      <c r="N317" s="169"/>
    </row>
    <row r="318">
      <c r="G318" s="168"/>
      <c r="L318" s="168"/>
      <c r="N318" s="169"/>
    </row>
    <row r="319">
      <c r="G319" s="168"/>
      <c r="L319" s="168"/>
      <c r="N319" s="169"/>
    </row>
    <row r="320">
      <c r="G320" s="168"/>
      <c r="L320" s="168"/>
      <c r="N320" s="169"/>
    </row>
    <row r="321">
      <c r="G321" s="168"/>
      <c r="L321" s="168"/>
      <c r="N321" s="169"/>
    </row>
    <row r="322">
      <c r="G322" s="168"/>
      <c r="L322" s="168"/>
      <c r="N322" s="169"/>
    </row>
    <row r="323">
      <c r="G323" s="168"/>
      <c r="L323" s="168"/>
      <c r="N323" s="169"/>
    </row>
    <row r="324">
      <c r="G324" s="168"/>
      <c r="L324" s="168"/>
      <c r="N324" s="169"/>
    </row>
    <row r="325">
      <c r="G325" s="168"/>
      <c r="L325" s="168"/>
      <c r="N325" s="169"/>
    </row>
    <row r="326">
      <c r="G326" s="168"/>
      <c r="L326" s="168"/>
      <c r="N326" s="169"/>
    </row>
    <row r="327">
      <c r="G327" s="168"/>
      <c r="L327" s="168"/>
      <c r="N327" s="169"/>
    </row>
    <row r="328">
      <c r="G328" s="168"/>
      <c r="L328" s="168"/>
      <c r="N328" s="169"/>
    </row>
    <row r="329">
      <c r="G329" s="168"/>
      <c r="L329" s="168"/>
      <c r="N329" s="169"/>
    </row>
    <row r="330">
      <c r="G330" s="168"/>
      <c r="L330" s="168"/>
      <c r="N330" s="169"/>
    </row>
    <row r="331">
      <c r="G331" s="168"/>
      <c r="L331" s="168"/>
      <c r="N331" s="169"/>
    </row>
    <row r="332">
      <c r="G332" s="168"/>
      <c r="L332" s="168"/>
      <c r="N332" s="169"/>
    </row>
    <row r="333">
      <c r="G333" s="168"/>
      <c r="L333" s="168"/>
      <c r="N333" s="169"/>
    </row>
    <row r="334">
      <c r="G334" s="168"/>
      <c r="L334" s="168"/>
      <c r="N334" s="169"/>
    </row>
    <row r="335">
      <c r="G335" s="168"/>
      <c r="L335" s="168"/>
      <c r="N335" s="169"/>
    </row>
    <row r="336">
      <c r="G336" s="168"/>
      <c r="L336" s="168"/>
      <c r="N336" s="169"/>
    </row>
    <row r="337">
      <c r="G337" s="168"/>
      <c r="L337" s="168"/>
      <c r="N337" s="169"/>
    </row>
    <row r="338">
      <c r="G338" s="168"/>
      <c r="L338" s="168"/>
      <c r="N338" s="169"/>
    </row>
    <row r="339">
      <c r="G339" s="168"/>
      <c r="L339" s="168"/>
      <c r="N339" s="169"/>
    </row>
    <row r="340">
      <c r="G340" s="168"/>
      <c r="L340" s="168"/>
      <c r="N340" s="169"/>
    </row>
    <row r="341">
      <c r="G341" s="168"/>
      <c r="L341" s="168"/>
      <c r="N341" s="169"/>
    </row>
    <row r="342">
      <c r="G342" s="168"/>
      <c r="L342" s="168"/>
      <c r="N342" s="169"/>
    </row>
    <row r="343">
      <c r="G343" s="168"/>
      <c r="L343" s="168"/>
      <c r="N343" s="169"/>
    </row>
    <row r="344">
      <c r="G344" s="168"/>
      <c r="L344" s="168"/>
      <c r="N344" s="169"/>
    </row>
    <row r="345">
      <c r="G345" s="168"/>
      <c r="L345" s="168"/>
      <c r="N345" s="169"/>
    </row>
    <row r="346">
      <c r="G346" s="168"/>
      <c r="L346" s="168"/>
      <c r="N346" s="169"/>
    </row>
    <row r="347">
      <c r="G347" s="168"/>
      <c r="L347" s="168"/>
      <c r="N347" s="169"/>
    </row>
    <row r="348">
      <c r="G348" s="168"/>
      <c r="L348" s="168"/>
      <c r="N348" s="169"/>
    </row>
    <row r="349">
      <c r="G349" s="168"/>
      <c r="L349" s="168"/>
      <c r="N349" s="169"/>
    </row>
    <row r="350">
      <c r="G350" s="168"/>
      <c r="L350" s="168"/>
      <c r="N350" s="169"/>
    </row>
    <row r="351">
      <c r="G351" s="168"/>
      <c r="L351" s="168"/>
      <c r="N351" s="169"/>
    </row>
    <row r="352">
      <c r="G352" s="168"/>
      <c r="L352" s="168"/>
      <c r="N352" s="169"/>
    </row>
    <row r="353">
      <c r="G353" s="168"/>
      <c r="L353" s="168"/>
      <c r="N353" s="169"/>
    </row>
    <row r="354">
      <c r="G354" s="168"/>
      <c r="L354" s="168"/>
      <c r="N354" s="169"/>
    </row>
    <row r="355">
      <c r="G355" s="168"/>
      <c r="L355" s="168"/>
      <c r="N355" s="169"/>
    </row>
    <row r="356">
      <c r="G356" s="168"/>
      <c r="L356" s="168"/>
      <c r="N356" s="169"/>
    </row>
    <row r="357">
      <c r="G357" s="168"/>
      <c r="L357" s="168"/>
      <c r="N357" s="169"/>
    </row>
    <row r="358">
      <c r="G358" s="168"/>
      <c r="L358" s="168"/>
      <c r="N358" s="169"/>
    </row>
    <row r="359">
      <c r="G359" s="168"/>
      <c r="L359" s="168"/>
      <c r="N359" s="169"/>
    </row>
    <row r="360">
      <c r="G360" s="168"/>
      <c r="L360" s="168"/>
      <c r="N360" s="169"/>
    </row>
    <row r="361">
      <c r="G361" s="168"/>
      <c r="L361" s="168"/>
      <c r="N361" s="169"/>
    </row>
    <row r="362">
      <c r="G362" s="168"/>
      <c r="L362" s="168"/>
      <c r="N362" s="169"/>
    </row>
    <row r="363">
      <c r="G363" s="168"/>
      <c r="L363" s="168"/>
      <c r="N363" s="169"/>
    </row>
    <row r="364">
      <c r="G364" s="168"/>
      <c r="L364" s="168"/>
      <c r="N364" s="169"/>
    </row>
    <row r="365">
      <c r="G365" s="168"/>
      <c r="L365" s="168"/>
      <c r="N365" s="169"/>
    </row>
    <row r="366">
      <c r="G366" s="168"/>
      <c r="L366" s="168"/>
      <c r="N366" s="169"/>
    </row>
    <row r="367">
      <c r="G367" s="168"/>
      <c r="L367" s="168"/>
      <c r="N367" s="169"/>
    </row>
    <row r="368">
      <c r="G368" s="168"/>
      <c r="L368" s="168"/>
      <c r="N368" s="169"/>
    </row>
    <row r="369">
      <c r="G369" s="168"/>
      <c r="L369" s="168"/>
      <c r="N369" s="169"/>
    </row>
    <row r="370">
      <c r="G370" s="168"/>
      <c r="L370" s="168"/>
      <c r="N370" s="169"/>
    </row>
    <row r="371">
      <c r="G371" s="168"/>
      <c r="L371" s="168"/>
      <c r="N371" s="169"/>
    </row>
    <row r="372">
      <c r="G372" s="168"/>
      <c r="L372" s="168"/>
      <c r="N372" s="169"/>
    </row>
    <row r="373">
      <c r="G373" s="168"/>
      <c r="L373" s="168"/>
      <c r="N373" s="169"/>
    </row>
    <row r="374">
      <c r="G374" s="168"/>
      <c r="L374" s="168"/>
      <c r="N374" s="169"/>
    </row>
    <row r="375">
      <c r="G375" s="168"/>
      <c r="L375" s="168"/>
      <c r="N375" s="169"/>
    </row>
    <row r="376">
      <c r="G376" s="168"/>
      <c r="L376" s="168"/>
      <c r="N376" s="169"/>
    </row>
    <row r="377">
      <c r="G377" s="168"/>
      <c r="L377" s="168"/>
      <c r="N377" s="169"/>
    </row>
    <row r="378">
      <c r="G378" s="168"/>
      <c r="L378" s="168"/>
      <c r="N378" s="169"/>
    </row>
    <row r="379">
      <c r="G379" s="168"/>
      <c r="L379" s="168"/>
      <c r="N379" s="169"/>
    </row>
    <row r="380">
      <c r="G380" s="168"/>
      <c r="L380" s="168"/>
      <c r="N380" s="169"/>
    </row>
    <row r="381">
      <c r="G381" s="168"/>
      <c r="L381" s="168"/>
      <c r="N381" s="169"/>
    </row>
    <row r="382">
      <c r="G382" s="168"/>
      <c r="L382" s="168"/>
      <c r="N382" s="169"/>
    </row>
    <row r="383">
      <c r="G383" s="168"/>
      <c r="L383" s="168"/>
      <c r="N383" s="169"/>
    </row>
    <row r="384">
      <c r="G384" s="168"/>
      <c r="L384" s="168"/>
      <c r="N384" s="169"/>
    </row>
    <row r="385">
      <c r="G385" s="168"/>
      <c r="L385" s="168"/>
      <c r="N385" s="169"/>
    </row>
    <row r="386">
      <c r="G386" s="168"/>
      <c r="L386" s="168"/>
      <c r="N386" s="169"/>
    </row>
    <row r="387">
      <c r="G387" s="168"/>
      <c r="L387" s="168"/>
      <c r="N387" s="169"/>
    </row>
    <row r="388">
      <c r="G388" s="168"/>
      <c r="L388" s="168"/>
      <c r="N388" s="169"/>
    </row>
    <row r="389">
      <c r="G389" s="168"/>
      <c r="L389" s="168"/>
      <c r="N389" s="169"/>
    </row>
    <row r="390">
      <c r="G390" s="168"/>
      <c r="L390" s="168"/>
      <c r="N390" s="169"/>
    </row>
    <row r="391">
      <c r="G391" s="168"/>
      <c r="L391" s="168"/>
      <c r="N391" s="169"/>
    </row>
    <row r="392">
      <c r="G392" s="168"/>
      <c r="L392" s="168"/>
      <c r="N392" s="169"/>
    </row>
    <row r="393">
      <c r="G393" s="168"/>
      <c r="L393" s="168"/>
      <c r="N393" s="169"/>
    </row>
    <row r="394">
      <c r="G394" s="168"/>
      <c r="L394" s="168"/>
      <c r="N394" s="169"/>
    </row>
    <row r="395">
      <c r="G395" s="168"/>
      <c r="L395" s="168"/>
      <c r="N395" s="169"/>
    </row>
    <row r="396">
      <c r="G396" s="168"/>
      <c r="L396" s="168"/>
      <c r="N396" s="169"/>
    </row>
    <row r="397">
      <c r="G397" s="168"/>
      <c r="L397" s="168"/>
      <c r="N397" s="169"/>
    </row>
    <row r="398">
      <c r="G398" s="168"/>
      <c r="L398" s="168"/>
      <c r="N398" s="169"/>
    </row>
    <row r="399">
      <c r="G399" s="168"/>
      <c r="L399" s="168"/>
      <c r="N399" s="169"/>
    </row>
    <row r="400">
      <c r="G400" s="168"/>
      <c r="L400" s="168"/>
      <c r="N400" s="169"/>
    </row>
    <row r="401">
      <c r="G401" s="168"/>
      <c r="L401" s="168"/>
      <c r="N401" s="169"/>
    </row>
    <row r="402">
      <c r="G402" s="168"/>
      <c r="L402" s="168"/>
      <c r="N402" s="169"/>
    </row>
    <row r="403">
      <c r="G403" s="168"/>
      <c r="L403" s="168"/>
      <c r="N403" s="169"/>
    </row>
    <row r="404">
      <c r="G404" s="168"/>
      <c r="L404" s="168"/>
      <c r="N404" s="169"/>
    </row>
    <row r="405">
      <c r="G405" s="168"/>
      <c r="L405" s="168"/>
      <c r="N405" s="169"/>
    </row>
    <row r="406">
      <c r="G406" s="168"/>
      <c r="L406" s="168"/>
      <c r="N406" s="169"/>
    </row>
    <row r="407">
      <c r="G407" s="168"/>
      <c r="L407" s="168"/>
      <c r="N407" s="169"/>
    </row>
    <row r="408">
      <c r="G408" s="168"/>
      <c r="L408" s="168"/>
      <c r="N408" s="169"/>
    </row>
    <row r="409">
      <c r="G409" s="168"/>
      <c r="L409" s="168"/>
      <c r="N409" s="169"/>
    </row>
    <row r="410">
      <c r="G410" s="168"/>
      <c r="L410" s="168"/>
      <c r="N410" s="169"/>
    </row>
    <row r="411">
      <c r="G411" s="168"/>
      <c r="L411" s="168"/>
      <c r="N411" s="169"/>
    </row>
    <row r="412">
      <c r="G412" s="168"/>
      <c r="L412" s="168"/>
      <c r="N412" s="169"/>
    </row>
    <row r="413">
      <c r="G413" s="168"/>
      <c r="L413" s="168"/>
      <c r="N413" s="169"/>
    </row>
    <row r="414">
      <c r="G414" s="168"/>
      <c r="L414" s="168"/>
      <c r="N414" s="169"/>
    </row>
    <row r="415">
      <c r="G415" s="168"/>
      <c r="L415" s="168"/>
      <c r="N415" s="169"/>
    </row>
    <row r="416">
      <c r="G416" s="168"/>
      <c r="L416" s="168"/>
      <c r="N416" s="169"/>
    </row>
    <row r="417">
      <c r="G417" s="168"/>
      <c r="L417" s="168"/>
      <c r="N417" s="169"/>
    </row>
    <row r="418">
      <c r="G418" s="168"/>
      <c r="L418" s="168"/>
      <c r="N418" s="169"/>
    </row>
    <row r="419">
      <c r="G419" s="168"/>
      <c r="L419" s="168"/>
      <c r="N419" s="169"/>
    </row>
    <row r="420">
      <c r="G420" s="168"/>
      <c r="L420" s="168"/>
      <c r="N420" s="169"/>
    </row>
    <row r="421">
      <c r="G421" s="168"/>
      <c r="L421" s="168"/>
      <c r="N421" s="169"/>
    </row>
    <row r="422">
      <c r="G422" s="168"/>
      <c r="L422" s="168"/>
      <c r="N422" s="169"/>
    </row>
    <row r="423">
      <c r="G423" s="168"/>
      <c r="L423" s="168"/>
      <c r="N423" s="169"/>
    </row>
    <row r="424">
      <c r="G424" s="168"/>
      <c r="L424" s="168"/>
      <c r="N424" s="169"/>
    </row>
    <row r="425">
      <c r="G425" s="168"/>
      <c r="L425" s="168"/>
      <c r="N425" s="169"/>
    </row>
    <row r="426">
      <c r="G426" s="168"/>
      <c r="L426" s="168"/>
      <c r="N426" s="169"/>
    </row>
    <row r="427">
      <c r="G427" s="168"/>
      <c r="L427" s="168"/>
      <c r="N427" s="169"/>
    </row>
    <row r="428">
      <c r="G428" s="168"/>
      <c r="L428" s="168"/>
      <c r="N428" s="169"/>
    </row>
    <row r="429">
      <c r="G429" s="168"/>
      <c r="L429" s="168"/>
      <c r="N429" s="169"/>
    </row>
    <row r="430">
      <c r="G430" s="168"/>
      <c r="L430" s="168"/>
      <c r="N430" s="169"/>
    </row>
    <row r="431">
      <c r="G431" s="168"/>
      <c r="L431" s="168"/>
      <c r="N431" s="169"/>
    </row>
    <row r="432">
      <c r="G432" s="168"/>
      <c r="L432" s="168"/>
      <c r="N432" s="169"/>
    </row>
    <row r="433">
      <c r="G433" s="168"/>
      <c r="L433" s="168"/>
      <c r="N433" s="169"/>
    </row>
    <row r="434">
      <c r="G434" s="168"/>
      <c r="L434" s="168"/>
      <c r="N434" s="169"/>
    </row>
    <row r="435">
      <c r="G435" s="168"/>
      <c r="L435" s="168"/>
      <c r="N435" s="169"/>
    </row>
    <row r="436">
      <c r="G436" s="168"/>
      <c r="L436" s="168"/>
      <c r="N436" s="169"/>
    </row>
    <row r="437">
      <c r="G437" s="168"/>
      <c r="L437" s="168"/>
      <c r="N437" s="169"/>
    </row>
    <row r="438">
      <c r="G438" s="168"/>
      <c r="L438" s="168"/>
      <c r="N438" s="169"/>
    </row>
    <row r="439">
      <c r="G439" s="168"/>
      <c r="L439" s="168"/>
      <c r="N439" s="169"/>
    </row>
    <row r="440">
      <c r="G440" s="168"/>
      <c r="L440" s="168"/>
      <c r="N440" s="169"/>
    </row>
    <row r="441">
      <c r="G441" s="168"/>
      <c r="L441" s="168"/>
      <c r="N441" s="169"/>
    </row>
    <row r="442">
      <c r="G442" s="168"/>
      <c r="L442" s="168"/>
      <c r="N442" s="169"/>
    </row>
    <row r="443">
      <c r="G443" s="168"/>
      <c r="L443" s="168"/>
      <c r="N443" s="169"/>
    </row>
    <row r="444">
      <c r="G444" s="168"/>
      <c r="L444" s="168"/>
      <c r="N444" s="169"/>
    </row>
    <row r="445">
      <c r="G445" s="168"/>
      <c r="L445" s="168"/>
      <c r="N445" s="169"/>
    </row>
    <row r="446">
      <c r="G446" s="168"/>
      <c r="L446" s="168"/>
      <c r="N446" s="169"/>
    </row>
    <row r="447">
      <c r="G447" s="168"/>
      <c r="L447" s="168"/>
      <c r="N447" s="169"/>
    </row>
    <row r="448">
      <c r="G448" s="168"/>
      <c r="L448" s="168"/>
      <c r="N448" s="169"/>
    </row>
    <row r="449">
      <c r="G449" s="168"/>
      <c r="L449" s="168"/>
      <c r="N449" s="169"/>
    </row>
    <row r="450">
      <c r="G450" s="168"/>
      <c r="L450" s="168"/>
      <c r="N450" s="169"/>
    </row>
    <row r="451">
      <c r="G451" s="168"/>
      <c r="L451" s="168"/>
      <c r="N451" s="169"/>
    </row>
    <row r="452">
      <c r="G452" s="168"/>
      <c r="L452" s="168"/>
      <c r="N452" s="169"/>
    </row>
    <row r="453">
      <c r="G453" s="168"/>
      <c r="L453" s="168"/>
      <c r="N453" s="169"/>
    </row>
    <row r="454">
      <c r="G454" s="168"/>
      <c r="L454" s="168"/>
      <c r="N454" s="169"/>
    </row>
    <row r="455">
      <c r="G455" s="168"/>
      <c r="L455" s="168"/>
      <c r="N455" s="169"/>
    </row>
    <row r="456">
      <c r="G456" s="168"/>
      <c r="L456" s="168"/>
      <c r="N456" s="169"/>
    </row>
    <row r="457">
      <c r="G457" s="168"/>
      <c r="L457" s="168"/>
      <c r="N457" s="169"/>
    </row>
    <row r="458">
      <c r="G458" s="168"/>
      <c r="L458" s="168"/>
      <c r="N458" s="169"/>
    </row>
    <row r="459">
      <c r="G459" s="168"/>
      <c r="L459" s="168"/>
      <c r="N459" s="169"/>
    </row>
    <row r="460">
      <c r="G460" s="168"/>
      <c r="L460" s="168"/>
      <c r="N460" s="169"/>
    </row>
    <row r="461">
      <c r="G461" s="168"/>
      <c r="L461" s="168"/>
      <c r="N461" s="169"/>
    </row>
    <row r="462">
      <c r="G462" s="168"/>
      <c r="L462" s="168"/>
      <c r="N462" s="169"/>
    </row>
    <row r="463">
      <c r="G463" s="168"/>
      <c r="L463" s="168"/>
      <c r="N463" s="169"/>
    </row>
    <row r="464">
      <c r="G464" s="168"/>
      <c r="L464" s="168"/>
      <c r="N464" s="169"/>
    </row>
    <row r="465">
      <c r="G465" s="168"/>
      <c r="L465" s="168"/>
      <c r="N465" s="169"/>
    </row>
    <row r="466">
      <c r="G466" s="168"/>
      <c r="L466" s="168"/>
      <c r="N466" s="169"/>
    </row>
    <row r="467">
      <c r="G467" s="168"/>
      <c r="L467" s="168"/>
      <c r="N467" s="169"/>
    </row>
    <row r="468">
      <c r="G468" s="168"/>
      <c r="L468" s="168"/>
      <c r="N468" s="169"/>
    </row>
    <row r="469">
      <c r="G469" s="168"/>
      <c r="L469" s="168"/>
      <c r="N469" s="169"/>
    </row>
    <row r="470">
      <c r="G470" s="168"/>
      <c r="L470" s="168"/>
      <c r="N470" s="169"/>
    </row>
    <row r="471">
      <c r="G471" s="168"/>
      <c r="L471" s="168"/>
      <c r="N471" s="169"/>
    </row>
    <row r="472">
      <c r="G472" s="168"/>
      <c r="L472" s="168"/>
      <c r="N472" s="169"/>
    </row>
    <row r="473">
      <c r="G473" s="168"/>
      <c r="L473" s="168"/>
      <c r="N473" s="169"/>
    </row>
    <row r="474">
      <c r="G474" s="168"/>
      <c r="L474" s="168"/>
      <c r="N474" s="169"/>
    </row>
    <row r="475">
      <c r="G475" s="168"/>
      <c r="L475" s="168"/>
      <c r="N475" s="169"/>
    </row>
    <row r="476">
      <c r="G476" s="168"/>
      <c r="L476" s="168"/>
      <c r="N476" s="169"/>
    </row>
    <row r="477">
      <c r="G477" s="168"/>
      <c r="L477" s="168"/>
      <c r="N477" s="169"/>
    </row>
    <row r="478">
      <c r="G478" s="168"/>
      <c r="L478" s="168"/>
      <c r="N478" s="169"/>
    </row>
    <row r="479">
      <c r="G479" s="168"/>
      <c r="L479" s="168"/>
      <c r="N479" s="169"/>
    </row>
    <row r="480">
      <c r="G480" s="168"/>
      <c r="L480" s="168"/>
      <c r="N480" s="169"/>
    </row>
    <row r="481">
      <c r="G481" s="168"/>
      <c r="L481" s="168"/>
      <c r="N481" s="169"/>
    </row>
    <row r="482">
      <c r="G482" s="168"/>
      <c r="L482" s="168"/>
      <c r="N482" s="169"/>
    </row>
    <row r="483">
      <c r="G483" s="168"/>
      <c r="L483" s="168"/>
      <c r="N483" s="169"/>
    </row>
    <row r="484">
      <c r="G484" s="168"/>
      <c r="L484" s="168"/>
      <c r="N484" s="169"/>
    </row>
    <row r="485">
      <c r="G485" s="168"/>
      <c r="L485" s="168"/>
      <c r="N485" s="169"/>
    </row>
    <row r="486">
      <c r="G486" s="168"/>
      <c r="L486" s="168"/>
      <c r="N486" s="169"/>
    </row>
    <row r="487">
      <c r="G487" s="168"/>
      <c r="L487" s="168"/>
      <c r="N487" s="169"/>
    </row>
    <row r="488">
      <c r="G488" s="168"/>
      <c r="L488" s="168"/>
      <c r="N488" s="169"/>
    </row>
    <row r="489">
      <c r="G489" s="168"/>
      <c r="L489" s="168"/>
      <c r="N489" s="169"/>
    </row>
    <row r="490">
      <c r="G490" s="168"/>
      <c r="L490" s="168"/>
      <c r="N490" s="169"/>
    </row>
    <row r="491">
      <c r="G491" s="168"/>
      <c r="L491" s="168"/>
      <c r="N491" s="169"/>
    </row>
    <row r="492">
      <c r="G492" s="168"/>
      <c r="L492" s="168"/>
      <c r="N492" s="169"/>
    </row>
    <row r="493">
      <c r="G493" s="168"/>
      <c r="L493" s="168"/>
      <c r="N493" s="169"/>
    </row>
    <row r="494">
      <c r="G494" s="168"/>
      <c r="L494" s="168"/>
      <c r="N494" s="169"/>
    </row>
    <row r="495">
      <c r="G495" s="168"/>
      <c r="L495" s="168"/>
      <c r="N495" s="169"/>
    </row>
    <row r="496">
      <c r="G496" s="168"/>
      <c r="L496" s="168"/>
      <c r="N496" s="169"/>
    </row>
    <row r="497">
      <c r="G497" s="168"/>
      <c r="L497" s="168"/>
      <c r="N497" s="169"/>
    </row>
    <row r="498">
      <c r="G498" s="168"/>
      <c r="L498" s="168"/>
      <c r="N498" s="169"/>
    </row>
    <row r="499">
      <c r="G499" s="168"/>
      <c r="L499" s="168"/>
      <c r="N499" s="169"/>
    </row>
    <row r="500">
      <c r="G500" s="168"/>
      <c r="L500" s="168"/>
      <c r="N500" s="169"/>
    </row>
    <row r="501">
      <c r="G501" s="168"/>
      <c r="L501" s="168"/>
      <c r="N501" s="169"/>
    </row>
    <row r="502">
      <c r="G502" s="168"/>
      <c r="L502" s="168"/>
      <c r="N502" s="169"/>
    </row>
    <row r="503">
      <c r="G503" s="168"/>
      <c r="L503" s="168"/>
      <c r="N503" s="169"/>
    </row>
    <row r="504">
      <c r="G504" s="168"/>
      <c r="L504" s="168"/>
      <c r="N504" s="169"/>
    </row>
    <row r="505">
      <c r="G505" s="168"/>
      <c r="L505" s="168"/>
      <c r="N505" s="169"/>
    </row>
    <row r="506">
      <c r="G506" s="168"/>
      <c r="L506" s="168"/>
      <c r="N506" s="169"/>
    </row>
    <row r="507">
      <c r="G507" s="168"/>
      <c r="L507" s="168"/>
      <c r="N507" s="169"/>
    </row>
    <row r="508">
      <c r="G508" s="168"/>
      <c r="L508" s="168"/>
      <c r="N508" s="169"/>
    </row>
    <row r="509">
      <c r="G509" s="168"/>
      <c r="L509" s="168"/>
      <c r="N509" s="169"/>
    </row>
    <row r="510">
      <c r="G510" s="168"/>
      <c r="L510" s="168"/>
      <c r="N510" s="169"/>
    </row>
    <row r="511">
      <c r="G511" s="168"/>
      <c r="L511" s="168"/>
      <c r="N511" s="169"/>
    </row>
    <row r="512">
      <c r="G512" s="168"/>
      <c r="L512" s="168"/>
      <c r="N512" s="169"/>
    </row>
    <row r="513">
      <c r="G513" s="168"/>
      <c r="L513" s="168"/>
      <c r="N513" s="169"/>
    </row>
    <row r="514">
      <c r="G514" s="168"/>
      <c r="L514" s="168"/>
      <c r="N514" s="169"/>
    </row>
    <row r="515">
      <c r="G515" s="168"/>
      <c r="L515" s="168"/>
      <c r="N515" s="169"/>
    </row>
    <row r="516">
      <c r="G516" s="168"/>
      <c r="L516" s="168"/>
      <c r="N516" s="169"/>
    </row>
    <row r="517">
      <c r="G517" s="168"/>
      <c r="L517" s="168"/>
      <c r="N517" s="169"/>
    </row>
    <row r="518">
      <c r="G518" s="168"/>
      <c r="L518" s="168"/>
      <c r="N518" s="169"/>
    </row>
    <row r="519">
      <c r="G519" s="168"/>
      <c r="L519" s="168"/>
      <c r="N519" s="169"/>
    </row>
    <row r="520">
      <c r="G520" s="168"/>
      <c r="L520" s="168"/>
      <c r="N520" s="169"/>
    </row>
    <row r="521">
      <c r="G521" s="168"/>
      <c r="L521" s="168"/>
      <c r="N521" s="169"/>
    </row>
    <row r="522">
      <c r="G522" s="168"/>
      <c r="L522" s="168"/>
      <c r="N522" s="169"/>
    </row>
    <row r="523">
      <c r="G523" s="168"/>
      <c r="L523" s="168"/>
      <c r="N523" s="169"/>
    </row>
    <row r="524">
      <c r="G524" s="168"/>
      <c r="L524" s="168"/>
      <c r="N524" s="169"/>
    </row>
    <row r="525">
      <c r="G525" s="168"/>
      <c r="L525" s="168"/>
      <c r="N525" s="169"/>
    </row>
    <row r="526">
      <c r="G526" s="168"/>
      <c r="L526" s="168"/>
      <c r="N526" s="169"/>
    </row>
    <row r="527">
      <c r="G527" s="168"/>
      <c r="L527" s="168"/>
      <c r="N527" s="169"/>
    </row>
    <row r="528">
      <c r="G528" s="168"/>
      <c r="L528" s="168"/>
      <c r="N528" s="169"/>
    </row>
    <row r="529">
      <c r="G529" s="168"/>
      <c r="L529" s="168"/>
      <c r="N529" s="169"/>
    </row>
    <row r="530">
      <c r="G530" s="168"/>
      <c r="L530" s="168"/>
      <c r="N530" s="169"/>
    </row>
    <row r="531">
      <c r="G531" s="168"/>
      <c r="L531" s="168"/>
      <c r="N531" s="169"/>
    </row>
    <row r="532">
      <c r="G532" s="168"/>
      <c r="L532" s="168"/>
      <c r="N532" s="169"/>
    </row>
    <row r="533">
      <c r="G533" s="168"/>
      <c r="L533" s="168"/>
      <c r="N533" s="169"/>
    </row>
    <row r="534">
      <c r="G534" s="168"/>
      <c r="L534" s="168"/>
      <c r="N534" s="169"/>
    </row>
    <row r="535">
      <c r="G535" s="168"/>
      <c r="L535" s="168"/>
      <c r="N535" s="169"/>
    </row>
    <row r="536">
      <c r="G536" s="168"/>
      <c r="L536" s="168"/>
      <c r="N536" s="169"/>
    </row>
    <row r="537">
      <c r="G537" s="168"/>
      <c r="L537" s="168"/>
      <c r="N537" s="169"/>
    </row>
    <row r="538">
      <c r="G538" s="168"/>
      <c r="L538" s="168"/>
      <c r="N538" s="169"/>
    </row>
    <row r="539">
      <c r="G539" s="168"/>
      <c r="L539" s="168"/>
      <c r="N539" s="169"/>
    </row>
    <row r="540">
      <c r="G540" s="168"/>
      <c r="L540" s="168"/>
      <c r="N540" s="169"/>
    </row>
    <row r="541">
      <c r="G541" s="168"/>
      <c r="L541" s="168"/>
      <c r="N541" s="169"/>
    </row>
    <row r="542">
      <c r="G542" s="168"/>
      <c r="L542" s="168"/>
      <c r="N542" s="169"/>
    </row>
    <row r="543">
      <c r="G543" s="168"/>
      <c r="L543" s="168"/>
      <c r="N543" s="169"/>
    </row>
    <row r="544">
      <c r="G544" s="168"/>
      <c r="L544" s="168"/>
      <c r="N544" s="169"/>
    </row>
    <row r="545">
      <c r="G545" s="168"/>
      <c r="L545" s="168"/>
      <c r="N545" s="169"/>
    </row>
    <row r="546">
      <c r="G546" s="168"/>
      <c r="L546" s="168"/>
      <c r="N546" s="169"/>
    </row>
    <row r="547">
      <c r="G547" s="168"/>
      <c r="L547" s="168"/>
      <c r="N547" s="169"/>
    </row>
    <row r="548">
      <c r="G548" s="168"/>
      <c r="L548" s="168"/>
      <c r="N548" s="169"/>
    </row>
    <row r="549">
      <c r="G549" s="168"/>
      <c r="L549" s="168"/>
      <c r="N549" s="169"/>
    </row>
    <row r="550">
      <c r="G550" s="168"/>
      <c r="L550" s="168"/>
      <c r="N550" s="169"/>
    </row>
    <row r="551">
      <c r="G551" s="168"/>
      <c r="L551" s="168"/>
      <c r="N551" s="169"/>
    </row>
    <row r="552">
      <c r="G552" s="168"/>
      <c r="L552" s="168"/>
      <c r="N552" s="169"/>
    </row>
    <row r="553">
      <c r="G553" s="168"/>
      <c r="L553" s="168"/>
      <c r="N553" s="169"/>
    </row>
    <row r="554">
      <c r="G554" s="168"/>
      <c r="L554" s="168"/>
      <c r="N554" s="169"/>
    </row>
    <row r="555">
      <c r="G555" s="168"/>
      <c r="L555" s="168"/>
      <c r="N555" s="169"/>
    </row>
    <row r="556">
      <c r="G556" s="168"/>
      <c r="L556" s="168"/>
      <c r="N556" s="169"/>
    </row>
    <row r="557">
      <c r="G557" s="168"/>
      <c r="L557" s="168"/>
      <c r="N557" s="169"/>
    </row>
    <row r="558">
      <c r="G558" s="168"/>
      <c r="L558" s="168"/>
      <c r="N558" s="169"/>
    </row>
    <row r="559">
      <c r="G559" s="168"/>
      <c r="L559" s="168"/>
      <c r="N559" s="169"/>
    </row>
    <row r="560">
      <c r="G560" s="168"/>
      <c r="L560" s="168"/>
      <c r="N560" s="169"/>
    </row>
    <row r="561">
      <c r="G561" s="168"/>
      <c r="L561" s="168"/>
      <c r="N561" s="169"/>
    </row>
    <row r="562">
      <c r="G562" s="168"/>
      <c r="L562" s="168"/>
      <c r="N562" s="169"/>
    </row>
    <row r="563">
      <c r="G563" s="168"/>
      <c r="L563" s="168"/>
      <c r="N563" s="169"/>
    </row>
    <row r="564">
      <c r="G564" s="168"/>
      <c r="L564" s="168"/>
      <c r="N564" s="169"/>
    </row>
    <row r="565">
      <c r="G565" s="168"/>
      <c r="L565" s="168"/>
      <c r="N565" s="169"/>
    </row>
    <row r="566">
      <c r="G566" s="168"/>
      <c r="L566" s="168"/>
      <c r="N566" s="169"/>
    </row>
    <row r="567">
      <c r="G567" s="168"/>
      <c r="L567" s="168"/>
      <c r="N567" s="169"/>
    </row>
    <row r="568">
      <c r="G568" s="168"/>
      <c r="L568" s="168"/>
      <c r="N568" s="169"/>
    </row>
    <row r="569">
      <c r="G569" s="168"/>
      <c r="L569" s="168"/>
      <c r="N569" s="169"/>
    </row>
    <row r="570">
      <c r="G570" s="168"/>
      <c r="L570" s="168"/>
      <c r="N570" s="169"/>
    </row>
    <row r="571">
      <c r="G571" s="168"/>
      <c r="L571" s="168"/>
      <c r="N571" s="169"/>
    </row>
    <row r="572">
      <c r="G572" s="168"/>
      <c r="L572" s="168"/>
      <c r="N572" s="169"/>
    </row>
    <row r="573">
      <c r="G573" s="168"/>
      <c r="L573" s="168"/>
      <c r="N573" s="169"/>
    </row>
    <row r="574">
      <c r="G574" s="168"/>
      <c r="L574" s="168"/>
      <c r="N574" s="169"/>
    </row>
    <row r="575">
      <c r="G575" s="168"/>
      <c r="L575" s="168"/>
      <c r="N575" s="169"/>
    </row>
    <row r="576">
      <c r="G576" s="168"/>
      <c r="L576" s="168"/>
      <c r="N576" s="169"/>
    </row>
    <row r="577">
      <c r="G577" s="168"/>
      <c r="L577" s="168"/>
      <c r="N577" s="169"/>
    </row>
    <row r="578">
      <c r="G578" s="168"/>
      <c r="L578" s="168"/>
      <c r="N578" s="169"/>
    </row>
    <row r="579">
      <c r="G579" s="168"/>
      <c r="L579" s="168"/>
      <c r="N579" s="169"/>
    </row>
    <row r="580">
      <c r="G580" s="168"/>
      <c r="L580" s="168"/>
      <c r="N580" s="169"/>
    </row>
    <row r="581">
      <c r="G581" s="168"/>
      <c r="L581" s="168"/>
      <c r="N581" s="169"/>
    </row>
    <row r="582">
      <c r="G582" s="168"/>
      <c r="L582" s="168"/>
      <c r="N582" s="169"/>
    </row>
    <row r="583">
      <c r="G583" s="168"/>
      <c r="L583" s="168"/>
      <c r="N583" s="169"/>
    </row>
    <row r="584">
      <c r="G584" s="168"/>
      <c r="L584" s="168"/>
      <c r="N584" s="169"/>
    </row>
    <row r="585">
      <c r="G585" s="168"/>
      <c r="L585" s="168"/>
      <c r="N585" s="169"/>
    </row>
    <row r="586">
      <c r="G586" s="168"/>
      <c r="L586" s="168"/>
      <c r="N586" s="169"/>
    </row>
    <row r="587">
      <c r="G587" s="168"/>
      <c r="L587" s="168"/>
      <c r="N587" s="169"/>
    </row>
    <row r="588">
      <c r="G588" s="168"/>
      <c r="L588" s="168"/>
      <c r="N588" s="169"/>
    </row>
    <row r="589">
      <c r="G589" s="168"/>
      <c r="L589" s="168"/>
      <c r="N589" s="169"/>
    </row>
    <row r="590">
      <c r="G590" s="168"/>
      <c r="L590" s="168"/>
      <c r="N590" s="169"/>
    </row>
    <row r="591">
      <c r="G591" s="168"/>
      <c r="L591" s="168"/>
      <c r="N591" s="169"/>
    </row>
    <row r="592">
      <c r="G592" s="168"/>
      <c r="L592" s="168"/>
      <c r="N592" s="169"/>
    </row>
    <row r="593">
      <c r="G593" s="168"/>
      <c r="L593" s="168"/>
      <c r="N593" s="169"/>
    </row>
    <row r="594">
      <c r="G594" s="168"/>
      <c r="L594" s="168"/>
      <c r="N594" s="169"/>
    </row>
    <row r="595">
      <c r="G595" s="168"/>
      <c r="L595" s="168"/>
      <c r="N595" s="169"/>
    </row>
    <row r="596">
      <c r="G596" s="168"/>
      <c r="L596" s="168"/>
      <c r="N596" s="169"/>
    </row>
    <row r="597">
      <c r="G597" s="168"/>
      <c r="L597" s="168"/>
      <c r="N597" s="169"/>
    </row>
    <row r="598">
      <c r="G598" s="168"/>
      <c r="L598" s="168"/>
      <c r="N598" s="169"/>
    </row>
    <row r="599">
      <c r="G599" s="168"/>
      <c r="L599" s="168"/>
      <c r="N599" s="169"/>
    </row>
    <row r="600">
      <c r="G600" s="168"/>
      <c r="L600" s="168"/>
      <c r="N600" s="169"/>
    </row>
    <row r="601">
      <c r="G601" s="168"/>
      <c r="L601" s="168"/>
      <c r="N601" s="169"/>
    </row>
    <row r="602">
      <c r="G602" s="168"/>
      <c r="L602" s="168"/>
      <c r="N602" s="169"/>
    </row>
    <row r="603">
      <c r="G603" s="168"/>
      <c r="L603" s="168"/>
      <c r="N603" s="169"/>
    </row>
    <row r="604">
      <c r="G604" s="168"/>
      <c r="L604" s="168"/>
      <c r="N604" s="169"/>
    </row>
    <row r="605">
      <c r="G605" s="168"/>
      <c r="L605" s="168"/>
      <c r="N605" s="169"/>
    </row>
    <row r="606">
      <c r="G606" s="168"/>
      <c r="L606" s="168"/>
      <c r="N606" s="169"/>
    </row>
    <row r="607">
      <c r="G607" s="168"/>
      <c r="L607" s="168"/>
      <c r="N607" s="169"/>
    </row>
    <row r="608">
      <c r="G608" s="168"/>
      <c r="L608" s="168"/>
      <c r="N608" s="169"/>
    </row>
    <row r="609">
      <c r="G609" s="168"/>
      <c r="L609" s="168"/>
      <c r="N609" s="169"/>
    </row>
    <row r="610">
      <c r="G610" s="168"/>
      <c r="L610" s="168"/>
      <c r="N610" s="169"/>
    </row>
    <row r="611">
      <c r="G611" s="168"/>
      <c r="L611" s="168"/>
      <c r="N611" s="169"/>
    </row>
    <row r="612">
      <c r="G612" s="168"/>
      <c r="L612" s="168"/>
      <c r="N612" s="169"/>
    </row>
    <row r="613">
      <c r="G613" s="168"/>
      <c r="L613" s="168"/>
      <c r="N613" s="169"/>
    </row>
    <row r="614">
      <c r="G614" s="168"/>
      <c r="L614" s="168"/>
      <c r="N614" s="169"/>
    </row>
    <row r="615">
      <c r="G615" s="168"/>
      <c r="L615" s="168"/>
      <c r="N615" s="169"/>
    </row>
    <row r="616">
      <c r="G616" s="168"/>
      <c r="L616" s="168"/>
      <c r="N616" s="169"/>
    </row>
    <row r="617">
      <c r="G617" s="168"/>
      <c r="L617" s="168"/>
      <c r="N617" s="169"/>
    </row>
    <row r="618">
      <c r="G618" s="168"/>
      <c r="L618" s="168"/>
      <c r="N618" s="169"/>
    </row>
    <row r="619">
      <c r="G619" s="168"/>
      <c r="L619" s="168"/>
      <c r="N619" s="169"/>
    </row>
    <row r="620">
      <c r="G620" s="168"/>
      <c r="L620" s="168"/>
      <c r="N620" s="169"/>
    </row>
    <row r="621">
      <c r="G621" s="168"/>
      <c r="L621" s="168"/>
      <c r="N621" s="169"/>
    </row>
    <row r="622">
      <c r="G622" s="168"/>
      <c r="L622" s="168"/>
      <c r="N622" s="169"/>
    </row>
    <row r="623">
      <c r="G623" s="168"/>
      <c r="L623" s="168"/>
      <c r="N623" s="169"/>
    </row>
    <row r="624">
      <c r="G624" s="168"/>
      <c r="L624" s="168"/>
      <c r="N624" s="169"/>
    </row>
    <row r="625">
      <c r="G625" s="168"/>
      <c r="L625" s="168"/>
      <c r="N625" s="169"/>
    </row>
    <row r="626">
      <c r="G626" s="168"/>
      <c r="L626" s="168"/>
      <c r="N626" s="169"/>
    </row>
    <row r="627">
      <c r="G627" s="168"/>
      <c r="L627" s="168"/>
      <c r="N627" s="169"/>
    </row>
    <row r="628">
      <c r="G628" s="168"/>
      <c r="L628" s="168"/>
      <c r="N628" s="169"/>
    </row>
    <row r="629">
      <c r="G629" s="168"/>
      <c r="L629" s="168"/>
      <c r="N629" s="169"/>
    </row>
    <row r="630">
      <c r="G630" s="168"/>
      <c r="L630" s="168"/>
      <c r="N630" s="169"/>
    </row>
    <row r="631">
      <c r="G631" s="168"/>
      <c r="L631" s="168"/>
      <c r="N631" s="169"/>
    </row>
    <row r="632">
      <c r="G632" s="168"/>
      <c r="L632" s="168"/>
      <c r="N632" s="169"/>
    </row>
    <row r="633">
      <c r="G633" s="168"/>
      <c r="L633" s="168"/>
      <c r="N633" s="169"/>
    </row>
    <row r="634">
      <c r="G634" s="168"/>
      <c r="L634" s="168"/>
      <c r="N634" s="169"/>
    </row>
    <row r="635">
      <c r="G635" s="168"/>
      <c r="L635" s="168"/>
      <c r="N635" s="169"/>
    </row>
    <row r="636">
      <c r="G636" s="168"/>
      <c r="L636" s="168"/>
      <c r="N636" s="169"/>
    </row>
    <row r="637">
      <c r="G637" s="168"/>
      <c r="L637" s="168"/>
      <c r="N637" s="169"/>
    </row>
    <row r="638">
      <c r="G638" s="168"/>
      <c r="L638" s="168"/>
      <c r="N638" s="169"/>
    </row>
    <row r="639">
      <c r="G639" s="168"/>
      <c r="L639" s="168"/>
      <c r="N639" s="169"/>
    </row>
    <row r="640">
      <c r="G640" s="168"/>
      <c r="L640" s="168"/>
      <c r="N640" s="169"/>
    </row>
    <row r="641">
      <c r="G641" s="168"/>
      <c r="L641" s="168"/>
      <c r="N641" s="169"/>
    </row>
    <row r="642">
      <c r="G642" s="168"/>
      <c r="L642" s="168"/>
      <c r="N642" s="169"/>
    </row>
    <row r="643">
      <c r="G643" s="168"/>
      <c r="L643" s="168"/>
      <c r="N643" s="169"/>
    </row>
    <row r="644">
      <c r="G644" s="168"/>
      <c r="L644" s="168"/>
      <c r="N644" s="169"/>
    </row>
    <row r="645">
      <c r="G645" s="168"/>
      <c r="L645" s="168"/>
      <c r="N645" s="169"/>
    </row>
    <row r="646">
      <c r="G646" s="168"/>
      <c r="L646" s="168"/>
      <c r="N646" s="169"/>
    </row>
    <row r="647">
      <c r="G647" s="168"/>
      <c r="L647" s="168"/>
      <c r="N647" s="169"/>
    </row>
    <row r="648">
      <c r="G648" s="168"/>
      <c r="L648" s="168"/>
      <c r="N648" s="169"/>
    </row>
    <row r="649">
      <c r="G649" s="168"/>
      <c r="L649" s="168"/>
      <c r="N649" s="169"/>
    </row>
    <row r="650">
      <c r="G650" s="168"/>
      <c r="L650" s="168"/>
      <c r="N650" s="169"/>
    </row>
    <row r="651">
      <c r="G651" s="168"/>
      <c r="L651" s="168"/>
      <c r="N651" s="169"/>
    </row>
    <row r="652">
      <c r="G652" s="168"/>
      <c r="L652" s="168"/>
      <c r="N652" s="169"/>
    </row>
    <row r="653">
      <c r="G653" s="168"/>
      <c r="L653" s="168"/>
      <c r="N653" s="169"/>
    </row>
    <row r="654">
      <c r="G654" s="168"/>
      <c r="L654" s="168"/>
      <c r="N654" s="169"/>
    </row>
    <row r="655">
      <c r="G655" s="168"/>
      <c r="L655" s="168"/>
      <c r="N655" s="169"/>
    </row>
    <row r="656">
      <c r="G656" s="168"/>
      <c r="L656" s="168"/>
      <c r="N656" s="169"/>
    </row>
    <row r="657">
      <c r="G657" s="168"/>
      <c r="L657" s="168"/>
      <c r="N657" s="169"/>
    </row>
    <row r="658">
      <c r="G658" s="168"/>
      <c r="L658" s="168"/>
      <c r="N658" s="169"/>
    </row>
    <row r="659">
      <c r="G659" s="168"/>
      <c r="L659" s="168"/>
      <c r="N659" s="169"/>
    </row>
    <row r="660">
      <c r="G660" s="168"/>
      <c r="L660" s="168"/>
      <c r="N660" s="169"/>
    </row>
    <row r="661">
      <c r="G661" s="168"/>
      <c r="L661" s="168"/>
      <c r="N661" s="169"/>
    </row>
    <row r="662">
      <c r="G662" s="168"/>
      <c r="L662" s="168"/>
      <c r="N662" s="169"/>
    </row>
    <row r="663">
      <c r="G663" s="168"/>
      <c r="L663" s="168"/>
      <c r="N663" s="169"/>
    </row>
    <row r="664">
      <c r="G664" s="168"/>
      <c r="L664" s="168"/>
      <c r="N664" s="169"/>
    </row>
    <row r="665">
      <c r="G665" s="168"/>
      <c r="L665" s="168"/>
      <c r="N665" s="169"/>
    </row>
    <row r="666">
      <c r="G666" s="168"/>
      <c r="L666" s="168"/>
      <c r="N666" s="169"/>
    </row>
    <row r="667">
      <c r="G667" s="168"/>
      <c r="L667" s="168"/>
      <c r="N667" s="169"/>
    </row>
    <row r="668">
      <c r="G668" s="168"/>
      <c r="L668" s="168"/>
      <c r="N668" s="169"/>
    </row>
    <row r="669">
      <c r="G669" s="168"/>
      <c r="L669" s="168"/>
      <c r="N669" s="169"/>
    </row>
    <row r="670">
      <c r="G670" s="168"/>
      <c r="L670" s="168"/>
      <c r="N670" s="169"/>
    </row>
    <row r="671">
      <c r="G671" s="168"/>
      <c r="L671" s="168"/>
      <c r="N671" s="169"/>
    </row>
    <row r="672">
      <c r="G672" s="168"/>
      <c r="L672" s="168"/>
      <c r="N672" s="169"/>
    </row>
    <row r="673">
      <c r="G673" s="168"/>
      <c r="L673" s="168"/>
      <c r="N673" s="169"/>
    </row>
    <row r="674">
      <c r="G674" s="168"/>
      <c r="L674" s="168"/>
      <c r="N674" s="169"/>
    </row>
    <row r="675">
      <c r="G675" s="168"/>
      <c r="L675" s="168"/>
      <c r="N675" s="169"/>
    </row>
    <row r="676">
      <c r="G676" s="168"/>
      <c r="L676" s="168"/>
      <c r="N676" s="169"/>
    </row>
    <row r="677">
      <c r="G677" s="168"/>
      <c r="L677" s="168"/>
      <c r="N677" s="169"/>
    </row>
    <row r="678">
      <c r="G678" s="168"/>
      <c r="L678" s="168"/>
      <c r="N678" s="169"/>
    </row>
    <row r="679">
      <c r="G679" s="168"/>
      <c r="L679" s="168"/>
      <c r="N679" s="169"/>
    </row>
    <row r="680">
      <c r="G680" s="168"/>
      <c r="L680" s="168"/>
      <c r="N680" s="169"/>
    </row>
    <row r="681">
      <c r="G681" s="168"/>
      <c r="L681" s="168"/>
      <c r="N681" s="169"/>
    </row>
    <row r="682">
      <c r="G682" s="168"/>
      <c r="L682" s="168"/>
      <c r="N682" s="169"/>
    </row>
    <row r="683">
      <c r="G683" s="168"/>
      <c r="L683" s="168"/>
      <c r="N683" s="169"/>
    </row>
    <row r="684">
      <c r="G684" s="168"/>
      <c r="L684" s="168"/>
      <c r="N684" s="169"/>
    </row>
    <row r="685">
      <c r="G685" s="168"/>
      <c r="L685" s="168"/>
      <c r="N685" s="169"/>
    </row>
    <row r="686">
      <c r="G686" s="168"/>
      <c r="L686" s="168"/>
      <c r="N686" s="169"/>
    </row>
    <row r="687">
      <c r="G687" s="168"/>
      <c r="L687" s="168"/>
      <c r="N687" s="169"/>
    </row>
    <row r="688">
      <c r="G688" s="168"/>
      <c r="L688" s="168"/>
      <c r="N688" s="169"/>
    </row>
    <row r="689">
      <c r="G689" s="168"/>
      <c r="L689" s="168"/>
      <c r="N689" s="169"/>
    </row>
    <row r="690">
      <c r="G690" s="168"/>
      <c r="L690" s="168"/>
      <c r="N690" s="169"/>
    </row>
    <row r="691">
      <c r="G691" s="168"/>
      <c r="L691" s="168"/>
      <c r="N691" s="169"/>
    </row>
    <row r="692">
      <c r="G692" s="168"/>
      <c r="L692" s="168"/>
      <c r="N692" s="169"/>
    </row>
    <row r="693">
      <c r="G693" s="168"/>
      <c r="L693" s="168"/>
      <c r="N693" s="169"/>
    </row>
    <row r="694">
      <c r="G694" s="168"/>
      <c r="L694" s="168"/>
      <c r="N694" s="169"/>
    </row>
    <row r="695">
      <c r="G695" s="168"/>
      <c r="L695" s="168"/>
      <c r="N695" s="169"/>
    </row>
    <row r="696">
      <c r="G696" s="168"/>
      <c r="L696" s="168"/>
      <c r="N696" s="169"/>
    </row>
    <row r="697">
      <c r="G697" s="168"/>
      <c r="L697" s="168"/>
      <c r="N697" s="169"/>
    </row>
    <row r="698">
      <c r="G698" s="168"/>
      <c r="L698" s="168"/>
      <c r="N698" s="169"/>
    </row>
    <row r="699">
      <c r="G699" s="168"/>
      <c r="L699" s="168"/>
      <c r="N699" s="169"/>
    </row>
    <row r="700">
      <c r="G700" s="168"/>
      <c r="L700" s="168"/>
      <c r="N700" s="169"/>
    </row>
    <row r="701">
      <c r="G701" s="168"/>
      <c r="L701" s="168"/>
      <c r="N701" s="169"/>
    </row>
    <row r="702">
      <c r="G702" s="168"/>
      <c r="L702" s="168"/>
      <c r="N702" s="169"/>
    </row>
    <row r="703">
      <c r="G703" s="168"/>
      <c r="L703" s="168"/>
      <c r="N703" s="169"/>
    </row>
    <row r="704">
      <c r="G704" s="168"/>
      <c r="L704" s="168"/>
      <c r="N704" s="169"/>
    </row>
    <row r="705">
      <c r="G705" s="168"/>
      <c r="L705" s="168"/>
      <c r="N705" s="169"/>
    </row>
    <row r="706">
      <c r="G706" s="168"/>
      <c r="L706" s="168"/>
      <c r="N706" s="169"/>
    </row>
    <row r="707">
      <c r="G707" s="168"/>
      <c r="L707" s="168"/>
      <c r="N707" s="169"/>
    </row>
    <row r="708">
      <c r="G708" s="168"/>
      <c r="L708" s="168"/>
      <c r="N708" s="169"/>
    </row>
    <row r="709">
      <c r="G709" s="168"/>
      <c r="L709" s="168"/>
      <c r="N709" s="169"/>
    </row>
    <row r="710">
      <c r="G710" s="168"/>
      <c r="L710" s="168"/>
      <c r="N710" s="169"/>
    </row>
    <row r="711">
      <c r="G711" s="168"/>
      <c r="L711" s="168"/>
      <c r="N711" s="169"/>
    </row>
    <row r="712">
      <c r="G712" s="168"/>
      <c r="L712" s="168"/>
      <c r="N712" s="169"/>
    </row>
    <row r="713">
      <c r="G713" s="168"/>
      <c r="L713" s="168"/>
      <c r="N713" s="169"/>
    </row>
    <row r="714">
      <c r="G714" s="168"/>
      <c r="L714" s="168"/>
      <c r="N714" s="169"/>
    </row>
    <row r="715">
      <c r="G715" s="168"/>
      <c r="L715" s="168"/>
      <c r="N715" s="169"/>
    </row>
    <row r="716">
      <c r="G716" s="168"/>
      <c r="L716" s="168"/>
      <c r="N716" s="169"/>
    </row>
    <row r="717">
      <c r="G717" s="168"/>
      <c r="L717" s="168"/>
      <c r="N717" s="169"/>
    </row>
    <row r="718">
      <c r="G718" s="168"/>
      <c r="L718" s="168"/>
      <c r="N718" s="169"/>
    </row>
    <row r="719">
      <c r="G719" s="168"/>
      <c r="L719" s="168"/>
      <c r="N719" s="169"/>
    </row>
    <row r="720">
      <c r="G720" s="168"/>
      <c r="L720" s="168"/>
      <c r="N720" s="169"/>
    </row>
    <row r="721">
      <c r="G721" s="168"/>
      <c r="L721" s="168"/>
      <c r="N721" s="169"/>
    </row>
    <row r="722">
      <c r="G722" s="168"/>
      <c r="L722" s="168"/>
      <c r="N722" s="169"/>
    </row>
    <row r="723">
      <c r="G723" s="168"/>
      <c r="L723" s="168"/>
      <c r="N723" s="169"/>
    </row>
    <row r="724">
      <c r="G724" s="168"/>
      <c r="L724" s="168"/>
      <c r="N724" s="169"/>
    </row>
    <row r="725">
      <c r="G725" s="168"/>
      <c r="L725" s="168"/>
      <c r="N725" s="169"/>
    </row>
    <row r="726">
      <c r="G726" s="168"/>
      <c r="L726" s="168"/>
      <c r="N726" s="169"/>
    </row>
    <row r="727">
      <c r="G727" s="168"/>
      <c r="L727" s="168"/>
      <c r="N727" s="169"/>
    </row>
    <row r="728">
      <c r="G728" s="168"/>
      <c r="L728" s="168"/>
      <c r="N728" s="169"/>
    </row>
    <row r="729">
      <c r="G729" s="168"/>
      <c r="L729" s="168"/>
      <c r="N729" s="169"/>
    </row>
    <row r="730">
      <c r="G730" s="168"/>
      <c r="L730" s="168"/>
      <c r="N730" s="169"/>
    </row>
    <row r="731">
      <c r="G731" s="168"/>
      <c r="L731" s="168"/>
      <c r="N731" s="169"/>
    </row>
    <row r="732">
      <c r="G732" s="168"/>
      <c r="L732" s="168"/>
      <c r="N732" s="169"/>
    </row>
    <row r="733">
      <c r="G733" s="168"/>
      <c r="L733" s="168"/>
      <c r="N733" s="169"/>
    </row>
    <row r="734">
      <c r="G734" s="168"/>
      <c r="L734" s="168"/>
      <c r="N734" s="169"/>
    </row>
    <row r="735">
      <c r="G735" s="168"/>
      <c r="L735" s="168"/>
      <c r="N735" s="169"/>
    </row>
    <row r="736">
      <c r="G736" s="168"/>
      <c r="L736" s="168"/>
      <c r="N736" s="169"/>
    </row>
    <row r="737">
      <c r="G737" s="168"/>
      <c r="L737" s="168"/>
      <c r="N737" s="169"/>
    </row>
    <row r="738">
      <c r="G738" s="168"/>
      <c r="L738" s="168"/>
      <c r="N738" s="169"/>
    </row>
    <row r="739">
      <c r="G739" s="168"/>
      <c r="L739" s="168"/>
      <c r="N739" s="169"/>
    </row>
    <row r="740">
      <c r="G740" s="168"/>
      <c r="L740" s="168"/>
      <c r="N740" s="169"/>
    </row>
    <row r="741">
      <c r="G741" s="168"/>
      <c r="L741" s="168"/>
      <c r="N741" s="169"/>
    </row>
    <row r="742">
      <c r="G742" s="168"/>
      <c r="L742" s="168"/>
      <c r="N742" s="169"/>
    </row>
    <row r="743">
      <c r="G743" s="168"/>
      <c r="L743" s="168"/>
      <c r="N743" s="169"/>
    </row>
    <row r="744">
      <c r="G744" s="168"/>
      <c r="L744" s="168"/>
      <c r="N744" s="169"/>
    </row>
    <row r="745">
      <c r="G745" s="168"/>
      <c r="L745" s="168"/>
      <c r="N745" s="169"/>
    </row>
    <row r="746">
      <c r="G746" s="168"/>
      <c r="L746" s="168"/>
      <c r="N746" s="169"/>
    </row>
    <row r="747">
      <c r="G747" s="168"/>
      <c r="L747" s="168"/>
      <c r="N747" s="169"/>
    </row>
    <row r="748">
      <c r="G748" s="168"/>
      <c r="L748" s="168"/>
      <c r="N748" s="169"/>
    </row>
    <row r="749">
      <c r="G749" s="168"/>
      <c r="L749" s="168"/>
      <c r="N749" s="169"/>
    </row>
    <row r="750">
      <c r="G750" s="168"/>
      <c r="L750" s="168"/>
      <c r="N750" s="169"/>
    </row>
    <row r="751">
      <c r="G751" s="168"/>
      <c r="L751" s="168"/>
      <c r="N751" s="169"/>
    </row>
    <row r="752">
      <c r="G752" s="168"/>
      <c r="L752" s="168"/>
      <c r="N752" s="169"/>
    </row>
    <row r="753">
      <c r="G753" s="168"/>
      <c r="L753" s="168"/>
      <c r="N753" s="169"/>
    </row>
    <row r="754">
      <c r="G754" s="168"/>
      <c r="L754" s="168"/>
      <c r="N754" s="169"/>
    </row>
    <row r="755">
      <c r="G755" s="168"/>
      <c r="L755" s="168"/>
      <c r="N755" s="169"/>
    </row>
    <row r="756">
      <c r="G756" s="168"/>
      <c r="L756" s="168"/>
      <c r="N756" s="169"/>
    </row>
    <row r="757">
      <c r="G757" s="168"/>
      <c r="L757" s="168"/>
      <c r="N757" s="169"/>
    </row>
    <row r="758">
      <c r="G758" s="168"/>
      <c r="L758" s="168"/>
      <c r="N758" s="169"/>
    </row>
    <row r="759">
      <c r="G759" s="168"/>
      <c r="L759" s="168"/>
      <c r="N759" s="169"/>
    </row>
    <row r="760">
      <c r="G760" s="168"/>
      <c r="L760" s="168"/>
      <c r="N760" s="169"/>
    </row>
    <row r="761">
      <c r="G761" s="168"/>
      <c r="L761" s="168"/>
      <c r="N761" s="169"/>
    </row>
    <row r="762">
      <c r="G762" s="168"/>
      <c r="L762" s="168"/>
      <c r="N762" s="169"/>
    </row>
    <row r="763">
      <c r="G763" s="168"/>
      <c r="L763" s="168"/>
      <c r="N763" s="169"/>
    </row>
    <row r="764">
      <c r="G764" s="168"/>
      <c r="L764" s="168"/>
      <c r="N764" s="169"/>
    </row>
    <row r="765">
      <c r="G765" s="168"/>
      <c r="L765" s="168"/>
      <c r="N765" s="169"/>
    </row>
    <row r="766">
      <c r="G766" s="168"/>
      <c r="L766" s="168"/>
      <c r="N766" s="169"/>
    </row>
    <row r="767">
      <c r="G767" s="168"/>
      <c r="L767" s="168"/>
      <c r="N767" s="169"/>
    </row>
    <row r="768">
      <c r="G768" s="168"/>
      <c r="L768" s="168"/>
      <c r="N768" s="169"/>
    </row>
    <row r="769">
      <c r="G769" s="168"/>
      <c r="L769" s="168"/>
      <c r="N769" s="169"/>
    </row>
    <row r="770">
      <c r="G770" s="168"/>
      <c r="L770" s="168"/>
      <c r="N770" s="169"/>
    </row>
    <row r="771">
      <c r="G771" s="168"/>
      <c r="L771" s="168"/>
      <c r="N771" s="169"/>
    </row>
    <row r="772">
      <c r="G772" s="168"/>
      <c r="L772" s="168"/>
      <c r="N772" s="169"/>
    </row>
    <row r="773">
      <c r="G773" s="168"/>
      <c r="L773" s="168"/>
      <c r="N773" s="169"/>
    </row>
    <row r="774">
      <c r="G774" s="168"/>
      <c r="L774" s="168"/>
      <c r="N774" s="169"/>
    </row>
    <row r="775">
      <c r="G775" s="168"/>
      <c r="L775" s="168"/>
      <c r="N775" s="169"/>
    </row>
    <row r="776">
      <c r="G776" s="168"/>
      <c r="L776" s="168"/>
      <c r="N776" s="169"/>
    </row>
    <row r="777">
      <c r="G777" s="168"/>
      <c r="L777" s="168"/>
      <c r="N777" s="169"/>
    </row>
    <row r="778">
      <c r="G778" s="168"/>
      <c r="L778" s="168"/>
      <c r="N778" s="169"/>
    </row>
    <row r="779">
      <c r="G779" s="168"/>
      <c r="L779" s="168"/>
      <c r="N779" s="169"/>
    </row>
    <row r="780">
      <c r="G780" s="168"/>
      <c r="L780" s="168"/>
      <c r="N780" s="169"/>
    </row>
    <row r="781">
      <c r="G781" s="168"/>
      <c r="L781" s="168"/>
      <c r="N781" s="169"/>
    </row>
    <row r="782">
      <c r="G782" s="168"/>
      <c r="L782" s="168"/>
      <c r="N782" s="169"/>
    </row>
    <row r="783">
      <c r="G783" s="168"/>
      <c r="L783" s="168"/>
      <c r="N783" s="169"/>
    </row>
    <row r="784">
      <c r="G784" s="168"/>
      <c r="L784" s="168"/>
      <c r="N784" s="169"/>
    </row>
    <row r="785">
      <c r="G785" s="168"/>
      <c r="L785" s="168"/>
      <c r="N785" s="169"/>
    </row>
    <row r="786">
      <c r="G786" s="168"/>
      <c r="L786" s="168"/>
      <c r="N786" s="169"/>
    </row>
    <row r="787">
      <c r="G787" s="168"/>
      <c r="L787" s="168"/>
      <c r="N787" s="169"/>
    </row>
    <row r="788">
      <c r="G788" s="168"/>
      <c r="L788" s="168"/>
      <c r="N788" s="169"/>
    </row>
    <row r="789">
      <c r="G789" s="168"/>
      <c r="L789" s="168"/>
      <c r="N789" s="169"/>
    </row>
    <row r="790">
      <c r="G790" s="168"/>
      <c r="L790" s="168"/>
      <c r="N790" s="169"/>
    </row>
    <row r="791">
      <c r="G791" s="168"/>
      <c r="L791" s="168"/>
      <c r="N791" s="169"/>
    </row>
    <row r="792">
      <c r="G792" s="168"/>
      <c r="L792" s="168"/>
      <c r="N792" s="169"/>
    </row>
    <row r="793">
      <c r="G793" s="168"/>
      <c r="L793" s="168"/>
      <c r="N793" s="169"/>
    </row>
    <row r="794">
      <c r="G794" s="168"/>
      <c r="L794" s="168"/>
      <c r="N794" s="169"/>
    </row>
    <row r="795">
      <c r="G795" s="168"/>
      <c r="L795" s="168"/>
      <c r="N795" s="169"/>
    </row>
    <row r="796">
      <c r="G796" s="168"/>
      <c r="L796" s="168"/>
      <c r="N796" s="169"/>
    </row>
    <row r="797">
      <c r="G797" s="168"/>
      <c r="L797" s="168"/>
      <c r="N797" s="169"/>
    </row>
    <row r="798">
      <c r="G798" s="168"/>
      <c r="L798" s="168"/>
      <c r="N798" s="169"/>
    </row>
    <row r="799">
      <c r="G799" s="168"/>
      <c r="L799" s="168"/>
      <c r="N799" s="169"/>
    </row>
    <row r="800">
      <c r="G800" s="168"/>
      <c r="L800" s="168"/>
      <c r="N800" s="169"/>
    </row>
    <row r="801">
      <c r="G801" s="168"/>
      <c r="L801" s="168"/>
      <c r="N801" s="169"/>
    </row>
    <row r="802">
      <c r="G802" s="168"/>
      <c r="L802" s="168"/>
      <c r="N802" s="169"/>
    </row>
    <row r="803">
      <c r="G803" s="168"/>
      <c r="L803" s="168"/>
      <c r="N803" s="169"/>
    </row>
    <row r="804">
      <c r="G804" s="168"/>
      <c r="L804" s="168"/>
      <c r="N804" s="169"/>
    </row>
    <row r="805">
      <c r="G805" s="168"/>
      <c r="L805" s="168"/>
      <c r="N805" s="169"/>
    </row>
    <row r="806">
      <c r="G806" s="168"/>
      <c r="L806" s="168"/>
      <c r="N806" s="169"/>
    </row>
    <row r="807">
      <c r="G807" s="168"/>
      <c r="L807" s="168"/>
      <c r="N807" s="169"/>
    </row>
    <row r="808">
      <c r="G808" s="168"/>
      <c r="L808" s="168"/>
      <c r="N808" s="169"/>
    </row>
    <row r="809">
      <c r="G809" s="168"/>
      <c r="L809" s="168"/>
      <c r="N809" s="169"/>
    </row>
    <row r="810">
      <c r="G810" s="168"/>
      <c r="L810" s="168"/>
      <c r="N810" s="169"/>
    </row>
    <row r="811">
      <c r="G811" s="168"/>
      <c r="L811" s="168"/>
      <c r="N811" s="169"/>
    </row>
    <row r="812">
      <c r="G812" s="168"/>
      <c r="L812" s="168"/>
      <c r="N812" s="169"/>
    </row>
    <row r="813">
      <c r="G813" s="168"/>
      <c r="L813" s="168"/>
      <c r="N813" s="169"/>
    </row>
    <row r="814">
      <c r="G814" s="168"/>
      <c r="L814" s="168"/>
      <c r="N814" s="169"/>
    </row>
    <row r="815">
      <c r="G815" s="168"/>
      <c r="L815" s="168"/>
      <c r="N815" s="169"/>
    </row>
    <row r="816">
      <c r="G816" s="168"/>
      <c r="L816" s="168"/>
      <c r="N816" s="169"/>
    </row>
    <row r="817">
      <c r="G817" s="168"/>
      <c r="L817" s="168"/>
      <c r="N817" s="169"/>
    </row>
    <row r="818">
      <c r="G818" s="168"/>
      <c r="L818" s="168"/>
      <c r="N818" s="169"/>
    </row>
    <row r="819">
      <c r="G819" s="168"/>
      <c r="L819" s="168"/>
      <c r="N819" s="169"/>
    </row>
    <row r="820">
      <c r="G820" s="168"/>
      <c r="L820" s="168"/>
      <c r="N820" s="169"/>
    </row>
    <row r="821">
      <c r="G821" s="168"/>
      <c r="L821" s="168"/>
      <c r="N821" s="169"/>
    </row>
    <row r="822">
      <c r="G822" s="168"/>
      <c r="L822" s="168"/>
      <c r="N822" s="169"/>
    </row>
    <row r="823">
      <c r="G823" s="168"/>
      <c r="L823" s="168"/>
      <c r="N823" s="169"/>
    </row>
    <row r="824">
      <c r="G824" s="168"/>
      <c r="L824" s="168"/>
      <c r="N824" s="169"/>
    </row>
    <row r="825">
      <c r="G825" s="168"/>
      <c r="L825" s="168"/>
      <c r="N825" s="169"/>
    </row>
    <row r="826">
      <c r="G826" s="168"/>
      <c r="L826" s="168"/>
      <c r="N826" s="169"/>
    </row>
    <row r="827">
      <c r="G827" s="168"/>
      <c r="L827" s="168"/>
      <c r="N827" s="169"/>
    </row>
    <row r="828">
      <c r="G828" s="168"/>
      <c r="L828" s="168"/>
      <c r="N828" s="169"/>
    </row>
    <row r="829">
      <c r="G829" s="168"/>
      <c r="L829" s="168"/>
      <c r="N829" s="169"/>
    </row>
    <row r="830">
      <c r="G830" s="168"/>
      <c r="L830" s="168"/>
      <c r="N830" s="169"/>
    </row>
    <row r="831">
      <c r="G831" s="168"/>
      <c r="L831" s="168"/>
      <c r="N831" s="169"/>
    </row>
    <row r="832">
      <c r="G832" s="168"/>
      <c r="L832" s="168"/>
      <c r="N832" s="169"/>
    </row>
    <row r="833">
      <c r="G833" s="168"/>
      <c r="L833" s="168"/>
      <c r="N833" s="169"/>
    </row>
    <row r="834">
      <c r="G834" s="168"/>
      <c r="L834" s="168"/>
      <c r="N834" s="169"/>
    </row>
    <row r="835">
      <c r="G835" s="168"/>
      <c r="L835" s="168"/>
      <c r="N835" s="169"/>
    </row>
    <row r="836">
      <c r="G836" s="168"/>
      <c r="L836" s="168"/>
      <c r="N836" s="169"/>
    </row>
    <row r="837">
      <c r="G837" s="168"/>
      <c r="L837" s="168"/>
      <c r="N837" s="169"/>
    </row>
    <row r="838">
      <c r="G838" s="168"/>
      <c r="L838" s="168"/>
      <c r="N838" s="169"/>
    </row>
    <row r="839">
      <c r="G839" s="168"/>
      <c r="L839" s="168"/>
      <c r="N839" s="169"/>
    </row>
    <row r="840">
      <c r="G840" s="168"/>
      <c r="L840" s="168"/>
      <c r="N840" s="169"/>
    </row>
    <row r="841">
      <c r="G841" s="168"/>
      <c r="L841" s="168"/>
      <c r="N841" s="169"/>
    </row>
    <row r="842">
      <c r="G842" s="168"/>
      <c r="L842" s="168"/>
      <c r="N842" s="169"/>
    </row>
    <row r="843">
      <c r="G843" s="168"/>
      <c r="L843" s="168"/>
      <c r="N843" s="169"/>
    </row>
    <row r="844">
      <c r="G844" s="168"/>
      <c r="L844" s="168"/>
      <c r="N844" s="169"/>
    </row>
    <row r="845">
      <c r="G845" s="168"/>
      <c r="L845" s="168"/>
      <c r="N845" s="169"/>
    </row>
    <row r="846">
      <c r="G846" s="168"/>
      <c r="L846" s="168"/>
      <c r="N846" s="169"/>
    </row>
    <row r="847">
      <c r="G847" s="168"/>
      <c r="L847" s="168"/>
      <c r="N847" s="169"/>
    </row>
    <row r="848">
      <c r="G848" s="168"/>
      <c r="L848" s="168"/>
      <c r="N848" s="169"/>
    </row>
    <row r="849">
      <c r="G849" s="168"/>
      <c r="L849" s="168"/>
      <c r="N849" s="169"/>
    </row>
    <row r="850">
      <c r="G850" s="168"/>
      <c r="L850" s="168"/>
      <c r="N850" s="169"/>
    </row>
    <row r="851">
      <c r="G851" s="168"/>
      <c r="L851" s="168"/>
      <c r="N851" s="169"/>
    </row>
    <row r="852">
      <c r="G852" s="168"/>
      <c r="L852" s="168"/>
      <c r="N852" s="169"/>
    </row>
    <row r="853">
      <c r="G853" s="168"/>
      <c r="L853" s="168"/>
      <c r="N853" s="169"/>
    </row>
    <row r="854">
      <c r="G854" s="168"/>
      <c r="L854" s="168"/>
      <c r="N854" s="169"/>
    </row>
    <row r="855">
      <c r="G855" s="168"/>
      <c r="L855" s="168"/>
      <c r="N855" s="169"/>
    </row>
    <row r="856">
      <c r="G856" s="168"/>
      <c r="L856" s="168"/>
      <c r="N856" s="169"/>
    </row>
    <row r="857">
      <c r="G857" s="168"/>
      <c r="L857" s="168"/>
      <c r="N857" s="169"/>
    </row>
    <row r="858">
      <c r="G858" s="168"/>
      <c r="L858" s="168"/>
      <c r="N858" s="169"/>
    </row>
    <row r="859">
      <c r="G859" s="168"/>
      <c r="L859" s="168"/>
      <c r="N859" s="169"/>
    </row>
    <row r="860">
      <c r="G860" s="168"/>
      <c r="L860" s="168"/>
      <c r="N860" s="169"/>
    </row>
    <row r="861">
      <c r="G861" s="168"/>
      <c r="L861" s="168"/>
      <c r="N861" s="169"/>
    </row>
    <row r="862">
      <c r="G862" s="168"/>
      <c r="L862" s="168"/>
      <c r="N862" s="169"/>
    </row>
    <row r="863">
      <c r="G863" s="168"/>
      <c r="L863" s="168"/>
      <c r="N863" s="169"/>
    </row>
    <row r="864">
      <c r="G864" s="168"/>
      <c r="L864" s="168"/>
      <c r="N864" s="169"/>
    </row>
    <row r="865">
      <c r="G865" s="168"/>
      <c r="L865" s="168"/>
      <c r="N865" s="169"/>
    </row>
    <row r="866">
      <c r="G866" s="168"/>
      <c r="L866" s="168"/>
      <c r="N866" s="169"/>
    </row>
    <row r="867">
      <c r="G867" s="168"/>
      <c r="L867" s="168"/>
      <c r="N867" s="169"/>
    </row>
    <row r="868">
      <c r="G868" s="168"/>
      <c r="L868" s="168"/>
      <c r="N868" s="169"/>
    </row>
    <row r="869">
      <c r="G869" s="168"/>
      <c r="L869" s="168"/>
      <c r="N869" s="169"/>
    </row>
    <row r="870">
      <c r="G870" s="168"/>
      <c r="L870" s="168"/>
      <c r="N870" s="169"/>
    </row>
    <row r="871">
      <c r="G871" s="168"/>
      <c r="L871" s="168"/>
      <c r="N871" s="169"/>
    </row>
    <row r="872">
      <c r="G872" s="168"/>
      <c r="L872" s="168"/>
      <c r="N872" s="169"/>
    </row>
    <row r="873">
      <c r="G873" s="168"/>
      <c r="L873" s="168"/>
      <c r="N873" s="169"/>
    </row>
    <row r="874">
      <c r="G874" s="168"/>
      <c r="L874" s="168"/>
      <c r="N874" s="169"/>
    </row>
    <row r="875">
      <c r="G875" s="168"/>
      <c r="L875" s="168"/>
      <c r="N875" s="169"/>
    </row>
    <row r="876">
      <c r="G876" s="168"/>
      <c r="L876" s="168"/>
      <c r="N876" s="169"/>
    </row>
    <row r="877">
      <c r="G877" s="168"/>
      <c r="L877" s="168"/>
      <c r="N877" s="169"/>
    </row>
    <row r="878">
      <c r="G878" s="168"/>
      <c r="L878" s="168"/>
      <c r="N878" s="169"/>
    </row>
    <row r="879">
      <c r="G879" s="168"/>
      <c r="L879" s="168"/>
      <c r="N879" s="169"/>
    </row>
    <row r="880">
      <c r="G880" s="168"/>
      <c r="L880" s="168"/>
      <c r="N880" s="169"/>
    </row>
    <row r="881">
      <c r="G881" s="168"/>
      <c r="L881" s="168"/>
      <c r="N881" s="169"/>
    </row>
    <row r="882">
      <c r="G882" s="168"/>
      <c r="L882" s="168"/>
      <c r="N882" s="169"/>
    </row>
    <row r="883">
      <c r="G883" s="168"/>
      <c r="L883" s="168"/>
      <c r="N883" s="169"/>
    </row>
    <row r="884">
      <c r="G884" s="168"/>
      <c r="L884" s="168"/>
      <c r="N884" s="169"/>
    </row>
    <row r="885">
      <c r="G885" s="168"/>
      <c r="L885" s="168"/>
      <c r="N885" s="169"/>
    </row>
    <row r="886">
      <c r="G886" s="168"/>
      <c r="L886" s="168"/>
      <c r="N886" s="169"/>
    </row>
    <row r="887">
      <c r="G887" s="168"/>
      <c r="L887" s="168"/>
      <c r="N887" s="169"/>
    </row>
    <row r="888">
      <c r="G888" s="168"/>
      <c r="L888" s="168"/>
      <c r="N888" s="169"/>
    </row>
    <row r="889">
      <c r="G889" s="168"/>
      <c r="L889" s="168"/>
      <c r="N889" s="169"/>
    </row>
    <row r="890">
      <c r="G890" s="168"/>
      <c r="L890" s="168"/>
      <c r="N890" s="169"/>
    </row>
    <row r="891">
      <c r="G891" s="168"/>
      <c r="L891" s="168"/>
      <c r="N891" s="169"/>
    </row>
    <row r="892">
      <c r="G892" s="168"/>
      <c r="L892" s="168"/>
      <c r="N892" s="169"/>
    </row>
    <row r="893">
      <c r="G893" s="168"/>
      <c r="L893" s="168"/>
      <c r="N893" s="169"/>
    </row>
    <row r="894">
      <c r="G894" s="168"/>
      <c r="L894" s="168"/>
      <c r="N894" s="169"/>
    </row>
    <row r="895">
      <c r="G895" s="168"/>
      <c r="L895" s="168"/>
      <c r="N895" s="169"/>
    </row>
    <row r="896">
      <c r="G896" s="168"/>
      <c r="L896" s="168"/>
      <c r="N896" s="169"/>
    </row>
    <row r="897">
      <c r="G897" s="168"/>
      <c r="L897" s="168"/>
      <c r="N897" s="169"/>
    </row>
    <row r="898">
      <c r="G898" s="168"/>
      <c r="L898" s="168"/>
      <c r="N898" s="169"/>
    </row>
    <row r="899">
      <c r="G899" s="168"/>
      <c r="L899" s="168"/>
      <c r="N899" s="169"/>
    </row>
    <row r="900">
      <c r="G900" s="168"/>
      <c r="L900" s="168"/>
      <c r="N900" s="169"/>
    </row>
    <row r="901">
      <c r="G901" s="168"/>
      <c r="L901" s="168"/>
      <c r="N901" s="169"/>
    </row>
    <row r="902">
      <c r="G902" s="168"/>
      <c r="L902" s="168"/>
      <c r="N902" s="169"/>
    </row>
    <row r="903">
      <c r="G903" s="168"/>
      <c r="L903" s="168"/>
      <c r="N903" s="169"/>
    </row>
    <row r="904">
      <c r="G904" s="168"/>
      <c r="L904" s="168"/>
      <c r="N904" s="169"/>
    </row>
    <row r="905">
      <c r="G905" s="168"/>
      <c r="L905" s="168"/>
      <c r="N905" s="169"/>
    </row>
    <row r="906">
      <c r="G906" s="168"/>
      <c r="L906" s="168"/>
      <c r="N906" s="169"/>
    </row>
    <row r="907">
      <c r="G907" s="168"/>
      <c r="L907" s="168"/>
      <c r="N907" s="169"/>
    </row>
    <row r="908">
      <c r="G908" s="168"/>
      <c r="L908" s="168"/>
      <c r="N908" s="169"/>
    </row>
    <row r="909">
      <c r="G909" s="168"/>
      <c r="L909" s="168"/>
      <c r="N909" s="169"/>
    </row>
    <row r="910">
      <c r="G910" s="168"/>
      <c r="L910" s="168"/>
      <c r="N910" s="169"/>
    </row>
    <row r="911">
      <c r="G911" s="168"/>
      <c r="L911" s="168"/>
      <c r="N911" s="169"/>
    </row>
    <row r="912">
      <c r="G912" s="168"/>
      <c r="L912" s="168"/>
      <c r="N912" s="169"/>
    </row>
    <row r="913">
      <c r="G913" s="168"/>
      <c r="L913" s="168"/>
      <c r="N913" s="169"/>
    </row>
    <row r="914">
      <c r="G914" s="168"/>
      <c r="L914" s="168"/>
      <c r="N914" s="169"/>
    </row>
    <row r="915">
      <c r="G915" s="168"/>
      <c r="L915" s="168"/>
      <c r="N915" s="169"/>
    </row>
    <row r="916">
      <c r="G916" s="168"/>
      <c r="L916" s="168"/>
      <c r="N916" s="169"/>
    </row>
    <row r="917">
      <c r="G917" s="168"/>
      <c r="L917" s="168"/>
      <c r="N917" s="169"/>
    </row>
    <row r="918">
      <c r="G918" s="168"/>
      <c r="L918" s="168"/>
      <c r="N918" s="169"/>
    </row>
    <row r="919">
      <c r="G919" s="168"/>
      <c r="L919" s="168"/>
      <c r="N919" s="169"/>
    </row>
    <row r="920">
      <c r="G920" s="168"/>
      <c r="L920" s="168"/>
      <c r="N920" s="169"/>
    </row>
    <row r="921">
      <c r="G921" s="168"/>
      <c r="L921" s="168"/>
      <c r="N921" s="169"/>
    </row>
    <row r="922">
      <c r="G922" s="168"/>
      <c r="L922" s="168"/>
      <c r="N922" s="169"/>
    </row>
    <row r="923">
      <c r="G923" s="168"/>
      <c r="L923" s="168"/>
      <c r="N923" s="169"/>
    </row>
    <row r="924">
      <c r="G924" s="168"/>
      <c r="L924" s="168"/>
      <c r="N924" s="169"/>
    </row>
    <row r="925">
      <c r="G925" s="168"/>
      <c r="L925" s="168"/>
      <c r="N925" s="169"/>
    </row>
    <row r="926">
      <c r="G926" s="168"/>
      <c r="L926" s="168"/>
      <c r="N926" s="169"/>
    </row>
    <row r="927">
      <c r="G927" s="168"/>
      <c r="L927" s="168"/>
      <c r="N927" s="169"/>
    </row>
    <row r="928">
      <c r="G928" s="168"/>
      <c r="L928" s="168"/>
      <c r="N928" s="169"/>
    </row>
    <row r="929">
      <c r="G929" s="168"/>
      <c r="L929" s="168"/>
      <c r="N929" s="169"/>
    </row>
    <row r="930">
      <c r="G930" s="168"/>
      <c r="L930" s="168"/>
      <c r="N930" s="169"/>
    </row>
    <row r="931">
      <c r="G931" s="168"/>
      <c r="L931" s="168"/>
      <c r="N931" s="169"/>
    </row>
    <row r="932">
      <c r="G932" s="168"/>
      <c r="L932" s="168"/>
      <c r="N932" s="169"/>
    </row>
    <row r="933">
      <c r="G933" s="168"/>
      <c r="L933" s="168"/>
      <c r="N933" s="169"/>
    </row>
    <row r="934">
      <c r="G934" s="168"/>
      <c r="L934" s="168"/>
      <c r="N934" s="169"/>
    </row>
    <row r="935">
      <c r="G935" s="168"/>
      <c r="L935" s="168"/>
      <c r="N935" s="169"/>
    </row>
    <row r="936">
      <c r="G936" s="168"/>
      <c r="L936" s="168"/>
      <c r="N936" s="169"/>
    </row>
    <row r="937">
      <c r="G937" s="168"/>
      <c r="L937" s="168"/>
      <c r="N937" s="169"/>
    </row>
    <row r="938">
      <c r="G938" s="168"/>
      <c r="L938" s="168"/>
      <c r="N938" s="169"/>
    </row>
    <row r="939">
      <c r="G939" s="168"/>
      <c r="L939" s="168"/>
      <c r="N939" s="169"/>
    </row>
    <row r="940">
      <c r="G940" s="168"/>
      <c r="L940" s="168"/>
      <c r="N940" s="169"/>
    </row>
    <row r="941">
      <c r="G941" s="168"/>
      <c r="L941" s="168"/>
      <c r="N941" s="169"/>
    </row>
    <row r="942">
      <c r="G942" s="168"/>
      <c r="L942" s="168"/>
      <c r="N942" s="169"/>
    </row>
    <row r="943">
      <c r="G943" s="168"/>
      <c r="L943" s="168"/>
      <c r="N943" s="169"/>
    </row>
    <row r="944">
      <c r="G944" s="168"/>
      <c r="L944" s="168"/>
      <c r="N944" s="169"/>
    </row>
    <row r="945">
      <c r="G945" s="168"/>
      <c r="L945" s="168"/>
      <c r="N945" s="169"/>
    </row>
    <row r="946">
      <c r="G946" s="168"/>
      <c r="L946" s="168"/>
      <c r="N946" s="169"/>
    </row>
    <row r="947">
      <c r="G947" s="168"/>
      <c r="L947" s="168"/>
      <c r="N947" s="169"/>
    </row>
    <row r="948">
      <c r="G948" s="168"/>
      <c r="L948" s="168"/>
      <c r="N948" s="169"/>
    </row>
    <row r="949">
      <c r="G949" s="168"/>
      <c r="L949" s="168"/>
      <c r="N949" s="169"/>
    </row>
    <row r="950">
      <c r="G950" s="168"/>
      <c r="L950" s="168"/>
      <c r="N950" s="169"/>
    </row>
    <row r="951">
      <c r="G951" s="168"/>
      <c r="L951" s="168"/>
      <c r="N951" s="169"/>
    </row>
    <row r="952">
      <c r="G952" s="168"/>
      <c r="L952" s="168"/>
      <c r="N952" s="169"/>
    </row>
    <row r="953">
      <c r="G953" s="168"/>
      <c r="L953" s="168"/>
      <c r="N953" s="169"/>
    </row>
    <row r="954">
      <c r="G954" s="168"/>
      <c r="L954" s="168"/>
      <c r="N954" s="169"/>
    </row>
    <row r="955">
      <c r="G955" s="168"/>
      <c r="L955" s="168"/>
      <c r="N955" s="169"/>
    </row>
    <row r="956">
      <c r="G956" s="168"/>
      <c r="L956" s="168"/>
      <c r="N956" s="169"/>
    </row>
    <row r="957">
      <c r="G957" s="168"/>
      <c r="L957" s="168"/>
      <c r="N957" s="169"/>
    </row>
    <row r="958">
      <c r="G958" s="168"/>
      <c r="L958" s="168"/>
      <c r="N958" s="169"/>
    </row>
    <row r="959">
      <c r="G959" s="168"/>
      <c r="L959" s="168"/>
      <c r="N959" s="169"/>
    </row>
    <row r="960">
      <c r="G960" s="168"/>
      <c r="L960" s="168"/>
      <c r="N960" s="169"/>
    </row>
    <row r="961">
      <c r="G961" s="168"/>
      <c r="L961" s="168"/>
      <c r="N961" s="169"/>
    </row>
    <row r="962">
      <c r="G962" s="168"/>
      <c r="L962" s="168"/>
      <c r="N962" s="169"/>
    </row>
    <row r="963">
      <c r="G963" s="168"/>
      <c r="L963" s="168"/>
      <c r="N963" s="169"/>
    </row>
    <row r="964">
      <c r="G964" s="168"/>
      <c r="L964" s="168"/>
      <c r="N964" s="169"/>
    </row>
    <row r="965">
      <c r="G965" s="168"/>
      <c r="L965" s="168"/>
      <c r="N965" s="169"/>
    </row>
    <row r="966">
      <c r="G966" s="168"/>
      <c r="L966" s="168"/>
      <c r="N966" s="169"/>
    </row>
    <row r="967">
      <c r="G967" s="168"/>
      <c r="L967" s="168"/>
      <c r="N967" s="169"/>
    </row>
    <row r="968">
      <c r="G968" s="168"/>
      <c r="L968" s="168"/>
      <c r="N968" s="169"/>
    </row>
    <row r="969">
      <c r="G969" s="168"/>
      <c r="L969" s="168"/>
      <c r="N969" s="169"/>
    </row>
    <row r="970">
      <c r="G970" s="168"/>
      <c r="L970" s="168"/>
      <c r="N970" s="169"/>
    </row>
    <row r="971">
      <c r="G971" s="168"/>
      <c r="L971" s="168"/>
      <c r="N971" s="169"/>
    </row>
    <row r="972">
      <c r="G972" s="168"/>
      <c r="L972" s="168"/>
      <c r="N972" s="169"/>
    </row>
    <row r="973">
      <c r="G973" s="168"/>
      <c r="L973" s="168"/>
      <c r="N973" s="169"/>
    </row>
    <row r="974">
      <c r="G974" s="168"/>
      <c r="L974" s="168"/>
      <c r="N974" s="169"/>
    </row>
    <row r="975">
      <c r="G975" s="168"/>
      <c r="L975" s="168"/>
      <c r="N975" s="169"/>
    </row>
    <row r="976">
      <c r="G976" s="168"/>
      <c r="L976" s="168"/>
      <c r="N976" s="169"/>
    </row>
    <row r="977">
      <c r="G977" s="168"/>
      <c r="L977" s="168"/>
      <c r="N977" s="169"/>
    </row>
    <row r="978">
      <c r="G978" s="168"/>
      <c r="L978" s="168"/>
      <c r="N978" s="169"/>
    </row>
    <row r="979">
      <c r="G979" s="168"/>
      <c r="L979" s="168"/>
      <c r="N979" s="169"/>
    </row>
    <row r="980">
      <c r="G980" s="168"/>
      <c r="L980" s="168"/>
      <c r="N980" s="169"/>
    </row>
    <row r="981">
      <c r="G981" s="168"/>
      <c r="L981" s="168"/>
      <c r="N981" s="169"/>
    </row>
    <row r="982">
      <c r="G982" s="168"/>
      <c r="L982" s="168"/>
      <c r="N982" s="169"/>
    </row>
    <row r="983">
      <c r="G983" s="168"/>
      <c r="L983" s="168"/>
      <c r="N983" s="169"/>
    </row>
    <row r="984">
      <c r="G984" s="168"/>
      <c r="L984" s="168"/>
      <c r="N984" s="169"/>
    </row>
    <row r="985">
      <c r="G985" s="168"/>
      <c r="L985" s="168"/>
      <c r="N985" s="169"/>
    </row>
    <row r="986">
      <c r="G986" s="168"/>
      <c r="L986" s="168"/>
      <c r="N986" s="169"/>
    </row>
    <row r="987">
      <c r="G987" s="168"/>
      <c r="L987" s="168"/>
      <c r="N987" s="169"/>
    </row>
    <row r="988">
      <c r="G988" s="168"/>
      <c r="L988" s="168"/>
      <c r="N988" s="169"/>
    </row>
    <row r="989">
      <c r="G989" s="168"/>
      <c r="L989" s="168"/>
      <c r="N989" s="169"/>
    </row>
    <row r="990">
      <c r="G990" s="168"/>
      <c r="L990" s="168"/>
      <c r="N990" s="169"/>
    </row>
    <row r="991">
      <c r="G991" s="168"/>
      <c r="L991" s="168"/>
      <c r="N991" s="169"/>
    </row>
    <row r="992">
      <c r="G992" s="168"/>
      <c r="L992" s="168"/>
      <c r="N992" s="169"/>
    </row>
    <row r="993">
      <c r="G993" s="168"/>
      <c r="L993" s="168"/>
      <c r="N993" s="169"/>
    </row>
    <row r="994">
      <c r="G994" s="168"/>
      <c r="L994" s="168"/>
      <c r="N994" s="169"/>
    </row>
    <row r="995">
      <c r="G995" s="168"/>
      <c r="L995" s="168"/>
      <c r="N995" s="169"/>
    </row>
    <row r="996">
      <c r="G996" s="168"/>
      <c r="L996" s="168"/>
      <c r="N996" s="169"/>
    </row>
    <row r="997">
      <c r="G997" s="168"/>
      <c r="L997" s="168"/>
      <c r="N997" s="169"/>
    </row>
    <row r="998">
      <c r="G998" s="168"/>
      <c r="L998" s="168"/>
      <c r="N998" s="169"/>
    </row>
    <row r="999">
      <c r="G999" s="168"/>
      <c r="L999" s="168"/>
      <c r="N999" s="169"/>
    </row>
    <row r="1000">
      <c r="G1000" s="168"/>
      <c r="L1000" s="168"/>
      <c r="N1000" s="169"/>
    </row>
    <row r="1001">
      <c r="G1001" s="168"/>
      <c r="L1001" s="168"/>
      <c r="N1001" s="169"/>
    </row>
    <row r="1002">
      <c r="G1002" s="168"/>
      <c r="L1002" s="168"/>
      <c r="N1002" s="169"/>
    </row>
    <row r="1003">
      <c r="G1003" s="168"/>
      <c r="L1003" s="168"/>
      <c r="N1003" s="169"/>
    </row>
    <row r="1004">
      <c r="G1004" s="168"/>
      <c r="L1004" s="168"/>
      <c r="N1004" s="169"/>
    </row>
    <row r="1005">
      <c r="G1005" s="168"/>
      <c r="L1005" s="168"/>
      <c r="N1005" s="169"/>
    </row>
    <row r="1006">
      <c r="G1006" s="168"/>
      <c r="L1006" s="168"/>
      <c r="N1006" s="169"/>
    </row>
    <row r="1007">
      <c r="G1007" s="168"/>
      <c r="L1007" s="168"/>
      <c r="N1007" s="169"/>
    </row>
    <row r="1008">
      <c r="G1008" s="168"/>
      <c r="L1008" s="168"/>
      <c r="N1008" s="169"/>
    </row>
    <row r="1009">
      <c r="G1009" s="168"/>
      <c r="L1009" s="168"/>
      <c r="N1009" s="169"/>
    </row>
    <row r="1010">
      <c r="G1010" s="168"/>
      <c r="L1010" s="168"/>
      <c r="N1010" s="169"/>
    </row>
    <row r="1011">
      <c r="G1011" s="168"/>
      <c r="L1011" s="168"/>
      <c r="N1011" s="169"/>
    </row>
    <row r="1012">
      <c r="G1012" s="168"/>
      <c r="L1012" s="168"/>
      <c r="N1012" s="169"/>
    </row>
    <row r="1013">
      <c r="G1013" s="168"/>
      <c r="L1013" s="168"/>
      <c r="N1013" s="169"/>
    </row>
    <row r="1014">
      <c r="G1014" s="168"/>
      <c r="L1014" s="168"/>
      <c r="N1014" s="169"/>
    </row>
    <row r="1015">
      <c r="G1015" s="168"/>
      <c r="L1015" s="168"/>
      <c r="N1015" s="169"/>
    </row>
    <row r="1016">
      <c r="G1016" s="168"/>
      <c r="L1016" s="168"/>
      <c r="N1016" s="169"/>
    </row>
    <row r="1017">
      <c r="G1017" s="168"/>
      <c r="L1017" s="168"/>
      <c r="N1017" s="169"/>
    </row>
    <row r="1018">
      <c r="G1018" s="168"/>
      <c r="L1018" s="168"/>
      <c r="N1018" s="169"/>
    </row>
    <row r="1019">
      <c r="G1019" s="168"/>
      <c r="L1019" s="168"/>
      <c r="N1019" s="169"/>
    </row>
    <row r="1020">
      <c r="G1020" s="168"/>
      <c r="L1020" s="168"/>
      <c r="N1020" s="169"/>
    </row>
    <row r="1021">
      <c r="G1021" s="168"/>
      <c r="L1021" s="168"/>
      <c r="N1021" s="169"/>
    </row>
    <row r="1022">
      <c r="G1022" s="168"/>
      <c r="L1022" s="168"/>
      <c r="N1022" s="169"/>
    </row>
    <row r="1023">
      <c r="G1023" s="168"/>
      <c r="L1023" s="168"/>
      <c r="N1023" s="169"/>
    </row>
    <row r="1024">
      <c r="G1024" s="168"/>
      <c r="L1024" s="168"/>
      <c r="N1024" s="169"/>
    </row>
    <row r="1025">
      <c r="G1025" s="168"/>
      <c r="L1025" s="168"/>
      <c r="N1025" s="169"/>
    </row>
    <row r="1026">
      <c r="G1026" s="168"/>
      <c r="L1026" s="168"/>
      <c r="N1026" s="169"/>
    </row>
    <row r="1027">
      <c r="G1027" s="168"/>
      <c r="L1027" s="168"/>
      <c r="N1027" s="169"/>
    </row>
    <row r="1028">
      <c r="G1028" s="168"/>
      <c r="L1028" s="168"/>
      <c r="N1028" s="169"/>
    </row>
    <row r="1029">
      <c r="G1029" s="168"/>
      <c r="L1029" s="168"/>
      <c r="N1029" s="169"/>
    </row>
    <row r="1030">
      <c r="G1030" s="168"/>
      <c r="L1030" s="168"/>
      <c r="N1030" s="169"/>
    </row>
    <row r="1031">
      <c r="G1031" s="168"/>
      <c r="L1031" s="168"/>
      <c r="N1031" s="169"/>
    </row>
    <row r="1032">
      <c r="G1032" s="168"/>
      <c r="L1032" s="168"/>
      <c r="N1032" s="169"/>
    </row>
    <row r="1033">
      <c r="G1033" s="168"/>
      <c r="L1033" s="168"/>
      <c r="N1033" s="169"/>
    </row>
    <row r="1034">
      <c r="G1034" s="168"/>
      <c r="L1034" s="168"/>
      <c r="N1034" s="169"/>
    </row>
    <row r="1035">
      <c r="G1035" s="168"/>
      <c r="L1035" s="168"/>
      <c r="N1035" s="169"/>
    </row>
    <row r="1036">
      <c r="G1036" s="168"/>
      <c r="L1036" s="168"/>
      <c r="N1036" s="169"/>
    </row>
    <row r="1037">
      <c r="G1037" s="168"/>
      <c r="L1037" s="168"/>
      <c r="N1037" s="169"/>
    </row>
    <row r="1038">
      <c r="G1038" s="168"/>
      <c r="L1038" s="168"/>
      <c r="N1038" s="169"/>
    </row>
    <row r="1039">
      <c r="G1039" s="168"/>
      <c r="L1039" s="168"/>
      <c r="N1039" s="169"/>
    </row>
    <row r="1040">
      <c r="G1040" s="168"/>
      <c r="L1040" s="168"/>
      <c r="N1040" s="169"/>
    </row>
    <row r="1041">
      <c r="G1041" s="168"/>
      <c r="L1041" s="168"/>
      <c r="N1041" s="169"/>
    </row>
    <row r="1042">
      <c r="G1042" s="168"/>
      <c r="L1042" s="168"/>
      <c r="N1042" s="169"/>
    </row>
    <row r="1043">
      <c r="G1043" s="168"/>
      <c r="L1043" s="168"/>
      <c r="N1043" s="169"/>
    </row>
    <row r="1044">
      <c r="G1044" s="168"/>
      <c r="L1044" s="168"/>
      <c r="N1044" s="169"/>
    </row>
    <row r="1045">
      <c r="G1045" s="168"/>
      <c r="L1045" s="168"/>
      <c r="N1045" s="169"/>
    </row>
    <row r="1046">
      <c r="G1046" s="168"/>
      <c r="L1046" s="168"/>
      <c r="N1046" s="169"/>
    </row>
    <row r="1047">
      <c r="G1047" s="168"/>
      <c r="L1047" s="168"/>
      <c r="N1047" s="169"/>
    </row>
    <row r="1048">
      <c r="G1048" s="168"/>
      <c r="L1048" s="168"/>
      <c r="N1048" s="169"/>
    </row>
    <row r="1049">
      <c r="G1049" s="168"/>
      <c r="L1049" s="168"/>
      <c r="N1049" s="169"/>
    </row>
    <row r="1050">
      <c r="G1050" s="168"/>
      <c r="L1050" s="168"/>
      <c r="N1050" s="169"/>
    </row>
    <row r="1051">
      <c r="G1051" s="168"/>
      <c r="L1051" s="168"/>
      <c r="N1051" s="169"/>
    </row>
    <row r="1052">
      <c r="G1052" s="168"/>
      <c r="L1052" s="168"/>
      <c r="N1052" s="169"/>
    </row>
    <row r="1053">
      <c r="G1053" s="168"/>
      <c r="L1053" s="168"/>
      <c r="N1053" s="169"/>
    </row>
    <row r="1054">
      <c r="G1054" s="168"/>
      <c r="L1054" s="168"/>
      <c r="N1054" s="169"/>
    </row>
    <row r="1055">
      <c r="G1055" s="168"/>
      <c r="L1055" s="168"/>
      <c r="N1055" s="169"/>
    </row>
    <row r="1056">
      <c r="G1056" s="168"/>
      <c r="L1056" s="168"/>
      <c r="N1056" s="169"/>
    </row>
    <row r="1057">
      <c r="G1057" s="168"/>
      <c r="L1057" s="168"/>
      <c r="N1057" s="169"/>
    </row>
    <row r="1058">
      <c r="G1058" s="168"/>
      <c r="L1058" s="168"/>
      <c r="N1058" s="169"/>
    </row>
    <row r="1059">
      <c r="G1059" s="168"/>
      <c r="L1059" s="168"/>
      <c r="N1059" s="169"/>
    </row>
    <row r="1060">
      <c r="G1060" s="168"/>
      <c r="L1060" s="168"/>
      <c r="N1060" s="169"/>
    </row>
    <row r="1061">
      <c r="G1061" s="168"/>
      <c r="L1061" s="168"/>
      <c r="N1061" s="169"/>
    </row>
    <row r="1062">
      <c r="G1062" s="168"/>
      <c r="L1062" s="168"/>
      <c r="N1062" s="169"/>
    </row>
    <row r="1063">
      <c r="G1063" s="168"/>
      <c r="L1063" s="168"/>
      <c r="N1063" s="169"/>
    </row>
    <row r="1064">
      <c r="G1064" s="168"/>
      <c r="L1064" s="168"/>
      <c r="N1064" s="169"/>
    </row>
    <row r="1065">
      <c r="G1065" s="168"/>
      <c r="L1065" s="168"/>
      <c r="N1065" s="169"/>
    </row>
    <row r="1066">
      <c r="G1066" s="168"/>
      <c r="L1066" s="168"/>
      <c r="N1066" s="169"/>
    </row>
    <row r="1067">
      <c r="G1067" s="168"/>
      <c r="L1067" s="168"/>
      <c r="N1067" s="169"/>
    </row>
    <row r="1068">
      <c r="G1068" s="168"/>
      <c r="L1068" s="168"/>
      <c r="N1068" s="169"/>
    </row>
    <row r="1069">
      <c r="G1069" s="168"/>
      <c r="L1069" s="168"/>
      <c r="N1069" s="169"/>
    </row>
    <row r="1070">
      <c r="G1070" s="168"/>
      <c r="L1070" s="168"/>
      <c r="N1070" s="169"/>
    </row>
    <row r="1071">
      <c r="G1071" s="168"/>
      <c r="L1071" s="168"/>
      <c r="N1071" s="169"/>
    </row>
    <row r="1072">
      <c r="G1072" s="168"/>
      <c r="L1072" s="168"/>
      <c r="N1072" s="169"/>
    </row>
    <row r="1073">
      <c r="G1073" s="168"/>
      <c r="L1073" s="168"/>
      <c r="N1073" s="169"/>
    </row>
    <row r="1074">
      <c r="G1074" s="168"/>
      <c r="L1074" s="168"/>
      <c r="N1074" s="169"/>
    </row>
    <row r="1075">
      <c r="G1075" s="168"/>
      <c r="L1075" s="168"/>
      <c r="N1075" s="169"/>
    </row>
    <row r="1076">
      <c r="G1076" s="168"/>
      <c r="L1076" s="168"/>
      <c r="N1076" s="169"/>
    </row>
    <row r="1077">
      <c r="G1077" s="168"/>
      <c r="L1077" s="168"/>
      <c r="N1077" s="169"/>
    </row>
    <row r="1078">
      <c r="G1078" s="168"/>
      <c r="L1078" s="168"/>
      <c r="N1078" s="169"/>
    </row>
    <row r="1079">
      <c r="G1079" s="168"/>
      <c r="L1079" s="168"/>
      <c r="N1079" s="169"/>
    </row>
    <row r="1080">
      <c r="G1080" s="168"/>
      <c r="L1080" s="168"/>
      <c r="N1080" s="169"/>
    </row>
    <row r="1081">
      <c r="G1081" s="168"/>
      <c r="L1081" s="168"/>
      <c r="N1081" s="169"/>
    </row>
    <row r="1082">
      <c r="G1082" s="168"/>
      <c r="L1082" s="168"/>
      <c r="N1082" s="169"/>
    </row>
    <row r="1083">
      <c r="G1083" s="168"/>
      <c r="L1083" s="168"/>
      <c r="N1083" s="169"/>
    </row>
    <row r="1084">
      <c r="G1084" s="168"/>
      <c r="L1084" s="168"/>
      <c r="N1084" s="169"/>
    </row>
    <row r="1085">
      <c r="G1085" s="168"/>
      <c r="L1085" s="168"/>
      <c r="N1085" s="169"/>
    </row>
    <row r="1086">
      <c r="G1086" s="168"/>
      <c r="L1086" s="168"/>
      <c r="N1086" s="169"/>
    </row>
    <row r="1087">
      <c r="G1087" s="168"/>
      <c r="L1087" s="168"/>
      <c r="N1087" s="169"/>
    </row>
    <row r="1088">
      <c r="G1088" s="168"/>
      <c r="L1088" s="168"/>
      <c r="N1088" s="169"/>
    </row>
    <row r="1089">
      <c r="G1089" s="168"/>
      <c r="L1089" s="168"/>
      <c r="N1089" s="169"/>
    </row>
    <row r="1090">
      <c r="G1090" s="168"/>
      <c r="L1090" s="168"/>
      <c r="N1090" s="169"/>
    </row>
    <row r="1091">
      <c r="G1091" s="168"/>
      <c r="L1091" s="168"/>
      <c r="N1091" s="169"/>
    </row>
    <row r="1092">
      <c r="G1092" s="168"/>
      <c r="L1092" s="168"/>
      <c r="N1092" s="169"/>
    </row>
    <row r="1093">
      <c r="G1093" s="168"/>
      <c r="L1093" s="168"/>
      <c r="N1093" s="169"/>
    </row>
    <row r="1094">
      <c r="G1094" s="168"/>
      <c r="L1094" s="168"/>
      <c r="N1094" s="169"/>
    </row>
    <row r="1095">
      <c r="G1095" s="168"/>
      <c r="L1095" s="168"/>
      <c r="N1095" s="169"/>
    </row>
    <row r="1096">
      <c r="G1096" s="168"/>
      <c r="L1096" s="168"/>
      <c r="N1096" s="169"/>
    </row>
    <row r="1097">
      <c r="G1097" s="168"/>
      <c r="L1097" s="168"/>
      <c r="N1097" s="169"/>
    </row>
    <row r="1098">
      <c r="G1098" s="168"/>
      <c r="L1098" s="168"/>
      <c r="N1098" s="169"/>
    </row>
    <row r="1099">
      <c r="G1099" s="168"/>
      <c r="L1099" s="168"/>
      <c r="N1099" s="169"/>
    </row>
    <row r="1100">
      <c r="G1100" s="168"/>
      <c r="L1100" s="168"/>
      <c r="N1100" s="169"/>
    </row>
    <row r="1101">
      <c r="G1101" s="168"/>
      <c r="L1101" s="168"/>
      <c r="N1101" s="169"/>
    </row>
    <row r="1102">
      <c r="G1102" s="168"/>
      <c r="L1102" s="168"/>
      <c r="N1102" s="169"/>
    </row>
    <row r="1103">
      <c r="G1103" s="168"/>
      <c r="L1103" s="168"/>
      <c r="N1103" s="169"/>
    </row>
    <row r="1104">
      <c r="G1104" s="168"/>
      <c r="L1104" s="168"/>
      <c r="N1104" s="169"/>
    </row>
    <row r="1105">
      <c r="G1105" s="168"/>
      <c r="L1105" s="168"/>
      <c r="N1105" s="169"/>
    </row>
    <row r="1106">
      <c r="G1106" s="168"/>
      <c r="L1106" s="168"/>
      <c r="N1106" s="169"/>
    </row>
    <row r="1107">
      <c r="G1107" s="168"/>
      <c r="L1107" s="168"/>
      <c r="N1107" s="169"/>
    </row>
    <row r="1108">
      <c r="G1108" s="168"/>
      <c r="L1108" s="168"/>
      <c r="N1108" s="169"/>
    </row>
    <row r="1109">
      <c r="G1109" s="168"/>
      <c r="L1109" s="168"/>
      <c r="N1109" s="169"/>
    </row>
    <row r="1110">
      <c r="G1110" s="168"/>
      <c r="L1110" s="168"/>
      <c r="N1110" s="169"/>
    </row>
    <row r="1111">
      <c r="G1111" s="168"/>
      <c r="L1111" s="168"/>
      <c r="N1111" s="169"/>
    </row>
    <row r="1112">
      <c r="G1112" s="168"/>
      <c r="L1112" s="168"/>
      <c r="N1112" s="169"/>
    </row>
    <row r="1113">
      <c r="G1113" s="168"/>
      <c r="L1113" s="168"/>
      <c r="N1113" s="169"/>
    </row>
    <row r="1114">
      <c r="G1114" s="168"/>
      <c r="L1114" s="168"/>
      <c r="N1114" s="169"/>
    </row>
    <row r="1115">
      <c r="G1115" s="168"/>
      <c r="L1115" s="168"/>
      <c r="N1115" s="169"/>
    </row>
    <row r="1116">
      <c r="G1116" s="168"/>
      <c r="L1116" s="168"/>
      <c r="N1116" s="169"/>
    </row>
    <row r="1117">
      <c r="G1117" s="168"/>
      <c r="L1117" s="168"/>
      <c r="N1117" s="169"/>
    </row>
    <row r="1118">
      <c r="G1118" s="168"/>
      <c r="L1118" s="168"/>
      <c r="N1118" s="169"/>
    </row>
  </sheetData>
  <mergeCells count="2">
    <mergeCell ref="A1:N1"/>
    <mergeCell ref="A265:L26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79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  <c r="P2" s="80">
        <f>185231+340</f>
        <v>185571</v>
      </c>
    </row>
    <row r="3">
      <c r="A3" s="70">
        <v>45967.0</v>
      </c>
      <c r="B3" s="36" t="s">
        <v>11</v>
      </c>
      <c r="C3" s="249">
        <v>193724.0</v>
      </c>
      <c r="D3" s="268">
        <v>194056.0</v>
      </c>
      <c r="E3" s="12">
        <f t="shared" ref="E3:E10" si="1">D3-C3</f>
        <v>332</v>
      </c>
      <c r="F3" s="39">
        <v>35.0</v>
      </c>
      <c r="G3" s="14">
        <f t="shared" ref="G3:G10" si="2">(F3/E3)*100</f>
        <v>10.54216867</v>
      </c>
      <c r="H3" s="275">
        <v>23676.0</v>
      </c>
      <c r="I3" s="138"/>
      <c r="J3" s="41">
        <f t="shared" ref="J3:J8" si="3">I3-H3</f>
        <v>-23676</v>
      </c>
      <c r="K3" s="81">
        <f t="shared" ref="K3:K8" si="4">F3</f>
        <v>35</v>
      </c>
      <c r="L3" s="71">
        <f t="shared" ref="L3:L10" si="5">(K3/J3)*100</f>
        <v>-0.1478290252</v>
      </c>
      <c r="M3" s="72">
        <v>19200.0</v>
      </c>
      <c r="N3" s="131">
        <f t="shared" ref="N3:N10" si="6">F3*M3</f>
        <v>672000</v>
      </c>
    </row>
    <row r="4">
      <c r="A4" s="35">
        <v>45968.0</v>
      </c>
      <c r="B4" s="46" t="s">
        <v>11</v>
      </c>
      <c r="C4" s="268">
        <v>194056.0</v>
      </c>
      <c r="D4" s="52">
        <v>194368.0</v>
      </c>
      <c r="E4" s="12">
        <f t="shared" si="1"/>
        <v>312</v>
      </c>
      <c r="F4" s="47">
        <v>40.0</v>
      </c>
      <c r="G4" s="14">
        <f t="shared" si="2"/>
        <v>12.82051282</v>
      </c>
      <c r="H4" s="52">
        <v>23676.0</v>
      </c>
      <c r="I4" s="40">
        <v>24052.0</v>
      </c>
      <c r="J4" s="37">
        <f t="shared" si="3"/>
        <v>376</v>
      </c>
      <c r="K4" s="52">
        <f t="shared" si="4"/>
        <v>40</v>
      </c>
      <c r="L4" s="48">
        <f t="shared" si="5"/>
        <v>10.63829787</v>
      </c>
      <c r="M4" s="50">
        <v>19320.0</v>
      </c>
      <c r="N4" s="49">
        <f t="shared" si="6"/>
        <v>772800</v>
      </c>
      <c r="O4" s="80">
        <f t="shared" ref="O4:O8" si="7">O3+1</f>
        <v>1</v>
      </c>
      <c r="P4" s="197" t="s">
        <v>12</v>
      </c>
      <c r="Q4" s="251">
        <f>N19</f>
        <v>6552500</v>
      </c>
      <c r="R4" s="251">
        <f t="shared" ref="R4:R8" si="8">Q4</f>
        <v>6552500</v>
      </c>
    </row>
    <row r="5">
      <c r="A5" s="35">
        <v>45973.0</v>
      </c>
      <c r="B5" s="46" t="s">
        <v>11</v>
      </c>
      <c r="C5" s="52">
        <v>194368.0</v>
      </c>
      <c r="D5" s="52">
        <v>194694.0</v>
      </c>
      <c r="E5" s="12">
        <f t="shared" si="1"/>
        <v>326</v>
      </c>
      <c r="F5" s="54">
        <v>40.0</v>
      </c>
      <c r="G5" s="14">
        <f t="shared" si="2"/>
        <v>12.26993865</v>
      </c>
      <c r="H5" s="40">
        <v>24052.0</v>
      </c>
      <c r="I5" s="40">
        <v>24347.0</v>
      </c>
      <c r="J5" s="37">
        <f t="shared" si="3"/>
        <v>295</v>
      </c>
      <c r="K5" s="52">
        <f t="shared" si="4"/>
        <v>40</v>
      </c>
      <c r="L5" s="48">
        <f t="shared" si="5"/>
        <v>13.55932203</v>
      </c>
      <c r="M5" s="252">
        <v>19320.0</v>
      </c>
      <c r="N5" s="49">
        <f t="shared" si="6"/>
        <v>772800</v>
      </c>
      <c r="O5" s="80">
        <f t="shared" si="7"/>
        <v>2</v>
      </c>
      <c r="P5" s="197" t="s">
        <v>13</v>
      </c>
      <c r="Q5" s="251">
        <f>N28</f>
        <v>5415740</v>
      </c>
      <c r="R5" s="251">
        <f t="shared" si="8"/>
        <v>5415740</v>
      </c>
    </row>
    <row r="6">
      <c r="A6" s="35">
        <v>45975.0</v>
      </c>
      <c r="B6" s="46" t="s">
        <v>11</v>
      </c>
      <c r="C6" s="52">
        <v>194694.0</v>
      </c>
      <c r="D6" s="52">
        <v>195022.0</v>
      </c>
      <c r="E6" s="12">
        <f t="shared" si="1"/>
        <v>328</v>
      </c>
      <c r="F6" s="54">
        <v>40.0</v>
      </c>
      <c r="G6" s="14">
        <f t="shared" si="2"/>
        <v>12.19512195</v>
      </c>
      <c r="H6" s="40">
        <v>24347.0</v>
      </c>
      <c r="I6" s="40">
        <v>24703.0</v>
      </c>
      <c r="J6" s="37">
        <f t="shared" si="3"/>
        <v>356</v>
      </c>
      <c r="K6" s="52">
        <f t="shared" si="4"/>
        <v>40</v>
      </c>
      <c r="L6" s="48">
        <f t="shared" si="5"/>
        <v>11.23595506</v>
      </c>
      <c r="M6" s="252">
        <v>19860.0</v>
      </c>
      <c r="N6" s="49">
        <f t="shared" si="6"/>
        <v>794400</v>
      </c>
      <c r="O6" s="80">
        <f t="shared" si="7"/>
        <v>3</v>
      </c>
      <c r="P6" s="197" t="s">
        <v>14</v>
      </c>
      <c r="Q6" s="251">
        <f>N36</f>
        <v>4388400</v>
      </c>
      <c r="R6" s="251">
        <f t="shared" si="8"/>
        <v>4388400</v>
      </c>
    </row>
    <row r="7">
      <c r="A7" s="35">
        <v>45981.0</v>
      </c>
      <c r="B7" s="46" t="s">
        <v>11</v>
      </c>
      <c r="C7" s="52">
        <v>195022.0</v>
      </c>
      <c r="D7" s="52">
        <v>195345.0</v>
      </c>
      <c r="E7" s="12">
        <f t="shared" si="1"/>
        <v>323</v>
      </c>
      <c r="F7" s="54">
        <v>40.0</v>
      </c>
      <c r="G7" s="14">
        <f t="shared" si="2"/>
        <v>12.38390093</v>
      </c>
      <c r="H7" s="40">
        <v>24703.0</v>
      </c>
      <c r="I7" s="40">
        <v>25036.0</v>
      </c>
      <c r="J7" s="37">
        <f t="shared" si="3"/>
        <v>333</v>
      </c>
      <c r="K7" s="52">
        <f t="shared" si="4"/>
        <v>40</v>
      </c>
      <c r="L7" s="48">
        <f t="shared" si="5"/>
        <v>12.01201201</v>
      </c>
      <c r="M7" s="252">
        <v>19820.0</v>
      </c>
      <c r="N7" s="49">
        <f t="shared" si="6"/>
        <v>792800</v>
      </c>
      <c r="O7" s="80">
        <f t="shared" si="7"/>
        <v>4</v>
      </c>
      <c r="P7" s="197" t="s">
        <v>15</v>
      </c>
      <c r="Q7" s="251">
        <f>N45</f>
        <v>5563840</v>
      </c>
      <c r="R7" s="251">
        <f t="shared" si="8"/>
        <v>5563840</v>
      </c>
    </row>
    <row r="8">
      <c r="A8" s="35">
        <v>45988.0</v>
      </c>
      <c r="B8" s="46" t="s">
        <v>11</v>
      </c>
      <c r="C8" s="52">
        <v>195345.0</v>
      </c>
      <c r="D8" s="52">
        <v>195659.0</v>
      </c>
      <c r="E8" s="12">
        <f t="shared" si="1"/>
        <v>314</v>
      </c>
      <c r="F8" s="54">
        <v>40.0</v>
      </c>
      <c r="G8" s="14">
        <f t="shared" si="2"/>
        <v>12.7388535</v>
      </c>
      <c r="H8" s="40">
        <v>25036.0</v>
      </c>
      <c r="I8" s="40">
        <v>25366.0</v>
      </c>
      <c r="J8" s="37">
        <f t="shared" si="3"/>
        <v>330</v>
      </c>
      <c r="K8" s="52">
        <f t="shared" si="4"/>
        <v>40</v>
      </c>
      <c r="L8" s="48">
        <f t="shared" si="5"/>
        <v>12.12121212</v>
      </c>
      <c r="M8" s="252">
        <v>19820.0</v>
      </c>
      <c r="N8" s="49">
        <f t="shared" si="6"/>
        <v>792800</v>
      </c>
      <c r="O8" s="80">
        <f t="shared" si="7"/>
        <v>5</v>
      </c>
      <c r="P8" s="197" t="s">
        <v>16</v>
      </c>
      <c r="Q8" s="251">
        <f>N56</f>
        <v>6422520</v>
      </c>
      <c r="R8" s="251">
        <f t="shared" si="8"/>
        <v>6422520</v>
      </c>
    </row>
    <row r="9">
      <c r="A9" s="35"/>
      <c r="B9" s="46" t="s">
        <v>11</v>
      </c>
      <c r="C9" s="52"/>
      <c r="D9" s="249"/>
      <c r="E9" s="12">
        <f t="shared" si="1"/>
        <v>0</v>
      </c>
      <c r="F9" s="253"/>
      <c r="G9" s="14" t="str">
        <f t="shared" si="2"/>
        <v>#DIV/0!</v>
      </c>
      <c r="H9" s="55"/>
      <c r="I9" s="85"/>
      <c r="J9" s="37"/>
      <c r="K9" s="52"/>
      <c r="L9" s="48" t="str">
        <f t="shared" si="5"/>
        <v>#DIV/0!</v>
      </c>
      <c r="M9" s="254"/>
      <c r="N9" s="49">
        <f t="shared" si="6"/>
        <v>0</v>
      </c>
      <c r="P9" s="197"/>
    </row>
    <row r="10">
      <c r="A10" s="35"/>
      <c r="B10" s="83" t="s">
        <v>11</v>
      </c>
      <c r="C10" s="249"/>
      <c r="D10" s="249"/>
      <c r="E10" s="25">
        <f t="shared" si="1"/>
        <v>0</v>
      </c>
      <c r="F10" s="253"/>
      <c r="G10" s="56" t="str">
        <f t="shared" si="2"/>
        <v>#DIV/0!</v>
      </c>
      <c r="H10" s="55"/>
      <c r="I10" s="85"/>
      <c r="J10" s="37">
        <f>I10-H10</f>
        <v>0</v>
      </c>
      <c r="K10" s="52" t="str">
        <f>F10</f>
        <v/>
      </c>
      <c r="L10" s="48" t="str">
        <f t="shared" si="5"/>
        <v>#DIV/0!</v>
      </c>
      <c r="M10" s="254"/>
      <c r="N10" s="59">
        <f t="shared" si="6"/>
        <v>0</v>
      </c>
      <c r="O10" s="80">
        <f>O8+1</f>
        <v>6</v>
      </c>
      <c r="P10" s="197" t="s">
        <v>18</v>
      </c>
      <c r="Q10" s="251">
        <f>N66</f>
        <v>5119880</v>
      </c>
      <c r="R10" s="251">
        <f t="shared" ref="R10:R15" si="11">Q10</f>
        <v>5119880</v>
      </c>
    </row>
    <row r="11">
      <c r="A11" s="62"/>
      <c r="B11" s="63"/>
      <c r="C11" s="62"/>
      <c r="D11" s="64" t="s">
        <v>19</v>
      </c>
      <c r="E11" s="64">
        <f t="shared" ref="E11:F11" si="9">sum(E3:E10)</f>
        <v>1935</v>
      </c>
      <c r="F11" s="64">
        <f t="shared" si="9"/>
        <v>235</v>
      </c>
      <c r="G11" s="65" t="str">
        <f>average(G3:G10)</f>
        <v>#DIV/0!</v>
      </c>
      <c r="H11" s="62"/>
      <c r="I11" s="66"/>
      <c r="J11" s="64">
        <f t="shared" ref="J11:K11" si="10">sum(J3:J10)</f>
        <v>-21986</v>
      </c>
      <c r="K11" s="64">
        <f t="shared" si="10"/>
        <v>235</v>
      </c>
      <c r="L11" s="65" t="str">
        <f>average(L3:L10)</f>
        <v>#DIV/0!</v>
      </c>
      <c r="M11" s="68"/>
      <c r="N11" s="69">
        <f>sum(N3:N10)</f>
        <v>4597600</v>
      </c>
      <c r="O11" s="80">
        <f t="shared" ref="O11:O27" si="12">O10+1</f>
        <v>7</v>
      </c>
      <c r="P11" s="197" t="s">
        <v>20</v>
      </c>
      <c r="Q11" s="251">
        <f>N74</f>
        <v>4404740</v>
      </c>
      <c r="R11" s="251">
        <f t="shared" si="11"/>
        <v>4404740</v>
      </c>
    </row>
    <row r="12">
      <c r="A12" s="264">
        <v>45962.0</v>
      </c>
      <c r="B12" s="36" t="s">
        <v>12</v>
      </c>
      <c r="C12" s="37">
        <v>156415.0</v>
      </c>
      <c r="D12" s="89">
        <v>156783.0</v>
      </c>
      <c r="E12" s="38">
        <f t="shared" ref="E12:E18" si="13">D12-C12</f>
        <v>368</v>
      </c>
      <c r="F12" s="39">
        <v>53.0</v>
      </c>
      <c r="G12" s="14">
        <f t="shared" ref="G12:G18" si="14">(F12/E12)*100</f>
        <v>14.40217391</v>
      </c>
      <c r="H12" s="137">
        <v>23349.0</v>
      </c>
      <c r="I12" s="137"/>
      <c r="J12" s="41">
        <f t="shared" ref="J12:J18" si="15">I12-H12</f>
        <v>-23349</v>
      </c>
      <c r="K12" s="81">
        <f t="shared" ref="K12:K18" si="16">F12</f>
        <v>53</v>
      </c>
      <c r="L12" s="42">
        <f t="shared" ref="L12:L18" si="17">(K12/J12)*100</f>
        <v>-0.2269904493</v>
      </c>
      <c r="M12" s="43">
        <v>19200.0</v>
      </c>
      <c r="N12" s="44">
        <f t="shared" ref="N12:N18" si="18">F12*M12</f>
        <v>1017600</v>
      </c>
      <c r="O12" s="80">
        <f t="shared" si="12"/>
        <v>8</v>
      </c>
      <c r="P12" s="197" t="s">
        <v>21</v>
      </c>
      <c r="Q12" s="251">
        <f>N82</f>
        <v>7428520</v>
      </c>
      <c r="R12" s="251">
        <f t="shared" si="11"/>
        <v>7428520</v>
      </c>
    </row>
    <row r="13">
      <c r="A13" s="45">
        <v>45967.0</v>
      </c>
      <c r="B13" s="46" t="s">
        <v>12</v>
      </c>
      <c r="C13" s="89">
        <v>156783.0</v>
      </c>
      <c r="D13" s="37">
        <v>157178.0</v>
      </c>
      <c r="E13" s="12">
        <f t="shared" si="13"/>
        <v>395</v>
      </c>
      <c r="F13" s="47">
        <v>52.0</v>
      </c>
      <c r="G13" s="14">
        <f t="shared" si="14"/>
        <v>13.16455696</v>
      </c>
      <c r="H13" s="137">
        <v>23349.0</v>
      </c>
      <c r="I13" s="40">
        <v>23547.0</v>
      </c>
      <c r="J13" s="37">
        <f t="shared" si="15"/>
        <v>198</v>
      </c>
      <c r="K13" s="52">
        <f t="shared" si="16"/>
        <v>52</v>
      </c>
      <c r="L13" s="48">
        <f t="shared" si="17"/>
        <v>26.26262626</v>
      </c>
      <c r="M13" s="50">
        <v>19320.0</v>
      </c>
      <c r="N13" s="49">
        <f t="shared" si="18"/>
        <v>1004640</v>
      </c>
      <c r="O13" s="80">
        <f t="shared" si="12"/>
        <v>9</v>
      </c>
      <c r="P13" s="276" t="s">
        <v>22</v>
      </c>
      <c r="Q13" s="251">
        <f>N90</f>
        <v>6157420</v>
      </c>
      <c r="R13" s="251">
        <f t="shared" si="11"/>
        <v>6157420</v>
      </c>
    </row>
    <row r="14">
      <c r="A14" s="45">
        <v>45973.0</v>
      </c>
      <c r="B14" s="46" t="s">
        <v>12</v>
      </c>
      <c r="C14" s="37">
        <v>157178.0</v>
      </c>
      <c r="D14" s="37">
        <v>157468.0</v>
      </c>
      <c r="E14" s="12">
        <f t="shared" si="13"/>
        <v>290</v>
      </c>
      <c r="F14" s="47">
        <v>44.0</v>
      </c>
      <c r="G14" s="14">
        <f t="shared" si="14"/>
        <v>15.17241379</v>
      </c>
      <c r="H14" s="40">
        <v>23547.0</v>
      </c>
      <c r="I14" s="40">
        <v>23878.0</v>
      </c>
      <c r="J14" s="37">
        <f t="shared" si="15"/>
        <v>331</v>
      </c>
      <c r="K14" s="52">
        <f t="shared" si="16"/>
        <v>44</v>
      </c>
      <c r="L14" s="48">
        <f t="shared" si="17"/>
        <v>13.29305136</v>
      </c>
      <c r="M14" s="50">
        <v>19320.0</v>
      </c>
      <c r="N14" s="49">
        <f t="shared" si="18"/>
        <v>850080</v>
      </c>
      <c r="O14" s="80">
        <f t="shared" si="12"/>
        <v>10</v>
      </c>
      <c r="P14" s="197" t="s">
        <v>23</v>
      </c>
      <c r="Q14" s="251">
        <f>N97</f>
        <v>4211620</v>
      </c>
      <c r="R14" s="251">
        <f t="shared" si="11"/>
        <v>4211620</v>
      </c>
    </row>
    <row r="15">
      <c r="A15" s="45">
        <v>45976.0</v>
      </c>
      <c r="B15" s="51" t="s">
        <v>12</v>
      </c>
      <c r="C15" s="37">
        <v>157468.0</v>
      </c>
      <c r="D15" s="52">
        <v>157845.0</v>
      </c>
      <c r="E15" s="53">
        <f t="shared" si="13"/>
        <v>377</v>
      </c>
      <c r="F15" s="54">
        <v>54.0</v>
      </c>
      <c r="G15" s="14">
        <f t="shared" si="14"/>
        <v>14.32360743</v>
      </c>
      <c r="H15" s="40">
        <v>23878.0</v>
      </c>
      <c r="I15" s="40">
        <v>24259.0</v>
      </c>
      <c r="J15" s="37">
        <f t="shared" si="15"/>
        <v>381</v>
      </c>
      <c r="K15" s="52">
        <f t="shared" si="16"/>
        <v>54</v>
      </c>
      <c r="L15" s="48">
        <f t="shared" si="17"/>
        <v>14.17322835</v>
      </c>
      <c r="M15" s="50">
        <v>19860.0</v>
      </c>
      <c r="N15" s="49">
        <f t="shared" si="18"/>
        <v>1072440</v>
      </c>
      <c r="O15" s="80">
        <f t="shared" si="12"/>
        <v>11</v>
      </c>
      <c r="P15" s="276" t="s">
        <v>24</v>
      </c>
      <c r="Q15" s="251">
        <f>N105</f>
        <v>4955380</v>
      </c>
      <c r="R15" s="251">
        <f t="shared" si="11"/>
        <v>4955380</v>
      </c>
    </row>
    <row r="16">
      <c r="A16" s="45">
        <v>45980.0</v>
      </c>
      <c r="B16" s="46" t="s">
        <v>12</v>
      </c>
      <c r="C16" s="52">
        <v>157845.0</v>
      </c>
      <c r="D16" s="37">
        <v>158168.0</v>
      </c>
      <c r="E16" s="12">
        <f t="shared" si="13"/>
        <v>323</v>
      </c>
      <c r="F16" s="47">
        <v>46.0</v>
      </c>
      <c r="G16" s="14">
        <f t="shared" si="14"/>
        <v>14.24148607</v>
      </c>
      <c r="H16" s="40">
        <v>24259.0</v>
      </c>
      <c r="I16" s="40">
        <v>24617.0</v>
      </c>
      <c r="J16" s="37">
        <f t="shared" si="15"/>
        <v>358</v>
      </c>
      <c r="K16" s="52">
        <f t="shared" si="16"/>
        <v>46</v>
      </c>
      <c r="L16" s="48">
        <f t="shared" si="17"/>
        <v>12.84916201</v>
      </c>
      <c r="M16" s="50">
        <v>19860.0</v>
      </c>
      <c r="N16" s="49">
        <f t="shared" si="18"/>
        <v>913560</v>
      </c>
      <c r="O16" s="80">
        <f t="shared" si="12"/>
        <v>12</v>
      </c>
      <c r="P16" s="197" t="s">
        <v>25</v>
      </c>
      <c r="Q16" s="251">
        <f>N105</f>
        <v>4955380</v>
      </c>
      <c r="R16" s="251">
        <f>N113</f>
        <v>7736780</v>
      </c>
    </row>
    <row r="17">
      <c r="A17" s="45">
        <v>45985.0</v>
      </c>
      <c r="B17" s="46" t="s">
        <v>12</v>
      </c>
      <c r="C17" s="37">
        <v>158168.0</v>
      </c>
      <c r="D17" s="37">
        <v>158448.0</v>
      </c>
      <c r="E17" s="12">
        <f t="shared" si="13"/>
        <v>280</v>
      </c>
      <c r="F17" s="47">
        <v>39.0</v>
      </c>
      <c r="G17" s="14">
        <f t="shared" si="14"/>
        <v>13.92857143</v>
      </c>
      <c r="H17" s="40">
        <v>24617.0</v>
      </c>
      <c r="I17" s="40">
        <v>24951.0</v>
      </c>
      <c r="J17" s="37">
        <f t="shared" si="15"/>
        <v>334</v>
      </c>
      <c r="K17" s="52">
        <f t="shared" si="16"/>
        <v>39</v>
      </c>
      <c r="L17" s="48">
        <f t="shared" si="17"/>
        <v>11.67664671</v>
      </c>
      <c r="M17" s="50">
        <v>19820.0</v>
      </c>
      <c r="N17" s="49">
        <f t="shared" si="18"/>
        <v>772980</v>
      </c>
      <c r="O17" s="80">
        <f t="shared" si="12"/>
        <v>13</v>
      </c>
      <c r="P17" s="276" t="s">
        <v>26</v>
      </c>
      <c r="Q17" s="251">
        <f>N121</f>
        <v>5283580</v>
      </c>
      <c r="R17" s="251">
        <f t="shared" ref="R17:R27" si="19">Q17</f>
        <v>5283580</v>
      </c>
    </row>
    <row r="18">
      <c r="A18" s="45">
        <v>45989.0</v>
      </c>
      <c r="B18" s="46" t="s">
        <v>12</v>
      </c>
      <c r="C18" s="37">
        <v>158448.0</v>
      </c>
      <c r="D18" s="55">
        <v>158789.0</v>
      </c>
      <c r="E18" s="25">
        <f t="shared" si="13"/>
        <v>341</v>
      </c>
      <c r="F18" s="47">
        <v>49.0</v>
      </c>
      <c r="G18" s="56">
        <f t="shared" si="14"/>
        <v>14.36950147</v>
      </c>
      <c r="H18" s="40">
        <v>24951.0</v>
      </c>
      <c r="I18" s="57">
        <v>25311.0</v>
      </c>
      <c r="J18" s="55">
        <f t="shared" si="15"/>
        <v>360</v>
      </c>
      <c r="K18" s="52">
        <f t="shared" si="16"/>
        <v>49</v>
      </c>
      <c r="L18" s="48">
        <f t="shared" si="17"/>
        <v>13.61111111</v>
      </c>
      <c r="M18" s="58">
        <v>18800.0</v>
      </c>
      <c r="N18" s="59">
        <f t="shared" si="18"/>
        <v>921200</v>
      </c>
      <c r="O18" s="80">
        <f t="shared" si="12"/>
        <v>14</v>
      </c>
      <c r="P18" s="197" t="s">
        <v>27</v>
      </c>
      <c r="Q18" s="251">
        <f>N130</f>
        <v>9800396</v>
      </c>
      <c r="R18" s="251">
        <f t="shared" si="19"/>
        <v>9800396</v>
      </c>
    </row>
    <row r="19">
      <c r="A19" s="62"/>
      <c r="B19" s="63"/>
      <c r="C19" s="62"/>
      <c r="D19" s="64" t="s">
        <v>19</v>
      </c>
      <c r="E19" s="64">
        <f>sum(E12:E18)</f>
        <v>2374</v>
      </c>
      <c r="F19" s="64">
        <f>sum(F11:F18)</f>
        <v>572</v>
      </c>
      <c r="G19" s="65">
        <f>average(G12:G18)</f>
        <v>14.22890158</v>
      </c>
      <c r="H19" s="62"/>
      <c r="I19" s="66"/>
      <c r="J19" s="64">
        <f t="shared" ref="J19:K19" si="20">sum(J12:J18)</f>
        <v>-21387</v>
      </c>
      <c r="K19" s="64">
        <f t="shared" si="20"/>
        <v>337</v>
      </c>
      <c r="L19" s="65">
        <f>average(L12:L18)</f>
        <v>13.09126219</v>
      </c>
      <c r="M19" s="68"/>
      <c r="N19" s="69">
        <f>sum(N12:N18)</f>
        <v>6552500</v>
      </c>
      <c r="O19" s="80">
        <f t="shared" si="12"/>
        <v>15</v>
      </c>
      <c r="P19" s="197" t="s">
        <v>80</v>
      </c>
      <c r="Q19" s="251">
        <f>N139</f>
        <v>8180200</v>
      </c>
      <c r="R19" s="251">
        <f t="shared" si="19"/>
        <v>8180200</v>
      </c>
    </row>
    <row r="20">
      <c r="A20" s="70">
        <v>45965.0</v>
      </c>
      <c r="B20" s="36" t="s">
        <v>13</v>
      </c>
      <c r="C20" s="37">
        <v>173904.0</v>
      </c>
      <c r="D20" s="41">
        <v>174225.0</v>
      </c>
      <c r="E20" s="38">
        <f t="shared" ref="E20:E27" si="21">D20-C20</f>
        <v>321</v>
      </c>
      <c r="F20" s="39">
        <v>45.0</v>
      </c>
      <c r="G20" s="14">
        <f t="shared" ref="G20:G27" si="22">(F20/E20)*100</f>
        <v>14.01869159</v>
      </c>
      <c r="H20" s="81">
        <v>25032.0</v>
      </c>
      <c r="I20" s="81"/>
      <c r="J20" s="41">
        <f t="shared" ref="J20:J27" si="23">I20-H20</f>
        <v>-25032</v>
      </c>
      <c r="K20" s="81">
        <f t="shared" ref="K20:K27" si="24">F20</f>
        <v>45</v>
      </c>
      <c r="L20" s="71">
        <f t="shared" ref="L20:L27" si="25">(K20/J20)*100</f>
        <v>-0.1797698945</v>
      </c>
      <c r="M20" s="72">
        <v>19200.0</v>
      </c>
      <c r="N20" s="44">
        <f t="shared" ref="N20:N27" si="26">F20*M20</f>
        <v>864000</v>
      </c>
      <c r="O20" s="80">
        <f t="shared" si="12"/>
        <v>16</v>
      </c>
      <c r="P20" s="197" t="s">
        <v>29</v>
      </c>
      <c r="Q20" s="251">
        <f>N148</f>
        <v>6625200</v>
      </c>
      <c r="R20" s="251">
        <f t="shared" si="19"/>
        <v>6625200</v>
      </c>
    </row>
    <row r="21">
      <c r="A21" s="70">
        <v>45969.0</v>
      </c>
      <c r="B21" s="46" t="s">
        <v>13</v>
      </c>
      <c r="C21" s="41">
        <v>174225.0</v>
      </c>
      <c r="D21" s="37">
        <v>174576.0</v>
      </c>
      <c r="E21" s="12">
        <f t="shared" si="21"/>
        <v>351</v>
      </c>
      <c r="F21" s="39">
        <v>52.0</v>
      </c>
      <c r="G21" s="14">
        <f t="shared" si="22"/>
        <v>14.81481481</v>
      </c>
      <c r="H21" s="81">
        <v>25032.0</v>
      </c>
      <c r="I21" s="40">
        <v>25393.0</v>
      </c>
      <c r="J21" s="37">
        <f t="shared" si="23"/>
        <v>361</v>
      </c>
      <c r="K21" s="52">
        <f t="shared" si="24"/>
        <v>52</v>
      </c>
      <c r="L21" s="48">
        <f t="shared" si="25"/>
        <v>14.40443213</v>
      </c>
      <c r="M21" s="72">
        <v>19320.0</v>
      </c>
      <c r="N21" s="49">
        <f t="shared" si="26"/>
        <v>1004640</v>
      </c>
      <c r="O21" s="80">
        <f t="shared" si="12"/>
        <v>17</v>
      </c>
      <c r="P21" s="197" t="s">
        <v>30</v>
      </c>
      <c r="Q21" s="251">
        <f>N157</f>
        <v>7602840</v>
      </c>
      <c r="R21" s="251">
        <f t="shared" si="19"/>
        <v>7602840</v>
      </c>
    </row>
    <row r="22">
      <c r="A22" s="35">
        <v>45973.0</v>
      </c>
      <c r="B22" s="46" t="s">
        <v>13</v>
      </c>
      <c r="C22" s="37">
        <v>174576.0</v>
      </c>
      <c r="D22" s="37">
        <v>174906.0</v>
      </c>
      <c r="E22" s="12">
        <f t="shared" si="21"/>
        <v>330</v>
      </c>
      <c r="F22" s="47">
        <v>45.0</v>
      </c>
      <c r="G22" s="14">
        <f t="shared" si="22"/>
        <v>13.63636364</v>
      </c>
      <c r="H22" s="40">
        <v>25393.0</v>
      </c>
      <c r="I22" s="40">
        <v>25725.0</v>
      </c>
      <c r="J22" s="37">
        <f t="shared" si="23"/>
        <v>332</v>
      </c>
      <c r="K22" s="52">
        <f t="shared" si="24"/>
        <v>45</v>
      </c>
      <c r="L22" s="48">
        <f t="shared" si="25"/>
        <v>13.55421687</v>
      </c>
      <c r="M22" s="50">
        <v>19320.0</v>
      </c>
      <c r="N22" s="49">
        <f t="shared" si="26"/>
        <v>869400</v>
      </c>
      <c r="O22" s="80">
        <f t="shared" si="12"/>
        <v>18</v>
      </c>
      <c r="P22" s="197" t="s">
        <v>31</v>
      </c>
      <c r="Q22" s="251">
        <f>N166</f>
        <v>4893800</v>
      </c>
      <c r="R22" s="251">
        <f t="shared" si="19"/>
        <v>4893800</v>
      </c>
    </row>
    <row r="23">
      <c r="A23" s="35">
        <v>45980.0</v>
      </c>
      <c r="B23" s="46" t="s">
        <v>13</v>
      </c>
      <c r="C23" s="37">
        <v>174906.0</v>
      </c>
      <c r="D23" s="37">
        <v>175245.0</v>
      </c>
      <c r="E23" s="12">
        <f t="shared" si="21"/>
        <v>339</v>
      </c>
      <c r="F23" s="47">
        <v>50.0</v>
      </c>
      <c r="G23" s="14">
        <f t="shared" si="22"/>
        <v>14.74926254</v>
      </c>
      <c r="H23" s="40">
        <v>25725.0</v>
      </c>
      <c r="I23" s="40">
        <v>26110.0</v>
      </c>
      <c r="J23" s="37">
        <f t="shared" si="23"/>
        <v>385</v>
      </c>
      <c r="K23" s="52">
        <f t="shared" si="24"/>
        <v>50</v>
      </c>
      <c r="L23" s="48">
        <f t="shared" si="25"/>
        <v>12.98701299</v>
      </c>
      <c r="M23" s="50">
        <v>19860.0</v>
      </c>
      <c r="N23" s="49">
        <f t="shared" si="26"/>
        <v>993000</v>
      </c>
      <c r="O23" s="80">
        <f t="shared" si="12"/>
        <v>19</v>
      </c>
      <c r="P23" s="197" t="s">
        <v>32</v>
      </c>
      <c r="Q23" s="251">
        <f>N175</f>
        <v>6256400</v>
      </c>
      <c r="R23" s="251">
        <f t="shared" si="19"/>
        <v>6256400</v>
      </c>
    </row>
    <row r="24">
      <c r="A24" s="35">
        <v>45986.0</v>
      </c>
      <c r="B24" s="46" t="s">
        <v>13</v>
      </c>
      <c r="C24" s="37">
        <v>175245.0</v>
      </c>
      <c r="D24" s="37">
        <v>175284.0</v>
      </c>
      <c r="E24" s="12">
        <f t="shared" si="21"/>
        <v>39</v>
      </c>
      <c r="F24" s="47">
        <v>36.0</v>
      </c>
      <c r="G24" s="14">
        <f t="shared" si="22"/>
        <v>92.30769231</v>
      </c>
      <c r="H24" s="40">
        <v>26110.0</v>
      </c>
      <c r="I24" s="40">
        <v>26486.0</v>
      </c>
      <c r="J24" s="37">
        <f t="shared" si="23"/>
        <v>376</v>
      </c>
      <c r="K24" s="52">
        <f t="shared" si="24"/>
        <v>36</v>
      </c>
      <c r="L24" s="48">
        <f t="shared" si="25"/>
        <v>9.574468085</v>
      </c>
      <c r="M24" s="50">
        <v>19820.0</v>
      </c>
      <c r="N24" s="49">
        <f t="shared" si="26"/>
        <v>713520</v>
      </c>
      <c r="O24" s="80">
        <f t="shared" si="12"/>
        <v>20</v>
      </c>
      <c r="R24" s="80" t="str">
        <f t="shared" si="19"/>
        <v/>
      </c>
    </row>
    <row r="25">
      <c r="A25" s="35">
        <v>45988.0</v>
      </c>
      <c r="B25" s="46" t="s">
        <v>13</v>
      </c>
      <c r="C25" s="37">
        <v>175284.0</v>
      </c>
      <c r="D25" s="37">
        <v>175575.0</v>
      </c>
      <c r="E25" s="12">
        <f t="shared" si="21"/>
        <v>291</v>
      </c>
      <c r="F25" s="47">
        <v>49.0</v>
      </c>
      <c r="G25" s="14">
        <f t="shared" si="22"/>
        <v>16.83848797</v>
      </c>
      <c r="H25" s="40">
        <v>26486.0</v>
      </c>
      <c r="I25" s="40">
        <v>26756.0</v>
      </c>
      <c r="J25" s="37">
        <f t="shared" si="23"/>
        <v>270</v>
      </c>
      <c r="K25" s="52">
        <f t="shared" si="24"/>
        <v>49</v>
      </c>
      <c r="L25" s="48">
        <f t="shared" si="25"/>
        <v>18.14814815</v>
      </c>
      <c r="M25" s="50">
        <v>19820.0</v>
      </c>
      <c r="N25" s="49">
        <f t="shared" si="26"/>
        <v>971180</v>
      </c>
      <c r="O25" s="80">
        <f t="shared" si="12"/>
        <v>21</v>
      </c>
      <c r="R25" s="80" t="str">
        <f t="shared" si="19"/>
        <v/>
      </c>
    </row>
    <row r="26">
      <c r="A26" s="35"/>
      <c r="B26" s="46" t="s">
        <v>13</v>
      </c>
      <c r="C26" s="37"/>
      <c r="D26" s="37"/>
      <c r="E26" s="12">
        <f t="shared" si="21"/>
        <v>0</v>
      </c>
      <c r="F26" s="47"/>
      <c r="G26" s="14" t="str">
        <f t="shared" si="22"/>
        <v>#DIV/0!</v>
      </c>
      <c r="H26" s="37"/>
      <c r="I26" s="40"/>
      <c r="J26" s="37">
        <f t="shared" si="23"/>
        <v>0</v>
      </c>
      <c r="K26" s="52" t="str">
        <f t="shared" si="24"/>
        <v/>
      </c>
      <c r="L26" s="48" t="str">
        <f t="shared" si="25"/>
        <v>#DIV/0!</v>
      </c>
      <c r="M26" s="50"/>
      <c r="N26" s="49">
        <f t="shared" si="26"/>
        <v>0</v>
      </c>
      <c r="O26" s="80">
        <f t="shared" si="12"/>
        <v>22</v>
      </c>
      <c r="R26" s="80" t="str">
        <f t="shared" si="19"/>
        <v/>
      </c>
    </row>
    <row r="27">
      <c r="A27" s="74"/>
      <c r="B27" s="46" t="s">
        <v>13</v>
      </c>
      <c r="C27" s="75"/>
      <c r="D27" s="75"/>
      <c r="E27" s="25">
        <f t="shared" si="21"/>
        <v>0</v>
      </c>
      <c r="F27" s="47"/>
      <c r="G27" s="56" t="str">
        <f t="shared" si="22"/>
        <v>#DIV/0!</v>
      </c>
      <c r="H27" s="75"/>
      <c r="I27" s="277"/>
      <c r="J27" s="55">
        <f t="shared" si="23"/>
        <v>0</v>
      </c>
      <c r="K27" s="52" t="str">
        <f t="shared" si="24"/>
        <v/>
      </c>
      <c r="L27" s="77" t="str">
        <f t="shared" si="25"/>
        <v>#DIV/0!</v>
      </c>
      <c r="M27" s="78"/>
      <c r="N27" s="59">
        <f t="shared" si="26"/>
        <v>0</v>
      </c>
      <c r="O27" s="80">
        <f t="shared" si="12"/>
        <v>23</v>
      </c>
      <c r="R27" s="80" t="str">
        <f t="shared" si="19"/>
        <v/>
      </c>
    </row>
    <row r="28">
      <c r="A28" s="62"/>
      <c r="B28" s="63"/>
      <c r="C28" s="62"/>
      <c r="D28" s="64" t="s">
        <v>19</v>
      </c>
      <c r="E28" s="64">
        <f>sum(E20:E26)</f>
        <v>1671</v>
      </c>
      <c r="F28" s="64">
        <f>sum(F20:F27)</f>
        <v>277</v>
      </c>
      <c r="G28" s="65" t="str">
        <f>average(G20:G26)</f>
        <v>#DIV/0!</v>
      </c>
      <c r="H28" s="62"/>
      <c r="I28" s="66"/>
      <c r="J28" s="64">
        <f t="shared" ref="J28:K28" si="27">sum(J20:J26)</f>
        <v>-23308</v>
      </c>
      <c r="K28" s="64">
        <f t="shared" si="27"/>
        <v>277</v>
      </c>
      <c r="L28" s="65" t="str">
        <f>average(L20:L26)</f>
        <v>#DIV/0!</v>
      </c>
      <c r="M28" s="68"/>
      <c r="N28" s="69">
        <f>sum(N20:N27)</f>
        <v>5415740</v>
      </c>
      <c r="R28" s="251"/>
    </row>
    <row r="29">
      <c r="A29" s="70">
        <v>45962.0</v>
      </c>
      <c r="B29" s="36" t="s">
        <v>14</v>
      </c>
      <c r="C29" s="37">
        <v>176982.0</v>
      </c>
      <c r="D29" s="41"/>
      <c r="E29" s="38">
        <f t="shared" ref="E29:E34" si="28">D29-C29</f>
        <v>-176982</v>
      </c>
      <c r="F29" s="39">
        <v>45.0</v>
      </c>
      <c r="G29" s="14">
        <f t="shared" ref="G29:G35" si="29">(F29/E29)*100</f>
        <v>-0.02542631454</v>
      </c>
      <c r="H29" s="137">
        <v>17242.0</v>
      </c>
      <c r="I29" s="81"/>
      <c r="J29" s="41">
        <f t="shared" ref="J29:J35" si="30">I29-H29</f>
        <v>-17242</v>
      </c>
      <c r="K29" s="81">
        <f t="shared" ref="K29:K35" si="31">F29</f>
        <v>45</v>
      </c>
      <c r="L29" s="71">
        <f t="shared" ref="L29:L35" si="32">(K29/J29)*100</f>
        <v>-0.2609906043</v>
      </c>
      <c r="M29" s="72">
        <v>19200.0</v>
      </c>
      <c r="N29" s="44">
        <f t="shared" ref="N29:N35" si="33">F29*M29</f>
        <v>864000</v>
      </c>
      <c r="R29" s="80" t="str">
        <f t="shared" ref="R29:R42" si="34">Q29</f>
        <v/>
      </c>
    </row>
    <row r="30">
      <c r="A30" s="35">
        <v>45969.0</v>
      </c>
      <c r="B30" s="46" t="s">
        <v>14</v>
      </c>
      <c r="C30" s="37">
        <v>176982.0</v>
      </c>
      <c r="D30" s="37">
        <v>177745.0</v>
      </c>
      <c r="E30" s="12">
        <f t="shared" si="28"/>
        <v>763</v>
      </c>
      <c r="F30" s="47">
        <v>45.0</v>
      </c>
      <c r="G30" s="14">
        <f t="shared" si="29"/>
        <v>5.897771953</v>
      </c>
      <c r="H30" s="137">
        <v>17242.0</v>
      </c>
      <c r="I30" s="40">
        <v>17443.0</v>
      </c>
      <c r="J30" s="37">
        <f t="shared" si="30"/>
        <v>201</v>
      </c>
      <c r="K30" s="52">
        <f t="shared" si="31"/>
        <v>45</v>
      </c>
      <c r="L30" s="48">
        <f t="shared" si="32"/>
        <v>22.3880597</v>
      </c>
      <c r="M30" s="72">
        <v>19320.0</v>
      </c>
      <c r="N30" s="49">
        <f t="shared" si="33"/>
        <v>869400</v>
      </c>
      <c r="R30" s="80" t="str">
        <f t="shared" si="34"/>
        <v/>
      </c>
    </row>
    <row r="31">
      <c r="A31" s="35">
        <v>45974.0</v>
      </c>
      <c r="B31" s="36" t="s">
        <v>14</v>
      </c>
      <c r="C31" s="37">
        <v>177745.0</v>
      </c>
      <c r="D31" s="37">
        <v>178138.0</v>
      </c>
      <c r="E31" s="12">
        <f t="shared" si="28"/>
        <v>393</v>
      </c>
      <c r="F31" s="47">
        <v>45.0</v>
      </c>
      <c r="G31" s="14">
        <f t="shared" si="29"/>
        <v>11.45038168</v>
      </c>
      <c r="H31" s="40">
        <v>17443.0</v>
      </c>
      <c r="I31" s="40">
        <v>17839.0</v>
      </c>
      <c r="J31" s="37">
        <f t="shared" si="30"/>
        <v>396</v>
      </c>
      <c r="K31" s="52">
        <f t="shared" si="31"/>
        <v>45</v>
      </c>
      <c r="L31" s="48">
        <f t="shared" si="32"/>
        <v>11.36363636</v>
      </c>
      <c r="M31" s="265">
        <v>19320.0</v>
      </c>
      <c r="N31" s="49">
        <f t="shared" si="33"/>
        <v>869400</v>
      </c>
      <c r="R31" s="80" t="str">
        <f t="shared" si="34"/>
        <v/>
      </c>
    </row>
    <row r="32">
      <c r="A32" s="35">
        <v>45980.0</v>
      </c>
      <c r="B32" s="46" t="s">
        <v>14</v>
      </c>
      <c r="C32" s="37">
        <v>178138.0</v>
      </c>
      <c r="D32" s="37">
        <v>178521.0</v>
      </c>
      <c r="E32" s="12">
        <f t="shared" si="28"/>
        <v>383</v>
      </c>
      <c r="F32" s="47">
        <v>45.0</v>
      </c>
      <c r="G32" s="14">
        <f t="shared" si="29"/>
        <v>11.74934726</v>
      </c>
      <c r="H32" s="40">
        <v>17839.0</v>
      </c>
      <c r="I32" s="40">
        <v>18274.0</v>
      </c>
      <c r="J32" s="37">
        <f t="shared" si="30"/>
        <v>435</v>
      </c>
      <c r="K32" s="52">
        <f t="shared" si="31"/>
        <v>45</v>
      </c>
      <c r="L32" s="48">
        <f t="shared" si="32"/>
        <v>10.34482759</v>
      </c>
      <c r="M32" s="50">
        <v>19860.0</v>
      </c>
      <c r="N32" s="49">
        <f t="shared" si="33"/>
        <v>893700</v>
      </c>
      <c r="R32" s="80" t="str">
        <f t="shared" si="34"/>
        <v/>
      </c>
    </row>
    <row r="33">
      <c r="A33" s="35">
        <v>45986.0</v>
      </c>
      <c r="B33" s="46" t="s">
        <v>14</v>
      </c>
      <c r="C33" s="37">
        <v>178521.0</v>
      </c>
      <c r="D33" s="37">
        <v>178933.0</v>
      </c>
      <c r="E33" s="12">
        <f t="shared" si="28"/>
        <v>412</v>
      </c>
      <c r="F33" s="47">
        <v>45.0</v>
      </c>
      <c r="G33" s="14">
        <f t="shared" si="29"/>
        <v>10.9223301</v>
      </c>
      <c r="H33" s="40">
        <v>18274.0</v>
      </c>
      <c r="I33" s="40">
        <v>18704.0</v>
      </c>
      <c r="J33" s="37">
        <f t="shared" si="30"/>
        <v>430</v>
      </c>
      <c r="K33" s="52">
        <f t="shared" si="31"/>
        <v>45</v>
      </c>
      <c r="L33" s="48">
        <f t="shared" si="32"/>
        <v>10.46511628</v>
      </c>
      <c r="M33" s="50">
        <v>19820.0</v>
      </c>
      <c r="N33" s="49">
        <f t="shared" si="33"/>
        <v>891900</v>
      </c>
      <c r="R33" s="80" t="str">
        <f t="shared" si="34"/>
        <v/>
      </c>
    </row>
    <row r="34">
      <c r="A34" s="35"/>
      <c r="B34" s="46" t="s">
        <v>14</v>
      </c>
      <c r="C34" s="37"/>
      <c r="D34" s="37"/>
      <c r="E34" s="12">
        <f t="shared" si="28"/>
        <v>0</v>
      </c>
      <c r="F34" s="47"/>
      <c r="G34" s="14" t="str">
        <f t="shared" si="29"/>
        <v>#DIV/0!</v>
      </c>
      <c r="H34" s="37"/>
      <c r="I34" s="40"/>
      <c r="J34" s="37">
        <f t="shared" si="30"/>
        <v>0</v>
      </c>
      <c r="K34" s="52" t="str">
        <f t="shared" si="31"/>
        <v/>
      </c>
      <c r="L34" s="48" t="str">
        <f t="shared" si="32"/>
        <v>#DIV/0!</v>
      </c>
      <c r="M34" s="50"/>
      <c r="N34" s="49">
        <f t="shared" si="33"/>
        <v>0</v>
      </c>
      <c r="R34" s="80" t="str">
        <f t="shared" si="34"/>
        <v/>
      </c>
    </row>
    <row r="35">
      <c r="A35" s="266"/>
      <c r="B35" s="267"/>
      <c r="C35" s="55"/>
      <c r="D35" s="95"/>
      <c r="E35" s="25"/>
      <c r="F35" s="47"/>
      <c r="G35" s="56" t="str">
        <f t="shared" si="29"/>
        <v>#DIV/0!</v>
      </c>
      <c r="H35" s="55"/>
      <c r="I35" s="85"/>
      <c r="J35" s="55">
        <f t="shared" si="30"/>
        <v>0</v>
      </c>
      <c r="K35" s="52" t="str">
        <f t="shared" si="31"/>
        <v/>
      </c>
      <c r="L35" s="77" t="str">
        <f t="shared" si="32"/>
        <v>#DIV/0!</v>
      </c>
      <c r="M35" s="50"/>
      <c r="N35" s="59">
        <f t="shared" si="33"/>
        <v>0</v>
      </c>
      <c r="R35" s="80" t="str">
        <f t="shared" si="34"/>
        <v/>
      </c>
    </row>
    <row r="36">
      <c r="A36" s="62"/>
      <c r="B36" s="63"/>
      <c r="C36" s="62"/>
      <c r="D36" s="64" t="s">
        <v>19</v>
      </c>
      <c r="E36" s="64">
        <f>sum(E29:E35)</f>
        <v>-175031</v>
      </c>
      <c r="F36" s="39"/>
      <c r="G36" s="65" t="str">
        <f>average(G29:G35)</f>
        <v>#DIV/0!</v>
      </c>
      <c r="H36" s="62"/>
      <c r="I36" s="66"/>
      <c r="J36" s="64">
        <f t="shared" ref="J36:K36" si="35">sum(J29:J35)</f>
        <v>-15780</v>
      </c>
      <c r="K36" s="64">
        <f t="shared" si="35"/>
        <v>225</v>
      </c>
      <c r="L36" s="65" t="str">
        <f>average(L29:L35)</f>
        <v>#DIV/0!</v>
      </c>
      <c r="M36" s="68"/>
      <c r="N36" s="69">
        <f>sum(N29:N35)</f>
        <v>4388400</v>
      </c>
      <c r="R36" s="80" t="str">
        <f t="shared" si="34"/>
        <v/>
      </c>
    </row>
    <row r="37">
      <c r="A37" s="70">
        <v>45966.0</v>
      </c>
      <c r="B37" s="36" t="s">
        <v>15</v>
      </c>
      <c r="C37" s="55">
        <v>163749.0</v>
      </c>
      <c r="D37" s="41">
        <v>164122.0</v>
      </c>
      <c r="E37" s="38">
        <f t="shared" ref="E37:E44" si="36">D37-C37</f>
        <v>373</v>
      </c>
      <c r="F37" s="39">
        <v>50.0</v>
      </c>
      <c r="G37" s="14">
        <f t="shared" ref="G37:G44" si="37">(F37/E37)*100</f>
        <v>13.40482574</v>
      </c>
      <c r="H37" s="89"/>
      <c r="I37" s="268"/>
      <c r="J37" s="41">
        <f t="shared" ref="J37:J44" si="38">I37-H37</f>
        <v>0</v>
      </c>
      <c r="K37" s="81">
        <f t="shared" ref="K37:K44" si="39">F37</f>
        <v>50</v>
      </c>
      <c r="L37" s="71" t="str">
        <f t="shared" ref="L37:L44" si="40">(K37/J37)*100</f>
        <v>#DIV/0!</v>
      </c>
      <c r="M37" s="55">
        <v>19200.0</v>
      </c>
      <c r="N37" s="44">
        <f t="shared" ref="N37:N44" si="41">F37*M37</f>
        <v>960000</v>
      </c>
      <c r="R37" s="80" t="str">
        <f t="shared" si="34"/>
        <v/>
      </c>
    </row>
    <row r="38">
      <c r="A38" s="35">
        <v>45971.0</v>
      </c>
      <c r="B38" s="46" t="s">
        <v>15</v>
      </c>
      <c r="C38" s="41">
        <v>164122.0</v>
      </c>
      <c r="D38" s="37">
        <v>164455.0</v>
      </c>
      <c r="E38" s="12">
        <f t="shared" si="36"/>
        <v>333</v>
      </c>
      <c r="F38" s="47">
        <v>38.0</v>
      </c>
      <c r="G38" s="14">
        <f t="shared" si="37"/>
        <v>11.41141141</v>
      </c>
      <c r="H38" s="40"/>
      <c r="I38" s="40"/>
      <c r="J38" s="37">
        <f t="shared" si="38"/>
        <v>0</v>
      </c>
      <c r="K38" s="52">
        <f t="shared" si="39"/>
        <v>38</v>
      </c>
      <c r="L38" s="48" t="str">
        <f t="shared" si="40"/>
        <v>#DIV/0!</v>
      </c>
      <c r="M38" s="50">
        <v>19320.0</v>
      </c>
      <c r="N38" s="49">
        <f t="shared" si="41"/>
        <v>734160</v>
      </c>
      <c r="P38" s="82"/>
      <c r="R38" s="80" t="str">
        <f t="shared" si="34"/>
        <v/>
      </c>
    </row>
    <row r="39">
      <c r="A39" s="35">
        <v>45974.0</v>
      </c>
      <c r="B39" s="46" t="s">
        <v>15</v>
      </c>
      <c r="C39" s="37">
        <v>164455.0</v>
      </c>
      <c r="D39" s="37">
        <v>164849.0</v>
      </c>
      <c r="E39" s="12">
        <f t="shared" si="36"/>
        <v>394</v>
      </c>
      <c r="F39" s="47">
        <v>45.0</v>
      </c>
      <c r="G39" s="14">
        <f t="shared" si="37"/>
        <v>11.4213198</v>
      </c>
      <c r="H39" s="37"/>
      <c r="I39" s="40">
        <v>25263.0</v>
      </c>
      <c r="J39" s="37">
        <f t="shared" si="38"/>
        <v>25263</v>
      </c>
      <c r="K39" s="52">
        <f t="shared" si="39"/>
        <v>45</v>
      </c>
      <c r="L39" s="48">
        <f t="shared" si="40"/>
        <v>0.1781261133</v>
      </c>
      <c r="M39" s="50">
        <v>19320.0</v>
      </c>
      <c r="N39" s="49">
        <f t="shared" si="41"/>
        <v>869400</v>
      </c>
      <c r="R39" s="80" t="str">
        <f t="shared" si="34"/>
        <v/>
      </c>
    </row>
    <row r="40">
      <c r="A40" s="35">
        <v>45979.0</v>
      </c>
      <c r="B40" s="46" t="s">
        <v>15</v>
      </c>
      <c r="C40" s="37">
        <v>164849.0</v>
      </c>
      <c r="D40" s="37">
        <v>165181.0</v>
      </c>
      <c r="E40" s="12">
        <f t="shared" si="36"/>
        <v>332</v>
      </c>
      <c r="F40" s="47">
        <v>37.0</v>
      </c>
      <c r="G40" s="14">
        <f t="shared" si="37"/>
        <v>11.14457831</v>
      </c>
      <c r="H40" s="40">
        <v>25263.0</v>
      </c>
      <c r="I40" s="40">
        <v>25614.0</v>
      </c>
      <c r="J40" s="37">
        <f t="shared" si="38"/>
        <v>351</v>
      </c>
      <c r="K40" s="52">
        <f t="shared" si="39"/>
        <v>37</v>
      </c>
      <c r="L40" s="48">
        <f t="shared" si="40"/>
        <v>10.54131054</v>
      </c>
      <c r="M40" s="50">
        <v>19860.0</v>
      </c>
      <c r="N40" s="49">
        <f t="shared" si="41"/>
        <v>734820</v>
      </c>
      <c r="R40" s="80" t="str">
        <f t="shared" si="34"/>
        <v/>
      </c>
    </row>
    <row r="41">
      <c r="A41" s="35">
        <v>45982.0</v>
      </c>
      <c r="B41" s="46" t="s">
        <v>15</v>
      </c>
      <c r="C41" s="37">
        <v>165181.0</v>
      </c>
      <c r="D41" s="37">
        <v>165485.0</v>
      </c>
      <c r="E41" s="12">
        <f t="shared" si="36"/>
        <v>304</v>
      </c>
      <c r="F41" s="47">
        <v>40.0</v>
      </c>
      <c r="G41" s="14">
        <f t="shared" si="37"/>
        <v>13.15789474</v>
      </c>
      <c r="H41" s="40">
        <v>25614.0</v>
      </c>
      <c r="I41" s="40">
        <v>25877.0</v>
      </c>
      <c r="J41" s="37">
        <f t="shared" si="38"/>
        <v>263</v>
      </c>
      <c r="K41" s="52">
        <f t="shared" si="39"/>
        <v>40</v>
      </c>
      <c r="L41" s="48">
        <f t="shared" si="40"/>
        <v>15.20912548</v>
      </c>
      <c r="M41" s="50">
        <v>19820.0</v>
      </c>
      <c r="N41" s="49">
        <f t="shared" si="41"/>
        <v>792800</v>
      </c>
      <c r="R41" s="80" t="str">
        <f t="shared" si="34"/>
        <v/>
      </c>
    </row>
    <row r="42">
      <c r="A42" s="35">
        <v>45986.0</v>
      </c>
      <c r="B42" s="46" t="s">
        <v>15</v>
      </c>
      <c r="C42" s="37">
        <v>165485.0</v>
      </c>
      <c r="D42" s="37">
        <v>165820.0</v>
      </c>
      <c r="E42" s="12">
        <f t="shared" si="36"/>
        <v>335</v>
      </c>
      <c r="F42" s="47">
        <v>43.0</v>
      </c>
      <c r="G42" s="14">
        <f t="shared" si="37"/>
        <v>12.8358209</v>
      </c>
      <c r="H42" s="40">
        <v>25877.0</v>
      </c>
      <c r="I42" s="40">
        <v>26228.0</v>
      </c>
      <c r="J42" s="37">
        <f t="shared" si="38"/>
        <v>351</v>
      </c>
      <c r="K42" s="52">
        <f t="shared" si="39"/>
        <v>43</v>
      </c>
      <c r="L42" s="48">
        <f t="shared" si="40"/>
        <v>12.25071225</v>
      </c>
      <c r="M42" s="50">
        <v>19820.0</v>
      </c>
      <c r="N42" s="49">
        <f t="shared" si="41"/>
        <v>852260</v>
      </c>
      <c r="R42" s="80" t="str">
        <f t="shared" si="34"/>
        <v/>
      </c>
    </row>
    <row r="43">
      <c r="A43" s="35">
        <v>45989.0</v>
      </c>
      <c r="B43" s="46" t="s">
        <v>15</v>
      </c>
      <c r="C43" s="37">
        <v>165820.0</v>
      </c>
      <c r="D43" s="37">
        <v>166111.0</v>
      </c>
      <c r="E43" s="12">
        <f t="shared" si="36"/>
        <v>291</v>
      </c>
      <c r="F43" s="47">
        <v>33.0</v>
      </c>
      <c r="G43" s="14">
        <f t="shared" si="37"/>
        <v>11.34020619</v>
      </c>
      <c r="H43" s="40">
        <v>26228.0</v>
      </c>
      <c r="I43" s="40">
        <v>26511.0</v>
      </c>
      <c r="J43" s="37">
        <f t="shared" si="38"/>
        <v>283</v>
      </c>
      <c r="K43" s="52">
        <f t="shared" si="39"/>
        <v>33</v>
      </c>
      <c r="L43" s="48">
        <f t="shared" si="40"/>
        <v>11.66077739</v>
      </c>
      <c r="M43" s="50">
        <v>18800.0</v>
      </c>
      <c r="N43" s="49">
        <f t="shared" si="41"/>
        <v>620400</v>
      </c>
    </row>
    <row r="44">
      <c r="A44" s="35"/>
      <c r="B44" s="83" t="s">
        <v>15</v>
      </c>
      <c r="C44" s="37"/>
      <c r="D44" s="55"/>
      <c r="E44" s="25">
        <f t="shared" si="36"/>
        <v>0</v>
      </c>
      <c r="F44" s="47"/>
      <c r="G44" s="56" t="str">
        <f t="shared" si="37"/>
        <v>#DIV/0!</v>
      </c>
      <c r="H44" s="55"/>
      <c r="I44" s="85"/>
      <c r="J44" s="55">
        <f t="shared" si="38"/>
        <v>0</v>
      </c>
      <c r="K44" s="52" t="str">
        <f t="shared" si="39"/>
        <v/>
      </c>
      <c r="L44" s="77" t="str">
        <f t="shared" si="40"/>
        <v>#DIV/0!</v>
      </c>
      <c r="M44" s="50"/>
      <c r="N44" s="59">
        <f t="shared" si="41"/>
        <v>0</v>
      </c>
      <c r="R44" s="80" t="str">
        <f t="shared" ref="R44:R52" si="44">Q44</f>
        <v/>
      </c>
    </row>
    <row r="45">
      <c r="A45" s="62"/>
      <c r="B45" s="63"/>
      <c r="C45" s="62"/>
      <c r="D45" s="64" t="s">
        <v>19</v>
      </c>
      <c r="E45" s="64">
        <f t="shared" ref="E45:F45" si="42">sum(E37:E44)</f>
        <v>2362</v>
      </c>
      <c r="F45" s="64">
        <f t="shared" si="42"/>
        <v>286</v>
      </c>
      <c r="G45" s="65" t="str">
        <f>average(G37:G44)</f>
        <v>#DIV/0!</v>
      </c>
      <c r="H45" s="62"/>
      <c r="I45" s="66"/>
      <c r="J45" s="64">
        <f t="shared" ref="J45:K45" si="43">sum(J37:J44)</f>
        <v>26511</v>
      </c>
      <c r="K45" s="64">
        <f t="shared" si="43"/>
        <v>286</v>
      </c>
      <c r="L45" s="65" t="str">
        <f>average(L37:L44)</f>
        <v>#DIV/0!</v>
      </c>
      <c r="M45" s="68"/>
      <c r="N45" s="69">
        <f>sum(N37:N44)</f>
        <v>5563840</v>
      </c>
      <c r="R45" s="80" t="str">
        <f t="shared" si="44"/>
        <v/>
      </c>
    </row>
    <row r="46">
      <c r="A46" s="70">
        <v>45964.0</v>
      </c>
      <c r="B46" s="36" t="s">
        <v>16</v>
      </c>
      <c r="C46" s="37">
        <v>140401.0</v>
      </c>
      <c r="D46" s="41">
        <v>140713.0</v>
      </c>
      <c r="E46" s="38">
        <f t="shared" ref="E46:E55" si="45">D46-C46</f>
        <v>312</v>
      </c>
      <c r="F46" s="39">
        <v>43.0</v>
      </c>
      <c r="G46" s="14">
        <f t="shared" ref="G46:G55" si="46">(F46/E46)*100</f>
        <v>13.78205128</v>
      </c>
      <c r="H46" s="137"/>
      <c r="I46" s="81"/>
      <c r="J46" s="41">
        <f t="shared" ref="J46:J55" si="47">I46-H46</f>
        <v>0</v>
      </c>
      <c r="K46" s="81">
        <f t="shared" ref="K46:K55" si="48">F46</f>
        <v>43</v>
      </c>
      <c r="L46" s="71" t="str">
        <f t="shared" ref="L46:L55" si="49">(K46/J46)*100</f>
        <v>#DIV/0!</v>
      </c>
      <c r="M46" s="72">
        <v>19200.0</v>
      </c>
      <c r="N46" s="44">
        <f t="shared" ref="N46:N55" si="50">F46*M46</f>
        <v>825600</v>
      </c>
      <c r="R46" s="80" t="str">
        <f t="shared" si="44"/>
        <v/>
      </c>
    </row>
    <row r="47">
      <c r="A47" s="84">
        <v>45966.0</v>
      </c>
      <c r="B47" s="46" t="s">
        <v>16</v>
      </c>
      <c r="C47" s="41">
        <v>140713.0</v>
      </c>
      <c r="D47" s="37">
        <v>140961.0</v>
      </c>
      <c r="E47" s="12">
        <f t="shared" si="45"/>
        <v>248</v>
      </c>
      <c r="F47" s="47">
        <v>33.0</v>
      </c>
      <c r="G47" s="14">
        <f t="shared" si="46"/>
        <v>13.30645161</v>
      </c>
      <c r="H47" s="137"/>
      <c r="I47" s="40"/>
      <c r="J47" s="37">
        <f t="shared" si="47"/>
        <v>0</v>
      </c>
      <c r="K47" s="52">
        <f t="shared" si="48"/>
        <v>33</v>
      </c>
      <c r="L47" s="48" t="str">
        <f t="shared" si="49"/>
        <v>#DIV/0!</v>
      </c>
      <c r="M47" s="50">
        <v>19200.0</v>
      </c>
      <c r="N47" s="49">
        <f t="shared" si="50"/>
        <v>633600</v>
      </c>
      <c r="R47" s="80" t="str">
        <f t="shared" si="44"/>
        <v/>
      </c>
    </row>
    <row r="48">
      <c r="A48" s="84">
        <v>45969.0</v>
      </c>
      <c r="B48" s="46" t="s">
        <v>16</v>
      </c>
      <c r="C48" s="37">
        <v>140961.0</v>
      </c>
      <c r="D48" s="37">
        <v>141213.0</v>
      </c>
      <c r="E48" s="12">
        <f t="shared" si="45"/>
        <v>252</v>
      </c>
      <c r="F48" s="47">
        <v>35.0</v>
      </c>
      <c r="G48" s="14">
        <f t="shared" si="46"/>
        <v>13.88888889</v>
      </c>
      <c r="H48" s="137"/>
      <c r="I48" s="40"/>
      <c r="J48" s="37">
        <f t="shared" si="47"/>
        <v>0</v>
      </c>
      <c r="K48" s="52">
        <f t="shared" si="48"/>
        <v>35</v>
      </c>
      <c r="L48" s="48" t="str">
        <f t="shared" si="49"/>
        <v>#DIV/0!</v>
      </c>
      <c r="M48" s="50">
        <v>19320.0</v>
      </c>
      <c r="N48" s="49">
        <f t="shared" si="50"/>
        <v>676200</v>
      </c>
      <c r="R48" s="80" t="str">
        <f t="shared" si="44"/>
        <v/>
      </c>
    </row>
    <row r="49">
      <c r="A49" s="84">
        <v>45972.0</v>
      </c>
      <c r="B49" s="46" t="s">
        <v>16</v>
      </c>
      <c r="C49" s="37">
        <v>141213.0</v>
      </c>
      <c r="D49" s="37">
        <v>141503.0</v>
      </c>
      <c r="E49" s="12">
        <f t="shared" si="45"/>
        <v>290</v>
      </c>
      <c r="F49" s="47">
        <v>35.0</v>
      </c>
      <c r="G49" s="14">
        <f t="shared" si="46"/>
        <v>12.06896552</v>
      </c>
      <c r="H49" s="40"/>
      <c r="I49" s="40">
        <v>25715.0</v>
      </c>
      <c r="J49" s="37">
        <f t="shared" si="47"/>
        <v>25715</v>
      </c>
      <c r="K49" s="52">
        <f t="shared" si="48"/>
        <v>35</v>
      </c>
      <c r="L49" s="48">
        <f t="shared" si="49"/>
        <v>0.1361073304</v>
      </c>
      <c r="M49" s="50">
        <v>19320.0</v>
      </c>
      <c r="N49" s="49">
        <f t="shared" si="50"/>
        <v>676200</v>
      </c>
      <c r="P49" s="82"/>
      <c r="R49" s="80" t="str">
        <f t="shared" si="44"/>
        <v/>
      </c>
    </row>
    <row r="50">
      <c r="A50" s="84">
        <v>45974.0</v>
      </c>
      <c r="B50" s="46" t="s">
        <v>16</v>
      </c>
      <c r="C50" s="37">
        <v>141503.0</v>
      </c>
      <c r="D50" s="37">
        <v>141751.0</v>
      </c>
      <c r="E50" s="12">
        <f t="shared" si="45"/>
        <v>248</v>
      </c>
      <c r="F50" s="47">
        <v>35.0</v>
      </c>
      <c r="G50" s="14">
        <f t="shared" si="46"/>
        <v>14.11290323</v>
      </c>
      <c r="H50" s="40">
        <v>25715.0</v>
      </c>
      <c r="I50" s="40">
        <v>25934.0</v>
      </c>
      <c r="J50" s="37">
        <f t="shared" si="47"/>
        <v>219</v>
      </c>
      <c r="K50" s="52">
        <f t="shared" si="48"/>
        <v>35</v>
      </c>
      <c r="L50" s="48">
        <f t="shared" si="49"/>
        <v>15.98173516</v>
      </c>
      <c r="M50" s="50">
        <v>19860.0</v>
      </c>
      <c r="N50" s="49">
        <f t="shared" si="50"/>
        <v>695100</v>
      </c>
      <c r="R50" s="80" t="str">
        <f t="shared" si="44"/>
        <v/>
      </c>
    </row>
    <row r="51">
      <c r="A51" s="84">
        <v>45978.0</v>
      </c>
      <c r="B51" s="46" t="s">
        <v>16</v>
      </c>
      <c r="C51" s="37">
        <v>141751.0</v>
      </c>
      <c r="D51" s="37">
        <v>142004.0</v>
      </c>
      <c r="E51" s="12">
        <f t="shared" si="45"/>
        <v>253</v>
      </c>
      <c r="F51" s="47">
        <v>35.0</v>
      </c>
      <c r="G51" s="14">
        <f t="shared" si="46"/>
        <v>13.83399209</v>
      </c>
      <c r="H51" s="40">
        <v>25934.0</v>
      </c>
      <c r="I51" s="40">
        <v>26233.0</v>
      </c>
      <c r="J51" s="37">
        <f t="shared" si="47"/>
        <v>299</v>
      </c>
      <c r="K51" s="52">
        <f t="shared" si="48"/>
        <v>35</v>
      </c>
      <c r="L51" s="48">
        <f t="shared" si="49"/>
        <v>11.70568562</v>
      </c>
      <c r="M51" s="50">
        <v>19860.0</v>
      </c>
      <c r="N51" s="49">
        <f t="shared" si="50"/>
        <v>695100</v>
      </c>
      <c r="R51" s="80" t="str">
        <f t="shared" si="44"/>
        <v/>
      </c>
    </row>
    <row r="52">
      <c r="A52" s="84">
        <v>45982.0</v>
      </c>
      <c r="B52" s="46" t="s">
        <v>16</v>
      </c>
      <c r="C52" s="37">
        <v>142004.0</v>
      </c>
      <c r="D52" s="37">
        <v>142211.0</v>
      </c>
      <c r="E52" s="12">
        <f t="shared" si="45"/>
        <v>207</v>
      </c>
      <c r="F52" s="47">
        <v>29.0</v>
      </c>
      <c r="G52" s="14">
        <f t="shared" si="46"/>
        <v>14.00966184</v>
      </c>
      <c r="H52" s="40">
        <v>26233.0</v>
      </c>
      <c r="I52" s="40">
        <v>26521.0</v>
      </c>
      <c r="J52" s="37">
        <f t="shared" si="47"/>
        <v>288</v>
      </c>
      <c r="K52" s="52">
        <f t="shared" si="48"/>
        <v>29</v>
      </c>
      <c r="L52" s="48">
        <f t="shared" si="49"/>
        <v>10.06944444</v>
      </c>
      <c r="M52" s="50">
        <v>19820.0</v>
      </c>
      <c r="N52" s="49">
        <f t="shared" si="50"/>
        <v>574780</v>
      </c>
      <c r="R52" s="80" t="str">
        <f t="shared" si="44"/>
        <v/>
      </c>
    </row>
    <row r="53">
      <c r="A53" s="84">
        <v>45985.0</v>
      </c>
      <c r="B53" s="46" t="s">
        <v>16</v>
      </c>
      <c r="C53" s="37">
        <v>142211.0</v>
      </c>
      <c r="D53" s="37">
        <v>142579.0</v>
      </c>
      <c r="E53" s="12">
        <f t="shared" si="45"/>
        <v>368</v>
      </c>
      <c r="F53" s="47">
        <v>47.0</v>
      </c>
      <c r="G53" s="14">
        <f t="shared" si="46"/>
        <v>12.77173913</v>
      </c>
      <c r="H53" s="40">
        <v>26521.0</v>
      </c>
      <c r="I53" s="40">
        <v>26850.0</v>
      </c>
      <c r="J53" s="37">
        <f t="shared" si="47"/>
        <v>329</v>
      </c>
      <c r="K53" s="52">
        <f t="shared" si="48"/>
        <v>47</v>
      </c>
      <c r="L53" s="48">
        <f t="shared" si="49"/>
        <v>14.28571429</v>
      </c>
      <c r="M53" s="50">
        <v>19820.0</v>
      </c>
      <c r="N53" s="49">
        <f t="shared" si="50"/>
        <v>931540</v>
      </c>
    </row>
    <row r="54">
      <c r="A54" s="84">
        <v>45989.0</v>
      </c>
      <c r="B54" s="46" t="s">
        <v>16</v>
      </c>
      <c r="C54" s="37">
        <v>142579.0</v>
      </c>
      <c r="D54" s="37">
        <v>142861.0</v>
      </c>
      <c r="E54" s="12">
        <f t="shared" si="45"/>
        <v>282</v>
      </c>
      <c r="F54" s="47">
        <v>38.0</v>
      </c>
      <c r="G54" s="14">
        <f t="shared" si="46"/>
        <v>13.4751773</v>
      </c>
      <c r="H54" s="40">
        <v>26850.0</v>
      </c>
      <c r="I54" s="40">
        <v>27171.0</v>
      </c>
      <c r="J54" s="37">
        <f t="shared" si="47"/>
        <v>321</v>
      </c>
      <c r="K54" s="52">
        <f t="shared" si="48"/>
        <v>38</v>
      </c>
      <c r="L54" s="48">
        <f t="shared" si="49"/>
        <v>11.83800623</v>
      </c>
      <c r="M54" s="50">
        <v>18800.0</v>
      </c>
      <c r="N54" s="49">
        <f t="shared" si="50"/>
        <v>714400</v>
      </c>
      <c r="R54" s="80" t="str">
        <f t="shared" ref="R54:R59" si="51">Q54</f>
        <v/>
      </c>
    </row>
    <row r="55">
      <c r="A55" s="84"/>
      <c r="B55" s="46" t="s">
        <v>16</v>
      </c>
      <c r="C55" s="55"/>
      <c r="D55" s="55"/>
      <c r="E55" s="25">
        <f t="shared" si="45"/>
        <v>0</v>
      </c>
      <c r="F55" s="47"/>
      <c r="G55" s="56" t="str">
        <f t="shared" si="46"/>
        <v>#DIV/0!</v>
      </c>
      <c r="H55" s="55"/>
      <c r="I55" s="85"/>
      <c r="J55" s="55">
        <f t="shared" si="47"/>
        <v>0</v>
      </c>
      <c r="K55" s="52" t="str">
        <f t="shared" si="48"/>
        <v/>
      </c>
      <c r="L55" s="77" t="str">
        <f t="shared" si="49"/>
        <v>#DIV/0!</v>
      </c>
      <c r="M55" s="50"/>
      <c r="N55" s="59">
        <f t="shared" si="50"/>
        <v>0</v>
      </c>
      <c r="R55" s="80" t="str">
        <f t="shared" si="51"/>
        <v/>
      </c>
    </row>
    <row r="56">
      <c r="A56" s="62"/>
      <c r="B56" s="63"/>
      <c r="C56" s="86"/>
      <c r="D56" s="64" t="s">
        <v>19</v>
      </c>
      <c r="E56" s="64">
        <f>sum(E46:E55)</f>
        <v>2460</v>
      </c>
      <c r="F56" s="39"/>
      <c r="G56" s="65" t="str">
        <f>average(G46:G55)</f>
        <v>#DIV/0!</v>
      </c>
      <c r="H56" s="62"/>
      <c r="I56" s="66"/>
      <c r="J56" s="64">
        <f t="shared" ref="J56:K56" si="52">sum(J46:J55)</f>
        <v>27171</v>
      </c>
      <c r="K56" s="64">
        <f t="shared" si="52"/>
        <v>330</v>
      </c>
      <c r="L56" s="65" t="str">
        <f>average(L46:L55)</f>
        <v>#DIV/0!</v>
      </c>
      <c r="M56" s="68"/>
      <c r="N56" s="69">
        <f>sum(N46:N55)</f>
        <v>6422520</v>
      </c>
      <c r="R56" s="80" t="str">
        <f t="shared" si="51"/>
        <v/>
      </c>
    </row>
    <row r="57">
      <c r="A57" s="70">
        <v>45964.0</v>
      </c>
      <c r="B57" s="87" t="s">
        <v>18</v>
      </c>
      <c r="C57" s="37">
        <v>145759.0</v>
      </c>
      <c r="D57" s="41">
        <v>146074.0</v>
      </c>
      <c r="E57" s="38">
        <f t="shared" ref="E57:E65" si="53">D57-C57</f>
        <v>315</v>
      </c>
      <c r="F57" s="39">
        <v>46.0</v>
      </c>
      <c r="G57" s="14">
        <f t="shared" ref="G57:G65" si="54">(F57/E57)*100</f>
        <v>14.6031746</v>
      </c>
      <c r="H57" s="137">
        <v>17793.0</v>
      </c>
      <c r="I57" s="275"/>
      <c r="J57" s="41">
        <f t="shared" ref="J57:J65" si="55">I57-H57</f>
        <v>-17793</v>
      </c>
      <c r="K57" s="81">
        <f t="shared" ref="K57:K65" si="56">F57</f>
        <v>46</v>
      </c>
      <c r="L57" s="71">
        <f t="shared" ref="L57:L65" si="57">(K57/J57)*100</f>
        <v>-0.2585286349</v>
      </c>
      <c r="M57" s="72">
        <v>19200.0</v>
      </c>
      <c r="N57" s="44">
        <f t="shared" ref="N57:N65" si="58">F57*M57</f>
        <v>883200</v>
      </c>
      <c r="R57" s="80" t="str">
        <f t="shared" si="51"/>
        <v/>
      </c>
    </row>
    <row r="58">
      <c r="A58" s="35">
        <v>45969.0</v>
      </c>
      <c r="B58" s="46" t="s">
        <v>18</v>
      </c>
      <c r="C58" s="41">
        <v>146074.0</v>
      </c>
      <c r="D58" s="37">
        <v>146416.0</v>
      </c>
      <c r="E58" s="12">
        <f t="shared" si="53"/>
        <v>342</v>
      </c>
      <c r="F58" s="47">
        <v>47.0</v>
      </c>
      <c r="G58" s="14">
        <f t="shared" si="54"/>
        <v>13.74269006</v>
      </c>
      <c r="H58" s="137">
        <v>17793.0</v>
      </c>
      <c r="I58" s="40">
        <v>18138.0</v>
      </c>
      <c r="J58" s="37">
        <f t="shared" si="55"/>
        <v>345</v>
      </c>
      <c r="K58" s="52">
        <f t="shared" si="56"/>
        <v>47</v>
      </c>
      <c r="L58" s="48">
        <f t="shared" si="57"/>
        <v>13.62318841</v>
      </c>
      <c r="M58" s="50">
        <v>19320.0</v>
      </c>
      <c r="N58" s="49">
        <f t="shared" si="58"/>
        <v>908040</v>
      </c>
      <c r="R58" s="80" t="str">
        <f t="shared" si="51"/>
        <v/>
      </c>
    </row>
    <row r="59">
      <c r="A59" s="35">
        <v>45972.0</v>
      </c>
      <c r="B59" s="46" t="s">
        <v>18</v>
      </c>
      <c r="C59" s="37">
        <v>146416.0</v>
      </c>
      <c r="D59" s="37">
        <v>146784.0</v>
      </c>
      <c r="E59" s="12">
        <f t="shared" si="53"/>
        <v>368</v>
      </c>
      <c r="F59" s="47">
        <v>45.0</v>
      </c>
      <c r="G59" s="14">
        <f t="shared" si="54"/>
        <v>12.22826087</v>
      </c>
      <c r="H59" s="40">
        <v>18138.0</v>
      </c>
      <c r="I59" s="40">
        <v>18482.0</v>
      </c>
      <c r="J59" s="37">
        <f t="shared" si="55"/>
        <v>344</v>
      </c>
      <c r="K59" s="52">
        <f t="shared" si="56"/>
        <v>45</v>
      </c>
      <c r="L59" s="48">
        <f t="shared" si="57"/>
        <v>13.08139535</v>
      </c>
      <c r="M59" s="50">
        <v>19320.0</v>
      </c>
      <c r="N59" s="49">
        <f t="shared" si="58"/>
        <v>869400</v>
      </c>
      <c r="R59" s="80" t="str">
        <f t="shared" si="51"/>
        <v/>
      </c>
    </row>
    <row r="60">
      <c r="A60" s="35">
        <v>45976.0</v>
      </c>
      <c r="B60" s="46" t="s">
        <v>18</v>
      </c>
      <c r="C60" s="37">
        <v>146784.0</v>
      </c>
      <c r="D60" s="37">
        <v>147054.0</v>
      </c>
      <c r="E60" s="12">
        <f t="shared" si="53"/>
        <v>270</v>
      </c>
      <c r="F60" s="47">
        <v>39.0</v>
      </c>
      <c r="G60" s="14">
        <f t="shared" si="54"/>
        <v>14.44444444</v>
      </c>
      <c r="H60" s="40">
        <v>18482.0</v>
      </c>
      <c r="I60" s="40">
        <v>18762.0</v>
      </c>
      <c r="J60" s="37">
        <f t="shared" si="55"/>
        <v>280</v>
      </c>
      <c r="K60" s="52">
        <f t="shared" si="56"/>
        <v>39</v>
      </c>
      <c r="L60" s="48">
        <f t="shared" si="57"/>
        <v>13.92857143</v>
      </c>
      <c r="M60" s="50">
        <v>19860.0</v>
      </c>
      <c r="N60" s="49">
        <f t="shared" si="58"/>
        <v>774540</v>
      </c>
    </row>
    <row r="61">
      <c r="A61" s="35">
        <v>45982.0</v>
      </c>
      <c r="B61" s="46" t="s">
        <v>18</v>
      </c>
      <c r="C61" s="37">
        <v>147054.0</v>
      </c>
      <c r="D61" s="37">
        <v>147357.0</v>
      </c>
      <c r="E61" s="12">
        <f t="shared" si="53"/>
        <v>303</v>
      </c>
      <c r="F61" s="47">
        <v>40.0</v>
      </c>
      <c r="G61" s="14">
        <f t="shared" si="54"/>
        <v>13.20132013</v>
      </c>
      <c r="H61" s="40">
        <v>18762.0</v>
      </c>
      <c r="I61" s="40">
        <v>19148.0</v>
      </c>
      <c r="J61" s="37">
        <f t="shared" si="55"/>
        <v>386</v>
      </c>
      <c r="K61" s="52">
        <f t="shared" si="56"/>
        <v>40</v>
      </c>
      <c r="L61" s="48">
        <f t="shared" si="57"/>
        <v>10.3626943</v>
      </c>
      <c r="M61" s="50">
        <v>19820.0</v>
      </c>
      <c r="N61" s="49">
        <f t="shared" si="58"/>
        <v>792800</v>
      </c>
      <c r="R61" s="80" t="str">
        <f t="shared" ref="R61:R157" si="59">Q61</f>
        <v/>
      </c>
    </row>
    <row r="62">
      <c r="A62" s="35">
        <v>45987.0</v>
      </c>
      <c r="B62" s="46" t="s">
        <v>18</v>
      </c>
      <c r="C62" s="37">
        <v>147357.0</v>
      </c>
      <c r="D62" s="37">
        <v>147705.0</v>
      </c>
      <c r="E62" s="12">
        <f t="shared" si="53"/>
        <v>348</v>
      </c>
      <c r="F62" s="47">
        <v>45.0</v>
      </c>
      <c r="G62" s="14">
        <f t="shared" si="54"/>
        <v>12.93103448</v>
      </c>
      <c r="H62" s="40">
        <v>19148.0</v>
      </c>
      <c r="I62" s="40">
        <v>19473.0</v>
      </c>
      <c r="J62" s="37">
        <f t="shared" si="55"/>
        <v>325</v>
      </c>
      <c r="K62" s="52">
        <f t="shared" si="56"/>
        <v>45</v>
      </c>
      <c r="L62" s="48">
        <f t="shared" si="57"/>
        <v>13.84615385</v>
      </c>
      <c r="M62" s="50">
        <v>19820.0</v>
      </c>
      <c r="N62" s="49">
        <f t="shared" si="58"/>
        <v>891900</v>
      </c>
      <c r="R62" s="80" t="str">
        <f t="shared" si="59"/>
        <v/>
      </c>
    </row>
    <row r="63">
      <c r="A63" s="35"/>
      <c r="B63" s="46" t="s">
        <v>18</v>
      </c>
      <c r="C63" s="37"/>
      <c r="D63" s="37"/>
      <c r="E63" s="53">
        <f t="shared" si="53"/>
        <v>0</v>
      </c>
      <c r="F63" s="47"/>
      <c r="G63" s="14" t="str">
        <f t="shared" si="54"/>
        <v>#DIV/0!</v>
      </c>
      <c r="H63" s="37"/>
      <c r="I63" s="40"/>
      <c r="J63" s="37">
        <f t="shared" si="55"/>
        <v>0</v>
      </c>
      <c r="K63" s="52" t="str">
        <f t="shared" si="56"/>
        <v/>
      </c>
      <c r="L63" s="48" t="str">
        <f t="shared" si="57"/>
        <v>#DIV/0!</v>
      </c>
      <c r="M63" s="50"/>
      <c r="N63" s="49">
        <f t="shared" si="58"/>
        <v>0</v>
      </c>
      <c r="R63" s="80" t="str">
        <f t="shared" si="59"/>
        <v/>
      </c>
    </row>
    <row r="64">
      <c r="A64" s="45"/>
      <c r="B64" s="51" t="s">
        <v>18</v>
      </c>
      <c r="C64" s="11"/>
      <c r="D64" s="52"/>
      <c r="E64" s="53">
        <f t="shared" si="53"/>
        <v>0</v>
      </c>
      <c r="F64" s="47"/>
      <c r="G64" s="14" t="str">
        <f t="shared" si="54"/>
        <v>#DIV/0!</v>
      </c>
      <c r="H64" s="37"/>
      <c r="I64" s="40"/>
      <c r="J64" s="37">
        <f t="shared" si="55"/>
        <v>0</v>
      </c>
      <c r="K64" s="52" t="str">
        <f t="shared" si="56"/>
        <v/>
      </c>
      <c r="L64" s="48" t="str">
        <f t="shared" si="57"/>
        <v>#DIV/0!</v>
      </c>
      <c r="M64" s="50"/>
      <c r="N64" s="49">
        <f t="shared" si="58"/>
        <v>0</v>
      </c>
      <c r="R64" s="80" t="str">
        <f t="shared" si="59"/>
        <v/>
      </c>
    </row>
    <row r="65">
      <c r="A65" s="35"/>
      <c r="B65" s="46" t="s">
        <v>18</v>
      </c>
      <c r="C65" s="13"/>
      <c r="D65" s="55"/>
      <c r="E65" s="25">
        <f t="shared" si="53"/>
        <v>0</v>
      </c>
      <c r="F65" s="47"/>
      <c r="G65" s="56" t="str">
        <f t="shared" si="54"/>
        <v>#DIV/0!</v>
      </c>
      <c r="H65" s="55"/>
      <c r="I65" s="57"/>
      <c r="J65" s="55">
        <f t="shared" si="55"/>
        <v>0</v>
      </c>
      <c r="K65" s="52" t="str">
        <f t="shared" si="56"/>
        <v/>
      </c>
      <c r="L65" s="77" t="str">
        <f t="shared" si="57"/>
        <v>#DIV/0!</v>
      </c>
      <c r="M65" s="50"/>
      <c r="N65" s="59">
        <f t="shared" si="58"/>
        <v>0</v>
      </c>
      <c r="R65" s="80" t="str">
        <f t="shared" si="59"/>
        <v/>
      </c>
    </row>
    <row r="66">
      <c r="A66" s="62"/>
      <c r="B66" s="63"/>
      <c r="C66" s="88"/>
      <c r="D66" s="64" t="s">
        <v>19</v>
      </c>
      <c r="E66" s="64">
        <f t="shared" ref="E66:F66" si="60">sum(E57:E65)</f>
        <v>1946</v>
      </c>
      <c r="F66" s="64">
        <f t="shared" si="60"/>
        <v>262</v>
      </c>
      <c r="G66" s="65" t="str">
        <f>average(G57:G65)</f>
        <v>#DIV/0!</v>
      </c>
      <c r="H66" s="62"/>
      <c r="I66" s="66"/>
      <c r="J66" s="64">
        <f t="shared" ref="J66:K66" si="61">sum(J57:J65)</f>
        <v>-16113</v>
      </c>
      <c r="K66" s="64">
        <f t="shared" si="61"/>
        <v>262</v>
      </c>
      <c r="L66" s="65" t="str">
        <f>average(L57:L65)</f>
        <v>#DIV/0!</v>
      </c>
      <c r="M66" s="68"/>
      <c r="N66" s="69">
        <f>sum(N57:N65)</f>
        <v>5119880</v>
      </c>
      <c r="R66" s="80" t="str">
        <f t="shared" si="59"/>
        <v/>
      </c>
    </row>
    <row r="67">
      <c r="A67" s="70">
        <v>45967.0</v>
      </c>
      <c r="B67" s="36" t="s">
        <v>20</v>
      </c>
      <c r="C67" s="37">
        <v>392052.0</v>
      </c>
      <c r="D67" s="41">
        <v>392732.0</v>
      </c>
      <c r="E67" s="38">
        <f t="shared" ref="E67:E70" si="62">D67-C67</f>
        <v>680</v>
      </c>
      <c r="F67" s="39">
        <v>75.0</v>
      </c>
      <c r="G67" s="14">
        <f t="shared" ref="G67:G73" si="63">(F67/E67)*100</f>
        <v>11.02941176</v>
      </c>
      <c r="H67" s="137">
        <v>26094.0</v>
      </c>
      <c r="I67" s="89">
        <v>26292.0</v>
      </c>
      <c r="J67" s="41">
        <f t="shared" ref="J67:J73" si="64">I67-H67</f>
        <v>198</v>
      </c>
      <c r="K67" s="81">
        <f t="shared" ref="K67:K70" si="65">F67</f>
        <v>75</v>
      </c>
      <c r="L67" s="71">
        <f t="shared" ref="L67:L73" si="66">(K67/J67)*100</f>
        <v>37.87878788</v>
      </c>
      <c r="M67" s="72">
        <v>19320.0</v>
      </c>
      <c r="N67" s="44">
        <f t="shared" ref="N67:N70" si="67">F67*M67</f>
        <v>1449000</v>
      </c>
      <c r="R67" s="80" t="str">
        <f t="shared" si="59"/>
        <v/>
      </c>
    </row>
    <row r="68">
      <c r="A68" s="35">
        <v>45979.0</v>
      </c>
      <c r="B68" s="46" t="s">
        <v>20</v>
      </c>
      <c r="C68" s="41">
        <v>392732.0</v>
      </c>
      <c r="D68" s="37">
        <v>393250.0</v>
      </c>
      <c r="E68" s="12">
        <f t="shared" si="62"/>
        <v>518</v>
      </c>
      <c r="F68" s="47">
        <v>64.0</v>
      </c>
      <c r="G68" s="14">
        <f t="shared" si="63"/>
        <v>12.35521236</v>
      </c>
      <c r="H68" s="89">
        <v>26292.0</v>
      </c>
      <c r="I68" s="89">
        <v>26797.0</v>
      </c>
      <c r="J68" s="37">
        <f t="shared" si="64"/>
        <v>505</v>
      </c>
      <c r="K68" s="52">
        <f t="shared" si="65"/>
        <v>64</v>
      </c>
      <c r="L68" s="48">
        <f t="shared" si="66"/>
        <v>12.67326733</v>
      </c>
      <c r="M68" s="50">
        <v>19860.0</v>
      </c>
      <c r="N68" s="49">
        <f t="shared" si="67"/>
        <v>1271040</v>
      </c>
      <c r="R68" s="80" t="str">
        <f t="shared" si="59"/>
        <v/>
      </c>
    </row>
    <row r="69">
      <c r="A69" s="35">
        <v>45986.0</v>
      </c>
      <c r="B69" s="46" t="s">
        <v>20</v>
      </c>
      <c r="C69" s="37">
        <v>393250.0</v>
      </c>
      <c r="D69" s="37">
        <v>393946.0</v>
      </c>
      <c r="E69" s="12">
        <f t="shared" si="62"/>
        <v>696</v>
      </c>
      <c r="F69" s="47">
        <v>85.0</v>
      </c>
      <c r="G69" s="14">
        <f t="shared" si="63"/>
        <v>12.21264368</v>
      </c>
      <c r="H69" s="89">
        <v>26797.0</v>
      </c>
      <c r="I69" s="40">
        <v>27477.0</v>
      </c>
      <c r="J69" s="37">
        <f t="shared" si="64"/>
        <v>680</v>
      </c>
      <c r="K69" s="52">
        <f t="shared" si="65"/>
        <v>85</v>
      </c>
      <c r="L69" s="48">
        <f t="shared" si="66"/>
        <v>12.5</v>
      </c>
      <c r="M69" s="50">
        <v>19820.0</v>
      </c>
      <c r="N69" s="49">
        <f t="shared" si="67"/>
        <v>1684700</v>
      </c>
      <c r="R69" s="80" t="str">
        <f t="shared" si="59"/>
        <v/>
      </c>
    </row>
    <row r="70">
      <c r="A70" s="35"/>
      <c r="B70" s="46" t="s">
        <v>20</v>
      </c>
      <c r="C70" s="37"/>
      <c r="D70" s="37"/>
      <c r="E70" s="12">
        <f t="shared" si="62"/>
        <v>0</v>
      </c>
      <c r="F70" s="47"/>
      <c r="G70" s="14" t="str">
        <f t="shared" si="63"/>
        <v>#DIV/0!</v>
      </c>
      <c r="H70" s="40"/>
      <c r="I70" s="40"/>
      <c r="J70" s="37">
        <f t="shared" si="64"/>
        <v>0</v>
      </c>
      <c r="K70" s="52" t="str">
        <f t="shared" si="65"/>
        <v/>
      </c>
      <c r="L70" s="48" t="str">
        <f t="shared" si="66"/>
        <v>#DIV/0!</v>
      </c>
      <c r="M70" s="50"/>
      <c r="N70" s="49">
        <f t="shared" si="67"/>
        <v>0</v>
      </c>
      <c r="R70" s="80" t="str">
        <f t="shared" si="59"/>
        <v/>
      </c>
    </row>
    <row r="71">
      <c r="A71" s="35"/>
      <c r="B71" s="46" t="s">
        <v>20</v>
      </c>
      <c r="C71" s="37"/>
      <c r="D71" s="37"/>
      <c r="E71" s="12"/>
      <c r="F71" s="47"/>
      <c r="G71" s="14" t="str">
        <f t="shared" si="63"/>
        <v>#DIV/0!</v>
      </c>
      <c r="H71" s="37"/>
      <c r="I71" s="40"/>
      <c r="J71" s="37">
        <f t="shared" si="64"/>
        <v>0</v>
      </c>
      <c r="K71" s="52"/>
      <c r="L71" s="48" t="str">
        <f t="shared" si="66"/>
        <v>#DIV/0!</v>
      </c>
      <c r="M71" s="50"/>
      <c r="N71" s="49">
        <f>M71*K71</f>
        <v>0</v>
      </c>
      <c r="R71" s="80" t="str">
        <f t="shared" si="59"/>
        <v/>
      </c>
    </row>
    <row r="72">
      <c r="A72" s="35"/>
      <c r="B72" s="46" t="s">
        <v>20</v>
      </c>
      <c r="C72" s="37"/>
      <c r="D72" s="37"/>
      <c r="E72" s="12">
        <f t="shared" ref="E72:E73" si="68">D72-C72</f>
        <v>0</v>
      </c>
      <c r="F72" s="90"/>
      <c r="G72" s="14" t="str">
        <f t="shared" si="63"/>
        <v>#DIV/0!</v>
      </c>
      <c r="H72" s="37"/>
      <c r="I72" s="93"/>
      <c r="J72" s="37">
        <f t="shared" si="64"/>
        <v>0</v>
      </c>
      <c r="K72" s="52" t="str">
        <f t="shared" ref="K72:K73" si="69">F72</f>
        <v/>
      </c>
      <c r="L72" s="48" t="str">
        <f t="shared" si="66"/>
        <v>#DIV/0!</v>
      </c>
      <c r="M72" s="50"/>
      <c r="N72" s="49">
        <f t="shared" ref="N72:N73" si="70">F72*M72</f>
        <v>0</v>
      </c>
      <c r="R72" s="80" t="str">
        <f t="shared" si="59"/>
        <v/>
      </c>
    </row>
    <row r="73">
      <c r="A73" s="94"/>
      <c r="B73" s="267"/>
      <c r="C73" s="55"/>
      <c r="D73" s="95"/>
      <c r="E73" s="25">
        <f t="shared" si="68"/>
        <v>0</v>
      </c>
      <c r="F73" s="47"/>
      <c r="G73" s="56" t="str">
        <f t="shared" si="63"/>
        <v>#DIV/0!</v>
      </c>
      <c r="H73" s="55"/>
      <c r="I73" s="85"/>
      <c r="J73" s="55">
        <f t="shared" si="64"/>
        <v>0</v>
      </c>
      <c r="K73" s="52" t="str">
        <f t="shared" si="69"/>
        <v/>
      </c>
      <c r="L73" s="77" t="str">
        <f t="shared" si="66"/>
        <v>#DIV/0!</v>
      </c>
      <c r="M73" s="96"/>
      <c r="N73" s="59">
        <f t="shared" si="70"/>
        <v>0</v>
      </c>
      <c r="R73" s="80" t="str">
        <f t="shared" si="59"/>
        <v/>
      </c>
    </row>
    <row r="74">
      <c r="A74" s="62"/>
      <c r="B74" s="63"/>
      <c r="C74" s="62"/>
      <c r="D74" s="64" t="s">
        <v>19</v>
      </c>
      <c r="E74" s="64">
        <f>sum(E67:E73)</f>
        <v>1894</v>
      </c>
      <c r="F74" s="39"/>
      <c r="G74" s="65" t="str">
        <f>average(G67:G73)</f>
        <v>#DIV/0!</v>
      </c>
      <c r="H74" s="62"/>
      <c r="I74" s="66"/>
      <c r="J74" s="64">
        <f>sum(J67:J73)</f>
        <v>1383</v>
      </c>
      <c r="K74" s="64">
        <f>sum(K68:K73)</f>
        <v>149</v>
      </c>
      <c r="L74" s="65" t="str">
        <f>average(L67:L73)</f>
        <v>#DIV/0!</v>
      </c>
      <c r="M74" s="68"/>
      <c r="N74" s="69">
        <f>sum(N67:N73)</f>
        <v>4404740</v>
      </c>
      <c r="R74" s="80" t="str">
        <f t="shared" si="59"/>
        <v/>
      </c>
    </row>
    <row r="75">
      <c r="A75" s="91">
        <v>45964.0</v>
      </c>
      <c r="B75" s="36" t="s">
        <v>21</v>
      </c>
      <c r="C75" s="37">
        <v>372528.0</v>
      </c>
      <c r="D75" s="41">
        <v>373127.0</v>
      </c>
      <c r="E75" s="38">
        <f t="shared" ref="E75:E81" si="71">D75-C75</f>
        <v>599</v>
      </c>
      <c r="F75" s="39">
        <v>79.0</v>
      </c>
      <c r="G75" s="14">
        <f t="shared" ref="G75:G81" si="72">(F75/E75)*100</f>
        <v>13.18864775</v>
      </c>
      <c r="H75" s="268">
        <v>16736.0</v>
      </c>
      <c r="I75" s="271"/>
      <c r="J75" s="41">
        <f t="shared" ref="J75:J81" si="73">I75-H75</f>
        <v>-16736</v>
      </c>
      <c r="K75" s="81">
        <f t="shared" ref="K75:K81" si="74">F75</f>
        <v>79</v>
      </c>
      <c r="L75" s="71">
        <f t="shared" ref="L75:L81" si="75">(K75/J75)*100</f>
        <v>-0.4720363289</v>
      </c>
      <c r="M75" s="72">
        <v>19200.0</v>
      </c>
      <c r="N75" s="44">
        <f t="shared" ref="N75:N81" si="76">F75*M75</f>
        <v>1516800</v>
      </c>
      <c r="R75" s="80" t="str">
        <f t="shared" si="59"/>
        <v/>
      </c>
    </row>
    <row r="76">
      <c r="A76" s="92">
        <v>45968.0</v>
      </c>
      <c r="B76" s="46" t="s">
        <v>21</v>
      </c>
      <c r="C76" s="41">
        <v>373127.0</v>
      </c>
      <c r="D76" s="37"/>
      <c r="E76" s="12">
        <f t="shared" si="71"/>
        <v>-373127</v>
      </c>
      <c r="F76" s="47">
        <v>74.0</v>
      </c>
      <c r="G76" s="14">
        <f t="shared" si="72"/>
        <v>-0.01983238951</v>
      </c>
      <c r="H76" s="268">
        <v>16736.0</v>
      </c>
      <c r="I76" s="40">
        <v>17140.0</v>
      </c>
      <c r="J76" s="37">
        <f t="shared" si="73"/>
        <v>404</v>
      </c>
      <c r="K76" s="52">
        <f t="shared" si="74"/>
        <v>74</v>
      </c>
      <c r="L76" s="48">
        <f t="shared" si="75"/>
        <v>18.31683168</v>
      </c>
      <c r="M76" s="50">
        <v>19320.0</v>
      </c>
      <c r="N76" s="49">
        <f t="shared" si="76"/>
        <v>1429680</v>
      </c>
      <c r="R76" s="80" t="str">
        <f t="shared" si="59"/>
        <v/>
      </c>
    </row>
    <row r="77">
      <c r="A77" s="92">
        <v>45974.0</v>
      </c>
      <c r="B77" s="46" t="s">
        <v>21</v>
      </c>
      <c r="C77" s="37"/>
      <c r="D77" s="37"/>
      <c r="E77" s="12">
        <f t="shared" si="71"/>
        <v>0</v>
      </c>
      <c r="F77" s="47">
        <v>75.0</v>
      </c>
      <c r="G77" s="14" t="str">
        <f t="shared" si="72"/>
        <v>#DIV/0!</v>
      </c>
      <c r="H77" s="40">
        <v>17140.0</v>
      </c>
      <c r="I77" s="40">
        <v>17797.0</v>
      </c>
      <c r="J77" s="37">
        <f t="shared" si="73"/>
        <v>657</v>
      </c>
      <c r="K77" s="52">
        <f t="shared" si="74"/>
        <v>75</v>
      </c>
      <c r="L77" s="48">
        <f t="shared" si="75"/>
        <v>11.41552511</v>
      </c>
      <c r="M77" s="50">
        <v>19860.0</v>
      </c>
      <c r="N77" s="49">
        <f t="shared" si="76"/>
        <v>1489500</v>
      </c>
      <c r="R77" s="80" t="str">
        <f t="shared" si="59"/>
        <v/>
      </c>
    </row>
    <row r="78">
      <c r="A78" s="92">
        <v>45981.0</v>
      </c>
      <c r="B78" s="46" t="s">
        <v>21</v>
      </c>
      <c r="C78" s="37"/>
      <c r="D78" s="37"/>
      <c r="E78" s="12">
        <f t="shared" si="71"/>
        <v>0</v>
      </c>
      <c r="F78" s="47">
        <v>77.0</v>
      </c>
      <c r="G78" s="14" t="str">
        <f t="shared" si="72"/>
        <v>#DIV/0!</v>
      </c>
      <c r="H78" s="40">
        <v>17797.0</v>
      </c>
      <c r="I78" s="40">
        <v>18281.0</v>
      </c>
      <c r="J78" s="37">
        <f t="shared" si="73"/>
        <v>484</v>
      </c>
      <c r="K78" s="52">
        <f t="shared" si="74"/>
        <v>77</v>
      </c>
      <c r="L78" s="48">
        <f t="shared" si="75"/>
        <v>15.90909091</v>
      </c>
      <c r="M78" s="50">
        <v>19820.0</v>
      </c>
      <c r="N78" s="49">
        <f t="shared" si="76"/>
        <v>1526140</v>
      </c>
      <c r="R78" s="80" t="str">
        <f t="shared" si="59"/>
        <v/>
      </c>
    </row>
    <row r="79">
      <c r="A79" s="35">
        <v>45989.0</v>
      </c>
      <c r="B79" s="46" t="s">
        <v>21</v>
      </c>
      <c r="C79" s="37"/>
      <c r="D79" s="37">
        <v>375459.0</v>
      </c>
      <c r="E79" s="12">
        <f t="shared" si="71"/>
        <v>375459</v>
      </c>
      <c r="F79" s="47">
        <v>78.0</v>
      </c>
      <c r="G79" s="14">
        <f t="shared" si="72"/>
        <v>0.02077457192</v>
      </c>
      <c r="H79" s="40">
        <v>18281.0</v>
      </c>
      <c r="I79" s="40">
        <v>18829.0</v>
      </c>
      <c r="J79" s="37">
        <f t="shared" si="73"/>
        <v>548</v>
      </c>
      <c r="K79" s="52">
        <f t="shared" si="74"/>
        <v>78</v>
      </c>
      <c r="L79" s="48">
        <f t="shared" si="75"/>
        <v>14.23357664</v>
      </c>
      <c r="M79" s="50">
        <v>18800.0</v>
      </c>
      <c r="N79" s="49">
        <f t="shared" si="76"/>
        <v>1466400</v>
      </c>
      <c r="R79" s="80" t="str">
        <f t="shared" si="59"/>
        <v/>
      </c>
    </row>
    <row r="80">
      <c r="A80" s="92"/>
      <c r="B80" s="46" t="s">
        <v>37</v>
      </c>
      <c r="C80" s="37"/>
      <c r="D80" s="37"/>
      <c r="E80" s="12">
        <f t="shared" si="71"/>
        <v>0</v>
      </c>
      <c r="F80" s="47"/>
      <c r="G80" s="14" t="str">
        <f t="shared" si="72"/>
        <v>#DIV/0!</v>
      </c>
      <c r="H80" s="37"/>
      <c r="I80" s="93"/>
      <c r="J80" s="37">
        <f t="shared" si="73"/>
        <v>0</v>
      </c>
      <c r="K80" s="52" t="str">
        <f t="shared" si="74"/>
        <v/>
      </c>
      <c r="L80" s="48" t="str">
        <f t="shared" si="75"/>
        <v>#DIV/0!</v>
      </c>
      <c r="M80" s="50"/>
      <c r="N80" s="49">
        <f t="shared" si="76"/>
        <v>0</v>
      </c>
      <c r="R80" s="80" t="str">
        <f t="shared" si="59"/>
        <v/>
      </c>
    </row>
    <row r="81">
      <c r="A81" s="94"/>
      <c r="B81" s="267"/>
      <c r="C81" s="55"/>
      <c r="D81" s="95"/>
      <c r="E81" s="25">
        <f t="shared" si="71"/>
        <v>0</v>
      </c>
      <c r="F81" s="47"/>
      <c r="G81" s="56" t="str">
        <f t="shared" si="72"/>
        <v>#DIV/0!</v>
      </c>
      <c r="H81" s="55"/>
      <c r="I81" s="85"/>
      <c r="J81" s="55">
        <f t="shared" si="73"/>
        <v>0</v>
      </c>
      <c r="K81" s="52" t="str">
        <f t="shared" si="74"/>
        <v/>
      </c>
      <c r="L81" s="77" t="str">
        <f t="shared" si="75"/>
        <v>#DIV/0!</v>
      </c>
      <c r="M81" s="96"/>
      <c r="N81" s="59">
        <f t="shared" si="76"/>
        <v>0</v>
      </c>
      <c r="R81" s="80" t="str">
        <f t="shared" si="59"/>
        <v/>
      </c>
    </row>
    <row r="82">
      <c r="A82" s="62"/>
      <c r="B82" s="63"/>
      <c r="C82" s="62"/>
      <c r="D82" s="64" t="s">
        <v>19</v>
      </c>
      <c r="E82" s="64">
        <f>sum(E75:E81)</f>
        <v>2931</v>
      </c>
      <c r="F82" s="39"/>
      <c r="G82" s="65" t="str">
        <f>average(G75:G81)</f>
        <v>#DIV/0!</v>
      </c>
      <c r="H82" s="62"/>
      <c r="I82" s="66"/>
      <c r="J82" s="64">
        <f t="shared" ref="J82:K82" si="77">sum(J75:J81)</f>
        <v>-14643</v>
      </c>
      <c r="K82" s="64">
        <f t="shared" si="77"/>
        <v>383</v>
      </c>
      <c r="L82" s="65" t="str">
        <f>average(L75:L81)</f>
        <v>#DIV/0!</v>
      </c>
      <c r="M82" s="68"/>
      <c r="N82" s="69">
        <f>sum(N75:N81)</f>
        <v>7428520</v>
      </c>
      <c r="R82" s="80" t="str">
        <f t="shared" si="59"/>
        <v/>
      </c>
    </row>
    <row r="83">
      <c r="A83" s="70">
        <v>45965.0</v>
      </c>
      <c r="B83" s="87" t="s">
        <v>22</v>
      </c>
      <c r="C83" s="37">
        <v>206467.0</v>
      </c>
      <c r="D83" s="13">
        <v>207132.0</v>
      </c>
      <c r="E83" s="38">
        <f t="shared" ref="E83:E89" si="78">D83-C83</f>
        <v>665</v>
      </c>
      <c r="F83" s="39">
        <v>74.0</v>
      </c>
      <c r="G83" s="14">
        <f t="shared" ref="G83:G89" si="79">(F83/E83)*100</f>
        <v>11.12781955</v>
      </c>
      <c r="H83" s="137"/>
      <c r="I83" s="138"/>
      <c r="J83" s="41">
        <f t="shared" ref="J83:J89" si="80">I83-H83</f>
        <v>0</v>
      </c>
      <c r="K83" s="81">
        <f t="shared" ref="K83:K89" si="81">F83</f>
        <v>74</v>
      </c>
      <c r="L83" s="71" t="str">
        <f t="shared" ref="L83:L89" si="82">(K83/J83)*100</f>
        <v>#DIV/0!</v>
      </c>
      <c r="M83" s="72">
        <v>19200.0</v>
      </c>
      <c r="N83" s="44">
        <f t="shared" ref="N83:N89" si="83">F83*M83</f>
        <v>1420800</v>
      </c>
      <c r="R83" s="80" t="str">
        <f t="shared" si="59"/>
        <v/>
      </c>
    </row>
    <row r="84">
      <c r="A84" s="35">
        <v>45973.0</v>
      </c>
      <c r="B84" s="46" t="s">
        <v>22</v>
      </c>
      <c r="C84" s="13">
        <v>207132.0</v>
      </c>
      <c r="D84" s="37">
        <v>207816.0</v>
      </c>
      <c r="E84" s="12">
        <f t="shared" si="78"/>
        <v>684</v>
      </c>
      <c r="F84" s="47">
        <v>82.0</v>
      </c>
      <c r="G84" s="14">
        <f t="shared" si="79"/>
        <v>11.98830409</v>
      </c>
      <c r="H84" s="40"/>
      <c r="I84" s="40">
        <v>17346.0</v>
      </c>
      <c r="J84" s="37">
        <f t="shared" si="80"/>
        <v>17346</v>
      </c>
      <c r="K84" s="52">
        <f t="shared" si="81"/>
        <v>82</v>
      </c>
      <c r="L84" s="48">
        <f t="shared" si="82"/>
        <v>0.4727314655</v>
      </c>
      <c r="M84" s="50">
        <v>19320.0</v>
      </c>
      <c r="N84" s="49">
        <f t="shared" si="83"/>
        <v>1584240</v>
      </c>
      <c r="R84" s="80" t="str">
        <f t="shared" si="59"/>
        <v/>
      </c>
    </row>
    <row r="85">
      <c r="A85" s="35">
        <v>45980.0</v>
      </c>
      <c r="B85" s="46" t="s">
        <v>22</v>
      </c>
      <c r="C85" s="37">
        <v>207816.0</v>
      </c>
      <c r="D85" s="37">
        <v>208483.0</v>
      </c>
      <c r="E85" s="12">
        <f t="shared" si="78"/>
        <v>667</v>
      </c>
      <c r="F85" s="47">
        <v>83.0</v>
      </c>
      <c r="G85" s="14">
        <f t="shared" si="79"/>
        <v>12.44377811</v>
      </c>
      <c r="H85" s="40">
        <v>17346.0</v>
      </c>
      <c r="I85" s="40">
        <v>17952.0</v>
      </c>
      <c r="J85" s="37">
        <f t="shared" si="80"/>
        <v>606</v>
      </c>
      <c r="K85" s="52">
        <f t="shared" si="81"/>
        <v>83</v>
      </c>
      <c r="L85" s="48">
        <f t="shared" si="82"/>
        <v>13.69636964</v>
      </c>
      <c r="M85" s="50">
        <v>19860.0</v>
      </c>
      <c r="N85" s="49">
        <f t="shared" si="83"/>
        <v>1648380</v>
      </c>
      <c r="R85" s="80" t="str">
        <f t="shared" si="59"/>
        <v/>
      </c>
    </row>
    <row r="86">
      <c r="A86" s="35">
        <v>45989.0</v>
      </c>
      <c r="B86" s="46" t="s">
        <v>22</v>
      </c>
      <c r="C86" s="37">
        <v>208483.0</v>
      </c>
      <c r="D86" s="37">
        <v>209110.0</v>
      </c>
      <c r="E86" s="12">
        <f t="shared" si="78"/>
        <v>627</v>
      </c>
      <c r="F86" s="47">
        <v>80.0</v>
      </c>
      <c r="G86" s="14">
        <f t="shared" si="79"/>
        <v>12.75917065</v>
      </c>
      <c r="H86" s="40">
        <v>17952.0</v>
      </c>
      <c r="I86" s="40">
        <v>18585.0</v>
      </c>
      <c r="J86" s="37">
        <f t="shared" si="80"/>
        <v>633</v>
      </c>
      <c r="K86" s="52">
        <f t="shared" si="81"/>
        <v>80</v>
      </c>
      <c r="L86" s="48">
        <f t="shared" si="82"/>
        <v>12.63823065</v>
      </c>
      <c r="M86" s="50">
        <v>18800.0</v>
      </c>
      <c r="N86" s="49">
        <f t="shared" si="83"/>
        <v>1504000</v>
      </c>
      <c r="R86" s="80" t="str">
        <f t="shared" si="59"/>
        <v/>
      </c>
    </row>
    <row r="87">
      <c r="A87" s="35"/>
      <c r="B87" s="46" t="s">
        <v>22</v>
      </c>
      <c r="C87" s="37"/>
      <c r="D87" s="37"/>
      <c r="E87" s="12">
        <f t="shared" si="78"/>
        <v>0</v>
      </c>
      <c r="F87" s="47"/>
      <c r="G87" s="14" t="str">
        <f t="shared" si="79"/>
        <v>#DIV/0!</v>
      </c>
      <c r="H87" s="37"/>
      <c r="I87" s="40"/>
      <c r="J87" s="37">
        <f t="shared" si="80"/>
        <v>0</v>
      </c>
      <c r="K87" s="52" t="str">
        <f t="shared" si="81"/>
        <v/>
      </c>
      <c r="L87" s="48" t="str">
        <f t="shared" si="82"/>
        <v>#DIV/0!</v>
      </c>
      <c r="M87" s="50"/>
      <c r="N87" s="49">
        <f t="shared" si="83"/>
        <v>0</v>
      </c>
      <c r="R87" s="80" t="str">
        <f t="shared" si="59"/>
        <v/>
      </c>
    </row>
    <row r="88">
      <c r="A88" s="92"/>
      <c r="B88" s="46" t="s">
        <v>22</v>
      </c>
      <c r="C88" s="37"/>
      <c r="D88" s="37"/>
      <c r="E88" s="12">
        <f t="shared" si="78"/>
        <v>0</v>
      </c>
      <c r="F88" s="47"/>
      <c r="G88" s="14" t="str">
        <f t="shared" si="79"/>
        <v>#DIV/0!</v>
      </c>
      <c r="H88" s="37"/>
      <c r="I88" s="93"/>
      <c r="J88" s="37">
        <f t="shared" si="80"/>
        <v>0</v>
      </c>
      <c r="K88" s="52" t="str">
        <f t="shared" si="81"/>
        <v/>
      </c>
      <c r="L88" s="48" t="str">
        <f t="shared" si="82"/>
        <v>#DIV/0!</v>
      </c>
      <c r="M88" s="50"/>
      <c r="N88" s="49">
        <f t="shared" si="83"/>
        <v>0</v>
      </c>
      <c r="R88" s="80" t="str">
        <f t="shared" si="59"/>
        <v/>
      </c>
    </row>
    <row r="89">
      <c r="A89" s="97"/>
      <c r="B89" s="267"/>
      <c r="C89" s="55"/>
      <c r="D89" s="95"/>
      <c r="E89" s="25">
        <f t="shared" si="78"/>
        <v>0</v>
      </c>
      <c r="F89" s="47"/>
      <c r="G89" s="56" t="str">
        <f t="shared" si="79"/>
        <v>#DIV/0!</v>
      </c>
      <c r="H89" s="55"/>
      <c r="I89" s="57"/>
      <c r="J89" s="55">
        <f t="shared" si="80"/>
        <v>0</v>
      </c>
      <c r="K89" s="52" t="str">
        <f t="shared" si="81"/>
        <v/>
      </c>
      <c r="L89" s="77" t="str">
        <f t="shared" si="82"/>
        <v>#DIV/0!</v>
      </c>
      <c r="M89" s="96"/>
      <c r="N89" s="59">
        <f t="shared" si="83"/>
        <v>0</v>
      </c>
      <c r="R89" s="80" t="str">
        <f t="shared" si="59"/>
        <v/>
      </c>
    </row>
    <row r="90">
      <c r="A90" s="62"/>
      <c r="B90" s="63"/>
      <c r="C90" s="62"/>
      <c r="D90" s="64" t="s">
        <v>19</v>
      </c>
      <c r="E90" s="64">
        <f>sum(E83:E89)</f>
        <v>2643</v>
      </c>
      <c r="F90" s="64">
        <f>sum(F82:F89)</f>
        <v>319</v>
      </c>
      <c r="G90" s="65" t="str">
        <f>average(G83:G89)</f>
        <v>#DIV/0!</v>
      </c>
      <c r="H90" s="62"/>
      <c r="I90" s="66"/>
      <c r="J90" s="64">
        <f t="shared" ref="J90:K90" si="84">sum(J83:J89)</f>
        <v>18585</v>
      </c>
      <c r="K90" s="64">
        <f t="shared" si="84"/>
        <v>319</v>
      </c>
      <c r="L90" s="65" t="str">
        <f>average(L83:L89)</f>
        <v>#DIV/0!</v>
      </c>
      <c r="M90" s="68"/>
      <c r="N90" s="69">
        <f>sum(N83:N89)</f>
        <v>6157420</v>
      </c>
      <c r="R90" s="80" t="str">
        <f t="shared" si="59"/>
        <v/>
      </c>
    </row>
    <row r="91">
      <c r="A91" s="98">
        <v>45968.0</v>
      </c>
      <c r="B91" s="99" t="s">
        <v>38</v>
      </c>
      <c r="C91" s="100">
        <v>163506.0</v>
      </c>
      <c r="D91" s="41">
        <v>164133.0</v>
      </c>
      <c r="E91" s="38">
        <f t="shared" ref="E91:E96" si="85">D91-C91</f>
        <v>627</v>
      </c>
      <c r="F91" s="39">
        <v>70.0</v>
      </c>
      <c r="G91" s="14">
        <f t="shared" ref="G91:G96" si="86">(F91/E91)*100</f>
        <v>11.16427432</v>
      </c>
      <c r="H91" s="137">
        <v>19667.0</v>
      </c>
      <c r="I91" s="81">
        <v>19798.0</v>
      </c>
      <c r="J91" s="41">
        <f t="shared" ref="J91:J96" si="87">I91-H91</f>
        <v>131</v>
      </c>
      <c r="K91" s="81">
        <f t="shared" ref="K91:K96" si="88">F91</f>
        <v>70</v>
      </c>
      <c r="L91" s="71">
        <f t="shared" ref="L91:L96" si="89">(K91/J91)*100</f>
        <v>53.4351145</v>
      </c>
      <c r="M91" s="72">
        <v>19320.0</v>
      </c>
      <c r="N91" s="44">
        <f t="shared" ref="N91:N96" si="90">F91*M91</f>
        <v>1352400</v>
      </c>
      <c r="R91" s="80" t="str">
        <f t="shared" si="59"/>
        <v/>
      </c>
    </row>
    <row r="92">
      <c r="A92" s="101">
        <v>45974.0</v>
      </c>
      <c r="B92" s="46" t="s">
        <v>38</v>
      </c>
      <c r="C92" s="41">
        <v>164133.0</v>
      </c>
      <c r="D92" s="37">
        <v>164670.0</v>
      </c>
      <c r="E92" s="12">
        <f t="shared" si="85"/>
        <v>537</v>
      </c>
      <c r="F92" s="47">
        <v>69.0</v>
      </c>
      <c r="G92" s="14">
        <f t="shared" si="86"/>
        <v>12.84916201</v>
      </c>
      <c r="H92" s="81">
        <v>19798.0</v>
      </c>
      <c r="I92" s="40">
        <v>20312.0</v>
      </c>
      <c r="J92" s="37">
        <f t="shared" si="87"/>
        <v>514</v>
      </c>
      <c r="K92" s="52">
        <f t="shared" si="88"/>
        <v>69</v>
      </c>
      <c r="L92" s="48">
        <f t="shared" si="89"/>
        <v>13.42412451</v>
      </c>
      <c r="M92" s="50">
        <v>19320.0</v>
      </c>
      <c r="N92" s="49">
        <f t="shared" si="90"/>
        <v>1333080</v>
      </c>
      <c r="R92" s="80" t="str">
        <f t="shared" si="59"/>
        <v/>
      </c>
    </row>
    <row r="93">
      <c r="A93" s="101">
        <v>45986.0</v>
      </c>
      <c r="B93" s="46" t="s">
        <v>38</v>
      </c>
      <c r="C93" s="37">
        <v>164670.0</v>
      </c>
      <c r="D93" s="37">
        <v>165333.0</v>
      </c>
      <c r="E93" s="12">
        <f t="shared" si="85"/>
        <v>663</v>
      </c>
      <c r="F93" s="47">
        <v>77.0</v>
      </c>
      <c r="G93" s="14">
        <f t="shared" si="86"/>
        <v>11.61387632</v>
      </c>
      <c r="H93" s="40">
        <v>20312.0</v>
      </c>
      <c r="I93" s="40">
        <v>21012.0</v>
      </c>
      <c r="J93" s="37">
        <f t="shared" si="87"/>
        <v>700</v>
      </c>
      <c r="K93" s="52">
        <f t="shared" si="88"/>
        <v>77</v>
      </c>
      <c r="L93" s="48">
        <f t="shared" si="89"/>
        <v>11</v>
      </c>
      <c r="M93" s="50">
        <v>19820.0</v>
      </c>
      <c r="N93" s="49">
        <f t="shared" si="90"/>
        <v>1526140</v>
      </c>
      <c r="R93" s="80" t="str">
        <f t="shared" si="59"/>
        <v/>
      </c>
    </row>
    <row r="94">
      <c r="A94" s="101"/>
      <c r="B94" s="46" t="s">
        <v>38</v>
      </c>
      <c r="C94" s="278"/>
      <c r="D94" s="37"/>
      <c r="E94" s="12">
        <f t="shared" si="85"/>
        <v>0</v>
      </c>
      <c r="F94" s="47"/>
      <c r="G94" s="14" t="str">
        <f t="shared" si="86"/>
        <v>#DIV/0!</v>
      </c>
      <c r="H94" s="40"/>
      <c r="I94" s="40"/>
      <c r="J94" s="37">
        <f t="shared" si="87"/>
        <v>0</v>
      </c>
      <c r="K94" s="52" t="str">
        <f t="shared" si="88"/>
        <v/>
      </c>
      <c r="L94" s="48" t="str">
        <f t="shared" si="89"/>
        <v>#DIV/0!</v>
      </c>
      <c r="M94" s="50"/>
      <c r="N94" s="49">
        <f t="shared" si="90"/>
        <v>0</v>
      </c>
      <c r="R94" s="80" t="str">
        <f t="shared" si="59"/>
        <v/>
      </c>
    </row>
    <row r="95">
      <c r="A95" s="101"/>
      <c r="B95" s="46" t="s">
        <v>38</v>
      </c>
      <c r="C95" s="37"/>
      <c r="D95" s="100"/>
      <c r="E95" s="12">
        <f t="shared" si="85"/>
        <v>0</v>
      </c>
      <c r="F95" s="47"/>
      <c r="G95" s="14" t="str">
        <f t="shared" si="86"/>
        <v>#DIV/0!</v>
      </c>
      <c r="H95" s="37"/>
      <c r="I95" s="40"/>
      <c r="J95" s="37">
        <f t="shared" si="87"/>
        <v>0</v>
      </c>
      <c r="K95" s="52" t="str">
        <f t="shared" si="88"/>
        <v/>
      </c>
      <c r="L95" s="48" t="str">
        <f t="shared" si="89"/>
        <v>#DIV/0!</v>
      </c>
      <c r="M95" s="50"/>
      <c r="N95" s="49">
        <f t="shared" si="90"/>
        <v>0</v>
      </c>
      <c r="R95" s="80" t="str">
        <f t="shared" si="59"/>
        <v/>
      </c>
    </row>
    <row r="96">
      <c r="A96" s="102"/>
      <c r="B96" s="103" t="s">
        <v>38</v>
      </c>
      <c r="C96" s="104"/>
      <c r="D96" s="105"/>
      <c r="E96" s="12">
        <f t="shared" si="85"/>
        <v>0</v>
      </c>
      <c r="F96" s="47"/>
      <c r="G96" s="106" t="str">
        <f t="shared" si="86"/>
        <v>#DIV/0!</v>
      </c>
      <c r="H96" s="107"/>
      <c r="I96" s="108"/>
      <c r="J96" s="107">
        <f t="shared" si="87"/>
        <v>0</v>
      </c>
      <c r="K96" s="52" t="str">
        <f t="shared" si="88"/>
        <v/>
      </c>
      <c r="L96" s="109" t="str">
        <f t="shared" si="89"/>
        <v>#DIV/0!</v>
      </c>
      <c r="M96" s="110"/>
      <c r="N96" s="111">
        <f t="shared" si="90"/>
        <v>0</v>
      </c>
      <c r="R96" s="80" t="str">
        <f t="shared" si="59"/>
        <v/>
      </c>
    </row>
    <row r="97">
      <c r="A97" s="112"/>
      <c r="B97" s="113"/>
      <c r="C97" s="114"/>
      <c r="D97" s="115" t="s">
        <v>19</v>
      </c>
      <c r="E97" s="116">
        <f>SUM(E91:E96)</f>
        <v>1827</v>
      </c>
      <c r="F97" s="64">
        <f>sum(F89:F96)</f>
        <v>535</v>
      </c>
      <c r="G97" s="117" t="str">
        <f>average(G91:G96)</f>
        <v>#DIV/0!</v>
      </c>
      <c r="H97" s="114"/>
      <c r="I97" s="118"/>
      <c r="J97" s="115">
        <f t="shared" ref="J97:K97" si="91">sum(J91:J96)</f>
        <v>1345</v>
      </c>
      <c r="K97" s="115">
        <f t="shared" si="91"/>
        <v>216</v>
      </c>
      <c r="L97" s="119" t="str">
        <f>average(L91:L96)</f>
        <v>#DIV/0!</v>
      </c>
      <c r="M97" s="120"/>
      <c r="N97" s="269">
        <f>sum(N91:N96)</f>
        <v>4211620</v>
      </c>
      <c r="R97" s="80" t="str">
        <f t="shared" si="59"/>
        <v/>
      </c>
    </row>
    <row r="98">
      <c r="A98" s="122">
        <v>45971.0</v>
      </c>
      <c r="B98" s="123" t="s">
        <v>39</v>
      </c>
      <c r="C98" s="37">
        <v>114535.0</v>
      </c>
      <c r="D98" s="89">
        <v>115309.0</v>
      </c>
      <c r="E98" s="38">
        <f t="shared" ref="E98:E104" si="92">D98-C98</f>
        <v>774</v>
      </c>
      <c r="F98" s="39">
        <v>85.0</v>
      </c>
      <c r="G98" s="124">
        <f t="shared" ref="G98:G104" si="93">(F98/E98)*100</f>
        <v>10.98191214</v>
      </c>
      <c r="H98" s="137">
        <v>20939.0</v>
      </c>
      <c r="I98" s="271">
        <v>21430.0</v>
      </c>
      <c r="J98" s="89">
        <f t="shared" ref="J98:J104" si="94">I98-H98</f>
        <v>491</v>
      </c>
      <c r="K98" s="81">
        <v>85.0</v>
      </c>
      <c r="L98" s="125">
        <f t="shared" ref="L98:L104" si="95">(K98/J98)*100</f>
        <v>17.31160896</v>
      </c>
      <c r="M98" s="126">
        <v>19320.0</v>
      </c>
      <c r="N98" s="270">
        <f t="shared" ref="N98:N104" si="96">F98*M98</f>
        <v>1642200</v>
      </c>
      <c r="R98" s="80" t="str">
        <f t="shared" si="59"/>
        <v/>
      </c>
    </row>
    <row r="99">
      <c r="A99" s="127">
        <v>45978.0</v>
      </c>
      <c r="B99" s="46" t="s">
        <v>39</v>
      </c>
      <c r="C99" s="89">
        <v>115309.0</v>
      </c>
      <c r="D99" s="37">
        <v>116064.0</v>
      </c>
      <c r="E99" s="12">
        <f t="shared" si="92"/>
        <v>755</v>
      </c>
      <c r="F99" s="47">
        <v>81.0</v>
      </c>
      <c r="G99" s="14">
        <f t="shared" si="93"/>
        <v>10.72847682</v>
      </c>
      <c r="H99" s="271">
        <v>21430.0</v>
      </c>
      <c r="I99" s="16">
        <v>22073.0</v>
      </c>
      <c r="J99" s="37">
        <f t="shared" si="94"/>
        <v>643</v>
      </c>
      <c r="K99" s="81">
        <v>81.0</v>
      </c>
      <c r="L99" s="48">
        <f t="shared" si="95"/>
        <v>12.59720062</v>
      </c>
      <c r="M99" s="50">
        <v>19860.0</v>
      </c>
      <c r="N99" s="270">
        <f t="shared" si="96"/>
        <v>1608660</v>
      </c>
      <c r="R99" s="80" t="str">
        <f t="shared" si="59"/>
        <v/>
      </c>
      <c r="S99" s="257"/>
      <c r="T99" s="257"/>
      <c r="U99" s="257"/>
      <c r="V99" s="257"/>
      <c r="W99" s="257"/>
      <c r="X99" s="257"/>
      <c r="Y99" s="257"/>
      <c r="Z99" s="257"/>
    </row>
    <row r="100">
      <c r="A100" s="127">
        <v>45987.0</v>
      </c>
      <c r="B100" s="46" t="s">
        <v>39</v>
      </c>
      <c r="C100" s="37">
        <v>116064.0</v>
      </c>
      <c r="D100" s="37">
        <v>116865.0</v>
      </c>
      <c r="E100" s="12">
        <f t="shared" si="92"/>
        <v>801</v>
      </c>
      <c r="F100" s="47">
        <v>86.0</v>
      </c>
      <c r="G100" s="14">
        <f t="shared" si="93"/>
        <v>10.73657928</v>
      </c>
      <c r="H100" s="16">
        <v>22073.0</v>
      </c>
      <c r="I100" s="40">
        <v>22862.0</v>
      </c>
      <c r="J100" s="37">
        <f t="shared" si="94"/>
        <v>789</v>
      </c>
      <c r="K100" s="52">
        <f>F100</f>
        <v>86</v>
      </c>
      <c r="L100" s="48">
        <f t="shared" si="95"/>
        <v>10.89987326</v>
      </c>
      <c r="M100" s="50">
        <v>19820.0</v>
      </c>
      <c r="N100" s="270">
        <f t="shared" si="96"/>
        <v>1704520</v>
      </c>
      <c r="P100" s="82"/>
      <c r="R100" s="80" t="str">
        <f t="shared" si="59"/>
        <v/>
      </c>
    </row>
    <row r="101">
      <c r="A101" s="127"/>
      <c r="B101" s="46" t="s">
        <v>39</v>
      </c>
      <c r="C101" s="37"/>
      <c r="D101" s="37"/>
      <c r="E101" s="12">
        <f t="shared" si="92"/>
        <v>0</v>
      </c>
      <c r="F101" s="47"/>
      <c r="G101" s="14" t="str">
        <f t="shared" si="93"/>
        <v>#DIV/0!</v>
      </c>
      <c r="H101" s="37"/>
      <c r="I101" s="40"/>
      <c r="J101" s="37">
        <f t="shared" si="94"/>
        <v>0</v>
      </c>
      <c r="K101" s="81"/>
      <c r="L101" s="48" t="str">
        <f t="shared" si="95"/>
        <v>#DIV/0!</v>
      </c>
      <c r="M101" s="50"/>
      <c r="N101" s="49">
        <f t="shared" si="96"/>
        <v>0</v>
      </c>
      <c r="R101" s="80" t="str">
        <f t="shared" si="59"/>
        <v/>
      </c>
    </row>
    <row r="102">
      <c r="A102" s="35"/>
      <c r="B102" s="46" t="s">
        <v>39</v>
      </c>
      <c r="C102" s="37"/>
      <c r="D102" s="37"/>
      <c r="E102" s="12">
        <f t="shared" si="92"/>
        <v>0</v>
      </c>
      <c r="F102" s="47"/>
      <c r="G102" s="14" t="str">
        <f t="shared" si="93"/>
        <v>#DIV/0!</v>
      </c>
      <c r="H102" s="37"/>
      <c r="I102" s="40"/>
      <c r="J102" s="37">
        <f t="shared" si="94"/>
        <v>0</v>
      </c>
      <c r="K102" s="81"/>
      <c r="L102" s="48" t="str">
        <f t="shared" si="95"/>
        <v>#DIV/0!</v>
      </c>
      <c r="M102" s="50"/>
      <c r="N102" s="49">
        <f t="shared" si="96"/>
        <v>0</v>
      </c>
      <c r="R102" s="80" t="str">
        <f t="shared" si="59"/>
        <v/>
      </c>
    </row>
    <row r="103">
      <c r="A103" s="258"/>
      <c r="B103" s="46" t="s">
        <v>39</v>
      </c>
      <c r="C103" s="37"/>
      <c r="D103" s="133"/>
      <c r="E103" s="12">
        <f t="shared" si="92"/>
        <v>0</v>
      </c>
      <c r="F103" s="47"/>
      <c r="G103" s="14" t="str">
        <f t="shared" si="93"/>
        <v>#DIV/0!</v>
      </c>
      <c r="H103" s="37"/>
      <c r="I103" s="93"/>
      <c r="J103" s="37">
        <f t="shared" si="94"/>
        <v>0</v>
      </c>
      <c r="K103" s="81"/>
      <c r="L103" s="48" t="str">
        <f t="shared" si="95"/>
        <v>#DIV/0!</v>
      </c>
      <c r="M103" s="134"/>
      <c r="N103" s="49">
        <f t="shared" si="96"/>
        <v>0</v>
      </c>
      <c r="R103" s="80" t="str">
        <f t="shared" si="59"/>
        <v/>
      </c>
    </row>
    <row r="104">
      <c r="A104" s="94"/>
      <c r="B104" s="267"/>
      <c r="C104" s="55"/>
      <c r="D104" s="95"/>
      <c r="E104" s="25">
        <f t="shared" si="92"/>
        <v>0</v>
      </c>
      <c r="F104" s="47"/>
      <c r="G104" s="56" t="str">
        <f t="shared" si="93"/>
        <v>#DIV/0!</v>
      </c>
      <c r="H104" s="55"/>
      <c r="I104" s="85"/>
      <c r="J104" s="55">
        <f t="shared" si="94"/>
        <v>0</v>
      </c>
      <c r="K104" s="81"/>
      <c r="L104" s="77" t="str">
        <f t="shared" si="95"/>
        <v>#DIV/0!</v>
      </c>
      <c r="M104" s="96"/>
      <c r="N104" s="59">
        <f t="shared" si="96"/>
        <v>0</v>
      </c>
      <c r="R104" s="80" t="str">
        <f t="shared" si="59"/>
        <v/>
      </c>
    </row>
    <row r="105">
      <c r="A105" s="62"/>
      <c r="B105" s="63"/>
      <c r="C105" s="62"/>
      <c r="D105" s="64" t="s">
        <v>19</v>
      </c>
      <c r="E105" s="64">
        <f>sum(E91:E104)</f>
        <v>5984</v>
      </c>
      <c r="F105" s="64">
        <f>sum(F97:F104)</f>
        <v>787</v>
      </c>
      <c r="G105" s="65" t="str">
        <f>average(G91:G104)</f>
        <v>#DIV/0!</v>
      </c>
      <c r="H105" s="62"/>
      <c r="I105" s="66"/>
      <c r="J105" s="64">
        <f t="shared" ref="J105:K105" si="97">sum(J91:J104)</f>
        <v>4613</v>
      </c>
      <c r="K105" s="64">
        <f t="shared" si="97"/>
        <v>684</v>
      </c>
      <c r="L105" s="65" t="str">
        <f>average(L91:L104)</f>
        <v>#DIV/0!</v>
      </c>
      <c r="M105" s="68"/>
      <c r="N105" s="69">
        <f>sum(N98:N104)</f>
        <v>4955380</v>
      </c>
      <c r="R105" s="80" t="str">
        <f t="shared" si="59"/>
        <v/>
      </c>
    </row>
    <row r="106">
      <c r="A106" s="70">
        <v>45963.0</v>
      </c>
      <c r="B106" s="99" t="s">
        <v>40</v>
      </c>
      <c r="C106" s="13">
        <v>109963.0</v>
      </c>
      <c r="D106" s="13">
        <v>110652.0</v>
      </c>
      <c r="E106" s="38">
        <f t="shared" ref="E106:E112" si="98">D106-C106</f>
        <v>689</v>
      </c>
      <c r="F106" s="39">
        <v>78.0</v>
      </c>
      <c r="G106" s="14">
        <f t="shared" ref="G106:G112" si="99">(F106/E106)*100</f>
        <v>11.32075472</v>
      </c>
      <c r="H106" s="137">
        <v>109825.0</v>
      </c>
      <c r="I106" s="275"/>
      <c r="J106" s="41">
        <f t="shared" ref="J106:J112" si="100">I106-H106</f>
        <v>-109825</v>
      </c>
      <c r="K106" s="81">
        <f t="shared" ref="K106:K112" si="101">F106</f>
        <v>78</v>
      </c>
      <c r="L106" s="71">
        <f t="shared" ref="L106:L112" si="102">(K106/J106)*100</f>
        <v>-0.07102208058</v>
      </c>
      <c r="M106" s="72">
        <v>19200.0</v>
      </c>
      <c r="N106" s="44">
        <f t="shared" ref="N106:N112" si="103">F106*M106</f>
        <v>1497600</v>
      </c>
      <c r="R106" s="80" t="str">
        <f t="shared" si="59"/>
        <v/>
      </c>
    </row>
    <row r="107">
      <c r="A107" s="45">
        <v>45967.0</v>
      </c>
      <c r="B107" s="51" t="s">
        <v>40</v>
      </c>
      <c r="C107" s="13">
        <v>110652.0</v>
      </c>
      <c r="D107" s="11">
        <v>111310.0</v>
      </c>
      <c r="E107" s="53">
        <f t="shared" si="98"/>
        <v>658</v>
      </c>
      <c r="F107" s="54">
        <v>79.0</v>
      </c>
      <c r="G107" s="14">
        <f t="shared" si="99"/>
        <v>12.00607903</v>
      </c>
      <c r="H107" s="137">
        <v>109825.0</v>
      </c>
      <c r="I107" s="40">
        <v>110025.0</v>
      </c>
      <c r="J107" s="37">
        <f t="shared" si="100"/>
        <v>200</v>
      </c>
      <c r="K107" s="52">
        <f t="shared" si="101"/>
        <v>79</v>
      </c>
      <c r="L107" s="48">
        <f t="shared" si="102"/>
        <v>39.5</v>
      </c>
      <c r="M107" s="50">
        <v>19320.0</v>
      </c>
      <c r="N107" s="49">
        <f t="shared" si="103"/>
        <v>1526280</v>
      </c>
      <c r="R107" s="80" t="str">
        <f t="shared" si="59"/>
        <v/>
      </c>
    </row>
    <row r="108">
      <c r="A108" s="35">
        <v>45973.0</v>
      </c>
      <c r="B108" s="46" t="s">
        <v>40</v>
      </c>
      <c r="C108" s="11">
        <v>111310.0</v>
      </c>
      <c r="D108" s="13">
        <v>111985.0</v>
      </c>
      <c r="E108" s="12">
        <f t="shared" si="98"/>
        <v>675</v>
      </c>
      <c r="F108" s="47">
        <v>75.0</v>
      </c>
      <c r="G108" s="14">
        <f t="shared" si="99"/>
        <v>11.11111111</v>
      </c>
      <c r="H108" s="40">
        <v>110025.0</v>
      </c>
      <c r="I108" s="40">
        <v>110593.0</v>
      </c>
      <c r="J108" s="37">
        <f t="shared" si="100"/>
        <v>568</v>
      </c>
      <c r="K108" s="52">
        <f t="shared" si="101"/>
        <v>75</v>
      </c>
      <c r="L108" s="48">
        <f t="shared" si="102"/>
        <v>13.20422535</v>
      </c>
      <c r="M108" s="50">
        <v>19320.0</v>
      </c>
      <c r="N108" s="49">
        <f t="shared" si="103"/>
        <v>1449000</v>
      </c>
      <c r="R108" s="80" t="str">
        <f t="shared" si="59"/>
        <v/>
      </c>
    </row>
    <row r="109">
      <c r="A109" s="35">
        <v>45981.0</v>
      </c>
      <c r="B109" s="46" t="s">
        <v>40</v>
      </c>
      <c r="C109" s="13">
        <v>111985.0</v>
      </c>
      <c r="D109" s="13">
        <v>112701.0</v>
      </c>
      <c r="E109" s="12">
        <f t="shared" si="98"/>
        <v>716</v>
      </c>
      <c r="F109" s="47">
        <v>85.0</v>
      </c>
      <c r="G109" s="14">
        <f t="shared" si="99"/>
        <v>11.87150838</v>
      </c>
      <c r="H109" s="40">
        <v>110593.0</v>
      </c>
      <c r="I109" s="40">
        <v>111250.0</v>
      </c>
      <c r="J109" s="37">
        <f t="shared" si="100"/>
        <v>657</v>
      </c>
      <c r="K109" s="52">
        <f t="shared" si="101"/>
        <v>85</v>
      </c>
      <c r="L109" s="48">
        <f t="shared" si="102"/>
        <v>12.93759513</v>
      </c>
      <c r="M109" s="50">
        <v>19820.0</v>
      </c>
      <c r="N109" s="49">
        <f t="shared" si="103"/>
        <v>1684700</v>
      </c>
      <c r="R109" s="80" t="str">
        <f t="shared" si="59"/>
        <v/>
      </c>
    </row>
    <row r="110">
      <c r="A110" s="35">
        <v>45989.0</v>
      </c>
      <c r="B110" s="46" t="s">
        <v>40</v>
      </c>
      <c r="C110" s="13">
        <v>112701.0</v>
      </c>
      <c r="D110" s="37">
        <v>113390.0</v>
      </c>
      <c r="E110" s="12">
        <f t="shared" si="98"/>
        <v>689</v>
      </c>
      <c r="F110" s="47">
        <v>84.0</v>
      </c>
      <c r="G110" s="14">
        <f t="shared" si="99"/>
        <v>12.191582</v>
      </c>
      <c r="H110" s="40">
        <v>111250.0</v>
      </c>
      <c r="I110" s="40">
        <v>111908.0</v>
      </c>
      <c r="J110" s="37">
        <f t="shared" si="100"/>
        <v>658</v>
      </c>
      <c r="K110" s="52">
        <f t="shared" si="101"/>
        <v>84</v>
      </c>
      <c r="L110" s="48">
        <f t="shared" si="102"/>
        <v>12.76595745</v>
      </c>
      <c r="M110" s="50">
        <v>18800.0</v>
      </c>
      <c r="N110" s="49">
        <f t="shared" si="103"/>
        <v>1579200</v>
      </c>
      <c r="R110" s="80" t="str">
        <f t="shared" si="59"/>
        <v/>
      </c>
    </row>
    <row r="111">
      <c r="A111" s="132"/>
      <c r="B111" s="46"/>
      <c r="C111" s="37"/>
      <c r="D111" s="133"/>
      <c r="E111" s="12">
        <f t="shared" si="98"/>
        <v>0</v>
      </c>
      <c r="F111" s="47"/>
      <c r="G111" s="14" t="str">
        <f t="shared" si="99"/>
        <v>#DIV/0!</v>
      </c>
      <c r="H111" s="37"/>
      <c r="I111" s="40"/>
      <c r="J111" s="37">
        <f t="shared" si="100"/>
        <v>0</v>
      </c>
      <c r="K111" s="52" t="str">
        <f t="shared" si="101"/>
        <v/>
      </c>
      <c r="L111" s="48" t="str">
        <f t="shared" si="102"/>
        <v>#DIV/0!</v>
      </c>
      <c r="M111" s="134"/>
      <c r="N111" s="49">
        <f t="shared" si="103"/>
        <v>0</v>
      </c>
      <c r="R111" s="80" t="str">
        <f t="shared" si="59"/>
        <v/>
      </c>
    </row>
    <row r="112">
      <c r="A112" s="94"/>
      <c r="B112" s="267"/>
      <c r="C112" s="55"/>
      <c r="D112" s="95"/>
      <c r="E112" s="25">
        <f t="shared" si="98"/>
        <v>0</v>
      </c>
      <c r="F112" s="47"/>
      <c r="G112" s="56" t="str">
        <f t="shared" si="99"/>
        <v>#DIV/0!</v>
      </c>
      <c r="H112" s="55"/>
      <c r="I112" s="85"/>
      <c r="J112" s="55">
        <f t="shared" si="100"/>
        <v>0</v>
      </c>
      <c r="K112" s="52" t="str">
        <f t="shared" si="101"/>
        <v/>
      </c>
      <c r="L112" s="77" t="str">
        <f t="shared" si="102"/>
        <v>#DIV/0!</v>
      </c>
      <c r="M112" s="96"/>
      <c r="N112" s="59">
        <f t="shared" si="103"/>
        <v>0</v>
      </c>
      <c r="R112" s="80" t="str">
        <f t="shared" si="59"/>
        <v/>
      </c>
    </row>
    <row r="113">
      <c r="A113" s="62"/>
      <c r="B113" s="63"/>
      <c r="C113" s="62"/>
      <c r="D113" s="64" t="s">
        <v>19</v>
      </c>
      <c r="E113" s="64">
        <f>sum(E106:E112)</f>
        <v>3427</v>
      </c>
      <c r="F113" s="39"/>
      <c r="G113" s="65" t="str">
        <f>average(G106:G112)</f>
        <v>#DIV/0!</v>
      </c>
      <c r="H113" s="62"/>
      <c r="I113" s="66"/>
      <c r="J113" s="64">
        <f t="shared" ref="J113:K113" si="104">sum(J106:J112)</f>
        <v>-107742</v>
      </c>
      <c r="K113" s="64">
        <f t="shared" si="104"/>
        <v>401</v>
      </c>
      <c r="L113" s="65" t="str">
        <f>average(L106:L112)</f>
        <v>#DIV/0!</v>
      </c>
      <c r="M113" s="68"/>
      <c r="N113" s="69">
        <f>sum(N106:N112)</f>
        <v>7736780</v>
      </c>
      <c r="R113" s="80" t="str">
        <f t="shared" si="59"/>
        <v/>
      </c>
    </row>
    <row r="114">
      <c r="A114" s="70">
        <v>45965.0</v>
      </c>
      <c r="B114" s="99" t="s">
        <v>41</v>
      </c>
      <c r="C114" s="37">
        <v>166810.0</v>
      </c>
      <c r="D114" s="13">
        <v>167378.0</v>
      </c>
      <c r="E114" s="38">
        <f t="shared" ref="E114:E120" si="105">D114-C114</f>
        <v>568</v>
      </c>
      <c r="F114" s="39">
        <v>60.0</v>
      </c>
      <c r="G114" s="14">
        <f t="shared" ref="G114:G120" si="106">(F114/E114)*100</f>
        <v>10.56338028</v>
      </c>
      <c r="H114" s="137"/>
      <c r="I114" s="275"/>
      <c r="J114" s="41">
        <f t="shared" ref="J114:J120" si="107">I114-H114</f>
        <v>0</v>
      </c>
      <c r="K114" s="81">
        <f t="shared" ref="K114:K120" si="108">F114</f>
        <v>60</v>
      </c>
      <c r="L114" s="71" t="str">
        <f t="shared" ref="L114:L120" si="109">(K114/J114)*100</f>
        <v>#DIV/0!</v>
      </c>
      <c r="M114" s="43">
        <v>19200.0</v>
      </c>
      <c r="N114" s="44">
        <f t="shared" ref="N114:N120" si="110">F114*M114</f>
        <v>1152000</v>
      </c>
      <c r="R114" s="80" t="str">
        <f t="shared" si="59"/>
        <v/>
      </c>
    </row>
    <row r="115">
      <c r="A115" s="128">
        <v>45971.0</v>
      </c>
      <c r="B115" s="129" t="s">
        <v>41</v>
      </c>
      <c r="C115" s="13">
        <v>167378.0</v>
      </c>
      <c r="D115" s="53">
        <v>167950.0</v>
      </c>
      <c r="E115" s="53">
        <f t="shared" si="105"/>
        <v>572</v>
      </c>
      <c r="F115" s="130">
        <v>67.0</v>
      </c>
      <c r="G115" s="14">
        <f t="shared" si="106"/>
        <v>11.71328671</v>
      </c>
      <c r="H115" s="37"/>
      <c r="I115" s="40">
        <v>10655.0</v>
      </c>
      <c r="J115" s="37">
        <f t="shared" si="107"/>
        <v>10655</v>
      </c>
      <c r="K115" s="52">
        <f t="shared" si="108"/>
        <v>67</v>
      </c>
      <c r="L115" s="48">
        <f t="shared" si="109"/>
        <v>0.628812764</v>
      </c>
      <c r="M115" s="50">
        <v>19320.0</v>
      </c>
      <c r="N115" s="131">
        <f t="shared" si="110"/>
        <v>1294440</v>
      </c>
      <c r="R115" s="80" t="str">
        <f t="shared" si="59"/>
        <v/>
      </c>
    </row>
    <row r="116">
      <c r="A116" s="128">
        <v>45978.0</v>
      </c>
      <c r="B116" s="129" t="s">
        <v>41</v>
      </c>
      <c r="C116" s="53">
        <v>167950.0</v>
      </c>
      <c r="D116" s="53">
        <v>168600.0</v>
      </c>
      <c r="E116" s="53">
        <f t="shared" si="105"/>
        <v>650</v>
      </c>
      <c r="F116" s="130">
        <v>72.0</v>
      </c>
      <c r="G116" s="14">
        <f t="shared" si="106"/>
        <v>11.07692308</v>
      </c>
      <c r="H116" s="40">
        <v>10655.0</v>
      </c>
      <c r="I116" s="37">
        <v>11293.0</v>
      </c>
      <c r="J116" s="37">
        <f t="shared" si="107"/>
        <v>638</v>
      </c>
      <c r="K116" s="52">
        <f t="shared" si="108"/>
        <v>72</v>
      </c>
      <c r="L116" s="48">
        <f t="shared" si="109"/>
        <v>11.28526646</v>
      </c>
      <c r="M116" s="50">
        <v>19860.0</v>
      </c>
      <c r="N116" s="131">
        <f t="shared" si="110"/>
        <v>1429920</v>
      </c>
      <c r="R116" s="80" t="str">
        <f t="shared" si="59"/>
        <v/>
      </c>
    </row>
    <row r="117">
      <c r="A117" s="35">
        <v>45986.0</v>
      </c>
      <c r="B117" s="46" t="s">
        <v>41</v>
      </c>
      <c r="C117" s="53">
        <v>168600.0</v>
      </c>
      <c r="D117" s="37">
        <v>169222.0</v>
      </c>
      <c r="E117" s="12">
        <f t="shared" si="105"/>
        <v>622</v>
      </c>
      <c r="F117" s="47">
        <v>71.0</v>
      </c>
      <c r="G117" s="14">
        <f t="shared" si="106"/>
        <v>11.414791</v>
      </c>
      <c r="H117" s="37">
        <v>11293.0</v>
      </c>
      <c r="I117" s="40">
        <v>11904.0</v>
      </c>
      <c r="J117" s="37">
        <f t="shared" si="107"/>
        <v>611</v>
      </c>
      <c r="K117" s="52">
        <f t="shared" si="108"/>
        <v>71</v>
      </c>
      <c r="L117" s="48">
        <f t="shared" si="109"/>
        <v>11.6202946</v>
      </c>
      <c r="M117" s="50">
        <v>19820.0</v>
      </c>
      <c r="N117" s="131">
        <f t="shared" si="110"/>
        <v>1407220</v>
      </c>
      <c r="R117" s="80" t="str">
        <f t="shared" si="59"/>
        <v/>
      </c>
    </row>
    <row r="118">
      <c r="A118" s="136"/>
      <c r="B118" s="51" t="s">
        <v>41</v>
      </c>
      <c r="C118" s="52"/>
      <c r="D118" s="52"/>
      <c r="E118" s="12">
        <f t="shared" si="105"/>
        <v>0</v>
      </c>
      <c r="F118" s="47"/>
      <c r="G118" s="14" t="str">
        <f t="shared" si="106"/>
        <v>#DIV/0!</v>
      </c>
      <c r="H118" s="37"/>
      <c r="I118" s="40"/>
      <c r="J118" s="37">
        <f t="shared" si="107"/>
        <v>0</v>
      </c>
      <c r="K118" s="52" t="str">
        <f t="shared" si="108"/>
        <v/>
      </c>
      <c r="L118" s="48" t="str">
        <f t="shared" si="109"/>
        <v>#DIV/0!</v>
      </c>
      <c r="M118" s="50"/>
      <c r="N118" s="131">
        <f t="shared" si="110"/>
        <v>0</v>
      </c>
      <c r="R118" s="80" t="str">
        <f t="shared" si="59"/>
        <v/>
      </c>
    </row>
    <row r="119">
      <c r="A119" s="132"/>
      <c r="B119" s="46" t="s">
        <v>41</v>
      </c>
      <c r="C119" s="37"/>
      <c r="D119" s="133"/>
      <c r="E119" s="12">
        <f t="shared" si="105"/>
        <v>0</v>
      </c>
      <c r="F119" s="47"/>
      <c r="G119" s="14" t="str">
        <f t="shared" si="106"/>
        <v>#DIV/0!</v>
      </c>
      <c r="H119" s="37"/>
      <c r="I119" s="40"/>
      <c r="J119" s="37">
        <f t="shared" si="107"/>
        <v>0</v>
      </c>
      <c r="K119" s="52" t="str">
        <f t="shared" si="108"/>
        <v/>
      </c>
      <c r="L119" s="48" t="str">
        <f t="shared" si="109"/>
        <v>#DIV/0!</v>
      </c>
      <c r="M119" s="134"/>
      <c r="N119" s="131">
        <f t="shared" si="110"/>
        <v>0</v>
      </c>
      <c r="R119" s="80" t="str">
        <f t="shared" si="59"/>
        <v/>
      </c>
    </row>
    <row r="120">
      <c r="A120" s="94"/>
      <c r="B120" s="267"/>
      <c r="C120" s="55"/>
      <c r="D120" s="95"/>
      <c r="E120" s="25">
        <f t="shared" si="105"/>
        <v>0</v>
      </c>
      <c r="F120" s="47"/>
      <c r="G120" s="56" t="str">
        <f t="shared" si="106"/>
        <v>#DIV/0!</v>
      </c>
      <c r="H120" s="55"/>
      <c r="I120" s="85"/>
      <c r="J120" s="55">
        <f t="shared" si="107"/>
        <v>0</v>
      </c>
      <c r="K120" s="52" t="str">
        <f t="shared" si="108"/>
        <v/>
      </c>
      <c r="L120" s="77" t="str">
        <f t="shared" si="109"/>
        <v>#DIV/0!</v>
      </c>
      <c r="M120" s="96"/>
      <c r="N120" s="135">
        <f t="shared" si="110"/>
        <v>0</v>
      </c>
      <c r="R120" s="80" t="str">
        <f t="shared" si="59"/>
        <v/>
      </c>
    </row>
    <row r="121">
      <c r="A121" s="62"/>
      <c r="B121" s="63"/>
      <c r="C121" s="62"/>
      <c r="D121" s="64" t="s">
        <v>19</v>
      </c>
      <c r="E121" s="64">
        <f>sum(E114:E120)</f>
        <v>2412</v>
      </c>
      <c r="F121" s="64">
        <f>sum(F113:F120)</f>
        <v>270</v>
      </c>
      <c r="G121" s="65" t="str">
        <f>average(G114:G120)</f>
        <v>#DIV/0!</v>
      </c>
      <c r="H121" s="62"/>
      <c r="I121" s="66"/>
      <c r="J121" s="64">
        <f t="shared" ref="J121:K121" si="111">sum(J114:J120)</f>
        <v>11904</v>
      </c>
      <c r="K121" s="64">
        <f t="shared" si="111"/>
        <v>270</v>
      </c>
      <c r="L121" s="65" t="str">
        <f>average(L114:L120)</f>
        <v>#DIV/0!</v>
      </c>
      <c r="M121" s="68"/>
      <c r="N121" s="69">
        <f>sum(N114:N120)</f>
        <v>5283580</v>
      </c>
      <c r="R121" s="80" t="str">
        <f t="shared" si="59"/>
        <v/>
      </c>
    </row>
    <row r="122">
      <c r="A122" s="70">
        <v>45962.0</v>
      </c>
      <c r="B122" s="99" t="s">
        <v>27</v>
      </c>
      <c r="C122" s="89"/>
      <c r="D122" s="13"/>
      <c r="E122" s="38">
        <f t="shared" ref="E122:E129" si="112">D122-C122</f>
        <v>0</v>
      </c>
      <c r="F122" s="39"/>
      <c r="G122" s="14" t="str">
        <f t="shared" ref="G122:G129" si="113">(F122/E122)*100</f>
        <v>#DIV/0!</v>
      </c>
      <c r="H122" s="137"/>
      <c r="I122" s="138"/>
      <c r="J122" s="41">
        <f t="shared" ref="J122:J129" si="114">I122-H122</f>
        <v>0</v>
      </c>
      <c r="K122" s="81">
        <v>55.78</v>
      </c>
      <c r="L122" s="71" t="str">
        <f t="shared" ref="L122:L126" si="115">(K122/J122)*100</f>
        <v>#DIV/0!</v>
      </c>
      <c r="M122" s="72">
        <v>19200.0</v>
      </c>
      <c r="N122" s="44">
        <f t="shared" ref="N122:N129" si="116">M122*K122</f>
        <v>1070976</v>
      </c>
      <c r="R122" s="80" t="str">
        <f t="shared" si="59"/>
        <v/>
      </c>
    </row>
    <row r="123">
      <c r="A123" s="35">
        <v>45966.0</v>
      </c>
      <c r="B123" s="46" t="s">
        <v>27</v>
      </c>
      <c r="C123" s="37"/>
      <c r="D123" s="13"/>
      <c r="E123" s="12">
        <f t="shared" si="112"/>
        <v>0</v>
      </c>
      <c r="F123" s="47"/>
      <c r="G123" s="14" t="str">
        <f t="shared" si="113"/>
        <v>#DIV/0!</v>
      </c>
      <c r="H123" s="40"/>
      <c r="I123" s="40"/>
      <c r="J123" s="37">
        <f t="shared" si="114"/>
        <v>0</v>
      </c>
      <c r="K123" s="52">
        <v>67.0</v>
      </c>
      <c r="L123" s="48" t="str">
        <f t="shared" si="115"/>
        <v>#DIV/0!</v>
      </c>
      <c r="M123" s="50">
        <v>19200.0</v>
      </c>
      <c r="N123" s="44">
        <f t="shared" si="116"/>
        <v>1286400</v>
      </c>
      <c r="R123" s="80" t="str">
        <f t="shared" si="59"/>
        <v/>
      </c>
    </row>
    <row r="124">
      <c r="A124" s="35">
        <v>45971.0</v>
      </c>
      <c r="B124" s="46" t="s">
        <v>27</v>
      </c>
      <c r="C124" s="37"/>
      <c r="D124" s="37"/>
      <c r="E124" s="12">
        <f t="shared" si="112"/>
        <v>0</v>
      </c>
      <c r="F124" s="47"/>
      <c r="G124" s="14" t="str">
        <f t="shared" si="113"/>
        <v>#DIV/0!</v>
      </c>
      <c r="H124" s="37"/>
      <c r="I124" s="40"/>
      <c r="J124" s="37">
        <f t="shared" si="114"/>
        <v>0</v>
      </c>
      <c r="K124" s="52">
        <v>65.0</v>
      </c>
      <c r="L124" s="48" t="str">
        <f t="shared" si="115"/>
        <v>#DIV/0!</v>
      </c>
      <c r="M124" s="50">
        <v>19320.0</v>
      </c>
      <c r="N124" s="44">
        <f t="shared" si="116"/>
        <v>1255800</v>
      </c>
      <c r="R124" s="80" t="str">
        <f t="shared" si="59"/>
        <v/>
      </c>
    </row>
    <row r="125">
      <c r="A125" s="35">
        <v>45975.0</v>
      </c>
      <c r="B125" s="46" t="s">
        <v>27</v>
      </c>
      <c r="C125" s="37"/>
      <c r="D125" s="37"/>
      <c r="E125" s="12">
        <f t="shared" si="112"/>
        <v>0</v>
      </c>
      <c r="F125" s="47"/>
      <c r="G125" s="14" t="str">
        <f t="shared" si="113"/>
        <v>#DIV/0!</v>
      </c>
      <c r="H125" s="37"/>
      <c r="I125" s="40"/>
      <c r="J125" s="37">
        <f t="shared" si="114"/>
        <v>0</v>
      </c>
      <c r="K125" s="52">
        <v>63.0</v>
      </c>
      <c r="L125" s="48" t="str">
        <f t="shared" si="115"/>
        <v>#DIV/0!</v>
      </c>
      <c r="M125" s="50">
        <v>19860.0</v>
      </c>
      <c r="N125" s="44">
        <f t="shared" si="116"/>
        <v>1251180</v>
      </c>
      <c r="R125" s="80" t="str">
        <f t="shared" si="59"/>
        <v/>
      </c>
    </row>
    <row r="126">
      <c r="A126" s="35">
        <v>45978.0</v>
      </c>
      <c r="B126" s="46" t="s">
        <v>27</v>
      </c>
      <c r="C126" s="37"/>
      <c r="D126" s="37"/>
      <c r="E126" s="12">
        <f t="shared" si="112"/>
        <v>0</v>
      </c>
      <c r="F126" s="47"/>
      <c r="G126" s="14" t="str">
        <f t="shared" si="113"/>
        <v>#DIV/0!</v>
      </c>
      <c r="H126" s="37"/>
      <c r="I126" s="40"/>
      <c r="J126" s="37">
        <f t="shared" si="114"/>
        <v>0</v>
      </c>
      <c r="K126" s="52">
        <v>65.0</v>
      </c>
      <c r="L126" s="48" t="str">
        <f t="shared" si="115"/>
        <v>#DIV/0!</v>
      </c>
      <c r="M126" s="50">
        <v>19860.0</v>
      </c>
      <c r="N126" s="44">
        <f t="shared" si="116"/>
        <v>1290900</v>
      </c>
      <c r="R126" s="80" t="str">
        <f t="shared" si="59"/>
        <v/>
      </c>
    </row>
    <row r="127">
      <c r="A127" s="35">
        <v>45982.0</v>
      </c>
      <c r="B127" s="46" t="s">
        <v>27</v>
      </c>
      <c r="C127" s="37"/>
      <c r="D127" s="133"/>
      <c r="E127" s="12">
        <f t="shared" si="112"/>
        <v>0</v>
      </c>
      <c r="F127" s="47"/>
      <c r="G127" s="14" t="str">
        <f t="shared" si="113"/>
        <v>#DIV/0!</v>
      </c>
      <c r="H127" s="37"/>
      <c r="I127" s="93"/>
      <c r="J127" s="37">
        <f t="shared" si="114"/>
        <v>0</v>
      </c>
      <c r="K127" s="52">
        <v>58.0</v>
      </c>
      <c r="L127" s="48"/>
      <c r="M127" s="50">
        <v>19820.0</v>
      </c>
      <c r="N127" s="44">
        <f t="shared" si="116"/>
        <v>1149560</v>
      </c>
      <c r="R127" s="80" t="str">
        <f t="shared" si="59"/>
        <v/>
      </c>
    </row>
    <row r="128">
      <c r="A128" s="35">
        <v>45986.0</v>
      </c>
      <c r="B128" s="46" t="s">
        <v>27</v>
      </c>
      <c r="C128" s="37"/>
      <c r="D128" s="133"/>
      <c r="E128" s="12">
        <f t="shared" si="112"/>
        <v>0</v>
      </c>
      <c r="F128" s="47"/>
      <c r="G128" s="14" t="str">
        <f t="shared" si="113"/>
        <v>#DIV/0!</v>
      </c>
      <c r="H128" s="37"/>
      <c r="I128" s="93"/>
      <c r="J128" s="37">
        <f t="shared" si="114"/>
        <v>0</v>
      </c>
      <c r="K128" s="52">
        <v>69.0</v>
      </c>
      <c r="L128" s="48" t="str">
        <f t="shared" ref="L128:L129" si="117">(K128/J128)*100</f>
        <v>#DIV/0!</v>
      </c>
      <c r="M128" s="50">
        <v>19820.0</v>
      </c>
      <c r="N128" s="44">
        <f t="shared" si="116"/>
        <v>1367580</v>
      </c>
      <c r="R128" s="80" t="str">
        <f t="shared" si="59"/>
        <v/>
      </c>
    </row>
    <row r="129">
      <c r="A129" s="236">
        <v>45990.0</v>
      </c>
      <c r="B129" s="83" t="s">
        <v>27</v>
      </c>
      <c r="C129" s="55"/>
      <c r="D129" s="95"/>
      <c r="E129" s="25">
        <f t="shared" si="112"/>
        <v>0</v>
      </c>
      <c r="F129" s="47"/>
      <c r="G129" s="56" t="str">
        <f t="shared" si="113"/>
        <v>#DIV/0!</v>
      </c>
      <c r="H129" s="55"/>
      <c r="I129" s="85"/>
      <c r="J129" s="55">
        <f t="shared" si="114"/>
        <v>0</v>
      </c>
      <c r="K129" s="52">
        <v>60.0</v>
      </c>
      <c r="L129" s="77" t="str">
        <f t="shared" si="117"/>
        <v>#DIV/0!</v>
      </c>
      <c r="M129" s="58">
        <v>18800.0</v>
      </c>
      <c r="N129" s="49">
        <f t="shared" si="116"/>
        <v>1128000</v>
      </c>
      <c r="R129" s="80" t="str">
        <f t="shared" si="59"/>
        <v/>
      </c>
    </row>
    <row r="130">
      <c r="A130" s="62"/>
      <c r="B130" s="63"/>
      <c r="C130" s="62"/>
      <c r="D130" s="64" t="s">
        <v>19</v>
      </c>
      <c r="E130" s="64">
        <f t="shared" ref="E130:F130" si="118">sum(E122:E129)</f>
        <v>0</v>
      </c>
      <c r="F130" s="64">
        <f t="shared" si="118"/>
        <v>0</v>
      </c>
      <c r="G130" s="65" t="str">
        <f>average(G122:G129)</f>
        <v>#DIV/0!</v>
      </c>
      <c r="H130" s="62"/>
      <c r="I130" s="66"/>
      <c r="J130" s="64">
        <f t="shared" ref="J130:K130" si="119">sum(J122:J129)</f>
        <v>0</v>
      </c>
      <c r="K130" s="64">
        <f t="shared" si="119"/>
        <v>502.78</v>
      </c>
      <c r="L130" s="65" t="str">
        <f>average(L122:L129)</f>
        <v>#DIV/0!</v>
      </c>
      <c r="M130" s="68"/>
      <c r="N130" s="147">
        <f>sum(N122:N129)</f>
        <v>9800396</v>
      </c>
      <c r="R130" s="80" t="str">
        <f t="shared" si="59"/>
        <v/>
      </c>
    </row>
    <row r="131">
      <c r="A131" s="70">
        <v>45966.0</v>
      </c>
      <c r="B131" s="99" t="s">
        <v>28</v>
      </c>
      <c r="C131" s="89"/>
      <c r="D131" s="13"/>
      <c r="E131" s="38">
        <f t="shared" ref="E131:E138" si="120">D131-C131</f>
        <v>0</v>
      </c>
      <c r="F131" s="39"/>
      <c r="G131" s="14" t="str">
        <f t="shared" ref="G131:G138" si="121">(F131/E131)*100</f>
        <v>#DIV/0!</v>
      </c>
      <c r="H131" s="137"/>
      <c r="I131" s="138"/>
      <c r="J131" s="41">
        <f t="shared" ref="J131:J138" si="122">I131-H131</f>
        <v>0</v>
      </c>
      <c r="K131" s="81">
        <v>70.0</v>
      </c>
      <c r="L131" s="71" t="str">
        <f t="shared" ref="L131:L134" si="123">(K131/J131)*100</f>
        <v>#DIV/0!</v>
      </c>
      <c r="M131" s="72">
        <v>19200.0</v>
      </c>
      <c r="N131" s="49">
        <f t="shared" ref="N131:N136" si="124">M131*K131</f>
        <v>1344000</v>
      </c>
      <c r="R131" s="80" t="str">
        <f t="shared" si="59"/>
        <v/>
      </c>
    </row>
    <row r="132">
      <c r="A132" s="35">
        <v>45972.0</v>
      </c>
      <c r="B132" s="99" t="s">
        <v>28</v>
      </c>
      <c r="C132" s="37"/>
      <c r="D132" s="13"/>
      <c r="E132" s="12">
        <f t="shared" si="120"/>
        <v>0</v>
      </c>
      <c r="F132" s="47"/>
      <c r="G132" s="14" t="str">
        <f t="shared" si="121"/>
        <v>#DIV/0!</v>
      </c>
      <c r="H132" s="40"/>
      <c r="I132" s="40"/>
      <c r="J132" s="37">
        <f t="shared" si="122"/>
        <v>0</v>
      </c>
      <c r="K132" s="52">
        <v>70.0</v>
      </c>
      <c r="L132" s="71" t="str">
        <f t="shared" si="123"/>
        <v>#DIV/0!</v>
      </c>
      <c r="M132" s="50">
        <v>19320.0</v>
      </c>
      <c r="N132" s="49">
        <f t="shared" si="124"/>
        <v>1352400</v>
      </c>
      <c r="R132" s="80" t="str">
        <f t="shared" si="59"/>
        <v/>
      </c>
    </row>
    <row r="133">
      <c r="A133" s="35">
        <v>45975.0</v>
      </c>
      <c r="B133" s="99" t="s">
        <v>28</v>
      </c>
      <c r="C133" s="37"/>
      <c r="D133" s="37"/>
      <c r="E133" s="12">
        <f t="shared" si="120"/>
        <v>0</v>
      </c>
      <c r="F133" s="47"/>
      <c r="G133" s="14" t="str">
        <f t="shared" si="121"/>
        <v>#DIV/0!</v>
      </c>
      <c r="H133" s="37"/>
      <c r="I133" s="40"/>
      <c r="J133" s="37">
        <f t="shared" si="122"/>
        <v>0</v>
      </c>
      <c r="K133" s="52">
        <v>70.0</v>
      </c>
      <c r="L133" s="48" t="str">
        <f t="shared" si="123"/>
        <v>#DIV/0!</v>
      </c>
      <c r="M133" s="50">
        <v>19860.0</v>
      </c>
      <c r="N133" s="49">
        <f t="shared" si="124"/>
        <v>1390200</v>
      </c>
      <c r="R133" s="80" t="str">
        <f t="shared" si="59"/>
        <v/>
      </c>
    </row>
    <row r="134">
      <c r="A134" s="35">
        <v>45979.0</v>
      </c>
      <c r="B134" s="99" t="s">
        <v>28</v>
      </c>
      <c r="C134" s="37"/>
      <c r="D134" s="37"/>
      <c r="E134" s="12">
        <f t="shared" si="120"/>
        <v>0</v>
      </c>
      <c r="F134" s="47"/>
      <c r="G134" s="14" t="str">
        <f t="shared" si="121"/>
        <v>#DIV/0!</v>
      </c>
      <c r="H134" s="37"/>
      <c r="I134" s="40"/>
      <c r="J134" s="37">
        <f t="shared" si="122"/>
        <v>0</v>
      </c>
      <c r="K134" s="52">
        <v>70.0</v>
      </c>
      <c r="L134" s="48" t="str">
        <f t="shared" si="123"/>
        <v>#DIV/0!</v>
      </c>
      <c r="M134" s="50">
        <v>19860.0</v>
      </c>
      <c r="N134" s="49">
        <f t="shared" si="124"/>
        <v>1390200</v>
      </c>
      <c r="R134" s="80" t="str">
        <f t="shared" si="59"/>
        <v/>
      </c>
    </row>
    <row r="135">
      <c r="A135" s="35">
        <v>45987.0</v>
      </c>
      <c r="B135" s="99" t="s">
        <v>28</v>
      </c>
      <c r="C135" s="37"/>
      <c r="D135" s="37"/>
      <c r="E135" s="12">
        <f t="shared" si="120"/>
        <v>0</v>
      </c>
      <c r="F135" s="47"/>
      <c r="G135" s="14" t="str">
        <f t="shared" si="121"/>
        <v>#DIV/0!</v>
      </c>
      <c r="H135" s="37"/>
      <c r="I135" s="40"/>
      <c r="J135" s="37">
        <f t="shared" si="122"/>
        <v>0</v>
      </c>
      <c r="K135" s="52">
        <v>70.0</v>
      </c>
      <c r="L135" s="48"/>
      <c r="M135" s="50">
        <v>19820.0</v>
      </c>
      <c r="N135" s="49">
        <f t="shared" si="124"/>
        <v>1387400</v>
      </c>
      <c r="R135" s="80" t="str">
        <f t="shared" si="59"/>
        <v/>
      </c>
    </row>
    <row r="136">
      <c r="A136" s="35">
        <v>45990.0</v>
      </c>
      <c r="B136" s="99" t="s">
        <v>28</v>
      </c>
      <c r="C136" s="37"/>
      <c r="D136" s="133"/>
      <c r="E136" s="12">
        <f t="shared" si="120"/>
        <v>0</v>
      </c>
      <c r="F136" s="47"/>
      <c r="G136" s="14" t="str">
        <f t="shared" si="121"/>
        <v>#DIV/0!</v>
      </c>
      <c r="H136" s="37"/>
      <c r="I136" s="93"/>
      <c r="J136" s="37">
        <f t="shared" si="122"/>
        <v>0</v>
      </c>
      <c r="K136" s="52">
        <v>70.0</v>
      </c>
      <c r="L136" s="48" t="str">
        <f t="shared" ref="L136:L138" si="125">(K136/J136)*100</f>
        <v>#DIV/0!</v>
      </c>
      <c r="M136" s="50">
        <v>18800.0</v>
      </c>
      <c r="N136" s="49">
        <f t="shared" si="124"/>
        <v>1316000</v>
      </c>
      <c r="R136" s="80" t="str">
        <f t="shared" si="59"/>
        <v/>
      </c>
    </row>
    <row r="137">
      <c r="A137" s="35"/>
      <c r="B137" s="46"/>
      <c r="C137" s="37"/>
      <c r="D137" s="133"/>
      <c r="E137" s="12">
        <f t="shared" si="120"/>
        <v>0</v>
      </c>
      <c r="F137" s="47"/>
      <c r="G137" s="14" t="str">
        <f t="shared" si="121"/>
        <v>#DIV/0!</v>
      </c>
      <c r="H137" s="37"/>
      <c r="I137" s="93"/>
      <c r="J137" s="37">
        <f t="shared" si="122"/>
        <v>0</v>
      </c>
      <c r="K137" s="52" t="str">
        <f t="shared" ref="K137:K138" si="126">F137</f>
        <v/>
      </c>
      <c r="L137" s="48" t="str">
        <f t="shared" si="125"/>
        <v>#DIV/0!</v>
      </c>
      <c r="M137" s="50"/>
      <c r="N137" s="49">
        <f>F137*M137</f>
        <v>0</v>
      </c>
      <c r="R137" s="80" t="str">
        <f t="shared" si="59"/>
        <v/>
      </c>
    </row>
    <row r="138">
      <c r="A138" s="146"/>
      <c r="B138" s="83"/>
      <c r="C138" s="55"/>
      <c r="D138" s="95"/>
      <c r="E138" s="25">
        <f t="shared" si="120"/>
        <v>0</v>
      </c>
      <c r="F138" s="47"/>
      <c r="G138" s="56" t="str">
        <f t="shared" si="121"/>
        <v>#DIV/0!</v>
      </c>
      <c r="H138" s="55"/>
      <c r="I138" s="85"/>
      <c r="J138" s="55">
        <f t="shared" si="122"/>
        <v>0</v>
      </c>
      <c r="K138" s="52" t="str">
        <f t="shared" si="126"/>
        <v/>
      </c>
      <c r="L138" s="77" t="str">
        <f t="shared" si="125"/>
        <v>#DIV/0!</v>
      </c>
      <c r="M138" s="58"/>
      <c r="N138" s="49">
        <f>M138*K138</f>
        <v>0</v>
      </c>
      <c r="R138" s="80" t="str">
        <f t="shared" si="59"/>
        <v/>
      </c>
    </row>
    <row r="139">
      <c r="A139" s="62"/>
      <c r="B139" s="63"/>
      <c r="C139" s="62"/>
      <c r="D139" s="64" t="s">
        <v>19</v>
      </c>
      <c r="E139" s="64">
        <f t="shared" ref="E139:F139" si="127">sum(E131:E138)</f>
        <v>0</v>
      </c>
      <c r="F139" s="64">
        <f t="shared" si="127"/>
        <v>0</v>
      </c>
      <c r="G139" s="65" t="str">
        <f>average(G131:G138)</f>
        <v>#DIV/0!</v>
      </c>
      <c r="H139" s="62"/>
      <c r="I139" s="66"/>
      <c r="J139" s="64">
        <f t="shared" ref="J139:K139" si="128">sum(J131:J138)</f>
        <v>0</v>
      </c>
      <c r="K139" s="64">
        <f t="shared" si="128"/>
        <v>420</v>
      </c>
      <c r="L139" s="65" t="str">
        <f>average(L131:L138)</f>
        <v>#DIV/0!</v>
      </c>
      <c r="M139" s="68"/>
      <c r="N139" s="147">
        <f>sum(N131:N138)</f>
        <v>8180200</v>
      </c>
      <c r="R139" s="80" t="str">
        <f t="shared" si="59"/>
        <v/>
      </c>
    </row>
    <row r="140">
      <c r="A140" s="91">
        <v>45965.0</v>
      </c>
      <c r="B140" s="99" t="s">
        <v>43</v>
      </c>
      <c r="C140" s="89"/>
      <c r="D140" s="13"/>
      <c r="E140" s="38">
        <f t="shared" ref="E140:E147" si="129">D140-C140</f>
        <v>0</v>
      </c>
      <c r="F140" s="39"/>
      <c r="G140" s="14" t="str">
        <f t="shared" ref="G140:G147" si="130">(F140/E140)*100</f>
        <v>#DIV/0!</v>
      </c>
      <c r="H140" s="137"/>
      <c r="I140" s="138"/>
      <c r="J140" s="41">
        <f t="shared" ref="J140:J147" si="131">I140-H140</f>
        <v>0</v>
      </c>
      <c r="K140" s="81">
        <v>60.0</v>
      </c>
      <c r="L140" s="71" t="str">
        <f t="shared" ref="L140:L147" si="132">(K140/J140)*100</f>
        <v>#DIV/0!</v>
      </c>
      <c r="M140" s="72">
        <v>19200.0</v>
      </c>
      <c r="N140" s="49">
        <f t="shared" ref="N140:N145" si="133">M140*K140</f>
        <v>1152000</v>
      </c>
      <c r="R140" s="80" t="str">
        <f t="shared" si="59"/>
        <v/>
      </c>
    </row>
    <row r="141">
      <c r="A141" s="35">
        <v>45969.0</v>
      </c>
      <c r="B141" s="46" t="s">
        <v>43</v>
      </c>
      <c r="C141" s="37"/>
      <c r="D141" s="13"/>
      <c r="E141" s="12">
        <f t="shared" si="129"/>
        <v>0</v>
      </c>
      <c r="F141" s="47"/>
      <c r="G141" s="14" t="str">
        <f t="shared" si="130"/>
        <v>#DIV/0!</v>
      </c>
      <c r="H141" s="40"/>
      <c r="I141" s="40"/>
      <c r="J141" s="37">
        <f t="shared" si="131"/>
        <v>0</v>
      </c>
      <c r="K141" s="52">
        <v>40.0</v>
      </c>
      <c r="L141" s="48" t="str">
        <f t="shared" si="132"/>
        <v>#DIV/0!</v>
      </c>
      <c r="M141" s="50">
        <v>19320.0</v>
      </c>
      <c r="N141" s="49">
        <f t="shared" si="133"/>
        <v>772800</v>
      </c>
      <c r="R141" s="80" t="str">
        <f t="shared" si="59"/>
        <v/>
      </c>
    </row>
    <row r="142">
      <c r="A142" s="35">
        <v>45974.0</v>
      </c>
      <c r="B142" s="46" t="s">
        <v>43</v>
      </c>
      <c r="C142" s="37"/>
      <c r="D142" s="37"/>
      <c r="E142" s="12">
        <f t="shared" si="129"/>
        <v>0</v>
      </c>
      <c r="F142" s="47"/>
      <c r="G142" s="14" t="str">
        <f t="shared" si="130"/>
        <v>#DIV/0!</v>
      </c>
      <c r="H142" s="37"/>
      <c r="I142" s="40"/>
      <c r="J142" s="37">
        <f t="shared" si="131"/>
        <v>0</v>
      </c>
      <c r="K142" s="52">
        <v>60.0</v>
      </c>
      <c r="L142" s="48" t="str">
        <f t="shared" si="132"/>
        <v>#DIV/0!</v>
      </c>
      <c r="M142" s="50">
        <v>19860.0</v>
      </c>
      <c r="N142" s="49">
        <f t="shared" si="133"/>
        <v>1191600</v>
      </c>
      <c r="R142" s="80" t="str">
        <f t="shared" si="59"/>
        <v/>
      </c>
    </row>
    <row r="143">
      <c r="A143" s="35">
        <v>45979.0</v>
      </c>
      <c r="B143" s="46" t="s">
        <v>43</v>
      </c>
      <c r="C143" s="37"/>
      <c r="D143" s="37"/>
      <c r="E143" s="12">
        <f t="shared" si="129"/>
        <v>0</v>
      </c>
      <c r="F143" s="47"/>
      <c r="G143" s="14" t="str">
        <f t="shared" si="130"/>
        <v>#DIV/0!</v>
      </c>
      <c r="H143" s="37"/>
      <c r="I143" s="40"/>
      <c r="J143" s="37">
        <f t="shared" si="131"/>
        <v>0</v>
      </c>
      <c r="K143" s="52">
        <v>60.0</v>
      </c>
      <c r="L143" s="48" t="str">
        <f t="shared" si="132"/>
        <v>#DIV/0!</v>
      </c>
      <c r="M143" s="50">
        <v>19860.0</v>
      </c>
      <c r="N143" s="49">
        <f t="shared" si="133"/>
        <v>1191600</v>
      </c>
      <c r="R143" s="80" t="str">
        <f t="shared" si="59"/>
        <v/>
      </c>
    </row>
    <row r="144">
      <c r="A144" s="35">
        <v>45987.0</v>
      </c>
      <c r="B144" s="46" t="s">
        <v>43</v>
      </c>
      <c r="C144" s="37"/>
      <c r="D144" s="37"/>
      <c r="E144" s="12">
        <f t="shared" si="129"/>
        <v>0</v>
      </c>
      <c r="F144" s="47"/>
      <c r="G144" s="14" t="str">
        <f t="shared" si="130"/>
        <v>#DIV/0!</v>
      </c>
      <c r="H144" s="37"/>
      <c r="I144" s="40"/>
      <c r="J144" s="37">
        <f t="shared" si="131"/>
        <v>0</v>
      </c>
      <c r="K144" s="52">
        <v>60.0</v>
      </c>
      <c r="L144" s="48" t="str">
        <f t="shared" si="132"/>
        <v>#DIV/0!</v>
      </c>
      <c r="M144" s="50">
        <v>19820.0</v>
      </c>
      <c r="N144" s="49">
        <f t="shared" si="133"/>
        <v>1189200</v>
      </c>
      <c r="R144" s="80" t="str">
        <f t="shared" si="59"/>
        <v/>
      </c>
    </row>
    <row r="145">
      <c r="A145" s="35">
        <v>45990.0</v>
      </c>
      <c r="B145" s="46" t="s">
        <v>43</v>
      </c>
      <c r="C145" s="37"/>
      <c r="D145" s="133"/>
      <c r="E145" s="12">
        <f t="shared" si="129"/>
        <v>0</v>
      </c>
      <c r="F145" s="47"/>
      <c r="G145" s="14" t="str">
        <f t="shared" si="130"/>
        <v>#DIV/0!</v>
      </c>
      <c r="H145" s="37"/>
      <c r="I145" s="93"/>
      <c r="J145" s="37">
        <f t="shared" si="131"/>
        <v>0</v>
      </c>
      <c r="K145" s="52">
        <v>60.0</v>
      </c>
      <c r="L145" s="48" t="str">
        <f t="shared" si="132"/>
        <v>#DIV/0!</v>
      </c>
      <c r="M145" s="50">
        <v>18800.0</v>
      </c>
      <c r="N145" s="49">
        <f t="shared" si="133"/>
        <v>1128000</v>
      </c>
      <c r="R145" s="80" t="str">
        <f t="shared" si="59"/>
        <v/>
      </c>
    </row>
    <row r="146">
      <c r="A146" s="35"/>
      <c r="B146" s="46" t="s">
        <v>43</v>
      </c>
      <c r="C146" s="37"/>
      <c r="D146" s="133"/>
      <c r="E146" s="12">
        <f t="shared" si="129"/>
        <v>0</v>
      </c>
      <c r="F146" s="47"/>
      <c r="G146" s="14" t="str">
        <f t="shared" si="130"/>
        <v>#DIV/0!</v>
      </c>
      <c r="H146" s="37"/>
      <c r="I146" s="93"/>
      <c r="J146" s="37">
        <f t="shared" si="131"/>
        <v>0</v>
      </c>
      <c r="K146" s="52" t="str">
        <f t="shared" ref="K146:K147" si="134">F146</f>
        <v/>
      </c>
      <c r="L146" s="48" t="str">
        <f t="shared" si="132"/>
        <v>#DIV/0!</v>
      </c>
      <c r="M146" s="50"/>
      <c r="N146" s="49">
        <f>F146*M146</f>
        <v>0</v>
      </c>
      <c r="R146" s="80" t="str">
        <f t="shared" si="59"/>
        <v/>
      </c>
    </row>
    <row r="147">
      <c r="A147" s="146"/>
      <c r="B147" s="83"/>
      <c r="C147" s="55"/>
      <c r="D147" s="95"/>
      <c r="E147" s="25">
        <f t="shared" si="129"/>
        <v>0</v>
      </c>
      <c r="F147" s="47"/>
      <c r="G147" s="56" t="str">
        <f t="shared" si="130"/>
        <v>#DIV/0!</v>
      </c>
      <c r="H147" s="55"/>
      <c r="I147" s="85"/>
      <c r="J147" s="55">
        <f t="shared" si="131"/>
        <v>0</v>
      </c>
      <c r="K147" s="52" t="str">
        <f t="shared" si="134"/>
        <v/>
      </c>
      <c r="L147" s="77" t="str">
        <f t="shared" si="132"/>
        <v>#DIV/0!</v>
      </c>
      <c r="M147" s="50"/>
      <c r="N147" s="49">
        <f>M147*K147</f>
        <v>0</v>
      </c>
      <c r="R147" s="80" t="str">
        <f t="shared" si="59"/>
        <v/>
      </c>
    </row>
    <row r="148">
      <c r="A148" s="62"/>
      <c r="B148" s="63"/>
      <c r="C148" s="62"/>
      <c r="D148" s="64" t="s">
        <v>19</v>
      </c>
      <c r="E148" s="64">
        <f>sum(E140:E147)</f>
        <v>0</v>
      </c>
      <c r="F148" s="39"/>
      <c r="G148" s="65" t="str">
        <f>average(G140:G147)</f>
        <v>#DIV/0!</v>
      </c>
      <c r="H148" s="62"/>
      <c r="I148" s="66"/>
      <c r="J148" s="64">
        <f t="shared" ref="J148:K148" si="135">sum(J140:J147)</f>
        <v>0</v>
      </c>
      <c r="K148" s="64">
        <f t="shared" si="135"/>
        <v>340</v>
      </c>
      <c r="L148" s="65" t="str">
        <f>average(L140:L147)</f>
        <v>#DIV/0!</v>
      </c>
      <c r="M148" s="72"/>
      <c r="N148" s="147">
        <f>sum(N140:N147)</f>
        <v>6625200</v>
      </c>
      <c r="R148" s="80" t="str">
        <f t="shared" si="59"/>
        <v/>
      </c>
    </row>
    <row r="149">
      <c r="A149" s="70">
        <v>45964.0</v>
      </c>
      <c r="B149" s="99" t="s">
        <v>30</v>
      </c>
      <c r="C149" s="89"/>
      <c r="D149" s="13"/>
      <c r="E149" s="38">
        <f t="shared" ref="E149:E156" si="136">D149-C149</f>
        <v>0</v>
      </c>
      <c r="F149" s="39"/>
      <c r="G149" s="14" t="str">
        <f t="shared" ref="G149:G156" si="137">(F149/E149)*100</f>
        <v>#DIV/0!</v>
      </c>
      <c r="H149" s="137"/>
      <c r="I149" s="138"/>
      <c r="J149" s="41">
        <f t="shared" ref="J149:J156" si="138">I149-H149</f>
        <v>0</v>
      </c>
      <c r="K149" s="41">
        <v>78.0</v>
      </c>
      <c r="L149" s="71" t="str">
        <f t="shared" ref="L149:L156" si="139">(K149/J149)*100</f>
        <v>#DIV/0!</v>
      </c>
      <c r="M149" s="72">
        <v>19200.0</v>
      </c>
      <c r="N149" s="49">
        <f t="shared" ref="N149:N153" si="140">M149*K149</f>
        <v>1497600</v>
      </c>
      <c r="R149" s="80" t="str">
        <f t="shared" si="59"/>
        <v/>
      </c>
    </row>
    <row r="150">
      <c r="A150" s="35">
        <v>45971.0</v>
      </c>
      <c r="B150" s="46" t="s">
        <v>30</v>
      </c>
      <c r="C150" s="37"/>
      <c r="D150" s="13"/>
      <c r="E150" s="12">
        <f t="shared" si="136"/>
        <v>0</v>
      </c>
      <c r="F150" s="47"/>
      <c r="G150" s="14" t="str">
        <f t="shared" si="137"/>
        <v>#DIV/0!</v>
      </c>
      <c r="H150" s="40"/>
      <c r="I150" s="40"/>
      <c r="J150" s="37">
        <f t="shared" si="138"/>
        <v>0</v>
      </c>
      <c r="K150" s="41">
        <v>77.0</v>
      </c>
      <c r="L150" s="48" t="str">
        <f t="shared" si="139"/>
        <v>#DIV/0!</v>
      </c>
      <c r="M150" s="50">
        <v>19320.0</v>
      </c>
      <c r="N150" s="49">
        <f t="shared" si="140"/>
        <v>1487640</v>
      </c>
      <c r="R150" s="80" t="str">
        <f t="shared" si="59"/>
        <v/>
      </c>
    </row>
    <row r="151">
      <c r="A151" s="35">
        <v>45976.0</v>
      </c>
      <c r="B151" s="46" t="s">
        <v>30</v>
      </c>
      <c r="C151" s="37"/>
      <c r="D151" s="37"/>
      <c r="E151" s="12">
        <f t="shared" si="136"/>
        <v>0</v>
      </c>
      <c r="F151" s="47"/>
      <c r="G151" s="14" t="str">
        <f t="shared" si="137"/>
        <v>#DIV/0!</v>
      </c>
      <c r="H151" s="37"/>
      <c r="I151" s="40"/>
      <c r="J151" s="37">
        <f t="shared" si="138"/>
        <v>0</v>
      </c>
      <c r="K151" s="41">
        <v>72.0</v>
      </c>
      <c r="L151" s="48" t="str">
        <f t="shared" si="139"/>
        <v>#DIV/0!</v>
      </c>
      <c r="M151" s="50">
        <v>19860.0</v>
      </c>
      <c r="N151" s="49">
        <f t="shared" si="140"/>
        <v>1429920</v>
      </c>
      <c r="R151" s="80" t="str">
        <f t="shared" si="59"/>
        <v/>
      </c>
    </row>
    <row r="152">
      <c r="A152" s="35">
        <v>45985.0</v>
      </c>
      <c r="B152" s="46" t="s">
        <v>30</v>
      </c>
      <c r="C152" s="37"/>
      <c r="D152" s="37"/>
      <c r="E152" s="12">
        <f t="shared" si="136"/>
        <v>0</v>
      </c>
      <c r="F152" s="47"/>
      <c r="G152" s="14" t="str">
        <f t="shared" si="137"/>
        <v>#DIV/0!</v>
      </c>
      <c r="H152" s="37"/>
      <c r="I152" s="40"/>
      <c r="J152" s="37">
        <f t="shared" si="138"/>
        <v>0</v>
      </c>
      <c r="K152" s="41">
        <v>84.0</v>
      </c>
      <c r="L152" s="48" t="str">
        <f t="shared" si="139"/>
        <v>#DIV/0!</v>
      </c>
      <c r="M152" s="50">
        <v>19820.0</v>
      </c>
      <c r="N152" s="49">
        <f t="shared" si="140"/>
        <v>1664880</v>
      </c>
      <c r="R152" s="80" t="str">
        <f t="shared" si="59"/>
        <v/>
      </c>
    </row>
    <row r="153">
      <c r="A153" s="35">
        <v>45989.0</v>
      </c>
      <c r="B153" s="46" t="s">
        <v>30</v>
      </c>
      <c r="C153" s="37"/>
      <c r="D153" s="37"/>
      <c r="E153" s="12">
        <f t="shared" si="136"/>
        <v>0</v>
      </c>
      <c r="F153" s="47"/>
      <c r="G153" s="14" t="str">
        <f t="shared" si="137"/>
        <v>#DIV/0!</v>
      </c>
      <c r="H153" s="37"/>
      <c r="I153" s="40"/>
      <c r="J153" s="37">
        <f t="shared" si="138"/>
        <v>0</v>
      </c>
      <c r="K153" s="41">
        <v>81.0</v>
      </c>
      <c r="L153" s="48" t="str">
        <f t="shared" si="139"/>
        <v>#DIV/0!</v>
      </c>
      <c r="M153" s="50">
        <v>18800.0</v>
      </c>
      <c r="N153" s="49">
        <f t="shared" si="140"/>
        <v>1522800</v>
      </c>
      <c r="R153" s="80" t="str">
        <f t="shared" si="59"/>
        <v/>
      </c>
    </row>
    <row r="154">
      <c r="A154" s="35"/>
      <c r="B154" s="46" t="s">
        <v>30</v>
      </c>
      <c r="C154" s="37"/>
      <c r="D154" s="133"/>
      <c r="E154" s="12">
        <f t="shared" si="136"/>
        <v>0</v>
      </c>
      <c r="F154" s="47"/>
      <c r="G154" s="14" t="str">
        <f t="shared" si="137"/>
        <v>#DIV/0!</v>
      </c>
      <c r="H154" s="37"/>
      <c r="I154" s="93"/>
      <c r="J154" s="37">
        <f t="shared" si="138"/>
        <v>0</v>
      </c>
      <c r="K154" s="41"/>
      <c r="L154" s="48" t="str">
        <f t="shared" si="139"/>
        <v>#DIV/0!</v>
      </c>
      <c r="M154" s="50"/>
      <c r="N154" s="49">
        <f t="shared" ref="N154:N155" si="141">F154*M154</f>
        <v>0</v>
      </c>
      <c r="R154" s="80" t="str">
        <f t="shared" si="59"/>
        <v/>
      </c>
    </row>
    <row r="155">
      <c r="A155" s="35"/>
      <c r="B155" s="83"/>
      <c r="C155" s="37"/>
      <c r="D155" s="133"/>
      <c r="E155" s="12">
        <f t="shared" si="136"/>
        <v>0</v>
      </c>
      <c r="F155" s="47"/>
      <c r="G155" s="14" t="str">
        <f t="shared" si="137"/>
        <v>#DIV/0!</v>
      </c>
      <c r="H155" s="37"/>
      <c r="I155" s="93"/>
      <c r="J155" s="37">
        <f t="shared" si="138"/>
        <v>0</v>
      </c>
      <c r="K155" s="41" t="str">
        <f>D155</f>
        <v/>
      </c>
      <c r="L155" s="77" t="str">
        <f t="shared" si="139"/>
        <v>#DIV/0!</v>
      </c>
      <c r="M155" s="50"/>
      <c r="N155" s="49">
        <f t="shared" si="141"/>
        <v>0</v>
      </c>
      <c r="R155" s="80" t="str">
        <f t="shared" si="59"/>
        <v/>
      </c>
    </row>
    <row r="156">
      <c r="A156" s="148"/>
      <c r="B156" s="156"/>
      <c r="C156" s="149"/>
      <c r="D156" s="150"/>
      <c r="E156" s="25">
        <f t="shared" si="136"/>
        <v>0</v>
      </c>
      <c r="F156" s="39"/>
      <c r="G156" s="56" t="str">
        <f t="shared" si="137"/>
        <v>#DIV/0!</v>
      </c>
      <c r="H156" s="149"/>
      <c r="I156" s="151"/>
      <c r="J156" s="149">
        <f t="shared" si="138"/>
        <v>0</v>
      </c>
      <c r="K156" s="149"/>
      <c r="L156" s="152" t="str">
        <f t="shared" si="139"/>
        <v>#DIV/0!</v>
      </c>
      <c r="M156" s="153"/>
      <c r="N156" s="49">
        <f>M156*K156</f>
        <v>0</v>
      </c>
      <c r="R156" s="80" t="str">
        <f t="shared" si="59"/>
        <v/>
      </c>
    </row>
    <row r="157">
      <c r="A157" s="62"/>
      <c r="B157" s="63"/>
      <c r="C157" s="62"/>
      <c r="D157" s="64" t="s">
        <v>19</v>
      </c>
      <c r="E157" s="64">
        <f t="shared" ref="E157:F157" si="142">sum(E149:E156)</f>
        <v>0</v>
      </c>
      <c r="F157" s="64">
        <f t="shared" si="142"/>
        <v>0</v>
      </c>
      <c r="G157" s="65" t="str">
        <f>average(G149:G156)</f>
        <v>#DIV/0!</v>
      </c>
      <c r="H157" s="62"/>
      <c r="I157" s="66"/>
      <c r="J157" s="64">
        <f t="shared" ref="J157:K157" si="143">sum(J149:J156)</f>
        <v>0</v>
      </c>
      <c r="K157" s="64">
        <f t="shared" si="143"/>
        <v>392</v>
      </c>
      <c r="L157" s="65" t="str">
        <f>average(L149:L156)</f>
        <v>#DIV/0!</v>
      </c>
      <c r="M157" s="68"/>
      <c r="N157" s="69">
        <f>sum(N149:N156)</f>
        <v>7602840</v>
      </c>
      <c r="R157" s="80" t="str">
        <f t="shared" si="59"/>
        <v/>
      </c>
    </row>
    <row r="158">
      <c r="A158" s="154">
        <v>45981.0</v>
      </c>
      <c r="B158" s="99" t="s">
        <v>44</v>
      </c>
      <c r="C158" s="89"/>
      <c r="D158" s="13"/>
      <c r="E158" s="12">
        <f t="shared" ref="E158:E165" si="144">D158-C158</f>
        <v>0</v>
      </c>
      <c r="F158" s="39"/>
      <c r="G158" s="14" t="str">
        <f t="shared" ref="G158:G165" si="145">(F158/E158)*100</f>
        <v>#DIV/0!</v>
      </c>
      <c r="H158" s="137"/>
      <c r="I158" s="138"/>
      <c r="J158" s="41">
        <f t="shared" ref="J158:J165" si="146">I158-H158</f>
        <v>0</v>
      </c>
      <c r="K158" s="81">
        <v>60.0</v>
      </c>
      <c r="L158" s="71" t="str">
        <f t="shared" ref="L158:L165" si="147">(K158/J158)*100</f>
        <v>#DIV/0!</v>
      </c>
      <c r="M158" s="72">
        <v>19820.0</v>
      </c>
      <c r="N158" s="131">
        <f t="shared" ref="N158:N165" si="148">M158*K158</f>
        <v>1189200</v>
      </c>
    </row>
    <row r="159">
      <c r="A159" s="35">
        <v>45985.0</v>
      </c>
      <c r="B159" s="99" t="s">
        <v>44</v>
      </c>
      <c r="C159" s="37"/>
      <c r="D159" s="13"/>
      <c r="E159" s="12">
        <f t="shared" si="144"/>
        <v>0</v>
      </c>
      <c r="F159" s="47"/>
      <c r="G159" s="14" t="str">
        <f t="shared" si="145"/>
        <v>#DIV/0!</v>
      </c>
      <c r="H159" s="40"/>
      <c r="I159" s="40"/>
      <c r="J159" s="37">
        <f t="shared" si="146"/>
        <v>0</v>
      </c>
      <c r="K159" s="81">
        <v>60.0</v>
      </c>
      <c r="L159" s="48" t="str">
        <f t="shared" si="147"/>
        <v>#DIV/0!</v>
      </c>
      <c r="M159" s="72">
        <v>19820.0</v>
      </c>
      <c r="N159" s="131">
        <f t="shared" si="148"/>
        <v>1189200</v>
      </c>
    </row>
    <row r="160">
      <c r="A160" s="35">
        <v>45987.0</v>
      </c>
      <c r="B160" s="99" t="s">
        <v>44</v>
      </c>
      <c r="C160" s="37"/>
      <c r="D160" s="37"/>
      <c r="E160" s="12">
        <f t="shared" si="144"/>
        <v>0</v>
      </c>
      <c r="F160" s="47"/>
      <c r="G160" s="14" t="str">
        <f t="shared" si="145"/>
        <v>#DIV/0!</v>
      </c>
      <c r="H160" s="37"/>
      <c r="I160" s="40"/>
      <c r="J160" s="37">
        <f t="shared" si="146"/>
        <v>0</v>
      </c>
      <c r="K160" s="81">
        <v>70.0</v>
      </c>
      <c r="L160" s="48" t="str">
        <f t="shared" si="147"/>
        <v>#DIV/0!</v>
      </c>
      <c r="M160" s="72">
        <v>19820.0</v>
      </c>
      <c r="N160" s="131">
        <f t="shared" si="148"/>
        <v>1387400</v>
      </c>
    </row>
    <row r="161">
      <c r="A161" s="35">
        <v>45990.0</v>
      </c>
      <c r="B161" s="99" t="s">
        <v>44</v>
      </c>
      <c r="C161" s="37"/>
      <c r="D161" s="37"/>
      <c r="E161" s="12">
        <f t="shared" si="144"/>
        <v>0</v>
      </c>
      <c r="F161" s="47"/>
      <c r="G161" s="14" t="str">
        <f t="shared" si="145"/>
        <v>#DIV/0!</v>
      </c>
      <c r="H161" s="37"/>
      <c r="I161" s="40"/>
      <c r="J161" s="37">
        <f t="shared" si="146"/>
        <v>0</v>
      </c>
      <c r="K161" s="81">
        <v>60.0</v>
      </c>
      <c r="L161" s="48" t="str">
        <f t="shared" si="147"/>
        <v>#DIV/0!</v>
      </c>
      <c r="M161" s="72">
        <v>18800.0</v>
      </c>
      <c r="N161" s="131">
        <f t="shared" si="148"/>
        <v>1128000</v>
      </c>
    </row>
    <row r="162">
      <c r="A162" s="35"/>
      <c r="B162" s="99" t="s">
        <v>44</v>
      </c>
      <c r="C162" s="37"/>
      <c r="D162" s="37"/>
      <c r="E162" s="12">
        <f t="shared" si="144"/>
        <v>0</v>
      </c>
      <c r="F162" s="47"/>
      <c r="G162" s="14" t="str">
        <f t="shared" si="145"/>
        <v>#DIV/0!</v>
      </c>
      <c r="H162" s="37"/>
      <c r="I162" s="40"/>
      <c r="J162" s="37">
        <f t="shared" si="146"/>
        <v>0</v>
      </c>
      <c r="K162" s="81"/>
      <c r="L162" s="48" t="str">
        <f t="shared" si="147"/>
        <v>#DIV/0!</v>
      </c>
      <c r="M162" s="72"/>
      <c r="N162" s="131">
        <f t="shared" si="148"/>
        <v>0</v>
      </c>
    </row>
    <row r="163">
      <c r="A163" s="35"/>
      <c r="B163" s="99" t="s">
        <v>44</v>
      </c>
      <c r="C163" s="37"/>
      <c r="D163" s="133"/>
      <c r="E163" s="12">
        <f t="shared" si="144"/>
        <v>0</v>
      </c>
      <c r="F163" s="47"/>
      <c r="G163" s="14" t="str">
        <f t="shared" si="145"/>
        <v>#DIV/0!</v>
      </c>
      <c r="H163" s="37"/>
      <c r="I163" s="93"/>
      <c r="J163" s="37">
        <f t="shared" si="146"/>
        <v>0</v>
      </c>
      <c r="K163" s="81"/>
      <c r="L163" s="48" t="str">
        <f t="shared" si="147"/>
        <v>#DIV/0!</v>
      </c>
      <c r="M163" s="72"/>
      <c r="N163" s="131">
        <f t="shared" si="148"/>
        <v>0</v>
      </c>
    </row>
    <row r="164">
      <c r="A164" s="35"/>
      <c r="B164" s="99" t="s">
        <v>44</v>
      </c>
      <c r="C164" s="37"/>
      <c r="D164" s="133"/>
      <c r="E164" s="12">
        <f t="shared" si="144"/>
        <v>0</v>
      </c>
      <c r="F164" s="47"/>
      <c r="G164" s="14" t="str">
        <f t="shared" si="145"/>
        <v>#DIV/0!</v>
      </c>
      <c r="H164" s="37"/>
      <c r="I164" s="93"/>
      <c r="J164" s="37">
        <f t="shared" si="146"/>
        <v>0</v>
      </c>
      <c r="K164" s="52" t="str">
        <f t="shared" ref="K164:K165" si="149">F164</f>
        <v/>
      </c>
      <c r="L164" s="48" t="str">
        <f t="shared" si="147"/>
        <v>#DIV/0!</v>
      </c>
      <c r="M164" s="50"/>
      <c r="N164" s="131">
        <f t="shared" si="148"/>
        <v>0</v>
      </c>
    </row>
    <row r="165">
      <c r="A165" s="146"/>
      <c r="B165" s="83"/>
      <c r="C165" s="55"/>
      <c r="D165" s="95"/>
      <c r="E165" s="25">
        <f t="shared" si="144"/>
        <v>0</v>
      </c>
      <c r="F165" s="47"/>
      <c r="G165" s="56" t="str">
        <f t="shared" si="145"/>
        <v>#DIV/0!</v>
      </c>
      <c r="H165" s="55"/>
      <c r="I165" s="85"/>
      <c r="J165" s="55">
        <f t="shared" si="146"/>
        <v>0</v>
      </c>
      <c r="K165" s="52" t="str">
        <f t="shared" si="149"/>
        <v/>
      </c>
      <c r="L165" s="77" t="str">
        <f t="shared" si="147"/>
        <v>#DIV/0!</v>
      </c>
      <c r="M165" s="58"/>
      <c r="N165" s="49">
        <f t="shared" si="148"/>
        <v>0</v>
      </c>
    </row>
    <row r="166">
      <c r="A166" s="62"/>
      <c r="B166" s="63"/>
      <c r="C166" s="62"/>
      <c r="D166" s="64" t="s">
        <v>19</v>
      </c>
      <c r="E166" s="64">
        <f t="shared" ref="E166:F166" si="150">sum(E158:E165)</f>
        <v>0</v>
      </c>
      <c r="F166" s="64">
        <f t="shared" si="150"/>
        <v>0</v>
      </c>
      <c r="G166" s="65" t="str">
        <f>average(G158:G165)</f>
        <v>#DIV/0!</v>
      </c>
      <c r="H166" s="62"/>
      <c r="I166" s="66"/>
      <c r="J166" s="64">
        <f t="shared" ref="J166:K166" si="151">sum(J158:J165)</f>
        <v>0</v>
      </c>
      <c r="K166" s="64">
        <f t="shared" si="151"/>
        <v>250</v>
      </c>
      <c r="L166" s="65" t="str">
        <f>average(L158:L165)</f>
        <v>#DIV/0!</v>
      </c>
      <c r="M166" s="68"/>
      <c r="N166" s="69">
        <f>sum(N158:N165)</f>
        <v>4893800</v>
      </c>
    </row>
    <row r="167">
      <c r="A167" s="155">
        <v>45965.0</v>
      </c>
      <c r="B167" s="156" t="s">
        <v>32</v>
      </c>
      <c r="C167" s="89"/>
      <c r="D167" s="13"/>
      <c r="E167" s="38">
        <f t="shared" ref="E167:E174" si="152">D167-C167</f>
        <v>0</v>
      </c>
      <c r="F167" s="39"/>
      <c r="G167" s="14" t="str">
        <f t="shared" ref="G167:G174" si="153">(F167/E167)*100</f>
        <v>#DIV/0!</v>
      </c>
      <c r="H167" s="137"/>
      <c r="I167" s="138"/>
      <c r="J167" s="41">
        <f t="shared" ref="J167:J174" si="154">I167-H167</f>
        <v>0</v>
      </c>
      <c r="K167" s="81">
        <v>80.0</v>
      </c>
      <c r="L167" s="152" t="str">
        <f t="shared" ref="L167:L174" si="155">(K167/J167)*100</f>
        <v>#DIV/0!</v>
      </c>
      <c r="M167" s="72">
        <v>19200.0</v>
      </c>
      <c r="N167" s="131">
        <f t="shared" ref="N167:N174" si="156">M167*K167</f>
        <v>1536000</v>
      </c>
      <c r="R167" s="80" t="str">
        <f t="shared" ref="R167:R176" si="157">Q167</f>
        <v/>
      </c>
    </row>
    <row r="168">
      <c r="A168" s="154">
        <v>45972.0</v>
      </c>
      <c r="B168" s="156" t="s">
        <v>32</v>
      </c>
      <c r="C168" s="89"/>
      <c r="D168" s="13"/>
      <c r="E168" s="38">
        <f t="shared" si="152"/>
        <v>0</v>
      </c>
      <c r="F168" s="47"/>
      <c r="G168" s="14" t="str">
        <f t="shared" si="153"/>
        <v>#DIV/0!</v>
      </c>
      <c r="H168" s="40"/>
      <c r="I168" s="40"/>
      <c r="J168" s="37">
        <f t="shared" si="154"/>
        <v>0</v>
      </c>
      <c r="K168" s="81">
        <v>80.0</v>
      </c>
      <c r="L168" s="152" t="str">
        <f t="shared" si="155"/>
        <v>#DIV/0!</v>
      </c>
      <c r="M168" s="126">
        <v>19320.0</v>
      </c>
      <c r="N168" s="131">
        <f t="shared" si="156"/>
        <v>1545600</v>
      </c>
      <c r="R168" s="80" t="str">
        <f t="shared" si="157"/>
        <v/>
      </c>
    </row>
    <row r="169">
      <c r="A169" s="154">
        <v>45980.0</v>
      </c>
      <c r="B169" s="156" t="s">
        <v>32</v>
      </c>
      <c r="C169" s="89"/>
      <c r="D169" s="89"/>
      <c r="E169" s="12">
        <f t="shared" si="152"/>
        <v>0</v>
      </c>
      <c r="F169" s="157"/>
      <c r="G169" s="14" t="str">
        <f t="shared" si="153"/>
        <v>#DIV/0!</v>
      </c>
      <c r="H169" s="37"/>
      <c r="I169" s="40"/>
      <c r="J169" s="37">
        <f t="shared" si="154"/>
        <v>0</v>
      </c>
      <c r="K169" s="81">
        <v>90.0</v>
      </c>
      <c r="L169" s="152" t="str">
        <f t="shared" si="155"/>
        <v>#DIV/0!</v>
      </c>
      <c r="M169" s="126">
        <v>19860.0</v>
      </c>
      <c r="N169" s="131">
        <f t="shared" si="156"/>
        <v>1787400</v>
      </c>
      <c r="R169" s="80" t="str">
        <f t="shared" si="157"/>
        <v/>
      </c>
    </row>
    <row r="170">
      <c r="A170" s="154">
        <v>45987.0</v>
      </c>
      <c r="B170" s="156" t="s">
        <v>32</v>
      </c>
      <c r="C170" s="89"/>
      <c r="D170" s="89"/>
      <c r="E170" s="12">
        <f t="shared" si="152"/>
        <v>0</v>
      </c>
      <c r="F170" s="157"/>
      <c r="G170" s="14" t="str">
        <f t="shared" si="153"/>
        <v>#DIV/0!</v>
      </c>
      <c r="H170" s="37"/>
      <c r="I170" s="40"/>
      <c r="J170" s="37">
        <f t="shared" si="154"/>
        <v>0</v>
      </c>
      <c r="K170" s="81">
        <v>70.0</v>
      </c>
      <c r="L170" s="152" t="str">
        <f t="shared" si="155"/>
        <v>#DIV/0!</v>
      </c>
      <c r="M170" s="126">
        <v>19820.0</v>
      </c>
      <c r="N170" s="131">
        <f t="shared" si="156"/>
        <v>1387400</v>
      </c>
      <c r="R170" s="80" t="str">
        <f t="shared" si="157"/>
        <v/>
      </c>
    </row>
    <row r="171">
      <c r="A171" s="154"/>
      <c r="B171" s="156" t="s">
        <v>32</v>
      </c>
      <c r="C171" s="89"/>
      <c r="D171" s="89"/>
      <c r="E171" s="12">
        <f t="shared" si="152"/>
        <v>0</v>
      </c>
      <c r="F171" s="157"/>
      <c r="G171" s="14" t="str">
        <f t="shared" si="153"/>
        <v>#DIV/0!</v>
      </c>
      <c r="H171" s="37"/>
      <c r="I171" s="40"/>
      <c r="J171" s="37">
        <f t="shared" si="154"/>
        <v>0</v>
      </c>
      <c r="K171" s="81"/>
      <c r="L171" s="152" t="str">
        <f t="shared" si="155"/>
        <v>#DIV/0!</v>
      </c>
      <c r="M171" s="126"/>
      <c r="N171" s="131">
        <f t="shared" si="156"/>
        <v>0</v>
      </c>
      <c r="R171" s="80" t="str">
        <f t="shared" si="157"/>
        <v/>
      </c>
    </row>
    <row r="172">
      <c r="A172" s="154"/>
      <c r="B172" s="156" t="s">
        <v>32</v>
      </c>
      <c r="C172" s="89"/>
      <c r="D172" s="158"/>
      <c r="E172" s="12">
        <f t="shared" si="152"/>
        <v>0</v>
      </c>
      <c r="F172" s="157"/>
      <c r="G172" s="14" t="str">
        <f t="shared" si="153"/>
        <v>#DIV/0!</v>
      </c>
      <c r="H172" s="37"/>
      <c r="I172" s="93"/>
      <c r="J172" s="37">
        <f t="shared" si="154"/>
        <v>0</v>
      </c>
      <c r="K172" s="81"/>
      <c r="L172" s="152" t="str">
        <f t="shared" si="155"/>
        <v>#DIV/0!</v>
      </c>
      <c r="M172" s="126"/>
      <c r="N172" s="131">
        <f t="shared" si="156"/>
        <v>0</v>
      </c>
      <c r="R172" s="80" t="str">
        <f t="shared" si="157"/>
        <v/>
      </c>
    </row>
    <row r="173">
      <c r="A173" s="154"/>
      <c r="B173" s="156" t="s">
        <v>32</v>
      </c>
      <c r="C173" s="89"/>
      <c r="D173" s="158"/>
      <c r="E173" s="12">
        <f t="shared" si="152"/>
        <v>0</v>
      </c>
      <c r="F173" s="157"/>
      <c r="G173" s="14" t="str">
        <f t="shared" si="153"/>
        <v>#DIV/0!</v>
      </c>
      <c r="H173" s="89"/>
      <c r="I173" s="159"/>
      <c r="J173" s="89">
        <f t="shared" si="154"/>
        <v>0</v>
      </c>
      <c r="K173" s="81"/>
      <c r="L173" s="152" t="str">
        <f t="shared" si="155"/>
        <v>#DIV/0!</v>
      </c>
      <c r="M173" s="126"/>
      <c r="N173" s="131">
        <f t="shared" si="156"/>
        <v>0</v>
      </c>
      <c r="R173" s="80" t="str">
        <f t="shared" si="157"/>
        <v/>
      </c>
    </row>
    <row r="174">
      <c r="A174" s="154"/>
      <c r="B174" s="156" t="s">
        <v>32</v>
      </c>
      <c r="C174" s="149"/>
      <c r="D174" s="150"/>
      <c r="E174" s="25">
        <f t="shared" si="152"/>
        <v>0</v>
      </c>
      <c r="F174" s="161"/>
      <c r="G174" s="56" t="str">
        <f t="shared" si="153"/>
        <v>#DIV/0!</v>
      </c>
      <c r="H174" s="149"/>
      <c r="I174" s="151"/>
      <c r="J174" s="149">
        <f t="shared" si="154"/>
        <v>0</v>
      </c>
      <c r="K174" s="81"/>
      <c r="L174" s="152" t="str">
        <f t="shared" si="155"/>
        <v>#DIV/0!</v>
      </c>
      <c r="M174" s="153"/>
      <c r="N174" s="49">
        <f t="shared" si="156"/>
        <v>0</v>
      </c>
      <c r="R174" s="80" t="str">
        <f t="shared" si="157"/>
        <v/>
      </c>
    </row>
    <row r="175">
      <c r="A175" s="154"/>
      <c r="B175" s="63"/>
      <c r="C175" s="62"/>
      <c r="D175" s="64" t="s">
        <v>19</v>
      </c>
      <c r="E175" s="64">
        <f t="shared" ref="E175:F175" si="158">sum(E167:E174)</f>
        <v>0</v>
      </c>
      <c r="F175" s="64">
        <f t="shared" si="158"/>
        <v>0</v>
      </c>
      <c r="G175" s="65" t="str">
        <f>average(G167:G174)</f>
        <v>#DIV/0!</v>
      </c>
      <c r="H175" s="62"/>
      <c r="I175" s="66"/>
      <c r="J175" s="64">
        <f t="shared" ref="J175:K175" si="159">sum(J167:J174)</f>
        <v>0</v>
      </c>
      <c r="K175" s="64">
        <f t="shared" si="159"/>
        <v>320</v>
      </c>
      <c r="L175" s="65" t="str">
        <f>average(L167:L174)</f>
        <v>#DIV/0!</v>
      </c>
      <c r="M175" s="68"/>
      <c r="N175" s="147">
        <f>sum(N167:N174)</f>
        <v>6256400</v>
      </c>
      <c r="R175" s="80" t="str">
        <f t="shared" si="157"/>
        <v/>
      </c>
    </row>
    <row r="176">
      <c r="A176" s="154"/>
      <c r="B176" s="165"/>
      <c r="C176" s="165"/>
      <c r="D176" s="165"/>
      <c r="E176" s="165"/>
      <c r="F176" s="165"/>
      <c r="G176" s="165"/>
      <c r="H176" s="165"/>
      <c r="I176" s="165"/>
      <c r="J176" s="165"/>
      <c r="K176" s="165"/>
      <c r="L176" s="165"/>
      <c r="M176" s="166"/>
      <c r="N176" s="167">
        <f>N11+N19+N28+N36+N45+N56+N66+N74+N82+N90+N97+N105+N113+N130+N139+N148+N175+N121+N157+N166</f>
        <v>121597356</v>
      </c>
      <c r="R176" s="80" t="str">
        <f t="shared" si="157"/>
        <v/>
      </c>
    </row>
    <row r="177">
      <c r="A177" s="154"/>
      <c r="G177" s="168"/>
      <c r="L177" s="168"/>
      <c r="N177" s="169"/>
    </row>
    <row r="178" ht="31.5" customHeight="1">
      <c r="A178" s="154"/>
      <c r="D178" s="170" t="s">
        <v>45</v>
      </c>
      <c r="E178" s="171"/>
      <c r="G178" s="168"/>
      <c r="L178" s="168"/>
      <c r="N178" s="169"/>
    </row>
    <row r="179">
      <c r="A179" s="154"/>
      <c r="B179" s="172" t="s">
        <v>2</v>
      </c>
      <c r="C179" s="166" t="s">
        <v>3</v>
      </c>
      <c r="D179" s="166" t="s">
        <v>4</v>
      </c>
      <c r="E179" s="166" t="s">
        <v>5</v>
      </c>
      <c r="F179" s="166" t="s">
        <v>6</v>
      </c>
      <c r="G179" s="173" t="s">
        <v>7</v>
      </c>
      <c r="H179" s="174" t="s">
        <v>8</v>
      </c>
      <c r="I179" s="175" t="s">
        <v>8</v>
      </c>
      <c r="J179" s="166" t="s">
        <v>5</v>
      </c>
      <c r="K179" s="166" t="s">
        <v>6</v>
      </c>
      <c r="L179" s="173" t="s">
        <v>7</v>
      </c>
      <c r="M179" s="166" t="s">
        <v>9</v>
      </c>
      <c r="N179" s="176" t="s">
        <v>10</v>
      </c>
      <c r="O179" s="197">
        <v>1.0</v>
      </c>
      <c r="P179" s="197" t="s">
        <v>46</v>
      </c>
      <c r="Q179" s="251">
        <f>N185</f>
        <v>16899946.4</v>
      </c>
    </row>
    <row r="180">
      <c r="A180" s="154">
        <v>45972.0</v>
      </c>
      <c r="B180" s="99" t="s">
        <v>46</v>
      </c>
      <c r="C180" s="13">
        <v>402182.0</v>
      </c>
      <c r="D180" s="13"/>
      <c r="E180" s="12">
        <f t="shared" ref="E180:E184" si="160">D180-C180</f>
        <v>-402182</v>
      </c>
      <c r="F180" s="37">
        <v>439.95</v>
      </c>
      <c r="G180" s="14">
        <f t="shared" ref="G180:G184" si="161">(F180/E180)*100</f>
        <v>-0.1093907733</v>
      </c>
      <c r="H180" s="89"/>
      <c r="I180" s="138"/>
      <c r="J180" s="41">
        <f t="shared" ref="J180:J184" si="162">I180-H180</f>
        <v>0</v>
      </c>
      <c r="K180" s="37">
        <f t="shared" ref="K180:K184" si="163">F180</f>
        <v>439.95</v>
      </c>
      <c r="L180" s="71" t="str">
        <f t="shared" ref="L180:L184" si="164">(K180/J180)*100</f>
        <v>#DIV/0!</v>
      </c>
      <c r="M180" s="72">
        <v>19320.0</v>
      </c>
      <c r="N180" s="49">
        <f t="shared" ref="N180:N184" si="165">M180*K180</f>
        <v>8499834</v>
      </c>
      <c r="O180" s="197">
        <v>2.0</v>
      </c>
      <c r="P180" s="197" t="s">
        <v>47</v>
      </c>
      <c r="Q180" s="251">
        <f>N191</f>
        <v>16650040.2</v>
      </c>
    </row>
    <row r="181">
      <c r="A181" s="154">
        <v>45983.0</v>
      </c>
      <c r="B181" s="46" t="s">
        <v>46</v>
      </c>
      <c r="C181" s="13">
        <v>402182.0</v>
      </c>
      <c r="D181" s="13">
        <v>405166.0</v>
      </c>
      <c r="E181" s="12">
        <f t="shared" si="160"/>
        <v>2984</v>
      </c>
      <c r="F181" s="47">
        <v>423.82</v>
      </c>
      <c r="G181" s="14">
        <f t="shared" si="161"/>
        <v>14.20308311</v>
      </c>
      <c r="H181" s="37"/>
      <c r="I181" s="40"/>
      <c r="J181" s="37">
        <f t="shared" si="162"/>
        <v>0</v>
      </c>
      <c r="K181" s="37">
        <f t="shared" si="163"/>
        <v>423.82</v>
      </c>
      <c r="L181" s="48" t="str">
        <f t="shared" si="164"/>
        <v>#DIV/0!</v>
      </c>
      <c r="M181" s="50">
        <v>19820.0</v>
      </c>
      <c r="N181" s="49">
        <f t="shared" si="165"/>
        <v>8400112.4</v>
      </c>
      <c r="O181" s="197">
        <v>3.0</v>
      </c>
      <c r="P181" s="197" t="s">
        <v>48</v>
      </c>
      <c r="Q181" s="251">
        <f>N197</f>
        <v>11900863.8</v>
      </c>
    </row>
    <row r="182">
      <c r="A182" s="154"/>
      <c r="B182" s="46" t="s">
        <v>46</v>
      </c>
      <c r="C182" s="37"/>
      <c r="D182" s="37"/>
      <c r="E182" s="12">
        <f t="shared" si="160"/>
        <v>0</v>
      </c>
      <c r="F182" s="47"/>
      <c r="G182" s="14" t="str">
        <f t="shared" si="161"/>
        <v>#DIV/0!</v>
      </c>
      <c r="H182" s="37"/>
      <c r="I182" s="40"/>
      <c r="J182" s="37">
        <f t="shared" si="162"/>
        <v>0</v>
      </c>
      <c r="K182" s="37" t="str">
        <f t="shared" si="163"/>
        <v/>
      </c>
      <c r="L182" s="48" t="str">
        <f t="shared" si="164"/>
        <v>#DIV/0!</v>
      </c>
      <c r="M182" s="50"/>
      <c r="N182" s="49">
        <f t="shared" si="165"/>
        <v>0</v>
      </c>
      <c r="O182" s="197">
        <v>4.0</v>
      </c>
      <c r="P182" s="197" t="s">
        <v>49</v>
      </c>
      <c r="Q182" s="251">
        <f>N203</f>
        <v>9500141.4</v>
      </c>
    </row>
    <row r="183">
      <c r="A183" s="154"/>
      <c r="B183" s="46" t="s">
        <v>46</v>
      </c>
      <c r="C183" s="37"/>
      <c r="D183" s="37"/>
      <c r="E183" s="12">
        <f t="shared" si="160"/>
        <v>0</v>
      </c>
      <c r="F183" s="47"/>
      <c r="G183" s="14" t="str">
        <f t="shared" si="161"/>
        <v>#DIV/0!</v>
      </c>
      <c r="H183" s="37"/>
      <c r="I183" s="40"/>
      <c r="J183" s="37">
        <f t="shared" si="162"/>
        <v>0</v>
      </c>
      <c r="K183" s="37" t="str">
        <f t="shared" si="163"/>
        <v/>
      </c>
      <c r="L183" s="48" t="str">
        <f t="shared" si="164"/>
        <v>#DIV/0!</v>
      </c>
      <c r="M183" s="50"/>
      <c r="N183" s="49">
        <f t="shared" si="165"/>
        <v>0</v>
      </c>
      <c r="O183" s="197">
        <v>5.0</v>
      </c>
      <c r="P183" s="197" t="s">
        <v>50</v>
      </c>
      <c r="Q183" s="251">
        <f>N209</f>
        <v>8200069</v>
      </c>
    </row>
    <row r="184">
      <c r="A184" s="154"/>
      <c r="B184" s="83"/>
      <c r="C184" s="37"/>
      <c r="D184" s="37"/>
      <c r="E184" s="12">
        <f t="shared" si="160"/>
        <v>0</v>
      </c>
      <c r="F184" s="47"/>
      <c r="G184" s="14" t="str">
        <f t="shared" si="161"/>
        <v>#DIV/0!</v>
      </c>
      <c r="H184" s="37"/>
      <c r="I184" s="40"/>
      <c r="J184" s="37">
        <f t="shared" si="162"/>
        <v>0</v>
      </c>
      <c r="K184" s="37" t="str">
        <f t="shared" si="163"/>
        <v/>
      </c>
      <c r="L184" s="77" t="str">
        <f t="shared" si="164"/>
        <v>#DIV/0!</v>
      </c>
      <c r="M184" s="50"/>
      <c r="N184" s="49">
        <f t="shared" si="165"/>
        <v>0</v>
      </c>
      <c r="O184" s="197">
        <v>6.0</v>
      </c>
      <c r="P184" s="197" t="s">
        <v>51</v>
      </c>
      <c r="Q184" s="251">
        <f>N215</f>
        <v>9370094.6</v>
      </c>
    </row>
    <row r="185">
      <c r="A185" s="154"/>
      <c r="B185" s="63"/>
      <c r="C185" s="62"/>
      <c r="D185" s="64" t="s">
        <v>19</v>
      </c>
      <c r="E185" s="64">
        <f t="shared" ref="E185:F185" si="166">sum(E180:E184)</f>
        <v>-399198</v>
      </c>
      <c r="F185" s="64">
        <f t="shared" si="166"/>
        <v>863.77</v>
      </c>
      <c r="G185" s="65" t="str">
        <f>average(G180:G184)</f>
        <v>#DIV/0!</v>
      </c>
      <c r="H185" s="62"/>
      <c r="I185" s="66"/>
      <c r="J185" s="64">
        <f t="shared" ref="J185:K185" si="167">sum(J180:J184)</f>
        <v>0</v>
      </c>
      <c r="K185" s="64">
        <f t="shared" si="167"/>
        <v>863.77</v>
      </c>
      <c r="L185" s="65" t="str">
        <f>average(L180:L184)</f>
        <v>#DIV/0!</v>
      </c>
      <c r="M185" s="68"/>
      <c r="N185" s="69">
        <f>sum(N180:N184)</f>
        <v>16899946.4</v>
      </c>
      <c r="O185" s="197">
        <v>7.0</v>
      </c>
      <c r="P185" s="197" t="s">
        <v>81</v>
      </c>
      <c r="Q185" s="251">
        <f>N221</f>
        <v>21000000</v>
      </c>
    </row>
    <row r="186">
      <c r="A186" s="154">
        <v>45967.0</v>
      </c>
      <c r="B186" s="156" t="s">
        <v>53</v>
      </c>
      <c r="C186" s="89">
        <v>498198.0</v>
      </c>
      <c r="D186" s="89">
        <v>498980.0</v>
      </c>
      <c r="E186" s="12">
        <f t="shared" ref="E186:E190" si="168">D186-C186</f>
        <v>782</v>
      </c>
      <c r="F186" s="157">
        <v>260.42</v>
      </c>
      <c r="G186" s="14">
        <f t="shared" ref="G186:G190" si="169">(F186/E186)*100</f>
        <v>33.30179028</v>
      </c>
      <c r="H186" s="89"/>
      <c r="I186" s="137"/>
      <c r="J186" s="89">
        <f t="shared" ref="J186:J190" si="170">I186-H186</f>
        <v>0</v>
      </c>
      <c r="K186" s="89">
        <f t="shared" ref="K186:K190" si="171">F186</f>
        <v>260.42</v>
      </c>
      <c r="L186" s="152" t="str">
        <f t="shared" ref="L186:L190" si="172">(K186/J186)*100</f>
        <v>#DIV/0!</v>
      </c>
      <c r="M186" s="126">
        <v>19200.0</v>
      </c>
      <c r="N186" s="44">
        <f t="shared" ref="N186:N190" si="173">F186*M186</f>
        <v>5000064</v>
      </c>
      <c r="O186" s="197">
        <v>8.0</v>
      </c>
      <c r="P186" s="197" t="s">
        <v>54</v>
      </c>
      <c r="Q186" s="251">
        <f>N231</f>
        <v>38000000</v>
      </c>
    </row>
    <row r="187">
      <c r="A187" s="154">
        <v>45975.0</v>
      </c>
      <c r="B187" s="156" t="s">
        <v>53</v>
      </c>
      <c r="C187" s="89">
        <v>498980.0</v>
      </c>
      <c r="D187" s="89">
        <v>499940.0</v>
      </c>
      <c r="E187" s="12">
        <f t="shared" si="168"/>
        <v>960</v>
      </c>
      <c r="F187" s="157">
        <v>276.94</v>
      </c>
      <c r="G187" s="14">
        <f t="shared" si="169"/>
        <v>28.84791667</v>
      </c>
      <c r="H187" s="89"/>
      <c r="I187" s="137"/>
      <c r="J187" s="89">
        <f t="shared" si="170"/>
        <v>0</v>
      </c>
      <c r="K187" s="89">
        <f t="shared" si="171"/>
        <v>276.94</v>
      </c>
      <c r="L187" s="152" t="str">
        <f t="shared" si="172"/>
        <v>#DIV/0!</v>
      </c>
      <c r="M187" s="126">
        <v>19860.0</v>
      </c>
      <c r="N187" s="49">
        <f t="shared" si="173"/>
        <v>5500028.4</v>
      </c>
      <c r="O187" s="197">
        <v>9.0</v>
      </c>
      <c r="P187" s="197" t="s">
        <v>69</v>
      </c>
      <c r="Q187" s="251">
        <f>N238</f>
        <v>14323000</v>
      </c>
    </row>
    <row r="188">
      <c r="A188" s="154">
        <v>45985.0</v>
      </c>
      <c r="B188" s="156" t="s">
        <v>53</v>
      </c>
      <c r="C188" s="89">
        <v>499940.0</v>
      </c>
      <c r="D188" s="89">
        <v>500835.0</v>
      </c>
      <c r="E188" s="12">
        <f t="shared" si="168"/>
        <v>895</v>
      </c>
      <c r="F188" s="157">
        <v>310.29</v>
      </c>
      <c r="G188" s="14">
        <f t="shared" si="169"/>
        <v>34.66927374</v>
      </c>
      <c r="H188" s="89"/>
      <c r="I188" s="137"/>
      <c r="J188" s="89">
        <f t="shared" si="170"/>
        <v>0</v>
      </c>
      <c r="K188" s="89">
        <f t="shared" si="171"/>
        <v>310.29</v>
      </c>
      <c r="L188" s="152" t="str">
        <f t="shared" si="172"/>
        <v>#DIV/0!</v>
      </c>
      <c r="M188" s="126">
        <v>19820.0</v>
      </c>
      <c r="N188" s="49">
        <f t="shared" si="173"/>
        <v>6149947.8</v>
      </c>
    </row>
    <row r="189">
      <c r="A189" s="154"/>
      <c r="B189" s="156" t="s">
        <v>53</v>
      </c>
      <c r="C189" s="89"/>
      <c r="D189" s="89"/>
      <c r="E189" s="12">
        <f t="shared" si="168"/>
        <v>0</v>
      </c>
      <c r="F189" s="157"/>
      <c r="G189" s="14" t="str">
        <f t="shared" si="169"/>
        <v>#DIV/0!</v>
      </c>
      <c r="H189" s="89"/>
      <c r="I189" s="137"/>
      <c r="J189" s="89">
        <f t="shared" si="170"/>
        <v>0</v>
      </c>
      <c r="K189" s="89" t="str">
        <f t="shared" si="171"/>
        <v/>
      </c>
      <c r="L189" s="152" t="str">
        <f t="shared" si="172"/>
        <v>#DIV/0!</v>
      </c>
      <c r="M189" s="126"/>
      <c r="N189" s="49">
        <f t="shared" si="173"/>
        <v>0</v>
      </c>
    </row>
    <row r="190">
      <c r="A190" s="154"/>
      <c r="B190" s="156" t="s">
        <v>53</v>
      </c>
      <c r="C190" s="89"/>
      <c r="D190" s="89"/>
      <c r="E190" s="12">
        <f t="shared" si="168"/>
        <v>0</v>
      </c>
      <c r="F190" s="157"/>
      <c r="G190" s="14" t="str">
        <f t="shared" si="169"/>
        <v>#DIV/0!</v>
      </c>
      <c r="H190" s="89"/>
      <c r="I190" s="137"/>
      <c r="J190" s="89">
        <f t="shared" si="170"/>
        <v>0</v>
      </c>
      <c r="K190" s="89" t="str">
        <f t="shared" si="171"/>
        <v/>
      </c>
      <c r="L190" s="152" t="str">
        <f t="shared" si="172"/>
        <v>#DIV/0!</v>
      </c>
      <c r="M190" s="126"/>
      <c r="N190" s="49">
        <f t="shared" si="173"/>
        <v>0</v>
      </c>
    </row>
    <row r="191">
      <c r="A191" s="154"/>
      <c r="B191" s="63"/>
      <c r="C191" s="62"/>
      <c r="D191" s="64" t="s">
        <v>19</v>
      </c>
      <c r="E191" s="64">
        <f t="shared" ref="E191:F191" si="174">sum(E186:E190)</f>
        <v>2637</v>
      </c>
      <c r="F191" s="64">
        <f t="shared" si="174"/>
        <v>847.65</v>
      </c>
      <c r="G191" s="65" t="str">
        <f>average(G186:G190)</f>
        <v>#DIV/0!</v>
      </c>
      <c r="H191" s="62"/>
      <c r="I191" s="66"/>
      <c r="J191" s="64">
        <f t="shared" ref="J191:K191" si="175">sum(J186:J190)</f>
        <v>0</v>
      </c>
      <c r="K191" s="64">
        <f t="shared" si="175"/>
        <v>847.65</v>
      </c>
      <c r="L191" s="65" t="str">
        <f>average(L186:L190)</f>
        <v>#DIV/0!</v>
      </c>
      <c r="M191" s="68"/>
      <c r="N191" s="69">
        <f>sum(N186:N190)</f>
        <v>16650040.2</v>
      </c>
    </row>
    <row r="192">
      <c r="A192" s="154">
        <v>45967.0</v>
      </c>
      <c r="B192" s="156" t="s">
        <v>48</v>
      </c>
      <c r="C192" s="89"/>
      <c r="D192" s="13"/>
      <c r="E192" s="38">
        <f t="shared" ref="E192:E196" si="176">D192-C192</f>
        <v>0</v>
      </c>
      <c r="F192" s="157">
        <v>239.58</v>
      </c>
      <c r="G192" s="14" t="str">
        <f t="shared" ref="G192:G196" si="177">(F192/E192)*100</f>
        <v>#DIV/0!</v>
      </c>
      <c r="H192" s="89"/>
      <c r="I192" s="138"/>
      <c r="J192" s="41">
        <f t="shared" ref="J192:J196" si="178">I192-H192</f>
        <v>0</v>
      </c>
      <c r="K192" s="41">
        <v>239.58</v>
      </c>
      <c r="L192" s="152" t="str">
        <f t="shared" ref="L192:L196" si="179">(K192/J192)*100</f>
        <v>#DIV/0!</v>
      </c>
      <c r="M192" s="72">
        <v>19200.0</v>
      </c>
      <c r="N192" s="131">
        <f t="shared" ref="N192:N196" si="180">F192*M192</f>
        <v>4599936</v>
      </c>
    </row>
    <row r="193">
      <c r="A193" s="154">
        <v>45980.0</v>
      </c>
      <c r="B193" s="156" t="s">
        <v>48</v>
      </c>
      <c r="C193" s="89"/>
      <c r="D193" s="13"/>
      <c r="E193" s="12">
        <f t="shared" si="176"/>
        <v>0</v>
      </c>
      <c r="F193" s="157">
        <v>201.43</v>
      </c>
      <c r="G193" s="14" t="str">
        <f t="shared" si="177"/>
        <v>#DIV/0!</v>
      </c>
      <c r="H193" s="89"/>
      <c r="I193" s="137"/>
      <c r="J193" s="89">
        <f t="shared" si="178"/>
        <v>0</v>
      </c>
      <c r="K193" s="37"/>
      <c r="L193" s="152" t="str">
        <f t="shared" si="179"/>
        <v>#DIV/0!</v>
      </c>
      <c r="M193" s="126">
        <v>19860.0</v>
      </c>
      <c r="N193" s="131">
        <f t="shared" si="180"/>
        <v>4000399.8</v>
      </c>
    </row>
    <row r="194">
      <c r="A194" s="154">
        <v>45991.0</v>
      </c>
      <c r="B194" s="156" t="s">
        <v>48</v>
      </c>
      <c r="C194" s="89"/>
      <c r="D194" s="89"/>
      <c r="E194" s="12">
        <f t="shared" si="176"/>
        <v>0</v>
      </c>
      <c r="F194" s="157">
        <v>175.56</v>
      </c>
      <c r="G194" s="14" t="str">
        <f t="shared" si="177"/>
        <v>#DIV/0!</v>
      </c>
      <c r="H194" s="89"/>
      <c r="I194" s="137"/>
      <c r="J194" s="89">
        <f t="shared" si="178"/>
        <v>0</v>
      </c>
      <c r="K194" s="37">
        <f t="shared" ref="K194:K196" si="181">F194</f>
        <v>175.56</v>
      </c>
      <c r="L194" s="152" t="str">
        <f t="shared" si="179"/>
        <v>#DIV/0!</v>
      </c>
      <c r="M194" s="126">
        <v>18800.0</v>
      </c>
      <c r="N194" s="131">
        <f t="shared" si="180"/>
        <v>3300528</v>
      </c>
    </row>
    <row r="195">
      <c r="A195" s="154"/>
      <c r="B195" s="156" t="s">
        <v>48</v>
      </c>
      <c r="C195" s="89"/>
      <c r="D195" s="89"/>
      <c r="E195" s="12">
        <f t="shared" si="176"/>
        <v>0</v>
      </c>
      <c r="F195" s="157"/>
      <c r="G195" s="14" t="str">
        <f t="shared" si="177"/>
        <v>#DIV/0!</v>
      </c>
      <c r="H195" s="89"/>
      <c r="I195" s="137"/>
      <c r="J195" s="89">
        <f t="shared" si="178"/>
        <v>0</v>
      </c>
      <c r="K195" s="41" t="str">
        <f t="shared" si="181"/>
        <v/>
      </c>
      <c r="L195" s="152" t="str">
        <f t="shared" si="179"/>
        <v>#DIV/0!</v>
      </c>
      <c r="M195" s="126"/>
      <c r="N195" s="131">
        <f t="shared" si="180"/>
        <v>0</v>
      </c>
    </row>
    <row r="196">
      <c r="A196" s="154"/>
      <c r="B196" s="156"/>
      <c r="C196" s="89"/>
      <c r="D196" s="89"/>
      <c r="E196" s="12">
        <f t="shared" si="176"/>
        <v>0</v>
      </c>
      <c r="F196" s="157"/>
      <c r="G196" s="14" t="str">
        <f t="shared" si="177"/>
        <v>#DIV/0!</v>
      </c>
      <c r="H196" s="89"/>
      <c r="I196" s="137"/>
      <c r="J196" s="89">
        <f t="shared" si="178"/>
        <v>0</v>
      </c>
      <c r="K196" s="89" t="str">
        <f t="shared" si="181"/>
        <v/>
      </c>
      <c r="L196" s="152" t="str">
        <f t="shared" si="179"/>
        <v>#DIV/0!</v>
      </c>
      <c r="M196" s="126"/>
      <c r="N196" s="131">
        <f t="shared" si="180"/>
        <v>0</v>
      </c>
    </row>
    <row r="197">
      <c r="A197" s="154"/>
      <c r="B197" s="63"/>
      <c r="C197" s="62"/>
      <c r="D197" s="64" t="s">
        <v>19</v>
      </c>
      <c r="E197" s="64">
        <f t="shared" ref="E197:F197" si="182">sum(E192:E196)</f>
        <v>0</v>
      </c>
      <c r="F197" s="64">
        <f t="shared" si="182"/>
        <v>616.57</v>
      </c>
      <c r="G197" s="65" t="str">
        <f>average(G192:G196)</f>
        <v>#DIV/0!</v>
      </c>
      <c r="H197" s="62"/>
      <c r="I197" s="66"/>
      <c r="J197" s="64">
        <f t="shared" ref="J197:K197" si="183">sum(J192:J196)</f>
        <v>0</v>
      </c>
      <c r="K197" s="64">
        <f t="shared" si="183"/>
        <v>415.14</v>
      </c>
      <c r="L197" s="65" t="str">
        <f>average(L192:L196)</f>
        <v>#DIV/0!</v>
      </c>
      <c r="M197" s="68"/>
      <c r="N197" s="69">
        <f>sum(N192:N196)</f>
        <v>11900863.8</v>
      </c>
    </row>
    <row r="198">
      <c r="A198" s="154">
        <v>45963.0</v>
      </c>
      <c r="B198" s="156" t="s">
        <v>49</v>
      </c>
      <c r="C198" s="89"/>
      <c r="D198" s="13"/>
      <c r="E198" s="38">
        <f t="shared" ref="E198:E202" si="184">D198-C198</f>
        <v>0</v>
      </c>
      <c r="F198" s="39">
        <v>260.42</v>
      </c>
      <c r="G198" s="14" t="str">
        <f t="shared" ref="G198:G202" si="185">(F198/E198)*100</f>
        <v>#DIV/0!</v>
      </c>
      <c r="H198" s="89"/>
      <c r="I198" s="138"/>
      <c r="J198" s="41">
        <f t="shared" ref="J198:J202" si="186">I198-H198</f>
        <v>0</v>
      </c>
      <c r="K198" s="41">
        <f t="shared" ref="K198:K202" si="187">F198</f>
        <v>260.42</v>
      </c>
      <c r="L198" s="48" t="str">
        <f t="shared" ref="L198:L202" si="188">(K198/J198)*100</f>
        <v>#DIV/0!</v>
      </c>
      <c r="M198" s="72">
        <v>19200.0</v>
      </c>
      <c r="N198" s="131">
        <f t="shared" ref="N198:N201" si="189">M198*K198</f>
        <v>5000064</v>
      </c>
    </row>
    <row r="199">
      <c r="A199" s="154">
        <v>45980.0</v>
      </c>
      <c r="B199" s="156" t="s">
        <v>49</v>
      </c>
      <c r="C199" s="13"/>
      <c r="D199" s="89"/>
      <c r="E199" s="12">
        <f t="shared" si="184"/>
        <v>0</v>
      </c>
      <c r="F199" s="157">
        <v>226.59</v>
      </c>
      <c r="G199" s="14" t="str">
        <f t="shared" si="185"/>
        <v>#DIV/0!</v>
      </c>
      <c r="H199" s="89"/>
      <c r="I199" s="137"/>
      <c r="J199" s="89">
        <f t="shared" si="186"/>
        <v>0</v>
      </c>
      <c r="K199" s="89">
        <f t="shared" si="187"/>
        <v>226.59</v>
      </c>
      <c r="L199" s="152" t="str">
        <f t="shared" si="188"/>
        <v>#DIV/0!</v>
      </c>
      <c r="M199" s="126">
        <v>19860.0</v>
      </c>
      <c r="N199" s="131">
        <f t="shared" si="189"/>
        <v>4500077.4</v>
      </c>
    </row>
    <row r="200">
      <c r="A200" s="154"/>
      <c r="B200" s="156" t="s">
        <v>49</v>
      </c>
      <c r="C200" s="89"/>
      <c r="D200" s="89"/>
      <c r="E200" s="12">
        <f t="shared" si="184"/>
        <v>0</v>
      </c>
      <c r="F200" s="157"/>
      <c r="G200" s="14" t="str">
        <f t="shared" si="185"/>
        <v>#DIV/0!</v>
      </c>
      <c r="H200" s="89"/>
      <c r="I200" s="137"/>
      <c r="J200" s="89">
        <f t="shared" si="186"/>
        <v>0</v>
      </c>
      <c r="K200" s="89" t="str">
        <f t="shared" si="187"/>
        <v/>
      </c>
      <c r="L200" s="152" t="str">
        <f t="shared" si="188"/>
        <v>#DIV/0!</v>
      </c>
      <c r="M200" s="126"/>
      <c r="N200" s="131">
        <f t="shared" si="189"/>
        <v>0</v>
      </c>
    </row>
    <row r="201">
      <c r="A201" s="154"/>
      <c r="B201" s="156" t="s">
        <v>49</v>
      </c>
      <c r="C201" s="89"/>
      <c r="D201" s="89"/>
      <c r="E201" s="12">
        <f t="shared" si="184"/>
        <v>0</v>
      </c>
      <c r="F201" s="157"/>
      <c r="G201" s="14" t="str">
        <f t="shared" si="185"/>
        <v>#DIV/0!</v>
      </c>
      <c r="H201" s="89"/>
      <c r="I201" s="137"/>
      <c r="J201" s="89">
        <f t="shared" si="186"/>
        <v>0</v>
      </c>
      <c r="K201" s="89" t="str">
        <f t="shared" si="187"/>
        <v/>
      </c>
      <c r="L201" s="152" t="str">
        <f t="shared" si="188"/>
        <v>#DIV/0!</v>
      </c>
      <c r="M201" s="126"/>
      <c r="N201" s="131">
        <f t="shared" si="189"/>
        <v>0</v>
      </c>
    </row>
    <row r="202">
      <c r="A202" s="154"/>
      <c r="B202" s="156"/>
      <c r="C202" s="89"/>
      <c r="D202" s="89"/>
      <c r="E202" s="12">
        <f t="shared" si="184"/>
        <v>0</v>
      </c>
      <c r="F202" s="157"/>
      <c r="G202" s="14" t="str">
        <f t="shared" si="185"/>
        <v>#DIV/0!</v>
      </c>
      <c r="H202" s="89"/>
      <c r="I202" s="137"/>
      <c r="J202" s="89">
        <f t="shared" si="186"/>
        <v>0</v>
      </c>
      <c r="K202" s="89" t="str">
        <f t="shared" si="187"/>
        <v/>
      </c>
      <c r="L202" s="152" t="str">
        <f t="shared" si="188"/>
        <v>#DIV/0!</v>
      </c>
      <c r="M202" s="126"/>
      <c r="N202" s="131">
        <f>F202*M202</f>
        <v>0</v>
      </c>
    </row>
    <row r="203">
      <c r="A203" s="154"/>
      <c r="B203" s="63"/>
      <c r="C203" s="62"/>
      <c r="D203" s="64" t="s">
        <v>19</v>
      </c>
      <c r="E203" s="64">
        <f t="shared" ref="E203:F203" si="190">sum(E198:E202)</f>
        <v>0</v>
      </c>
      <c r="F203" s="64">
        <f t="shared" si="190"/>
        <v>487.01</v>
      </c>
      <c r="G203" s="65" t="str">
        <f>average(G198:G202)</f>
        <v>#DIV/0!</v>
      </c>
      <c r="H203" s="62"/>
      <c r="I203" s="66"/>
      <c r="J203" s="64">
        <f t="shared" ref="J203:K203" si="191">sum(J198:J202)</f>
        <v>0</v>
      </c>
      <c r="K203" s="64">
        <f t="shared" si="191"/>
        <v>487.01</v>
      </c>
      <c r="L203" s="65" t="str">
        <f>average(L198:L202)</f>
        <v>#DIV/0!</v>
      </c>
      <c r="M203" s="68"/>
      <c r="N203" s="69">
        <f>sum(N198:N202)</f>
        <v>9500141.4</v>
      </c>
    </row>
    <row r="204">
      <c r="A204" s="154">
        <v>45972.0</v>
      </c>
      <c r="B204" s="156" t="s">
        <v>50</v>
      </c>
      <c r="C204" s="89"/>
      <c r="D204" s="13"/>
      <c r="E204" s="38"/>
      <c r="F204" s="39">
        <v>207.04</v>
      </c>
      <c r="G204" s="14" t="str">
        <f t="shared" ref="G204:G208" si="192">(F204/E204)*100</f>
        <v>#DIV/0!</v>
      </c>
      <c r="H204" s="89"/>
      <c r="I204" s="138"/>
      <c r="J204" s="41"/>
      <c r="K204" s="41">
        <f t="shared" ref="K204:K208" si="193">F204</f>
        <v>207.04</v>
      </c>
      <c r="L204" s="152" t="str">
        <f t="shared" ref="L204:L208" si="194">(K204/J204)*100</f>
        <v>#DIV/0!</v>
      </c>
      <c r="M204" s="72">
        <v>19320.0</v>
      </c>
      <c r="N204" s="49">
        <f>F204*M204</f>
        <v>4000012.8</v>
      </c>
    </row>
    <row r="205">
      <c r="A205" s="154">
        <v>45986.0</v>
      </c>
      <c r="B205" s="156" t="s">
        <v>50</v>
      </c>
      <c r="C205" s="89"/>
      <c r="D205" s="89"/>
      <c r="E205" s="12">
        <f t="shared" ref="E205:E208" si="195">D205-C205</f>
        <v>0</v>
      </c>
      <c r="F205" s="157">
        <v>211.91</v>
      </c>
      <c r="G205" s="14" t="str">
        <f t="shared" si="192"/>
        <v>#DIV/0!</v>
      </c>
      <c r="H205" s="89"/>
      <c r="I205" s="137"/>
      <c r="J205" s="89"/>
      <c r="K205" s="41">
        <f t="shared" si="193"/>
        <v>211.91</v>
      </c>
      <c r="L205" s="152" t="str">
        <f t="shared" si="194"/>
        <v>#DIV/0!</v>
      </c>
      <c r="M205" s="126">
        <v>19820.0</v>
      </c>
      <c r="N205" s="49">
        <f>M205*K205</f>
        <v>4200056.2</v>
      </c>
    </row>
    <row r="206">
      <c r="A206" s="154"/>
      <c r="B206" s="156" t="s">
        <v>50</v>
      </c>
      <c r="C206" s="89"/>
      <c r="D206" s="89"/>
      <c r="E206" s="12">
        <f t="shared" si="195"/>
        <v>0</v>
      </c>
      <c r="F206" s="157"/>
      <c r="G206" s="14" t="str">
        <f t="shared" si="192"/>
        <v>#DIV/0!</v>
      </c>
      <c r="H206" s="89"/>
      <c r="I206" s="137"/>
      <c r="J206" s="89">
        <f t="shared" ref="J206:J208" si="196">I206-H206</f>
        <v>0</v>
      </c>
      <c r="K206" s="41" t="str">
        <f t="shared" si="193"/>
        <v/>
      </c>
      <c r="L206" s="152" t="str">
        <f t="shared" si="194"/>
        <v>#DIV/0!</v>
      </c>
      <c r="M206" s="126"/>
      <c r="N206" s="49">
        <f t="shared" ref="N206:N208" si="197">F206*M206</f>
        <v>0</v>
      </c>
    </row>
    <row r="207">
      <c r="A207" s="154"/>
      <c r="B207" s="156" t="s">
        <v>50</v>
      </c>
      <c r="C207" s="89"/>
      <c r="D207" s="89"/>
      <c r="E207" s="12">
        <f t="shared" si="195"/>
        <v>0</v>
      </c>
      <c r="F207" s="157"/>
      <c r="G207" s="14" t="str">
        <f t="shared" si="192"/>
        <v>#DIV/0!</v>
      </c>
      <c r="H207" s="89"/>
      <c r="I207" s="137"/>
      <c r="J207" s="89">
        <f t="shared" si="196"/>
        <v>0</v>
      </c>
      <c r="K207" s="41" t="str">
        <f t="shared" si="193"/>
        <v/>
      </c>
      <c r="L207" s="152" t="str">
        <f t="shared" si="194"/>
        <v>#DIV/0!</v>
      </c>
      <c r="M207" s="126"/>
      <c r="N207" s="49">
        <f t="shared" si="197"/>
        <v>0</v>
      </c>
    </row>
    <row r="208">
      <c r="A208" s="154"/>
      <c r="B208" s="156" t="s">
        <v>50</v>
      </c>
      <c r="C208" s="89"/>
      <c r="D208" s="89"/>
      <c r="E208" s="12">
        <f t="shared" si="195"/>
        <v>0</v>
      </c>
      <c r="F208" s="157"/>
      <c r="G208" s="14" t="str">
        <f t="shared" si="192"/>
        <v>#DIV/0!</v>
      </c>
      <c r="H208" s="89"/>
      <c r="I208" s="137"/>
      <c r="J208" s="89">
        <f t="shared" si="196"/>
        <v>0</v>
      </c>
      <c r="K208" s="41" t="str">
        <f t="shared" si="193"/>
        <v/>
      </c>
      <c r="L208" s="152" t="str">
        <f t="shared" si="194"/>
        <v>#DIV/0!</v>
      </c>
      <c r="M208" s="126"/>
      <c r="N208" s="49">
        <f t="shared" si="197"/>
        <v>0</v>
      </c>
    </row>
    <row r="209">
      <c r="A209" s="154"/>
      <c r="B209" s="63"/>
      <c r="C209" s="62"/>
      <c r="D209" s="64" t="s">
        <v>19</v>
      </c>
      <c r="E209" s="64">
        <f t="shared" ref="E209:F209" si="198">sum(E204:E208)</f>
        <v>0</v>
      </c>
      <c r="F209" s="64">
        <f t="shared" si="198"/>
        <v>418.95</v>
      </c>
      <c r="G209" s="65" t="str">
        <f>average(G204:G208)</f>
        <v>#DIV/0!</v>
      </c>
      <c r="H209" s="62"/>
      <c r="I209" s="66"/>
      <c r="J209" s="64">
        <f t="shared" ref="J209:K209" si="199">sum(J204:J208)</f>
        <v>0</v>
      </c>
      <c r="K209" s="64">
        <f t="shared" si="199"/>
        <v>418.95</v>
      </c>
      <c r="L209" s="65" t="str">
        <f>average(L204:L208)</f>
        <v>#DIV/0!</v>
      </c>
      <c r="M209" s="68"/>
      <c r="N209" s="69">
        <f>sum(N204:N208)</f>
        <v>8200069</v>
      </c>
    </row>
    <row r="210">
      <c r="A210" s="154">
        <v>45969.0</v>
      </c>
      <c r="B210" s="156" t="s">
        <v>51</v>
      </c>
      <c r="C210" s="89">
        <v>300635.0</v>
      </c>
      <c r="D210" s="13">
        <v>300888.0</v>
      </c>
      <c r="E210" s="12">
        <f t="shared" ref="E210:E214" si="200">D210-C210</f>
        <v>253</v>
      </c>
      <c r="F210" s="39">
        <v>157.87</v>
      </c>
      <c r="G210" s="14">
        <f t="shared" ref="G210:G214" si="201">(F210/E210)*100</f>
        <v>62.39920949</v>
      </c>
      <c r="H210" s="89"/>
      <c r="I210" s="138"/>
      <c r="J210" s="41">
        <f t="shared" ref="J210:J214" si="202">I210-H210</f>
        <v>0</v>
      </c>
      <c r="K210" s="41">
        <f>F210</f>
        <v>157.87</v>
      </c>
      <c r="L210" s="152" t="str">
        <f t="shared" ref="L210:L214" si="203">(K210/J210)*100</f>
        <v>#DIV/0!</v>
      </c>
      <c r="M210" s="72">
        <v>19320.0</v>
      </c>
      <c r="N210" s="49">
        <f>F210*M210</f>
        <v>3050048.4</v>
      </c>
    </row>
    <row r="211">
      <c r="A211" s="279">
        <v>45976.0</v>
      </c>
      <c r="B211" s="280" t="s">
        <v>51</v>
      </c>
      <c r="C211" s="281">
        <v>300888.0</v>
      </c>
      <c r="D211" s="282"/>
      <c r="E211" s="283">
        <f t="shared" si="200"/>
        <v>-300888</v>
      </c>
      <c r="F211" s="284"/>
      <c r="G211" s="14">
        <f t="shared" si="201"/>
        <v>0</v>
      </c>
      <c r="H211" s="89"/>
      <c r="I211" s="137"/>
      <c r="J211" s="89">
        <f t="shared" si="202"/>
        <v>0</v>
      </c>
      <c r="K211" s="89"/>
      <c r="L211" s="152" t="str">
        <f t="shared" si="203"/>
        <v>#DIV/0!</v>
      </c>
      <c r="M211" s="126"/>
      <c r="N211" s="49">
        <v>3220000.0</v>
      </c>
    </row>
    <row r="212">
      <c r="A212" s="154">
        <v>45987.0</v>
      </c>
      <c r="B212" s="156" t="s">
        <v>51</v>
      </c>
      <c r="C212" s="13">
        <v>300888.0</v>
      </c>
      <c r="D212" s="89">
        <v>301477.0</v>
      </c>
      <c r="E212" s="12">
        <f t="shared" si="200"/>
        <v>589</v>
      </c>
      <c r="F212" s="157">
        <v>156.41</v>
      </c>
      <c r="G212" s="14">
        <f t="shared" si="201"/>
        <v>26.55517827</v>
      </c>
      <c r="H212" s="89"/>
      <c r="I212" s="137"/>
      <c r="J212" s="89">
        <f t="shared" si="202"/>
        <v>0</v>
      </c>
      <c r="K212" s="89">
        <f t="shared" ref="K212:K214" si="204">F212</f>
        <v>156.41</v>
      </c>
      <c r="L212" s="152" t="str">
        <f t="shared" si="203"/>
        <v>#DIV/0!</v>
      </c>
      <c r="M212" s="126">
        <v>19820.0</v>
      </c>
      <c r="N212" s="49">
        <f t="shared" ref="N212:N213" si="205">F212*M212</f>
        <v>3100046.2</v>
      </c>
    </row>
    <row r="213">
      <c r="A213" s="154"/>
      <c r="B213" s="156" t="s">
        <v>51</v>
      </c>
      <c r="C213" s="89"/>
      <c r="D213" s="89"/>
      <c r="E213" s="12">
        <f t="shared" si="200"/>
        <v>0</v>
      </c>
      <c r="F213" s="157"/>
      <c r="G213" s="14" t="str">
        <f t="shared" si="201"/>
        <v>#DIV/0!</v>
      </c>
      <c r="H213" s="89"/>
      <c r="I213" s="137"/>
      <c r="J213" s="89">
        <f t="shared" si="202"/>
        <v>0</v>
      </c>
      <c r="K213" s="89" t="str">
        <f t="shared" si="204"/>
        <v/>
      </c>
      <c r="L213" s="152" t="str">
        <f t="shared" si="203"/>
        <v>#DIV/0!</v>
      </c>
      <c r="M213" s="126"/>
      <c r="N213" s="49">
        <f t="shared" si="205"/>
        <v>0</v>
      </c>
    </row>
    <row r="214">
      <c r="A214" s="154"/>
      <c r="B214" s="156"/>
      <c r="C214" s="89"/>
      <c r="D214" s="89"/>
      <c r="E214" s="12">
        <f t="shared" si="200"/>
        <v>0</v>
      </c>
      <c r="F214" s="157"/>
      <c r="G214" s="14" t="str">
        <f t="shared" si="201"/>
        <v>#DIV/0!</v>
      </c>
      <c r="H214" s="89"/>
      <c r="I214" s="137"/>
      <c r="J214" s="89">
        <f t="shared" si="202"/>
        <v>0</v>
      </c>
      <c r="K214" s="89" t="str">
        <f t="shared" si="204"/>
        <v/>
      </c>
      <c r="L214" s="152" t="str">
        <f t="shared" si="203"/>
        <v>#DIV/0!</v>
      </c>
      <c r="M214" s="126"/>
      <c r="N214" s="49">
        <f>M214*K214</f>
        <v>0</v>
      </c>
    </row>
    <row r="215">
      <c r="A215" s="154"/>
      <c r="B215" s="63"/>
      <c r="C215" s="62"/>
      <c r="D215" s="64" t="s">
        <v>19</v>
      </c>
      <c r="E215" s="64">
        <f t="shared" ref="E215:F215" si="206">sum(E210:E214)</f>
        <v>-300046</v>
      </c>
      <c r="F215" s="64">
        <f t="shared" si="206"/>
        <v>314.28</v>
      </c>
      <c r="G215" s="65" t="str">
        <f>average(G210:G214)</f>
        <v>#DIV/0!</v>
      </c>
      <c r="H215" s="62"/>
      <c r="I215" s="66"/>
      <c r="J215" s="64">
        <f t="shared" ref="J215:K215" si="207">sum(J210:J214)</f>
        <v>0</v>
      </c>
      <c r="K215" s="64">
        <f t="shared" si="207"/>
        <v>314.28</v>
      </c>
      <c r="L215" s="65" t="str">
        <f>average(L210:L214)</f>
        <v>#DIV/0!</v>
      </c>
      <c r="M215" s="68"/>
      <c r="N215" s="69">
        <f>sum(N210:N214)</f>
        <v>9370094.6</v>
      </c>
    </row>
    <row r="216">
      <c r="A216" s="154">
        <v>45962.0</v>
      </c>
      <c r="B216" s="190" t="s">
        <v>62</v>
      </c>
      <c r="C216" s="89"/>
      <c r="D216" s="13"/>
      <c r="E216" s="38">
        <f t="shared" ref="E216:E220" si="208">D216-C216</f>
        <v>0</v>
      </c>
      <c r="F216" s="39"/>
      <c r="G216" s="14" t="str">
        <f t="shared" ref="G216:G220" si="209">(F216/E216)*100</f>
        <v>#DIV/0!</v>
      </c>
      <c r="H216" s="89"/>
      <c r="I216" s="138"/>
      <c r="J216" s="41">
        <f t="shared" ref="J216:J220" si="210">I216-H216</f>
        <v>0</v>
      </c>
      <c r="K216" s="41" t="str">
        <f t="shared" ref="K216:K220" si="211">F216</f>
        <v/>
      </c>
      <c r="L216" s="152" t="str">
        <f t="shared" ref="L216:L220" si="212">(K216/J216)*100</f>
        <v>#DIV/0!</v>
      </c>
      <c r="M216" s="72"/>
      <c r="N216" s="131">
        <v>8000000.0</v>
      </c>
    </row>
    <row r="217">
      <c r="A217" s="154">
        <v>45973.0</v>
      </c>
      <c r="B217" s="190" t="s">
        <v>62</v>
      </c>
      <c r="C217" s="89"/>
      <c r="D217" s="89"/>
      <c r="E217" s="12">
        <f t="shared" si="208"/>
        <v>0</v>
      </c>
      <c r="F217" s="157"/>
      <c r="G217" s="14" t="str">
        <f t="shared" si="209"/>
        <v>#DIV/0!</v>
      </c>
      <c r="H217" s="89"/>
      <c r="I217" s="137"/>
      <c r="J217" s="89">
        <f t="shared" si="210"/>
        <v>0</v>
      </c>
      <c r="K217" s="89" t="str">
        <f t="shared" si="211"/>
        <v/>
      </c>
      <c r="L217" s="152" t="str">
        <f t="shared" si="212"/>
        <v>#DIV/0!</v>
      </c>
      <c r="M217" s="126"/>
      <c r="N217" s="131">
        <v>7000000.0</v>
      </c>
    </row>
    <row r="218">
      <c r="A218" s="154">
        <v>45985.0</v>
      </c>
      <c r="B218" s="190" t="s">
        <v>62</v>
      </c>
      <c r="C218" s="89"/>
      <c r="D218" s="89"/>
      <c r="E218" s="12">
        <f t="shared" si="208"/>
        <v>0</v>
      </c>
      <c r="F218" s="157"/>
      <c r="G218" s="14" t="str">
        <f t="shared" si="209"/>
        <v>#DIV/0!</v>
      </c>
      <c r="H218" s="89"/>
      <c r="I218" s="137"/>
      <c r="J218" s="89">
        <f t="shared" si="210"/>
        <v>0</v>
      </c>
      <c r="K218" s="89" t="str">
        <f t="shared" si="211"/>
        <v/>
      </c>
      <c r="L218" s="152" t="str">
        <f t="shared" si="212"/>
        <v>#DIV/0!</v>
      </c>
      <c r="M218" s="126"/>
      <c r="N218" s="131">
        <v>6000000.0</v>
      </c>
    </row>
    <row r="219">
      <c r="A219" s="154"/>
      <c r="B219" s="190" t="s">
        <v>62</v>
      </c>
      <c r="C219" s="89"/>
      <c r="D219" s="89"/>
      <c r="E219" s="12">
        <f t="shared" si="208"/>
        <v>0</v>
      </c>
      <c r="F219" s="157"/>
      <c r="G219" s="14" t="str">
        <f t="shared" si="209"/>
        <v>#DIV/0!</v>
      </c>
      <c r="H219" s="89"/>
      <c r="I219" s="137"/>
      <c r="J219" s="89">
        <f t="shared" si="210"/>
        <v>0</v>
      </c>
      <c r="K219" s="89" t="str">
        <f t="shared" si="211"/>
        <v/>
      </c>
      <c r="L219" s="152" t="str">
        <f t="shared" si="212"/>
        <v>#DIV/0!</v>
      </c>
      <c r="M219" s="126"/>
      <c r="N219" s="131">
        <f t="shared" ref="N219:N220" si="213">F219*M219</f>
        <v>0</v>
      </c>
    </row>
    <row r="220">
      <c r="A220" s="154"/>
      <c r="B220" s="190" t="s">
        <v>62</v>
      </c>
      <c r="C220" s="89"/>
      <c r="D220" s="89"/>
      <c r="E220" s="12">
        <f t="shared" si="208"/>
        <v>0</v>
      </c>
      <c r="F220" s="157"/>
      <c r="G220" s="14" t="str">
        <f t="shared" si="209"/>
        <v>#DIV/0!</v>
      </c>
      <c r="H220" s="89"/>
      <c r="I220" s="137"/>
      <c r="J220" s="89">
        <f t="shared" si="210"/>
        <v>0</v>
      </c>
      <c r="K220" s="89" t="str">
        <f t="shared" si="211"/>
        <v/>
      </c>
      <c r="L220" s="152" t="str">
        <f t="shared" si="212"/>
        <v>#DIV/0!</v>
      </c>
      <c r="M220" s="126"/>
      <c r="N220" s="131">
        <f t="shared" si="213"/>
        <v>0</v>
      </c>
    </row>
    <row r="221">
      <c r="A221" s="62"/>
      <c r="B221" s="63"/>
      <c r="C221" s="62"/>
      <c r="D221" s="64"/>
      <c r="E221" s="64">
        <f t="shared" ref="E221:F221" si="214">sum(E216:E220)</f>
        <v>0</v>
      </c>
      <c r="F221" s="64">
        <f t="shared" si="214"/>
        <v>0</v>
      </c>
      <c r="G221" s="65" t="str">
        <f>average(G216:G220)</f>
        <v>#DIV/0!</v>
      </c>
      <c r="H221" s="62"/>
      <c r="I221" s="66"/>
      <c r="J221" s="64">
        <f t="shared" ref="J221:K221" si="215">sum(J216:J220)</f>
        <v>0</v>
      </c>
      <c r="K221" s="64">
        <f t="shared" si="215"/>
        <v>0</v>
      </c>
      <c r="L221" s="65" t="str">
        <f>average(L216:L220)</f>
        <v>#DIV/0!</v>
      </c>
      <c r="M221" s="68"/>
      <c r="N221" s="69">
        <f>sum(N216:N220)</f>
        <v>21000000</v>
      </c>
    </row>
    <row r="222">
      <c r="A222" s="70">
        <v>45966.0</v>
      </c>
      <c r="B222" s="156" t="s">
        <v>54</v>
      </c>
      <c r="C222" s="89"/>
      <c r="D222" s="13"/>
      <c r="E222" s="38">
        <f t="shared" ref="E222:E227" si="216">D222-C222</f>
        <v>0</v>
      </c>
      <c r="F222" s="39"/>
      <c r="G222" s="14" t="str">
        <f t="shared" ref="G222:G227" si="217">(F222/E222)*100</f>
        <v>#DIV/0!</v>
      </c>
      <c r="H222" s="89"/>
      <c r="I222" s="138"/>
      <c r="J222" s="41">
        <f t="shared" ref="J222:J228" si="218">I222-H222</f>
        <v>0</v>
      </c>
      <c r="K222" s="41"/>
      <c r="L222" s="152" t="str">
        <f t="shared" ref="L222:L228" si="219">(K222/J222)*100</f>
        <v>#DIV/0!</v>
      </c>
      <c r="M222" s="72"/>
      <c r="N222" s="49">
        <v>3000000.0</v>
      </c>
    </row>
    <row r="223">
      <c r="A223" s="35">
        <v>45968.0</v>
      </c>
      <c r="B223" s="156" t="s">
        <v>54</v>
      </c>
      <c r="C223" s="89"/>
      <c r="D223" s="89"/>
      <c r="E223" s="12">
        <f t="shared" si="216"/>
        <v>0</v>
      </c>
      <c r="F223" s="157"/>
      <c r="G223" s="14" t="str">
        <f t="shared" si="217"/>
        <v>#DIV/0!</v>
      </c>
      <c r="H223" s="89"/>
      <c r="I223" s="137"/>
      <c r="J223" s="89">
        <f t="shared" si="218"/>
        <v>0</v>
      </c>
      <c r="K223" s="89" t="str">
        <f t="shared" ref="K223:K228" si="220">F223</f>
        <v/>
      </c>
      <c r="L223" s="152" t="str">
        <f t="shared" si="219"/>
        <v>#DIV/0!</v>
      </c>
      <c r="M223" s="126"/>
      <c r="N223" s="49">
        <v>5000000.0</v>
      </c>
    </row>
    <row r="224">
      <c r="A224" s="35">
        <v>45971.0</v>
      </c>
      <c r="B224" s="156" t="s">
        <v>54</v>
      </c>
      <c r="C224" s="89"/>
      <c r="D224" s="89"/>
      <c r="E224" s="12">
        <f t="shared" si="216"/>
        <v>0</v>
      </c>
      <c r="F224" s="157"/>
      <c r="G224" s="14" t="str">
        <f t="shared" si="217"/>
        <v>#DIV/0!</v>
      </c>
      <c r="H224" s="89"/>
      <c r="I224" s="137"/>
      <c r="J224" s="89">
        <f t="shared" si="218"/>
        <v>0</v>
      </c>
      <c r="K224" s="89" t="str">
        <f t="shared" si="220"/>
        <v/>
      </c>
      <c r="L224" s="152" t="str">
        <f t="shared" si="219"/>
        <v>#DIV/0!</v>
      </c>
      <c r="M224" s="126"/>
      <c r="N224" s="49">
        <v>2000000.0</v>
      </c>
    </row>
    <row r="225">
      <c r="A225" s="35">
        <v>45973.0</v>
      </c>
      <c r="B225" s="156" t="s">
        <v>54</v>
      </c>
      <c r="C225" s="89"/>
      <c r="D225" s="89"/>
      <c r="E225" s="12">
        <f t="shared" si="216"/>
        <v>0</v>
      </c>
      <c r="F225" s="157"/>
      <c r="G225" s="14" t="str">
        <f t="shared" si="217"/>
        <v>#DIV/0!</v>
      </c>
      <c r="H225" s="89"/>
      <c r="I225" s="137"/>
      <c r="J225" s="89">
        <f t="shared" si="218"/>
        <v>0</v>
      </c>
      <c r="K225" s="89" t="str">
        <f t="shared" si="220"/>
        <v/>
      </c>
      <c r="L225" s="152" t="str">
        <f t="shared" si="219"/>
        <v>#DIV/0!</v>
      </c>
      <c r="M225" s="126"/>
      <c r="N225" s="49">
        <v>7000000.0</v>
      </c>
    </row>
    <row r="226">
      <c r="A226" s="35">
        <v>45977.0</v>
      </c>
      <c r="B226" s="156" t="s">
        <v>54</v>
      </c>
      <c r="C226" s="89"/>
      <c r="D226" s="89"/>
      <c r="E226" s="12">
        <f t="shared" si="216"/>
        <v>0</v>
      </c>
      <c r="F226" s="157"/>
      <c r="G226" s="14" t="str">
        <f t="shared" si="217"/>
        <v>#DIV/0!</v>
      </c>
      <c r="H226" s="89"/>
      <c r="I226" s="137"/>
      <c r="J226" s="89">
        <f t="shared" si="218"/>
        <v>0</v>
      </c>
      <c r="K226" s="89" t="str">
        <f t="shared" si="220"/>
        <v/>
      </c>
      <c r="L226" s="152" t="str">
        <f t="shared" si="219"/>
        <v>#DIV/0!</v>
      </c>
      <c r="M226" s="126"/>
      <c r="N226" s="49">
        <v>3000000.0</v>
      </c>
    </row>
    <row r="227">
      <c r="A227" s="35">
        <v>45980.0</v>
      </c>
      <c r="B227" s="156" t="s">
        <v>54</v>
      </c>
      <c r="C227" s="89"/>
      <c r="D227" s="89"/>
      <c r="E227" s="12">
        <f t="shared" si="216"/>
        <v>0</v>
      </c>
      <c r="F227" s="157"/>
      <c r="G227" s="14" t="str">
        <f t="shared" si="217"/>
        <v>#DIV/0!</v>
      </c>
      <c r="H227" s="89"/>
      <c r="I227" s="137"/>
      <c r="J227" s="89">
        <f t="shared" si="218"/>
        <v>0</v>
      </c>
      <c r="K227" s="89" t="str">
        <f t="shared" si="220"/>
        <v/>
      </c>
      <c r="L227" s="152" t="str">
        <f t="shared" si="219"/>
        <v>#DIV/0!</v>
      </c>
      <c r="M227" s="126"/>
      <c r="N227" s="49">
        <v>2000000.0</v>
      </c>
    </row>
    <row r="228">
      <c r="A228" s="35">
        <v>45982.0</v>
      </c>
      <c r="B228" s="156" t="s">
        <v>54</v>
      </c>
      <c r="C228" s="89"/>
      <c r="D228" s="89"/>
      <c r="E228" s="12"/>
      <c r="F228" s="157"/>
      <c r="G228" s="14"/>
      <c r="H228" s="89"/>
      <c r="I228" s="137"/>
      <c r="J228" s="89">
        <f t="shared" si="218"/>
        <v>0</v>
      </c>
      <c r="K228" s="89" t="str">
        <f t="shared" si="220"/>
        <v/>
      </c>
      <c r="L228" s="152" t="str">
        <f t="shared" si="219"/>
        <v>#DIV/0!</v>
      </c>
      <c r="M228" s="126"/>
      <c r="N228" s="49">
        <v>3000000.0</v>
      </c>
    </row>
    <row r="229">
      <c r="A229" s="35">
        <v>45985.0</v>
      </c>
      <c r="B229" s="156" t="s">
        <v>54</v>
      </c>
      <c r="C229" s="89"/>
      <c r="D229" s="89"/>
      <c r="E229" s="12"/>
      <c r="F229" s="157"/>
      <c r="G229" s="14"/>
      <c r="H229" s="89"/>
      <c r="I229" s="137"/>
      <c r="J229" s="89"/>
      <c r="K229" s="89"/>
      <c r="L229" s="152"/>
      <c r="M229" s="126"/>
      <c r="N229" s="49">
        <v>6000000.0</v>
      </c>
    </row>
    <row r="230">
      <c r="A230" s="35">
        <v>45990.0</v>
      </c>
      <c r="B230" s="156" t="s">
        <v>54</v>
      </c>
      <c r="C230" s="89"/>
      <c r="D230" s="89"/>
      <c r="E230" s="12">
        <f>D230-C230</f>
        <v>0</v>
      </c>
      <c r="F230" s="157"/>
      <c r="G230" s="14" t="str">
        <f>(F230/E230)*100</f>
        <v>#DIV/0!</v>
      </c>
      <c r="H230" s="89"/>
      <c r="I230" s="137"/>
      <c r="J230" s="89">
        <f>I230-H230</f>
        <v>0</v>
      </c>
      <c r="K230" s="89" t="str">
        <f>F230</f>
        <v/>
      </c>
      <c r="L230" s="152" t="str">
        <f>(K230/J230)*100</f>
        <v>#DIV/0!</v>
      </c>
      <c r="M230" s="126"/>
      <c r="N230" s="49">
        <v>7000000.0</v>
      </c>
    </row>
    <row r="231">
      <c r="A231" s="70"/>
      <c r="B231" s="63"/>
      <c r="C231" s="62"/>
      <c r="D231" s="64" t="s">
        <v>19</v>
      </c>
      <c r="E231" s="64">
        <f t="shared" ref="E231:F231" si="221">sum(E222:E230)</f>
        <v>0</v>
      </c>
      <c r="F231" s="64">
        <f t="shared" si="221"/>
        <v>0</v>
      </c>
      <c r="G231" s="65" t="str">
        <f>average(G222:G230)</f>
        <v>#DIV/0!</v>
      </c>
      <c r="H231" s="62"/>
      <c r="I231" s="66"/>
      <c r="J231" s="64">
        <f t="shared" ref="J231:K231" si="222">sum(J222:J230)</f>
        <v>0</v>
      </c>
      <c r="K231" s="64">
        <f t="shared" si="222"/>
        <v>0</v>
      </c>
      <c r="L231" s="65" t="str">
        <f>average(L222:L230)</f>
        <v>#DIV/0!</v>
      </c>
      <c r="M231" s="68"/>
      <c r="N231" s="69">
        <f>sum(N222:N230)</f>
        <v>38000000</v>
      </c>
    </row>
    <row r="232">
      <c r="A232" s="70">
        <v>45962.0</v>
      </c>
      <c r="B232" s="156" t="s">
        <v>69</v>
      </c>
      <c r="C232" s="89"/>
      <c r="D232" s="13"/>
      <c r="E232" s="38">
        <f t="shared" ref="E232:E237" si="223">D232-C232</f>
        <v>0</v>
      </c>
      <c r="F232" s="39"/>
      <c r="G232" s="14" t="str">
        <f t="shared" ref="G232:G237" si="224">(F232/E232)*100</f>
        <v>#DIV/0!</v>
      </c>
      <c r="H232" s="89"/>
      <c r="I232" s="138"/>
      <c r="J232" s="41">
        <f t="shared" ref="J232:J237" si="225">I232-H232</f>
        <v>0</v>
      </c>
      <c r="K232" s="41" t="str">
        <f t="shared" ref="K232:K237" si="226">F232</f>
        <v/>
      </c>
      <c r="L232" s="71" t="str">
        <f t="shared" ref="L232:L237" si="227">(K232/J232)*100</f>
        <v>#DIV/0!</v>
      </c>
      <c r="M232" s="72"/>
      <c r="N232" s="49">
        <v>6658000.0</v>
      </c>
    </row>
    <row r="233">
      <c r="A233" s="35">
        <v>45978.0</v>
      </c>
      <c r="B233" s="156" t="s">
        <v>69</v>
      </c>
      <c r="C233" s="89"/>
      <c r="D233" s="89"/>
      <c r="E233" s="12">
        <f t="shared" si="223"/>
        <v>0</v>
      </c>
      <c r="F233" s="157"/>
      <c r="G233" s="14" t="str">
        <f t="shared" si="224"/>
        <v>#DIV/0!</v>
      </c>
      <c r="H233" s="89"/>
      <c r="I233" s="137"/>
      <c r="J233" s="37">
        <f t="shared" si="225"/>
        <v>0</v>
      </c>
      <c r="K233" s="37" t="str">
        <f t="shared" si="226"/>
        <v/>
      </c>
      <c r="L233" s="48" t="str">
        <f t="shared" si="227"/>
        <v>#DIV/0!</v>
      </c>
      <c r="M233" s="126"/>
      <c r="N233" s="49">
        <v>3000000.0</v>
      </c>
    </row>
    <row r="234">
      <c r="A234" s="70">
        <v>45979.0</v>
      </c>
      <c r="B234" s="156" t="s">
        <v>69</v>
      </c>
      <c r="C234" s="89"/>
      <c r="D234" s="13"/>
      <c r="E234" s="38">
        <f t="shared" si="223"/>
        <v>0</v>
      </c>
      <c r="F234" s="39"/>
      <c r="G234" s="14" t="str">
        <f t="shared" si="224"/>
        <v>#DIV/0!</v>
      </c>
      <c r="H234" s="89"/>
      <c r="I234" s="138"/>
      <c r="J234" s="41">
        <f t="shared" si="225"/>
        <v>0</v>
      </c>
      <c r="K234" s="41" t="str">
        <f t="shared" si="226"/>
        <v/>
      </c>
      <c r="L234" s="71" t="str">
        <f t="shared" si="227"/>
        <v>#DIV/0!</v>
      </c>
      <c r="M234" s="72"/>
      <c r="N234" s="49">
        <v>4665000.0</v>
      </c>
    </row>
    <row r="235">
      <c r="A235" s="35"/>
      <c r="B235" s="156" t="s">
        <v>69</v>
      </c>
      <c r="C235" s="89"/>
      <c r="D235" s="89"/>
      <c r="E235" s="12">
        <f t="shared" si="223"/>
        <v>0</v>
      </c>
      <c r="F235" s="157"/>
      <c r="G235" s="14" t="str">
        <f t="shared" si="224"/>
        <v>#DIV/0!</v>
      </c>
      <c r="H235" s="89"/>
      <c r="I235" s="137"/>
      <c r="J235" s="37">
        <f t="shared" si="225"/>
        <v>0</v>
      </c>
      <c r="K235" s="37" t="str">
        <f t="shared" si="226"/>
        <v/>
      </c>
      <c r="L235" s="48" t="str">
        <f t="shared" si="227"/>
        <v>#DIV/0!</v>
      </c>
      <c r="M235" s="126"/>
      <c r="N235" s="49">
        <f t="shared" ref="N235:N237" si="228">M235*F235</f>
        <v>0</v>
      </c>
    </row>
    <row r="236">
      <c r="A236" s="35"/>
      <c r="B236" s="156" t="s">
        <v>69</v>
      </c>
      <c r="C236" s="89"/>
      <c r="D236" s="89"/>
      <c r="E236" s="12">
        <f t="shared" si="223"/>
        <v>0</v>
      </c>
      <c r="F236" s="157"/>
      <c r="G236" s="14" t="str">
        <f t="shared" si="224"/>
        <v>#DIV/0!</v>
      </c>
      <c r="H236" s="89"/>
      <c r="I236" s="137"/>
      <c r="J236" s="37">
        <f t="shared" si="225"/>
        <v>0</v>
      </c>
      <c r="K236" s="37" t="str">
        <f t="shared" si="226"/>
        <v/>
      </c>
      <c r="L236" s="77" t="str">
        <f t="shared" si="227"/>
        <v>#DIV/0!</v>
      </c>
      <c r="M236" s="126"/>
      <c r="N236" s="49">
        <f t="shared" si="228"/>
        <v>0</v>
      </c>
    </row>
    <row r="237">
      <c r="A237" s="35"/>
      <c r="B237" s="156" t="s">
        <v>69</v>
      </c>
      <c r="C237" s="89"/>
      <c r="D237" s="89"/>
      <c r="E237" s="12">
        <f t="shared" si="223"/>
        <v>0</v>
      </c>
      <c r="F237" s="157"/>
      <c r="G237" s="14" t="str">
        <f t="shared" si="224"/>
        <v>#DIV/0!</v>
      </c>
      <c r="H237" s="89"/>
      <c r="I237" s="137"/>
      <c r="J237" s="89">
        <f t="shared" si="225"/>
        <v>0</v>
      </c>
      <c r="K237" s="89" t="str">
        <f t="shared" si="226"/>
        <v/>
      </c>
      <c r="L237" s="152" t="str">
        <f t="shared" si="227"/>
        <v>#DIV/0!</v>
      </c>
      <c r="M237" s="126"/>
      <c r="N237" s="49">
        <f t="shared" si="228"/>
        <v>0</v>
      </c>
    </row>
    <row r="238">
      <c r="A238" s="70"/>
      <c r="B238" s="63"/>
      <c r="C238" s="62"/>
      <c r="D238" s="64" t="s">
        <v>19</v>
      </c>
      <c r="E238" s="64">
        <f t="shared" ref="E238:F238" si="229">sum(E232:E237)</f>
        <v>0</v>
      </c>
      <c r="F238" s="64">
        <f t="shared" si="229"/>
        <v>0</v>
      </c>
      <c r="G238" s="65" t="str">
        <f>average(G232:G237)</f>
        <v>#DIV/0!</v>
      </c>
      <c r="H238" s="62"/>
      <c r="I238" s="66"/>
      <c r="J238" s="64">
        <f t="shared" ref="J238:K238" si="230">sum(J232:J237)</f>
        <v>0</v>
      </c>
      <c r="K238" s="64">
        <f t="shared" si="230"/>
        <v>0</v>
      </c>
      <c r="L238" s="65" t="str">
        <f>average(L232:L237)</f>
        <v>#DIV/0!</v>
      </c>
      <c r="M238" s="68"/>
      <c r="N238" s="69">
        <f>sum(N232:N237)</f>
        <v>14323000</v>
      </c>
    </row>
    <row r="239">
      <c r="A239" s="70">
        <v>45969.0</v>
      </c>
      <c r="B239" s="234" t="s">
        <v>63</v>
      </c>
      <c r="C239" s="89">
        <v>139996.0</v>
      </c>
      <c r="D239" s="13">
        <v>140868.0</v>
      </c>
      <c r="E239" s="38">
        <f t="shared" ref="E239:E244" si="231">D239-C239</f>
        <v>872</v>
      </c>
      <c r="F239" s="39">
        <v>242.24</v>
      </c>
      <c r="G239" s="14">
        <f t="shared" ref="G239:G244" si="232">(F239/E239)*100</f>
        <v>27.77981651</v>
      </c>
      <c r="H239" s="89"/>
      <c r="I239" s="138"/>
      <c r="J239" s="41">
        <f t="shared" ref="J239:J244" si="233">I239-H239</f>
        <v>0</v>
      </c>
      <c r="K239" s="41">
        <f t="shared" ref="K239:K244" si="234">F239</f>
        <v>242.24</v>
      </c>
      <c r="L239" s="152" t="str">
        <f t="shared" ref="L239:L244" si="235">(K239/J239)*100</f>
        <v>#DIV/0!</v>
      </c>
      <c r="M239" s="72">
        <v>19320.0</v>
      </c>
      <c r="N239" s="49">
        <f t="shared" ref="N239:N244" si="236">M239*F239</f>
        <v>4680076.8</v>
      </c>
    </row>
    <row r="240">
      <c r="A240" s="35">
        <v>45979.0</v>
      </c>
      <c r="B240" s="234" t="s">
        <v>63</v>
      </c>
      <c r="C240" s="13">
        <v>140868.0</v>
      </c>
      <c r="D240" s="13">
        <v>141779.0</v>
      </c>
      <c r="E240" s="12">
        <f t="shared" si="231"/>
        <v>911</v>
      </c>
      <c r="F240" s="157">
        <v>266.87</v>
      </c>
      <c r="G240" s="14">
        <f t="shared" si="232"/>
        <v>29.29418222</v>
      </c>
      <c r="H240" s="89"/>
      <c r="I240" s="137"/>
      <c r="J240" s="89">
        <f t="shared" si="233"/>
        <v>0</v>
      </c>
      <c r="K240" s="37">
        <f t="shared" si="234"/>
        <v>266.87</v>
      </c>
      <c r="L240" s="152" t="str">
        <f t="shared" si="235"/>
        <v>#DIV/0!</v>
      </c>
      <c r="M240" s="126">
        <v>19860.0</v>
      </c>
      <c r="N240" s="49">
        <f t="shared" si="236"/>
        <v>5300038.2</v>
      </c>
    </row>
    <row r="241">
      <c r="A241" s="35">
        <v>45987.0</v>
      </c>
      <c r="B241" s="234" t="s">
        <v>63</v>
      </c>
      <c r="C241" s="13">
        <v>141779.0</v>
      </c>
      <c r="D241" s="89">
        <v>142721.0</v>
      </c>
      <c r="E241" s="12">
        <f t="shared" si="231"/>
        <v>942</v>
      </c>
      <c r="F241" s="157">
        <v>271.94</v>
      </c>
      <c r="G241" s="14">
        <f t="shared" si="232"/>
        <v>28.86836518</v>
      </c>
      <c r="H241" s="89"/>
      <c r="I241" s="137"/>
      <c r="J241" s="89">
        <f t="shared" si="233"/>
        <v>0</v>
      </c>
      <c r="K241" s="37">
        <f t="shared" si="234"/>
        <v>271.94</v>
      </c>
      <c r="L241" s="152" t="str">
        <f t="shared" si="235"/>
        <v>#DIV/0!</v>
      </c>
      <c r="M241" s="126">
        <v>19820.0</v>
      </c>
      <c r="N241" s="49">
        <f t="shared" si="236"/>
        <v>5389850.8</v>
      </c>
    </row>
    <row r="242">
      <c r="A242" s="35"/>
      <c r="B242" s="234" t="s">
        <v>63</v>
      </c>
      <c r="C242" s="89"/>
      <c r="D242" s="89"/>
      <c r="E242" s="12">
        <f t="shared" si="231"/>
        <v>0</v>
      </c>
      <c r="F242" s="157"/>
      <c r="G242" s="14" t="str">
        <f t="shared" si="232"/>
        <v>#DIV/0!</v>
      </c>
      <c r="H242" s="89"/>
      <c r="I242" s="137"/>
      <c r="J242" s="89">
        <f t="shared" si="233"/>
        <v>0</v>
      </c>
      <c r="K242" s="37" t="str">
        <f t="shared" si="234"/>
        <v/>
      </c>
      <c r="L242" s="152" t="str">
        <f t="shared" si="235"/>
        <v>#DIV/0!</v>
      </c>
      <c r="M242" s="126"/>
      <c r="N242" s="49">
        <f t="shared" si="236"/>
        <v>0</v>
      </c>
    </row>
    <row r="243">
      <c r="A243" s="35"/>
      <c r="B243" s="234" t="s">
        <v>63</v>
      </c>
      <c r="C243" s="37"/>
      <c r="D243" s="89"/>
      <c r="E243" s="12">
        <f t="shared" si="231"/>
        <v>0</v>
      </c>
      <c r="F243" s="157"/>
      <c r="G243" s="14" t="str">
        <f t="shared" si="232"/>
        <v>#DIV/0!</v>
      </c>
      <c r="H243" s="89"/>
      <c r="I243" s="137"/>
      <c r="J243" s="89">
        <f t="shared" si="233"/>
        <v>0</v>
      </c>
      <c r="K243" s="37" t="str">
        <f t="shared" si="234"/>
        <v/>
      </c>
      <c r="L243" s="152" t="str">
        <f t="shared" si="235"/>
        <v>#DIV/0!</v>
      </c>
      <c r="M243" s="126"/>
      <c r="N243" s="49">
        <f t="shared" si="236"/>
        <v>0</v>
      </c>
    </row>
    <row r="244">
      <c r="A244" s="154"/>
      <c r="B244" s="156"/>
      <c r="C244" s="89"/>
      <c r="D244" s="89"/>
      <c r="E244" s="12">
        <f t="shared" si="231"/>
        <v>0</v>
      </c>
      <c r="F244" s="157"/>
      <c r="G244" s="14" t="str">
        <f t="shared" si="232"/>
        <v>#DIV/0!</v>
      </c>
      <c r="H244" s="89"/>
      <c r="I244" s="137"/>
      <c r="J244" s="89">
        <f t="shared" si="233"/>
        <v>0</v>
      </c>
      <c r="K244" s="37" t="str">
        <f t="shared" si="234"/>
        <v/>
      </c>
      <c r="L244" s="152" t="str">
        <f t="shared" si="235"/>
        <v>#DIV/0!</v>
      </c>
      <c r="M244" s="126"/>
      <c r="N244" s="49">
        <f t="shared" si="236"/>
        <v>0</v>
      </c>
    </row>
    <row r="245">
      <c r="A245" s="62"/>
      <c r="B245" s="63"/>
      <c r="C245" s="62"/>
      <c r="D245" s="64" t="s">
        <v>19</v>
      </c>
      <c r="E245" s="64">
        <f t="shared" ref="E245:F245" si="237">sum(E239:E244)</f>
        <v>2725</v>
      </c>
      <c r="F245" s="64">
        <f t="shared" si="237"/>
        <v>781.05</v>
      </c>
      <c r="G245" s="65" t="str">
        <f>average(G239:G244)</f>
        <v>#DIV/0!</v>
      </c>
      <c r="H245" s="62"/>
      <c r="I245" s="66"/>
      <c r="J245" s="64">
        <f t="shared" ref="J245:K245" si="238">sum(J239:J244)</f>
        <v>0</v>
      </c>
      <c r="K245" s="64">
        <f t="shared" si="238"/>
        <v>781.05</v>
      </c>
      <c r="L245" s="65" t="str">
        <f>average(L239:L244)</f>
        <v>#DIV/0!</v>
      </c>
      <c r="M245" s="68"/>
      <c r="N245" s="69">
        <f>sum(N239:N244)</f>
        <v>15369965.8</v>
      </c>
    </row>
    <row r="246">
      <c r="A246" s="198" t="s">
        <v>64</v>
      </c>
      <c r="B246" s="199"/>
      <c r="C246" s="199"/>
      <c r="D246" s="199"/>
      <c r="E246" s="199"/>
      <c r="F246" s="199"/>
      <c r="G246" s="199"/>
      <c r="H246" s="199"/>
      <c r="I246" s="199"/>
      <c r="J246" s="199"/>
      <c r="K246" s="199"/>
      <c r="L246" s="200"/>
      <c r="M246" s="68"/>
      <c r="N246" s="69">
        <f>SUM(N180:N245)/2</f>
        <v>161214121.2</v>
      </c>
    </row>
    <row r="247">
      <c r="G247" s="168"/>
      <c r="L247" s="168"/>
      <c r="N247" s="169"/>
    </row>
    <row r="248">
      <c r="G248" s="168"/>
      <c r="L248" s="168"/>
      <c r="N248" s="274"/>
    </row>
    <row r="249">
      <c r="G249" s="168"/>
      <c r="L249" s="168"/>
      <c r="N249" s="169"/>
    </row>
    <row r="250">
      <c r="G250" s="168"/>
      <c r="L250" s="168"/>
      <c r="N250" s="169"/>
    </row>
    <row r="251">
      <c r="G251" s="168"/>
      <c r="L251" s="168"/>
      <c r="N251" s="169"/>
    </row>
    <row r="252">
      <c r="G252" s="168"/>
      <c r="L252" s="168"/>
      <c r="N252" s="169"/>
    </row>
    <row r="253">
      <c r="G253" s="168"/>
      <c r="L253" s="168"/>
      <c r="N253" s="169"/>
    </row>
    <row r="254">
      <c r="G254" s="168"/>
      <c r="L254" s="168"/>
      <c r="N254" s="169"/>
    </row>
    <row r="255">
      <c r="G255" s="168"/>
      <c r="L255" s="168"/>
      <c r="N255" s="169"/>
    </row>
    <row r="256">
      <c r="G256" s="168"/>
      <c r="L256" s="168"/>
      <c r="N256" s="169"/>
    </row>
    <row r="257">
      <c r="G257" s="168"/>
      <c r="L257" s="168"/>
      <c r="N257" s="169"/>
    </row>
    <row r="258">
      <c r="G258" s="168"/>
      <c r="L258" s="168"/>
      <c r="N258" s="169"/>
    </row>
    <row r="259">
      <c r="G259" s="168"/>
      <c r="L259" s="168"/>
      <c r="N259" s="169"/>
    </row>
    <row r="260">
      <c r="G260" s="168"/>
      <c r="L260" s="168"/>
      <c r="N260" s="169"/>
    </row>
    <row r="261">
      <c r="G261" s="168"/>
      <c r="L261" s="168"/>
      <c r="N261" s="169"/>
    </row>
    <row r="262">
      <c r="G262" s="168"/>
      <c r="L262" s="168"/>
      <c r="N262" s="169"/>
    </row>
    <row r="263">
      <c r="G263" s="168"/>
      <c r="L263" s="168"/>
      <c r="N263" s="169"/>
    </row>
    <row r="264">
      <c r="G264" s="168"/>
      <c r="L264" s="168"/>
      <c r="N264" s="169"/>
    </row>
    <row r="265">
      <c r="G265" s="168"/>
      <c r="L265" s="168"/>
      <c r="N265" s="169"/>
    </row>
    <row r="266">
      <c r="G266" s="168"/>
      <c r="L266" s="168"/>
      <c r="N266" s="169"/>
    </row>
    <row r="267">
      <c r="G267" s="168"/>
      <c r="L267" s="168"/>
      <c r="N267" s="169"/>
    </row>
    <row r="268">
      <c r="G268" s="168"/>
      <c r="L268" s="168"/>
      <c r="N268" s="169"/>
    </row>
    <row r="269">
      <c r="G269" s="168"/>
      <c r="L269" s="168"/>
      <c r="N269" s="169"/>
    </row>
    <row r="270">
      <c r="G270" s="168"/>
      <c r="L270" s="168"/>
      <c r="N270" s="169"/>
    </row>
    <row r="271">
      <c r="G271" s="168"/>
      <c r="L271" s="168"/>
      <c r="N271" s="169"/>
    </row>
    <row r="272">
      <c r="G272" s="168"/>
      <c r="L272" s="168"/>
      <c r="N272" s="169"/>
    </row>
    <row r="273">
      <c r="G273" s="168"/>
      <c r="L273" s="168"/>
      <c r="N273" s="169"/>
    </row>
    <row r="274">
      <c r="G274" s="168"/>
      <c r="L274" s="168"/>
      <c r="N274" s="169"/>
    </row>
    <row r="275">
      <c r="G275" s="168"/>
      <c r="L275" s="168"/>
      <c r="N275" s="169"/>
    </row>
    <row r="276">
      <c r="G276" s="168"/>
      <c r="L276" s="168"/>
      <c r="N276" s="169"/>
    </row>
    <row r="277">
      <c r="G277" s="168"/>
      <c r="L277" s="168"/>
      <c r="N277" s="169"/>
    </row>
    <row r="278">
      <c r="G278" s="168"/>
      <c r="L278" s="168"/>
      <c r="N278" s="169"/>
    </row>
    <row r="279">
      <c r="G279" s="168"/>
      <c r="L279" s="168"/>
      <c r="N279" s="169"/>
    </row>
    <row r="280">
      <c r="G280" s="168"/>
      <c r="L280" s="168"/>
      <c r="N280" s="169"/>
    </row>
    <row r="281">
      <c r="G281" s="168"/>
      <c r="L281" s="168"/>
      <c r="N281" s="169"/>
    </row>
    <row r="282">
      <c r="G282" s="168"/>
      <c r="L282" s="168"/>
      <c r="N282" s="169"/>
    </row>
    <row r="283">
      <c r="G283" s="168"/>
      <c r="L283" s="168"/>
      <c r="N283" s="169"/>
    </row>
    <row r="284">
      <c r="G284" s="168"/>
      <c r="L284" s="168"/>
      <c r="N284" s="169"/>
    </row>
    <row r="285">
      <c r="G285" s="168"/>
      <c r="L285" s="168"/>
      <c r="N285" s="169"/>
    </row>
    <row r="286">
      <c r="G286" s="168"/>
      <c r="L286" s="168"/>
      <c r="N286" s="169"/>
    </row>
    <row r="287">
      <c r="G287" s="168"/>
      <c r="L287" s="168"/>
      <c r="N287" s="169"/>
    </row>
    <row r="288">
      <c r="G288" s="168"/>
      <c r="L288" s="168"/>
      <c r="N288" s="169"/>
    </row>
    <row r="289">
      <c r="G289" s="168"/>
      <c r="L289" s="168"/>
      <c r="N289" s="169"/>
    </row>
    <row r="290">
      <c r="G290" s="168"/>
      <c r="L290" s="168"/>
      <c r="N290" s="169"/>
    </row>
    <row r="291">
      <c r="G291" s="168"/>
      <c r="L291" s="168"/>
      <c r="N291" s="169"/>
    </row>
    <row r="292">
      <c r="G292" s="168"/>
      <c r="L292" s="168"/>
      <c r="N292" s="169"/>
    </row>
    <row r="293">
      <c r="G293" s="168"/>
      <c r="L293" s="168"/>
      <c r="N293" s="169"/>
    </row>
    <row r="294">
      <c r="G294" s="168"/>
      <c r="L294" s="168"/>
      <c r="N294" s="169"/>
    </row>
    <row r="295">
      <c r="G295" s="168"/>
      <c r="L295" s="168"/>
      <c r="N295" s="169"/>
    </row>
    <row r="296">
      <c r="G296" s="168"/>
      <c r="L296" s="168"/>
      <c r="N296" s="169"/>
    </row>
    <row r="297">
      <c r="G297" s="168"/>
      <c r="L297" s="168"/>
      <c r="N297" s="169"/>
    </row>
    <row r="298">
      <c r="G298" s="168"/>
      <c r="L298" s="168"/>
      <c r="N298" s="169"/>
    </row>
    <row r="299">
      <c r="G299" s="168"/>
      <c r="L299" s="168"/>
      <c r="N299" s="169"/>
    </row>
    <row r="300">
      <c r="G300" s="168"/>
      <c r="L300" s="168"/>
      <c r="N300" s="169"/>
    </row>
    <row r="301">
      <c r="G301" s="168"/>
      <c r="L301" s="168"/>
      <c r="N301" s="169"/>
    </row>
    <row r="302">
      <c r="G302" s="168"/>
      <c r="L302" s="168"/>
      <c r="N302" s="169"/>
    </row>
    <row r="303">
      <c r="G303" s="168"/>
      <c r="L303" s="168"/>
      <c r="N303" s="169"/>
    </row>
    <row r="304">
      <c r="G304" s="168"/>
      <c r="L304" s="168"/>
      <c r="N304" s="169"/>
    </row>
    <row r="305">
      <c r="G305" s="168"/>
      <c r="L305" s="168"/>
      <c r="N305" s="169"/>
    </row>
    <row r="306">
      <c r="G306" s="168"/>
      <c r="L306" s="168"/>
      <c r="N306" s="169"/>
    </row>
    <row r="307">
      <c r="G307" s="168"/>
      <c r="L307" s="168"/>
      <c r="N307" s="169"/>
    </row>
    <row r="308">
      <c r="G308" s="168"/>
      <c r="L308" s="168"/>
      <c r="N308" s="169"/>
    </row>
    <row r="309">
      <c r="G309" s="168"/>
      <c r="L309" s="168"/>
      <c r="N309" s="169"/>
    </row>
    <row r="310">
      <c r="G310" s="168"/>
      <c r="L310" s="168"/>
      <c r="N310" s="169"/>
    </row>
    <row r="311">
      <c r="G311" s="168"/>
      <c r="L311" s="168"/>
      <c r="N311" s="169"/>
    </row>
    <row r="312">
      <c r="G312" s="168"/>
      <c r="L312" s="168"/>
      <c r="N312" s="169"/>
    </row>
    <row r="313">
      <c r="G313" s="168"/>
      <c r="L313" s="168"/>
      <c r="N313" s="169"/>
    </row>
    <row r="314">
      <c r="G314" s="168"/>
      <c r="L314" s="168"/>
      <c r="N314" s="169"/>
    </row>
    <row r="315">
      <c r="G315" s="168"/>
      <c r="L315" s="168"/>
      <c r="N315" s="169"/>
    </row>
    <row r="316">
      <c r="G316" s="168"/>
      <c r="L316" s="168"/>
      <c r="N316" s="169"/>
    </row>
    <row r="317">
      <c r="G317" s="168"/>
      <c r="L317" s="168"/>
      <c r="N317" s="169"/>
    </row>
    <row r="318">
      <c r="G318" s="168"/>
      <c r="L318" s="168"/>
      <c r="N318" s="169"/>
    </row>
    <row r="319">
      <c r="G319" s="168"/>
      <c r="L319" s="168"/>
      <c r="N319" s="169"/>
    </row>
    <row r="320">
      <c r="G320" s="168"/>
      <c r="L320" s="168"/>
      <c r="N320" s="169"/>
    </row>
    <row r="321">
      <c r="G321" s="168"/>
      <c r="L321" s="168"/>
      <c r="N321" s="169"/>
    </row>
    <row r="322">
      <c r="G322" s="168"/>
      <c r="L322" s="168"/>
      <c r="N322" s="169"/>
    </row>
    <row r="323">
      <c r="G323" s="168"/>
      <c r="L323" s="168"/>
      <c r="N323" s="169"/>
    </row>
    <row r="324">
      <c r="G324" s="168"/>
      <c r="L324" s="168"/>
      <c r="N324" s="169"/>
    </row>
    <row r="325">
      <c r="G325" s="168"/>
      <c r="L325" s="168"/>
      <c r="N325" s="169"/>
    </row>
    <row r="326">
      <c r="G326" s="168"/>
      <c r="L326" s="168"/>
      <c r="N326" s="169"/>
    </row>
    <row r="327">
      <c r="G327" s="168"/>
      <c r="L327" s="168"/>
      <c r="N327" s="169"/>
    </row>
    <row r="328">
      <c r="G328" s="168"/>
      <c r="L328" s="168"/>
      <c r="N328" s="169"/>
    </row>
    <row r="329">
      <c r="G329" s="168"/>
      <c r="L329" s="168"/>
      <c r="N329" s="169"/>
    </row>
    <row r="330">
      <c r="G330" s="168"/>
      <c r="L330" s="168"/>
      <c r="N330" s="169"/>
    </row>
    <row r="331">
      <c r="G331" s="168"/>
      <c r="L331" s="168"/>
      <c r="N331" s="169"/>
    </row>
    <row r="332">
      <c r="G332" s="168"/>
      <c r="L332" s="168"/>
      <c r="N332" s="169"/>
    </row>
    <row r="333">
      <c r="G333" s="168"/>
      <c r="L333" s="168"/>
      <c r="N333" s="169"/>
    </row>
    <row r="334">
      <c r="G334" s="168"/>
      <c r="L334" s="168"/>
      <c r="N334" s="169"/>
    </row>
    <row r="335">
      <c r="G335" s="168"/>
      <c r="L335" s="168"/>
      <c r="N335" s="169"/>
    </row>
    <row r="336">
      <c r="G336" s="168"/>
      <c r="L336" s="168"/>
      <c r="N336" s="169"/>
    </row>
    <row r="337">
      <c r="G337" s="168"/>
      <c r="L337" s="168"/>
      <c r="N337" s="169"/>
    </row>
    <row r="338">
      <c r="G338" s="168"/>
      <c r="L338" s="168"/>
      <c r="N338" s="169"/>
    </row>
    <row r="339">
      <c r="G339" s="168"/>
      <c r="L339" s="168"/>
      <c r="N339" s="169"/>
    </row>
    <row r="340">
      <c r="G340" s="168"/>
      <c r="L340" s="168"/>
      <c r="N340" s="169"/>
    </row>
    <row r="341">
      <c r="G341" s="168"/>
      <c r="L341" s="168"/>
      <c r="N341" s="169"/>
    </row>
    <row r="342">
      <c r="G342" s="168"/>
      <c r="L342" s="168"/>
      <c r="N342" s="169"/>
    </row>
    <row r="343">
      <c r="G343" s="168"/>
      <c r="L343" s="168"/>
      <c r="N343" s="169"/>
    </row>
    <row r="344">
      <c r="G344" s="168"/>
      <c r="L344" s="168"/>
      <c r="N344" s="169"/>
    </row>
    <row r="345">
      <c r="G345" s="168"/>
      <c r="L345" s="168"/>
      <c r="N345" s="169"/>
    </row>
    <row r="346">
      <c r="G346" s="168"/>
      <c r="L346" s="168"/>
      <c r="N346" s="169"/>
    </row>
    <row r="347">
      <c r="G347" s="168"/>
      <c r="L347" s="168"/>
      <c r="N347" s="169"/>
    </row>
    <row r="348">
      <c r="G348" s="168"/>
      <c r="L348" s="168"/>
      <c r="N348" s="169"/>
    </row>
    <row r="349">
      <c r="G349" s="168"/>
      <c r="L349" s="168"/>
      <c r="N349" s="169"/>
    </row>
    <row r="350">
      <c r="G350" s="168"/>
      <c r="L350" s="168"/>
      <c r="N350" s="169"/>
    </row>
    <row r="351">
      <c r="G351" s="168"/>
      <c r="L351" s="168"/>
      <c r="N351" s="169"/>
    </row>
    <row r="352">
      <c r="G352" s="168"/>
      <c r="L352" s="168"/>
      <c r="N352" s="169"/>
    </row>
    <row r="353">
      <c r="G353" s="168"/>
      <c r="L353" s="168"/>
      <c r="N353" s="169"/>
    </row>
    <row r="354">
      <c r="G354" s="168"/>
      <c r="L354" s="168"/>
      <c r="N354" s="169"/>
    </row>
    <row r="355">
      <c r="G355" s="168"/>
      <c r="L355" s="168"/>
      <c r="N355" s="169"/>
    </row>
    <row r="356">
      <c r="G356" s="168"/>
      <c r="L356" s="168"/>
      <c r="N356" s="169"/>
    </row>
    <row r="357">
      <c r="G357" s="168"/>
      <c r="L357" s="168"/>
      <c r="N357" s="169"/>
    </row>
    <row r="358">
      <c r="G358" s="168"/>
      <c r="L358" s="168"/>
      <c r="N358" s="169"/>
    </row>
    <row r="359">
      <c r="G359" s="168"/>
      <c r="L359" s="168"/>
      <c r="N359" s="169"/>
    </row>
    <row r="360">
      <c r="G360" s="168"/>
      <c r="L360" s="168"/>
      <c r="N360" s="169"/>
    </row>
    <row r="361">
      <c r="G361" s="168"/>
      <c r="L361" s="168"/>
      <c r="N361" s="169"/>
    </row>
    <row r="362">
      <c r="G362" s="168"/>
      <c r="L362" s="168"/>
      <c r="N362" s="169"/>
    </row>
    <row r="363">
      <c r="G363" s="168"/>
      <c r="L363" s="168"/>
      <c r="N363" s="169"/>
    </row>
    <row r="364">
      <c r="G364" s="168"/>
      <c r="L364" s="168"/>
      <c r="N364" s="169"/>
    </row>
    <row r="365">
      <c r="G365" s="168"/>
      <c r="L365" s="168"/>
      <c r="N365" s="169"/>
    </row>
    <row r="366">
      <c r="G366" s="168"/>
      <c r="L366" s="168"/>
      <c r="N366" s="169"/>
    </row>
    <row r="367">
      <c r="G367" s="168"/>
      <c r="L367" s="168"/>
      <c r="N367" s="169"/>
    </row>
    <row r="368">
      <c r="G368" s="168"/>
      <c r="L368" s="168"/>
      <c r="N368" s="169"/>
    </row>
    <row r="369">
      <c r="G369" s="168"/>
      <c r="L369" s="168"/>
      <c r="N369" s="169"/>
    </row>
    <row r="370">
      <c r="G370" s="168"/>
      <c r="L370" s="168"/>
      <c r="N370" s="169"/>
    </row>
    <row r="371">
      <c r="G371" s="168"/>
      <c r="L371" s="168"/>
      <c r="N371" s="169"/>
    </row>
    <row r="372">
      <c r="G372" s="168"/>
      <c r="L372" s="168"/>
      <c r="N372" s="169"/>
    </row>
    <row r="373">
      <c r="G373" s="168"/>
      <c r="L373" s="168"/>
      <c r="N373" s="169"/>
    </row>
    <row r="374">
      <c r="G374" s="168"/>
      <c r="L374" s="168"/>
      <c r="N374" s="169"/>
    </row>
    <row r="375">
      <c r="G375" s="168"/>
      <c r="L375" s="168"/>
      <c r="N375" s="169"/>
    </row>
    <row r="376">
      <c r="G376" s="168"/>
      <c r="L376" s="168"/>
      <c r="N376" s="169"/>
    </row>
    <row r="377">
      <c r="G377" s="168"/>
      <c r="L377" s="168"/>
      <c r="N377" s="169"/>
    </row>
    <row r="378">
      <c r="G378" s="168"/>
      <c r="L378" s="168"/>
      <c r="N378" s="169"/>
    </row>
    <row r="379">
      <c r="G379" s="168"/>
      <c r="L379" s="168"/>
      <c r="N379" s="169"/>
    </row>
    <row r="380">
      <c r="G380" s="168"/>
      <c r="L380" s="168"/>
      <c r="N380" s="169"/>
    </row>
    <row r="381">
      <c r="G381" s="168"/>
      <c r="L381" s="168"/>
      <c r="N381" s="169"/>
    </row>
    <row r="382">
      <c r="G382" s="168"/>
      <c r="L382" s="168"/>
      <c r="N382" s="169"/>
    </row>
    <row r="383">
      <c r="G383" s="168"/>
      <c r="L383" s="168"/>
      <c r="N383" s="169"/>
    </row>
    <row r="384">
      <c r="G384" s="168"/>
      <c r="L384" s="168"/>
      <c r="N384" s="169"/>
    </row>
    <row r="385">
      <c r="G385" s="168"/>
      <c r="L385" s="168"/>
      <c r="N385" s="169"/>
    </row>
    <row r="386">
      <c r="G386" s="168"/>
      <c r="L386" s="168"/>
      <c r="N386" s="169"/>
    </row>
    <row r="387">
      <c r="G387" s="168"/>
      <c r="L387" s="168"/>
      <c r="N387" s="169"/>
    </row>
    <row r="388">
      <c r="G388" s="168"/>
      <c r="L388" s="168"/>
      <c r="N388" s="169"/>
    </row>
    <row r="389">
      <c r="G389" s="168"/>
      <c r="L389" s="168"/>
      <c r="N389" s="169"/>
    </row>
    <row r="390">
      <c r="G390" s="168"/>
      <c r="L390" s="168"/>
      <c r="N390" s="169"/>
    </row>
    <row r="391">
      <c r="G391" s="168"/>
      <c r="L391" s="168"/>
      <c r="N391" s="169"/>
    </row>
    <row r="392">
      <c r="G392" s="168"/>
      <c r="L392" s="168"/>
      <c r="N392" s="169"/>
    </row>
    <row r="393">
      <c r="G393" s="168"/>
      <c r="L393" s="168"/>
      <c r="N393" s="169"/>
    </row>
    <row r="394">
      <c r="G394" s="168"/>
      <c r="L394" s="168"/>
      <c r="N394" s="169"/>
    </row>
    <row r="395">
      <c r="G395" s="168"/>
      <c r="L395" s="168"/>
      <c r="N395" s="169"/>
    </row>
    <row r="396">
      <c r="G396" s="168"/>
      <c r="L396" s="168"/>
      <c r="N396" s="169"/>
    </row>
    <row r="397">
      <c r="G397" s="168"/>
      <c r="L397" s="168"/>
      <c r="N397" s="169"/>
    </row>
    <row r="398">
      <c r="G398" s="168"/>
      <c r="L398" s="168"/>
      <c r="N398" s="169"/>
    </row>
    <row r="399">
      <c r="G399" s="168"/>
      <c r="L399" s="168"/>
      <c r="N399" s="169"/>
    </row>
    <row r="400">
      <c r="G400" s="168"/>
      <c r="L400" s="168"/>
      <c r="N400" s="169"/>
    </row>
    <row r="401">
      <c r="G401" s="168"/>
      <c r="L401" s="168"/>
      <c r="N401" s="169"/>
    </row>
    <row r="402">
      <c r="G402" s="168"/>
      <c r="L402" s="168"/>
      <c r="N402" s="169"/>
    </row>
    <row r="403">
      <c r="G403" s="168"/>
      <c r="L403" s="168"/>
      <c r="N403" s="169"/>
    </row>
    <row r="404">
      <c r="G404" s="168"/>
      <c r="L404" s="168"/>
      <c r="N404" s="169"/>
    </row>
    <row r="405">
      <c r="G405" s="168"/>
      <c r="L405" s="168"/>
      <c r="N405" s="169"/>
    </row>
    <row r="406">
      <c r="G406" s="168"/>
      <c r="L406" s="168"/>
      <c r="N406" s="169"/>
    </row>
    <row r="407">
      <c r="G407" s="168"/>
      <c r="L407" s="168"/>
      <c r="N407" s="169"/>
    </row>
    <row r="408">
      <c r="G408" s="168"/>
      <c r="L408" s="168"/>
      <c r="N408" s="169"/>
    </row>
    <row r="409">
      <c r="G409" s="168"/>
      <c r="L409" s="168"/>
      <c r="N409" s="169"/>
    </row>
    <row r="410">
      <c r="G410" s="168"/>
      <c r="L410" s="168"/>
      <c r="N410" s="169"/>
    </row>
    <row r="411">
      <c r="G411" s="168"/>
      <c r="L411" s="168"/>
      <c r="N411" s="169"/>
    </row>
    <row r="412">
      <c r="G412" s="168"/>
      <c r="L412" s="168"/>
      <c r="N412" s="169"/>
    </row>
    <row r="413">
      <c r="G413" s="168"/>
      <c r="L413" s="168"/>
      <c r="N413" s="169"/>
    </row>
    <row r="414">
      <c r="G414" s="168"/>
      <c r="L414" s="168"/>
      <c r="N414" s="169"/>
    </row>
    <row r="415">
      <c r="G415" s="168"/>
      <c r="L415" s="168"/>
      <c r="N415" s="169"/>
    </row>
    <row r="416">
      <c r="G416" s="168"/>
      <c r="L416" s="168"/>
      <c r="N416" s="169"/>
    </row>
    <row r="417">
      <c r="G417" s="168"/>
      <c r="L417" s="168"/>
      <c r="N417" s="169"/>
    </row>
    <row r="418">
      <c r="G418" s="168"/>
      <c r="L418" s="168"/>
      <c r="N418" s="169"/>
    </row>
    <row r="419">
      <c r="G419" s="168"/>
      <c r="L419" s="168"/>
      <c r="N419" s="169"/>
    </row>
    <row r="420">
      <c r="G420" s="168"/>
      <c r="L420" s="168"/>
      <c r="N420" s="169"/>
    </row>
    <row r="421">
      <c r="G421" s="168"/>
      <c r="L421" s="168"/>
      <c r="N421" s="169"/>
    </row>
    <row r="422">
      <c r="G422" s="168"/>
      <c r="L422" s="168"/>
      <c r="N422" s="169"/>
    </row>
    <row r="423">
      <c r="G423" s="168"/>
      <c r="L423" s="168"/>
      <c r="N423" s="169"/>
    </row>
    <row r="424">
      <c r="G424" s="168"/>
      <c r="L424" s="168"/>
      <c r="N424" s="169"/>
    </row>
    <row r="425">
      <c r="G425" s="168"/>
      <c r="L425" s="168"/>
      <c r="N425" s="169"/>
    </row>
    <row r="426">
      <c r="G426" s="168"/>
      <c r="L426" s="168"/>
      <c r="N426" s="169"/>
    </row>
    <row r="427">
      <c r="G427" s="168"/>
      <c r="L427" s="168"/>
      <c r="N427" s="169"/>
    </row>
    <row r="428">
      <c r="G428" s="168"/>
      <c r="L428" s="168"/>
      <c r="N428" s="169"/>
    </row>
    <row r="429">
      <c r="G429" s="168"/>
      <c r="L429" s="168"/>
      <c r="N429" s="169"/>
    </row>
    <row r="430">
      <c r="G430" s="168"/>
      <c r="L430" s="168"/>
      <c r="N430" s="169"/>
    </row>
    <row r="431">
      <c r="G431" s="168"/>
      <c r="L431" s="168"/>
      <c r="N431" s="169"/>
    </row>
    <row r="432">
      <c r="G432" s="168"/>
      <c r="L432" s="168"/>
      <c r="N432" s="169"/>
    </row>
    <row r="433">
      <c r="G433" s="168"/>
      <c r="L433" s="168"/>
      <c r="N433" s="169"/>
    </row>
    <row r="434">
      <c r="G434" s="168"/>
      <c r="L434" s="168"/>
      <c r="N434" s="169"/>
    </row>
    <row r="435">
      <c r="G435" s="168"/>
      <c r="L435" s="168"/>
      <c r="N435" s="169"/>
    </row>
    <row r="436">
      <c r="G436" s="168"/>
      <c r="L436" s="168"/>
      <c r="N436" s="169"/>
    </row>
    <row r="437">
      <c r="G437" s="168"/>
      <c r="L437" s="168"/>
      <c r="N437" s="169"/>
    </row>
    <row r="438">
      <c r="G438" s="168"/>
      <c r="L438" s="168"/>
      <c r="N438" s="169"/>
    </row>
    <row r="439">
      <c r="G439" s="168"/>
      <c r="L439" s="168"/>
      <c r="N439" s="169"/>
    </row>
    <row r="440">
      <c r="G440" s="168"/>
      <c r="L440" s="168"/>
      <c r="N440" s="169"/>
    </row>
    <row r="441">
      <c r="G441" s="168"/>
      <c r="L441" s="168"/>
      <c r="N441" s="169"/>
    </row>
    <row r="442">
      <c r="G442" s="168"/>
      <c r="L442" s="168"/>
      <c r="N442" s="169"/>
    </row>
    <row r="443">
      <c r="G443" s="168"/>
      <c r="L443" s="168"/>
      <c r="N443" s="169"/>
    </row>
    <row r="444">
      <c r="G444" s="168"/>
      <c r="L444" s="168"/>
      <c r="N444" s="169"/>
    </row>
    <row r="445">
      <c r="G445" s="168"/>
      <c r="L445" s="168"/>
      <c r="N445" s="169"/>
    </row>
    <row r="446">
      <c r="G446" s="168"/>
      <c r="L446" s="168"/>
      <c r="N446" s="169"/>
    </row>
    <row r="447">
      <c r="G447" s="168"/>
      <c r="L447" s="168"/>
      <c r="N447" s="169"/>
    </row>
    <row r="448">
      <c r="G448" s="168"/>
      <c r="L448" s="168"/>
      <c r="N448" s="169"/>
    </row>
    <row r="449">
      <c r="G449" s="168"/>
      <c r="L449" s="168"/>
      <c r="N449" s="169"/>
    </row>
    <row r="450">
      <c r="G450" s="168"/>
      <c r="L450" s="168"/>
      <c r="N450" s="169"/>
    </row>
    <row r="451">
      <c r="G451" s="168"/>
      <c r="L451" s="168"/>
      <c r="N451" s="169"/>
    </row>
    <row r="452">
      <c r="G452" s="168"/>
      <c r="L452" s="168"/>
      <c r="N452" s="169"/>
    </row>
    <row r="453">
      <c r="G453" s="168"/>
      <c r="L453" s="168"/>
      <c r="N453" s="169"/>
    </row>
    <row r="454">
      <c r="G454" s="168"/>
      <c r="L454" s="168"/>
      <c r="N454" s="169"/>
    </row>
    <row r="455">
      <c r="G455" s="168"/>
      <c r="L455" s="168"/>
      <c r="N455" s="169"/>
    </row>
    <row r="456">
      <c r="G456" s="168"/>
      <c r="L456" s="168"/>
      <c r="N456" s="169"/>
    </row>
    <row r="457">
      <c r="G457" s="168"/>
      <c r="L457" s="168"/>
      <c r="N457" s="169"/>
    </row>
    <row r="458">
      <c r="G458" s="168"/>
      <c r="L458" s="168"/>
      <c r="N458" s="169"/>
    </row>
    <row r="459">
      <c r="G459" s="168"/>
      <c r="L459" s="168"/>
      <c r="N459" s="169"/>
    </row>
    <row r="460">
      <c r="G460" s="168"/>
      <c r="L460" s="168"/>
      <c r="N460" s="169"/>
    </row>
    <row r="461">
      <c r="G461" s="168"/>
      <c r="L461" s="168"/>
      <c r="N461" s="169"/>
    </row>
    <row r="462">
      <c r="G462" s="168"/>
      <c r="L462" s="168"/>
      <c r="N462" s="169"/>
    </row>
    <row r="463">
      <c r="G463" s="168"/>
      <c r="L463" s="168"/>
      <c r="N463" s="169"/>
    </row>
    <row r="464">
      <c r="G464" s="168"/>
      <c r="L464" s="168"/>
      <c r="N464" s="169"/>
    </row>
    <row r="465">
      <c r="G465" s="168"/>
      <c r="L465" s="168"/>
      <c r="N465" s="169"/>
    </row>
    <row r="466">
      <c r="G466" s="168"/>
      <c r="L466" s="168"/>
      <c r="N466" s="169"/>
    </row>
    <row r="467">
      <c r="G467" s="168"/>
      <c r="L467" s="168"/>
      <c r="N467" s="169"/>
    </row>
    <row r="468">
      <c r="G468" s="168"/>
      <c r="L468" s="168"/>
      <c r="N468" s="169"/>
    </row>
    <row r="469">
      <c r="G469" s="168"/>
      <c r="L469" s="168"/>
      <c r="N469" s="169"/>
    </row>
    <row r="470">
      <c r="G470" s="168"/>
      <c r="L470" s="168"/>
      <c r="N470" s="169"/>
    </row>
    <row r="471">
      <c r="G471" s="168"/>
      <c r="L471" s="168"/>
      <c r="N471" s="169"/>
    </row>
    <row r="472">
      <c r="G472" s="168"/>
      <c r="L472" s="168"/>
      <c r="N472" s="169"/>
    </row>
    <row r="473">
      <c r="G473" s="168"/>
      <c r="L473" s="168"/>
      <c r="N473" s="169"/>
    </row>
    <row r="474">
      <c r="G474" s="168"/>
      <c r="L474" s="168"/>
      <c r="N474" s="169"/>
    </row>
    <row r="475">
      <c r="G475" s="168"/>
      <c r="L475" s="168"/>
      <c r="N475" s="169"/>
    </row>
    <row r="476">
      <c r="G476" s="168"/>
      <c r="L476" s="168"/>
      <c r="N476" s="169"/>
    </row>
    <row r="477">
      <c r="G477" s="168"/>
      <c r="L477" s="168"/>
      <c r="N477" s="169"/>
    </row>
    <row r="478">
      <c r="G478" s="168"/>
      <c r="L478" s="168"/>
      <c r="N478" s="169"/>
    </row>
    <row r="479">
      <c r="G479" s="168"/>
      <c r="L479" s="168"/>
      <c r="N479" s="169"/>
    </row>
    <row r="480">
      <c r="G480" s="168"/>
      <c r="L480" s="168"/>
      <c r="N480" s="169"/>
    </row>
    <row r="481">
      <c r="G481" s="168"/>
      <c r="L481" s="168"/>
      <c r="N481" s="169"/>
    </row>
    <row r="482">
      <c r="G482" s="168"/>
      <c r="L482" s="168"/>
      <c r="N482" s="169"/>
    </row>
    <row r="483">
      <c r="G483" s="168"/>
      <c r="L483" s="168"/>
      <c r="N483" s="169"/>
    </row>
    <row r="484">
      <c r="G484" s="168"/>
      <c r="L484" s="168"/>
      <c r="N484" s="169"/>
    </row>
    <row r="485">
      <c r="G485" s="168"/>
      <c r="L485" s="168"/>
      <c r="N485" s="169"/>
    </row>
    <row r="486">
      <c r="G486" s="168"/>
      <c r="L486" s="168"/>
      <c r="N486" s="169"/>
    </row>
    <row r="487">
      <c r="G487" s="168"/>
      <c r="L487" s="168"/>
      <c r="N487" s="169"/>
    </row>
    <row r="488">
      <c r="G488" s="168"/>
      <c r="L488" s="168"/>
      <c r="N488" s="169"/>
    </row>
    <row r="489">
      <c r="G489" s="168"/>
      <c r="L489" s="168"/>
      <c r="N489" s="169"/>
    </row>
    <row r="490">
      <c r="G490" s="168"/>
      <c r="L490" s="168"/>
      <c r="N490" s="169"/>
    </row>
    <row r="491">
      <c r="G491" s="168"/>
      <c r="L491" s="168"/>
      <c r="N491" s="169"/>
    </row>
    <row r="492">
      <c r="G492" s="168"/>
      <c r="L492" s="168"/>
      <c r="N492" s="169"/>
    </row>
    <row r="493">
      <c r="G493" s="168"/>
      <c r="L493" s="168"/>
      <c r="N493" s="169"/>
    </row>
    <row r="494">
      <c r="G494" s="168"/>
      <c r="L494" s="168"/>
      <c r="N494" s="169"/>
    </row>
    <row r="495">
      <c r="G495" s="168"/>
      <c r="L495" s="168"/>
      <c r="N495" s="169"/>
    </row>
    <row r="496">
      <c r="G496" s="168"/>
      <c r="L496" s="168"/>
      <c r="N496" s="169"/>
    </row>
    <row r="497">
      <c r="G497" s="168"/>
      <c r="L497" s="168"/>
      <c r="N497" s="169"/>
    </row>
    <row r="498">
      <c r="G498" s="168"/>
      <c r="L498" s="168"/>
      <c r="N498" s="169"/>
    </row>
    <row r="499">
      <c r="G499" s="168"/>
      <c r="L499" s="168"/>
      <c r="N499" s="169"/>
    </row>
    <row r="500">
      <c r="G500" s="168"/>
      <c r="L500" s="168"/>
      <c r="N500" s="169"/>
    </row>
    <row r="501">
      <c r="G501" s="168"/>
      <c r="L501" s="168"/>
      <c r="N501" s="169"/>
    </row>
    <row r="502">
      <c r="G502" s="168"/>
      <c r="L502" s="168"/>
      <c r="N502" s="169"/>
    </row>
    <row r="503">
      <c r="G503" s="168"/>
      <c r="L503" s="168"/>
      <c r="N503" s="169"/>
    </row>
    <row r="504">
      <c r="G504" s="168"/>
      <c r="L504" s="168"/>
      <c r="N504" s="169"/>
    </row>
    <row r="505">
      <c r="G505" s="168"/>
      <c r="L505" s="168"/>
      <c r="N505" s="169"/>
    </row>
    <row r="506">
      <c r="G506" s="168"/>
      <c r="L506" s="168"/>
      <c r="N506" s="169"/>
    </row>
    <row r="507">
      <c r="G507" s="168"/>
      <c r="L507" s="168"/>
      <c r="N507" s="169"/>
    </row>
    <row r="508">
      <c r="G508" s="168"/>
      <c r="L508" s="168"/>
      <c r="N508" s="169"/>
    </row>
    <row r="509">
      <c r="G509" s="168"/>
      <c r="L509" s="168"/>
      <c r="N509" s="169"/>
    </row>
    <row r="510">
      <c r="G510" s="168"/>
      <c r="L510" s="168"/>
      <c r="N510" s="169"/>
    </row>
    <row r="511">
      <c r="G511" s="168"/>
      <c r="L511" s="168"/>
      <c r="N511" s="169"/>
    </row>
    <row r="512">
      <c r="G512" s="168"/>
      <c r="L512" s="168"/>
      <c r="N512" s="169"/>
    </row>
    <row r="513">
      <c r="G513" s="168"/>
      <c r="L513" s="168"/>
      <c r="N513" s="169"/>
    </row>
    <row r="514">
      <c r="G514" s="168"/>
      <c r="L514" s="168"/>
      <c r="N514" s="169"/>
    </row>
    <row r="515">
      <c r="G515" s="168"/>
      <c r="L515" s="168"/>
      <c r="N515" s="169"/>
    </row>
    <row r="516">
      <c r="G516" s="168"/>
      <c r="L516" s="168"/>
      <c r="N516" s="169"/>
    </row>
    <row r="517">
      <c r="G517" s="168"/>
      <c r="L517" s="168"/>
      <c r="N517" s="169"/>
    </row>
    <row r="518">
      <c r="G518" s="168"/>
      <c r="L518" s="168"/>
      <c r="N518" s="169"/>
    </row>
    <row r="519">
      <c r="G519" s="168"/>
      <c r="L519" s="168"/>
      <c r="N519" s="169"/>
    </row>
    <row r="520">
      <c r="G520" s="168"/>
      <c r="L520" s="168"/>
      <c r="N520" s="169"/>
    </row>
    <row r="521">
      <c r="G521" s="168"/>
      <c r="L521" s="168"/>
      <c r="N521" s="169"/>
    </row>
    <row r="522">
      <c r="G522" s="168"/>
      <c r="L522" s="168"/>
      <c r="N522" s="169"/>
    </row>
    <row r="523">
      <c r="G523" s="168"/>
      <c r="L523" s="168"/>
      <c r="N523" s="169"/>
    </row>
    <row r="524">
      <c r="G524" s="168"/>
      <c r="L524" s="168"/>
      <c r="N524" s="169"/>
    </row>
    <row r="525">
      <c r="G525" s="168"/>
      <c r="L525" s="168"/>
      <c r="N525" s="169"/>
    </row>
    <row r="526">
      <c r="G526" s="168"/>
      <c r="L526" s="168"/>
      <c r="N526" s="169"/>
    </row>
    <row r="527">
      <c r="G527" s="168"/>
      <c r="L527" s="168"/>
      <c r="N527" s="169"/>
    </row>
    <row r="528">
      <c r="G528" s="168"/>
      <c r="L528" s="168"/>
      <c r="N528" s="169"/>
    </row>
    <row r="529">
      <c r="G529" s="168"/>
      <c r="L529" s="168"/>
      <c r="N529" s="169"/>
    </row>
    <row r="530">
      <c r="G530" s="168"/>
      <c r="L530" s="168"/>
      <c r="N530" s="169"/>
    </row>
    <row r="531">
      <c r="G531" s="168"/>
      <c r="L531" s="168"/>
      <c r="N531" s="169"/>
    </row>
    <row r="532">
      <c r="G532" s="168"/>
      <c r="L532" s="168"/>
      <c r="N532" s="169"/>
    </row>
    <row r="533">
      <c r="G533" s="168"/>
      <c r="L533" s="168"/>
      <c r="N533" s="169"/>
    </row>
    <row r="534">
      <c r="G534" s="168"/>
      <c r="L534" s="168"/>
      <c r="N534" s="169"/>
    </row>
    <row r="535">
      <c r="G535" s="168"/>
      <c r="L535" s="168"/>
      <c r="N535" s="169"/>
    </row>
    <row r="536">
      <c r="G536" s="168"/>
      <c r="L536" s="168"/>
      <c r="N536" s="169"/>
    </row>
    <row r="537">
      <c r="G537" s="168"/>
      <c r="L537" s="168"/>
      <c r="N537" s="169"/>
    </row>
    <row r="538">
      <c r="G538" s="168"/>
      <c r="L538" s="168"/>
      <c r="N538" s="169"/>
    </row>
    <row r="539">
      <c r="G539" s="168"/>
      <c r="L539" s="168"/>
      <c r="N539" s="169"/>
    </row>
    <row r="540">
      <c r="G540" s="168"/>
      <c r="L540" s="168"/>
      <c r="N540" s="169"/>
    </row>
    <row r="541">
      <c r="G541" s="168"/>
      <c r="L541" s="168"/>
      <c r="N541" s="169"/>
    </row>
    <row r="542">
      <c r="G542" s="168"/>
      <c r="L542" s="168"/>
      <c r="N542" s="169"/>
    </row>
    <row r="543">
      <c r="G543" s="168"/>
      <c r="L543" s="168"/>
      <c r="N543" s="169"/>
    </row>
    <row r="544">
      <c r="G544" s="168"/>
      <c r="L544" s="168"/>
      <c r="N544" s="169"/>
    </row>
    <row r="545">
      <c r="G545" s="168"/>
      <c r="L545" s="168"/>
      <c r="N545" s="169"/>
    </row>
    <row r="546">
      <c r="G546" s="168"/>
      <c r="L546" s="168"/>
      <c r="N546" s="169"/>
    </row>
    <row r="547">
      <c r="G547" s="168"/>
      <c r="L547" s="168"/>
      <c r="N547" s="169"/>
    </row>
    <row r="548">
      <c r="G548" s="168"/>
      <c r="L548" s="168"/>
      <c r="N548" s="169"/>
    </row>
    <row r="549">
      <c r="G549" s="168"/>
      <c r="L549" s="168"/>
      <c r="N549" s="169"/>
    </row>
    <row r="550">
      <c r="G550" s="168"/>
      <c r="L550" s="168"/>
      <c r="N550" s="169"/>
    </row>
    <row r="551">
      <c r="G551" s="168"/>
      <c r="L551" s="168"/>
      <c r="N551" s="169"/>
    </row>
    <row r="552">
      <c r="G552" s="168"/>
      <c r="L552" s="168"/>
      <c r="N552" s="169"/>
    </row>
    <row r="553">
      <c r="G553" s="168"/>
      <c r="L553" s="168"/>
      <c r="N553" s="169"/>
    </row>
    <row r="554">
      <c r="G554" s="168"/>
      <c r="L554" s="168"/>
      <c r="N554" s="169"/>
    </row>
    <row r="555">
      <c r="G555" s="168"/>
      <c r="L555" s="168"/>
      <c r="N555" s="169"/>
    </row>
    <row r="556">
      <c r="G556" s="168"/>
      <c r="L556" s="168"/>
      <c r="N556" s="169"/>
    </row>
    <row r="557">
      <c r="G557" s="168"/>
      <c r="L557" s="168"/>
      <c r="N557" s="169"/>
    </row>
    <row r="558">
      <c r="G558" s="168"/>
      <c r="L558" s="168"/>
      <c r="N558" s="169"/>
    </row>
    <row r="559">
      <c r="G559" s="168"/>
      <c r="L559" s="168"/>
      <c r="N559" s="169"/>
    </row>
    <row r="560">
      <c r="G560" s="168"/>
      <c r="L560" s="168"/>
      <c r="N560" s="169"/>
    </row>
    <row r="561">
      <c r="G561" s="168"/>
      <c r="L561" s="168"/>
      <c r="N561" s="169"/>
    </row>
    <row r="562">
      <c r="G562" s="168"/>
      <c r="L562" s="168"/>
      <c r="N562" s="169"/>
    </row>
    <row r="563">
      <c r="G563" s="168"/>
      <c r="L563" s="168"/>
      <c r="N563" s="169"/>
    </row>
    <row r="564">
      <c r="G564" s="168"/>
      <c r="L564" s="168"/>
      <c r="N564" s="169"/>
    </row>
    <row r="565">
      <c r="G565" s="168"/>
      <c r="L565" s="168"/>
      <c r="N565" s="169"/>
    </row>
    <row r="566">
      <c r="G566" s="168"/>
      <c r="L566" s="168"/>
      <c r="N566" s="169"/>
    </row>
    <row r="567">
      <c r="G567" s="168"/>
      <c r="L567" s="168"/>
      <c r="N567" s="169"/>
    </row>
    <row r="568">
      <c r="G568" s="168"/>
      <c r="L568" s="168"/>
      <c r="N568" s="169"/>
    </row>
    <row r="569">
      <c r="G569" s="168"/>
      <c r="L569" s="168"/>
      <c r="N569" s="169"/>
    </row>
    <row r="570">
      <c r="G570" s="168"/>
      <c r="L570" s="168"/>
      <c r="N570" s="169"/>
    </row>
    <row r="571">
      <c r="G571" s="168"/>
      <c r="L571" s="168"/>
      <c r="N571" s="169"/>
    </row>
    <row r="572">
      <c r="G572" s="168"/>
      <c r="L572" s="168"/>
      <c r="N572" s="169"/>
    </row>
    <row r="573">
      <c r="G573" s="168"/>
      <c r="L573" s="168"/>
      <c r="N573" s="169"/>
    </row>
    <row r="574">
      <c r="G574" s="168"/>
      <c r="L574" s="168"/>
      <c r="N574" s="169"/>
    </row>
    <row r="575">
      <c r="G575" s="168"/>
      <c r="L575" s="168"/>
      <c r="N575" s="169"/>
    </row>
    <row r="576">
      <c r="G576" s="168"/>
      <c r="L576" s="168"/>
      <c r="N576" s="169"/>
    </row>
    <row r="577">
      <c r="G577" s="168"/>
      <c r="L577" s="168"/>
      <c r="N577" s="169"/>
    </row>
    <row r="578">
      <c r="G578" s="168"/>
      <c r="L578" s="168"/>
      <c r="N578" s="169"/>
    </row>
    <row r="579">
      <c r="G579" s="168"/>
      <c r="L579" s="168"/>
      <c r="N579" s="169"/>
    </row>
    <row r="580">
      <c r="G580" s="168"/>
      <c r="L580" s="168"/>
      <c r="N580" s="169"/>
    </row>
    <row r="581">
      <c r="G581" s="168"/>
      <c r="L581" s="168"/>
      <c r="N581" s="169"/>
    </row>
    <row r="582">
      <c r="G582" s="168"/>
      <c r="L582" s="168"/>
      <c r="N582" s="169"/>
    </row>
    <row r="583">
      <c r="G583" s="168"/>
      <c r="L583" s="168"/>
      <c r="N583" s="169"/>
    </row>
    <row r="584">
      <c r="G584" s="168"/>
      <c r="L584" s="168"/>
      <c r="N584" s="169"/>
    </row>
    <row r="585">
      <c r="G585" s="168"/>
      <c r="L585" s="168"/>
      <c r="N585" s="169"/>
    </row>
    <row r="586">
      <c r="G586" s="168"/>
      <c r="L586" s="168"/>
      <c r="N586" s="169"/>
    </row>
    <row r="587">
      <c r="G587" s="168"/>
      <c r="L587" s="168"/>
      <c r="N587" s="169"/>
    </row>
    <row r="588">
      <c r="G588" s="168"/>
      <c r="L588" s="168"/>
      <c r="N588" s="169"/>
    </row>
    <row r="589">
      <c r="G589" s="168"/>
      <c r="L589" s="168"/>
      <c r="N589" s="169"/>
    </row>
    <row r="590">
      <c r="G590" s="168"/>
      <c r="L590" s="168"/>
      <c r="N590" s="169"/>
    </row>
    <row r="591">
      <c r="G591" s="168"/>
      <c r="L591" s="168"/>
      <c r="N591" s="169"/>
    </row>
    <row r="592">
      <c r="G592" s="168"/>
      <c r="L592" s="168"/>
      <c r="N592" s="169"/>
    </row>
    <row r="593">
      <c r="G593" s="168"/>
      <c r="L593" s="168"/>
      <c r="N593" s="169"/>
    </row>
    <row r="594">
      <c r="G594" s="168"/>
      <c r="L594" s="168"/>
      <c r="N594" s="169"/>
    </row>
    <row r="595">
      <c r="G595" s="168"/>
      <c r="L595" s="168"/>
      <c r="N595" s="169"/>
    </row>
    <row r="596">
      <c r="G596" s="168"/>
      <c r="L596" s="168"/>
      <c r="N596" s="169"/>
    </row>
    <row r="597">
      <c r="G597" s="168"/>
      <c r="L597" s="168"/>
      <c r="N597" s="169"/>
    </row>
    <row r="598">
      <c r="G598" s="168"/>
      <c r="L598" s="168"/>
      <c r="N598" s="169"/>
    </row>
    <row r="599">
      <c r="G599" s="168"/>
      <c r="L599" s="168"/>
      <c r="N599" s="169"/>
    </row>
    <row r="600">
      <c r="G600" s="168"/>
      <c r="L600" s="168"/>
      <c r="N600" s="169"/>
    </row>
    <row r="601">
      <c r="G601" s="168"/>
      <c r="L601" s="168"/>
      <c r="N601" s="169"/>
    </row>
    <row r="602">
      <c r="G602" s="168"/>
      <c r="L602" s="168"/>
      <c r="N602" s="169"/>
    </row>
    <row r="603">
      <c r="G603" s="168"/>
      <c r="L603" s="168"/>
      <c r="N603" s="169"/>
    </row>
    <row r="604">
      <c r="G604" s="168"/>
      <c r="L604" s="168"/>
      <c r="N604" s="169"/>
    </row>
    <row r="605">
      <c r="G605" s="168"/>
      <c r="L605" s="168"/>
      <c r="N605" s="169"/>
    </row>
    <row r="606">
      <c r="G606" s="168"/>
      <c r="L606" s="168"/>
      <c r="N606" s="169"/>
    </row>
    <row r="607">
      <c r="G607" s="168"/>
      <c r="L607" s="168"/>
      <c r="N607" s="169"/>
    </row>
    <row r="608">
      <c r="G608" s="168"/>
      <c r="L608" s="168"/>
      <c r="N608" s="169"/>
    </row>
    <row r="609">
      <c r="G609" s="168"/>
      <c r="L609" s="168"/>
      <c r="N609" s="169"/>
    </row>
    <row r="610">
      <c r="G610" s="168"/>
      <c r="L610" s="168"/>
      <c r="N610" s="169"/>
    </row>
    <row r="611">
      <c r="G611" s="168"/>
      <c r="L611" s="168"/>
      <c r="N611" s="169"/>
    </row>
    <row r="612">
      <c r="G612" s="168"/>
      <c r="L612" s="168"/>
      <c r="N612" s="169"/>
    </row>
    <row r="613">
      <c r="G613" s="168"/>
      <c r="L613" s="168"/>
      <c r="N613" s="169"/>
    </row>
    <row r="614">
      <c r="G614" s="168"/>
      <c r="L614" s="168"/>
      <c r="N614" s="169"/>
    </row>
    <row r="615">
      <c r="G615" s="168"/>
      <c r="L615" s="168"/>
      <c r="N615" s="169"/>
    </row>
    <row r="616">
      <c r="G616" s="168"/>
      <c r="L616" s="168"/>
      <c r="N616" s="169"/>
    </row>
    <row r="617">
      <c r="G617" s="168"/>
      <c r="L617" s="168"/>
      <c r="N617" s="169"/>
    </row>
    <row r="618">
      <c r="G618" s="168"/>
      <c r="L618" s="168"/>
      <c r="N618" s="169"/>
    </row>
    <row r="619">
      <c r="G619" s="168"/>
      <c r="L619" s="168"/>
      <c r="N619" s="169"/>
    </row>
    <row r="620">
      <c r="G620" s="168"/>
      <c r="L620" s="168"/>
      <c r="N620" s="169"/>
    </row>
    <row r="621">
      <c r="G621" s="168"/>
      <c r="L621" s="168"/>
      <c r="N621" s="169"/>
    </row>
    <row r="622">
      <c r="G622" s="168"/>
      <c r="L622" s="168"/>
      <c r="N622" s="169"/>
    </row>
    <row r="623">
      <c r="G623" s="168"/>
      <c r="L623" s="168"/>
      <c r="N623" s="169"/>
    </row>
    <row r="624">
      <c r="G624" s="168"/>
      <c r="L624" s="168"/>
      <c r="N624" s="169"/>
    </row>
    <row r="625">
      <c r="G625" s="168"/>
      <c r="L625" s="168"/>
      <c r="N625" s="169"/>
    </row>
    <row r="626">
      <c r="G626" s="168"/>
      <c r="L626" s="168"/>
      <c r="N626" s="169"/>
    </row>
    <row r="627">
      <c r="G627" s="168"/>
      <c r="L627" s="168"/>
      <c r="N627" s="169"/>
    </row>
    <row r="628">
      <c r="G628" s="168"/>
      <c r="L628" s="168"/>
      <c r="N628" s="169"/>
    </row>
    <row r="629">
      <c r="G629" s="168"/>
      <c r="L629" s="168"/>
      <c r="N629" s="169"/>
    </row>
    <row r="630">
      <c r="G630" s="168"/>
      <c r="L630" s="168"/>
      <c r="N630" s="169"/>
    </row>
    <row r="631">
      <c r="G631" s="168"/>
      <c r="L631" s="168"/>
      <c r="N631" s="169"/>
    </row>
    <row r="632">
      <c r="G632" s="168"/>
      <c r="L632" s="168"/>
      <c r="N632" s="169"/>
    </row>
    <row r="633">
      <c r="G633" s="168"/>
      <c r="L633" s="168"/>
      <c r="N633" s="169"/>
    </row>
    <row r="634">
      <c r="G634" s="168"/>
      <c r="L634" s="168"/>
      <c r="N634" s="169"/>
    </row>
    <row r="635">
      <c r="G635" s="168"/>
      <c r="L635" s="168"/>
      <c r="N635" s="169"/>
    </row>
    <row r="636">
      <c r="G636" s="168"/>
      <c r="L636" s="168"/>
      <c r="N636" s="169"/>
    </row>
    <row r="637">
      <c r="G637" s="168"/>
      <c r="L637" s="168"/>
      <c r="N637" s="169"/>
    </row>
    <row r="638">
      <c r="G638" s="168"/>
      <c r="L638" s="168"/>
      <c r="N638" s="169"/>
    </row>
    <row r="639">
      <c r="G639" s="168"/>
      <c r="L639" s="168"/>
      <c r="N639" s="169"/>
    </row>
    <row r="640">
      <c r="G640" s="168"/>
      <c r="L640" s="168"/>
      <c r="N640" s="169"/>
    </row>
    <row r="641">
      <c r="G641" s="168"/>
      <c r="L641" s="168"/>
      <c r="N641" s="169"/>
    </row>
    <row r="642">
      <c r="G642" s="168"/>
      <c r="L642" s="168"/>
      <c r="N642" s="169"/>
    </row>
    <row r="643">
      <c r="G643" s="168"/>
      <c r="L643" s="168"/>
      <c r="N643" s="169"/>
    </row>
    <row r="644">
      <c r="G644" s="168"/>
      <c r="L644" s="168"/>
      <c r="N644" s="169"/>
    </row>
    <row r="645">
      <c r="G645" s="168"/>
      <c r="L645" s="168"/>
      <c r="N645" s="169"/>
    </row>
    <row r="646">
      <c r="G646" s="168"/>
      <c r="L646" s="168"/>
      <c r="N646" s="169"/>
    </row>
    <row r="647">
      <c r="G647" s="168"/>
      <c r="L647" s="168"/>
      <c r="N647" s="169"/>
    </row>
    <row r="648">
      <c r="G648" s="168"/>
      <c r="L648" s="168"/>
      <c r="N648" s="169"/>
    </row>
    <row r="649">
      <c r="G649" s="168"/>
      <c r="L649" s="168"/>
      <c r="N649" s="169"/>
    </row>
    <row r="650">
      <c r="G650" s="168"/>
      <c r="L650" s="168"/>
      <c r="N650" s="169"/>
    </row>
    <row r="651">
      <c r="G651" s="168"/>
      <c r="L651" s="168"/>
      <c r="N651" s="169"/>
    </row>
    <row r="652">
      <c r="G652" s="168"/>
      <c r="L652" s="168"/>
      <c r="N652" s="169"/>
    </row>
    <row r="653">
      <c r="G653" s="168"/>
      <c r="L653" s="168"/>
      <c r="N653" s="169"/>
    </row>
    <row r="654">
      <c r="G654" s="168"/>
      <c r="L654" s="168"/>
      <c r="N654" s="169"/>
    </row>
    <row r="655">
      <c r="G655" s="168"/>
      <c r="L655" s="168"/>
      <c r="N655" s="169"/>
    </row>
    <row r="656">
      <c r="G656" s="168"/>
      <c r="L656" s="168"/>
      <c r="N656" s="169"/>
    </row>
    <row r="657">
      <c r="G657" s="168"/>
      <c r="L657" s="168"/>
      <c r="N657" s="169"/>
    </row>
    <row r="658">
      <c r="G658" s="168"/>
      <c r="L658" s="168"/>
      <c r="N658" s="169"/>
    </row>
    <row r="659">
      <c r="G659" s="168"/>
      <c r="L659" s="168"/>
      <c r="N659" s="169"/>
    </row>
    <row r="660">
      <c r="G660" s="168"/>
      <c r="L660" s="168"/>
      <c r="N660" s="169"/>
    </row>
    <row r="661">
      <c r="G661" s="168"/>
      <c r="L661" s="168"/>
      <c r="N661" s="169"/>
    </row>
    <row r="662">
      <c r="G662" s="168"/>
      <c r="L662" s="168"/>
      <c r="N662" s="169"/>
    </row>
    <row r="663">
      <c r="G663" s="168"/>
      <c r="L663" s="168"/>
      <c r="N663" s="169"/>
    </row>
    <row r="664">
      <c r="G664" s="168"/>
      <c r="L664" s="168"/>
      <c r="N664" s="169"/>
    </row>
    <row r="665">
      <c r="G665" s="168"/>
      <c r="L665" s="168"/>
      <c r="N665" s="169"/>
    </row>
    <row r="666">
      <c r="G666" s="168"/>
      <c r="L666" s="168"/>
      <c r="N666" s="169"/>
    </row>
    <row r="667">
      <c r="G667" s="168"/>
      <c r="L667" s="168"/>
      <c r="N667" s="169"/>
    </row>
    <row r="668">
      <c r="G668" s="168"/>
      <c r="L668" s="168"/>
      <c r="N668" s="169"/>
    </row>
    <row r="669">
      <c r="G669" s="168"/>
      <c r="L669" s="168"/>
      <c r="N669" s="169"/>
    </row>
    <row r="670">
      <c r="G670" s="168"/>
      <c r="L670" s="168"/>
      <c r="N670" s="169"/>
    </row>
    <row r="671">
      <c r="G671" s="168"/>
      <c r="L671" s="168"/>
      <c r="N671" s="169"/>
    </row>
    <row r="672">
      <c r="G672" s="168"/>
      <c r="L672" s="168"/>
      <c r="N672" s="169"/>
    </row>
    <row r="673">
      <c r="G673" s="168"/>
      <c r="L673" s="168"/>
      <c r="N673" s="169"/>
    </row>
    <row r="674">
      <c r="G674" s="168"/>
      <c r="L674" s="168"/>
      <c r="N674" s="169"/>
    </row>
    <row r="675">
      <c r="G675" s="168"/>
      <c r="L675" s="168"/>
      <c r="N675" s="169"/>
    </row>
    <row r="676">
      <c r="G676" s="168"/>
      <c r="L676" s="168"/>
      <c r="N676" s="169"/>
    </row>
    <row r="677">
      <c r="G677" s="168"/>
      <c r="L677" s="168"/>
      <c r="N677" s="169"/>
    </row>
    <row r="678">
      <c r="G678" s="168"/>
      <c r="L678" s="168"/>
      <c r="N678" s="169"/>
    </row>
    <row r="679">
      <c r="G679" s="168"/>
      <c r="L679" s="168"/>
      <c r="N679" s="169"/>
    </row>
    <row r="680">
      <c r="G680" s="168"/>
      <c r="L680" s="168"/>
      <c r="N680" s="169"/>
    </row>
    <row r="681">
      <c r="G681" s="168"/>
      <c r="L681" s="168"/>
      <c r="N681" s="169"/>
    </row>
    <row r="682">
      <c r="G682" s="168"/>
      <c r="L682" s="168"/>
      <c r="N682" s="169"/>
    </row>
    <row r="683">
      <c r="G683" s="168"/>
      <c r="L683" s="168"/>
      <c r="N683" s="169"/>
    </row>
    <row r="684">
      <c r="G684" s="168"/>
      <c r="L684" s="168"/>
      <c r="N684" s="169"/>
    </row>
    <row r="685">
      <c r="G685" s="168"/>
      <c r="L685" s="168"/>
      <c r="N685" s="169"/>
    </row>
    <row r="686">
      <c r="G686" s="168"/>
      <c r="L686" s="168"/>
      <c r="N686" s="169"/>
    </row>
    <row r="687">
      <c r="G687" s="168"/>
      <c r="L687" s="168"/>
      <c r="N687" s="169"/>
    </row>
    <row r="688">
      <c r="G688" s="168"/>
      <c r="L688" s="168"/>
      <c r="N688" s="169"/>
    </row>
    <row r="689">
      <c r="G689" s="168"/>
      <c r="L689" s="168"/>
      <c r="N689" s="169"/>
    </row>
    <row r="690">
      <c r="G690" s="168"/>
      <c r="L690" s="168"/>
      <c r="N690" s="169"/>
    </row>
    <row r="691">
      <c r="G691" s="168"/>
      <c r="L691" s="168"/>
      <c r="N691" s="169"/>
    </row>
    <row r="692">
      <c r="G692" s="168"/>
      <c r="L692" s="168"/>
      <c r="N692" s="169"/>
    </row>
    <row r="693">
      <c r="G693" s="168"/>
      <c r="L693" s="168"/>
      <c r="N693" s="169"/>
    </row>
    <row r="694">
      <c r="G694" s="168"/>
      <c r="L694" s="168"/>
      <c r="N694" s="169"/>
    </row>
    <row r="695">
      <c r="G695" s="168"/>
      <c r="L695" s="168"/>
      <c r="N695" s="169"/>
    </row>
    <row r="696">
      <c r="G696" s="168"/>
      <c r="L696" s="168"/>
      <c r="N696" s="169"/>
    </row>
    <row r="697">
      <c r="G697" s="168"/>
      <c r="L697" s="168"/>
      <c r="N697" s="169"/>
    </row>
    <row r="698">
      <c r="G698" s="168"/>
      <c r="L698" s="168"/>
      <c r="N698" s="169"/>
    </row>
    <row r="699">
      <c r="G699" s="168"/>
      <c r="L699" s="168"/>
      <c r="N699" s="169"/>
    </row>
    <row r="700">
      <c r="G700" s="168"/>
      <c r="L700" s="168"/>
      <c r="N700" s="169"/>
    </row>
    <row r="701">
      <c r="G701" s="168"/>
      <c r="L701" s="168"/>
      <c r="N701" s="169"/>
    </row>
    <row r="702">
      <c r="G702" s="168"/>
      <c r="L702" s="168"/>
      <c r="N702" s="169"/>
    </row>
    <row r="703">
      <c r="G703" s="168"/>
      <c r="L703" s="168"/>
      <c r="N703" s="169"/>
    </row>
    <row r="704">
      <c r="G704" s="168"/>
      <c r="L704" s="168"/>
      <c r="N704" s="169"/>
    </row>
    <row r="705">
      <c r="G705" s="168"/>
      <c r="L705" s="168"/>
      <c r="N705" s="169"/>
    </row>
    <row r="706">
      <c r="G706" s="168"/>
      <c r="L706" s="168"/>
      <c r="N706" s="169"/>
    </row>
    <row r="707">
      <c r="G707" s="168"/>
      <c r="L707" s="168"/>
      <c r="N707" s="169"/>
    </row>
    <row r="708">
      <c r="G708" s="168"/>
      <c r="L708" s="168"/>
      <c r="N708" s="169"/>
    </row>
    <row r="709">
      <c r="G709" s="168"/>
      <c r="L709" s="168"/>
      <c r="N709" s="169"/>
    </row>
    <row r="710">
      <c r="G710" s="168"/>
      <c r="L710" s="168"/>
      <c r="N710" s="169"/>
    </row>
    <row r="711">
      <c r="G711" s="168"/>
      <c r="L711" s="168"/>
      <c r="N711" s="169"/>
    </row>
    <row r="712">
      <c r="G712" s="168"/>
      <c r="L712" s="168"/>
      <c r="N712" s="169"/>
    </row>
    <row r="713">
      <c r="G713" s="168"/>
      <c r="L713" s="168"/>
      <c r="N713" s="169"/>
    </row>
    <row r="714">
      <c r="G714" s="168"/>
      <c r="L714" s="168"/>
      <c r="N714" s="169"/>
    </row>
    <row r="715">
      <c r="G715" s="168"/>
      <c r="L715" s="168"/>
      <c r="N715" s="169"/>
    </row>
    <row r="716">
      <c r="G716" s="168"/>
      <c r="L716" s="168"/>
      <c r="N716" s="169"/>
    </row>
    <row r="717">
      <c r="G717" s="168"/>
      <c r="L717" s="168"/>
      <c r="N717" s="169"/>
    </row>
    <row r="718">
      <c r="G718" s="168"/>
      <c r="L718" s="168"/>
      <c r="N718" s="169"/>
    </row>
    <row r="719">
      <c r="G719" s="168"/>
      <c r="L719" s="168"/>
      <c r="N719" s="169"/>
    </row>
    <row r="720">
      <c r="G720" s="168"/>
      <c r="L720" s="168"/>
      <c r="N720" s="169"/>
    </row>
    <row r="721">
      <c r="G721" s="168"/>
      <c r="L721" s="168"/>
      <c r="N721" s="169"/>
    </row>
    <row r="722">
      <c r="G722" s="168"/>
      <c r="L722" s="168"/>
      <c r="N722" s="169"/>
    </row>
    <row r="723">
      <c r="G723" s="168"/>
      <c r="L723" s="168"/>
      <c r="N723" s="169"/>
    </row>
    <row r="724">
      <c r="G724" s="168"/>
      <c r="L724" s="168"/>
      <c r="N724" s="169"/>
    </row>
    <row r="725">
      <c r="G725" s="168"/>
      <c r="L725" s="168"/>
      <c r="N725" s="169"/>
    </row>
    <row r="726">
      <c r="G726" s="168"/>
      <c r="L726" s="168"/>
      <c r="N726" s="169"/>
    </row>
    <row r="727">
      <c r="G727" s="168"/>
      <c r="L727" s="168"/>
      <c r="N727" s="169"/>
    </row>
    <row r="728">
      <c r="G728" s="168"/>
      <c r="L728" s="168"/>
      <c r="N728" s="169"/>
    </row>
    <row r="729">
      <c r="G729" s="168"/>
      <c r="L729" s="168"/>
      <c r="N729" s="169"/>
    </row>
    <row r="730">
      <c r="G730" s="168"/>
      <c r="L730" s="168"/>
      <c r="N730" s="169"/>
    </row>
    <row r="731">
      <c r="G731" s="168"/>
      <c r="L731" s="168"/>
      <c r="N731" s="169"/>
    </row>
    <row r="732">
      <c r="G732" s="168"/>
      <c r="L732" s="168"/>
      <c r="N732" s="169"/>
    </row>
    <row r="733">
      <c r="G733" s="168"/>
      <c r="L733" s="168"/>
      <c r="N733" s="169"/>
    </row>
    <row r="734">
      <c r="G734" s="168"/>
      <c r="L734" s="168"/>
      <c r="N734" s="169"/>
    </row>
    <row r="735">
      <c r="G735" s="168"/>
      <c r="L735" s="168"/>
      <c r="N735" s="169"/>
    </row>
    <row r="736">
      <c r="G736" s="168"/>
      <c r="L736" s="168"/>
      <c r="N736" s="169"/>
    </row>
    <row r="737">
      <c r="G737" s="168"/>
      <c r="L737" s="168"/>
      <c r="N737" s="169"/>
    </row>
    <row r="738">
      <c r="G738" s="168"/>
      <c r="L738" s="168"/>
      <c r="N738" s="169"/>
    </row>
    <row r="739">
      <c r="G739" s="168"/>
      <c r="L739" s="168"/>
      <c r="N739" s="169"/>
    </row>
    <row r="740">
      <c r="G740" s="168"/>
      <c r="L740" s="168"/>
      <c r="N740" s="169"/>
    </row>
    <row r="741">
      <c r="G741" s="168"/>
      <c r="L741" s="168"/>
      <c r="N741" s="169"/>
    </row>
    <row r="742">
      <c r="G742" s="168"/>
      <c r="L742" s="168"/>
      <c r="N742" s="169"/>
    </row>
    <row r="743">
      <c r="G743" s="168"/>
      <c r="L743" s="168"/>
      <c r="N743" s="169"/>
    </row>
    <row r="744">
      <c r="G744" s="168"/>
      <c r="L744" s="168"/>
      <c r="N744" s="169"/>
    </row>
    <row r="745">
      <c r="G745" s="168"/>
      <c r="L745" s="168"/>
      <c r="N745" s="169"/>
    </row>
    <row r="746">
      <c r="G746" s="168"/>
      <c r="L746" s="168"/>
      <c r="N746" s="169"/>
    </row>
    <row r="747">
      <c r="G747" s="168"/>
      <c r="L747" s="168"/>
      <c r="N747" s="169"/>
    </row>
    <row r="748">
      <c r="G748" s="168"/>
      <c r="L748" s="168"/>
      <c r="N748" s="169"/>
    </row>
    <row r="749">
      <c r="G749" s="168"/>
      <c r="L749" s="168"/>
      <c r="N749" s="169"/>
    </row>
    <row r="750">
      <c r="G750" s="168"/>
      <c r="L750" s="168"/>
      <c r="N750" s="169"/>
    </row>
    <row r="751">
      <c r="G751" s="168"/>
      <c r="L751" s="168"/>
      <c r="N751" s="169"/>
    </row>
    <row r="752">
      <c r="G752" s="168"/>
      <c r="L752" s="168"/>
      <c r="N752" s="169"/>
    </row>
    <row r="753">
      <c r="G753" s="168"/>
      <c r="L753" s="168"/>
      <c r="N753" s="169"/>
    </row>
    <row r="754">
      <c r="G754" s="168"/>
      <c r="L754" s="168"/>
      <c r="N754" s="169"/>
    </row>
    <row r="755">
      <c r="G755" s="168"/>
      <c r="L755" s="168"/>
      <c r="N755" s="169"/>
    </row>
    <row r="756">
      <c r="G756" s="168"/>
      <c r="L756" s="168"/>
      <c r="N756" s="169"/>
    </row>
    <row r="757">
      <c r="G757" s="168"/>
      <c r="L757" s="168"/>
      <c r="N757" s="169"/>
    </row>
    <row r="758">
      <c r="G758" s="168"/>
      <c r="L758" s="168"/>
      <c r="N758" s="169"/>
    </row>
    <row r="759">
      <c r="G759" s="168"/>
      <c r="L759" s="168"/>
      <c r="N759" s="169"/>
    </row>
    <row r="760">
      <c r="G760" s="168"/>
      <c r="L760" s="168"/>
      <c r="N760" s="169"/>
    </row>
    <row r="761">
      <c r="G761" s="168"/>
      <c r="L761" s="168"/>
      <c r="N761" s="169"/>
    </row>
    <row r="762">
      <c r="G762" s="168"/>
      <c r="L762" s="168"/>
      <c r="N762" s="169"/>
    </row>
    <row r="763">
      <c r="G763" s="168"/>
      <c r="L763" s="168"/>
      <c r="N763" s="169"/>
    </row>
    <row r="764">
      <c r="G764" s="168"/>
      <c r="L764" s="168"/>
      <c r="N764" s="169"/>
    </row>
    <row r="765">
      <c r="G765" s="168"/>
      <c r="L765" s="168"/>
      <c r="N765" s="169"/>
    </row>
    <row r="766">
      <c r="G766" s="168"/>
      <c r="L766" s="168"/>
      <c r="N766" s="169"/>
    </row>
    <row r="767">
      <c r="G767" s="168"/>
      <c r="L767" s="168"/>
      <c r="N767" s="169"/>
    </row>
    <row r="768">
      <c r="G768" s="168"/>
      <c r="L768" s="168"/>
      <c r="N768" s="169"/>
    </row>
    <row r="769">
      <c r="G769" s="168"/>
      <c r="L769" s="168"/>
      <c r="N769" s="169"/>
    </row>
    <row r="770">
      <c r="G770" s="168"/>
      <c r="L770" s="168"/>
      <c r="N770" s="169"/>
    </row>
    <row r="771">
      <c r="G771" s="168"/>
      <c r="L771" s="168"/>
      <c r="N771" s="169"/>
    </row>
    <row r="772">
      <c r="G772" s="168"/>
      <c r="L772" s="168"/>
      <c r="N772" s="169"/>
    </row>
    <row r="773">
      <c r="G773" s="168"/>
      <c r="L773" s="168"/>
      <c r="N773" s="169"/>
    </row>
    <row r="774">
      <c r="G774" s="168"/>
      <c r="L774" s="168"/>
      <c r="N774" s="169"/>
    </row>
    <row r="775">
      <c r="G775" s="168"/>
      <c r="L775" s="168"/>
      <c r="N775" s="169"/>
    </row>
    <row r="776">
      <c r="G776" s="168"/>
      <c r="L776" s="168"/>
      <c r="N776" s="169"/>
    </row>
    <row r="777">
      <c r="G777" s="168"/>
      <c r="L777" s="168"/>
      <c r="N777" s="169"/>
    </row>
    <row r="778">
      <c r="G778" s="168"/>
      <c r="L778" s="168"/>
      <c r="N778" s="169"/>
    </row>
    <row r="779">
      <c r="G779" s="168"/>
      <c r="L779" s="168"/>
      <c r="N779" s="169"/>
    </row>
    <row r="780">
      <c r="G780" s="168"/>
      <c r="L780" s="168"/>
      <c r="N780" s="169"/>
    </row>
    <row r="781">
      <c r="G781" s="168"/>
      <c r="L781" s="168"/>
      <c r="N781" s="169"/>
    </row>
    <row r="782">
      <c r="G782" s="168"/>
      <c r="L782" s="168"/>
      <c r="N782" s="169"/>
    </row>
    <row r="783">
      <c r="G783" s="168"/>
      <c r="L783" s="168"/>
      <c r="N783" s="169"/>
    </row>
    <row r="784">
      <c r="G784" s="168"/>
      <c r="L784" s="168"/>
      <c r="N784" s="169"/>
    </row>
    <row r="785">
      <c r="G785" s="168"/>
      <c r="L785" s="168"/>
      <c r="N785" s="169"/>
    </row>
    <row r="786">
      <c r="G786" s="168"/>
      <c r="L786" s="168"/>
      <c r="N786" s="169"/>
    </row>
    <row r="787">
      <c r="G787" s="168"/>
      <c r="L787" s="168"/>
      <c r="N787" s="169"/>
    </row>
    <row r="788">
      <c r="G788" s="168"/>
      <c r="L788" s="168"/>
      <c r="N788" s="169"/>
    </row>
    <row r="789">
      <c r="G789" s="168"/>
      <c r="L789" s="168"/>
      <c r="N789" s="169"/>
    </row>
    <row r="790">
      <c r="G790" s="168"/>
      <c r="L790" s="168"/>
      <c r="N790" s="169"/>
    </row>
    <row r="791">
      <c r="G791" s="168"/>
      <c r="L791" s="168"/>
      <c r="N791" s="169"/>
    </row>
    <row r="792">
      <c r="G792" s="168"/>
      <c r="L792" s="168"/>
      <c r="N792" s="169"/>
    </row>
    <row r="793">
      <c r="G793" s="168"/>
      <c r="L793" s="168"/>
      <c r="N793" s="169"/>
    </row>
    <row r="794">
      <c r="G794" s="168"/>
      <c r="L794" s="168"/>
      <c r="N794" s="169"/>
    </row>
    <row r="795">
      <c r="G795" s="168"/>
      <c r="L795" s="168"/>
      <c r="N795" s="169"/>
    </row>
    <row r="796">
      <c r="G796" s="168"/>
      <c r="L796" s="168"/>
      <c r="N796" s="169"/>
    </row>
    <row r="797">
      <c r="G797" s="168"/>
      <c r="L797" s="168"/>
      <c r="N797" s="169"/>
    </row>
    <row r="798">
      <c r="G798" s="168"/>
      <c r="L798" s="168"/>
      <c r="N798" s="169"/>
    </row>
    <row r="799">
      <c r="G799" s="168"/>
      <c r="L799" s="168"/>
      <c r="N799" s="169"/>
    </row>
    <row r="800">
      <c r="G800" s="168"/>
      <c r="L800" s="168"/>
      <c r="N800" s="169"/>
    </row>
    <row r="801">
      <c r="G801" s="168"/>
      <c r="L801" s="168"/>
      <c r="N801" s="169"/>
    </row>
    <row r="802">
      <c r="G802" s="168"/>
      <c r="L802" s="168"/>
      <c r="N802" s="169"/>
    </row>
    <row r="803">
      <c r="G803" s="168"/>
      <c r="L803" s="168"/>
      <c r="N803" s="169"/>
    </row>
    <row r="804">
      <c r="G804" s="168"/>
      <c r="L804" s="168"/>
      <c r="N804" s="169"/>
    </row>
    <row r="805">
      <c r="G805" s="168"/>
      <c r="L805" s="168"/>
      <c r="N805" s="169"/>
    </row>
    <row r="806">
      <c r="G806" s="168"/>
      <c r="L806" s="168"/>
      <c r="N806" s="169"/>
    </row>
    <row r="807">
      <c r="G807" s="168"/>
      <c r="L807" s="168"/>
      <c r="N807" s="169"/>
    </row>
    <row r="808">
      <c r="G808" s="168"/>
      <c r="L808" s="168"/>
      <c r="N808" s="169"/>
    </row>
    <row r="809">
      <c r="G809" s="168"/>
      <c r="L809" s="168"/>
      <c r="N809" s="169"/>
    </row>
    <row r="810">
      <c r="G810" s="168"/>
      <c r="L810" s="168"/>
      <c r="N810" s="169"/>
    </row>
    <row r="811">
      <c r="G811" s="168"/>
      <c r="L811" s="168"/>
      <c r="N811" s="169"/>
    </row>
    <row r="812">
      <c r="G812" s="168"/>
      <c r="L812" s="168"/>
      <c r="N812" s="169"/>
    </row>
    <row r="813">
      <c r="G813" s="168"/>
      <c r="L813" s="168"/>
      <c r="N813" s="169"/>
    </row>
    <row r="814">
      <c r="G814" s="168"/>
      <c r="L814" s="168"/>
      <c r="N814" s="169"/>
    </row>
    <row r="815">
      <c r="G815" s="168"/>
      <c r="L815" s="168"/>
      <c r="N815" s="169"/>
    </row>
    <row r="816">
      <c r="G816" s="168"/>
      <c r="L816" s="168"/>
      <c r="N816" s="169"/>
    </row>
    <row r="817">
      <c r="G817" s="168"/>
      <c r="L817" s="168"/>
      <c r="N817" s="169"/>
    </row>
    <row r="818">
      <c r="G818" s="168"/>
      <c r="L818" s="168"/>
      <c r="N818" s="169"/>
    </row>
    <row r="819">
      <c r="G819" s="168"/>
      <c r="L819" s="168"/>
      <c r="N819" s="169"/>
    </row>
    <row r="820">
      <c r="G820" s="168"/>
      <c r="L820" s="168"/>
      <c r="N820" s="169"/>
    </row>
    <row r="821">
      <c r="G821" s="168"/>
      <c r="L821" s="168"/>
      <c r="N821" s="169"/>
    </row>
    <row r="822">
      <c r="G822" s="168"/>
      <c r="L822" s="168"/>
      <c r="N822" s="169"/>
    </row>
    <row r="823">
      <c r="G823" s="168"/>
      <c r="L823" s="168"/>
      <c r="N823" s="169"/>
    </row>
    <row r="824">
      <c r="G824" s="168"/>
      <c r="L824" s="168"/>
      <c r="N824" s="169"/>
    </row>
    <row r="825">
      <c r="G825" s="168"/>
      <c r="L825" s="168"/>
      <c r="N825" s="169"/>
    </row>
    <row r="826">
      <c r="G826" s="168"/>
      <c r="L826" s="168"/>
      <c r="N826" s="169"/>
    </row>
    <row r="827">
      <c r="G827" s="168"/>
      <c r="L827" s="168"/>
      <c r="N827" s="169"/>
    </row>
    <row r="828">
      <c r="G828" s="168"/>
      <c r="L828" s="168"/>
      <c r="N828" s="169"/>
    </row>
    <row r="829">
      <c r="G829" s="168"/>
      <c r="L829" s="168"/>
      <c r="N829" s="169"/>
    </row>
    <row r="830">
      <c r="G830" s="168"/>
      <c r="L830" s="168"/>
      <c r="N830" s="169"/>
    </row>
    <row r="831">
      <c r="G831" s="168"/>
      <c r="L831" s="168"/>
      <c r="N831" s="169"/>
    </row>
    <row r="832">
      <c r="G832" s="168"/>
      <c r="L832" s="168"/>
      <c r="N832" s="169"/>
    </row>
    <row r="833">
      <c r="G833" s="168"/>
      <c r="L833" s="168"/>
      <c r="N833" s="169"/>
    </row>
    <row r="834">
      <c r="G834" s="168"/>
      <c r="L834" s="168"/>
      <c r="N834" s="169"/>
    </row>
    <row r="835">
      <c r="G835" s="168"/>
      <c r="L835" s="168"/>
      <c r="N835" s="169"/>
    </row>
    <row r="836">
      <c r="G836" s="168"/>
      <c r="L836" s="168"/>
      <c r="N836" s="169"/>
    </row>
    <row r="837">
      <c r="G837" s="168"/>
      <c r="L837" s="168"/>
      <c r="N837" s="169"/>
    </row>
    <row r="838">
      <c r="G838" s="168"/>
      <c r="L838" s="168"/>
      <c r="N838" s="169"/>
    </row>
    <row r="839">
      <c r="G839" s="168"/>
      <c r="L839" s="168"/>
      <c r="N839" s="169"/>
    </row>
    <row r="840">
      <c r="G840" s="168"/>
      <c r="L840" s="168"/>
      <c r="N840" s="169"/>
    </row>
    <row r="841">
      <c r="G841" s="168"/>
      <c r="L841" s="168"/>
      <c r="N841" s="169"/>
    </row>
    <row r="842">
      <c r="G842" s="168"/>
      <c r="L842" s="168"/>
      <c r="N842" s="169"/>
    </row>
    <row r="843">
      <c r="G843" s="168"/>
      <c r="L843" s="168"/>
      <c r="N843" s="169"/>
    </row>
    <row r="844">
      <c r="G844" s="168"/>
      <c r="L844" s="168"/>
      <c r="N844" s="169"/>
    </row>
    <row r="845">
      <c r="G845" s="168"/>
      <c r="L845" s="168"/>
      <c r="N845" s="169"/>
    </row>
    <row r="846">
      <c r="G846" s="168"/>
      <c r="L846" s="168"/>
      <c r="N846" s="169"/>
    </row>
    <row r="847">
      <c r="G847" s="168"/>
      <c r="L847" s="168"/>
      <c r="N847" s="169"/>
    </row>
    <row r="848">
      <c r="G848" s="168"/>
      <c r="L848" s="168"/>
      <c r="N848" s="169"/>
    </row>
    <row r="849">
      <c r="G849" s="168"/>
      <c r="L849" s="168"/>
      <c r="N849" s="169"/>
    </row>
    <row r="850">
      <c r="G850" s="168"/>
      <c r="L850" s="168"/>
      <c r="N850" s="169"/>
    </row>
    <row r="851">
      <c r="G851" s="168"/>
      <c r="L851" s="168"/>
      <c r="N851" s="169"/>
    </row>
    <row r="852">
      <c r="G852" s="168"/>
      <c r="L852" s="168"/>
      <c r="N852" s="169"/>
    </row>
    <row r="853">
      <c r="G853" s="168"/>
      <c r="L853" s="168"/>
      <c r="N853" s="169"/>
    </row>
    <row r="854">
      <c r="G854" s="168"/>
      <c r="L854" s="168"/>
      <c r="N854" s="169"/>
    </row>
    <row r="855">
      <c r="G855" s="168"/>
      <c r="L855" s="168"/>
      <c r="N855" s="169"/>
    </row>
    <row r="856">
      <c r="G856" s="168"/>
      <c r="L856" s="168"/>
      <c r="N856" s="169"/>
    </row>
    <row r="857">
      <c r="G857" s="168"/>
      <c r="L857" s="168"/>
      <c r="N857" s="169"/>
    </row>
    <row r="858">
      <c r="G858" s="168"/>
      <c r="L858" s="168"/>
      <c r="N858" s="169"/>
    </row>
    <row r="859">
      <c r="G859" s="168"/>
      <c r="L859" s="168"/>
      <c r="N859" s="169"/>
    </row>
    <row r="860">
      <c r="G860" s="168"/>
      <c r="L860" s="168"/>
      <c r="N860" s="169"/>
    </row>
    <row r="861">
      <c r="G861" s="168"/>
      <c r="L861" s="168"/>
      <c r="N861" s="169"/>
    </row>
    <row r="862">
      <c r="G862" s="168"/>
      <c r="L862" s="168"/>
      <c r="N862" s="169"/>
    </row>
    <row r="863">
      <c r="G863" s="168"/>
      <c r="L863" s="168"/>
      <c r="N863" s="169"/>
    </row>
    <row r="864">
      <c r="G864" s="168"/>
      <c r="L864" s="168"/>
      <c r="N864" s="169"/>
    </row>
    <row r="865">
      <c r="G865" s="168"/>
      <c r="L865" s="168"/>
      <c r="N865" s="169"/>
    </row>
    <row r="866">
      <c r="G866" s="168"/>
      <c r="L866" s="168"/>
      <c r="N866" s="169"/>
    </row>
    <row r="867">
      <c r="G867" s="168"/>
      <c r="L867" s="168"/>
      <c r="N867" s="169"/>
    </row>
    <row r="868">
      <c r="G868" s="168"/>
      <c r="L868" s="168"/>
      <c r="N868" s="169"/>
    </row>
    <row r="869">
      <c r="G869" s="168"/>
      <c r="L869" s="168"/>
      <c r="N869" s="169"/>
    </row>
    <row r="870">
      <c r="G870" s="168"/>
      <c r="L870" s="168"/>
      <c r="N870" s="169"/>
    </row>
    <row r="871">
      <c r="G871" s="168"/>
      <c r="L871" s="168"/>
      <c r="N871" s="169"/>
    </row>
    <row r="872">
      <c r="G872" s="168"/>
      <c r="L872" s="168"/>
      <c r="N872" s="169"/>
    </row>
    <row r="873">
      <c r="G873" s="168"/>
      <c r="L873" s="168"/>
      <c r="N873" s="169"/>
    </row>
    <row r="874">
      <c r="G874" s="168"/>
      <c r="L874" s="168"/>
      <c r="N874" s="169"/>
    </row>
    <row r="875">
      <c r="G875" s="168"/>
      <c r="L875" s="168"/>
      <c r="N875" s="169"/>
    </row>
    <row r="876">
      <c r="G876" s="168"/>
      <c r="L876" s="168"/>
      <c r="N876" s="169"/>
    </row>
    <row r="877">
      <c r="G877" s="168"/>
      <c r="L877" s="168"/>
      <c r="N877" s="169"/>
    </row>
    <row r="878">
      <c r="G878" s="168"/>
      <c r="L878" s="168"/>
      <c r="N878" s="169"/>
    </row>
    <row r="879">
      <c r="G879" s="168"/>
      <c r="L879" s="168"/>
      <c r="N879" s="169"/>
    </row>
    <row r="880">
      <c r="G880" s="168"/>
      <c r="L880" s="168"/>
      <c r="N880" s="169"/>
    </row>
    <row r="881">
      <c r="G881" s="168"/>
      <c r="L881" s="168"/>
      <c r="N881" s="169"/>
    </row>
    <row r="882">
      <c r="G882" s="168"/>
      <c r="L882" s="168"/>
      <c r="N882" s="169"/>
    </row>
    <row r="883">
      <c r="G883" s="168"/>
      <c r="L883" s="168"/>
      <c r="N883" s="169"/>
    </row>
    <row r="884">
      <c r="G884" s="168"/>
      <c r="L884" s="168"/>
      <c r="N884" s="169"/>
    </row>
    <row r="885">
      <c r="G885" s="168"/>
      <c r="L885" s="168"/>
      <c r="N885" s="169"/>
    </row>
    <row r="886">
      <c r="G886" s="168"/>
      <c r="L886" s="168"/>
      <c r="N886" s="169"/>
    </row>
    <row r="887">
      <c r="G887" s="168"/>
      <c r="L887" s="168"/>
      <c r="N887" s="169"/>
    </row>
    <row r="888">
      <c r="G888" s="168"/>
      <c r="L888" s="168"/>
      <c r="N888" s="169"/>
    </row>
    <row r="889">
      <c r="G889" s="168"/>
      <c r="L889" s="168"/>
      <c r="N889" s="169"/>
    </row>
    <row r="890">
      <c r="G890" s="168"/>
      <c r="L890" s="168"/>
      <c r="N890" s="169"/>
    </row>
    <row r="891">
      <c r="G891" s="168"/>
      <c r="L891" s="168"/>
      <c r="N891" s="169"/>
    </row>
    <row r="892">
      <c r="G892" s="168"/>
      <c r="L892" s="168"/>
      <c r="N892" s="169"/>
    </row>
    <row r="893">
      <c r="G893" s="168"/>
      <c r="L893" s="168"/>
      <c r="N893" s="169"/>
    </row>
    <row r="894">
      <c r="G894" s="168"/>
      <c r="L894" s="168"/>
      <c r="N894" s="169"/>
    </row>
    <row r="895">
      <c r="G895" s="168"/>
      <c r="L895" s="168"/>
      <c r="N895" s="169"/>
    </row>
    <row r="896">
      <c r="G896" s="168"/>
      <c r="L896" s="168"/>
      <c r="N896" s="169"/>
    </row>
    <row r="897">
      <c r="G897" s="168"/>
      <c r="L897" s="168"/>
      <c r="N897" s="169"/>
    </row>
    <row r="898">
      <c r="G898" s="168"/>
      <c r="L898" s="168"/>
      <c r="N898" s="169"/>
    </row>
    <row r="899">
      <c r="G899" s="168"/>
      <c r="L899" s="168"/>
      <c r="N899" s="169"/>
    </row>
    <row r="900">
      <c r="G900" s="168"/>
      <c r="L900" s="168"/>
      <c r="N900" s="169"/>
    </row>
    <row r="901">
      <c r="G901" s="168"/>
      <c r="L901" s="168"/>
      <c r="N901" s="169"/>
    </row>
    <row r="902">
      <c r="G902" s="168"/>
      <c r="L902" s="168"/>
      <c r="N902" s="169"/>
    </row>
    <row r="903">
      <c r="G903" s="168"/>
      <c r="L903" s="168"/>
      <c r="N903" s="169"/>
    </row>
    <row r="904">
      <c r="G904" s="168"/>
      <c r="L904" s="168"/>
      <c r="N904" s="169"/>
    </row>
    <row r="905">
      <c r="G905" s="168"/>
      <c r="L905" s="168"/>
      <c r="N905" s="169"/>
    </row>
    <row r="906">
      <c r="G906" s="168"/>
      <c r="L906" s="168"/>
      <c r="N906" s="169"/>
    </row>
    <row r="907">
      <c r="G907" s="168"/>
      <c r="L907" s="168"/>
      <c r="N907" s="169"/>
    </row>
    <row r="908">
      <c r="G908" s="168"/>
      <c r="L908" s="168"/>
      <c r="N908" s="169"/>
    </row>
    <row r="909">
      <c r="G909" s="168"/>
      <c r="L909" s="168"/>
      <c r="N909" s="169"/>
    </row>
    <row r="910">
      <c r="G910" s="168"/>
      <c r="L910" s="168"/>
      <c r="N910" s="169"/>
    </row>
    <row r="911">
      <c r="G911" s="168"/>
      <c r="L911" s="168"/>
      <c r="N911" s="169"/>
    </row>
    <row r="912">
      <c r="G912" s="168"/>
      <c r="L912" s="168"/>
      <c r="N912" s="169"/>
    </row>
    <row r="913">
      <c r="G913" s="168"/>
      <c r="L913" s="168"/>
      <c r="N913" s="169"/>
    </row>
    <row r="914">
      <c r="G914" s="168"/>
      <c r="L914" s="168"/>
      <c r="N914" s="169"/>
    </row>
    <row r="915">
      <c r="G915" s="168"/>
      <c r="L915" s="168"/>
      <c r="N915" s="169"/>
    </row>
    <row r="916">
      <c r="G916" s="168"/>
      <c r="L916" s="168"/>
      <c r="N916" s="169"/>
    </row>
    <row r="917">
      <c r="G917" s="168"/>
      <c r="L917" s="168"/>
      <c r="N917" s="169"/>
    </row>
    <row r="918">
      <c r="G918" s="168"/>
      <c r="L918" s="168"/>
      <c r="N918" s="169"/>
    </row>
    <row r="919">
      <c r="G919" s="168"/>
      <c r="L919" s="168"/>
      <c r="N919" s="169"/>
    </row>
    <row r="920">
      <c r="G920" s="168"/>
      <c r="L920" s="168"/>
      <c r="N920" s="169"/>
    </row>
    <row r="921">
      <c r="G921" s="168"/>
      <c r="L921" s="168"/>
      <c r="N921" s="169"/>
    </row>
    <row r="922">
      <c r="G922" s="168"/>
      <c r="L922" s="168"/>
      <c r="N922" s="169"/>
    </row>
    <row r="923">
      <c r="G923" s="168"/>
      <c r="L923" s="168"/>
      <c r="N923" s="169"/>
    </row>
    <row r="924">
      <c r="G924" s="168"/>
      <c r="L924" s="168"/>
      <c r="N924" s="169"/>
    </row>
    <row r="925">
      <c r="G925" s="168"/>
      <c r="L925" s="168"/>
      <c r="N925" s="169"/>
    </row>
    <row r="926">
      <c r="G926" s="168"/>
      <c r="L926" s="168"/>
      <c r="N926" s="169"/>
    </row>
    <row r="927">
      <c r="G927" s="168"/>
      <c r="L927" s="168"/>
      <c r="N927" s="169"/>
    </row>
    <row r="928">
      <c r="G928" s="168"/>
      <c r="L928" s="168"/>
      <c r="N928" s="169"/>
    </row>
    <row r="929">
      <c r="G929" s="168"/>
      <c r="L929" s="168"/>
      <c r="N929" s="169"/>
    </row>
    <row r="930">
      <c r="G930" s="168"/>
      <c r="L930" s="168"/>
      <c r="N930" s="169"/>
    </row>
    <row r="931">
      <c r="G931" s="168"/>
      <c r="L931" s="168"/>
      <c r="N931" s="169"/>
    </row>
    <row r="932">
      <c r="G932" s="168"/>
      <c r="L932" s="168"/>
      <c r="N932" s="169"/>
    </row>
    <row r="933">
      <c r="G933" s="168"/>
      <c r="L933" s="168"/>
      <c r="N933" s="169"/>
    </row>
    <row r="934">
      <c r="G934" s="168"/>
      <c r="L934" s="168"/>
      <c r="N934" s="169"/>
    </row>
    <row r="935">
      <c r="G935" s="168"/>
      <c r="L935" s="168"/>
      <c r="N935" s="169"/>
    </row>
    <row r="936">
      <c r="G936" s="168"/>
      <c r="L936" s="168"/>
      <c r="N936" s="169"/>
    </row>
    <row r="937">
      <c r="G937" s="168"/>
      <c r="L937" s="168"/>
      <c r="N937" s="169"/>
    </row>
    <row r="938">
      <c r="G938" s="168"/>
      <c r="L938" s="168"/>
      <c r="N938" s="169"/>
    </row>
    <row r="939">
      <c r="G939" s="168"/>
      <c r="L939" s="168"/>
      <c r="N939" s="169"/>
    </row>
    <row r="940">
      <c r="G940" s="168"/>
      <c r="L940" s="168"/>
      <c r="N940" s="169"/>
    </row>
    <row r="941">
      <c r="G941" s="168"/>
      <c r="L941" s="168"/>
      <c r="N941" s="169"/>
    </row>
    <row r="942">
      <c r="G942" s="168"/>
      <c r="L942" s="168"/>
      <c r="N942" s="169"/>
    </row>
    <row r="943">
      <c r="G943" s="168"/>
      <c r="L943" s="168"/>
      <c r="N943" s="169"/>
    </row>
    <row r="944">
      <c r="G944" s="168"/>
      <c r="L944" s="168"/>
      <c r="N944" s="169"/>
    </row>
    <row r="945">
      <c r="G945" s="168"/>
      <c r="L945" s="168"/>
      <c r="N945" s="169"/>
    </row>
    <row r="946">
      <c r="G946" s="168"/>
      <c r="L946" s="168"/>
      <c r="N946" s="169"/>
    </row>
    <row r="947">
      <c r="G947" s="168"/>
      <c r="L947" s="168"/>
      <c r="N947" s="169"/>
    </row>
    <row r="948">
      <c r="G948" s="168"/>
      <c r="L948" s="168"/>
      <c r="N948" s="169"/>
    </row>
    <row r="949">
      <c r="G949" s="168"/>
      <c r="L949" s="168"/>
      <c r="N949" s="169"/>
    </row>
    <row r="950">
      <c r="G950" s="168"/>
      <c r="L950" s="168"/>
      <c r="N950" s="169"/>
    </row>
    <row r="951">
      <c r="G951" s="168"/>
      <c r="L951" s="168"/>
      <c r="N951" s="169"/>
    </row>
    <row r="952">
      <c r="G952" s="168"/>
      <c r="L952" s="168"/>
      <c r="N952" s="169"/>
    </row>
    <row r="953">
      <c r="G953" s="168"/>
      <c r="L953" s="168"/>
      <c r="N953" s="169"/>
    </row>
    <row r="954">
      <c r="G954" s="168"/>
      <c r="L954" s="168"/>
      <c r="N954" s="169"/>
    </row>
    <row r="955">
      <c r="G955" s="168"/>
      <c r="L955" s="168"/>
      <c r="N955" s="169"/>
    </row>
    <row r="956">
      <c r="G956" s="168"/>
      <c r="L956" s="168"/>
      <c r="N956" s="169"/>
    </row>
    <row r="957">
      <c r="G957" s="168"/>
      <c r="L957" s="168"/>
      <c r="N957" s="169"/>
    </row>
    <row r="958">
      <c r="G958" s="168"/>
      <c r="L958" s="168"/>
      <c r="N958" s="169"/>
    </row>
    <row r="959">
      <c r="G959" s="168"/>
      <c r="L959" s="168"/>
      <c r="N959" s="169"/>
    </row>
    <row r="960">
      <c r="G960" s="168"/>
      <c r="L960" s="168"/>
      <c r="N960" s="169"/>
    </row>
    <row r="961">
      <c r="G961" s="168"/>
      <c r="L961" s="168"/>
      <c r="N961" s="169"/>
    </row>
    <row r="962">
      <c r="G962" s="168"/>
      <c r="L962" s="168"/>
      <c r="N962" s="169"/>
    </row>
    <row r="963">
      <c r="G963" s="168"/>
      <c r="L963" s="168"/>
      <c r="N963" s="169"/>
    </row>
    <row r="964">
      <c r="G964" s="168"/>
      <c r="L964" s="168"/>
      <c r="N964" s="169"/>
    </row>
    <row r="965">
      <c r="G965" s="168"/>
      <c r="L965" s="168"/>
      <c r="N965" s="169"/>
    </row>
    <row r="966">
      <c r="G966" s="168"/>
      <c r="L966" s="168"/>
      <c r="N966" s="169"/>
    </row>
    <row r="967">
      <c r="G967" s="168"/>
      <c r="L967" s="168"/>
      <c r="N967" s="169"/>
    </row>
    <row r="968">
      <c r="G968" s="168"/>
      <c r="L968" s="168"/>
      <c r="N968" s="169"/>
    </row>
    <row r="969">
      <c r="G969" s="168"/>
      <c r="L969" s="168"/>
      <c r="N969" s="169"/>
    </row>
    <row r="970">
      <c r="G970" s="168"/>
      <c r="L970" s="168"/>
      <c r="N970" s="169"/>
    </row>
    <row r="971">
      <c r="G971" s="168"/>
      <c r="L971" s="168"/>
      <c r="N971" s="169"/>
    </row>
    <row r="972">
      <c r="G972" s="168"/>
      <c r="L972" s="168"/>
      <c r="N972" s="169"/>
    </row>
    <row r="973">
      <c r="G973" s="168"/>
      <c r="L973" s="168"/>
      <c r="N973" s="169"/>
    </row>
    <row r="974">
      <c r="G974" s="168"/>
      <c r="L974" s="168"/>
      <c r="N974" s="169"/>
    </row>
    <row r="975">
      <c r="G975" s="168"/>
      <c r="L975" s="168"/>
      <c r="N975" s="169"/>
    </row>
    <row r="976">
      <c r="G976" s="168"/>
      <c r="L976" s="168"/>
      <c r="N976" s="169"/>
    </row>
    <row r="977">
      <c r="G977" s="168"/>
      <c r="L977" s="168"/>
      <c r="N977" s="169"/>
    </row>
    <row r="978">
      <c r="G978" s="168"/>
      <c r="L978" s="168"/>
      <c r="N978" s="169"/>
    </row>
    <row r="979">
      <c r="G979" s="168"/>
      <c r="L979" s="168"/>
      <c r="N979" s="169"/>
    </row>
    <row r="980">
      <c r="G980" s="168"/>
      <c r="L980" s="168"/>
      <c r="N980" s="169"/>
    </row>
    <row r="981">
      <c r="G981" s="168"/>
      <c r="L981" s="168"/>
      <c r="N981" s="169"/>
    </row>
    <row r="982">
      <c r="G982" s="168"/>
      <c r="L982" s="168"/>
      <c r="N982" s="169"/>
    </row>
    <row r="983">
      <c r="G983" s="168"/>
      <c r="L983" s="168"/>
      <c r="N983" s="169"/>
    </row>
    <row r="984">
      <c r="G984" s="168"/>
      <c r="L984" s="168"/>
      <c r="N984" s="169"/>
    </row>
    <row r="985">
      <c r="G985" s="168"/>
      <c r="L985" s="168"/>
      <c r="N985" s="169"/>
    </row>
    <row r="986">
      <c r="G986" s="168"/>
      <c r="L986" s="168"/>
      <c r="N986" s="169"/>
    </row>
    <row r="987">
      <c r="G987" s="168"/>
      <c r="L987" s="168"/>
      <c r="N987" s="169"/>
    </row>
    <row r="988">
      <c r="G988" s="168"/>
      <c r="L988" s="168"/>
      <c r="N988" s="169"/>
    </row>
    <row r="989">
      <c r="G989" s="168"/>
      <c r="L989" s="168"/>
      <c r="N989" s="169"/>
    </row>
    <row r="990">
      <c r="G990" s="168"/>
      <c r="L990" s="168"/>
      <c r="N990" s="169"/>
    </row>
    <row r="991">
      <c r="G991" s="168"/>
      <c r="L991" s="168"/>
      <c r="N991" s="169"/>
    </row>
    <row r="992">
      <c r="G992" s="168"/>
      <c r="L992" s="168"/>
      <c r="N992" s="169"/>
    </row>
    <row r="993">
      <c r="G993" s="168"/>
      <c r="L993" s="168"/>
      <c r="N993" s="169"/>
    </row>
    <row r="994">
      <c r="G994" s="168"/>
      <c r="L994" s="168"/>
      <c r="N994" s="169"/>
    </row>
    <row r="995">
      <c r="G995" s="168"/>
      <c r="L995" s="168"/>
      <c r="N995" s="169"/>
    </row>
    <row r="996">
      <c r="G996" s="168"/>
      <c r="L996" s="168"/>
      <c r="N996" s="169"/>
    </row>
    <row r="997">
      <c r="G997" s="168"/>
      <c r="L997" s="168"/>
      <c r="N997" s="169"/>
    </row>
    <row r="998">
      <c r="G998" s="168"/>
      <c r="L998" s="168"/>
      <c r="N998" s="169"/>
    </row>
    <row r="999">
      <c r="G999" s="168"/>
      <c r="L999" s="168"/>
      <c r="N999" s="169"/>
    </row>
    <row r="1000">
      <c r="G1000" s="168"/>
      <c r="L1000" s="168"/>
      <c r="N1000" s="169"/>
    </row>
    <row r="1001">
      <c r="G1001" s="168"/>
      <c r="L1001" s="168"/>
      <c r="N1001" s="169"/>
    </row>
    <row r="1002">
      <c r="G1002" s="168"/>
      <c r="L1002" s="168"/>
      <c r="N1002" s="169"/>
    </row>
    <row r="1003">
      <c r="G1003" s="168"/>
      <c r="L1003" s="168"/>
      <c r="N1003" s="169"/>
    </row>
    <row r="1004">
      <c r="G1004" s="168"/>
      <c r="L1004" s="168"/>
      <c r="N1004" s="169"/>
    </row>
    <row r="1005">
      <c r="G1005" s="168"/>
      <c r="L1005" s="168"/>
      <c r="N1005" s="169"/>
    </row>
    <row r="1006">
      <c r="G1006" s="168"/>
      <c r="L1006" s="168"/>
      <c r="N1006" s="169"/>
    </row>
    <row r="1007">
      <c r="G1007" s="168"/>
      <c r="L1007" s="168"/>
      <c r="N1007" s="169"/>
    </row>
    <row r="1008">
      <c r="G1008" s="168"/>
      <c r="L1008" s="168"/>
      <c r="N1008" s="169"/>
    </row>
    <row r="1009">
      <c r="G1009" s="168"/>
      <c r="L1009" s="168"/>
      <c r="N1009" s="169"/>
    </row>
    <row r="1010">
      <c r="G1010" s="168"/>
      <c r="L1010" s="168"/>
      <c r="N1010" s="169"/>
    </row>
    <row r="1011">
      <c r="G1011" s="168"/>
      <c r="L1011" s="168"/>
      <c r="N1011" s="169"/>
    </row>
    <row r="1012">
      <c r="G1012" s="168"/>
      <c r="L1012" s="168"/>
      <c r="N1012" s="169"/>
    </row>
    <row r="1013">
      <c r="G1013" s="168"/>
      <c r="L1013" s="168"/>
      <c r="N1013" s="169"/>
    </row>
    <row r="1014">
      <c r="G1014" s="168"/>
      <c r="L1014" s="168"/>
      <c r="N1014" s="169"/>
    </row>
    <row r="1015">
      <c r="G1015" s="168"/>
      <c r="L1015" s="168"/>
      <c r="N1015" s="169"/>
    </row>
    <row r="1016">
      <c r="G1016" s="168"/>
      <c r="L1016" s="168"/>
      <c r="N1016" s="169"/>
    </row>
    <row r="1017">
      <c r="G1017" s="168"/>
      <c r="L1017" s="168"/>
      <c r="N1017" s="169"/>
    </row>
    <row r="1018">
      <c r="G1018" s="168"/>
      <c r="L1018" s="168"/>
      <c r="N1018" s="169"/>
    </row>
    <row r="1019">
      <c r="G1019" s="168"/>
      <c r="L1019" s="168"/>
      <c r="N1019" s="169"/>
    </row>
    <row r="1020">
      <c r="G1020" s="168"/>
      <c r="L1020" s="168"/>
      <c r="N1020" s="169"/>
    </row>
    <row r="1021">
      <c r="G1021" s="168"/>
      <c r="L1021" s="168"/>
      <c r="N1021" s="169"/>
    </row>
    <row r="1022">
      <c r="G1022" s="168"/>
      <c r="L1022" s="168"/>
      <c r="N1022" s="169"/>
    </row>
    <row r="1023">
      <c r="G1023" s="168"/>
      <c r="L1023" s="168"/>
      <c r="N1023" s="169"/>
    </row>
    <row r="1024">
      <c r="G1024" s="168"/>
      <c r="L1024" s="168"/>
      <c r="N1024" s="169"/>
    </row>
    <row r="1025">
      <c r="G1025" s="168"/>
      <c r="L1025" s="168"/>
      <c r="N1025" s="169"/>
    </row>
    <row r="1026">
      <c r="G1026" s="168"/>
      <c r="L1026" s="168"/>
      <c r="N1026" s="169"/>
    </row>
    <row r="1027">
      <c r="G1027" s="168"/>
      <c r="L1027" s="168"/>
      <c r="N1027" s="169"/>
    </row>
    <row r="1028">
      <c r="G1028" s="168"/>
      <c r="L1028" s="168"/>
      <c r="N1028" s="169"/>
    </row>
    <row r="1029">
      <c r="G1029" s="168"/>
      <c r="L1029" s="168"/>
      <c r="N1029" s="169"/>
    </row>
    <row r="1030">
      <c r="G1030" s="168"/>
      <c r="L1030" s="168"/>
      <c r="N1030" s="169"/>
    </row>
    <row r="1031">
      <c r="G1031" s="168"/>
      <c r="L1031" s="168"/>
      <c r="N1031" s="169"/>
    </row>
    <row r="1032">
      <c r="G1032" s="168"/>
      <c r="L1032" s="168"/>
      <c r="N1032" s="169"/>
    </row>
    <row r="1033">
      <c r="G1033" s="168"/>
      <c r="L1033" s="168"/>
      <c r="N1033" s="169"/>
    </row>
    <row r="1034">
      <c r="G1034" s="168"/>
      <c r="L1034" s="168"/>
      <c r="N1034" s="169"/>
    </row>
    <row r="1035">
      <c r="G1035" s="168"/>
      <c r="L1035" s="168"/>
      <c r="N1035" s="169"/>
    </row>
    <row r="1036">
      <c r="G1036" s="168"/>
      <c r="L1036" s="168"/>
      <c r="N1036" s="169"/>
    </row>
    <row r="1037">
      <c r="G1037" s="168"/>
      <c r="L1037" s="168"/>
      <c r="N1037" s="169"/>
    </row>
    <row r="1038">
      <c r="G1038" s="168"/>
      <c r="L1038" s="168"/>
      <c r="N1038" s="169"/>
    </row>
    <row r="1039">
      <c r="G1039" s="168"/>
      <c r="L1039" s="168"/>
      <c r="N1039" s="169"/>
    </row>
    <row r="1040">
      <c r="G1040" s="168"/>
      <c r="L1040" s="168"/>
      <c r="N1040" s="169"/>
    </row>
    <row r="1041">
      <c r="G1041" s="168"/>
      <c r="L1041" s="168"/>
      <c r="N1041" s="169"/>
    </row>
    <row r="1042">
      <c r="G1042" s="168"/>
      <c r="L1042" s="168"/>
      <c r="N1042" s="169"/>
    </row>
    <row r="1043">
      <c r="G1043" s="168"/>
      <c r="L1043" s="168"/>
      <c r="N1043" s="169"/>
    </row>
    <row r="1044">
      <c r="G1044" s="168"/>
      <c r="L1044" s="168"/>
      <c r="N1044" s="169"/>
    </row>
    <row r="1045">
      <c r="G1045" s="168"/>
      <c r="L1045" s="168"/>
      <c r="N1045" s="169"/>
    </row>
    <row r="1046">
      <c r="G1046" s="168"/>
      <c r="L1046" s="168"/>
      <c r="N1046" s="169"/>
    </row>
    <row r="1047">
      <c r="G1047" s="168"/>
      <c r="L1047" s="168"/>
      <c r="N1047" s="169"/>
    </row>
    <row r="1048">
      <c r="G1048" s="168"/>
      <c r="L1048" s="168"/>
      <c r="N1048" s="169"/>
    </row>
    <row r="1049">
      <c r="G1049" s="168"/>
      <c r="L1049" s="168"/>
      <c r="N1049" s="169"/>
    </row>
    <row r="1050">
      <c r="G1050" s="168"/>
      <c r="L1050" s="168"/>
      <c r="N1050" s="169"/>
    </row>
    <row r="1051">
      <c r="G1051" s="168"/>
      <c r="L1051" s="168"/>
      <c r="N1051" s="169"/>
    </row>
    <row r="1052">
      <c r="G1052" s="168"/>
      <c r="L1052" s="168"/>
      <c r="N1052" s="169"/>
    </row>
    <row r="1053">
      <c r="G1053" s="168"/>
      <c r="L1053" s="168"/>
      <c r="N1053" s="169"/>
    </row>
    <row r="1054">
      <c r="G1054" s="168"/>
      <c r="L1054" s="168"/>
      <c r="N1054" s="169"/>
    </row>
    <row r="1055">
      <c r="G1055" s="168"/>
      <c r="L1055" s="168"/>
      <c r="N1055" s="169"/>
    </row>
    <row r="1056">
      <c r="G1056" s="168"/>
      <c r="L1056" s="168"/>
      <c r="N1056" s="169"/>
    </row>
    <row r="1057">
      <c r="G1057" s="168"/>
      <c r="L1057" s="168"/>
      <c r="N1057" s="169"/>
    </row>
    <row r="1058">
      <c r="G1058" s="168"/>
      <c r="L1058" s="168"/>
      <c r="N1058" s="169"/>
    </row>
    <row r="1059">
      <c r="G1059" s="168"/>
      <c r="L1059" s="168"/>
      <c r="N1059" s="169"/>
    </row>
    <row r="1060">
      <c r="G1060" s="168"/>
      <c r="L1060" s="168"/>
      <c r="N1060" s="169"/>
    </row>
    <row r="1061">
      <c r="G1061" s="168"/>
      <c r="L1061" s="168"/>
      <c r="N1061" s="169"/>
    </row>
    <row r="1062">
      <c r="G1062" s="168"/>
      <c r="L1062" s="168"/>
      <c r="N1062" s="169"/>
    </row>
    <row r="1063">
      <c r="G1063" s="168"/>
      <c r="L1063" s="168"/>
      <c r="N1063" s="169"/>
    </row>
    <row r="1064">
      <c r="G1064" s="168"/>
      <c r="L1064" s="168"/>
      <c r="N1064" s="169"/>
    </row>
    <row r="1065">
      <c r="G1065" s="168"/>
      <c r="L1065" s="168"/>
      <c r="N1065" s="169"/>
    </row>
    <row r="1066">
      <c r="G1066" s="168"/>
      <c r="L1066" s="168"/>
      <c r="N1066" s="169"/>
    </row>
    <row r="1067">
      <c r="G1067" s="168"/>
      <c r="L1067" s="168"/>
      <c r="N1067" s="169"/>
    </row>
    <row r="1068">
      <c r="G1068" s="168"/>
      <c r="L1068" s="168"/>
      <c r="N1068" s="169"/>
    </row>
    <row r="1069">
      <c r="G1069" s="168"/>
      <c r="L1069" s="168"/>
      <c r="N1069" s="169"/>
    </row>
    <row r="1070">
      <c r="G1070" s="168"/>
      <c r="L1070" s="168"/>
      <c r="N1070" s="169"/>
    </row>
    <row r="1071">
      <c r="G1071" s="168"/>
      <c r="L1071" s="168"/>
      <c r="N1071" s="169"/>
    </row>
    <row r="1072">
      <c r="G1072" s="168"/>
      <c r="L1072" s="168"/>
      <c r="N1072" s="169"/>
    </row>
    <row r="1073">
      <c r="G1073" s="168"/>
      <c r="L1073" s="168"/>
      <c r="N1073" s="169"/>
    </row>
    <row r="1074">
      <c r="G1074" s="168"/>
      <c r="L1074" s="168"/>
      <c r="N1074" s="169"/>
    </row>
    <row r="1075">
      <c r="G1075" s="168"/>
      <c r="L1075" s="168"/>
      <c r="N1075" s="169"/>
    </row>
    <row r="1076">
      <c r="G1076" s="168"/>
      <c r="L1076" s="168"/>
      <c r="N1076" s="169"/>
    </row>
    <row r="1077">
      <c r="G1077" s="168"/>
      <c r="L1077" s="168"/>
      <c r="N1077" s="169"/>
    </row>
    <row r="1078">
      <c r="G1078" s="168"/>
      <c r="L1078" s="168"/>
      <c r="N1078" s="169"/>
    </row>
    <row r="1079">
      <c r="G1079" s="168"/>
      <c r="L1079" s="168"/>
      <c r="N1079" s="169"/>
    </row>
    <row r="1080">
      <c r="G1080" s="168"/>
      <c r="L1080" s="168"/>
      <c r="N1080" s="169"/>
    </row>
    <row r="1081">
      <c r="G1081" s="168"/>
      <c r="L1081" s="168"/>
      <c r="N1081" s="169"/>
    </row>
    <row r="1082">
      <c r="G1082" s="168"/>
      <c r="L1082" s="168"/>
      <c r="N1082" s="169"/>
    </row>
    <row r="1083">
      <c r="G1083" s="168"/>
      <c r="L1083" s="168"/>
      <c r="N1083" s="169"/>
    </row>
    <row r="1084">
      <c r="G1084" s="168"/>
      <c r="L1084" s="168"/>
      <c r="N1084" s="169"/>
    </row>
    <row r="1085">
      <c r="G1085" s="168"/>
      <c r="L1085" s="168"/>
      <c r="N1085" s="169"/>
    </row>
    <row r="1086">
      <c r="G1086" s="168"/>
      <c r="L1086" s="168"/>
      <c r="N1086" s="169"/>
    </row>
    <row r="1087">
      <c r="G1087" s="168"/>
      <c r="L1087" s="168"/>
      <c r="N1087" s="169"/>
    </row>
    <row r="1088">
      <c r="G1088" s="168"/>
      <c r="L1088" s="168"/>
      <c r="N1088" s="169"/>
    </row>
    <row r="1089">
      <c r="G1089" s="168"/>
      <c r="L1089" s="168"/>
      <c r="N1089" s="169"/>
    </row>
    <row r="1090">
      <c r="G1090" s="168"/>
      <c r="L1090" s="168"/>
      <c r="N1090" s="169"/>
    </row>
    <row r="1091">
      <c r="G1091" s="168"/>
      <c r="L1091" s="168"/>
      <c r="N1091" s="169"/>
    </row>
    <row r="1092">
      <c r="G1092" s="168"/>
      <c r="L1092" s="168"/>
      <c r="N1092" s="169"/>
    </row>
    <row r="1093">
      <c r="G1093" s="168"/>
      <c r="L1093" s="168"/>
      <c r="N1093" s="169"/>
    </row>
    <row r="1094">
      <c r="G1094" s="168"/>
      <c r="L1094" s="168"/>
      <c r="N1094" s="169"/>
    </row>
    <row r="1095">
      <c r="G1095" s="168"/>
      <c r="L1095" s="168"/>
      <c r="N1095" s="169"/>
    </row>
    <row r="1096">
      <c r="G1096" s="168"/>
      <c r="L1096" s="168"/>
      <c r="N1096" s="169"/>
    </row>
    <row r="1097">
      <c r="G1097" s="168"/>
      <c r="L1097" s="168"/>
      <c r="N1097" s="169"/>
    </row>
    <row r="1098">
      <c r="G1098" s="168"/>
      <c r="L1098" s="168"/>
      <c r="N1098" s="169"/>
    </row>
    <row r="1099">
      <c r="G1099" s="168"/>
      <c r="L1099" s="168"/>
      <c r="N1099" s="169"/>
    </row>
  </sheetData>
  <mergeCells count="2">
    <mergeCell ref="A1:N1"/>
    <mergeCell ref="A246:L246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82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  <c r="P2" s="80">
        <f>185231+340</f>
        <v>185571</v>
      </c>
    </row>
    <row r="3">
      <c r="A3" s="70">
        <v>45931.0</v>
      </c>
      <c r="B3" s="36" t="s">
        <v>11</v>
      </c>
      <c r="C3" s="52">
        <v>191091.0</v>
      </c>
      <c r="D3" s="268">
        <v>191457.0</v>
      </c>
      <c r="E3" s="12">
        <f t="shared" ref="E3:E10" si="1">D3-C3</f>
        <v>366</v>
      </c>
      <c r="F3" s="39">
        <v>45.0</v>
      </c>
      <c r="G3" s="14">
        <f t="shared" ref="G3:G10" si="2">(F3/E3)*100</f>
        <v>12.29508197</v>
      </c>
      <c r="H3" s="275"/>
      <c r="I3" s="138"/>
      <c r="J3" s="41">
        <f t="shared" ref="J3:J8" si="3">I3-H3</f>
        <v>0</v>
      </c>
      <c r="K3" s="81">
        <f t="shared" ref="K3:K8" si="4">F3</f>
        <v>45</v>
      </c>
      <c r="L3" s="71" t="str">
        <f t="shared" ref="L3:L10" si="5">(K3/J3)*100</f>
        <v>#DIV/0!</v>
      </c>
      <c r="M3" s="72">
        <v>18650.0</v>
      </c>
      <c r="N3" s="131">
        <f t="shared" ref="N3:N10" si="6">F3*M3</f>
        <v>839250</v>
      </c>
    </row>
    <row r="4">
      <c r="A4" s="35">
        <v>45937.0</v>
      </c>
      <c r="B4" s="46" t="s">
        <v>11</v>
      </c>
      <c r="C4" s="268">
        <v>191457.0</v>
      </c>
      <c r="D4" s="52">
        <v>191829.0</v>
      </c>
      <c r="E4" s="12">
        <f t="shared" si="1"/>
        <v>372</v>
      </c>
      <c r="F4" s="47">
        <v>49.0</v>
      </c>
      <c r="G4" s="14">
        <f t="shared" si="2"/>
        <v>13.17204301</v>
      </c>
      <c r="H4" s="52"/>
      <c r="I4" s="40"/>
      <c r="J4" s="37">
        <f t="shared" si="3"/>
        <v>0</v>
      </c>
      <c r="K4" s="52">
        <f t="shared" si="4"/>
        <v>49</v>
      </c>
      <c r="L4" s="48" t="str">
        <f t="shared" si="5"/>
        <v>#DIV/0!</v>
      </c>
      <c r="M4" s="50">
        <v>19030.0</v>
      </c>
      <c r="N4" s="49">
        <f t="shared" si="6"/>
        <v>932470</v>
      </c>
      <c r="O4" s="80">
        <f t="shared" ref="O4:O8" si="7">O3+1</f>
        <v>1</v>
      </c>
      <c r="P4" s="197" t="s">
        <v>12</v>
      </c>
      <c r="Q4" s="251">
        <f>N19</f>
        <v>5157580</v>
      </c>
      <c r="R4" s="251">
        <f t="shared" ref="R4:R8" si="8">Q4</f>
        <v>5157580</v>
      </c>
    </row>
    <row r="5">
      <c r="A5" s="35">
        <v>45939.0</v>
      </c>
      <c r="B5" s="46" t="s">
        <v>11</v>
      </c>
      <c r="C5" s="52">
        <v>191829.0</v>
      </c>
      <c r="D5" s="52">
        <v>192103.0</v>
      </c>
      <c r="E5" s="12">
        <f t="shared" si="1"/>
        <v>274</v>
      </c>
      <c r="F5" s="54">
        <v>20.0</v>
      </c>
      <c r="G5" s="14">
        <f t="shared" si="2"/>
        <v>7.299270073</v>
      </c>
      <c r="H5" s="40"/>
      <c r="I5" s="40"/>
      <c r="J5" s="37">
        <f t="shared" si="3"/>
        <v>0</v>
      </c>
      <c r="K5" s="52">
        <f t="shared" si="4"/>
        <v>20</v>
      </c>
      <c r="L5" s="48" t="str">
        <f t="shared" si="5"/>
        <v>#DIV/0!</v>
      </c>
      <c r="M5" s="252">
        <v>19030.0</v>
      </c>
      <c r="N5" s="49">
        <f t="shared" si="6"/>
        <v>380600</v>
      </c>
      <c r="O5" s="80">
        <f t="shared" si="7"/>
        <v>2</v>
      </c>
      <c r="P5" s="197" t="s">
        <v>13</v>
      </c>
      <c r="Q5" s="251">
        <f>N28</f>
        <v>4101660</v>
      </c>
      <c r="R5" s="251">
        <f t="shared" si="8"/>
        <v>4101660</v>
      </c>
    </row>
    <row r="6">
      <c r="A6" s="35">
        <v>45940.0</v>
      </c>
      <c r="B6" s="46" t="s">
        <v>11</v>
      </c>
      <c r="C6" s="52">
        <v>192103.0</v>
      </c>
      <c r="D6" s="52">
        <v>192376.0</v>
      </c>
      <c r="E6" s="12">
        <f t="shared" si="1"/>
        <v>273</v>
      </c>
      <c r="F6" s="54">
        <v>50.0</v>
      </c>
      <c r="G6" s="14">
        <f t="shared" si="2"/>
        <v>18.31501832</v>
      </c>
      <c r="H6" s="37"/>
      <c r="I6" s="40">
        <v>26310.0</v>
      </c>
      <c r="J6" s="37">
        <f t="shared" si="3"/>
        <v>26310</v>
      </c>
      <c r="K6" s="52">
        <f t="shared" si="4"/>
        <v>50</v>
      </c>
      <c r="L6" s="48">
        <f t="shared" si="5"/>
        <v>0.1900418092</v>
      </c>
      <c r="M6" s="252">
        <v>18600.0</v>
      </c>
      <c r="N6" s="49">
        <f t="shared" si="6"/>
        <v>930000</v>
      </c>
      <c r="O6" s="80">
        <f t="shared" si="7"/>
        <v>3</v>
      </c>
      <c r="P6" s="197" t="s">
        <v>14</v>
      </c>
      <c r="Q6" s="251">
        <f>N36</f>
        <v>4425400</v>
      </c>
      <c r="R6" s="251">
        <f t="shared" si="8"/>
        <v>4425400</v>
      </c>
    </row>
    <row r="7">
      <c r="A7" s="35">
        <v>45946.0</v>
      </c>
      <c r="B7" s="46" t="s">
        <v>11</v>
      </c>
      <c r="C7" s="52">
        <v>192376.0</v>
      </c>
      <c r="D7" s="52">
        <v>192735.0</v>
      </c>
      <c r="E7" s="12">
        <f t="shared" si="1"/>
        <v>359</v>
      </c>
      <c r="F7" s="54">
        <v>40.0</v>
      </c>
      <c r="G7" s="14">
        <f t="shared" si="2"/>
        <v>11.14206128</v>
      </c>
      <c r="H7" s="37">
        <v>26310.0</v>
      </c>
      <c r="I7" s="40">
        <v>26690.0</v>
      </c>
      <c r="J7" s="37">
        <f t="shared" si="3"/>
        <v>380</v>
      </c>
      <c r="K7" s="52">
        <f t="shared" si="4"/>
        <v>40</v>
      </c>
      <c r="L7" s="48">
        <f t="shared" si="5"/>
        <v>10.52631579</v>
      </c>
      <c r="M7" s="252">
        <v>18420.0</v>
      </c>
      <c r="N7" s="49">
        <f t="shared" si="6"/>
        <v>736800</v>
      </c>
      <c r="O7" s="80">
        <f t="shared" si="7"/>
        <v>4</v>
      </c>
      <c r="P7" s="197" t="s">
        <v>15</v>
      </c>
      <c r="Q7" s="251">
        <f>N45</f>
        <v>6114880</v>
      </c>
      <c r="R7" s="251">
        <f t="shared" si="8"/>
        <v>6114880</v>
      </c>
    </row>
    <row r="8">
      <c r="A8" s="35">
        <v>45951.0</v>
      </c>
      <c r="B8" s="46" t="s">
        <v>11</v>
      </c>
      <c r="C8" s="52">
        <v>192735.0</v>
      </c>
      <c r="D8" s="52">
        <v>193039.0</v>
      </c>
      <c r="E8" s="12">
        <f t="shared" si="1"/>
        <v>304</v>
      </c>
      <c r="F8" s="54">
        <v>40.0</v>
      </c>
      <c r="G8" s="14">
        <f t="shared" si="2"/>
        <v>13.15789474</v>
      </c>
      <c r="H8" s="37">
        <v>26690.0</v>
      </c>
      <c r="I8" s="40">
        <v>22600.0</v>
      </c>
      <c r="J8" s="37">
        <f t="shared" si="3"/>
        <v>-4090</v>
      </c>
      <c r="K8" s="52">
        <f t="shared" si="4"/>
        <v>40</v>
      </c>
      <c r="L8" s="48">
        <f t="shared" si="5"/>
        <v>-0.97799511</v>
      </c>
      <c r="M8" s="252">
        <v>18420.0</v>
      </c>
      <c r="N8" s="49">
        <f t="shared" si="6"/>
        <v>736800</v>
      </c>
      <c r="O8" s="80">
        <f t="shared" si="7"/>
        <v>5</v>
      </c>
      <c r="P8" s="197" t="s">
        <v>16</v>
      </c>
      <c r="Q8" s="251">
        <f>N56</f>
        <v>5512880</v>
      </c>
      <c r="R8" s="251">
        <f t="shared" si="8"/>
        <v>5512880</v>
      </c>
    </row>
    <row r="9">
      <c r="A9" s="35">
        <v>45957.0</v>
      </c>
      <c r="B9" s="46" t="s">
        <v>11</v>
      </c>
      <c r="C9" s="52">
        <v>193039.0</v>
      </c>
      <c r="D9" s="249">
        <v>193368.0</v>
      </c>
      <c r="E9" s="12">
        <f t="shared" si="1"/>
        <v>329</v>
      </c>
      <c r="F9" s="253">
        <v>50.0</v>
      </c>
      <c r="G9" s="14">
        <f t="shared" si="2"/>
        <v>15.19756839</v>
      </c>
      <c r="H9" s="55"/>
      <c r="I9" s="85"/>
      <c r="J9" s="37"/>
      <c r="K9" s="52"/>
      <c r="L9" s="48" t="str">
        <f t="shared" si="5"/>
        <v>#DIV/0!</v>
      </c>
      <c r="M9" s="254">
        <v>17880.0</v>
      </c>
      <c r="N9" s="49">
        <f t="shared" si="6"/>
        <v>894000</v>
      </c>
      <c r="P9" s="197"/>
    </row>
    <row r="10">
      <c r="A10" s="35">
        <v>45961.0</v>
      </c>
      <c r="B10" s="83" t="s">
        <v>11</v>
      </c>
      <c r="C10" s="249">
        <v>193368.0</v>
      </c>
      <c r="D10" s="249">
        <v>193724.0</v>
      </c>
      <c r="E10" s="25">
        <f t="shared" si="1"/>
        <v>356</v>
      </c>
      <c r="F10" s="253">
        <v>50.0</v>
      </c>
      <c r="G10" s="56">
        <f t="shared" si="2"/>
        <v>14.04494382</v>
      </c>
      <c r="H10" s="55"/>
      <c r="I10" s="85"/>
      <c r="J10" s="37">
        <f>I10-H10</f>
        <v>0</v>
      </c>
      <c r="K10" s="52">
        <f>F10</f>
        <v>50</v>
      </c>
      <c r="L10" s="48" t="str">
        <f t="shared" si="5"/>
        <v>#DIV/0!</v>
      </c>
      <c r="M10" s="254">
        <v>19200.0</v>
      </c>
      <c r="N10" s="59">
        <f t="shared" si="6"/>
        <v>960000</v>
      </c>
      <c r="O10" s="80">
        <f>O8+1</f>
        <v>6</v>
      </c>
      <c r="P10" s="197" t="s">
        <v>18</v>
      </c>
      <c r="Q10" s="251">
        <f>N66</f>
        <v>5621890</v>
      </c>
      <c r="R10" s="251">
        <f t="shared" ref="R10:R15" si="11">Q10</f>
        <v>5621890</v>
      </c>
    </row>
    <row r="11">
      <c r="A11" s="62"/>
      <c r="B11" s="63"/>
      <c r="C11" s="62"/>
      <c r="D11" s="64" t="s">
        <v>19</v>
      </c>
      <c r="E11" s="64">
        <f t="shared" ref="E11:F11" si="9">sum(E3:E10)</f>
        <v>2633</v>
      </c>
      <c r="F11" s="64">
        <f t="shared" si="9"/>
        <v>344</v>
      </c>
      <c r="G11" s="65">
        <f>average(G3:G10)</f>
        <v>13.0779852</v>
      </c>
      <c r="H11" s="62"/>
      <c r="I11" s="66"/>
      <c r="J11" s="64">
        <f t="shared" ref="J11:K11" si="10">sum(J3:J10)</f>
        <v>22600</v>
      </c>
      <c r="K11" s="64">
        <f t="shared" si="10"/>
        <v>294</v>
      </c>
      <c r="L11" s="65" t="str">
        <f>average(L3:L10)</f>
        <v>#DIV/0!</v>
      </c>
      <c r="M11" s="68"/>
      <c r="N11" s="69">
        <f>sum(N3:N10)</f>
        <v>6409920</v>
      </c>
      <c r="O11" s="80">
        <f t="shared" ref="O11:O27" si="12">O10+1</f>
        <v>7</v>
      </c>
      <c r="P11" s="197" t="s">
        <v>20</v>
      </c>
      <c r="Q11" s="251">
        <f>N74</f>
        <v>6795750</v>
      </c>
      <c r="R11" s="251">
        <f t="shared" si="11"/>
        <v>6795750</v>
      </c>
    </row>
    <row r="12">
      <c r="A12" s="264">
        <v>45932.0</v>
      </c>
      <c r="B12" s="36" t="s">
        <v>12</v>
      </c>
      <c r="C12" s="37">
        <v>154351.0</v>
      </c>
      <c r="D12" s="89">
        <v>154710.0</v>
      </c>
      <c r="E12" s="38">
        <f t="shared" ref="E12:E18" si="13">D12-C12</f>
        <v>359</v>
      </c>
      <c r="F12" s="39">
        <v>49.0</v>
      </c>
      <c r="G12" s="14">
        <f t="shared" ref="G12:G18" si="14">(F12/E12)*100</f>
        <v>13.64902507</v>
      </c>
      <c r="H12" s="137"/>
      <c r="I12" s="137"/>
      <c r="J12" s="41">
        <f t="shared" ref="J12:J18" si="15">I12-H12</f>
        <v>0</v>
      </c>
      <c r="K12" s="81">
        <f t="shared" ref="K12:K18" si="16">F12</f>
        <v>49</v>
      </c>
      <c r="L12" s="42" t="str">
        <f t="shared" ref="L12:L18" si="17">(K12/J12)*100</f>
        <v>#DIV/0!</v>
      </c>
      <c r="M12" s="43">
        <v>19030.0</v>
      </c>
      <c r="N12" s="44">
        <f t="shared" ref="N12:N18" si="18">F12*M12</f>
        <v>932470</v>
      </c>
      <c r="O12" s="80">
        <f t="shared" si="12"/>
        <v>8</v>
      </c>
      <c r="P12" s="197" t="s">
        <v>21</v>
      </c>
      <c r="Q12" s="251">
        <f>N82</f>
        <v>5457990</v>
      </c>
      <c r="R12" s="251">
        <f t="shared" si="11"/>
        <v>5457990</v>
      </c>
    </row>
    <row r="13">
      <c r="A13" s="45">
        <v>45938.0</v>
      </c>
      <c r="B13" s="46" t="s">
        <v>12</v>
      </c>
      <c r="C13" s="89">
        <v>154710.0</v>
      </c>
      <c r="D13" s="37">
        <v>155057.0</v>
      </c>
      <c r="E13" s="12">
        <f t="shared" si="13"/>
        <v>347</v>
      </c>
      <c r="F13" s="47">
        <v>45.0</v>
      </c>
      <c r="G13" s="14">
        <f t="shared" si="14"/>
        <v>12.96829971</v>
      </c>
      <c r="H13" s="37"/>
      <c r="I13" s="40"/>
      <c r="J13" s="37">
        <f t="shared" si="15"/>
        <v>0</v>
      </c>
      <c r="K13" s="52">
        <f t="shared" si="16"/>
        <v>45</v>
      </c>
      <c r="L13" s="48" t="str">
        <f t="shared" si="17"/>
        <v>#DIV/0!</v>
      </c>
      <c r="M13" s="50">
        <v>19030.0</v>
      </c>
      <c r="N13" s="49">
        <f t="shared" si="18"/>
        <v>856350</v>
      </c>
      <c r="O13" s="80">
        <f t="shared" si="12"/>
        <v>9</v>
      </c>
      <c r="P13" s="276" t="s">
        <v>22</v>
      </c>
      <c r="Q13" s="251">
        <f>N90</f>
        <v>5630750</v>
      </c>
      <c r="R13" s="251">
        <f t="shared" si="11"/>
        <v>5630750</v>
      </c>
    </row>
    <row r="14">
      <c r="A14" s="45">
        <v>45943.0</v>
      </c>
      <c r="B14" s="46" t="s">
        <v>12</v>
      </c>
      <c r="C14" s="37">
        <v>155057.0</v>
      </c>
      <c r="D14" s="37">
        <v>155375.0</v>
      </c>
      <c r="E14" s="12">
        <f t="shared" si="13"/>
        <v>318</v>
      </c>
      <c r="F14" s="47">
        <v>42.0</v>
      </c>
      <c r="G14" s="14">
        <f t="shared" si="14"/>
        <v>13.20754717</v>
      </c>
      <c r="H14" s="37"/>
      <c r="I14" s="40">
        <v>26060.0</v>
      </c>
      <c r="J14" s="37">
        <f t="shared" si="15"/>
        <v>26060</v>
      </c>
      <c r="K14" s="52">
        <f t="shared" si="16"/>
        <v>42</v>
      </c>
      <c r="L14" s="48">
        <f t="shared" si="17"/>
        <v>0.1611665388</v>
      </c>
      <c r="M14" s="50">
        <v>18600.0</v>
      </c>
      <c r="N14" s="49">
        <f t="shared" si="18"/>
        <v>781200</v>
      </c>
      <c r="O14" s="80">
        <f t="shared" si="12"/>
        <v>10</v>
      </c>
      <c r="P14" s="197" t="s">
        <v>23</v>
      </c>
      <c r="Q14" s="251">
        <f>N97</f>
        <v>6386070</v>
      </c>
      <c r="R14" s="251">
        <f t="shared" si="11"/>
        <v>6386070</v>
      </c>
    </row>
    <row r="15">
      <c r="A15" s="45">
        <v>45946.0</v>
      </c>
      <c r="B15" s="51" t="s">
        <v>12</v>
      </c>
      <c r="C15" s="52">
        <v>155375.0</v>
      </c>
      <c r="D15" s="52">
        <v>155690.0</v>
      </c>
      <c r="E15" s="53">
        <f t="shared" si="13"/>
        <v>315</v>
      </c>
      <c r="F15" s="54">
        <v>42.0</v>
      </c>
      <c r="G15" s="14">
        <f t="shared" si="14"/>
        <v>13.33333333</v>
      </c>
      <c r="H15" s="37">
        <v>26060.0</v>
      </c>
      <c r="I15" s="40">
        <v>26410.0</v>
      </c>
      <c r="J15" s="37">
        <f t="shared" si="15"/>
        <v>350</v>
      </c>
      <c r="K15" s="52">
        <f t="shared" si="16"/>
        <v>42</v>
      </c>
      <c r="L15" s="48">
        <f t="shared" si="17"/>
        <v>12</v>
      </c>
      <c r="M15" s="50">
        <v>18420.0</v>
      </c>
      <c r="N15" s="49">
        <f t="shared" si="18"/>
        <v>773640</v>
      </c>
      <c r="O15" s="80">
        <f t="shared" si="12"/>
        <v>11</v>
      </c>
      <c r="P15" s="276" t="s">
        <v>24</v>
      </c>
      <c r="Q15" s="251">
        <f>N105</f>
        <v>5796080</v>
      </c>
      <c r="R15" s="251">
        <f t="shared" si="11"/>
        <v>5796080</v>
      </c>
    </row>
    <row r="16">
      <c r="A16" s="45">
        <v>45951.0</v>
      </c>
      <c r="B16" s="46" t="s">
        <v>12</v>
      </c>
      <c r="C16" s="52">
        <v>155690.0</v>
      </c>
      <c r="D16" s="37">
        <v>156008.0</v>
      </c>
      <c r="E16" s="12">
        <f t="shared" si="13"/>
        <v>318</v>
      </c>
      <c r="F16" s="47">
        <v>48.0</v>
      </c>
      <c r="G16" s="14">
        <f t="shared" si="14"/>
        <v>15.09433962</v>
      </c>
      <c r="H16" s="40">
        <v>26410.0</v>
      </c>
      <c r="I16" s="40">
        <v>22263.0</v>
      </c>
      <c r="J16" s="37">
        <f t="shared" si="15"/>
        <v>-4147</v>
      </c>
      <c r="K16" s="52">
        <f t="shared" si="16"/>
        <v>48</v>
      </c>
      <c r="L16" s="48">
        <f t="shared" si="17"/>
        <v>-1.157463226</v>
      </c>
      <c r="M16" s="50">
        <v>18420.0</v>
      </c>
      <c r="N16" s="49">
        <f t="shared" si="18"/>
        <v>884160</v>
      </c>
      <c r="O16" s="80">
        <f t="shared" si="12"/>
        <v>12</v>
      </c>
      <c r="P16" s="197" t="s">
        <v>25</v>
      </c>
      <c r="Q16" s="251">
        <f>N105</f>
        <v>5796080</v>
      </c>
      <c r="R16" s="251">
        <f>N113</f>
        <v>5248350</v>
      </c>
    </row>
    <row r="17">
      <c r="A17" s="45">
        <v>45955.0</v>
      </c>
      <c r="B17" s="46" t="s">
        <v>12</v>
      </c>
      <c r="C17" s="37">
        <v>156008.0</v>
      </c>
      <c r="D17" s="37">
        <v>156415.0</v>
      </c>
      <c r="E17" s="12">
        <f t="shared" si="13"/>
        <v>407</v>
      </c>
      <c r="F17" s="47">
        <v>52.0</v>
      </c>
      <c r="G17" s="14">
        <f t="shared" si="14"/>
        <v>12.77641278</v>
      </c>
      <c r="H17" s="37">
        <v>22263.0</v>
      </c>
      <c r="I17" s="40">
        <v>22670.0</v>
      </c>
      <c r="J17" s="37">
        <f t="shared" si="15"/>
        <v>407</v>
      </c>
      <c r="K17" s="52">
        <f t="shared" si="16"/>
        <v>52</v>
      </c>
      <c r="L17" s="48">
        <f t="shared" si="17"/>
        <v>12.77641278</v>
      </c>
      <c r="M17" s="50">
        <v>17880.0</v>
      </c>
      <c r="N17" s="49">
        <f t="shared" si="18"/>
        <v>929760</v>
      </c>
      <c r="O17" s="80">
        <f t="shared" si="12"/>
        <v>13</v>
      </c>
      <c r="P17" s="276" t="s">
        <v>26</v>
      </c>
      <c r="Q17" s="251">
        <f>N121</f>
        <v>4897620</v>
      </c>
      <c r="R17" s="251">
        <f t="shared" ref="R17:R27" si="19">Q17</f>
        <v>4897620</v>
      </c>
    </row>
    <row r="18">
      <c r="A18" s="94"/>
      <c r="B18" s="267"/>
      <c r="C18" s="55"/>
      <c r="D18" s="95"/>
      <c r="E18" s="25">
        <f t="shared" si="13"/>
        <v>0</v>
      </c>
      <c r="F18" s="47"/>
      <c r="G18" s="56" t="str">
        <f t="shared" si="14"/>
        <v>#DIV/0!</v>
      </c>
      <c r="H18" s="55"/>
      <c r="I18" s="85"/>
      <c r="J18" s="55">
        <f t="shared" si="15"/>
        <v>0</v>
      </c>
      <c r="K18" s="52" t="str">
        <f t="shared" si="16"/>
        <v/>
      </c>
      <c r="L18" s="48" t="str">
        <f t="shared" si="17"/>
        <v>#DIV/0!</v>
      </c>
      <c r="M18" s="96"/>
      <c r="N18" s="59">
        <f t="shared" si="18"/>
        <v>0</v>
      </c>
      <c r="O18" s="80">
        <f t="shared" si="12"/>
        <v>14</v>
      </c>
      <c r="P18" s="197" t="s">
        <v>27</v>
      </c>
      <c r="Q18" s="251">
        <f>N130</f>
        <v>9055850</v>
      </c>
      <c r="R18" s="251">
        <f t="shared" si="19"/>
        <v>9055850</v>
      </c>
    </row>
    <row r="19">
      <c r="A19" s="62"/>
      <c r="B19" s="63"/>
      <c r="C19" s="62"/>
      <c r="D19" s="64" t="s">
        <v>19</v>
      </c>
      <c r="E19" s="64">
        <f>sum(E12:E18)</f>
        <v>2064</v>
      </c>
      <c r="F19" s="64">
        <f>sum(F11:F18)</f>
        <v>622</v>
      </c>
      <c r="G19" s="65" t="str">
        <f>average(G12:G18)</f>
        <v>#DIV/0!</v>
      </c>
      <c r="H19" s="62"/>
      <c r="I19" s="66"/>
      <c r="J19" s="64">
        <f t="shared" ref="J19:K19" si="20">sum(J12:J18)</f>
        <v>22670</v>
      </c>
      <c r="K19" s="64">
        <f t="shared" si="20"/>
        <v>278</v>
      </c>
      <c r="L19" s="65" t="str">
        <f>average(L12:L18)</f>
        <v>#DIV/0!</v>
      </c>
      <c r="M19" s="68"/>
      <c r="N19" s="69">
        <f>sum(N12:N18)</f>
        <v>5157580</v>
      </c>
      <c r="O19" s="80">
        <f t="shared" si="12"/>
        <v>15</v>
      </c>
      <c r="P19" s="197" t="s">
        <v>80</v>
      </c>
      <c r="Q19" s="251">
        <f>N139</f>
        <v>7719600</v>
      </c>
      <c r="R19" s="251">
        <f t="shared" si="19"/>
        <v>7719600</v>
      </c>
    </row>
    <row r="20">
      <c r="A20" s="70">
        <v>45939.0</v>
      </c>
      <c r="B20" s="36" t="s">
        <v>13</v>
      </c>
      <c r="C20" s="37">
        <v>172413.0</v>
      </c>
      <c r="D20" s="41">
        <v>172646.0</v>
      </c>
      <c r="E20" s="38">
        <f t="shared" ref="E20:E27" si="21">D20-C20</f>
        <v>233</v>
      </c>
      <c r="F20" s="39">
        <v>41.0</v>
      </c>
      <c r="G20" s="14">
        <f t="shared" ref="G20:G27" si="22">(F20/E20)*100</f>
        <v>17.59656652</v>
      </c>
      <c r="H20" s="275"/>
      <c r="I20" s="81">
        <v>25600.0</v>
      </c>
      <c r="J20" s="41">
        <f t="shared" ref="J20:J27" si="23">I20-H20</f>
        <v>25600</v>
      </c>
      <c r="K20" s="81">
        <f t="shared" ref="K20:K27" si="24">F20</f>
        <v>41</v>
      </c>
      <c r="L20" s="71">
        <f t="shared" ref="L20:L27" si="25">(K20/J20)*100</f>
        <v>0.16015625</v>
      </c>
      <c r="M20" s="72">
        <v>18600.0</v>
      </c>
      <c r="N20" s="44">
        <f t="shared" ref="N20:N27" si="26">F20*M20</f>
        <v>762600</v>
      </c>
      <c r="O20" s="80">
        <f t="shared" si="12"/>
        <v>16</v>
      </c>
      <c r="P20" s="197" t="s">
        <v>29</v>
      </c>
      <c r="Q20" s="251">
        <f>N148</f>
        <v>4621800</v>
      </c>
      <c r="R20" s="251">
        <f t="shared" si="19"/>
        <v>4621800</v>
      </c>
    </row>
    <row r="21">
      <c r="A21" s="285">
        <v>45948.0</v>
      </c>
      <c r="B21" s="46" t="s">
        <v>13</v>
      </c>
      <c r="C21" s="37">
        <v>172646.0</v>
      </c>
      <c r="D21" s="37">
        <v>172955.0</v>
      </c>
      <c r="E21" s="12">
        <f t="shared" si="21"/>
        <v>309</v>
      </c>
      <c r="F21" s="39">
        <v>45.0</v>
      </c>
      <c r="G21" s="14">
        <f t="shared" si="22"/>
        <v>14.5631068</v>
      </c>
      <c r="H21" s="37">
        <v>25600.0</v>
      </c>
      <c r="I21" s="40">
        <v>26048.0</v>
      </c>
      <c r="J21" s="37">
        <f t="shared" si="23"/>
        <v>448</v>
      </c>
      <c r="K21" s="52">
        <f t="shared" si="24"/>
        <v>45</v>
      </c>
      <c r="L21" s="48">
        <f t="shared" si="25"/>
        <v>10.04464286</v>
      </c>
      <c r="M21" s="72">
        <v>18420.0</v>
      </c>
      <c r="N21" s="49">
        <f t="shared" si="26"/>
        <v>828900</v>
      </c>
      <c r="O21" s="80">
        <f t="shared" si="12"/>
        <v>17</v>
      </c>
      <c r="P21" s="197" t="s">
        <v>30</v>
      </c>
      <c r="Q21" s="251">
        <f>N157</f>
        <v>5671710</v>
      </c>
      <c r="R21" s="251">
        <f t="shared" si="19"/>
        <v>5671710</v>
      </c>
    </row>
    <row r="22">
      <c r="A22" s="35">
        <v>45953.0</v>
      </c>
      <c r="B22" s="46" t="s">
        <v>13</v>
      </c>
      <c r="C22" s="37">
        <v>172955.0</v>
      </c>
      <c r="D22" s="37">
        <v>173274.0</v>
      </c>
      <c r="E22" s="12">
        <f t="shared" si="21"/>
        <v>319</v>
      </c>
      <c r="F22" s="47">
        <v>46.0</v>
      </c>
      <c r="G22" s="14">
        <f t="shared" si="22"/>
        <v>14.4200627</v>
      </c>
      <c r="H22" s="40">
        <v>26048.0</v>
      </c>
      <c r="I22" s="40">
        <v>23497.0</v>
      </c>
      <c r="J22" s="37">
        <f t="shared" si="23"/>
        <v>-2551</v>
      </c>
      <c r="K22" s="52">
        <f t="shared" si="24"/>
        <v>46</v>
      </c>
      <c r="L22" s="48">
        <f t="shared" si="25"/>
        <v>-1.803214426</v>
      </c>
      <c r="M22" s="50">
        <v>18420.0</v>
      </c>
      <c r="N22" s="49">
        <f t="shared" si="26"/>
        <v>847320</v>
      </c>
      <c r="O22" s="80">
        <f t="shared" si="12"/>
        <v>18</v>
      </c>
      <c r="P22" s="197" t="s">
        <v>83</v>
      </c>
      <c r="Q22" s="251">
        <f>N166</f>
        <v>0</v>
      </c>
      <c r="R22" s="251">
        <f t="shared" si="19"/>
        <v>0</v>
      </c>
    </row>
    <row r="23">
      <c r="A23" s="35">
        <v>45957.0</v>
      </c>
      <c r="B23" s="46" t="s">
        <v>13</v>
      </c>
      <c r="C23" s="37">
        <v>173274.0</v>
      </c>
      <c r="D23" s="37">
        <v>173560.0</v>
      </c>
      <c r="E23" s="12">
        <f t="shared" si="21"/>
        <v>286</v>
      </c>
      <c r="F23" s="47">
        <v>43.0</v>
      </c>
      <c r="G23" s="14">
        <f t="shared" si="22"/>
        <v>15.03496503</v>
      </c>
      <c r="H23" s="37"/>
      <c r="I23" s="40"/>
      <c r="J23" s="37">
        <f t="shared" si="23"/>
        <v>0</v>
      </c>
      <c r="K23" s="52">
        <f t="shared" si="24"/>
        <v>43</v>
      </c>
      <c r="L23" s="48" t="str">
        <f t="shared" si="25"/>
        <v>#DIV/0!</v>
      </c>
      <c r="M23" s="50">
        <v>17880.0</v>
      </c>
      <c r="N23" s="49">
        <f t="shared" si="26"/>
        <v>768840</v>
      </c>
      <c r="O23" s="80">
        <f t="shared" si="12"/>
        <v>19</v>
      </c>
      <c r="P23" s="197" t="s">
        <v>32</v>
      </c>
      <c r="Q23" s="251">
        <f>N175</f>
        <v>11319670</v>
      </c>
      <c r="R23" s="251">
        <f t="shared" si="19"/>
        <v>11319670</v>
      </c>
    </row>
    <row r="24">
      <c r="A24" s="35">
        <v>45960.0</v>
      </c>
      <c r="B24" s="46" t="s">
        <v>13</v>
      </c>
      <c r="C24" s="37">
        <v>173560.0</v>
      </c>
      <c r="D24" s="37">
        <v>173904.0</v>
      </c>
      <c r="E24" s="12">
        <f t="shared" si="21"/>
        <v>344</v>
      </c>
      <c r="F24" s="47">
        <v>50.0</v>
      </c>
      <c r="G24" s="14">
        <f t="shared" si="22"/>
        <v>14.53488372</v>
      </c>
      <c r="H24" s="37"/>
      <c r="I24" s="40"/>
      <c r="J24" s="37">
        <f t="shared" si="23"/>
        <v>0</v>
      </c>
      <c r="K24" s="52">
        <f t="shared" si="24"/>
        <v>50</v>
      </c>
      <c r="L24" s="48" t="str">
        <f t="shared" si="25"/>
        <v>#DIV/0!</v>
      </c>
      <c r="M24" s="50">
        <v>17880.0</v>
      </c>
      <c r="N24" s="49">
        <f t="shared" si="26"/>
        <v>894000</v>
      </c>
      <c r="O24" s="80">
        <f t="shared" si="12"/>
        <v>20</v>
      </c>
      <c r="R24" s="80" t="str">
        <f t="shared" si="19"/>
        <v/>
      </c>
    </row>
    <row r="25">
      <c r="A25" s="35"/>
      <c r="B25" s="46" t="s">
        <v>13</v>
      </c>
      <c r="C25" s="37"/>
      <c r="D25" s="37"/>
      <c r="E25" s="12">
        <f t="shared" si="21"/>
        <v>0</v>
      </c>
      <c r="F25" s="47"/>
      <c r="G25" s="14" t="str">
        <f t="shared" si="22"/>
        <v>#DIV/0!</v>
      </c>
      <c r="H25" s="37"/>
      <c r="I25" s="40"/>
      <c r="J25" s="37">
        <f t="shared" si="23"/>
        <v>0</v>
      </c>
      <c r="K25" s="52" t="str">
        <f t="shared" si="24"/>
        <v/>
      </c>
      <c r="L25" s="48" t="str">
        <f t="shared" si="25"/>
        <v>#DIV/0!</v>
      </c>
      <c r="M25" s="50"/>
      <c r="N25" s="49">
        <f t="shared" si="26"/>
        <v>0</v>
      </c>
      <c r="O25" s="80">
        <f t="shared" si="12"/>
        <v>21</v>
      </c>
      <c r="R25" s="80" t="str">
        <f t="shared" si="19"/>
        <v/>
      </c>
    </row>
    <row r="26">
      <c r="A26" s="35"/>
      <c r="B26" s="46" t="s">
        <v>13</v>
      </c>
      <c r="C26" s="37"/>
      <c r="D26" s="37"/>
      <c r="E26" s="12">
        <f t="shared" si="21"/>
        <v>0</v>
      </c>
      <c r="F26" s="47"/>
      <c r="G26" s="14" t="str">
        <f t="shared" si="22"/>
        <v>#DIV/0!</v>
      </c>
      <c r="H26" s="37"/>
      <c r="I26" s="40"/>
      <c r="J26" s="37">
        <f t="shared" si="23"/>
        <v>0</v>
      </c>
      <c r="K26" s="52" t="str">
        <f t="shared" si="24"/>
        <v/>
      </c>
      <c r="L26" s="48" t="str">
        <f t="shared" si="25"/>
        <v>#DIV/0!</v>
      </c>
      <c r="M26" s="50"/>
      <c r="N26" s="49">
        <f t="shared" si="26"/>
        <v>0</v>
      </c>
      <c r="O26" s="80">
        <f t="shared" si="12"/>
        <v>22</v>
      </c>
      <c r="R26" s="80" t="str">
        <f t="shared" si="19"/>
        <v/>
      </c>
    </row>
    <row r="27">
      <c r="A27" s="74"/>
      <c r="B27" s="46" t="s">
        <v>13</v>
      </c>
      <c r="C27" s="75"/>
      <c r="D27" s="75"/>
      <c r="E27" s="25">
        <f t="shared" si="21"/>
        <v>0</v>
      </c>
      <c r="F27" s="47"/>
      <c r="G27" s="56" t="str">
        <f t="shared" si="22"/>
        <v>#DIV/0!</v>
      </c>
      <c r="H27" s="75"/>
      <c r="I27" s="277"/>
      <c r="J27" s="55">
        <f t="shared" si="23"/>
        <v>0</v>
      </c>
      <c r="K27" s="52" t="str">
        <f t="shared" si="24"/>
        <v/>
      </c>
      <c r="L27" s="77" t="str">
        <f t="shared" si="25"/>
        <v>#DIV/0!</v>
      </c>
      <c r="M27" s="78"/>
      <c r="N27" s="59">
        <f t="shared" si="26"/>
        <v>0</v>
      </c>
      <c r="O27" s="80">
        <f t="shared" si="12"/>
        <v>23</v>
      </c>
      <c r="R27" s="80" t="str">
        <f t="shared" si="19"/>
        <v/>
      </c>
    </row>
    <row r="28">
      <c r="A28" s="62"/>
      <c r="B28" s="63"/>
      <c r="C28" s="62"/>
      <c r="D28" s="64" t="s">
        <v>19</v>
      </c>
      <c r="E28" s="64">
        <f>sum(E20:E26)</f>
        <v>1491</v>
      </c>
      <c r="F28" s="64">
        <f>sum(F20:F27)</f>
        <v>225</v>
      </c>
      <c r="G28" s="65" t="str">
        <f>average(G20:G26)</f>
        <v>#DIV/0!</v>
      </c>
      <c r="H28" s="62"/>
      <c r="I28" s="66"/>
      <c r="J28" s="64">
        <f t="shared" ref="J28:K28" si="27">sum(J20:J26)</f>
        <v>23497</v>
      </c>
      <c r="K28" s="64">
        <f t="shared" si="27"/>
        <v>225</v>
      </c>
      <c r="L28" s="65" t="str">
        <f>average(L20:L26)</f>
        <v>#DIV/0!</v>
      </c>
      <c r="M28" s="68"/>
      <c r="N28" s="69">
        <f>sum(N20:N27)</f>
        <v>4101660</v>
      </c>
      <c r="R28" s="251"/>
    </row>
    <row r="29">
      <c r="A29" s="70">
        <v>45933.0</v>
      </c>
      <c r="B29" s="36" t="s">
        <v>14</v>
      </c>
      <c r="C29" s="37">
        <v>175068.0</v>
      </c>
      <c r="D29" s="41">
        <v>175470.0</v>
      </c>
      <c r="E29" s="38">
        <f t="shared" ref="E29:E30" si="28">D29-C29</f>
        <v>402</v>
      </c>
      <c r="F29" s="39">
        <v>50.0</v>
      </c>
      <c r="G29" s="14">
        <f t="shared" ref="G29:G35" si="29">(F29/E29)*100</f>
        <v>12.43781095</v>
      </c>
      <c r="H29" s="137"/>
      <c r="I29" s="275"/>
      <c r="J29" s="41">
        <f t="shared" ref="J29:J35" si="30">I29-H29</f>
        <v>0</v>
      </c>
      <c r="K29" s="81">
        <f t="shared" ref="K29:K30" si="31">F29</f>
        <v>50</v>
      </c>
      <c r="L29" s="71" t="str">
        <f t="shared" ref="L29:L35" si="32">(K29/J29)*100</f>
        <v>#DIV/0!</v>
      </c>
      <c r="M29" s="72">
        <v>19030.0</v>
      </c>
      <c r="N29" s="44">
        <f t="shared" ref="N29:N30" si="33">F29*M29</f>
        <v>951500</v>
      </c>
      <c r="R29" s="80" t="str">
        <f t="shared" ref="R29:R42" si="34">Q29</f>
        <v/>
      </c>
    </row>
    <row r="30">
      <c r="A30" s="35">
        <v>45939.0</v>
      </c>
      <c r="B30" s="46" t="s">
        <v>14</v>
      </c>
      <c r="C30" s="41">
        <v>175470.0</v>
      </c>
      <c r="D30" s="37">
        <v>175887.0</v>
      </c>
      <c r="E30" s="12">
        <f t="shared" si="28"/>
        <v>417</v>
      </c>
      <c r="F30" s="47">
        <v>50.0</v>
      </c>
      <c r="G30" s="14">
        <f t="shared" si="29"/>
        <v>11.99040767</v>
      </c>
      <c r="H30" s="37"/>
      <c r="I30" s="40"/>
      <c r="J30" s="37">
        <f t="shared" si="30"/>
        <v>0</v>
      </c>
      <c r="K30" s="52">
        <f t="shared" si="31"/>
        <v>50</v>
      </c>
      <c r="L30" s="48" t="str">
        <f t="shared" si="32"/>
        <v>#DIV/0!</v>
      </c>
      <c r="M30" s="72">
        <v>19030.0</v>
      </c>
      <c r="N30" s="49">
        <f t="shared" si="33"/>
        <v>951500</v>
      </c>
      <c r="R30" s="80" t="str">
        <f t="shared" si="34"/>
        <v/>
      </c>
    </row>
    <row r="31">
      <c r="A31" s="35"/>
      <c r="B31" s="36" t="s">
        <v>14</v>
      </c>
      <c r="C31" s="37"/>
      <c r="D31" s="37"/>
      <c r="E31" s="12"/>
      <c r="F31" s="47"/>
      <c r="G31" s="14" t="str">
        <f t="shared" si="29"/>
        <v>#DIV/0!</v>
      </c>
      <c r="H31" s="40"/>
      <c r="I31" s="40"/>
      <c r="J31" s="37">
        <f t="shared" si="30"/>
        <v>0</v>
      </c>
      <c r="K31" s="52">
        <v>1.0</v>
      </c>
      <c r="L31" s="48" t="str">
        <f t="shared" si="32"/>
        <v>#DIV/0!</v>
      </c>
      <c r="M31" s="265"/>
      <c r="N31" s="286">
        <v>60000.0</v>
      </c>
      <c r="O31" s="197" t="s">
        <v>84</v>
      </c>
      <c r="R31" s="80" t="str">
        <f t="shared" si="34"/>
        <v/>
      </c>
    </row>
    <row r="32">
      <c r="A32" s="35">
        <v>45946.0</v>
      </c>
      <c r="B32" s="46" t="s">
        <v>14</v>
      </c>
      <c r="C32" s="37">
        <v>175887.0</v>
      </c>
      <c r="D32" s="37">
        <v>176266.0</v>
      </c>
      <c r="E32" s="12">
        <f t="shared" ref="E32:E34" si="35">D32-C32</f>
        <v>379</v>
      </c>
      <c r="F32" s="47">
        <v>40.0</v>
      </c>
      <c r="G32" s="14">
        <f t="shared" si="29"/>
        <v>10.55408971</v>
      </c>
      <c r="H32" s="40">
        <v>20070.0</v>
      </c>
      <c r="I32" s="40"/>
      <c r="J32" s="37">
        <f t="shared" si="30"/>
        <v>-20070</v>
      </c>
      <c r="K32" s="52">
        <f t="shared" ref="K32:K35" si="36">F32</f>
        <v>40</v>
      </c>
      <c r="L32" s="48">
        <f t="shared" si="32"/>
        <v>-0.1993024415</v>
      </c>
      <c r="M32" s="50">
        <v>18420.0</v>
      </c>
      <c r="N32" s="49">
        <f t="shared" ref="N32:N35" si="37">F32*M32</f>
        <v>736800</v>
      </c>
      <c r="R32" s="80" t="str">
        <f t="shared" si="34"/>
        <v/>
      </c>
    </row>
    <row r="33">
      <c r="A33" s="35">
        <v>45951.0</v>
      </c>
      <c r="B33" s="46" t="s">
        <v>14</v>
      </c>
      <c r="C33" s="37">
        <v>176266.0</v>
      </c>
      <c r="D33" s="37">
        <v>176629.0</v>
      </c>
      <c r="E33" s="12">
        <f t="shared" si="35"/>
        <v>363</v>
      </c>
      <c r="F33" s="47">
        <v>50.0</v>
      </c>
      <c r="G33" s="14">
        <f t="shared" si="29"/>
        <v>13.77410468</v>
      </c>
      <c r="H33" s="37"/>
      <c r="I33" s="40">
        <v>16220.0</v>
      </c>
      <c r="J33" s="37">
        <f t="shared" si="30"/>
        <v>16220</v>
      </c>
      <c r="K33" s="52">
        <f t="shared" si="36"/>
        <v>50</v>
      </c>
      <c r="L33" s="48">
        <f t="shared" si="32"/>
        <v>0.3082614057</v>
      </c>
      <c r="M33" s="50">
        <v>18420.0</v>
      </c>
      <c r="N33" s="49">
        <f t="shared" si="37"/>
        <v>921000</v>
      </c>
      <c r="R33" s="80" t="str">
        <f t="shared" si="34"/>
        <v/>
      </c>
    </row>
    <row r="34">
      <c r="A34" s="35">
        <v>45958.0</v>
      </c>
      <c r="B34" s="46" t="s">
        <v>14</v>
      </c>
      <c r="C34" s="37">
        <v>176629.0</v>
      </c>
      <c r="D34" s="37">
        <v>176982.0</v>
      </c>
      <c r="E34" s="12">
        <f t="shared" si="35"/>
        <v>353</v>
      </c>
      <c r="F34" s="47">
        <v>45.0</v>
      </c>
      <c r="G34" s="14">
        <f t="shared" si="29"/>
        <v>12.74787535</v>
      </c>
      <c r="H34" s="37"/>
      <c r="I34" s="40"/>
      <c r="J34" s="37">
        <f t="shared" si="30"/>
        <v>0</v>
      </c>
      <c r="K34" s="52">
        <f t="shared" si="36"/>
        <v>45</v>
      </c>
      <c r="L34" s="48" t="str">
        <f t="shared" si="32"/>
        <v>#DIV/0!</v>
      </c>
      <c r="M34" s="50">
        <v>17880.0</v>
      </c>
      <c r="N34" s="49">
        <f t="shared" si="37"/>
        <v>804600</v>
      </c>
      <c r="R34" s="80" t="str">
        <f t="shared" si="34"/>
        <v/>
      </c>
    </row>
    <row r="35">
      <c r="A35" s="266"/>
      <c r="B35" s="267"/>
      <c r="C35" s="55"/>
      <c r="D35" s="95"/>
      <c r="E35" s="25"/>
      <c r="F35" s="47"/>
      <c r="G35" s="56" t="str">
        <f t="shared" si="29"/>
        <v>#DIV/0!</v>
      </c>
      <c r="H35" s="55"/>
      <c r="I35" s="85"/>
      <c r="J35" s="55">
        <f t="shared" si="30"/>
        <v>0</v>
      </c>
      <c r="K35" s="52" t="str">
        <f t="shared" si="36"/>
        <v/>
      </c>
      <c r="L35" s="77" t="str">
        <f t="shared" si="32"/>
        <v>#DIV/0!</v>
      </c>
      <c r="M35" s="50"/>
      <c r="N35" s="59">
        <f t="shared" si="37"/>
        <v>0</v>
      </c>
      <c r="R35" s="80" t="str">
        <f t="shared" si="34"/>
        <v/>
      </c>
    </row>
    <row r="36">
      <c r="A36" s="62"/>
      <c r="B36" s="63"/>
      <c r="C36" s="62"/>
      <c r="D36" s="64" t="s">
        <v>19</v>
      </c>
      <c r="E36" s="64">
        <f>sum(E29:E35)</f>
        <v>1914</v>
      </c>
      <c r="F36" s="39"/>
      <c r="G36" s="65" t="str">
        <f>average(G29:G35)</f>
        <v>#DIV/0!</v>
      </c>
      <c r="H36" s="62"/>
      <c r="I36" s="66"/>
      <c r="J36" s="64">
        <f t="shared" ref="J36:K36" si="38">sum(J29:J35)</f>
        <v>-3850</v>
      </c>
      <c r="K36" s="64">
        <f t="shared" si="38"/>
        <v>236</v>
      </c>
      <c r="L36" s="65" t="str">
        <f>average(L29:L35)</f>
        <v>#DIV/0!</v>
      </c>
      <c r="M36" s="68"/>
      <c r="N36" s="69">
        <f>sum(N29:N35)</f>
        <v>4425400</v>
      </c>
      <c r="R36" s="80" t="str">
        <f t="shared" si="34"/>
        <v/>
      </c>
    </row>
    <row r="37">
      <c r="A37" s="70">
        <v>45933.0</v>
      </c>
      <c r="B37" s="36" t="s">
        <v>15</v>
      </c>
      <c r="C37" s="37">
        <v>161012.0</v>
      </c>
      <c r="D37" s="41">
        <v>161359.0</v>
      </c>
      <c r="E37" s="38">
        <f t="shared" ref="E37:E44" si="39">D37-C37</f>
        <v>347</v>
      </c>
      <c r="F37" s="39">
        <v>42.0</v>
      </c>
      <c r="G37" s="14">
        <f t="shared" ref="G37:G44" si="40">(F37/E37)*100</f>
        <v>12.1037464</v>
      </c>
      <c r="H37" s="89"/>
      <c r="I37" s="271"/>
      <c r="J37" s="41">
        <f t="shared" ref="J37:J42" si="41">I37-H37</f>
        <v>0</v>
      </c>
      <c r="K37" s="81">
        <f t="shared" ref="K37:K44" si="42">F37</f>
        <v>42</v>
      </c>
      <c r="L37" s="71" t="str">
        <f t="shared" ref="L37:L44" si="43">(K37/J37)*100</f>
        <v>#DIV/0!</v>
      </c>
      <c r="M37" s="72">
        <v>19030.0</v>
      </c>
      <c r="N37" s="44">
        <f t="shared" ref="N37:N44" si="44">F37*M37</f>
        <v>799260</v>
      </c>
      <c r="R37" s="80" t="str">
        <f t="shared" si="34"/>
        <v/>
      </c>
    </row>
    <row r="38">
      <c r="A38" s="35">
        <v>45938.0</v>
      </c>
      <c r="B38" s="46" t="s">
        <v>15</v>
      </c>
      <c r="C38" s="41">
        <v>161359.0</v>
      </c>
      <c r="D38" s="37">
        <v>161742.0</v>
      </c>
      <c r="E38" s="12">
        <f t="shared" si="39"/>
        <v>383</v>
      </c>
      <c r="F38" s="47">
        <v>40.0</v>
      </c>
      <c r="G38" s="14">
        <f t="shared" si="40"/>
        <v>10.44386423</v>
      </c>
      <c r="H38" s="40"/>
      <c r="I38" s="40"/>
      <c r="J38" s="37">
        <f t="shared" si="41"/>
        <v>0</v>
      </c>
      <c r="K38" s="52">
        <f t="shared" si="42"/>
        <v>40</v>
      </c>
      <c r="L38" s="48" t="str">
        <f t="shared" si="43"/>
        <v>#DIV/0!</v>
      </c>
      <c r="M38" s="50">
        <v>19030.0</v>
      </c>
      <c r="N38" s="49">
        <f t="shared" si="44"/>
        <v>761200</v>
      </c>
      <c r="P38" s="82"/>
      <c r="R38" s="80" t="str">
        <f t="shared" si="34"/>
        <v/>
      </c>
    </row>
    <row r="39">
      <c r="A39" s="35">
        <v>45943.0</v>
      </c>
      <c r="B39" s="46" t="s">
        <v>15</v>
      </c>
      <c r="C39" s="37">
        <v>161742.0</v>
      </c>
      <c r="D39" s="37">
        <v>162031.0</v>
      </c>
      <c r="E39" s="12">
        <f t="shared" si="39"/>
        <v>289</v>
      </c>
      <c r="F39" s="47">
        <v>39.0</v>
      </c>
      <c r="G39" s="14">
        <f t="shared" si="40"/>
        <v>13.49480969</v>
      </c>
      <c r="H39" s="37"/>
      <c r="I39" s="40">
        <v>26921.0</v>
      </c>
      <c r="J39" s="37">
        <f t="shared" si="41"/>
        <v>26921</v>
      </c>
      <c r="K39" s="52">
        <f t="shared" si="42"/>
        <v>39</v>
      </c>
      <c r="L39" s="48">
        <f t="shared" si="43"/>
        <v>0.1448683184</v>
      </c>
      <c r="M39" s="50">
        <v>18600.0</v>
      </c>
      <c r="N39" s="49">
        <f t="shared" si="44"/>
        <v>725400</v>
      </c>
      <c r="R39" s="80" t="str">
        <f t="shared" si="34"/>
        <v/>
      </c>
    </row>
    <row r="40">
      <c r="A40" s="35">
        <v>45945.0</v>
      </c>
      <c r="B40" s="46" t="s">
        <v>15</v>
      </c>
      <c r="C40" s="37">
        <v>162031.0</v>
      </c>
      <c r="D40" s="37">
        <v>162355.0</v>
      </c>
      <c r="E40" s="12">
        <f t="shared" si="39"/>
        <v>324</v>
      </c>
      <c r="F40" s="47">
        <v>39.0</v>
      </c>
      <c r="G40" s="14">
        <f t="shared" si="40"/>
        <v>12.03703704</v>
      </c>
      <c r="H40" s="37">
        <v>26921.0</v>
      </c>
      <c r="I40" s="40">
        <v>27180.0</v>
      </c>
      <c r="J40" s="37">
        <f t="shared" si="41"/>
        <v>259</v>
      </c>
      <c r="K40" s="52">
        <f t="shared" si="42"/>
        <v>39</v>
      </c>
      <c r="L40" s="48">
        <f t="shared" si="43"/>
        <v>15.05791506</v>
      </c>
      <c r="M40" s="50">
        <v>18600.0</v>
      </c>
      <c r="N40" s="49">
        <f t="shared" si="44"/>
        <v>725400</v>
      </c>
      <c r="R40" s="80" t="str">
        <f t="shared" si="34"/>
        <v/>
      </c>
    </row>
    <row r="41">
      <c r="A41" s="35">
        <v>45951.0</v>
      </c>
      <c r="B41" s="46" t="s">
        <v>15</v>
      </c>
      <c r="C41" s="37">
        <v>162355.0</v>
      </c>
      <c r="D41" s="37">
        <v>162732.0</v>
      </c>
      <c r="E41" s="12">
        <f t="shared" si="39"/>
        <v>377</v>
      </c>
      <c r="F41" s="47">
        <v>42.0</v>
      </c>
      <c r="G41" s="14">
        <f t="shared" si="40"/>
        <v>11.14058355</v>
      </c>
      <c r="H41" s="37">
        <v>27180.0</v>
      </c>
      <c r="I41" s="40">
        <v>27620.0</v>
      </c>
      <c r="J41" s="37">
        <f t="shared" si="41"/>
        <v>440</v>
      </c>
      <c r="K41" s="52">
        <f t="shared" si="42"/>
        <v>42</v>
      </c>
      <c r="L41" s="48">
        <f t="shared" si="43"/>
        <v>9.545454545</v>
      </c>
      <c r="M41" s="50">
        <v>18420.0</v>
      </c>
      <c r="N41" s="49">
        <f t="shared" si="44"/>
        <v>773640</v>
      </c>
      <c r="R41" s="80" t="str">
        <f t="shared" si="34"/>
        <v/>
      </c>
    </row>
    <row r="42">
      <c r="A42" s="35">
        <v>45953.0</v>
      </c>
      <c r="B42" s="46" t="s">
        <v>15</v>
      </c>
      <c r="C42" s="37">
        <v>162732.0</v>
      </c>
      <c r="D42" s="37">
        <v>163092.0</v>
      </c>
      <c r="E42" s="12">
        <f t="shared" si="39"/>
        <v>360</v>
      </c>
      <c r="F42" s="47">
        <v>45.0</v>
      </c>
      <c r="G42" s="14">
        <f t="shared" si="40"/>
        <v>12.5</v>
      </c>
      <c r="H42" s="37"/>
      <c r="I42" s="40">
        <v>23467.0</v>
      </c>
      <c r="J42" s="37">
        <f t="shared" si="41"/>
        <v>23467</v>
      </c>
      <c r="K42" s="52">
        <f t="shared" si="42"/>
        <v>45</v>
      </c>
      <c r="L42" s="48">
        <f t="shared" si="43"/>
        <v>0.1917586398</v>
      </c>
      <c r="M42" s="50">
        <v>18420.0</v>
      </c>
      <c r="N42" s="49">
        <f t="shared" si="44"/>
        <v>828900</v>
      </c>
      <c r="R42" s="80" t="str">
        <f t="shared" si="34"/>
        <v/>
      </c>
    </row>
    <row r="43">
      <c r="A43" s="35">
        <v>45958.0</v>
      </c>
      <c r="B43" s="46" t="s">
        <v>15</v>
      </c>
      <c r="C43" s="37">
        <v>163092.0</v>
      </c>
      <c r="D43" s="37">
        <v>163457.0</v>
      </c>
      <c r="E43" s="12">
        <f t="shared" si="39"/>
        <v>365</v>
      </c>
      <c r="F43" s="47">
        <v>41.0</v>
      </c>
      <c r="G43" s="14">
        <f t="shared" si="40"/>
        <v>11.23287671</v>
      </c>
      <c r="H43" s="37"/>
      <c r="I43" s="93"/>
      <c r="J43" s="37"/>
      <c r="K43" s="52">
        <f t="shared" si="42"/>
        <v>41</v>
      </c>
      <c r="L43" s="48" t="str">
        <f t="shared" si="43"/>
        <v>#DIV/0!</v>
      </c>
      <c r="M43" s="50">
        <v>17880.0</v>
      </c>
      <c r="N43" s="49">
        <f t="shared" si="44"/>
        <v>733080</v>
      </c>
    </row>
    <row r="44">
      <c r="A44" s="35">
        <v>45960.0</v>
      </c>
      <c r="B44" s="83" t="s">
        <v>15</v>
      </c>
      <c r="C44" s="37">
        <v>163457.0</v>
      </c>
      <c r="D44" s="55">
        <v>163749.0</v>
      </c>
      <c r="E44" s="25">
        <f t="shared" si="39"/>
        <v>292</v>
      </c>
      <c r="F44" s="47">
        <v>40.0</v>
      </c>
      <c r="G44" s="56">
        <f t="shared" si="40"/>
        <v>13.69863014</v>
      </c>
      <c r="H44" s="55"/>
      <c r="I44" s="85"/>
      <c r="J44" s="55">
        <f>I44-H44</f>
        <v>0</v>
      </c>
      <c r="K44" s="52">
        <f t="shared" si="42"/>
        <v>40</v>
      </c>
      <c r="L44" s="77" t="str">
        <f t="shared" si="43"/>
        <v>#DIV/0!</v>
      </c>
      <c r="M44" s="50">
        <v>19200.0</v>
      </c>
      <c r="N44" s="59">
        <f t="shared" si="44"/>
        <v>768000</v>
      </c>
      <c r="R44" s="80" t="str">
        <f t="shared" ref="R44:R52" si="47">Q44</f>
        <v/>
      </c>
    </row>
    <row r="45">
      <c r="A45" s="62"/>
      <c r="B45" s="63"/>
      <c r="C45" s="62"/>
      <c r="D45" s="64" t="s">
        <v>19</v>
      </c>
      <c r="E45" s="64">
        <f t="shared" ref="E45:F45" si="45">sum(E37:E44)</f>
        <v>2737</v>
      </c>
      <c r="F45" s="64">
        <f t="shared" si="45"/>
        <v>328</v>
      </c>
      <c r="G45" s="65">
        <f>average(G37:G44)</f>
        <v>12.08144347</v>
      </c>
      <c r="H45" s="62"/>
      <c r="I45" s="66"/>
      <c r="J45" s="64">
        <f t="shared" ref="J45:K45" si="46">sum(J37:J44)</f>
        <v>51087</v>
      </c>
      <c r="K45" s="64">
        <f t="shared" si="46"/>
        <v>328</v>
      </c>
      <c r="L45" s="65" t="str">
        <f>average(L37:L44)</f>
        <v>#DIV/0!</v>
      </c>
      <c r="M45" s="68"/>
      <c r="N45" s="69">
        <f>sum(N37:N44)</f>
        <v>6114880</v>
      </c>
      <c r="R45" s="80" t="str">
        <f t="shared" si="47"/>
        <v/>
      </c>
    </row>
    <row r="46">
      <c r="A46" s="70">
        <v>45931.0</v>
      </c>
      <c r="B46" s="36" t="s">
        <v>16</v>
      </c>
      <c r="C46" s="37">
        <v>138162.0</v>
      </c>
      <c r="D46" s="41">
        <v>138428.0</v>
      </c>
      <c r="E46" s="38">
        <f t="shared" ref="E46:E55" si="48">D46-C46</f>
        <v>266</v>
      </c>
      <c r="F46" s="39">
        <v>32.0</v>
      </c>
      <c r="G46" s="14">
        <f t="shared" ref="G46:G55" si="49">(F46/E46)*100</f>
        <v>12.03007519</v>
      </c>
      <c r="H46" s="137"/>
      <c r="I46" s="275"/>
      <c r="J46" s="41">
        <f t="shared" ref="J46:J51" si="50">I46-H46</f>
        <v>0</v>
      </c>
      <c r="K46" s="81">
        <f t="shared" ref="K46:K55" si="51">F46</f>
        <v>32</v>
      </c>
      <c r="L46" s="71" t="str">
        <f t="shared" ref="L46:L55" si="52">(K46/J46)*100</f>
        <v>#DIV/0!</v>
      </c>
      <c r="M46" s="72">
        <v>18650.0</v>
      </c>
      <c r="N46" s="44">
        <f t="shared" ref="N46:N55" si="53">F46*M46</f>
        <v>596800</v>
      </c>
      <c r="R46" s="80" t="str">
        <f t="shared" si="47"/>
        <v/>
      </c>
    </row>
    <row r="47">
      <c r="A47" s="84">
        <v>45938.0</v>
      </c>
      <c r="B47" s="46" t="s">
        <v>16</v>
      </c>
      <c r="C47" s="41">
        <v>138428.0</v>
      </c>
      <c r="D47" s="37">
        <v>138701.0</v>
      </c>
      <c r="E47" s="12">
        <f t="shared" si="48"/>
        <v>273</v>
      </c>
      <c r="F47" s="47">
        <v>40.0</v>
      </c>
      <c r="G47" s="14">
        <f t="shared" si="49"/>
        <v>14.65201465</v>
      </c>
      <c r="H47" s="37"/>
      <c r="I47" s="40"/>
      <c r="J47" s="37">
        <f t="shared" si="50"/>
        <v>0</v>
      </c>
      <c r="K47" s="52">
        <f t="shared" si="51"/>
        <v>40</v>
      </c>
      <c r="L47" s="48" t="str">
        <f t="shared" si="52"/>
        <v>#DIV/0!</v>
      </c>
      <c r="M47" s="50">
        <v>19030.0</v>
      </c>
      <c r="N47" s="49">
        <f t="shared" si="53"/>
        <v>761200</v>
      </c>
      <c r="R47" s="80" t="str">
        <f t="shared" si="47"/>
        <v/>
      </c>
    </row>
    <row r="48">
      <c r="A48" s="84">
        <v>45940.0</v>
      </c>
      <c r="B48" s="46" t="s">
        <v>16</v>
      </c>
      <c r="C48" s="37">
        <v>138701.0</v>
      </c>
      <c r="D48" s="37">
        <v>138974.0</v>
      </c>
      <c r="E48" s="12">
        <f t="shared" si="48"/>
        <v>273</v>
      </c>
      <c r="F48" s="47">
        <v>40.0</v>
      </c>
      <c r="G48" s="14">
        <f t="shared" si="49"/>
        <v>14.65201465</v>
      </c>
      <c r="H48" s="40"/>
      <c r="I48" s="40">
        <v>27700.0</v>
      </c>
      <c r="J48" s="37">
        <f t="shared" si="50"/>
        <v>27700</v>
      </c>
      <c r="K48" s="52">
        <f t="shared" si="51"/>
        <v>40</v>
      </c>
      <c r="L48" s="48">
        <f t="shared" si="52"/>
        <v>0.1444043321</v>
      </c>
      <c r="M48" s="50">
        <v>18600.0</v>
      </c>
      <c r="N48" s="49">
        <f t="shared" si="53"/>
        <v>744000</v>
      </c>
      <c r="R48" s="80" t="str">
        <f t="shared" si="47"/>
        <v/>
      </c>
    </row>
    <row r="49">
      <c r="A49" s="84">
        <v>45944.0</v>
      </c>
      <c r="B49" s="46" t="s">
        <v>16</v>
      </c>
      <c r="C49" s="37">
        <v>138974.0</v>
      </c>
      <c r="D49" s="37">
        <v>139235.0</v>
      </c>
      <c r="E49" s="12">
        <f t="shared" si="48"/>
        <v>261</v>
      </c>
      <c r="F49" s="47">
        <v>35.0</v>
      </c>
      <c r="G49" s="14">
        <f t="shared" si="49"/>
        <v>13.40996169</v>
      </c>
      <c r="H49" s="40">
        <v>27700.0</v>
      </c>
      <c r="I49" s="40">
        <v>28000.0</v>
      </c>
      <c r="J49" s="37">
        <f t="shared" si="50"/>
        <v>300</v>
      </c>
      <c r="K49" s="52">
        <f t="shared" si="51"/>
        <v>35</v>
      </c>
      <c r="L49" s="48">
        <f t="shared" si="52"/>
        <v>11.66666667</v>
      </c>
      <c r="M49" s="50">
        <v>18600.0</v>
      </c>
      <c r="N49" s="49">
        <f t="shared" si="53"/>
        <v>651000</v>
      </c>
      <c r="P49" s="82"/>
      <c r="R49" s="80" t="str">
        <f t="shared" si="47"/>
        <v/>
      </c>
    </row>
    <row r="50">
      <c r="A50" s="84">
        <v>45946.0</v>
      </c>
      <c r="B50" s="46" t="s">
        <v>16</v>
      </c>
      <c r="C50" s="37">
        <v>139235.0</v>
      </c>
      <c r="D50" s="37">
        <v>139539.0</v>
      </c>
      <c r="E50" s="12">
        <f t="shared" si="48"/>
        <v>304</v>
      </c>
      <c r="F50" s="47">
        <v>40.0</v>
      </c>
      <c r="G50" s="14">
        <f t="shared" si="49"/>
        <v>13.15789474</v>
      </c>
      <c r="H50" s="37">
        <v>28000.0</v>
      </c>
      <c r="I50" s="40">
        <v>28300.0</v>
      </c>
      <c r="J50" s="37">
        <f t="shared" si="50"/>
        <v>300</v>
      </c>
      <c r="K50" s="52">
        <f t="shared" si="51"/>
        <v>40</v>
      </c>
      <c r="L50" s="48">
        <f t="shared" si="52"/>
        <v>13.33333333</v>
      </c>
      <c r="M50" s="50">
        <v>18420.0</v>
      </c>
      <c r="N50" s="49">
        <f t="shared" si="53"/>
        <v>736800</v>
      </c>
      <c r="R50" s="80" t="str">
        <f t="shared" si="47"/>
        <v/>
      </c>
    </row>
    <row r="51">
      <c r="A51" s="84">
        <v>45951.0</v>
      </c>
      <c r="B51" s="46" t="s">
        <v>16</v>
      </c>
      <c r="C51" s="37">
        <v>139539.0</v>
      </c>
      <c r="D51" s="37">
        <v>139820.0</v>
      </c>
      <c r="E51" s="12">
        <f t="shared" si="48"/>
        <v>281</v>
      </c>
      <c r="F51" s="47">
        <v>38.0</v>
      </c>
      <c r="G51" s="14">
        <f t="shared" si="49"/>
        <v>13.52313167</v>
      </c>
      <c r="H51" s="40">
        <v>28300.0</v>
      </c>
      <c r="I51" s="40">
        <v>23850.0</v>
      </c>
      <c r="J51" s="37">
        <f t="shared" si="50"/>
        <v>-4450</v>
      </c>
      <c r="K51" s="52">
        <f t="shared" si="51"/>
        <v>38</v>
      </c>
      <c r="L51" s="48">
        <f t="shared" si="52"/>
        <v>-0.8539325843</v>
      </c>
      <c r="M51" s="50">
        <v>18420.0</v>
      </c>
      <c r="N51" s="49">
        <f t="shared" si="53"/>
        <v>699960</v>
      </c>
      <c r="R51" s="80" t="str">
        <f t="shared" si="47"/>
        <v/>
      </c>
    </row>
    <row r="52">
      <c r="A52" s="84">
        <v>45954.0</v>
      </c>
      <c r="B52" s="46" t="s">
        <v>16</v>
      </c>
      <c r="C52" s="37">
        <v>139820.0</v>
      </c>
      <c r="D52" s="37">
        <v>140192.0</v>
      </c>
      <c r="E52" s="12">
        <f t="shared" si="48"/>
        <v>372</v>
      </c>
      <c r="F52" s="47">
        <v>45.0</v>
      </c>
      <c r="G52" s="14">
        <f t="shared" si="49"/>
        <v>12.09677419</v>
      </c>
      <c r="H52" s="37"/>
      <c r="I52" s="93"/>
      <c r="J52" s="37"/>
      <c r="K52" s="52">
        <f t="shared" si="51"/>
        <v>45</v>
      </c>
      <c r="L52" s="48" t="str">
        <f t="shared" si="52"/>
        <v>#DIV/0!</v>
      </c>
      <c r="M52" s="50">
        <v>17880.0</v>
      </c>
      <c r="N52" s="49">
        <f t="shared" si="53"/>
        <v>804600</v>
      </c>
      <c r="R52" s="80" t="str">
        <f t="shared" si="47"/>
        <v/>
      </c>
    </row>
    <row r="53">
      <c r="A53" s="84">
        <v>45958.0</v>
      </c>
      <c r="B53" s="46" t="s">
        <v>16</v>
      </c>
      <c r="C53" s="37">
        <v>140192.0</v>
      </c>
      <c r="D53" s="37">
        <v>140401.0</v>
      </c>
      <c r="E53" s="12">
        <f t="shared" si="48"/>
        <v>209</v>
      </c>
      <c r="F53" s="47">
        <v>29.0</v>
      </c>
      <c r="G53" s="14">
        <f t="shared" si="49"/>
        <v>13.87559809</v>
      </c>
      <c r="H53" s="37"/>
      <c r="I53" s="93"/>
      <c r="J53" s="37"/>
      <c r="K53" s="52">
        <f t="shared" si="51"/>
        <v>29</v>
      </c>
      <c r="L53" s="48" t="str">
        <f t="shared" si="52"/>
        <v>#DIV/0!</v>
      </c>
      <c r="M53" s="50">
        <v>17880.0</v>
      </c>
      <c r="N53" s="49">
        <f t="shared" si="53"/>
        <v>518520</v>
      </c>
    </row>
    <row r="54">
      <c r="A54" s="84"/>
      <c r="B54" s="46" t="s">
        <v>16</v>
      </c>
      <c r="C54" s="13"/>
      <c r="D54" s="37"/>
      <c r="E54" s="12">
        <f t="shared" si="48"/>
        <v>0</v>
      </c>
      <c r="F54" s="47"/>
      <c r="G54" s="14" t="str">
        <f t="shared" si="49"/>
        <v>#DIV/0!</v>
      </c>
      <c r="H54" s="37"/>
      <c r="I54" s="93"/>
      <c r="J54" s="37"/>
      <c r="K54" s="52" t="str">
        <f t="shared" si="51"/>
        <v/>
      </c>
      <c r="L54" s="48" t="str">
        <f t="shared" si="52"/>
        <v>#DIV/0!</v>
      </c>
      <c r="M54" s="50"/>
      <c r="N54" s="49">
        <f t="shared" si="53"/>
        <v>0</v>
      </c>
      <c r="R54" s="80" t="str">
        <f t="shared" ref="R54:R59" si="54">Q54</f>
        <v/>
      </c>
    </row>
    <row r="55">
      <c r="A55" s="84"/>
      <c r="B55" s="46" t="s">
        <v>16</v>
      </c>
      <c r="C55" s="55"/>
      <c r="D55" s="55"/>
      <c r="E55" s="25">
        <f t="shared" si="48"/>
        <v>0</v>
      </c>
      <c r="F55" s="47"/>
      <c r="G55" s="56" t="str">
        <f t="shared" si="49"/>
        <v>#DIV/0!</v>
      </c>
      <c r="H55" s="55"/>
      <c r="I55" s="85"/>
      <c r="J55" s="55">
        <f>I55-H55</f>
        <v>0</v>
      </c>
      <c r="K55" s="52" t="str">
        <f t="shared" si="51"/>
        <v/>
      </c>
      <c r="L55" s="77" t="str">
        <f t="shared" si="52"/>
        <v>#DIV/0!</v>
      </c>
      <c r="M55" s="50"/>
      <c r="N55" s="59">
        <f t="shared" si="53"/>
        <v>0</v>
      </c>
      <c r="R55" s="80" t="str">
        <f t="shared" si="54"/>
        <v/>
      </c>
    </row>
    <row r="56">
      <c r="A56" s="62"/>
      <c r="B56" s="63"/>
      <c r="C56" s="86"/>
      <c r="D56" s="64" t="s">
        <v>19</v>
      </c>
      <c r="E56" s="64">
        <f>sum(E46:E55)</f>
        <v>2239</v>
      </c>
      <c r="F56" s="39"/>
      <c r="G56" s="65" t="str">
        <f>average(G46:G55)</f>
        <v>#DIV/0!</v>
      </c>
      <c r="H56" s="62"/>
      <c r="I56" s="66"/>
      <c r="J56" s="64">
        <f t="shared" ref="J56:K56" si="55">sum(J46:J55)</f>
        <v>23850</v>
      </c>
      <c r="K56" s="64">
        <f t="shared" si="55"/>
        <v>299</v>
      </c>
      <c r="L56" s="65" t="str">
        <f>average(L46:L55)</f>
        <v>#DIV/0!</v>
      </c>
      <c r="M56" s="68"/>
      <c r="N56" s="69">
        <f>sum(N46:N55)</f>
        <v>5512880</v>
      </c>
      <c r="R56" s="80" t="str">
        <f t="shared" si="54"/>
        <v/>
      </c>
    </row>
    <row r="57">
      <c r="A57" s="70">
        <v>45933.0</v>
      </c>
      <c r="B57" s="87" t="s">
        <v>18</v>
      </c>
      <c r="C57" s="52">
        <v>143432.0</v>
      </c>
      <c r="D57" s="41">
        <v>143788.0</v>
      </c>
      <c r="E57" s="38">
        <f t="shared" ref="E57:E65" si="56">D57-C57</f>
        <v>356</v>
      </c>
      <c r="F57" s="39">
        <v>49.0</v>
      </c>
      <c r="G57" s="14">
        <f t="shared" ref="G57:G65" si="57">(F57/E57)*100</f>
        <v>13.76404494</v>
      </c>
      <c r="H57" s="137"/>
      <c r="I57" s="275"/>
      <c r="J57" s="41">
        <f t="shared" ref="J57:J59" si="58">I57-H57</f>
        <v>0</v>
      </c>
      <c r="K57" s="81">
        <f t="shared" ref="K57:K65" si="59">F57</f>
        <v>49</v>
      </c>
      <c r="L57" s="71" t="str">
        <f t="shared" ref="L57:L65" si="60">(K57/J57)*100</f>
        <v>#DIV/0!</v>
      </c>
      <c r="M57" s="72">
        <v>19030.0</v>
      </c>
      <c r="N57" s="44">
        <f t="shared" ref="N57:N65" si="61">F57*M57</f>
        <v>932470</v>
      </c>
      <c r="R57" s="80" t="str">
        <f t="shared" si="54"/>
        <v/>
      </c>
    </row>
    <row r="58">
      <c r="A58" s="35">
        <v>45940.0</v>
      </c>
      <c r="B58" s="46" t="s">
        <v>18</v>
      </c>
      <c r="C58" s="41">
        <v>143788.0</v>
      </c>
      <c r="D58" s="37">
        <v>144145.0</v>
      </c>
      <c r="E58" s="12">
        <f t="shared" si="56"/>
        <v>357</v>
      </c>
      <c r="F58" s="47">
        <v>46.0</v>
      </c>
      <c r="G58" s="14">
        <f t="shared" si="57"/>
        <v>12.88515406</v>
      </c>
      <c r="H58" s="37"/>
      <c r="I58" s="40"/>
      <c r="J58" s="37">
        <f t="shared" si="58"/>
        <v>0</v>
      </c>
      <c r="K58" s="52">
        <f t="shared" si="59"/>
        <v>46</v>
      </c>
      <c r="L58" s="48" t="str">
        <f t="shared" si="60"/>
        <v>#DIV/0!</v>
      </c>
      <c r="M58" s="50">
        <v>18600.0</v>
      </c>
      <c r="N58" s="49">
        <f t="shared" si="61"/>
        <v>855600</v>
      </c>
      <c r="R58" s="80" t="str">
        <f t="shared" si="54"/>
        <v/>
      </c>
    </row>
    <row r="59">
      <c r="A59" s="35">
        <v>45945.0</v>
      </c>
      <c r="B59" s="46" t="s">
        <v>18</v>
      </c>
      <c r="C59" s="13">
        <v>144145.0</v>
      </c>
      <c r="D59" s="37">
        <v>144506.0</v>
      </c>
      <c r="E59" s="12">
        <f t="shared" si="56"/>
        <v>361</v>
      </c>
      <c r="F59" s="47">
        <v>46.0</v>
      </c>
      <c r="G59" s="14">
        <f t="shared" si="57"/>
        <v>12.74238227</v>
      </c>
      <c r="H59" s="37"/>
      <c r="I59" s="40">
        <v>21080.0</v>
      </c>
      <c r="J59" s="37">
        <f t="shared" si="58"/>
        <v>21080</v>
      </c>
      <c r="K59" s="52">
        <f t="shared" si="59"/>
        <v>46</v>
      </c>
      <c r="L59" s="48">
        <f t="shared" si="60"/>
        <v>0.2182163188</v>
      </c>
      <c r="M59" s="50">
        <v>18600.0</v>
      </c>
      <c r="N59" s="49">
        <f t="shared" si="61"/>
        <v>855600</v>
      </c>
      <c r="R59" s="80" t="str">
        <f t="shared" si="54"/>
        <v/>
      </c>
    </row>
    <row r="60">
      <c r="A60" s="35">
        <v>45947.0</v>
      </c>
      <c r="B60" s="46" t="s">
        <v>18</v>
      </c>
      <c r="C60" s="37">
        <v>144506.0</v>
      </c>
      <c r="D60" s="37">
        <v>144811.0</v>
      </c>
      <c r="E60" s="12">
        <f t="shared" si="56"/>
        <v>305</v>
      </c>
      <c r="F60" s="47">
        <v>40.0</v>
      </c>
      <c r="G60" s="14">
        <f t="shared" si="57"/>
        <v>13.1147541</v>
      </c>
      <c r="H60" s="37"/>
      <c r="I60" s="40"/>
      <c r="J60" s="37"/>
      <c r="K60" s="52">
        <f t="shared" si="59"/>
        <v>40</v>
      </c>
      <c r="L60" s="48" t="str">
        <f t="shared" si="60"/>
        <v>#DIV/0!</v>
      </c>
      <c r="M60" s="50">
        <v>18420.0</v>
      </c>
      <c r="N60" s="49">
        <f t="shared" si="61"/>
        <v>736800</v>
      </c>
    </row>
    <row r="61">
      <c r="A61" s="35">
        <v>45952.0</v>
      </c>
      <c r="B61" s="46" t="s">
        <v>18</v>
      </c>
      <c r="C61" s="37">
        <v>144811.0</v>
      </c>
      <c r="D61" s="37">
        <v>145162.0</v>
      </c>
      <c r="E61" s="12">
        <f t="shared" si="56"/>
        <v>351</v>
      </c>
      <c r="F61" s="47">
        <v>45.0</v>
      </c>
      <c r="G61" s="14">
        <f t="shared" si="57"/>
        <v>12.82051282</v>
      </c>
      <c r="H61" s="37">
        <v>21080.0</v>
      </c>
      <c r="I61" s="40">
        <v>16645.0</v>
      </c>
      <c r="J61" s="37">
        <f t="shared" ref="J61:J65" si="62">I61-H61</f>
        <v>-4435</v>
      </c>
      <c r="K61" s="52">
        <f t="shared" si="59"/>
        <v>45</v>
      </c>
      <c r="L61" s="48">
        <f t="shared" si="60"/>
        <v>-1.014656144</v>
      </c>
      <c r="M61" s="50">
        <v>18420.0</v>
      </c>
      <c r="N61" s="49">
        <f t="shared" si="61"/>
        <v>828900</v>
      </c>
      <c r="R61" s="80" t="str">
        <f t="shared" ref="R61:R157" si="63">Q61</f>
        <v/>
      </c>
    </row>
    <row r="62">
      <c r="A62" s="35">
        <v>45955.0</v>
      </c>
      <c r="B62" s="46" t="s">
        <v>18</v>
      </c>
      <c r="C62" s="37">
        <v>145162.0</v>
      </c>
      <c r="D62" s="37">
        <v>145478.0</v>
      </c>
      <c r="E62" s="12">
        <f t="shared" si="56"/>
        <v>316</v>
      </c>
      <c r="F62" s="47">
        <v>40.0</v>
      </c>
      <c r="G62" s="14">
        <f t="shared" si="57"/>
        <v>12.65822785</v>
      </c>
      <c r="H62" s="37"/>
      <c r="I62" s="40"/>
      <c r="J62" s="37">
        <f t="shared" si="62"/>
        <v>0</v>
      </c>
      <c r="K62" s="52">
        <f t="shared" si="59"/>
        <v>40</v>
      </c>
      <c r="L62" s="48" t="str">
        <f t="shared" si="60"/>
        <v>#DIV/0!</v>
      </c>
      <c r="M62" s="50">
        <v>17880.0</v>
      </c>
      <c r="N62" s="49">
        <f t="shared" si="61"/>
        <v>715200</v>
      </c>
      <c r="R62" s="80" t="str">
        <f t="shared" si="63"/>
        <v/>
      </c>
    </row>
    <row r="63">
      <c r="A63" s="35">
        <v>45960.0</v>
      </c>
      <c r="B63" s="46" t="s">
        <v>18</v>
      </c>
      <c r="C63" s="37">
        <v>145478.0</v>
      </c>
      <c r="D63" s="37">
        <v>145759.0</v>
      </c>
      <c r="E63" s="53">
        <f t="shared" si="56"/>
        <v>281</v>
      </c>
      <c r="F63" s="47">
        <v>39.0</v>
      </c>
      <c r="G63" s="14">
        <f t="shared" si="57"/>
        <v>13.87900356</v>
      </c>
      <c r="H63" s="37"/>
      <c r="I63" s="40"/>
      <c r="J63" s="37">
        <f t="shared" si="62"/>
        <v>0</v>
      </c>
      <c r="K63" s="52">
        <f t="shared" si="59"/>
        <v>39</v>
      </c>
      <c r="L63" s="48" t="str">
        <f t="shared" si="60"/>
        <v>#DIV/0!</v>
      </c>
      <c r="M63" s="50">
        <v>17880.0</v>
      </c>
      <c r="N63" s="49">
        <f t="shared" si="61"/>
        <v>697320</v>
      </c>
      <c r="R63" s="80" t="str">
        <f t="shared" si="63"/>
        <v/>
      </c>
    </row>
    <row r="64">
      <c r="A64" s="45"/>
      <c r="B64" s="51" t="s">
        <v>18</v>
      </c>
      <c r="C64" s="11"/>
      <c r="D64" s="52"/>
      <c r="E64" s="53">
        <f t="shared" si="56"/>
        <v>0</v>
      </c>
      <c r="F64" s="47"/>
      <c r="G64" s="14" t="str">
        <f t="shared" si="57"/>
        <v>#DIV/0!</v>
      </c>
      <c r="H64" s="37"/>
      <c r="I64" s="40"/>
      <c r="J64" s="37">
        <f t="shared" si="62"/>
        <v>0</v>
      </c>
      <c r="K64" s="52" t="str">
        <f t="shared" si="59"/>
        <v/>
      </c>
      <c r="L64" s="48" t="str">
        <f t="shared" si="60"/>
        <v>#DIV/0!</v>
      </c>
      <c r="M64" s="50"/>
      <c r="N64" s="49">
        <f t="shared" si="61"/>
        <v>0</v>
      </c>
      <c r="R64" s="80" t="str">
        <f t="shared" si="63"/>
        <v/>
      </c>
    </row>
    <row r="65">
      <c r="A65" s="35"/>
      <c r="B65" s="46" t="s">
        <v>18</v>
      </c>
      <c r="C65" s="13"/>
      <c r="D65" s="55"/>
      <c r="E65" s="25">
        <f t="shared" si="56"/>
        <v>0</v>
      </c>
      <c r="F65" s="47"/>
      <c r="G65" s="56" t="str">
        <f t="shared" si="57"/>
        <v>#DIV/0!</v>
      </c>
      <c r="H65" s="55"/>
      <c r="I65" s="57"/>
      <c r="J65" s="55">
        <f t="shared" si="62"/>
        <v>0</v>
      </c>
      <c r="K65" s="52" t="str">
        <f t="shared" si="59"/>
        <v/>
      </c>
      <c r="L65" s="77" t="str">
        <f t="shared" si="60"/>
        <v>#DIV/0!</v>
      </c>
      <c r="M65" s="50"/>
      <c r="N65" s="59">
        <f t="shared" si="61"/>
        <v>0</v>
      </c>
      <c r="R65" s="80" t="str">
        <f t="shared" si="63"/>
        <v/>
      </c>
    </row>
    <row r="66">
      <c r="A66" s="62"/>
      <c r="B66" s="63"/>
      <c r="C66" s="88"/>
      <c r="D66" s="64" t="s">
        <v>19</v>
      </c>
      <c r="E66" s="64">
        <f t="shared" ref="E66:F66" si="64">sum(E57:E65)</f>
        <v>2327</v>
      </c>
      <c r="F66" s="64">
        <f t="shared" si="64"/>
        <v>305</v>
      </c>
      <c r="G66" s="65" t="str">
        <f>average(G57:G65)</f>
        <v>#DIV/0!</v>
      </c>
      <c r="H66" s="62"/>
      <c r="I66" s="66"/>
      <c r="J66" s="64">
        <f t="shared" ref="J66:K66" si="65">sum(J57:J65)</f>
        <v>16645</v>
      </c>
      <c r="K66" s="64">
        <f t="shared" si="65"/>
        <v>305</v>
      </c>
      <c r="L66" s="65" t="str">
        <f>average(L57:L65)</f>
        <v>#DIV/0!</v>
      </c>
      <c r="M66" s="68"/>
      <c r="N66" s="69">
        <f>sum(N57:N65)</f>
        <v>5621890</v>
      </c>
      <c r="R66" s="80" t="str">
        <f t="shared" si="63"/>
        <v/>
      </c>
    </row>
    <row r="67">
      <c r="A67" s="70">
        <v>45933.0</v>
      </c>
      <c r="B67" s="36" t="s">
        <v>20</v>
      </c>
      <c r="C67" s="37">
        <v>389104.0</v>
      </c>
      <c r="D67" s="41">
        <v>389599.0</v>
      </c>
      <c r="E67" s="38">
        <f t="shared" ref="E67:E70" si="66">D67-C67</f>
        <v>495</v>
      </c>
      <c r="F67" s="39">
        <v>69.0</v>
      </c>
      <c r="G67" s="14">
        <f t="shared" ref="G67:G73" si="67">(F67/E67)*100</f>
        <v>13.93939394</v>
      </c>
      <c r="H67" s="137"/>
      <c r="I67" s="89"/>
      <c r="J67" s="41">
        <f t="shared" ref="J67:J73" si="68">I67-H67</f>
        <v>0</v>
      </c>
      <c r="K67" s="81">
        <f t="shared" ref="K67:K70" si="69">F67</f>
        <v>69</v>
      </c>
      <c r="L67" s="71" t="str">
        <f t="shared" ref="L67:L73" si="70">(K67/J67)*100</f>
        <v>#DIV/0!</v>
      </c>
      <c r="M67" s="72">
        <v>19030.0</v>
      </c>
      <c r="N67" s="44">
        <f t="shared" ref="N67:N70" si="71">F67*M67</f>
        <v>1313070</v>
      </c>
      <c r="R67" s="80" t="str">
        <f t="shared" si="63"/>
        <v/>
      </c>
    </row>
    <row r="68">
      <c r="A68" s="35">
        <v>45939.0</v>
      </c>
      <c r="B68" s="46" t="s">
        <v>20</v>
      </c>
      <c r="C68" s="41">
        <v>389599.0</v>
      </c>
      <c r="D68" s="37">
        <v>390249.0</v>
      </c>
      <c r="E68" s="12">
        <f t="shared" si="66"/>
        <v>650</v>
      </c>
      <c r="F68" s="47">
        <v>70.0</v>
      </c>
      <c r="G68" s="14">
        <f t="shared" si="67"/>
        <v>10.76923077</v>
      </c>
      <c r="H68" s="37"/>
      <c r="I68" s="89"/>
      <c r="J68" s="37">
        <f t="shared" si="68"/>
        <v>0</v>
      </c>
      <c r="K68" s="52">
        <f t="shared" si="69"/>
        <v>70</v>
      </c>
      <c r="L68" s="48" t="str">
        <f t="shared" si="70"/>
        <v>#DIV/0!</v>
      </c>
      <c r="M68" s="50">
        <v>19030.0</v>
      </c>
      <c r="N68" s="49">
        <f t="shared" si="71"/>
        <v>1332100</v>
      </c>
      <c r="R68" s="80" t="str">
        <f t="shared" si="63"/>
        <v/>
      </c>
    </row>
    <row r="69">
      <c r="A69" s="35">
        <v>45946.0</v>
      </c>
      <c r="B69" s="46" t="s">
        <v>20</v>
      </c>
      <c r="C69" s="37">
        <v>390249.0</v>
      </c>
      <c r="D69" s="37">
        <v>390780.0</v>
      </c>
      <c r="E69" s="12">
        <f t="shared" si="66"/>
        <v>531</v>
      </c>
      <c r="F69" s="47">
        <v>69.0</v>
      </c>
      <c r="G69" s="14">
        <f t="shared" si="67"/>
        <v>12.99435028</v>
      </c>
      <c r="H69" s="37"/>
      <c r="I69" s="40">
        <v>28890.0</v>
      </c>
      <c r="J69" s="37">
        <f t="shared" si="68"/>
        <v>28890</v>
      </c>
      <c r="K69" s="52">
        <f t="shared" si="69"/>
        <v>69</v>
      </c>
      <c r="L69" s="48">
        <f t="shared" si="70"/>
        <v>0.2388369678</v>
      </c>
      <c r="M69" s="50">
        <v>18420.0</v>
      </c>
      <c r="N69" s="49">
        <f t="shared" si="71"/>
        <v>1270980</v>
      </c>
      <c r="R69" s="80" t="str">
        <f t="shared" si="63"/>
        <v/>
      </c>
    </row>
    <row r="70">
      <c r="A70" s="35">
        <v>45953.0</v>
      </c>
      <c r="B70" s="46" t="s">
        <v>20</v>
      </c>
      <c r="C70" s="37">
        <v>390780.0</v>
      </c>
      <c r="D70" s="37">
        <v>391394.0</v>
      </c>
      <c r="E70" s="12">
        <f t="shared" si="66"/>
        <v>614</v>
      </c>
      <c r="F70" s="47">
        <v>74.0</v>
      </c>
      <c r="G70" s="14">
        <f t="shared" si="67"/>
        <v>12.05211726</v>
      </c>
      <c r="H70" s="40">
        <v>28890.0</v>
      </c>
      <c r="I70" s="40">
        <v>25034.0</v>
      </c>
      <c r="J70" s="37">
        <f t="shared" si="68"/>
        <v>-3856</v>
      </c>
      <c r="K70" s="52">
        <f t="shared" si="69"/>
        <v>74</v>
      </c>
      <c r="L70" s="48">
        <f t="shared" si="70"/>
        <v>-1.919087137</v>
      </c>
      <c r="M70" s="50">
        <v>18420.0</v>
      </c>
      <c r="N70" s="49">
        <f t="shared" si="71"/>
        <v>1363080</v>
      </c>
      <c r="R70" s="80" t="str">
        <f t="shared" si="63"/>
        <v/>
      </c>
    </row>
    <row r="71">
      <c r="A71" s="35"/>
      <c r="B71" s="46" t="s">
        <v>20</v>
      </c>
      <c r="C71" s="37"/>
      <c r="D71" s="37"/>
      <c r="E71" s="12"/>
      <c r="F71" s="47"/>
      <c r="G71" s="14" t="str">
        <f t="shared" si="67"/>
        <v>#DIV/0!</v>
      </c>
      <c r="H71" s="37"/>
      <c r="I71" s="40"/>
      <c r="J71" s="37">
        <f t="shared" si="68"/>
        <v>0</v>
      </c>
      <c r="K71" s="52">
        <v>2.0</v>
      </c>
      <c r="L71" s="48" t="str">
        <f t="shared" si="70"/>
        <v>#DIV/0!</v>
      </c>
      <c r="M71" s="50">
        <v>52000.0</v>
      </c>
      <c r="N71" s="49">
        <f>M71*K71</f>
        <v>104000</v>
      </c>
      <c r="O71" s="197" t="s">
        <v>85</v>
      </c>
      <c r="R71" s="80" t="str">
        <f t="shared" si="63"/>
        <v/>
      </c>
    </row>
    <row r="72">
      <c r="A72" s="35">
        <v>45959.0</v>
      </c>
      <c r="B72" s="46" t="s">
        <v>20</v>
      </c>
      <c r="C72" s="37">
        <v>391394.0</v>
      </c>
      <c r="D72" s="37">
        <v>392052.0</v>
      </c>
      <c r="E72" s="12">
        <f t="shared" ref="E72:E73" si="72">D72-C72</f>
        <v>658</v>
      </c>
      <c r="F72" s="90">
        <v>79.0</v>
      </c>
      <c r="G72" s="14">
        <f t="shared" si="67"/>
        <v>12.00607903</v>
      </c>
      <c r="H72" s="37"/>
      <c r="I72" s="93"/>
      <c r="J72" s="37">
        <f t="shared" si="68"/>
        <v>0</v>
      </c>
      <c r="K72" s="52">
        <f t="shared" ref="K72:K73" si="73">F72</f>
        <v>79</v>
      </c>
      <c r="L72" s="48" t="str">
        <f t="shared" si="70"/>
        <v>#DIV/0!</v>
      </c>
      <c r="M72" s="50">
        <v>17880.0</v>
      </c>
      <c r="N72" s="49">
        <f t="shared" ref="N72:N73" si="74">F72*M72</f>
        <v>1412520</v>
      </c>
      <c r="R72" s="80" t="str">
        <f t="shared" si="63"/>
        <v/>
      </c>
    </row>
    <row r="73">
      <c r="A73" s="94"/>
      <c r="B73" s="267"/>
      <c r="C73" s="55"/>
      <c r="D73" s="95"/>
      <c r="E73" s="25">
        <f t="shared" si="72"/>
        <v>0</v>
      </c>
      <c r="F73" s="47"/>
      <c r="G73" s="56" t="str">
        <f t="shared" si="67"/>
        <v>#DIV/0!</v>
      </c>
      <c r="H73" s="55"/>
      <c r="I73" s="85"/>
      <c r="J73" s="55">
        <f t="shared" si="68"/>
        <v>0</v>
      </c>
      <c r="K73" s="52" t="str">
        <f t="shared" si="73"/>
        <v/>
      </c>
      <c r="L73" s="77" t="str">
        <f t="shared" si="70"/>
        <v>#DIV/0!</v>
      </c>
      <c r="M73" s="96"/>
      <c r="N73" s="59">
        <f t="shared" si="74"/>
        <v>0</v>
      </c>
      <c r="R73" s="80" t="str">
        <f t="shared" si="63"/>
        <v/>
      </c>
    </row>
    <row r="74">
      <c r="A74" s="62"/>
      <c r="B74" s="63"/>
      <c r="C74" s="62"/>
      <c r="D74" s="64" t="s">
        <v>19</v>
      </c>
      <c r="E74" s="64">
        <f>sum(E67:E73)</f>
        <v>2948</v>
      </c>
      <c r="F74" s="39"/>
      <c r="G74" s="65" t="str">
        <f>average(G67:G73)</f>
        <v>#DIV/0!</v>
      </c>
      <c r="H74" s="62"/>
      <c r="I74" s="66"/>
      <c r="J74" s="64">
        <f>sum(J67:J73)</f>
        <v>25034</v>
      </c>
      <c r="K74" s="64">
        <f>sum(K68:K73)</f>
        <v>294</v>
      </c>
      <c r="L74" s="65" t="str">
        <f>average(L67:L73)</f>
        <v>#DIV/0!</v>
      </c>
      <c r="M74" s="68"/>
      <c r="N74" s="69">
        <f>sum(N67:N73)</f>
        <v>6795750</v>
      </c>
      <c r="R74" s="80" t="str">
        <f t="shared" si="63"/>
        <v/>
      </c>
    </row>
    <row r="75">
      <c r="A75" s="91">
        <v>45936.0</v>
      </c>
      <c r="B75" s="36" t="s">
        <v>21</v>
      </c>
      <c r="C75" s="37">
        <v>370365.0</v>
      </c>
      <c r="D75" s="41">
        <v>370814.0</v>
      </c>
      <c r="E75" s="38">
        <f t="shared" ref="E75:E81" si="75">D75-C75</f>
        <v>449</v>
      </c>
      <c r="F75" s="39">
        <v>63.0</v>
      </c>
      <c r="G75" s="14">
        <f t="shared" ref="G75:G81" si="76">(F75/E75)*100</f>
        <v>14.0311804</v>
      </c>
      <c r="H75" s="268"/>
      <c r="I75" s="271"/>
      <c r="J75" s="41">
        <f t="shared" ref="J75:J81" si="77">I75-H75</f>
        <v>0</v>
      </c>
      <c r="K75" s="81">
        <f t="shared" ref="K75:K81" si="78">F75</f>
        <v>63</v>
      </c>
      <c r="L75" s="71" t="str">
        <f t="shared" ref="L75:L81" si="79">(K75/J75)*100</f>
        <v>#DIV/0!</v>
      </c>
      <c r="M75" s="72">
        <v>19030.0</v>
      </c>
      <c r="N75" s="44">
        <f t="shared" ref="N75:N81" si="80">F75*M75</f>
        <v>1198890</v>
      </c>
      <c r="R75" s="80" t="str">
        <f t="shared" si="63"/>
        <v/>
      </c>
    </row>
    <row r="76">
      <c r="A76" s="92">
        <v>45940.0</v>
      </c>
      <c r="B76" s="46" t="s">
        <v>21</v>
      </c>
      <c r="C76" s="37">
        <v>370814.0</v>
      </c>
      <c r="D76" s="37">
        <v>371340.0</v>
      </c>
      <c r="E76" s="12">
        <f t="shared" si="75"/>
        <v>526</v>
      </c>
      <c r="F76" s="47">
        <v>73.0</v>
      </c>
      <c r="G76" s="14">
        <f t="shared" si="76"/>
        <v>13.878327</v>
      </c>
      <c r="H76" s="271"/>
      <c r="I76" s="40">
        <v>18532.0</v>
      </c>
      <c r="J76" s="37">
        <f t="shared" si="77"/>
        <v>18532</v>
      </c>
      <c r="K76" s="52">
        <f t="shared" si="78"/>
        <v>73</v>
      </c>
      <c r="L76" s="48">
        <f t="shared" si="79"/>
        <v>0.3939132312</v>
      </c>
      <c r="M76" s="50">
        <v>18600.0</v>
      </c>
      <c r="N76" s="49">
        <f t="shared" si="80"/>
        <v>1357800</v>
      </c>
      <c r="R76" s="80" t="str">
        <f t="shared" si="63"/>
        <v/>
      </c>
    </row>
    <row r="77">
      <c r="A77" s="92">
        <v>45948.0</v>
      </c>
      <c r="B77" s="46" t="s">
        <v>21</v>
      </c>
      <c r="C77" s="37">
        <v>371340.0</v>
      </c>
      <c r="D77" s="37">
        <v>371920.0</v>
      </c>
      <c r="E77" s="12">
        <f t="shared" si="75"/>
        <v>580</v>
      </c>
      <c r="F77" s="47">
        <v>75.0</v>
      </c>
      <c r="G77" s="14">
        <f t="shared" si="76"/>
        <v>12.93103448</v>
      </c>
      <c r="H77" s="37">
        <v>18532.0</v>
      </c>
      <c r="I77" s="40">
        <v>19110.0</v>
      </c>
      <c r="J77" s="37">
        <f t="shared" si="77"/>
        <v>578</v>
      </c>
      <c r="K77" s="52">
        <f t="shared" si="78"/>
        <v>75</v>
      </c>
      <c r="L77" s="48">
        <f t="shared" si="79"/>
        <v>12.97577855</v>
      </c>
      <c r="M77" s="50">
        <v>18420.0</v>
      </c>
      <c r="N77" s="49">
        <f t="shared" si="80"/>
        <v>1381500</v>
      </c>
      <c r="R77" s="80" t="str">
        <f t="shared" si="63"/>
        <v/>
      </c>
    </row>
    <row r="78">
      <c r="A78" s="92">
        <v>45957.0</v>
      </c>
      <c r="B78" s="46" t="s">
        <v>21</v>
      </c>
      <c r="C78" s="37">
        <v>371920.0</v>
      </c>
      <c r="D78" s="37">
        <v>372528.0</v>
      </c>
      <c r="E78" s="12">
        <f t="shared" si="75"/>
        <v>608</v>
      </c>
      <c r="F78" s="47">
        <v>85.0</v>
      </c>
      <c r="G78" s="14">
        <f t="shared" si="76"/>
        <v>13.98026316</v>
      </c>
      <c r="H78" s="37"/>
      <c r="I78" s="40"/>
      <c r="J78" s="37">
        <f t="shared" si="77"/>
        <v>0</v>
      </c>
      <c r="K78" s="52">
        <f t="shared" si="78"/>
        <v>85</v>
      </c>
      <c r="L78" s="48" t="str">
        <f t="shared" si="79"/>
        <v>#DIV/0!</v>
      </c>
      <c r="M78" s="50">
        <v>17880.0</v>
      </c>
      <c r="N78" s="49">
        <f t="shared" si="80"/>
        <v>1519800</v>
      </c>
      <c r="R78" s="80" t="str">
        <f t="shared" si="63"/>
        <v/>
      </c>
    </row>
    <row r="79">
      <c r="A79" s="35"/>
      <c r="B79" s="46" t="s">
        <v>21</v>
      </c>
      <c r="C79" s="37"/>
      <c r="D79" s="37"/>
      <c r="E79" s="12">
        <f t="shared" si="75"/>
        <v>0</v>
      </c>
      <c r="F79" s="47"/>
      <c r="G79" s="14" t="str">
        <f t="shared" si="76"/>
        <v>#DIV/0!</v>
      </c>
      <c r="H79" s="37"/>
      <c r="I79" s="40"/>
      <c r="J79" s="37">
        <f t="shared" si="77"/>
        <v>0</v>
      </c>
      <c r="K79" s="52" t="str">
        <f t="shared" si="78"/>
        <v/>
      </c>
      <c r="L79" s="48" t="str">
        <f t="shared" si="79"/>
        <v>#DIV/0!</v>
      </c>
      <c r="M79" s="50"/>
      <c r="N79" s="49">
        <f t="shared" si="80"/>
        <v>0</v>
      </c>
      <c r="R79" s="80" t="str">
        <f t="shared" si="63"/>
        <v/>
      </c>
    </row>
    <row r="80">
      <c r="A80" s="92"/>
      <c r="B80" s="46" t="s">
        <v>37</v>
      </c>
      <c r="C80" s="37"/>
      <c r="D80" s="37"/>
      <c r="E80" s="12">
        <f t="shared" si="75"/>
        <v>0</v>
      </c>
      <c r="F80" s="47"/>
      <c r="G80" s="14" t="str">
        <f t="shared" si="76"/>
        <v>#DIV/0!</v>
      </c>
      <c r="H80" s="37"/>
      <c r="I80" s="93"/>
      <c r="J80" s="37">
        <f t="shared" si="77"/>
        <v>0</v>
      </c>
      <c r="K80" s="52" t="str">
        <f t="shared" si="78"/>
        <v/>
      </c>
      <c r="L80" s="48" t="str">
        <f t="shared" si="79"/>
        <v>#DIV/0!</v>
      </c>
      <c r="M80" s="50"/>
      <c r="N80" s="49">
        <f t="shared" si="80"/>
        <v>0</v>
      </c>
      <c r="R80" s="80" t="str">
        <f t="shared" si="63"/>
        <v/>
      </c>
    </row>
    <row r="81">
      <c r="A81" s="94"/>
      <c r="B81" s="267"/>
      <c r="C81" s="55"/>
      <c r="D81" s="95"/>
      <c r="E81" s="25">
        <f t="shared" si="75"/>
        <v>0</v>
      </c>
      <c r="F81" s="47"/>
      <c r="G81" s="56" t="str">
        <f t="shared" si="76"/>
        <v>#DIV/0!</v>
      </c>
      <c r="H81" s="55"/>
      <c r="I81" s="85"/>
      <c r="J81" s="55">
        <f t="shared" si="77"/>
        <v>0</v>
      </c>
      <c r="K81" s="52" t="str">
        <f t="shared" si="78"/>
        <v/>
      </c>
      <c r="L81" s="77" t="str">
        <f t="shared" si="79"/>
        <v>#DIV/0!</v>
      </c>
      <c r="M81" s="96"/>
      <c r="N81" s="59">
        <f t="shared" si="80"/>
        <v>0</v>
      </c>
      <c r="R81" s="80" t="str">
        <f t="shared" si="63"/>
        <v/>
      </c>
    </row>
    <row r="82">
      <c r="A82" s="62"/>
      <c r="B82" s="63"/>
      <c r="C82" s="62"/>
      <c r="D82" s="64" t="s">
        <v>19</v>
      </c>
      <c r="E82" s="64">
        <f>sum(E75:E81)</f>
        <v>2163</v>
      </c>
      <c r="F82" s="39"/>
      <c r="G82" s="65" t="str">
        <f>average(G75:G81)</f>
        <v>#DIV/0!</v>
      </c>
      <c r="H82" s="62"/>
      <c r="I82" s="66"/>
      <c r="J82" s="64">
        <f t="shared" ref="J82:K82" si="81">sum(J75:J81)</f>
        <v>19110</v>
      </c>
      <c r="K82" s="64">
        <f t="shared" si="81"/>
        <v>296</v>
      </c>
      <c r="L82" s="65" t="str">
        <f>average(L75:L81)</f>
        <v>#DIV/0!</v>
      </c>
      <c r="M82" s="68"/>
      <c r="N82" s="69">
        <f>sum(N75:N81)</f>
        <v>5457990</v>
      </c>
      <c r="R82" s="80" t="str">
        <f t="shared" si="63"/>
        <v/>
      </c>
    </row>
    <row r="83">
      <c r="A83" s="70">
        <v>45931.0</v>
      </c>
      <c r="B83" s="87" t="s">
        <v>22</v>
      </c>
      <c r="C83" s="37">
        <v>203911.0</v>
      </c>
      <c r="D83" s="13">
        <v>204619.0</v>
      </c>
      <c r="E83" s="38">
        <f t="shared" ref="E83:E89" si="82">D83-C83</f>
        <v>708</v>
      </c>
      <c r="F83" s="39">
        <v>79.0</v>
      </c>
      <c r="G83" s="14">
        <f t="shared" ref="G83:G89" si="83">(F83/E83)*100</f>
        <v>11.15819209</v>
      </c>
      <c r="H83" s="137"/>
      <c r="I83" s="138"/>
      <c r="J83" s="41">
        <f t="shared" ref="J83:J89" si="84">I83-H83</f>
        <v>0</v>
      </c>
      <c r="K83" s="81">
        <f t="shared" ref="K83:K89" si="85">F83</f>
        <v>79</v>
      </c>
      <c r="L83" s="71" t="str">
        <f t="shared" ref="L83:L89" si="86">(K83/J83)*100</f>
        <v>#DIV/0!</v>
      </c>
      <c r="M83" s="72">
        <v>18650.0</v>
      </c>
      <c r="N83" s="44">
        <f t="shared" ref="N83:N89" si="87">F83*M83</f>
        <v>1473350</v>
      </c>
      <c r="R83" s="80" t="str">
        <f t="shared" si="63"/>
        <v/>
      </c>
    </row>
    <row r="84">
      <c r="A84" s="35">
        <v>45943.0</v>
      </c>
      <c r="B84" s="46" t="s">
        <v>22</v>
      </c>
      <c r="C84" s="13">
        <v>204619.0</v>
      </c>
      <c r="D84" s="37">
        <v>205200.0</v>
      </c>
      <c r="E84" s="12">
        <f t="shared" si="82"/>
        <v>581</v>
      </c>
      <c r="F84" s="47">
        <v>77.0</v>
      </c>
      <c r="G84" s="14">
        <f t="shared" si="83"/>
        <v>13.25301205</v>
      </c>
      <c r="H84" s="40"/>
      <c r="I84" s="40">
        <v>17650.0</v>
      </c>
      <c r="J84" s="37">
        <f t="shared" si="84"/>
        <v>17650</v>
      </c>
      <c r="K84" s="52">
        <f t="shared" si="85"/>
        <v>77</v>
      </c>
      <c r="L84" s="48">
        <f t="shared" si="86"/>
        <v>0.4362606232</v>
      </c>
      <c r="M84" s="50">
        <v>18600.0</v>
      </c>
      <c r="N84" s="49">
        <f t="shared" si="87"/>
        <v>1432200</v>
      </c>
      <c r="R84" s="80" t="str">
        <f t="shared" si="63"/>
        <v/>
      </c>
    </row>
    <row r="85">
      <c r="A85" s="35">
        <v>45950.0</v>
      </c>
      <c r="B85" s="46" t="s">
        <v>22</v>
      </c>
      <c r="C85" s="37">
        <v>205200.0</v>
      </c>
      <c r="D85" s="37">
        <v>205900.0</v>
      </c>
      <c r="E85" s="12">
        <f t="shared" si="82"/>
        <v>700</v>
      </c>
      <c r="F85" s="47">
        <v>80.0</v>
      </c>
      <c r="G85" s="14">
        <f t="shared" si="83"/>
        <v>11.42857143</v>
      </c>
      <c r="H85" s="37">
        <v>17650.0</v>
      </c>
      <c r="I85" s="40">
        <v>18300.0</v>
      </c>
      <c r="J85" s="37">
        <f t="shared" si="84"/>
        <v>650</v>
      </c>
      <c r="K85" s="52">
        <f t="shared" si="85"/>
        <v>80</v>
      </c>
      <c r="L85" s="48">
        <f t="shared" si="86"/>
        <v>12.30769231</v>
      </c>
      <c r="M85" s="50">
        <v>18420.0</v>
      </c>
      <c r="N85" s="49">
        <f t="shared" si="87"/>
        <v>1473600</v>
      </c>
      <c r="R85" s="80" t="str">
        <f t="shared" si="63"/>
        <v/>
      </c>
    </row>
    <row r="86">
      <c r="A86" s="35">
        <v>45957.0</v>
      </c>
      <c r="B86" s="46" t="s">
        <v>22</v>
      </c>
      <c r="C86" s="37">
        <v>205900.0</v>
      </c>
      <c r="D86" s="37">
        <v>206467.0</v>
      </c>
      <c r="E86" s="12">
        <f t="shared" si="82"/>
        <v>567</v>
      </c>
      <c r="F86" s="47">
        <v>70.0</v>
      </c>
      <c r="G86" s="14">
        <f t="shared" si="83"/>
        <v>12.34567901</v>
      </c>
      <c r="H86" s="37"/>
      <c r="I86" s="40"/>
      <c r="J86" s="37">
        <f t="shared" si="84"/>
        <v>0</v>
      </c>
      <c r="K86" s="52">
        <f t="shared" si="85"/>
        <v>70</v>
      </c>
      <c r="L86" s="48" t="str">
        <f t="shared" si="86"/>
        <v>#DIV/0!</v>
      </c>
      <c r="M86" s="50">
        <v>17880.0</v>
      </c>
      <c r="N86" s="49">
        <f t="shared" si="87"/>
        <v>1251600</v>
      </c>
      <c r="R86" s="80" t="str">
        <f t="shared" si="63"/>
        <v/>
      </c>
    </row>
    <row r="87">
      <c r="A87" s="35"/>
      <c r="B87" s="46" t="s">
        <v>22</v>
      </c>
      <c r="C87" s="37"/>
      <c r="D87" s="37"/>
      <c r="E87" s="12">
        <f t="shared" si="82"/>
        <v>0</v>
      </c>
      <c r="F87" s="47"/>
      <c r="G87" s="14" t="str">
        <f t="shared" si="83"/>
        <v>#DIV/0!</v>
      </c>
      <c r="H87" s="37"/>
      <c r="I87" s="40"/>
      <c r="J87" s="37">
        <f t="shared" si="84"/>
        <v>0</v>
      </c>
      <c r="K87" s="52" t="str">
        <f t="shared" si="85"/>
        <v/>
      </c>
      <c r="L87" s="48" t="str">
        <f t="shared" si="86"/>
        <v>#DIV/0!</v>
      </c>
      <c r="M87" s="50"/>
      <c r="N87" s="49">
        <f t="shared" si="87"/>
        <v>0</v>
      </c>
      <c r="R87" s="80" t="str">
        <f t="shared" si="63"/>
        <v/>
      </c>
    </row>
    <row r="88">
      <c r="A88" s="92"/>
      <c r="B88" s="46" t="s">
        <v>22</v>
      </c>
      <c r="C88" s="37"/>
      <c r="D88" s="37"/>
      <c r="E88" s="12">
        <f t="shared" si="82"/>
        <v>0</v>
      </c>
      <c r="F88" s="47"/>
      <c r="G88" s="14" t="str">
        <f t="shared" si="83"/>
        <v>#DIV/0!</v>
      </c>
      <c r="H88" s="37"/>
      <c r="I88" s="93"/>
      <c r="J88" s="37">
        <f t="shared" si="84"/>
        <v>0</v>
      </c>
      <c r="K88" s="52" t="str">
        <f t="shared" si="85"/>
        <v/>
      </c>
      <c r="L88" s="48" t="str">
        <f t="shared" si="86"/>
        <v>#DIV/0!</v>
      </c>
      <c r="M88" s="50"/>
      <c r="N88" s="49">
        <f t="shared" si="87"/>
        <v>0</v>
      </c>
      <c r="R88" s="80" t="str">
        <f t="shared" si="63"/>
        <v/>
      </c>
    </row>
    <row r="89">
      <c r="A89" s="97"/>
      <c r="B89" s="267"/>
      <c r="C89" s="55"/>
      <c r="D89" s="95"/>
      <c r="E89" s="25">
        <f t="shared" si="82"/>
        <v>0</v>
      </c>
      <c r="F89" s="47"/>
      <c r="G89" s="56" t="str">
        <f t="shared" si="83"/>
        <v>#DIV/0!</v>
      </c>
      <c r="H89" s="55"/>
      <c r="I89" s="57"/>
      <c r="J89" s="55">
        <f t="shared" si="84"/>
        <v>0</v>
      </c>
      <c r="K89" s="52" t="str">
        <f t="shared" si="85"/>
        <v/>
      </c>
      <c r="L89" s="77" t="str">
        <f t="shared" si="86"/>
        <v>#DIV/0!</v>
      </c>
      <c r="M89" s="96"/>
      <c r="N89" s="59">
        <f t="shared" si="87"/>
        <v>0</v>
      </c>
      <c r="R89" s="80" t="str">
        <f t="shared" si="63"/>
        <v/>
      </c>
    </row>
    <row r="90">
      <c r="A90" s="62"/>
      <c r="B90" s="63"/>
      <c r="C90" s="62"/>
      <c r="D90" s="64" t="s">
        <v>19</v>
      </c>
      <c r="E90" s="64">
        <f>sum(E83:E89)</f>
        <v>2556</v>
      </c>
      <c r="F90" s="64">
        <f>sum(F82:F89)</f>
        <v>306</v>
      </c>
      <c r="G90" s="65" t="str">
        <f>average(G83:G89)</f>
        <v>#DIV/0!</v>
      </c>
      <c r="H90" s="62"/>
      <c r="I90" s="66"/>
      <c r="J90" s="64">
        <f t="shared" ref="J90:K90" si="88">sum(J83:J89)</f>
        <v>18300</v>
      </c>
      <c r="K90" s="64">
        <f t="shared" si="88"/>
        <v>306</v>
      </c>
      <c r="L90" s="65" t="str">
        <f>average(L83:L89)</f>
        <v>#DIV/0!</v>
      </c>
      <c r="M90" s="68"/>
      <c r="N90" s="69">
        <f>sum(N83:N89)</f>
        <v>5630750</v>
      </c>
      <c r="R90" s="80" t="str">
        <f t="shared" si="63"/>
        <v/>
      </c>
    </row>
    <row r="91">
      <c r="A91" s="98">
        <v>45932.0</v>
      </c>
      <c r="B91" s="99" t="s">
        <v>38</v>
      </c>
      <c r="C91" s="37">
        <v>160527.0</v>
      </c>
      <c r="D91" s="41">
        <v>161128.0</v>
      </c>
      <c r="E91" s="38">
        <f t="shared" ref="E91:E96" si="89">D91-C91</f>
        <v>601</v>
      </c>
      <c r="F91" s="39">
        <v>69.0</v>
      </c>
      <c r="G91" s="14">
        <f t="shared" ref="G91:G96" si="90">(F91/E91)*100</f>
        <v>11.48086522</v>
      </c>
      <c r="H91" s="137"/>
      <c r="I91" s="275"/>
      <c r="J91" s="41">
        <f t="shared" ref="J91:J96" si="91">I91-H91</f>
        <v>0</v>
      </c>
      <c r="K91" s="81">
        <f t="shared" ref="K91:K96" si="92">F91</f>
        <v>69</v>
      </c>
      <c r="L91" s="71" t="str">
        <f t="shared" ref="L91:L96" si="93">(K91/J91)*100</f>
        <v>#DIV/0!</v>
      </c>
      <c r="M91" s="72">
        <v>19030.0</v>
      </c>
      <c r="N91" s="44">
        <f t="shared" ref="N91:N96" si="94">F91*M91</f>
        <v>1313070</v>
      </c>
      <c r="R91" s="80" t="str">
        <f t="shared" si="63"/>
        <v/>
      </c>
    </row>
    <row r="92">
      <c r="A92" s="101">
        <v>45939.0</v>
      </c>
      <c r="B92" s="46" t="s">
        <v>38</v>
      </c>
      <c r="C92" s="41">
        <v>161128.0</v>
      </c>
      <c r="D92" s="37">
        <v>161765.0</v>
      </c>
      <c r="E92" s="12">
        <f t="shared" si="89"/>
        <v>637</v>
      </c>
      <c r="F92" s="47">
        <v>71.0</v>
      </c>
      <c r="G92" s="14">
        <f t="shared" si="90"/>
        <v>11.14599686</v>
      </c>
      <c r="H92" s="37"/>
      <c r="I92" s="40">
        <v>21800.0</v>
      </c>
      <c r="J92" s="37">
        <f t="shared" si="91"/>
        <v>21800</v>
      </c>
      <c r="K92" s="52">
        <f t="shared" si="92"/>
        <v>71</v>
      </c>
      <c r="L92" s="48">
        <f t="shared" si="93"/>
        <v>0.3256880734</v>
      </c>
      <c r="M92" s="50">
        <v>18600.0</v>
      </c>
      <c r="N92" s="49">
        <f t="shared" si="94"/>
        <v>1320600</v>
      </c>
      <c r="R92" s="80" t="str">
        <f t="shared" si="63"/>
        <v/>
      </c>
    </row>
    <row r="93">
      <c r="A93" s="101">
        <v>45946.0</v>
      </c>
      <c r="B93" s="46" t="s">
        <v>38</v>
      </c>
      <c r="C93" s="37">
        <v>161765.0</v>
      </c>
      <c r="D93" s="37">
        <v>162322.0</v>
      </c>
      <c r="E93" s="12">
        <f t="shared" si="89"/>
        <v>557</v>
      </c>
      <c r="F93" s="47">
        <v>68.0</v>
      </c>
      <c r="G93" s="14">
        <f t="shared" si="90"/>
        <v>12.20825853</v>
      </c>
      <c r="H93" s="37">
        <v>21800.0</v>
      </c>
      <c r="I93" s="40">
        <v>22400.0</v>
      </c>
      <c r="J93" s="37">
        <f t="shared" si="91"/>
        <v>600</v>
      </c>
      <c r="K93" s="52">
        <f t="shared" si="92"/>
        <v>68</v>
      </c>
      <c r="L93" s="48">
        <f t="shared" si="93"/>
        <v>11.33333333</v>
      </c>
      <c r="M93" s="50">
        <v>18420.0</v>
      </c>
      <c r="N93" s="49">
        <f t="shared" si="94"/>
        <v>1252560</v>
      </c>
      <c r="R93" s="80" t="str">
        <f t="shared" si="63"/>
        <v/>
      </c>
    </row>
    <row r="94">
      <c r="A94" s="101">
        <v>7350803.0</v>
      </c>
      <c r="B94" s="46" t="s">
        <v>38</v>
      </c>
      <c r="C94" s="278">
        <v>162322.0</v>
      </c>
      <c r="D94" s="37">
        <v>162842.0</v>
      </c>
      <c r="E94" s="12">
        <f t="shared" si="89"/>
        <v>520</v>
      </c>
      <c r="F94" s="47">
        <v>60.0</v>
      </c>
      <c r="G94" s="14">
        <f t="shared" si="90"/>
        <v>11.53846154</v>
      </c>
      <c r="H94" s="40">
        <v>22400.0</v>
      </c>
      <c r="I94" s="40">
        <v>18498.0</v>
      </c>
      <c r="J94" s="37">
        <f t="shared" si="91"/>
        <v>-3902</v>
      </c>
      <c r="K94" s="52">
        <f t="shared" si="92"/>
        <v>60</v>
      </c>
      <c r="L94" s="48">
        <f t="shared" si="93"/>
        <v>-1.537672988</v>
      </c>
      <c r="M94" s="50">
        <v>18420.0</v>
      </c>
      <c r="N94" s="49">
        <f t="shared" si="94"/>
        <v>1105200</v>
      </c>
      <c r="R94" s="80" t="str">
        <f t="shared" si="63"/>
        <v/>
      </c>
    </row>
    <row r="95">
      <c r="A95" s="101">
        <v>45960.0</v>
      </c>
      <c r="B95" s="46" t="s">
        <v>38</v>
      </c>
      <c r="C95" s="37">
        <v>162842.0</v>
      </c>
      <c r="D95" s="100">
        <v>163506.0</v>
      </c>
      <c r="E95" s="12">
        <f t="shared" si="89"/>
        <v>664</v>
      </c>
      <c r="F95" s="47">
        <v>78.0</v>
      </c>
      <c r="G95" s="14">
        <f t="shared" si="90"/>
        <v>11.74698795</v>
      </c>
      <c r="H95" s="37"/>
      <c r="I95" s="40"/>
      <c r="J95" s="37">
        <f t="shared" si="91"/>
        <v>0</v>
      </c>
      <c r="K95" s="52">
        <f t="shared" si="92"/>
        <v>78</v>
      </c>
      <c r="L95" s="48" t="str">
        <f t="shared" si="93"/>
        <v>#DIV/0!</v>
      </c>
      <c r="M95" s="50">
        <v>17880.0</v>
      </c>
      <c r="N95" s="49">
        <f t="shared" si="94"/>
        <v>1394640</v>
      </c>
      <c r="R95" s="80" t="str">
        <f t="shared" si="63"/>
        <v/>
      </c>
    </row>
    <row r="96">
      <c r="A96" s="102"/>
      <c r="B96" s="103" t="s">
        <v>38</v>
      </c>
      <c r="C96" s="104"/>
      <c r="D96" s="105"/>
      <c r="E96" s="12">
        <f t="shared" si="89"/>
        <v>0</v>
      </c>
      <c r="F96" s="47"/>
      <c r="G96" s="106" t="str">
        <f t="shared" si="90"/>
        <v>#DIV/0!</v>
      </c>
      <c r="H96" s="107"/>
      <c r="I96" s="108"/>
      <c r="J96" s="107">
        <f t="shared" si="91"/>
        <v>0</v>
      </c>
      <c r="K96" s="52" t="str">
        <f t="shared" si="92"/>
        <v/>
      </c>
      <c r="L96" s="109" t="str">
        <f t="shared" si="93"/>
        <v>#DIV/0!</v>
      </c>
      <c r="M96" s="110"/>
      <c r="N96" s="111">
        <f t="shared" si="94"/>
        <v>0</v>
      </c>
      <c r="R96" s="80" t="str">
        <f t="shared" si="63"/>
        <v/>
      </c>
    </row>
    <row r="97">
      <c r="A97" s="112"/>
      <c r="B97" s="113"/>
      <c r="C97" s="114"/>
      <c r="D97" s="115" t="s">
        <v>19</v>
      </c>
      <c r="E97" s="116">
        <f>SUM(E91:E96)</f>
        <v>2979</v>
      </c>
      <c r="F97" s="64">
        <f>sum(F89:F96)</f>
        <v>652</v>
      </c>
      <c r="G97" s="117" t="str">
        <f>average(G91:G96)</f>
        <v>#DIV/0!</v>
      </c>
      <c r="H97" s="114"/>
      <c r="I97" s="118"/>
      <c r="J97" s="115">
        <f t="shared" ref="J97:K97" si="95">sum(J91:J96)</f>
        <v>18498</v>
      </c>
      <c r="K97" s="115">
        <f t="shared" si="95"/>
        <v>346</v>
      </c>
      <c r="L97" s="119" t="str">
        <f>average(L91:L96)</f>
        <v>#DIV/0!</v>
      </c>
      <c r="M97" s="120"/>
      <c r="N97" s="269">
        <f>sum(N91:N96)</f>
        <v>6386070</v>
      </c>
      <c r="R97" s="80" t="str">
        <f t="shared" si="63"/>
        <v/>
      </c>
    </row>
    <row r="98">
      <c r="A98" s="122">
        <v>45936.0</v>
      </c>
      <c r="B98" s="123" t="s">
        <v>39</v>
      </c>
      <c r="C98" s="37">
        <v>111598.0</v>
      </c>
      <c r="D98" s="89">
        <v>112368.0</v>
      </c>
      <c r="E98" s="38">
        <f t="shared" ref="E98:E104" si="96">D98-C98</f>
        <v>770</v>
      </c>
      <c r="F98" s="39">
        <v>80.0</v>
      </c>
      <c r="G98" s="124">
        <f t="shared" ref="G98:G104" si="97">(F98/E98)*100</f>
        <v>10.38961039</v>
      </c>
      <c r="H98" s="137"/>
      <c r="I98" s="271"/>
      <c r="J98" s="89">
        <f t="shared" ref="J98:J104" si="98">I98-H98</f>
        <v>0</v>
      </c>
      <c r="K98" s="81">
        <f t="shared" ref="K98:K104" si="99">F98</f>
        <v>80</v>
      </c>
      <c r="L98" s="125" t="str">
        <f t="shared" ref="L98:L104" si="100">(K98/J98)*100</f>
        <v>#DIV/0!</v>
      </c>
      <c r="M98" s="126">
        <v>19030.0</v>
      </c>
      <c r="N98" s="287">
        <f>M98*K98</f>
        <v>1522400</v>
      </c>
      <c r="R98" s="80" t="str">
        <f t="shared" si="63"/>
        <v/>
      </c>
    </row>
    <row r="99">
      <c r="A99" s="127">
        <v>45944.0</v>
      </c>
      <c r="B99" s="46" t="s">
        <v>39</v>
      </c>
      <c r="C99" s="89">
        <v>112368.0</v>
      </c>
      <c r="D99" s="37">
        <v>113060.0</v>
      </c>
      <c r="E99" s="12">
        <f t="shared" si="96"/>
        <v>692</v>
      </c>
      <c r="F99" s="47">
        <v>75.0</v>
      </c>
      <c r="G99" s="14">
        <f t="shared" si="97"/>
        <v>10.83815029</v>
      </c>
      <c r="H99" s="13"/>
      <c r="I99" s="16">
        <v>24080.0</v>
      </c>
      <c r="J99" s="37">
        <f t="shared" si="98"/>
        <v>24080</v>
      </c>
      <c r="K99" s="52">
        <f t="shared" si="99"/>
        <v>75</v>
      </c>
      <c r="L99" s="48">
        <f t="shared" si="100"/>
        <v>0.311461794</v>
      </c>
      <c r="M99" s="50">
        <v>18600.0</v>
      </c>
      <c r="N99" s="270">
        <f t="shared" ref="N99:N104" si="101">F99*M99</f>
        <v>1395000</v>
      </c>
      <c r="R99" s="80" t="str">
        <f t="shared" si="63"/>
        <v/>
      </c>
      <c r="S99" s="257"/>
      <c r="T99" s="257"/>
      <c r="U99" s="257"/>
      <c r="V99" s="257"/>
      <c r="W99" s="257"/>
      <c r="X99" s="257"/>
      <c r="Y99" s="257"/>
      <c r="Z99" s="257"/>
    </row>
    <row r="100">
      <c r="A100" s="127">
        <v>45954.0</v>
      </c>
      <c r="B100" s="46" t="s">
        <v>39</v>
      </c>
      <c r="C100" s="37">
        <v>113060.0</v>
      </c>
      <c r="D100" s="37">
        <v>113734.0</v>
      </c>
      <c r="E100" s="12">
        <f t="shared" si="96"/>
        <v>674</v>
      </c>
      <c r="F100" s="47">
        <v>79.0</v>
      </c>
      <c r="G100" s="14">
        <f t="shared" si="97"/>
        <v>11.72106825</v>
      </c>
      <c r="H100" s="37"/>
      <c r="I100" s="40"/>
      <c r="J100" s="37">
        <f t="shared" si="98"/>
        <v>0</v>
      </c>
      <c r="K100" s="52">
        <f t="shared" si="99"/>
        <v>79</v>
      </c>
      <c r="L100" s="48" t="str">
        <f t="shared" si="100"/>
        <v>#DIV/0!</v>
      </c>
      <c r="M100" s="50">
        <v>17880.0</v>
      </c>
      <c r="N100" s="270">
        <f t="shared" si="101"/>
        <v>1412520</v>
      </c>
      <c r="P100" s="82"/>
      <c r="R100" s="80" t="str">
        <f t="shared" si="63"/>
        <v/>
      </c>
    </row>
    <row r="101">
      <c r="A101" s="127">
        <v>45960.0</v>
      </c>
      <c r="B101" s="46" t="s">
        <v>39</v>
      </c>
      <c r="C101" s="37">
        <v>113734.0</v>
      </c>
      <c r="D101" s="37">
        <v>114535.0</v>
      </c>
      <c r="E101" s="12">
        <f t="shared" si="96"/>
        <v>801</v>
      </c>
      <c r="F101" s="47">
        <v>82.0</v>
      </c>
      <c r="G101" s="14">
        <f t="shared" si="97"/>
        <v>10.2372035</v>
      </c>
      <c r="H101" s="37"/>
      <c r="I101" s="40"/>
      <c r="J101" s="37">
        <f t="shared" si="98"/>
        <v>0</v>
      </c>
      <c r="K101" s="52">
        <f t="shared" si="99"/>
        <v>82</v>
      </c>
      <c r="L101" s="48" t="str">
        <f t="shared" si="100"/>
        <v>#DIV/0!</v>
      </c>
      <c r="M101" s="50">
        <v>17880.0</v>
      </c>
      <c r="N101" s="49">
        <f t="shared" si="101"/>
        <v>1466160</v>
      </c>
      <c r="R101" s="80" t="str">
        <f t="shared" si="63"/>
        <v/>
      </c>
    </row>
    <row r="102">
      <c r="A102" s="35"/>
      <c r="B102" s="46" t="s">
        <v>39</v>
      </c>
      <c r="C102" s="37"/>
      <c r="D102" s="37"/>
      <c r="E102" s="12">
        <f t="shared" si="96"/>
        <v>0</v>
      </c>
      <c r="F102" s="47"/>
      <c r="G102" s="14" t="str">
        <f t="shared" si="97"/>
        <v>#DIV/0!</v>
      </c>
      <c r="H102" s="37"/>
      <c r="I102" s="40"/>
      <c r="J102" s="37">
        <f t="shared" si="98"/>
        <v>0</v>
      </c>
      <c r="K102" s="52" t="str">
        <f t="shared" si="99"/>
        <v/>
      </c>
      <c r="L102" s="48" t="str">
        <f t="shared" si="100"/>
        <v>#DIV/0!</v>
      </c>
      <c r="M102" s="50"/>
      <c r="N102" s="49">
        <f t="shared" si="101"/>
        <v>0</v>
      </c>
      <c r="R102" s="80" t="str">
        <f t="shared" si="63"/>
        <v/>
      </c>
    </row>
    <row r="103">
      <c r="A103" s="258"/>
      <c r="B103" s="46" t="s">
        <v>39</v>
      </c>
      <c r="C103" s="37"/>
      <c r="D103" s="133"/>
      <c r="E103" s="12">
        <f t="shared" si="96"/>
        <v>0</v>
      </c>
      <c r="F103" s="47"/>
      <c r="G103" s="14" t="str">
        <f t="shared" si="97"/>
        <v>#DIV/0!</v>
      </c>
      <c r="H103" s="37"/>
      <c r="I103" s="93"/>
      <c r="J103" s="37">
        <f t="shared" si="98"/>
        <v>0</v>
      </c>
      <c r="K103" s="52" t="str">
        <f t="shared" si="99"/>
        <v/>
      </c>
      <c r="L103" s="48" t="str">
        <f t="shared" si="100"/>
        <v>#DIV/0!</v>
      </c>
      <c r="M103" s="134"/>
      <c r="N103" s="49">
        <f t="shared" si="101"/>
        <v>0</v>
      </c>
      <c r="R103" s="80" t="str">
        <f t="shared" si="63"/>
        <v/>
      </c>
    </row>
    <row r="104">
      <c r="A104" s="94"/>
      <c r="B104" s="267"/>
      <c r="C104" s="55"/>
      <c r="D104" s="95"/>
      <c r="E104" s="25">
        <f t="shared" si="96"/>
        <v>0</v>
      </c>
      <c r="F104" s="47"/>
      <c r="G104" s="56" t="str">
        <f t="shared" si="97"/>
        <v>#DIV/0!</v>
      </c>
      <c r="H104" s="55"/>
      <c r="I104" s="85"/>
      <c r="J104" s="55">
        <f t="shared" si="98"/>
        <v>0</v>
      </c>
      <c r="K104" s="52" t="str">
        <f t="shared" si="99"/>
        <v/>
      </c>
      <c r="L104" s="77" t="str">
        <f t="shared" si="100"/>
        <v>#DIV/0!</v>
      </c>
      <c r="M104" s="96"/>
      <c r="N104" s="59">
        <f t="shared" si="101"/>
        <v>0</v>
      </c>
      <c r="R104" s="80" t="str">
        <f t="shared" si="63"/>
        <v/>
      </c>
    </row>
    <row r="105">
      <c r="A105" s="62"/>
      <c r="B105" s="63"/>
      <c r="C105" s="62"/>
      <c r="D105" s="64" t="s">
        <v>19</v>
      </c>
      <c r="E105" s="64">
        <f>sum(E91:E104)</f>
        <v>8895</v>
      </c>
      <c r="F105" s="64">
        <f>sum(F97:F104)</f>
        <v>968</v>
      </c>
      <c r="G105" s="65" t="str">
        <f>average(G91:G104)</f>
        <v>#DIV/0!</v>
      </c>
      <c r="H105" s="62"/>
      <c r="I105" s="66"/>
      <c r="J105" s="64">
        <f t="shared" ref="J105:K105" si="102">sum(J91:J104)</f>
        <v>61076</v>
      </c>
      <c r="K105" s="64">
        <f t="shared" si="102"/>
        <v>1008</v>
      </c>
      <c r="L105" s="65" t="str">
        <f>average(L91:L104)</f>
        <v>#DIV/0!</v>
      </c>
      <c r="M105" s="68"/>
      <c r="N105" s="69">
        <f>sum(N98:N104)</f>
        <v>5796080</v>
      </c>
      <c r="R105" s="80" t="str">
        <f t="shared" si="63"/>
        <v/>
      </c>
    </row>
    <row r="106">
      <c r="A106" s="70">
        <v>45933.0</v>
      </c>
      <c r="B106" s="99" t="s">
        <v>40</v>
      </c>
      <c r="C106" s="13">
        <v>107417.0</v>
      </c>
      <c r="D106" s="13">
        <v>108029.0</v>
      </c>
      <c r="E106" s="38">
        <f t="shared" ref="E106:E112" si="103">D106-C106</f>
        <v>612</v>
      </c>
      <c r="F106" s="39">
        <v>69.0</v>
      </c>
      <c r="G106" s="14">
        <f t="shared" ref="G106:G112" si="104">(F106/E106)*100</f>
        <v>11.2745098</v>
      </c>
      <c r="H106" s="137"/>
      <c r="I106" s="275"/>
      <c r="J106" s="41">
        <f t="shared" ref="J106:J112" si="105">I106-H106</f>
        <v>0</v>
      </c>
      <c r="K106" s="81">
        <f t="shared" ref="K106:K112" si="106">F106</f>
        <v>69</v>
      </c>
      <c r="L106" s="71" t="str">
        <f t="shared" ref="L106:L112" si="107">(K106/J106)*100</f>
        <v>#DIV/0!</v>
      </c>
      <c r="M106" s="72">
        <v>19030.0</v>
      </c>
      <c r="N106" s="44">
        <f t="shared" ref="N106:N112" si="108">F106*M106</f>
        <v>1313070</v>
      </c>
      <c r="R106" s="80" t="str">
        <f t="shared" si="63"/>
        <v/>
      </c>
    </row>
    <row r="107">
      <c r="A107" s="45">
        <v>45941.0</v>
      </c>
      <c r="B107" s="51" t="s">
        <v>40</v>
      </c>
      <c r="C107" s="13">
        <v>108029.0</v>
      </c>
      <c r="D107" s="11">
        <v>108668.0</v>
      </c>
      <c r="E107" s="53">
        <f t="shared" si="103"/>
        <v>639</v>
      </c>
      <c r="F107" s="54">
        <v>74.0</v>
      </c>
      <c r="G107" s="14">
        <f t="shared" si="104"/>
        <v>11.58059468</v>
      </c>
      <c r="H107" s="37"/>
      <c r="I107" s="40">
        <v>107470.0</v>
      </c>
      <c r="J107" s="37">
        <f t="shared" si="105"/>
        <v>107470</v>
      </c>
      <c r="K107" s="52">
        <f t="shared" si="106"/>
        <v>74</v>
      </c>
      <c r="L107" s="48">
        <f t="shared" si="107"/>
        <v>0.06885642505</v>
      </c>
      <c r="M107" s="50">
        <v>18600.0</v>
      </c>
      <c r="N107" s="49">
        <f t="shared" si="108"/>
        <v>1376400</v>
      </c>
      <c r="R107" s="80" t="str">
        <f t="shared" si="63"/>
        <v/>
      </c>
    </row>
    <row r="108">
      <c r="A108" s="35">
        <v>45948.0</v>
      </c>
      <c r="B108" s="46" t="s">
        <v>40</v>
      </c>
      <c r="C108" s="13">
        <v>108668.0</v>
      </c>
      <c r="D108" s="13">
        <v>109350.0</v>
      </c>
      <c r="E108" s="12">
        <f t="shared" si="103"/>
        <v>682</v>
      </c>
      <c r="F108" s="47">
        <v>70.0</v>
      </c>
      <c r="G108" s="14">
        <f t="shared" si="104"/>
        <v>10.26392962</v>
      </c>
      <c r="H108" s="37">
        <v>107470.0</v>
      </c>
      <c r="I108" s="40">
        <v>108100.0</v>
      </c>
      <c r="J108" s="37">
        <f t="shared" si="105"/>
        <v>630</v>
      </c>
      <c r="K108" s="52">
        <f t="shared" si="106"/>
        <v>70</v>
      </c>
      <c r="L108" s="48">
        <f t="shared" si="107"/>
        <v>11.11111111</v>
      </c>
      <c r="M108" s="50">
        <v>18420.0</v>
      </c>
      <c r="N108" s="49">
        <f t="shared" si="108"/>
        <v>1289400</v>
      </c>
      <c r="R108" s="80" t="str">
        <f t="shared" si="63"/>
        <v/>
      </c>
    </row>
    <row r="109">
      <c r="A109" s="35">
        <v>45590.0</v>
      </c>
      <c r="B109" s="46" t="s">
        <v>40</v>
      </c>
      <c r="C109" s="13">
        <v>109350.0</v>
      </c>
      <c r="D109" s="13">
        <v>109963.0</v>
      </c>
      <c r="E109" s="12">
        <f t="shared" si="103"/>
        <v>613</v>
      </c>
      <c r="F109" s="47">
        <v>71.0</v>
      </c>
      <c r="G109" s="14">
        <f t="shared" si="104"/>
        <v>11.58238173</v>
      </c>
      <c r="H109" s="37">
        <v>108100.0</v>
      </c>
      <c r="I109" s="40">
        <v>108690.0</v>
      </c>
      <c r="J109" s="37">
        <f t="shared" si="105"/>
        <v>590</v>
      </c>
      <c r="K109" s="52">
        <f t="shared" si="106"/>
        <v>71</v>
      </c>
      <c r="L109" s="48">
        <f t="shared" si="107"/>
        <v>12.03389831</v>
      </c>
      <c r="M109" s="50">
        <v>17880.0</v>
      </c>
      <c r="N109" s="49">
        <f t="shared" si="108"/>
        <v>1269480</v>
      </c>
      <c r="R109" s="80" t="str">
        <f t="shared" si="63"/>
        <v/>
      </c>
    </row>
    <row r="110">
      <c r="A110" s="35"/>
      <c r="B110" s="46" t="s">
        <v>40</v>
      </c>
      <c r="C110" s="37"/>
      <c r="D110" s="37"/>
      <c r="E110" s="12">
        <f t="shared" si="103"/>
        <v>0</v>
      </c>
      <c r="F110" s="47"/>
      <c r="G110" s="14" t="str">
        <f t="shared" si="104"/>
        <v>#DIV/0!</v>
      </c>
      <c r="H110" s="37"/>
      <c r="I110" s="40"/>
      <c r="J110" s="37">
        <f t="shared" si="105"/>
        <v>0</v>
      </c>
      <c r="K110" s="52" t="str">
        <f t="shared" si="106"/>
        <v/>
      </c>
      <c r="L110" s="48" t="str">
        <f t="shared" si="107"/>
        <v>#DIV/0!</v>
      </c>
      <c r="M110" s="50"/>
      <c r="N110" s="49">
        <f t="shared" si="108"/>
        <v>0</v>
      </c>
      <c r="R110" s="80" t="str">
        <f t="shared" si="63"/>
        <v/>
      </c>
    </row>
    <row r="111">
      <c r="A111" s="132"/>
      <c r="B111" s="46"/>
      <c r="C111" s="37"/>
      <c r="D111" s="133"/>
      <c r="E111" s="12">
        <f t="shared" si="103"/>
        <v>0</v>
      </c>
      <c r="F111" s="47"/>
      <c r="G111" s="14" t="str">
        <f t="shared" si="104"/>
        <v>#DIV/0!</v>
      </c>
      <c r="H111" s="37"/>
      <c r="I111" s="40"/>
      <c r="J111" s="37">
        <f t="shared" si="105"/>
        <v>0</v>
      </c>
      <c r="K111" s="52" t="str">
        <f t="shared" si="106"/>
        <v/>
      </c>
      <c r="L111" s="48" t="str">
        <f t="shared" si="107"/>
        <v>#DIV/0!</v>
      </c>
      <c r="M111" s="134"/>
      <c r="N111" s="49">
        <f t="shared" si="108"/>
        <v>0</v>
      </c>
      <c r="R111" s="80" t="str">
        <f t="shared" si="63"/>
        <v/>
      </c>
    </row>
    <row r="112">
      <c r="A112" s="94"/>
      <c r="B112" s="267"/>
      <c r="C112" s="55"/>
      <c r="D112" s="95"/>
      <c r="E112" s="25">
        <f t="shared" si="103"/>
        <v>0</v>
      </c>
      <c r="F112" s="47"/>
      <c r="G112" s="56" t="str">
        <f t="shared" si="104"/>
        <v>#DIV/0!</v>
      </c>
      <c r="H112" s="55"/>
      <c r="I112" s="85"/>
      <c r="J112" s="55">
        <f t="shared" si="105"/>
        <v>0</v>
      </c>
      <c r="K112" s="52" t="str">
        <f t="shared" si="106"/>
        <v/>
      </c>
      <c r="L112" s="77" t="str">
        <f t="shared" si="107"/>
        <v>#DIV/0!</v>
      </c>
      <c r="M112" s="96"/>
      <c r="N112" s="59">
        <f t="shared" si="108"/>
        <v>0</v>
      </c>
      <c r="R112" s="80" t="str">
        <f t="shared" si="63"/>
        <v/>
      </c>
    </row>
    <row r="113">
      <c r="A113" s="62"/>
      <c r="B113" s="63"/>
      <c r="C113" s="62"/>
      <c r="D113" s="64" t="s">
        <v>19</v>
      </c>
      <c r="E113" s="64">
        <f>sum(E106:E112)</f>
        <v>2546</v>
      </c>
      <c r="F113" s="39"/>
      <c r="G113" s="65" t="str">
        <f>average(G106:G112)</f>
        <v>#DIV/0!</v>
      </c>
      <c r="H113" s="62"/>
      <c r="I113" s="66"/>
      <c r="J113" s="64">
        <f t="shared" ref="J113:K113" si="109">sum(J106:J112)</f>
        <v>108690</v>
      </c>
      <c r="K113" s="64">
        <f t="shared" si="109"/>
        <v>284</v>
      </c>
      <c r="L113" s="65" t="str">
        <f>average(L106:L112)</f>
        <v>#DIV/0!</v>
      </c>
      <c r="M113" s="68"/>
      <c r="N113" s="69">
        <f>sum(N106:N112)</f>
        <v>5248350</v>
      </c>
      <c r="R113" s="80" t="str">
        <f t="shared" si="63"/>
        <v/>
      </c>
    </row>
    <row r="114">
      <c r="A114" s="70">
        <v>45936.0</v>
      </c>
      <c r="B114" s="99" t="s">
        <v>41</v>
      </c>
      <c r="C114" s="288">
        <v>164465.0</v>
      </c>
      <c r="D114" s="13">
        <v>165023.0</v>
      </c>
      <c r="E114" s="38">
        <f t="shared" ref="E114:E120" si="110">D114-C114</f>
        <v>558</v>
      </c>
      <c r="F114" s="39">
        <v>66.0</v>
      </c>
      <c r="G114" s="14">
        <f t="shared" ref="G114:G120" si="111">(F114/E114)*100</f>
        <v>11.82795699</v>
      </c>
      <c r="H114" s="137"/>
      <c r="I114" s="275"/>
      <c r="J114" s="41">
        <f t="shared" ref="J114:J120" si="112">I114-H114</f>
        <v>0</v>
      </c>
      <c r="K114" s="81">
        <f t="shared" ref="K114:K120" si="113">F114</f>
        <v>66</v>
      </c>
      <c r="L114" s="71" t="str">
        <f t="shared" ref="L114:L120" si="114">(K114/J114)*100</f>
        <v>#DIV/0!</v>
      </c>
      <c r="M114" s="289">
        <v>19030.0</v>
      </c>
      <c r="N114" s="44">
        <f t="shared" ref="N114:N120" si="115">F114*M114</f>
        <v>1255980</v>
      </c>
      <c r="R114" s="80" t="str">
        <f t="shared" si="63"/>
        <v/>
      </c>
    </row>
    <row r="115">
      <c r="A115" s="128">
        <v>45945.0</v>
      </c>
      <c r="B115" s="129" t="s">
        <v>41</v>
      </c>
      <c r="C115" s="13">
        <v>165023.0</v>
      </c>
      <c r="D115" s="53">
        <v>165650.0</v>
      </c>
      <c r="E115" s="53">
        <f t="shared" si="110"/>
        <v>627</v>
      </c>
      <c r="F115" s="130">
        <v>71.0</v>
      </c>
      <c r="G115" s="14">
        <f t="shared" si="111"/>
        <v>11.32376396</v>
      </c>
      <c r="H115" s="37"/>
      <c r="I115" s="40">
        <v>13170.0</v>
      </c>
      <c r="J115" s="37">
        <f t="shared" si="112"/>
        <v>13170</v>
      </c>
      <c r="K115" s="52">
        <f t="shared" si="113"/>
        <v>71</v>
      </c>
      <c r="L115" s="48">
        <f t="shared" si="114"/>
        <v>0.5391040243</v>
      </c>
      <c r="M115" s="50">
        <v>18600.0</v>
      </c>
      <c r="N115" s="131">
        <f t="shared" si="115"/>
        <v>1320600</v>
      </c>
      <c r="R115" s="80" t="str">
        <f t="shared" si="63"/>
        <v/>
      </c>
    </row>
    <row r="116">
      <c r="A116" s="128">
        <v>45952.0</v>
      </c>
      <c r="B116" s="129" t="s">
        <v>41</v>
      </c>
      <c r="C116" s="53">
        <v>165650.0</v>
      </c>
      <c r="D116" s="53">
        <v>166200.0</v>
      </c>
      <c r="E116" s="53">
        <f t="shared" si="110"/>
        <v>550</v>
      </c>
      <c r="F116" s="130">
        <v>60.0</v>
      </c>
      <c r="G116" s="14">
        <f t="shared" si="111"/>
        <v>10.90909091</v>
      </c>
      <c r="H116" s="37"/>
      <c r="I116" s="37">
        <v>8936.0</v>
      </c>
      <c r="J116" s="37">
        <f t="shared" si="112"/>
        <v>8936</v>
      </c>
      <c r="K116" s="52">
        <f t="shared" si="113"/>
        <v>60</v>
      </c>
      <c r="L116" s="48">
        <f t="shared" si="114"/>
        <v>0.6714413608</v>
      </c>
      <c r="M116" s="50">
        <v>18420.0</v>
      </c>
      <c r="N116" s="131">
        <f t="shared" si="115"/>
        <v>1105200</v>
      </c>
      <c r="R116" s="80" t="str">
        <f t="shared" si="63"/>
        <v/>
      </c>
    </row>
    <row r="117">
      <c r="A117" s="35">
        <v>45958.0</v>
      </c>
      <c r="B117" s="46" t="s">
        <v>41</v>
      </c>
      <c r="C117" s="53">
        <v>166200.0</v>
      </c>
      <c r="D117" s="37">
        <v>166810.0</v>
      </c>
      <c r="E117" s="12">
        <f t="shared" si="110"/>
        <v>610</v>
      </c>
      <c r="F117" s="47">
        <v>68.0</v>
      </c>
      <c r="G117" s="14">
        <f t="shared" si="111"/>
        <v>11.14754098</v>
      </c>
      <c r="H117" s="37"/>
      <c r="I117" s="40"/>
      <c r="J117" s="37">
        <f t="shared" si="112"/>
        <v>0</v>
      </c>
      <c r="K117" s="52">
        <f t="shared" si="113"/>
        <v>68</v>
      </c>
      <c r="L117" s="48" t="str">
        <f t="shared" si="114"/>
        <v>#DIV/0!</v>
      </c>
      <c r="M117" s="50">
        <v>17880.0</v>
      </c>
      <c r="N117" s="131">
        <f t="shared" si="115"/>
        <v>1215840</v>
      </c>
      <c r="R117" s="80" t="str">
        <f t="shared" si="63"/>
        <v/>
      </c>
    </row>
    <row r="118">
      <c r="A118" s="136"/>
      <c r="B118" s="51" t="s">
        <v>41</v>
      </c>
      <c r="C118" s="52"/>
      <c r="D118" s="52"/>
      <c r="E118" s="12">
        <f t="shared" si="110"/>
        <v>0</v>
      </c>
      <c r="F118" s="47"/>
      <c r="G118" s="14" t="str">
        <f t="shared" si="111"/>
        <v>#DIV/0!</v>
      </c>
      <c r="H118" s="37"/>
      <c r="I118" s="40"/>
      <c r="J118" s="37">
        <f t="shared" si="112"/>
        <v>0</v>
      </c>
      <c r="K118" s="52" t="str">
        <f t="shared" si="113"/>
        <v/>
      </c>
      <c r="L118" s="48" t="str">
        <f t="shared" si="114"/>
        <v>#DIV/0!</v>
      </c>
      <c r="M118" s="50"/>
      <c r="N118" s="131">
        <f t="shared" si="115"/>
        <v>0</v>
      </c>
      <c r="R118" s="80" t="str">
        <f t="shared" si="63"/>
        <v/>
      </c>
    </row>
    <row r="119">
      <c r="A119" s="132"/>
      <c r="B119" s="46" t="s">
        <v>41</v>
      </c>
      <c r="C119" s="37"/>
      <c r="D119" s="133"/>
      <c r="E119" s="12">
        <f t="shared" si="110"/>
        <v>0</v>
      </c>
      <c r="F119" s="47"/>
      <c r="G119" s="14" t="str">
        <f t="shared" si="111"/>
        <v>#DIV/0!</v>
      </c>
      <c r="H119" s="37"/>
      <c r="I119" s="40"/>
      <c r="J119" s="37">
        <f t="shared" si="112"/>
        <v>0</v>
      </c>
      <c r="K119" s="52" t="str">
        <f t="shared" si="113"/>
        <v/>
      </c>
      <c r="L119" s="48" t="str">
        <f t="shared" si="114"/>
        <v>#DIV/0!</v>
      </c>
      <c r="M119" s="134"/>
      <c r="N119" s="131">
        <f t="shared" si="115"/>
        <v>0</v>
      </c>
      <c r="R119" s="80" t="str">
        <f t="shared" si="63"/>
        <v/>
      </c>
    </row>
    <row r="120">
      <c r="A120" s="94"/>
      <c r="B120" s="267"/>
      <c r="C120" s="55"/>
      <c r="D120" s="95"/>
      <c r="E120" s="25">
        <f t="shared" si="110"/>
        <v>0</v>
      </c>
      <c r="F120" s="47"/>
      <c r="G120" s="56" t="str">
        <f t="shared" si="111"/>
        <v>#DIV/0!</v>
      </c>
      <c r="H120" s="55"/>
      <c r="I120" s="85"/>
      <c r="J120" s="55">
        <f t="shared" si="112"/>
        <v>0</v>
      </c>
      <c r="K120" s="52" t="str">
        <f t="shared" si="113"/>
        <v/>
      </c>
      <c r="L120" s="77" t="str">
        <f t="shared" si="114"/>
        <v>#DIV/0!</v>
      </c>
      <c r="M120" s="96"/>
      <c r="N120" s="135">
        <f t="shared" si="115"/>
        <v>0</v>
      </c>
      <c r="R120" s="80" t="str">
        <f t="shared" si="63"/>
        <v/>
      </c>
    </row>
    <row r="121">
      <c r="A121" s="62"/>
      <c r="B121" s="63"/>
      <c r="C121" s="62"/>
      <c r="D121" s="64" t="s">
        <v>19</v>
      </c>
      <c r="E121" s="64">
        <f>sum(E114:E120)</f>
        <v>2345</v>
      </c>
      <c r="F121" s="64">
        <f>sum(F113:F120)</f>
        <v>265</v>
      </c>
      <c r="G121" s="65" t="str">
        <f>average(G114:G120)</f>
        <v>#DIV/0!</v>
      </c>
      <c r="H121" s="62"/>
      <c r="I121" s="66"/>
      <c r="J121" s="64">
        <f t="shared" ref="J121:K121" si="116">sum(J114:J120)</f>
        <v>22106</v>
      </c>
      <c r="K121" s="64">
        <f t="shared" si="116"/>
        <v>265</v>
      </c>
      <c r="L121" s="65" t="str">
        <f>average(L114:L120)</f>
        <v>#DIV/0!</v>
      </c>
      <c r="M121" s="68"/>
      <c r="N121" s="69">
        <f>sum(N114:N120)</f>
        <v>4897620</v>
      </c>
      <c r="R121" s="80" t="str">
        <f t="shared" si="63"/>
        <v/>
      </c>
    </row>
    <row r="122">
      <c r="A122" s="70">
        <v>45932.0</v>
      </c>
      <c r="B122" s="99" t="s">
        <v>27</v>
      </c>
      <c r="C122" s="89"/>
      <c r="D122" s="13"/>
      <c r="E122" s="38">
        <f t="shared" ref="E122:E129" si="117">D122-C122</f>
        <v>0</v>
      </c>
      <c r="F122" s="39"/>
      <c r="G122" s="14" t="str">
        <f t="shared" ref="G122:G129" si="118">(F122/E122)*100</f>
        <v>#DIV/0!</v>
      </c>
      <c r="H122" s="137"/>
      <c r="I122" s="138"/>
      <c r="J122" s="41">
        <f t="shared" ref="J122:J129" si="119">I122-H122</f>
        <v>0</v>
      </c>
      <c r="K122" s="81">
        <v>60.0</v>
      </c>
      <c r="L122" s="71" t="str">
        <f t="shared" ref="L122:L129" si="120">(K122/J122)*100</f>
        <v>#DIV/0!</v>
      </c>
      <c r="M122" s="72">
        <v>18650.0</v>
      </c>
      <c r="N122" s="44">
        <f t="shared" ref="N122:N129" si="121">M122*K122</f>
        <v>1119000</v>
      </c>
      <c r="R122" s="80" t="str">
        <f t="shared" si="63"/>
        <v/>
      </c>
    </row>
    <row r="123">
      <c r="A123" s="35">
        <v>45936.0</v>
      </c>
      <c r="B123" s="46" t="s">
        <v>27</v>
      </c>
      <c r="C123" s="37"/>
      <c r="D123" s="13"/>
      <c r="E123" s="12">
        <f t="shared" si="117"/>
        <v>0</v>
      </c>
      <c r="F123" s="47"/>
      <c r="G123" s="14" t="str">
        <f t="shared" si="118"/>
        <v>#DIV/0!</v>
      </c>
      <c r="H123" s="40"/>
      <c r="I123" s="40"/>
      <c r="J123" s="37">
        <f t="shared" si="119"/>
        <v>0</v>
      </c>
      <c r="K123" s="52">
        <v>62.0</v>
      </c>
      <c r="L123" s="48" t="str">
        <f t="shared" si="120"/>
        <v>#DIV/0!</v>
      </c>
      <c r="M123" s="50">
        <v>19030.0</v>
      </c>
      <c r="N123" s="44">
        <f t="shared" si="121"/>
        <v>1179860</v>
      </c>
      <c r="R123" s="80" t="str">
        <f t="shared" si="63"/>
        <v/>
      </c>
    </row>
    <row r="124">
      <c r="A124" s="35">
        <v>45939.0</v>
      </c>
      <c r="B124" s="46" t="s">
        <v>27</v>
      </c>
      <c r="C124" s="37"/>
      <c r="D124" s="37"/>
      <c r="E124" s="12">
        <f t="shared" si="117"/>
        <v>0</v>
      </c>
      <c r="F124" s="47"/>
      <c r="G124" s="14" t="str">
        <f t="shared" si="118"/>
        <v>#DIV/0!</v>
      </c>
      <c r="H124" s="37"/>
      <c r="I124" s="40"/>
      <c r="J124" s="37">
        <f t="shared" si="119"/>
        <v>0</v>
      </c>
      <c r="K124" s="52">
        <v>57.0</v>
      </c>
      <c r="L124" s="48" t="str">
        <f t="shared" si="120"/>
        <v>#DIV/0!</v>
      </c>
      <c r="M124" s="50">
        <v>19030.0</v>
      </c>
      <c r="N124" s="44">
        <f t="shared" si="121"/>
        <v>1084710</v>
      </c>
      <c r="R124" s="80" t="str">
        <f t="shared" si="63"/>
        <v/>
      </c>
    </row>
    <row r="125">
      <c r="A125" s="35">
        <v>45944.0</v>
      </c>
      <c r="B125" s="46" t="s">
        <v>27</v>
      </c>
      <c r="C125" s="37"/>
      <c r="D125" s="37"/>
      <c r="E125" s="12">
        <f t="shared" si="117"/>
        <v>0</v>
      </c>
      <c r="F125" s="47"/>
      <c r="G125" s="14" t="str">
        <f t="shared" si="118"/>
        <v>#DIV/0!</v>
      </c>
      <c r="H125" s="37"/>
      <c r="I125" s="40"/>
      <c r="J125" s="37">
        <f t="shared" si="119"/>
        <v>0</v>
      </c>
      <c r="K125" s="52">
        <v>65.0</v>
      </c>
      <c r="L125" s="48" t="str">
        <f t="shared" si="120"/>
        <v>#DIV/0!</v>
      </c>
      <c r="M125" s="50">
        <v>18600.0</v>
      </c>
      <c r="N125" s="44">
        <f t="shared" si="121"/>
        <v>1209000</v>
      </c>
      <c r="R125" s="80" t="str">
        <f t="shared" si="63"/>
        <v/>
      </c>
    </row>
    <row r="126">
      <c r="A126" s="35">
        <v>45948.0</v>
      </c>
      <c r="B126" s="46" t="s">
        <v>27</v>
      </c>
      <c r="C126" s="37"/>
      <c r="D126" s="37"/>
      <c r="E126" s="12">
        <f t="shared" si="117"/>
        <v>0</v>
      </c>
      <c r="F126" s="47"/>
      <c r="G126" s="14" t="str">
        <f t="shared" si="118"/>
        <v>#DIV/0!</v>
      </c>
      <c r="H126" s="37"/>
      <c r="I126" s="40"/>
      <c r="J126" s="37">
        <f t="shared" si="119"/>
        <v>0</v>
      </c>
      <c r="K126" s="52">
        <v>62.0</v>
      </c>
      <c r="L126" s="48" t="str">
        <f t="shared" si="120"/>
        <v>#DIV/0!</v>
      </c>
      <c r="M126" s="50">
        <v>18420.0</v>
      </c>
      <c r="N126" s="44">
        <f t="shared" si="121"/>
        <v>1142040</v>
      </c>
      <c r="R126" s="80" t="str">
        <f t="shared" si="63"/>
        <v/>
      </c>
    </row>
    <row r="127">
      <c r="A127" s="35">
        <v>45952.0</v>
      </c>
      <c r="B127" s="46" t="s">
        <v>27</v>
      </c>
      <c r="C127" s="37"/>
      <c r="D127" s="133"/>
      <c r="E127" s="12">
        <f t="shared" si="117"/>
        <v>0</v>
      </c>
      <c r="F127" s="47"/>
      <c r="G127" s="14" t="str">
        <f t="shared" si="118"/>
        <v>#DIV/0!</v>
      </c>
      <c r="H127" s="37"/>
      <c r="I127" s="93"/>
      <c r="J127" s="37">
        <f t="shared" si="119"/>
        <v>0</v>
      </c>
      <c r="K127" s="52">
        <v>58.0</v>
      </c>
      <c r="L127" s="48" t="str">
        <f t="shared" si="120"/>
        <v>#DIV/0!</v>
      </c>
      <c r="M127" s="50">
        <v>18420.0</v>
      </c>
      <c r="N127" s="44">
        <f t="shared" si="121"/>
        <v>1068360</v>
      </c>
      <c r="R127" s="80" t="str">
        <f t="shared" si="63"/>
        <v/>
      </c>
    </row>
    <row r="128">
      <c r="A128" s="35">
        <v>45955.0</v>
      </c>
      <c r="B128" s="46" t="s">
        <v>27</v>
      </c>
      <c r="C128" s="37"/>
      <c r="D128" s="133"/>
      <c r="E128" s="12">
        <f t="shared" si="117"/>
        <v>0</v>
      </c>
      <c r="F128" s="47"/>
      <c r="G128" s="14" t="str">
        <f t="shared" si="118"/>
        <v>#DIV/0!</v>
      </c>
      <c r="H128" s="37"/>
      <c r="I128" s="93"/>
      <c r="J128" s="37">
        <f t="shared" si="119"/>
        <v>0</v>
      </c>
      <c r="K128" s="52">
        <v>66.0</v>
      </c>
      <c r="L128" s="48" t="str">
        <f t="shared" si="120"/>
        <v>#DIV/0!</v>
      </c>
      <c r="M128" s="50">
        <v>17880.0</v>
      </c>
      <c r="N128" s="44">
        <f t="shared" si="121"/>
        <v>1180080</v>
      </c>
      <c r="R128" s="80" t="str">
        <f t="shared" si="63"/>
        <v/>
      </c>
    </row>
    <row r="129">
      <c r="A129" s="236">
        <v>45959.0</v>
      </c>
      <c r="B129" s="83" t="s">
        <v>27</v>
      </c>
      <c r="C129" s="55"/>
      <c r="D129" s="95"/>
      <c r="E129" s="25">
        <f t="shared" si="117"/>
        <v>0</v>
      </c>
      <c r="F129" s="47"/>
      <c r="G129" s="56" t="str">
        <f t="shared" si="118"/>
        <v>#DIV/0!</v>
      </c>
      <c r="H129" s="55"/>
      <c r="I129" s="85"/>
      <c r="J129" s="55">
        <f t="shared" si="119"/>
        <v>0</v>
      </c>
      <c r="K129" s="52">
        <v>60.0</v>
      </c>
      <c r="L129" s="77" t="str">
        <f t="shared" si="120"/>
        <v>#DIV/0!</v>
      </c>
      <c r="M129" s="58">
        <v>17880.0</v>
      </c>
      <c r="N129" s="49">
        <f t="shared" si="121"/>
        <v>1072800</v>
      </c>
      <c r="R129" s="80" t="str">
        <f t="shared" si="63"/>
        <v/>
      </c>
    </row>
    <row r="130">
      <c r="A130" s="62"/>
      <c r="B130" s="63"/>
      <c r="C130" s="62"/>
      <c r="D130" s="64" t="s">
        <v>19</v>
      </c>
      <c r="E130" s="64">
        <f t="shared" ref="E130:F130" si="122">sum(E122:E129)</f>
        <v>0</v>
      </c>
      <c r="F130" s="64">
        <f t="shared" si="122"/>
        <v>0</v>
      </c>
      <c r="G130" s="65" t="str">
        <f>average(G122:G129)</f>
        <v>#DIV/0!</v>
      </c>
      <c r="H130" s="62"/>
      <c r="I130" s="66"/>
      <c r="J130" s="64">
        <f t="shared" ref="J130:K130" si="123">sum(J122:J129)</f>
        <v>0</v>
      </c>
      <c r="K130" s="64">
        <f t="shared" si="123"/>
        <v>490</v>
      </c>
      <c r="L130" s="65" t="str">
        <f>average(L122:L129)</f>
        <v>#DIV/0!</v>
      </c>
      <c r="M130" s="68"/>
      <c r="N130" s="147">
        <f>sum(N122:N129)</f>
        <v>9055850</v>
      </c>
      <c r="R130" s="80" t="str">
        <f t="shared" si="63"/>
        <v/>
      </c>
    </row>
    <row r="131">
      <c r="A131" s="70">
        <v>45931.0</v>
      </c>
      <c r="B131" s="99" t="s">
        <v>28</v>
      </c>
      <c r="C131" s="89"/>
      <c r="D131" s="13"/>
      <c r="E131" s="38">
        <f t="shared" ref="E131:E138" si="124">D131-C131</f>
        <v>0</v>
      </c>
      <c r="F131" s="39"/>
      <c r="G131" s="14" t="str">
        <f t="shared" ref="G131:G138" si="125">(F131/E131)*100</f>
        <v>#DIV/0!</v>
      </c>
      <c r="H131" s="137"/>
      <c r="I131" s="138"/>
      <c r="J131" s="41">
        <f t="shared" ref="J131:J138" si="126">I131-H131</f>
        <v>0</v>
      </c>
      <c r="K131" s="81">
        <v>70.0</v>
      </c>
      <c r="L131" s="71" t="str">
        <f t="shared" ref="L131:L134" si="127">(K131/J131)*100</f>
        <v>#DIV/0!</v>
      </c>
      <c r="M131" s="72">
        <v>18650.0</v>
      </c>
      <c r="N131" s="49">
        <f t="shared" ref="N131:N136" si="128">M131*K131</f>
        <v>1305500</v>
      </c>
      <c r="R131" s="80" t="str">
        <f t="shared" si="63"/>
        <v/>
      </c>
    </row>
    <row r="132">
      <c r="A132" s="35">
        <v>45937.0</v>
      </c>
      <c r="B132" s="99" t="s">
        <v>28</v>
      </c>
      <c r="C132" s="37"/>
      <c r="D132" s="13"/>
      <c r="E132" s="12">
        <f t="shared" si="124"/>
        <v>0</v>
      </c>
      <c r="F132" s="47"/>
      <c r="G132" s="14" t="str">
        <f t="shared" si="125"/>
        <v>#DIV/0!</v>
      </c>
      <c r="H132" s="40"/>
      <c r="I132" s="40"/>
      <c r="J132" s="37">
        <f t="shared" si="126"/>
        <v>0</v>
      </c>
      <c r="K132" s="52">
        <v>70.0</v>
      </c>
      <c r="L132" s="71" t="str">
        <f t="shared" si="127"/>
        <v>#DIV/0!</v>
      </c>
      <c r="M132" s="50">
        <v>19030.0</v>
      </c>
      <c r="N132" s="49">
        <f t="shared" si="128"/>
        <v>1332100</v>
      </c>
      <c r="R132" s="80" t="str">
        <f t="shared" si="63"/>
        <v/>
      </c>
    </row>
    <row r="133">
      <c r="A133" s="35">
        <v>45947.0</v>
      </c>
      <c r="B133" s="99" t="s">
        <v>28</v>
      </c>
      <c r="C133" s="37"/>
      <c r="D133" s="37"/>
      <c r="E133" s="12">
        <f t="shared" si="124"/>
        <v>0</v>
      </c>
      <c r="F133" s="47"/>
      <c r="G133" s="14" t="str">
        <f t="shared" si="125"/>
        <v>#DIV/0!</v>
      </c>
      <c r="H133" s="37"/>
      <c r="I133" s="40"/>
      <c r="J133" s="37">
        <f t="shared" si="126"/>
        <v>0</v>
      </c>
      <c r="K133" s="52">
        <v>70.0</v>
      </c>
      <c r="L133" s="48" t="str">
        <f t="shared" si="127"/>
        <v>#DIV/0!</v>
      </c>
      <c r="M133" s="50">
        <v>18420.0</v>
      </c>
      <c r="N133" s="49">
        <f t="shared" si="128"/>
        <v>1289400</v>
      </c>
      <c r="R133" s="80" t="str">
        <f t="shared" si="63"/>
        <v/>
      </c>
    </row>
    <row r="134">
      <c r="A134" s="35">
        <v>45951.0</v>
      </c>
      <c r="B134" s="99" t="s">
        <v>28</v>
      </c>
      <c r="C134" s="37"/>
      <c r="D134" s="37"/>
      <c r="E134" s="12">
        <f t="shared" si="124"/>
        <v>0</v>
      </c>
      <c r="F134" s="47"/>
      <c r="G134" s="14" t="str">
        <f t="shared" si="125"/>
        <v>#DIV/0!</v>
      </c>
      <c r="H134" s="37"/>
      <c r="I134" s="40"/>
      <c r="J134" s="37">
        <f t="shared" si="126"/>
        <v>0</v>
      </c>
      <c r="K134" s="52">
        <v>70.0</v>
      </c>
      <c r="L134" s="48" t="str">
        <f t="shared" si="127"/>
        <v>#DIV/0!</v>
      </c>
      <c r="M134" s="50">
        <v>18420.0</v>
      </c>
      <c r="N134" s="49">
        <f t="shared" si="128"/>
        <v>1289400</v>
      </c>
      <c r="R134" s="80" t="str">
        <f t="shared" si="63"/>
        <v/>
      </c>
    </row>
    <row r="135">
      <c r="A135" s="35">
        <v>45954.0</v>
      </c>
      <c r="B135" s="99" t="s">
        <v>28</v>
      </c>
      <c r="C135" s="37"/>
      <c r="D135" s="37"/>
      <c r="E135" s="12">
        <f t="shared" si="124"/>
        <v>0</v>
      </c>
      <c r="F135" s="47"/>
      <c r="G135" s="14" t="str">
        <f t="shared" si="125"/>
        <v>#DIV/0!</v>
      </c>
      <c r="H135" s="37"/>
      <c r="I135" s="40"/>
      <c r="J135" s="37">
        <f t="shared" si="126"/>
        <v>0</v>
      </c>
      <c r="K135" s="52">
        <v>70.0</v>
      </c>
      <c r="L135" s="48"/>
      <c r="M135" s="50">
        <v>17880.0</v>
      </c>
      <c r="N135" s="49">
        <f t="shared" si="128"/>
        <v>1251600</v>
      </c>
      <c r="R135" s="80" t="str">
        <f t="shared" si="63"/>
        <v/>
      </c>
    </row>
    <row r="136">
      <c r="A136" s="35">
        <v>45960.0</v>
      </c>
      <c r="B136" s="99" t="s">
        <v>28</v>
      </c>
      <c r="C136" s="37"/>
      <c r="D136" s="133"/>
      <c r="E136" s="12">
        <f t="shared" si="124"/>
        <v>0</v>
      </c>
      <c r="F136" s="47"/>
      <c r="G136" s="14" t="str">
        <f t="shared" si="125"/>
        <v>#DIV/0!</v>
      </c>
      <c r="H136" s="37"/>
      <c r="I136" s="93"/>
      <c r="J136" s="37">
        <f t="shared" si="126"/>
        <v>0</v>
      </c>
      <c r="K136" s="52">
        <v>70.0</v>
      </c>
      <c r="L136" s="48" t="str">
        <f t="shared" ref="L136:L138" si="129">(K136/J136)*100</f>
        <v>#DIV/0!</v>
      </c>
      <c r="M136" s="50">
        <v>17880.0</v>
      </c>
      <c r="N136" s="49">
        <f t="shared" si="128"/>
        <v>1251600</v>
      </c>
      <c r="R136" s="80" t="str">
        <f t="shared" si="63"/>
        <v/>
      </c>
    </row>
    <row r="137">
      <c r="A137" s="35"/>
      <c r="B137" s="46"/>
      <c r="C137" s="37"/>
      <c r="D137" s="133"/>
      <c r="E137" s="12">
        <f t="shared" si="124"/>
        <v>0</v>
      </c>
      <c r="F137" s="47"/>
      <c r="G137" s="14" t="str">
        <f t="shared" si="125"/>
        <v>#DIV/0!</v>
      </c>
      <c r="H137" s="37"/>
      <c r="I137" s="93"/>
      <c r="J137" s="37">
        <f t="shared" si="126"/>
        <v>0</v>
      </c>
      <c r="K137" s="52" t="str">
        <f t="shared" ref="K137:K138" si="130">F137</f>
        <v/>
      </c>
      <c r="L137" s="48" t="str">
        <f t="shared" si="129"/>
        <v>#DIV/0!</v>
      </c>
      <c r="M137" s="50"/>
      <c r="N137" s="49">
        <f>F137*M137</f>
        <v>0</v>
      </c>
      <c r="R137" s="80" t="str">
        <f t="shared" si="63"/>
        <v/>
      </c>
    </row>
    <row r="138">
      <c r="A138" s="146"/>
      <c r="B138" s="83"/>
      <c r="C138" s="55"/>
      <c r="D138" s="95"/>
      <c r="E138" s="25">
        <f t="shared" si="124"/>
        <v>0</v>
      </c>
      <c r="F138" s="47"/>
      <c r="G138" s="56" t="str">
        <f t="shared" si="125"/>
        <v>#DIV/0!</v>
      </c>
      <c r="H138" s="55"/>
      <c r="I138" s="85"/>
      <c r="J138" s="55">
        <f t="shared" si="126"/>
        <v>0</v>
      </c>
      <c r="K138" s="52" t="str">
        <f t="shared" si="130"/>
        <v/>
      </c>
      <c r="L138" s="77" t="str">
        <f t="shared" si="129"/>
        <v>#DIV/0!</v>
      </c>
      <c r="M138" s="58"/>
      <c r="N138" s="49">
        <f>M138*K138</f>
        <v>0</v>
      </c>
      <c r="R138" s="80" t="str">
        <f t="shared" si="63"/>
        <v/>
      </c>
    </row>
    <row r="139">
      <c r="A139" s="62"/>
      <c r="B139" s="63"/>
      <c r="C139" s="62"/>
      <c r="D139" s="64" t="s">
        <v>19</v>
      </c>
      <c r="E139" s="64">
        <f t="shared" ref="E139:F139" si="131">sum(E131:E138)</f>
        <v>0</v>
      </c>
      <c r="F139" s="64">
        <f t="shared" si="131"/>
        <v>0</v>
      </c>
      <c r="G139" s="65" t="str">
        <f>average(G131:G138)</f>
        <v>#DIV/0!</v>
      </c>
      <c r="H139" s="62"/>
      <c r="I139" s="66"/>
      <c r="J139" s="64">
        <f t="shared" ref="J139:K139" si="132">sum(J131:J138)</f>
        <v>0</v>
      </c>
      <c r="K139" s="64">
        <f t="shared" si="132"/>
        <v>420</v>
      </c>
      <c r="L139" s="65" t="str">
        <f>average(L131:L138)</f>
        <v>#DIV/0!</v>
      </c>
      <c r="M139" s="68"/>
      <c r="N139" s="147">
        <f>sum(N131:N138)</f>
        <v>7719600</v>
      </c>
      <c r="R139" s="80" t="str">
        <f t="shared" si="63"/>
        <v/>
      </c>
    </row>
    <row r="140">
      <c r="A140" s="91">
        <v>45933.0</v>
      </c>
      <c r="B140" s="99" t="s">
        <v>43</v>
      </c>
      <c r="C140" s="89"/>
      <c r="D140" s="13"/>
      <c r="E140" s="38">
        <f t="shared" ref="E140:E147" si="133">D140-C140</f>
        <v>0</v>
      </c>
      <c r="F140" s="39"/>
      <c r="G140" s="14" t="str">
        <f t="shared" ref="G140:G147" si="134">(F140/E140)*100</f>
        <v>#DIV/0!</v>
      </c>
      <c r="H140" s="137"/>
      <c r="I140" s="138"/>
      <c r="J140" s="41">
        <f t="shared" ref="J140:J147" si="135">I140-H140</f>
        <v>0</v>
      </c>
      <c r="K140" s="81">
        <v>60.0</v>
      </c>
      <c r="L140" s="71" t="str">
        <f t="shared" ref="L140:L147" si="136">(K140/J140)*100</f>
        <v>#DIV/0!</v>
      </c>
      <c r="M140" s="72">
        <v>19030.0</v>
      </c>
      <c r="N140" s="49">
        <f t="shared" ref="N140:N143" si="137">M140*K140</f>
        <v>1141800</v>
      </c>
      <c r="R140" s="80" t="str">
        <f t="shared" si="63"/>
        <v/>
      </c>
    </row>
    <row r="141">
      <c r="A141" s="35">
        <v>45946.0</v>
      </c>
      <c r="B141" s="46" t="s">
        <v>43</v>
      </c>
      <c r="C141" s="37"/>
      <c r="D141" s="13"/>
      <c r="E141" s="12">
        <f t="shared" si="133"/>
        <v>0</v>
      </c>
      <c r="F141" s="47"/>
      <c r="G141" s="14" t="str">
        <f t="shared" si="134"/>
        <v>#DIV/0!</v>
      </c>
      <c r="H141" s="40"/>
      <c r="I141" s="40"/>
      <c r="J141" s="37">
        <f t="shared" si="135"/>
        <v>0</v>
      </c>
      <c r="K141" s="52">
        <v>70.0</v>
      </c>
      <c r="L141" s="48" t="str">
        <f t="shared" si="136"/>
        <v>#DIV/0!</v>
      </c>
      <c r="M141" s="50">
        <v>18600.0</v>
      </c>
      <c r="N141" s="49">
        <f t="shared" si="137"/>
        <v>1302000</v>
      </c>
      <c r="R141" s="80" t="str">
        <f t="shared" si="63"/>
        <v/>
      </c>
    </row>
    <row r="142">
      <c r="A142" s="35">
        <v>45952.0</v>
      </c>
      <c r="B142" s="46" t="s">
        <v>43</v>
      </c>
      <c r="C142" s="37"/>
      <c r="D142" s="37"/>
      <c r="E142" s="12">
        <f t="shared" si="133"/>
        <v>0</v>
      </c>
      <c r="F142" s="47"/>
      <c r="G142" s="14" t="str">
        <f t="shared" si="134"/>
        <v>#DIV/0!</v>
      </c>
      <c r="H142" s="37"/>
      <c r="I142" s="40"/>
      <c r="J142" s="37">
        <f t="shared" si="135"/>
        <v>0</v>
      </c>
      <c r="K142" s="52">
        <v>60.0</v>
      </c>
      <c r="L142" s="48" t="str">
        <f t="shared" si="136"/>
        <v>#DIV/0!</v>
      </c>
      <c r="M142" s="50">
        <v>18420.0</v>
      </c>
      <c r="N142" s="49">
        <f t="shared" si="137"/>
        <v>1105200</v>
      </c>
      <c r="R142" s="80" t="str">
        <f t="shared" si="63"/>
        <v/>
      </c>
    </row>
    <row r="143">
      <c r="A143" s="35">
        <v>45959.0</v>
      </c>
      <c r="B143" s="46" t="s">
        <v>43</v>
      </c>
      <c r="C143" s="37"/>
      <c r="D143" s="37"/>
      <c r="E143" s="12">
        <f t="shared" si="133"/>
        <v>0</v>
      </c>
      <c r="F143" s="47"/>
      <c r="G143" s="14" t="str">
        <f t="shared" si="134"/>
        <v>#DIV/0!</v>
      </c>
      <c r="H143" s="37"/>
      <c r="I143" s="40"/>
      <c r="J143" s="37">
        <f t="shared" si="135"/>
        <v>0</v>
      </c>
      <c r="K143" s="52">
        <v>60.0</v>
      </c>
      <c r="L143" s="48" t="str">
        <f t="shared" si="136"/>
        <v>#DIV/0!</v>
      </c>
      <c r="M143" s="50">
        <v>17880.0</v>
      </c>
      <c r="N143" s="49">
        <f t="shared" si="137"/>
        <v>1072800</v>
      </c>
      <c r="R143" s="80" t="str">
        <f t="shared" si="63"/>
        <v/>
      </c>
    </row>
    <row r="144">
      <c r="A144" s="35"/>
      <c r="B144" s="46" t="s">
        <v>43</v>
      </c>
      <c r="C144" s="37"/>
      <c r="D144" s="37"/>
      <c r="E144" s="12">
        <f t="shared" si="133"/>
        <v>0</v>
      </c>
      <c r="F144" s="47"/>
      <c r="G144" s="14" t="str">
        <f t="shared" si="134"/>
        <v>#DIV/0!</v>
      </c>
      <c r="H144" s="37"/>
      <c r="I144" s="40"/>
      <c r="J144" s="37">
        <f t="shared" si="135"/>
        <v>0</v>
      </c>
      <c r="K144" s="52" t="str">
        <f t="shared" ref="K144:K147" si="138">F144</f>
        <v/>
      </c>
      <c r="L144" s="48" t="str">
        <f t="shared" si="136"/>
        <v>#DIV/0!</v>
      </c>
      <c r="M144" s="50"/>
      <c r="N144" s="49">
        <f t="shared" ref="N144:N146" si="139">F144*M144</f>
        <v>0</v>
      </c>
      <c r="R144" s="80" t="str">
        <f t="shared" si="63"/>
        <v/>
      </c>
    </row>
    <row r="145">
      <c r="A145" s="35"/>
      <c r="B145" s="46" t="s">
        <v>43</v>
      </c>
      <c r="C145" s="37"/>
      <c r="D145" s="133"/>
      <c r="E145" s="12">
        <f t="shared" si="133"/>
        <v>0</v>
      </c>
      <c r="F145" s="47"/>
      <c r="G145" s="14" t="str">
        <f t="shared" si="134"/>
        <v>#DIV/0!</v>
      </c>
      <c r="H145" s="37"/>
      <c r="I145" s="93"/>
      <c r="J145" s="37">
        <f t="shared" si="135"/>
        <v>0</v>
      </c>
      <c r="K145" s="52" t="str">
        <f t="shared" si="138"/>
        <v/>
      </c>
      <c r="L145" s="48" t="str">
        <f t="shared" si="136"/>
        <v>#DIV/0!</v>
      </c>
      <c r="M145" s="50"/>
      <c r="N145" s="49">
        <f t="shared" si="139"/>
        <v>0</v>
      </c>
      <c r="R145" s="80" t="str">
        <f t="shared" si="63"/>
        <v/>
      </c>
    </row>
    <row r="146">
      <c r="A146" s="35"/>
      <c r="B146" s="46" t="s">
        <v>43</v>
      </c>
      <c r="C146" s="37"/>
      <c r="D146" s="133"/>
      <c r="E146" s="12">
        <f t="shared" si="133"/>
        <v>0</v>
      </c>
      <c r="F146" s="47"/>
      <c r="G146" s="14" t="str">
        <f t="shared" si="134"/>
        <v>#DIV/0!</v>
      </c>
      <c r="H146" s="37"/>
      <c r="I146" s="93"/>
      <c r="J146" s="37">
        <f t="shared" si="135"/>
        <v>0</v>
      </c>
      <c r="K146" s="52" t="str">
        <f t="shared" si="138"/>
        <v/>
      </c>
      <c r="L146" s="48" t="str">
        <f t="shared" si="136"/>
        <v>#DIV/0!</v>
      </c>
      <c r="M146" s="50"/>
      <c r="N146" s="49">
        <f t="shared" si="139"/>
        <v>0</v>
      </c>
      <c r="R146" s="80" t="str">
        <f t="shared" si="63"/>
        <v/>
      </c>
    </row>
    <row r="147">
      <c r="A147" s="146"/>
      <c r="B147" s="83"/>
      <c r="C147" s="55"/>
      <c r="D147" s="95"/>
      <c r="E147" s="25">
        <f t="shared" si="133"/>
        <v>0</v>
      </c>
      <c r="F147" s="47"/>
      <c r="G147" s="56" t="str">
        <f t="shared" si="134"/>
        <v>#DIV/0!</v>
      </c>
      <c r="H147" s="55"/>
      <c r="I147" s="85"/>
      <c r="J147" s="55">
        <f t="shared" si="135"/>
        <v>0</v>
      </c>
      <c r="K147" s="52" t="str">
        <f t="shared" si="138"/>
        <v/>
      </c>
      <c r="L147" s="77" t="str">
        <f t="shared" si="136"/>
        <v>#DIV/0!</v>
      </c>
      <c r="M147" s="50"/>
      <c r="N147" s="49">
        <f>M147*K147</f>
        <v>0</v>
      </c>
      <c r="R147" s="80" t="str">
        <f t="shared" si="63"/>
        <v/>
      </c>
    </row>
    <row r="148">
      <c r="A148" s="62"/>
      <c r="B148" s="63"/>
      <c r="C148" s="62"/>
      <c r="D148" s="64" t="s">
        <v>19</v>
      </c>
      <c r="E148" s="64">
        <f>sum(E140:E147)</f>
        <v>0</v>
      </c>
      <c r="F148" s="39"/>
      <c r="G148" s="65" t="str">
        <f>average(G140:G147)</f>
        <v>#DIV/0!</v>
      </c>
      <c r="H148" s="62"/>
      <c r="I148" s="66"/>
      <c r="J148" s="64">
        <f t="shared" ref="J148:K148" si="140">sum(J140:J147)</f>
        <v>0</v>
      </c>
      <c r="K148" s="64">
        <f t="shared" si="140"/>
        <v>250</v>
      </c>
      <c r="L148" s="65" t="str">
        <f>average(L140:L147)</f>
        <v>#DIV/0!</v>
      </c>
      <c r="M148" s="72"/>
      <c r="N148" s="147">
        <f>sum(N140:N147)</f>
        <v>4621800</v>
      </c>
      <c r="R148" s="80" t="str">
        <f t="shared" si="63"/>
        <v/>
      </c>
    </row>
    <row r="149">
      <c r="A149" s="70">
        <v>45936.0</v>
      </c>
      <c r="B149" s="99" t="s">
        <v>30</v>
      </c>
      <c r="C149" s="89"/>
      <c r="D149" s="13"/>
      <c r="E149" s="38">
        <f t="shared" ref="E149:E156" si="141">D149-C149</f>
        <v>0</v>
      </c>
      <c r="F149" s="39"/>
      <c r="G149" s="14" t="str">
        <f t="shared" ref="G149:G156" si="142">(F149/E149)*100</f>
        <v>#DIV/0!</v>
      </c>
      <c r="H149" s="137"/>
      <c r="I149" s="138"/>
      <c r="J149" s="41">
        <f t="shared" ref="J149:J156" si="143">I149-H149</f>
        <v>0</v>
      </c>
      <c r="K149" s="41">
        <v>75.0</v>
      </c>
      <c r="L149" s="71" t="str">
        <f t="shared" ref="L149:L156" si="144">(K149/J149)*100</f>
        <v>#DIV/0!</v>
      </c>
      <c r="M149" s="72">
        <v>19030.0</v>
      </c>
      <c r="N149" s="49">
        <f t="shared" ref="N149:N152" si="145">M149*K149</f>
        <v>1427250</v>
      </c>
      <c r="R149" s="80" t="str">
        <f t="shared" si="63"/>
        <v/>
      </c>
    </row>
    <row r="150">
      <c r="A150" s="35">
        <v>45943.0</v>
      </c>
      <c r="B150" s="46" t="s">
        <v>30</v>
      </c>
      <c r="C150" s="37"/>
      <c r="D150" s="13"/>
      <c r="E150" s="12">
        <f t="shared" si="141"/>
        <v>0</v>
      </c>
      <c r="F150" s="47"/>
      <c r="G150" s="14" t="str">
        <f t="shared" si="142"/>
        <v>#DIV/0!</v>
      </c>
      <c r="H150" s="40"/>
      <c r="I150" s="40"/>
      <c r="J150" s="37">
        <f t="shared" si="143"/>
        <v>0</v>
      </c>
      <c r="K150" s="41">
        <v>79.0</v>
      </c>
      <c r="L150" s="48" t="str">
        <f t="shared" si="144"/>
        <v>#DIV/0!</v>
      </c>
      <c r="M150" s="50">
        <v>18600.0</v>
      </c>
      <c r="N150" s="49">
        <f t="shared" si="145"/>
        <v>1469400</v>
      </c>
      <c r="R150" s="80" t="str">
        <f t="shared" si="63"/>
        <v/>
      </c>
    </row>
    <row r="151">
      <c r="A151" s="35">
        <v>45951.0</v>
      </c>
      <c r="B151" s="46" t="s">
        <v>30</v>
      </c>
      <c r="C151" s="37"/>
      <c r="D151" s="37"/>
      <c r="E151" s="12">
        <f t="shared" si="141"/>
        <v>0</v>
      </c>
      <c r="F151" s="47"/>
      <c r="G151" s="14" t="str">
        <f t="shared" si="142"/>
        <v>#DIV/0!</v>
      </c>
      <c r="H151" s="37"/>
      <c r="I151" s="40"/>
      <c r="J151" s="37">
        <f t="shared" si="143"/>
        <v>0</v>
      </c>
      <c r="K151" s="41">
        <v>73.0</v>
      </c>
      <c r="L151" s="48" t="str">
        <f t="shared" si="144"/>
        <v>#DIV/0!</v>
      </c>
      <c r="M151" s="50">
        <v>18420.0</v>
      </c>
      <c r="N151" s="49">
        <f t="shared" si="145"/>
        <v>1344660</v>
      </c>
      <c r="R151" s="80" t="str">
        <f t="shared" si="63"/>
        <v/>
      </c>
    </row>
    <row r="152">
      <c r="A152" s="35">
        <v>45958.0</v>
      </c>
      <c r="B152" s="46" t="s">
        <v>30</v>
      </c>
      <c r="C152" s="37"/>
      <c r="D152" s="37"/>
      <c r="E152" s="12">
        <f t="shared" si="141"/>
        <v>0</v>
      </c>
      <c r="F152" s="47"/>
      <c r="G152" s="14" t="str">
        <f t="shared" si="142"/>
        <v>#DIV/0!</v>
      </c>
      <c r="H152" s="37"/>
      <c r="I152" s="40"/>
      <c r="J152" s="37">
        <f t="shared" si="143"/>
        <v>0</v>
      </c>
      <c r="K152" s="41">
        <v>80.0</v>
      </c>
      <c r="L152" s="48" t="str">
        <f t="shared" si="144"/>
        <v>#DIV/0!</v>
      </c>
      <c r="M152" s="50">
        <v>17880.0</v>
      </c>
      <c r="N152" s="49">
        <f t="shared" si="145"/>
        <v>1430400</v>
      </c>
      <c r="R152" s="80" t="str">
        <f t="shared" si="63"/>
        <v/>
      </c>
    </row>
    <row r="153">
      <c r="A153" s="35"/>
      <c r="B153" s="46" t="s">
        <v>30</v>
      </c>
      <c r="C153" s="37"/>
      <c r="D153" s="37"/>
      <c r="E153" s="12">
        <f t="shared" si="141"/>
        <v>0</v>
      </c>
      <c r="F153" s="47"/>
      <c r="G153" s="14" t="str">
        <f t="shared" si="142"/>
        <v>#DIV/0!</v>
      </c>
      <c r="H153" s="37"/>
      <c r="I153" s="40"/>
      <c r="J153" s="37">
        <f t="shared" si="143"/>
        <v>0</v>
      </c>
      <c r="K153" s="41"/>
      <c r="L153" s="48" t="str">
        <f t="shared" si="144"/>
        <v>#DIV/0!</v>
      </c>
      <c r="M153" s="50"/>
      <c r="N153" s="49">
        <f t="shared" ref="N153:N155" si="146">F153*M153</f>
        <v>0</v>
      </c>
      <c r="R153" s="80" t="str">
        <f t="shared" si="63"/>
        <v/>
      </c>
    </row>
    <row r="154">
      <c r="A154" s="35"/>
      <c r="B154" s="46" t="s">
        <v>30</v>
      </c>
      <c r="C154" s="37"/>
      <c r="D154" s="133"/>
      <c r="E154" s="12">
        <f t="shared" si="141"/>
        <v>0</v>
      </c>
      <c r="F154" s="47"/>
      <c r="G154" s="14" t="str">
        <f t="shared" si="142"/>
        <v>#DIV/0!</v>
      </c>
      <c r="H154" s="37"/>
      <c r="I154" s="93"/>
      <c r="J154" s="37">
        <f t="shared" si="143"/>
        <v>0</v>
      </c>
      <c r="K154" s="41"/>
      <c r="L154" s="48" t="str">
        <f t="shared" si="144"/>
        <v>#DIV/0!</v>
      </c>
      <c r="M154" s="50"/>
      <c r="N154" s="49">
        <f t="shared" si="146"/>
        <v>0</v>
      </c>
      <c r="R154" s="80" t="str">
        <f t="shared" si="63"/>
        <v/>
      </c>
    </row>
    <row r="155">
      <c r="A155" s="35"/>
      <c r="B155" s="83"/>
      <c r="C155" s="37"/>
      <c r="D155" s="133"/>
      <c r="E155" s="12">
        <f t="shared" si="141"/>
        <v>0</v>
      </c>
      <c r="F155" s="47"/>
      <c r="G155" s="14" t="str">
        <f t="shared" si="142"/>
        <v>#DIV/0!</v>
      </c>
      <c r="H155" s="37"/>
      <c r="I155" s="93"/>
      <c r="J155" s="37">
        <f t="shared" si="143"/>
        <v>0</v>
      </c>
      <c r="K155" s="41" t="str">
        <f>D155</f>
        <v/>
      </c>
      <c r="L155" s="77" t="str">
        <f t="shared" si="144"/>
        <v>#DIV/0!</v>
      </c>
      <c r="M155" s="50"/>
      <c r="N155" s="49">
        <f t="shared" si="146"/>
        <v>0</v>
      </c>
      <c r="R155" s="80" t="str">
        <f t="shared" si="63"/>
        <v/>
      </c>
    </row>
    <row r="156">
      <c r="A156" s="148"/>
      <c r="B156" s="156"/>
      <c r="C156" s="149"/>
      <c r="D156" s="150"/>
      <c r="E156" s="25">
        <f t="shared" si="141"/>
        <v>0</v>
      </c>
      <c r="F156" s="39"/>
      <c r="G156" s="56" t="str">
        <f t="shared" si="142"/>
        <v>#DIV/0!</v>
      </c>
      <c r="H156" s="149"/>
      <c r="I156" s="151"/>
      <c r="J156" s="149">
        <f t="shared" si="143"/>
        <v>0</v>
      </c>
      <c r="K156" s="149"/>
      <c r="L156" s="152" t="str">
        <f t="shared" si="144"/>
        <v>#DIV/0!</v>
      </c>
      <c r="M156" s="153"/>
      <c r="N156" s="49">
        <f>M156*K156</f>
        <v>0</v>
      </c>
      <c r="R156" s="80" t="str">
        <f t="shared" si="63"/>
        <v/>
      </c>
    </row>
    <row r="157">
      <c r="A157" s="62"/>
      <c r="B157" s="63"/>
      <c r="C157" s="62"/>
      <c r="D157" s="64" t="s">
        <v>19</v>
      </c>
      <c r="E157" s="64">
        <f t="shared" ref="E157:F157" si="147">sum(E149:E156)</f>
        <v>0</v>
      </c>
      <c r="F157" s="64">
        <f t="shared" si="147"/>
        <v>0</v>
      </c>
      <c r="G157" s="65" t="str">
        <f>average(G149:G156)</f>
        <v>#DIV/0!</v>
      </c>
      <c r="H157" s="62"/>
      <c r="I157" s="66"/>
      <c r="J157" s="64">
        <f t="shared" ref="J157:K157" si="148">sum(J149:J156)</f>
        <v>0</v>
      </c>
      <c r="K157" s="64">
        <f t="shared" si="148"/>
        <v>307</v>
      </c>
      <c r="L157" s="65" t="str">
        <f>average(L149:L156)</f>
        <v>#DIV/0!</v>
      </c>
      <c r="M157" s="68"/>
      <c r="N157" s="69">
        <f>sum(N149:N156)</f>
        <v>5671710</v>
      </c>
      <c r="R157" s="80" t="str">
        <f t="shared" si="63"/>
        <v/>
      </c>
    </row>
    <row r="158">
      <c r="A158" s="154"/>
      <c r="B158" s="99" t="s">
        <v>83</v>
      </c>
      <c r="C158" s="89"/>
      <c r="D158" s="13"/>
      <c r="E158" s="12">
        <f t="shared" ref="E158:E165" si="149">D158-C158</f>
        <v>0</v>
      </c>
      <c r="F158" s="39"/>
      <c r="G158" s="14" t="str">
        <f t="shared" ref="G158:G165" si="150">(F158/E158)*100</f>
        <v>#DIV/0!</v>
      </c>
      <c r="H158" s="137"/>
      <c r="I158" s="138"/>
      <c r="J158" s="41">
        <f t="shared" ref="J158:J165" si="151">I158-H158</f>
        <v>0</v>
      </c>
      <c r="K158" s="81">
        <f>E158</f>
        <v>0</v>
      </c>
      <c r="L158" s="71" t="str">
        <f t="shared" ref="L158:L165" si="152">(K158/J158)*100</f>
        <v>#DIV/0!</v>
      </c>
      <c r="M158" s="72"/>
      <c r="N158" s="131">
        <f t="shared" ref="N158:N165" si="153">M158*K158</f>
        <v>0</v>
      </c>
    </row>
    <row r="159">
      <c r="A159" s="35"/>
      <c r="B159" s="46" t="s">
        <v>83</v>
      </c>
      <c r="C159" s="37"/>
      <c r="D159" s="13"/>
      <c r="E159" s="12">
        <f t="shared" si="149"/>
        <v>0</v>
      </c>
      <c r="F159" s="47"/>
      <c r="G159" s="14" t="str">
        <f t="shared" si="150"/>
        <v>#DIV/0!</v>
      </c>
      <c r="H159" s="40"/>
      <c r="I159" s="40"/>
      <c r="J159" s="37">
        <f t="shared" si="151"/>
        <v>0</v>
      </c>
      <c r="K159" s="81" t="str">
        <f t="shared" ref="K159:K160" si="154">F159</f>
        <v/>
      </c>
      <c r="L159" s="48" t="str">
        <f t="shared" si="152"/>
        <v>#DIV/0!</v>
      </c>
      <c r="M159" s="72"/>
      <c r="N159" s="131">
        <f t="shared" si="153"/>
        <v>0</v>
      </c>
    </row>
    <row r="160">
      <c r="A160" s="35"/>
      <c r="B160" s="46" t="s">
        <v>83</v>
      </c>
      <c r="C160" s="37"/>
      <c r="D160" s="37"/>
      <c r="E160" s="12">
        <f t="shared" si="149"/>
        <v>0</v>
      </c>
      <c r="F160" s="47"/>
      <c r="G160" s="14" t="str">
        <f t="shared" si="150"/>
        <v>#DIV/0!</v>
      </c>
      <c r="H160" s="37"/>
      <c r="I160" s="40"/>
      <c r="J160" s="37">
        <f t="shared" si="151"/>
        <v>0</v>
      </c>
      <c r="K160" s="81" t="str">
        <f t="shared" si="154"/>
        <v/>
      </c>
      <c r="L160" s="48" t="str">
        <f t="shared" si="152"/>
        <v>#DIV/0!</v>
      </c>
      <c r="M160" s="72"/>
      <c r="N160" s="131">
        <f t="shared" si="153"/>
        <v>0</v>
      </c>
    </row>
    <row r="161">
      <c r="A161" s="35"/>
      <c r="B161" s="46" t="s">
        <v>83</v>
      </c>
      <c r="C161" s="37"/>
      <c r="D161" s="37"/>
      <c r="E161" s="12">
        <f t="shared" si="149"/>
        <v>0</v>
      </c>
      <c r="F161" s="47"/>
      <c r="G161" s="14" t="str">
        <f t="shared" si="150"/>
        <v>#DIV/0!</v>
      </c>
      <c r="H161" s="37"/>
      <c r="I161" s="40"/>
      <c r="J161" s="37">
        <f t="shared" si="151"/>
        <v>0</v>
      </c>
      <c r="K161" s="81">
        <f t="shared" ref="K161:K163" si="155">E161</f>
        <v>0</v>
      </c>
      <c r="L161" s="48" t="str">
        <f t="shared" si="152"/>
        <v>#DIV/0!</v>
      </c>
      <c r="M161" s="72"/>
      <c r="N161" s="131">
        <f t="shared" si="153"/>
        <v>0</v>
      </c>
    </row>
    <row r="162">
      <c r="A162" s="35"/>
      <c r="B162" s="46" t="s">
        <v>83</v>
      </c>
      <c r="C162" s="37"/>
      <c r="D162" s="37"/>
      <c r="E162" s="12">
        <f t="shared" si="149"/>
        <v>0</v>
      </c>
      <c r="F162" s="47"/>
      <c r="G162" s="14" t="str">
        <f t="shared" si="150"/>
        <v>#DIV/0!</v>
      </c>
      <c r="H162" s="37"/>
      <c r="I162" s="40"/>
      <c r="J162" s="37">
        <f t="shared" si="151"/>
        <v>0</v>
      </c>
      <c r="K162" s="81">
        <f t="shared" si="155"/>
        <v>0</v>
      </c>
      <c r="L162" s="48" t="str">
        <f t="shared" si="152"/>
        <v>#DIV/0!</v>
      </c>
      <c r="M162" s="72"/>
      <c r="N162" s="131">
        <f t="shared" si="153"/>
        <v>0</v>
      </c>
    </row>
    <row r="163">
      <c r="A163" s="35"/>
      <c r="B163" s="46" t="s">
        <v>83</v>
      </c>
      <c r="C163" s="37"/>
      <c r="D163" s="133"/>
      <c r="E163" s="12">
        <f t="shared" si="149"/>
        <v>0</v>
      </c>
      <c r="F163" s="47"/>
      <c r="G163" s="14" t="str">
        <f t="shared" si="150"/>
        <v>#DIV/0!</v>
      </c>
      <c r="H163" s="37"/>
      <c r="I163" s="93"/>
      <c r="J163" s="37">
        <f t="shared" si="151"/>
        <v>0</v>
      </c>
      <c r="K163" s="81">
        <f t="shared" si="155"/>
        <v>0</v>
      </c>
      <c r="L163" s="48" t="str">
        <f t="shared" si="152"/>
        <v>#DIV/0!</v>
      </c>
      <c r="M163" s="72"/>
      <c r="N163" s="131">
        <f t="shared" si="153"/>
        <v>0</v>
      </c>
    </row>
    <row r="164">
      <c r="A164" s="35"/>
      <c r="B164" s="46" t="s">
        <v>83</v>
      </c>
      <c r="C164" s="37"/>
      <c r="D164" s="133"/>
      <c r="E164" s="12">
        <f t="shared" si="149"/>
        <v>0</v>
      </c>
      <c r="F164" s="47"/>
      <c r="G164" s="14" t="str">
        <f t="shared" si="150"/>
        <v>#DIV/0!</v>
      </c>
      <c r="H164" s="37"/>
      <c r="I164" s="93"/>
      <c r="J164" s="37">
        <f t="shared" si="151"/>
        <v>0</v>
      </c>
      <c r="K164" s="52" t="str">
        <f t="shared" ref="K164:K165" si="156">F164</f>
        <v/>
      </c>
      <c r="L164" s="48" t="str">
        <f t="shared" si="152"/>
        <v>#DIV/0!</v>
      </c>
      <c r="M164" s="50"/>
      <c r="N164" s="131">
        <f t="shared" si="153"/>
        <v>0</v>
      </c>
    </row>
    <row r="165">
      <c r="A165" s="146"/>
      <c r="B165" s="83"/>
      <c r="C165" s="55"/>
      <c r="D165" s="95"/>
      <c r="E165" s="25">
        <f t="shared" si="149"/>
        <v>0</v>
      </c>
      <c r="F165" s="47"/>
      <c r="G165" s="56" t="str">
        <f t="shared" si="150"/>
        <v>#DIV/0!</v>
      </c>
      <c r="H165" s="55"/>
      <c r="I165" s="85"/>
      <c r="J165" s="55">
        <f t="shared" si="151"/>
        <v>0</v>
      </c>
      <c r="K165" s="52" t="str">
        <f t="shared" si="156"/>
        <v/>
      </c>
      <c r="L165" s="77" t="str">
        <f t="shared" si="152"/>
        <v>#DIV/0!</v>
      </c>
      <c r="M165" s="58"/>
      <c r="N165" s="49">
        <f t="shared" si="153"/>
        <v>0</v>
      </c>
    </row>
    <row r="166">
      <c r="A166" s="62"/>
      <c r="B166" s="63"/>
      <c r="C166" s="62"/>
      <c r="D166" s="64" t="s">
        <v>19</v>
      </c>
      <c r="E166" s="64">
        <f t="shared" ref="E166:F166" si="157">sum(E158:E165)</f>
        <v>0</v>
      </c>
      <c r="F166" s="64">
        <f t="shared" si="157"/>
        <v>0</v>
      </c>
      <c r="G166" s="65" t="str">
        <f>average(G158:G165)</f>
        <v>#DIV/0!</v>
      </c>
      <c r="H166" s="62"/>
      <c r="I166" s="66"/>
      <c r="J166" s="64">
        <f t="shared" ref="J166:K166" si="158">sum(J158:J165)</f>
        <v>0</v>
      </c>
      <c r="K166" s="64">
        <f t="shared" si="158"/>
        <v>0</v>
      </c>
      <c r="L166" s="65" t="str">
        <f>average(L158:L165)</f>
        <v>#DIV/0!</v>
      </c>
      <c r="M166" s="68"/>
      <c r="N166" s="69">
        <f>sum(N158:N165)</f>
        <v>0</v>
      </c>
    </row>
    <row r="167">
      <c r="A167" s="155">
        <v>45931.0</v>
      </c>
      <c r="B167" s="156" t="s">
        <v>32</v>
      </c>
      <c r="C167" s="89"/>
      <c r="D167" s="13"/>
      <c r="E167" s="38">
        <f t="shared" ref="E167:E174" si="159">D167-C167</f>
        <v>0</v>
      </c>
      <c r="F167" s="39"/>
      <c r="G167" s="14" t="str">
        <f t="shared" ref="G167:G174" si="160">(F167/E167)*100</f>
        <v>#DIV/0!</v>
      </c>
      <c r="H167" s="137"/>
      <c r="I167" s="138"/>
      <c r="J167" s="41">
        <f t="shared" ref="J167:J174" si="161">I167-H167</f>
        <v>0</v>
      </c>
      <c r="K167" s="81">
        <v>60.0</v>
      </c>
      <c r="L167" s="152" t="str">
        <f t="shared" ref="L167:L174" si="162">(K167/J167)*100</f>
        <v>#DIV/0!</v>
      </c>
      <c r="M167" s="72">
        <v>18650.0</v>
      </c>
      <c r="N167" s="131">
        <f t="shared" ref="N167:N174" si="163">M167*K167</f>
        <v>1119000</v>
      </c>
      <c r="R167" s="80" t="str">
        <f t="shared" ref="R167:R176" si="164">Q167</f>
        <v/>
      </c>
    </row>
    <row r="168">
      <c r="A168" s="154">
        <v>45933.0</v>
      </c>
      <c r="B168" s="156" t="s">
        <v>32</v>
      </c>
      <c r="C168" s="89"/>
      <c r="D168" s="13"/>
      <c r="E168" s="38">
        <f t="shared" si="159"/>
        <v>0</v>
      </c>
      <c r="F168" s="47"/>
      <c r="G168" s="14" t="str">
        <f t="shared" si="160"/>
        <v>#DIV/0!</v>
      </c>
      <c r="H168" s="40"/>
      <c r="I168" s="40"/>
      <c r="J168" s="37">
        <f t="shared" si="161"/>
        <v>0</v>
      </c>
      <c r="K168" s="81">
        <v>85.0</v>
      </c>
      <c r="L168" s="152" t="str">
        <f t="shared" si="162"/>
        <v>#DIV/0!</v>
      </c>
      <c r="M168" s="126">
        <v>19030.0</v>
      </c>
      <c r="N168" s="131">
        <f t="shared" si="163"/>
        <v>1617550</v>
      </c>
      <c r="R168" s="80" t="str">
        <f t="shared" si="164"/>
        <v/>
      </c>
    </row>
    <row r="169">
      <c r="A169" s="154">
        <v>45937.0</v>
      </c>
      <c r="B169" s="156" t="s">
        <v>32</v>
      </c>
      <c r="C169" s="89"/>
      <c r="D169" s="89"/>
      <c r="E169" s="12">
        <f t="shared" si="159"/>
        <v>0</v>
      </c>
      <c r="F169" s="157"/>
      <c r="G169" s="14" t="str">
        <f t="shared" si="160"/>
        <v>#DIV/0!</v>
      </c>
      <c r="H169" s="37"/>
      <c r="I169" s="40"/>
      <c r="J169" s="37">
        <f t="shared" si="161"/>
        <v>0</v>
      </c>
      <c r="K169" s="81">
        <v>90.0</v>
      </c>
      <c r="L169" s="152" t="str">
        <f t="shared" si="162"/>
        <v>#DIV/0!</v>
      </c>
      <c r="M169" s="126">
        <v>19030.0</v>
      </c>
      <c r="N169" s="131">
        <f t="shared" si="163"/>
        <v>1712700</v>
      </c>
      <c r="R169" s="80" t="str">
        <f t="shared" si="164"/>
        <v/>
      </c>
    </row>
    <row r="170">
      <c r="A170" s="154">
        <v>45943.0</v>
      </c>
      <c r="B170" s="156" t="s">
        <v>32</v>
      </c>
      <c r="C170" s="89"/>
      <c r="D170" s="89"/>
      <c r="E170" s="12">
        <f t="shared" si="159"/>
        <v>0</v>
      </c>
      <c r="F170" s="157"/>
      <c r="G170" s="14" t="str">
        <f t="shared" si="160"/>
        <v>#DIV/0!</v>
      </c>
      <c r="H170" s="37"/>
      <c r="I170" s="40"/>
      <c r="J170" s="37">
        <f t="shared" si="161"/>
        <v>0</v>
      </c>
      <c r="K170" s="81">
        <v>89.0</v>
      </c>
      <c r="L170" s="152" t="str">
        <f t="shared" si="162"/>
        <v>#DIV/0!</v>
      </c>
      <c r="M170" s="126">
        <v>18600.0</v>
      </c>
      <c r="N170" s="131">
        <f t="shared" si="163"/>
        <v>1655400</v>
      </c>
      <c r="R170" s="80" t="str">
        <f t="shared" si="164"/>
        <v/>
      </c>
    </row>
    <row r="171">
      <c r="A171" s="154">
        <v>45948.0</v>
      </c>
      <c r="B171" s="156" t="s">
        <v>32</v>
      </c>
      <c r="C171" s="89"/>
      <c r="D171" s="89"/>
      <c r="E171" s="12">
        <f t="shared" si="159"/>
        <v>0</v>
      </c>
      <c r="F171" s="157"/>
      <c r="G171" s="14" t="str">
        <f t="shared" si="160"/>
        <v>#DIV/0!</v>
      </c>
      <c r="H171" s="37"/>
      <c r="I171" s="40"/>
      <c r="J171" s="37">
        <f t="shared" si="161"/>
        <v>0</v>
      </c>
      <c r="K171" s="81">
        <v>66.0</v>
      </c>
      <c r="L171" s="152" t="str">
        <f t="shared" si="162"/>
        <v>#DIV/0!</v>
      </c>
      <c r="M171" s="126">
        <v>18420.0</v>
      </c>
      <c r="N171" s="131">
        <f t="shared" si="163"/>
        <v>1215720</v>
      </c>
      <c r="R171" s="80" t="str">
        <f t="shared" si="164"/>
        <v/>
      </c>
    </row>
    <row r="172">
      <c r="A172" s="154">
        <v>45949.0</v>
      </c>
      <c r="B172" s="156" t="s">
        <v>32</v>
      </c>
      <c r="C172" s="89"/>
      <c r="D172" s="158"/>
      <c r="E172" s="12">
        <f t="shared" si="159"/>
        <v>0</v>
      </c>
      <c r="F172" s="157"/>
      <c r="G172" s="14" t="str">
        <f t="shared" si="160"/>
        <v>#DIV/0!</v>
      </c>
      <c r="H172" s="37"/>
      <c r="I172" s="93"/>
      <c r="J172" s="37">
        <f t="shared" si="161"/>
        <v>0</v>
      </c>
      <c r="K172" s="81">
        <v>80.0</v>
      </c>
      <c r="L172" s="152" t="str">
        <f t="shared" si="162"/>
        <v>#DIV/0!</v>
      </c>
      <c r="M172" s="126">
        <v>18420.0</v>
      </c>
      <c r="N172" s="131">
        <f t="shared" si="163"/>
        <v>1473600</v>
      </c>
      <c r="R172" s="80" t="str">
        <f t="shared" si="164"/>
        <v/>
      </c>
    </row>
    <row r="173">
      <c r="A173" s="154">
        <v>45952.0</v>
      </c>
      <c r="B173" s="156" t="s">
        <v>32</v>
      </c>
      <c r="C173" s="89"/>
      <c r="D173" s="158"/>
      <c r="E173" s="12">
        <f t="shared" si="159"/>
        <v>0</v>
      </c>
      <c r="F173" s="157"/>
      <c r="G173" s="14" t="str">
        <f t="shared" si="160"/>
        <v>#DIV/0!</v>
      </c>
      <c r="H173" s="89"/>
      <c r="I173" s="159"/>
      <c r="J173" s="89">
        <f t="shared" si="161"/>
        <v>0</v>
      </c>
      <c r="K173" s="81">
        <v>85.0</v>
      </c>
      <c r="L173" s="152" t="str">
        <f t="shared" si="162"/>
        <v>#DIV/0!</v>
      </c>
      <c r="M173" s="126">
        <v>18420.0</v>
      </c>
      <c r="N173" s="131">
        <f t="shared" si="163"/>
        <v>1565700</v>
      </c>
      <c r="R173" s="80" t="str">
        <f t="shared" si="164"/>
        <v/>
      </c>
    </row>
    <row r="174">
      <c r="A174" s="154">
        <v>45960.0</v>
      </c>
      <c r="B174" s="156" t="s">
        <v>32</v>
      </c>
      <c r="C174" s="149"/>
      <c r="D174" s="150"/>
      <c r="E174" s="25">
        <f t="shared" si="159"/>
        <v>0</v>
      </c>
      <c r="F174" s="161"/>
      <c r="G174" s="56" t="str">
        <f t="shared" si="160"/>
        <v>#DIV/0!</v>
      </c>
      <c r="H174" s="149"/>
      <c r="I174" s="151"/>
      <c r="J174" s="149">
        <f t="shared" si="161"/>
        <v>0</v>
      </c>
      <c r="K174" s="81">
        <v>50.0</v>
      </c>
      <c r="L174" s="152" t="str">
        <f t="shared" si="162"/>
        <v>#DIV/0!</v>
      </c>
      <c r="M174" s="153">
        <v>19200.0</v>
      </c>
      <c r="N174" s="49">
        <f t="shared" si="163"/>
        <v>960000</v>
      </c>
      <c r="R174" s="80" t="str">
        <f t="shared" si="164"/>
        <v/>
      </c>
    </row>
    <row r="175">
      <c r="A175" s="154"/>
      <c r="B175" s="63"/>
      <c r="C175" s="62"/>
      <c r="D175" s="64" t="s">
        <v>19</v>
      </c>
      <c r="E175" s="64">
        <f t="shared" ref="E175:F175" si="165">sum(E167:E174)</f>
        <v>0</v>
      </c>
      <c r="F175" s="64">
        <f t="shared" si="165"/>
        <v>0</v>
      </c>
      <c r="G175" s="65" t="str">
        <f>average(G167:G174)</f>
        <v>#DIV/0!</v>
      </c>
      <c r="H175" s="62"/>
      <c r="I175" s="66"/>
      <c r="J175" s="64">
        <f t="shared" ref="J175:K175" si="166">sum(J167:J174)</f>
        <v>0</v>
      </c>
      <c r="K175" s="64">
        <f t="shared" si="166"/>
        <v>605</v>
      </c>
      <c r="L175" s="65" t="str">
        <f>average(L167:L174)</f>
        <v>#DIV/0!</v>
      </c>
      <c r="M175" s="68"/>
      <c r="N175" s="147">
        <f>sum(N167:N174)</f>
        <v>11319670</v>
      </c>
      <c r="R175" s="80" t="str">
        <f t="shared" si="164"/>
        <v/>
      </c>
    </row>
    <row r="176">
      <c r="A176" s="154"/>
      <c r="B176" s="165"/>
      <c r="C176" s="165"/>
      <c r="D176" s="165"/>
      <c r="E176" s="165"/>
      <c r="F176" s="165"/>
      <c r="G176" s="165"/>
      <c r="H176" s="165"/>
      <c r="I176" s="165"/>
      <c r="J176" s="165"/>
      <c r="K176" s="165"/>
      <c r="L176" s="165"/>
      <c r="M176" s="166"/>
      <c r="N176" s="167">
        <f>N11+N19+N28+N36+N45+N56+N66+N74+N82+N90+N97+N105+N113+N130+N139+N148+N175+N121+N157+N166</f>
        <v>115945450</v>
      </c>
      <c r="O176" s="197">
        <v>1.1594545E8</v>
      </c>
      <c r="R176" s="80" t="str">
        <f t="shared" si="164"/>
        <v/>
      </c>
    </row>
    <row r="177">
      <c r="A177" s="154"/>
      <c r="G177" s="168"/>
      <c r="L177" s="168"/>
      <c r="N177" s="169"/>
    </row>
    <row r="178" ht="31.5" customHeight="1">
      <c r="A178" s="154"/>
      <c r="D178" s="170" t="s">
        <v>45</v>
      </c>
      <c r="E178" s="171"/>
      <c r="G178" s="168"/>
      <c r="L178" s="168"/>
      <c r="N178" s="169"/>
    </row>
    <row r="179">
      <c r="A179" s="154"/>
      <c r="B179" s="172" t="s">
        <v>2</v>
      </c>
      <c r="C179" s="166" t="s">
        <v>3</v>
      </c>
      <c r="D179" s="166" t="s">
        <v>4</v>
      </c>
      <c r="E179" s="166" t="s">
        <v>5</v>
      </c>
      <c r="F179" s="166" t="s">
        <v>6</v>
      </c>
      <c r="G179" s="173" t="s">
        <v>7</v>
      </c>
      <c r="H179" s="174" t="s">
        <v>8</v>
      </c>
      <c r="I179" s="175" t="s">
        <v>8</v>
      </c>
      <c r="J179" s="166" t="s">
        <v>5</v>
      </c>
      <c r="K179" s="166" t="s">
        <v>6</v>
      </c>
      <c r="L179" s="173" t="s">
        <v>7</v>
      </c>
      <c r="M179" s="166" t="s">
        <v>9</v>
      </c>
      <c r="N179" s="176" t="s">
        <v>10</v>
      </c>
      <c r="O179" s="197">
        <v>1.0</v>
      </c>
      <c r="P179" s="197" t="s">
        <v>46</v>
      </c>
      <c r="Q179" s="251">
        <f>N185</f>
        <v>16100014</v>
      </c>
    </row>
    <row r="180">
      <c r="A180" s="154">
        <v>45941.0</v>
      </c>
      <c r="B180" s="99" t="s">
        <v>46</v>
      </c>
      <c r="C180" s="37">
        <v>399234.0</v>
      </c>
      <c r="D180" s="290">
        <v>400837.0</v>
      </c>
      <c r="E180" s="196">
        <f t="shared" ref="E180:E184" si="167">D180-C180</f>
        <v>1603</v>
      </c>
      <c r="F180" s="37">
        <v>456.99</v>
      </c>
      <c r="G180" s="14">
        <f t="shared" ref="G180:G184" si="168">(F180/E180)*100</f>
        <v>28.50842171</v>
      </c>
      <c r="H180" s="89"/>
      <c r="I180" s="138">
        <v>18740.0</v>
      </c>
      <c r="J180" s="41">
        <f t="shared" ref="J180:J184" si="169">I180-H180</f>
        <v>18740</v>
      </c>
      <c r="K180" s="37">
        <f t="shared" ref="K180:K184" si="170">F180</f>
        <v>456.99</v>
      </c>
      <c r="L180" s="71">
        <f t="shared" ref="L180:L184" si="171">(K180/J180)*100</f>
        <v>2.438580576</v>
      </c>
      <c r="M180" s="72">
        <v>18600.0</v>
      </c>
      <c r="N180" s="49">
        <f>M180*K180</f>
        <v>8500014</v>
      </c>
      <c r="O180" s="197">
        <v>2.0</v>
      </c>
      <c r="P180" s="197" t="s">
        <v>47</v>
      </c>
      <c r="Q180" s="251">
        <f>N191</f>
        <v>14141408.1</v>
      </c>
    </row>
    <row r="181">
      <c r="A181" s="154">
        <v>45958.0</v>
      </c>
      <c r="B181" s="46" t="s">
        <v>46</v>
      </c>
      <c r="C181" s="13">
        <v>400837.0</v>
      </c>
      <c r="D181" s="13">
        <v>402182.0</v>
      </c>
      <c r="E181" s="12">
        <f t="shared" si="167"/>
        <v>1345</v>
      </c>
      <c r="F181" s="47">
        <v>425.06</v>
      </c>
      <c r="G181" s="14">
        <f t="shared" si="168"/>
        <v>31.60297398</v>
      </c>
      <c r="H181" s="37"/>
      <c r="I181" s="40"/>
      <c r="J181" s="37">
        <f t="shared" si="169"/>
        <v>0</v>
      </c>
      <c r="K181" s="37">
        <f t="shared" si="170"/>
        <v>425.06</v>
      </c>
      <c r="L181" s="48" t="str">
        <f t="shared" si="171"/>
        <v>#DIV/0!</v>
      </c>
      <c r="M181" s="50"/>
      <c r="N181" s="49">
        <v>7600000.0</v>
      </c>
      <c r="O181" s="197">
        <v>3.0</v>
      </c>
      <c r="P181" s="197" t="s">
        <v>48</v>
      </c>
      <c r="Q181" s="251">
        <f>N197</f>
        <v>9201158.4</v>
      </c>
    </row>
    <row r="182">
      <c r="A182" s="154"/>
      <c r="B182" s="46" t="s">
        <v>46</v>
      </c>
      <c r="C182" s="37"/>
      <c r="D182" s="37"/>
      <c r="E182" s="12">
        <f t="shared" si="167"/>
        <v>0</v>
      </c>
      <c r="F182" s="47"/>
      <c r="G182" s="14" t="str">
        <f t="shared" si="168"/>
        <v>#DIV/0!</v>
      </c>
      <c r="H182" s="37"/>
      <c r="I182" s="40"/>
      <c r="J182" s="37">
        <f t="shared" si="169"/>
        <v>0</v>
      </c>
      <c r="K182" s="37" t="str">
        <f t="shared" si="170"/>
        <v/>
      </c>
      <c r="L182" s="48" t="str">
        <f t="shared" si="171"/>
        <v>#DIV/0!</v>
      </c>
      <c r="M182" s="50"/>
      <c r="N182" s="49">
        <f t="shared" ref="N182:N184" si="172">M182*K182</f>
        <v>0</v>
      </c>
      <c r="O182" s="197">
        <v>4.0</v>
      </c>
      <c r="P182" s="197" t="s">
        <v>49</v>
      </c>
      <c r="Q182" s="251">
        <f>N203</f>
        <v>4300209.1</v>
      </c>
    </row>
    <row r="183">
      <c r="A183" s="154"/>
      <c r="B183" s="46" t="s">
        <v>46</v>
      </c>
      <c r="C183" s="37"/>
      <c r="D183" s="37"/>
      <c r="E183" s="12">
        <f t="shared" si="167"/>
        <v>0</v>
      </c>
      <c r="F183" s="47"/>
      <c r="G183" s="14" t="str">
        <f t="shared" si="168"/>
        <v>#DIV/0!</v>
      </c>
      <c r="H183" s="37"/>
      <c r="I183" s="40"/>
      <c r="J183" s="37">
        <f t="shared" si="169"/>
        <v>0</v>
      </c>
      <c r="K183" s="37" t="str">
        <f t="shared" si="170"/>
        <v/>
      </c>
      <c r="L183" s="48" t="str">
        <f t="shared" si="171"/>
        <v>#DIV/0!</v>
      </c>
      <c r="M183" s="50"/>
      <c r="N183" s="49">
        <f t="shared" si="172"/>
        <v>0</v>
      </c>
      <c r="O183" s="197">
        <v>5.0</v>
      </c>
      <c r="P183" s="197" t="s">
        <v>50</v>
      </c>
      <c r="Q183" s="251">
        <f>N209</f>
        <v>7699846.8</v>
      </c>
    </row>
    <row r="184">
      <c r="A184" s="154"/>
      <c r="B184" s="83"/>
      <c r="C184" s="37"/>
      <c r="D184" s="37"/>
      <c r="E184" s="12">
        <f t="shared" si="167"/>
        <v>0</v>
      </c>
      <c r="F184" s="47"/>
      <c r="G184" s="14" t="str">
        <f t="shared" si="168"/>
        <v>#DIV/0!</v>
      </c>
      <c r="H184" s="37"/>
      <c r="I184" s="40"/>
      <c r="J184" s="37">
        <f t="shared" si="169"/>
        <v>0</v>
      </c>
      <c r="K184" s="37" t="str">
        <f t="shared" si="170"/>
        <v/>
      </c>
      <c r="L184" s="77" t="str">
        <f t="shared" si="171"/>
        <v>#DIV/0!</v>
      </c>
      <c r="M184" s="50"/>
      <c r="N184" s="49">
        <f t="shared" si="172"/>
        <v>0</v>
      </c>
      <c r="O184" s="197">
        <v>6.0</v>
      </c>
      <c r="P184" s="197" t="s">
        <v>51</v>
      </c>
      <c r="Q184" s="251">
        <f>N215</f>
        <v>11350263.6</v>
      </c>
    </row>
    <row r="185">
      <c r="A185" s="154"/>
      <c r="B185" s="63"/>
      <c r="C185" s="62"/>
      <c r="D185" s="64" t="s">
        <v>19</v>
      </c>
      <c r="E185" s="69">
        <f t="shared" ref="E185:F185" si="173">sum(E180:E184)</f>
        <v>2948</v>
      </c>
      <c r="F185" s="64">
        <f t="shared" si="173"/>
        <v>882.05</v>
      </c>
      <c r="G185" s="65" t="str">
        <f>average(G180:G184)</f>
        <v>#DIV/0!</v>
      </c>
      <c r="H185" s="62"/>
      <c r="I185" s="66"/>
      <c r="J185" s="64">
        <f t="shared" ref="J185:K185" si="174">sum(J180:J184)</f>
        <v>18740</v>
      </c>
      <c r="K185" s="64">
        <f t="shared" si="174"/>
        <v>882.05</v>
      </c>
      <c r="L185" s="65" t="str">
        <f>average(L180:L184)</f>
        <v>#DIV/0!</v>
      </c>
      <c r="M185" s="68"/>
      <c r="N185" s="69">
        <f>sum(N180:N184)</f>
        <v>16100014</v>
      </c>
      <c r="O185" s="197">
        <v>7.0</v>
      </c>
      <c r="P185" s="197" t="s">
        <v>81</v>
      </c>
      <c r="Q185" s="251">
        <f>N221</f>
        <v>17500000</v>
      </c>
    </row>
    <row r="186">
      <c r="A186" s="154">
        <v>45939.0</v>
      </c>
      <c r="B186" s="156" t="s">
        <v>53</v>
      </c>
      <c r="C186" s="89">
        <v>495682.0</v>
      </c>
      <c r="D186" s="89">
        <v>496539.0</v>
      </c>
      <c r="E186" s="12">
        <f t="shared" ref="E186:E190" si="175">D186-C186</f>
        <v>857</v>
      </c>
      <c r="F186" s="157">
        <v>267.99</v>
      </c>
      <c r="G186" s="14">
        <f t="shared" ref="G186:G190" si="176">(F186/E186)*100</f>
        <v>31.27071179</v>
      </c>
      <c r="H186" s="89"/>
      <c r="I186" s="137"/>
      <c r="J186" s="89">
        <f t="shared" ref="J186:J190" si="177">I186-H186</f>
        <v>0</v>
      </c>
      <c r="K186" s="89">
        <f t="shared" ref="K186:K190" si="178">F186</f>
        <v>267.99</v>
      </c>
      <c r="L186" s="152" t="str">
        <f t="shared" ref="L186:L190" si="179">(K186/J186)*100</f>
        <v>#DIV/0!</v>
      </c>
      <c r="M186" s="126">
        <v>19030.0</v>
      </c>
      <c r="N186" s="44">
        <f t="shared" ref="N186:N190" si="180">F186*M186</f>
        <v>5099849.7</v>
      </c>
      <c r="O186" s="197">
        <v>8.0</v>
      </c>
      <c r="P186" s="197" t="s">
        <v>54</v>
      </c>
      <c r="Q186" s="251">
        <f>N230</f>
        <v>38000000</v>
      </c>
    </row>
    <row r="187">
      <c r="A187" s="154">
        <v>45948.0</v>
      </c>
      <c r="B187" s="156" t="s">
        <v>53</v>
      </c>
      <c r="C187" s="89">
        <v>496539.0</v>
      </c>
      <c r="D187" s="89">
        <v>497470.0</v>
      </c>
      <c r="E187" s="12">
        <f t="shared" si="175"/>
        <v>931</v>
      </c>
      <c r="F187" s="157">
        <v>293.15</v>
      </c>
      <c r="G187" s="14">
        <f t="shared" si="176"/>
        <v>31.48764769</v>
      </c>
      <c r="H187" s="89">
        <v>25450.0</v>
      </c>
      <c r="I187" s="137">
        <v>14880.0</v>
      </c>
      <c r="J187" s="89">
        <f t="shared" si="177"/>
        <v>-10570</v>
      </c>
      <c r="K187" s="89">
        <f t="shared" si="178"/>
        <v>293.15</v>
      </c>
      <c r="L187" s="152">
        <f t="shared" si="179"/>
        <v>-2.773415326</v>
      </c>
      <c r="M187" s="126">
        <v>17880.0</v>
      </c>
      <c r="N187" s="49">
        <f t="shared" si="180"/>
        <v>5241522</v>
      </c>
      <c r="O187" s="197">
        <v>9.0</v>
      </c>
      <c r="P187" s="197" t="s">
        <v>69</v>
      </c>
      <c r="Q187" s="251">
        <f>N237</f>
        <v>15499968.7</v>
      </c>
    </row>
    <row r="188">
      <c r="A188" s="154">
        <v>45957.0</v>
      </c>
      <c r="B188" s="156" t="s">
        <v>53</v>
      </c>
      <c r="C188" s="89">
        <v>497470.0</v>
      </c>
      <c r="D188" s="89">
        <v>498198.0</v>
      </c>
      <c r="E188" s="12">
        <f t="shared" si="175"/>
        <v>728</v>
      </c>
      <c r="F188" s="157">
        <v>212.53</v>
      </c>
      <c r="G188" s="14">
        <f t="shared" si="176"/>
        <v>29.19368132</v>
      </c>
      <c r="H188" s="89"/>
      <c r="I188" s="137"/>
      <c r="J188" s="89">
        <f t="shared" si="177"/>
        <v>0</v>
      </c>
      <c r="K188" s="89">
        <f t="shared" si="178"/>
        <v>212.53</v>
      </c>
      <c r="L188" s="152" t="str">
        <f t="shared" si="179"/>
        <v>#DIV/0!</v>
      </c>
      <c r="M188" s="126">
        <v>17880.0</v>
      </c>
      <c r="N188" s="49">
        <f t="shared" si="180"/>
        <v>3800036.4</v>
      </c>
    </row>
    <row r="189">
      <c r="A189" s="154"/>
      <c r="B189" s="156" t="s">
        <v>53</v>
      </c>
      <c r="C189" s="89"/>
      <c r="D189" s="89"/>
      <c r="E189" s="12">
        <f t="shared" si="175"/>
        <v>0</v>
      </c>
      <c r="F189" s="157"/>
      <c r="G189" s="14" t="str">
        <f t="shared" si="176"/>
        <v>#DIV/0!</v>
      </c>
      <c r="H189" s="89"/>
      <c r="I189" s="137"/>
      <c r="J189" s="89">
        <f t="shared" si="177"/>
        <v>0</v>
      </c>
      <c r="K189" s="89" t="str">
        <f t="shared" si="178"/>
        <v/>
      </c>
      <c r="L189" s="152" t="str">
        <f t="shared" si="179"/>
        <v>#DIV/0!</v>
      </c>
      <c r="M189" s="126"/>
      <c r="N189" s="49">
        <f t="shared" si="180"/>
        <v>0</v>
      </c>
    </row>
    <row r="190">
      <c r="A190" s="154"/>
      <c r="B190" s="156" t="s">
        <v>53</v>
      </c>
      <c r="C190" s="89"/>
      <c r="D190" s="89"/>
      <c r="E190" s="12">
        <f t="shared" si="175"/>
        <v>0</v>
      </c>
      <c r="F190" s="157"/>
      <c r="G190" s="14" t="str">
        <f t="shared" si="176"/>
        <v>#DIV/0!</v>
      </c>
      <c r="H190" s="89"/>
      <c r="I190" s="137"/>
      <c r="J190" s="89">
        <f t="shared" si="177"/>
        <v>0</v>
      </c>
      <c r="K190" s="89" t="str">
        <f t="shared" si="178"/>
        <v/>
      </c>
      <c r="L190" s="152" t="str">
        <f t="shared" si="179"/>
        <v>#DIV/0!</v>
      </c>
      <c r="M190" s="126"/>
      <c r="N190" s="49">
        <f t="shared" si="180"/>
        <v>0</v>
      </c>
    </row>
    <row r="191">
      <c r="A191" s="154"/>
      <c r="B191" s="63"/>
      <c r="C191" s="62"/>
      <c r="D191" s="64" t="s">
        <v>19</v>
      </c>
      <c r="E191" s="64">
        <f t="shared" ref="E191:F191" si="181">sum(E186:E190)</f>
        <v>2516</v>
      </c>
      <c r="F191" s="64">
        <f t="shared" si="181"/>
        <v>773.67</v>
      </c>
      <c r="G191" s="65" t="str">
        <f>average(G186:G190)</f>
        <v>#DIV/0!</v>
      </c>
      <c r="H191" s="62"/>
      <c r="I191" s="66"/>
      <c r="J191" s="64">
        <f t="shared" ref="J191:K191" si="182">sum(J186:J190)</f>
        <v>-10570</v>
      </c>
      <c r="K191" s="64">
        <f t="shared" si="182"/>
        <v>773.67</v>
      </c>
      <c r="L191" s="65" t="str">
        <f>average(L186:L190)</f>
        <v>#DIV/0!</v>
      </c>
      <c r="M191" s="68"/>
      <c r="N191" s="69">
        <f>sum(N186:N190)</f>
        <v>14141408.1</v>
      </c>
    </row>
    <row r="192">
      <c r="A192" s="279">
        <v>45940.0</v>
      </c>
      <c r="B192" s="280" t="s">
        <v>48</v>
      </c>
      <c r="C192" s="89"/>
      <c r="D192" s="13"/>
      <c r="E192" s="38">
        <f t="shared" ref="E192:E196" si="183">D192-C192</f>
        <v>0</v>
      </c>
      <c r="F192" s="157">
        <v>249.79</v>
      </c>
      <c r="G192" s="14" t="str">
        <f t="shared" ref="G192:G196" si="184">(F192/E192)*100</f>
        <v>#DIV/0!</v>
      </c>
      <c r="H192" s="89">
        <v>4490.0</v>
      </c>
      <c r="I192" s="138"/>
      <c r="J192" s="41">
        <f t="shared" ref="J192:J196" si="185">I192-H192</f>
        <v>-4490</v>
      </c>
      <c r="K192" s="41">
        <v>193.55</v>
      </c>
      <c r="L192" s="152">
        <f t="shared" ref="L192:L196" si="186">(K192/J192)*100</f>
        <v>-4.310690423</v>
      </c>
      <c r="M192" s="291">
        <v>18420.0</v>
      </c>
      <c r="N192" s="292">
        <f>F192*M192</f>
        <v>4601131.8</v>
      </c>
    </row>
    <row r="193">
      <c r="A193" s="154">
        <v>45952.0</v>
      </c>
      <c r="B193" s="156" t="s">
        <v>48</v>
      </c>
      <c r="C193" s="89"/>
      <c r="D193" s="13"/>
      <c r="E193" s="12">
        <f t="shared" si="183"/>
        <v>0</v>
      </c>
      <c r="F193" s="157"/>
      <c r="G193" s="14" t="str">
        <f t="shared" si="184"/>
        <v>#DIV/0!</v>
      </c>
      <c r="H193" s="89"/>
      <c r="I193" s="137"/>
      <c r="J193" s="89">
        <f t="shared" si="185"/>
        <v>0</v>
      </c>
      <c r="K193" s="37">
        <v>249.73</v>
      </c>
      <c r="L193" s="152" t="str">
        <f t="shared" si="186"/>
        <v>#DIV/0!</v>
      </c>
      <c r="M193" s="126">
        <v>18420.0</v>
      </c>
      <c r="N193" s="131">
        <f>M193*K193</f>
        <v>4600026.6</v>
      </c>
    </row>
    <row r="194">
      <c r="A194" s="154"/>
      <c r="B194" s="156" t="s">
        <v>48</v>
      </c>
      <c r="C194" s="89"/>
      <c r="D194" s="89"/>
      <c r="E194" s="12">
        <f t="shared" si="183"/>
        <v>0</v>
      </c>
      <c r="F194" s="157"/>
      <c r="G194" s="14" t="str">
        <f t="shared" si="184"/>
        <v>#DIV/0!</v>
      </c>
      <c r="H194" s="89"/>
      <c r="I194" s="137"/>
      <c r="J194" s="89">
        <f t="shared" si="185"/>
        <v>0</v>
      </c>
      <c r="K194" s="37" t="str">
        <f t="shared" ref="K194:K196" si="187">F194</f>
        <v/>
      </c>
      <c r="L194" s="152" t="str">
        <f t="shared" si="186"/>
        <v>#DIV/0!</v>
      </c>
      <c r="M194" s="126"/>
      <c r="N194" s="131">
        <f t="shared" ref="N194:N196" si="188">F194*M194</f>
        <v>0</v>
      </c>
    </row>
    <row r="195">
      <c r="A195" s="154"/>
      <c r="B195" s="156" t="s">
        <v>48</v>
      </c>
      <c r="C195" s="89"/>
      <c r="D195" s="89"/>
      <c r="E195" s="12">
        <f t="shared" si="183"/>
        <v>0</v>
      </c>
      <c r="F195" s="157"/>
      <c r="G195" s="14" t="str">
        <f t="shared" si="184"/>
        <v>#DIV/0!</v>
      </c>
      <c r="H195" s="89"/>
      <c r="I195" s="137"/>
      <c r="J195" s="89">
        <f t="shared" si="185"/>
        <v>0</v>
      </c>
      <c r="K195" s="41" t="str">
        <f t="shared" si="187"/>
        <v/>
      </c>
      <c r="L195" s="152" t="str">
        <f t="shared" si="186"/>
        <v>#DIV/0!</v>
      </c>
      <c r="M195" s="126"/>
      <c r="N195" s="131">
        <f t="shared" si="188"/>
        <v>0</v>
      </c>
    </row>
    <row r="196">
      <c r="A196" s="154"/>
      <c r="B196" s="156"/>
      <c r="C196" s="89"/>
      <c r="D196" s="89"/>
      <c r="E196" s="12">
        <f t="shared" si="183"/>
        <v>0</v>
      </c>
      <c r="F196" s="157"/>
      <c r="G196" s="14" t="str">
        <f t="shared" si="184"/>
        <v>#DIV/0!</v>
      </c>
      <c r="H196" s="89"/>
      <c r="I196" s="137"/>
      <c r="J196" s="89">
        <f t="shared" si="185"/>
        <v>0</v>
      </c>
      <c r="K196" s="89" t="str">
        <f t="shared" si="187"/>
        <v/>
      </c>
      <c r="L196" s="152" t="str">
        <f t="shared" si="186"/>
        <v>#DIV/0!</v>
      </c>
      <c r="M196" s="126"/>
      <c r="N196" s="131">
        <f t="shared" si="188"/>
        <v>0</v>
      </c>
    </row>
    <row r="197">
      <c r="A197" s="154"/>
      <c r="B197" s="63"/>
      <c r="C197" s="62"/>
      <c r="D197" s="64" t="s">
        <v>19</v>
      </c>
      <c r="E197" s="64">
        <f t="shared" ref="E197:F197" si="189">sum(E192:E196)</f>
        <v>0</v>
      </c>
      <c r="F197" s="64">
        <f t="shared" si="189"/>
        <v>249.79</v>
      </c>
      <c r="G197" s="65" t="str">
        <f>average(G192:G196)</f>
        <v>#DIV/0!</v>
      </c>
      <c r="H197" s="62"/>
      <c r="I197" s="66"/>
      <c r="J197" s="64">
        <f t="shared" ref="J197:K197" si="190">sum(J192:J196)</f>
        <v>-4490</v>
      </c>
      <c r="K197" s="64">
        <f t="shared" si="190"/>
        <v>443.28</v>
      </c>
      <c r="L197" s="65" t="str">
        <f>average(L192:L196)</f>
        <v>#DIV/0!</v>
      </c>
      <c r="M197" s="68"/>
      <c r="N197" s="69">
        <f>sum(N192:N196)</f>
        <v>9201158.4</v>
      </c>
    </row>
    <row r="198">
      <c r="A198" s="154">
        <v>45937.0</v>
      </c>
      <c r="B198" s="156" t="s">
        <v>49</v>
      </c>
      <c r="C198" s="89"/>
      <c r="D198" s="13"/>
      <c r="E198" s="38">
        <f t="shared" ref="E198:E202" si="191">D198-C198</f>
        <v>0</v>
      </c>
      <c r="F198" s="39">
        <v>225.97</v>
      </c>
      <c r="G198" s="14" t="str">
        <f t="shared" ref="G198:G202" si="192">(F198/E198)*100</f>
        <v>#DIV/0!</v>
      </c>
      <c r="H198" s="89"/>
      <c r="I198" s="138"/>
      <c r="J198" s="41">
        <f t="shared" ref="J198:J202" si="193">I198-H198</f>
        <v>0</v>
      </c>
      <c r="K198" s="41">
        <f t="shared" ref="K198:K202" si="194">F198</f>
        <v>225.97</v>
      </c>
      <c r="L198" s="48" t="str">
        <f t="shared" ref="L198:L202" si="195">(K198/J198)*100</f>
        <v>#DIV/0!</v>
      </c>
      <c r="M198" s="72">
        <v>19030.0</v>
      </c>
      <c r="N198" s="131">
        <f t="shared" ref="N198:N201" si="196">M198*K198</f>
        <v>4300209.1</v>
      </c>
    </row>
    <row r="199">
      <c r="A199" s="154"/>
      <c r="B199" s="156" t="s">
        <v>49</v>
      </c>
      <c r="C199" s="13"/>
      <c r="D199" s="89"/>
      <c r="E199" s="12">
        <f t="shared" si="191"/>
        <v>0</v>
      </c>
      <c r="F199" s="157"/>
      <c r="G199" s="14" t="str">
        <f t="shared" si="192"/>
        <v>#DIV/0!</v>
      </c>
      <c r="H199" s="89"/>
      <c r="I199" s="137"/>
      <c r="J199" s="89">
        <f t="shared" si="193"/>
        <v>0</v>
      </c>
      <c r="K199" s="89" t="str">
        <f t="shared" si="194"/>
        <v/>
      </c>
      <c r="L199" s="152" t="str">
        <f t="shared" si="195"/>
        <v>#DIV/0!</v>
      </c>
      <c r="M199" s="126"/>
      <c r="N199" s="131">
        <f t="shared" si="196"/>
        <v>0</v>
      </c>
    </row>
    <row r="200">
      <c r="A200" s="154"/>
      <c r="B200" s="156" t="s">
        <v>49</v>
      </c>
      <c r="C200" s="89"/>
      <c r="D200" s="89"/>
      <c r="E200" s="12">
        <f t="shared" si="191"/>
        <v>0</v>
      </c>
      <c r="F200" s="157"/>
      <c r="G200" s="14" t="str">
        <f t="shared" si="192"/>
        <v>#DIV/0!</v>
      </c>
      <c r="H200" s="89"/>
      <c r="I200" s="137"/>
      <c r="J200" s="89">
        <f t="shared" si="193"/>
        <v>0</v>
      </c>
      <c r="K200" s="89" t="str">
        <f t="shared" si="194"/>
        <v/>
      </c>
      <c r="L200" s="152" t="str">
        <f t="shared" si="195"/>
        <v>#DIV/0!</v>
      </c>
      <c r="M200" s="126"/>
      <c r="N200" s="131">
        <f t="shared" si="196"/>
        <v>0</v>
      </c>
    </row>
    <row r="201">
      <c r="A201" s="154"/>
      <c r="B201" s="156" t="s">
        <v>49</v>
      </c>
      <c r="C201" s="89"/>
      <c r="D201" s="89"/>
      <c r="E201" s="12">
        <f t="shared" si="191"/>
        <v>0</v>
      </c>
      <c r="F201" s="157"/>
      <c r="G201" s="14" t="str">
        <f t="shared" si="192"/>
        <v>#DIV/0!</v>
      </c>
      <c r="H201" s="89"/>
      <c r="I201" s="137"/>
      <c r="J201" s="89">
        <f t="shared" si="193"/>
        <v>0</v>
      </c>
      <c r="K201" s="89" t="str">
        <f t="shared" si="194"/>
        <v/>
      </c>
      <c r="L201" s="152" t="str">
        <f t="shared" si="195"/>
        <v>#DIV/0!</v>
      </c>
      <c r="M201" s="126"/>
      <c r="N201" s="131">
        <f t="shared" si="196"/>
        <v>0</v>
      </c>
    </row>
    <row r="202">
      <c r="A202" s="154"/>
      <c r="B202" s="156"/>
      <c r="C202" s="89"/>
      <c r="D202" s="89"/>
      <c r="E202" s="12">
        <f t="shared" si="191"/>
        <v>0</v>
      </c>
      <c r="F202" s="157"/>
      <c r="G202" s="14" t="str">
        <f t="shared" si="192"/>
        <v>#DIV/0!</v>
      </c>
      <c r="H202" s="89"/>
      <c r="I202" s="137"/>
      <c r="J202" s="89">
        <f t="shared" si="193"/>
        <v>0</v>
      </c>
      <c r="K202" s="89" t="str">
        <f t="shared" si="194"/>
        <v/>
      </c>
      <c r="L202" s="152" t="str">
        <f t="shared" si="195"/>
        <v>#DIV/0!</v>
      </c>
      <c r="M202" s="126"/>
      <c r="N202" s="131">
        <f>F202*M202</f>
        <v>0</v>
      </c>
    </row>
    <row r="203">
      <c r="A203" s="154"/>
      <c r="B203" s="63"/>
      <c r="C203" s="62"/>
      <c r="D203" s="64" t="s">
        <v>19</v>
      </c>
      <c r="E203" s="64">
        <f t="shared" ref="E203:F203" si="197">sum(E198:E202)</f>
        <v>0</v>
      </c>
      <c r="F203" s="64">
        <f t="shared" si="197"/>
        <v>225.97</v>
      </c>
      <c r="G203" s="65" t="str">
        <f>average(G198:G202)</f>
        <v>#DIV/0!</v>
      </c>
      <c r="H203" s="62"/>
      <c r="I203" s="66"/>
      <c r="J203" s="64">
        <f t="shared" ref="J203:K203" si="198">sum(J198:J202)</f>
        <v>0</v>
      </c>
      <c r="K203" s="64">
        <f t="shared" si="198"/>
        <v>225.97</v>
      </c>
      <c r="L203" s="65" t="str">
        <f>average(L198:L202)</f>
        <v>#DIV/0!</v>
      </c>
      <c r="M203" s="68"/>
      <c r="N203" s="69">
        <f>sum(N198:N202)</f>
        <v>4300209.1</v>
      </c>
    </row>
    <row r="204">
      <c r="A204" s="154">
        <v>45941.0</v>
      </c>
      <c r="B204" s="156" t="s">
        <v>50</v>
      </c>
      <c r="C204" s="89"/>
      <c r="D204" s="13"/>
      <c r="E204" s="38"/>
      <c r="F204" s="39">
        <v>198.92</v>
      </c>
      <c r="G204" s="14" t="str">
        <f t="shared" ref="G204:G208" si="199">(F204/E204)*100</f>
        <v>#DIV/0!</v>
      </c>
      <c r="H204" s="89"/>
      <c r="I204" s="138">
        <v>5081.0</v>
      </c>
      <c r="J204" s="41">
        <f t="shared" ref="J204:J208" si="200">I204-H204</f>
        <v>5081</v>
      </c>
      <c r="K204" s="41">
        <f>F204</f>
        <v>198.92</v>
      </c>
      <c r="L204" s="152">
        <f t="shared" ref="L204:L208" si="201">(K204/J204)*100</f>
        <v>3.914977367</v>
      </c>
      <c r="M204" s="72">
        <v>18600.0</v>
      </c>
      <c r="N204" s="49">
        <f>F204*M204</f>
        <v>3699912</v>
      </c>
    </row>
    <row r="205">
      <c r="A205" s="154">
        <v>45955.0</v>
      </c>
      <c r="B205" s="156" t="s">
        <v>50</v>
      </c>
      <c r="C205" s="89"/>
      <c r="D205" s="89"/>
      <c r="E205" s="12">
        <f t="shared" ref="E205:E208" si="202">D205-C205</f>
        <v>0</v>
      </c>
      <c r="F205" s="157"/>
      <c r="G205" s="14" t="str">
        <f t="shared" si="199"/>
        <v>#DIV/0!</v>
      </c>
      <c r="H205" s="89"/>
      <c r="I205" s="137">
        <v>4153.0</v>
      </c>
      <c r="J205" s="89">
        <f t="shared" si="200"/>
        <v>4153</v>
      </c>
      <c r="K205" s="41">
        <v>223.71</v>
      </c>
      <c r="L205" s="152">
        <f t="shared" si="201"/>
        <v>5.386708404</v>
      </c>
      <c r="M205" s="126">
        <v>17880.0</v>
      </c>
      <c r="N205" s="49">
        <f>M205*K205</f>
        <v>3999934.8</v>
      </c>
    </row>
    <row r="206">
      <c r="A206" s="154"/>
      <c r="B206" s="156" t="s">
        <v>50</v>
      </c>
      <c r="C206" s="89"/>
      <c r="D206" s="89"/>
      <c r="E206" s="12">
        <f t="shared" si="202"/>
        <v>0</v>
      </c>
      <c r="F206" s="157"/>
      <c r="G206" s="14" t="str">
        <f t="shared" si="199"/>
        <v>#DIV/0!</v>
      </c>
      <c r="H206" s="89"/>
      <c r="I206" s="137"/>
      <c r="J206" s="89">
        <f t="shared" si="200"/>
        <v>0</v>
      </c>
      <c r="K206" s="41" t="str">
        <f t="shared" ref="K206:K208" si="203">F206</f>
        <v/>
      </c>
      <c r="L206" s="152" t="str">
        <f t="shared" si="201"/>
        <v>#DIV/0!</v>
      </c>
      <c r="M206" s="126"/>
      <c r="N206" s="49">
        <f t="shared" ref="N206:N208" si="204">F206*M206</f>
        <v>0</v>
      </c>
    </row>
    <row r="207">
      <c r="A207" s="154"/>
      <c r="B207" s="156" t="s">
        <v>50</v>
      </c>
      <c r="C207" s="89"/>
      <c r="D207" s="89"/>
      <c r="E207" s="12">
        <f t="shared" si="202"/>
        <v>0</v>
      </c>
      <c r="F207" s="157"/>
      <c r="G207" s="14" t="str">
        <f t="shared" si="199"/>
        <v>#DIV/0!</v>
      </c>
      <c r="H207" s="89"/>
      <c r="I207" s="137"/>
      <c r="J207" s="89">
        <f t="shared" si="200"/>
        <v>0</v>
      </c>
      <c r="K207" s="41" t="str">
        <f t="shared" si="203"/>
        <v/>
      </c>
      <c r="L207" s="152" t="str">
        <f t="shared" si="201"/>
        <v>#DIV/0!</v>
      </c>
      <c r="M207" s="126"/>
      <c r="N207" s="49">
        <f t="shared" si="204"/>
        <v>0</v>
      </c>
    </row>
    <row r="208">
      <c r="A208" s="154"/>
      <c r="B208" s="156" t="s">
        <v>50</v>
      </c>
      <c r="C208" s="89"/>
      <c r="D208" s="89"/>
      <c r="E208" s="12">
        <f t="shared" si="202"/>
        <v>0</v>
      </c>
      <c r="F208" s="157"/>
      <c r="G208" s="14" t="str">
        <f t="shared" si="199"/>
        <v>#DIV/0!</v>
      </c>
      <c r="H208" s="89"/>
      <c r="I208" s="137"/>
      <c r="J208" s="89">
        <f t="shared" si="200"/>
        <v>0</v>
      </c>
      <c r="K208" s="89" t="str">
        <f t="shared" si="203"/>
        <v/>
      </c>
      <c r="L208" s="152" t="str">
        <f t="shared" si="201"/>
        <v>#DIV/0!</v>
      </c>
      <c r="M208" s="126"/>
      <c r="N208" s="49">
        <f t="shared" si="204"/>
        <v>0</v>
      </c>
    </row>
    <row r="209">
      <c r="A209" s="154"/>
      <c r="B209" s="63"/>
      <c r="C209" s="62"/>
      <c r="D209" s="64" t="s">
        <v>19</v>
      </c>
      <c r="E209" s="64">
        <f t="shared" ref="E209:F209" si="205">sum(E204:E208)</f>
        <v>0</v>
      </c>
      <c r="F209" s="64">
        <f t="shared" si="205"/>
        <v>198.92</v>
      </c>
      <c r="G209" s="65" t="str">
        <f>average(G204:G208)</f>
        <v>#DIV/0!</v>
      </c>
      <c r="H209" s="62"/>
      <c r="I209" s="66"/>
      <c r="J209" s="64">
        <f t="shared" ref="J209:K209" si="206">sum(J204:J208)</f>
        <v>9234</v>
      </c>
      <c r="K209" s="64">
        <f t="shared" si="206"/>
        <v>422.63</v>
      </c>
      <c r="L209" s="65" t="str">
        <f>average(L204:L208)</f>
        <v>#DIV/0!</v>
      </c>
      <c r="M209" s="68"/>
      <c r="N209" s="69">
        <f>sum(N204:N208)</f>
        <v>7699846.8</v>
      </c>
    </row>
    <row r="210">
      <c r="A210" s="154">
        <v>45931.0</v>
      </c>
      <c r="B210" s="156" t="s">
        <v>51</v>
      </c>
      <c r="C210" s="89">
        <v>299715.0</v>
      </c>
      <c r="D210" s="13">
        <v>299938.0</v>
      </c>
      <c r="E210" s="12">
        <f t="shared" ref="E210:E214" si="207">D210-C210</f>
        <v>223</v>
      </c>
      <c r="F210" s="39">
        <v>160.86</v>
      </c>
      <c r="G210" s="14">
        <f t="shared" ref="G210:G214" si="208">(F210/E210)*100</f>
        <v>72.13452915</v>
      </c>
      <c r="H210" s="89"/>
      <c r="I210" s="138"/>
      <c r="J210" s="41">
        <f t="shared" ref="J210:J214" si="209">I210-H210</f>
        <v>0</v>
      </c>
      <c r="K210" s="41">
        <f t="shared" ref="K210:K214" si="210">F210</f>
        <v>160.86</v>
      </c>
      <c r="L210" s="152" t="str">
        <f t="shared" ref="L210:L214" si="211">(K210/J210)*100</f>
        <v>#DIV/0!</v>
      </c>
      <c r="M210" s="72">
        <v>18650.0</v>
      </c>
      <c r="N210" s="49">
        <f t="shared" ref="N210:N213" si="212">F210*M210</f>
        <v>3000039</v>
      </c>
    </row>
    <row r="211">
      <c r="A211" s="154">
        <v>45941.0</v>
      </c>
      <c r="B211" s="156" t="s">
        <v>51</v>
      </c>
      <c r="C211" s="13">
        <v>299938.0</v>
      </c>
      <c r="D211" s="89">
        <v>300155.0</v>
      </c>
      <c r="E211" s="12">
        <f t="shared" si="207"/>
        <v>217</v>
      </c>
      <c r="F211" s="157">
        <v>153.23</v>
      </c>
      <c r="G211" s="14">
        <f t="shared" si="208"/>
        <v>70.61290323</v>
      </c>
      <c r="H211" s="89">
        <v>15800.0</v>
      </c>
      <c r="I211" s="137"/>
      <c r="J211" s="89">
        <f t="shared" si="209"/>
        <v>-15800</v>
      </c>
      <c r="K211" s="89">
        <f t="shared" si="210"/>
        <v>153.23</v>
      </c>
      <c r="L211" s="152">
        <f t="shared" si="211"/>
        <v>-0.9698101266</v>
      </c>
      <c r="M211" s="126">
        <v>18600.0</v>
      </c>
      <c r="N211" s="49">
        <f t="shared" si="212"/>
        <v>2850078</v>
      </c>
    </row>
    <row r="212">
      <c r="A212" s="154">
        <v>45952.0</v>
      </c>
      <c r="B212" s="156" t="s">
        <v>51</v>
      </c>
      <c r="C212" s="89">
        <v>300155.0</v>
      </c>
      <c r="D212" s="89">
        <v>300400.0</v>
      </c>
      <c r="E212" s="12">
        <f t="shared" si="207"/>
        <v>245</v>
      </c>
      <c r="F212" s="157">
        <v>135.73</v>
      </c>
      <c r="G212" s="14">
        <f t="shared" si="208"/>
        <v>55.4</v>
      </c>
      <c r="H212" s="89"/>
      <c r="I212" s="137">
        <v>14880.0</v>
      </c>
      <c r="J212" s="89">
        <f t="shared" si="209"/>
        <v>14880</v>
      </c>
      <c r="K212" s="89">
        <f t="shared" si="210"/>
        <v>135.73</v>
      </c>
      <c r="L212" s="152">
        <f t="shared" si="211"/>
        <v>0.9121639785</v>
      </c>
      <c r="M212" s="126">
        <v>18420.0</v>
      </c>
      <c r="N212" s="49">
        <f t="shared" si="212"/>
        <v>2500146.6</v>
      </c>
    </row>
    <row r="213">
      <c r="A213" s="154">
        <v>45960.0</v>
      </c>
      <c r="B213" s="156" t="s">
        <v>51</v>
      </c>
      <c r="C213" s="89">
        <v>300400.0</v>
      </c>
      <c r="D213" s="89">
        <v>300635.0</v>
      </c>
      <c r="E213" s="12">
        <f t="shared" si="207"/>
        <v>235</v>
      </c>
      <c r="F213" s="157">
        <v>156.25</v>
      </c>
      <c r="G213" s="14">
        <f t="shared" si="208"/>
        <v>66.4893617</v>
      </c>
      <c r="H213" s="89"/>
      <c r="I213" s="137"/>
      <c r="J213" s="89">
        <f t="shared" si="209"/>
        <v>0</v>
      </c>
      <c r="K213" s="89">
        <f t="shared" si="210"/>
        <v>156.25</v>
      </c>
      <c r="L213" s="152" t="str">
        <f t="shared" si="211"/>
        <v>#DIV/0!</v>
      </c>
      <c r="M213" s="126">
        <v>19200.0</v>
      </c>
      <c r="N213" s="49">
        <f t="shared" si="212"/>
        <v>3000000</v>
      </c>
    </row>
    <row r="214">
      <c r="A214" s="154"/>
      <c r="B214" s="156"/>
      <c r="C214" s="89"/>
      <c r="D214" s="89"/>
      <c r="E214" s="12">
        <f t="shared" si="207"/>
        <v>0</v>
      </c>
      <c r="F214" s="157"/>
      <c r="G214" s="14" t="str">
        <f t="shared" si="208"/>
        <v>#DIV/0!</v>
      </c>
      <c r="H214" s="89"/>
      <c r="I214" s="137"/>
      <c r="J214" s="89">
        <f t="shared" si="209"/>
        <v>0</v>
      </c>
      <c r="K214" s="89" t="str">
        <f t="shared" si="210"/>
        <v/>
      </c>
      <c r="L214" s="152" t="str">
        <f t="shared" si="211"/>
        <v>#DIV/0!</v>
      </c>
      <c r="M214" s="126"/>
      <c r="N214" s="49">
        <f>M214*K214</f>
        <v>0</v>
      </c>
    </row>
    <row r="215">
      <c r="A215" s="154"/>
      <c r="B215" s="63"/>
      <c r="C215" s="62"/>
      <c r="D215" s="64" t="s">
        <v>19</v>
      </c>
      <c r="E215" s="64">
        <f t="shared" ref="E215:F215" si="213">sum(E210:E214)</f>
        <v>920</v>
      </c>
      <c r="F215" s="64">
        <f t="shared" si="213"/>
        <v>606.07</v>
      </c>
      <c r="G215" s="65" t="str">
        <f>average(G210:G214)</f>
        <v>#DIV/0!</v>
      </c>
      <c r="H215" s="62"/>
      <c r="I215" s="66"/>
      <c r="J215" s="64">
        <f t="shared" ref="J215:K215" si="214">sum(J210:J214)</f>
        <v>-920</v>
      </c>
      <c r="K215" s="64">
        <f t="shared" si="214"/>
        <v>606.07</v>
      </c>
      <c r="L215" s="65" t="str">
        <f>average(L210:L214)</f>
        <v>#DIV/0!</v>
      </c>
      <c r="M215" s="68"/>
      <c r="N215" s="69">
        <f>sum(N210:N214)</f>
        <v>11350263.6</v>
      </c>
    </row>
    <row r="216">
      <c r="A216" s="154">
        <v>45931.0</v>
      </c>
      <c r="B216" s="190" t="s">
        <v>62</v>
      </c>
      <c r="C216" s="89"/>
      <c r="D216" s="13"/>
      <c r="E216" s="38">
        <f t="shared" ref="E216:E220" si="215">D216-C216</f>
        <v>0</v>
      </c>
      <c r="F216" s="39"/>
      <c r="G216" s="14" t="str">
        <f t="shared" ref="G216:G220" si="216">(F216/E216)*100</f>
        <v>#DIV/0!</v>
      </c>
      <c r="H216" s="89"/>
      <c r="I216" s="138"/>
      <c r="J216" s="41">
        <f t="shared" ref="J216:J220" si="217">I216-H216</f>
        <v>0</v>
      </c>
      <c r="K216" s="41" t="str">
        <f t="shared" ref="K216:K220" si="218">F216</f>
        <v/>
      </c>
      <c r="L216" s="152" t="str">
        <f t="shared" ref="L216:L220" si="219">(K216/J216)*100</f>
        <v>#DIV/0!</v>
      </c>
      <c r="M216" s="72"/>
      <c r="N216" s="131">
        <v>8000000.0</v>
      </c>
    </row>
    <row r="217">
      <c r="A217" s="154">
        <v>45946.0</v>
      </c>
      <c r="B217" s="190" t="s">
        <v>62</v>
      </c>
      <c r="C217" s="89"/>
      <c r="D217" s="89"/>
      <c r="E217" s="12">
        <f t="shared" si="215"/>
        <v>0</v>
      </c>
      <c r="F217" s="157"/>
      <c r="G217" s="14" t="str">
        <f t="shared" si="216"/>
        <v>#DIV/0!</v>
      </c>
      <c r="H217" s="89"/>
      <c r="I217" s="137"/>
      <c r="J217" s="89">
        <f t="shared" si="217"/>
        <v>0</v>
      </c>
      <c r="K217" s="89" t="str">
        <f t="shared" si="218"/>
        <v/>
      </c>
      <c r="L217" s="152" t="str">
        <f t="shared" si="219"/>
        <v>#DIV/0!</v>
      </c>
      <c r="M217" s="126"/>
      <c r="N217" s="131">
        <v>6000000.0</v>
      </c>
    </row>
    <row r="218">
      <c r="A218" s="154">
        <v>45955.0</v>
      </c>
      <c r="B218" s="190" t="s">
        <v>62</v>
      </c>
      <c r="C218" s="89"/>
      <c r="D218" s="89"/>
      <c r="E218" s="12">
        <f t="shared" si="215"/>
        <v>0</v>
      </c>
      <c r="F218" s="157"/>
      <c r="G218" s="14" t="str">
        <f t="shared" si="216"/>
        <v>#DIV/0!</v>
      </c>
      <c r="H218" s="89"/>
      <c r="I218" s="137"/>
      <c r="J218" s="89">
        <f t="shared" si="217"/>
        <v>0</v>
      </c>
      <c r="K218" s="89" t="str">
        <f t="shared" si="218"/>
        <v/>
      </c>
      <c r="L218" s="152" t="str">
        <f t="shared" si="219"/>
        <v>#DIV/0!</v>
      </c>
      <c r="M218" s="126"/>
      <c r="N218" s="131">
        <v>2000000.0</v>
      </c>
    </row>
    <row r="219">
      <c r="A219" s="154">
        <v>45960.0</v>
      </c>
      <c r="B219" s="190" t="s">
        <v>62</v>
      </c>
      <c r="C219" s="89"/>
      <c r="D219" s="89"/>
      <c r="E219" s="12">
        <f t="shared" si="215"/>
        <v>0</v>
      </c>
      <c r="F219" s="157"/>
      <c r="G219" s="14" t="str">
        <f t="shared" si="216"/>
        <v>#DIV/0!</v>
      </c>
      <c r="H219" s="89"/>
      <c r="I219" s="137"/>
      <c r="J219" s="89">
        <f t="shared" si="217"/>
        <v>0</v>
      </c>
      <c r="K219" s="89" t="str">
        <f t="shared" si="218"/>
        <v/>
      </c>
      <c r="L219" s="152" t="str">
        <f t="shared" si="219"/>
        <v>#DIV/0!</v>
      </c>
      <c r="M219" s="126"/>
      <c r="N219" s="131">
        <v>1500000.0</v>
      </c>
    </row>
    <row r="220">
      <c r="A220" s="154"/>
      <c r="B220" s="190" t="s">
        <v>62</v>
      </c>
      <c r="C220" s="89"/>
      <c r="D220" s="89"/>
      <c r="E220" s="12">
        <f t="shared" si="215"/>
        <v>0</v>
      </c>
      <c r="F220" s="157"/>
      <c r="G220" s="14" t="str">
        <f t="shared" si="216"/>
        <v>#DIV/0!</v>
      </c>
      <c r="H220" s="89"/>
      <c r="I220" s="137"/>
      <c r="J220" s="89">
        <f t="shared" si="217"/>
        <v>0</v>
      </c>
      <c r="K220" s="89" t="str">
        <f t="shared" si="218"/>
        <v/>
      </c>
      <c r="L220" s="152" t="str">
        <f t="shared" si="219"/>
        <v>#DIV/0!</v>
      </c>
      <c r="M220" s="126"/>
      <c r="N220" s="131">
        <f>F220*M220</f>
        <v>0</v>
      </c>
    </row>
    <row r="221">
      <c r="A221" s="62"/>
      <c r="B221" s="63"/>
      <c r="C221" s="62"/>
      <c r="D221" s="64"/>
      <c r="E221" s="64">
        <f t="shared" ref="E221:F221" si="220">sum(E216:E220)</f>
        <v>0</v>
      </c>
      <c r="F221" s="64">
        <f t="shared" si="220"/>
        <v>0</v>
      </c>
      <c r="G221" s="65" t="str">
        <f>average(G216:G220)</f>
        <v>#DIV/0!</v>
      </c>
      <c r="H221" s="62"/>
      <c r="I221" s="66"/>
      <c r="J221" s="64">
        <f t="shared" ref="J221:K221" si="221">sum(J216:J220)</f>
        <v>0</v>
      </c>
      <c r="K221" s="64">
        <f t="shared" si="221"/>
        <v>0</v>
      </c>
      <c r="L221" s="65" t="str">
        <f>average(L216:L220)</f>
        <v>#DIV/0!</v>
      </c>
      <c r="M221" s="68"/>
      <c r="N221" s="69">
        <f>sum(N216:N220)</f>
        <v>17500000</v>
      </c>
    </row>
    <row r="222">
      <c r="A222" s="70">
        <v>45936.0</v>
      </c>
      <c r="B222" s="156" t="s">
        <v>54</v>
      </c>
      <c r="C222" s="89"/>
      <c r="D222" s="13"/>
      <c r="E222" s="38">
        <f t="shared" ref="E222:E227" si="222">D222-C222</f>
        <v>0</v>
      </c>
      <c r="F222" s="39"/>
      <c r="G222" s="14" t="str">
        <f t="shared" ref="G222:G227" si="223">(F222/E222)*100</f>
        <v>#DIV/0!</v>
      </c>
      <c r="H222" s="89"/>
      <c r="I222" s="138"/>
      <c r="J222" s="41">
        <f t="shared" ref="J222:J229" si="224">I222-H222</f>
        <v>0</v>
      </c>
      <c r="K222" s="41"/>
      <c r="L222" s="152" t="str">
        <f t="shared" ref="L222:L229" si="225">(K222/J222)*100</f>
        <v>#DIV/0!</v>
      </c>
      <c r="M222" s="72"/>
      <c r="N222" s="49">
        <v>5000000.0</v>
      </c>
    </row>
    <row r="223">
      <c r="A223" s="35">
        <v>45938.0</v>
      </c>
      <c r="B223" s="156" t="s">
        <v>54</v>
      </c>
      <c r="C223" s="89"/>
      <c r="D223" s="89"/>
      <c r="E223" s="12">
        <f t="shared" si="222"/>
        <v>0</v>
      </c>
      <c r="F223" s="157"/>
      <c r="G223" s="14" t="str">
        <f t="shared" si="223"/>
        <v>#DIV/0!</v>
      </c>
      <c r="H223" s="89"/>
      <c r="I223" s="137"/>
      <c r="J223" s="89">
        <f t="shared" si="224"/>
        <v>0</v>
      </c>
      <c r="K223" s="89" t="str">
        <f t="shared" ref="K223:K229" si="226">F223</f>
        <v/>
      </c>
      <c r="L223" s="152" t="str">
        <f t="shared" si="225"/>
        <v>#DIV/0!</v>
      </c>
      <c r="M223" s="126"/>
      <c r="N223" s="49">
        <v>5000000.0</v>
      </c>
    </row>
    <row r="224">
      <c r="A224" s="35">
        <v>45945.0</v>
      </c>
      <c r="B224" s="156" t="s">
        <v>54</v>
      </c>
      <c r="C224" s="89"/>
      <c r="D224" s="89"/>
      <c r="E224" s="12">
        <f t="shared" si="222"/>
        <v>0</v>
      </c>
      <c r="F224" s="157"/>
      <c r="G224" s="14" t="str">
        <f t="shared" si="223"/>
        <v>#DIV/0!</v>
      </c>
      <c r="H224" s="89"/>
      <c r="I224" s="137"/>
      <c r="J224" s="89">
        <f t="shared" si="224"/>
        <v>0</v>
      </c>
      <c r="K224" s="89" t="str">
        <f t="shared" si="226"/>
        <v/>
      </c>
      <c r="L224" s="152" t="str">
        <f t="shared" si="225"/>
        <v>#DIV/0!</v>
      </c>
      <c r="M224" s="126"/>
      <c r="N224" s="49">
        <v>5000000.0</v>
      </c>
    </row>
    <row r="225">
      <c r="A225" s="35">
        <v>45948.0</v>
      </c>
      <c r="B225" s="156" t="s">
        <v>54</v>
      </c>
      <c r="C225" s="89"/>
      <c r="D225" s="89"/>
      <c r="E225" s="12">
        <f t="shared" si="222"/>
        <v>0</v>
      </c>
      <c r="F225" s="157"/>
      <c r="G225" s="14" t="str">
        <f t="shared" si="223"/>
        <v>#DIV/0!</v>
      </c>
      <c r="H225" s="89"/>
      <c r="I225" s="137"/>
      <c r="J225" s="89">
        <f t="shared" si="224"/>
        <v>0</v>
      </c>
      <c r="K225" s="89" t="str">
        <f t="shared" si="226"/>
        <v/>
      </c>
      <c r="L225" s="152" t="str">
        <f t="shared" si="225"/>
        <v>#DIV/0!</v>
      </c>
      <c r="M225" s="126"/>
      <c r="N225" s="49">
        <v>5000000.0</v>
      </c>
    </row>
    <row r="226">
      <c r="A226" s="35">
        <v>45952.0</v>
      </c>
      <c r="B226" s="156" t="s">
        <v>54</v>
      </c>
      <c r="C226" s="89"/>
      <c r="D226" s="89"/>
      <c r="E226" s="12">
        <f t="shared" si="222"/>
        <v>0</v>
      </c>
      <c r="F226" s="157"/>
      <c r="G226" s="14" t="str">
        <f t="shared" si="223"/>
        <v>#DIV/0!</v>
      </c>
      <c r="H226" s="89"/>
      <c r="I226" s="137"/>
      <c r="J226" s="89">
        <f t="shared" si="224"/>
        <v>0</v>
      </c>
      <c r="K226" s="89" t="str">
        <f t="shared" si="226"/>
        <v/>
      </c>
      <c r="L226" s="152" t="str">
        <f t="shared" si="225"/>
        <v>#DIV/0!</v>
      </c>
      <c r="M226" s="126"/>
      <c r="N226" s="49">
        <v>5000000.0</v>
      </c>
    </row>
    <row r="227">
      <c r="A227" s="35">
        <v>45955.0</v>
      </c>
      <c r="B227" s="156" t="s">
        <v>54</v>
      </c>
      <c r="C227" s="89"/>
      <c r="D227" s="89"/>
      <c r="E227" s="12">
        <f t="shared" si="222"/>
        <v>0</v>
      </c>
      <c r="F227" s="157"/>
      <c r="G227" s="14" t="str">
        <f t="shared" si="223"/>
        <v>#DIV/0!</v>
      </c>
      <c r="H227" s="89"/>
      <c r="I227" s="137"/>
      <c r="J227" s="89">
        <f t="shared" si="224"/>
        <v>0</v>
      </c>
      <c r="K227" s="89" t="str">
        <f t="shared" si="226"/>
        <v/>
      </c>
      <c r="L227" s="152" t="str">
        <f t="shared" si="225"/>
        <v>#DIV/0!</v>
      </c>
      <c r="M227" s="126"/>
      <c r="N227" s="49">
        <v>3000000.0</v>
      </c>
    </row>
    <row r="228">
      <c r="A228" s="35">
        <v>45957.0</v>
      </c>
      <c r="B228" s="156" t="s">
        <v>54</v>
      </c>
      <c r="C228" s="89"/>
      <c r="D228" s="89"/>
      <c r="E228" s="12"/>
      <c r="F228" s="157"/>
      <c r="G228" s="14"/>
      <c r="H228" s="89"/>
      <c r="I228" s="137"/>
      <c r="J228" s="89">
        <f t="shared" si="224"/>
        <v>0</v>
      </c>
      <c r="K228" s="89" t="str">
        <f t="shared" si="226"/>
        <v/>
      </c>
      <c r="L228" s="152" t="str">
        <f t="shared" si="225"/>
        <v>#DIV/0!</v>
      </c>
      <c r="M228" s="126"/>
      <c r="N228" s="49">
        <v>7000000.0</v>
      </c>
    </row>
    <row r="229">
      <c r="A229" s="35">
        <v>45961.0</v>
      </c>
      <c r="B229" s="156" t="s">
        <v>54</v>
      </c>
      <c r="C229" s="89"/>
      <c r="D229" s="89"/>
      <c r="E229" s="12">
        <f>D229-C229</f>
        <v>0</v>
      </c>
      <c r="F229" s="157"/>
      <c r="G229" s="14" t="str">
        <f>(F229/E229)*100</f>
        <v>#DIV/0!</v>
      </c>
      <c r="H229" s="89"/>
      <c r="I229" s="137"/>
      <c r="J229" s="89">
        <f t="shared" si="224"/>
        <v>0</v>
      </c>
      <c r="K229" s="89" t="str">
        <f t="shared" si="226"/>
        <v/>
      </c>
      <c r="L229" s="152" t="str">
        <f t="shared" si="225"/>
        <v>#DIV/0!</v>
      </c>
      <c r="M229" s="126"/>
      <c r="N229" s="49">
        <v>3000000.0</v>
      </c>
    </row>
    <row r="230">
      <c r="A230" s="70"/>
      <c r="B230" s="63"/>
      <c r="C230" s="62"/>
      <c r="D230" s="64" t="s">
        <v>19</v>
      </c>
      <c r="E230" s="64">
        <f t="shared" ref="E230:F230" si="227">sum(E222:E229)</f>
        <v>0</v>
      </c>
      <c r="F230" s="64">
        <f t="shared" si="227"/>
        <v>0</v>
      </c>
      <c r="G230" s="65" t="str">
        <f>average(G222:G229)</f>
        <v>#DIV/0!</v>
      </c>
      <c r="H230" s="62"/>
      <c r="I230" s="66"/>
      <c r="J230" s="64">
        <f t="shared" ref="J230:K230" si="228">sum(J222:J229)</f>
        <v>0</v>
      </c>
      <c r="K230" s="64">
        <f t="shared" si="228"/>
        <v>0</v>
      </c>
      <c r="L230" s="65" t="str">
        <f>average(L222:L229)</f>
        <v>#DIV/0!</v>
      </c>
      <c r="M230" s="68"/>
      <c r="N230" s="69">
        <f>sum(N222:N229)</f>
        <v>38000000</v>
      </c>
    </row>
    <row r="231">
      <c r="A231" s="70">
        <v>45933.0</v>
      </c>
      <c r="B231" s="156" t="s">
        <v>69</v>
      </c>
      <c r="C231" s="89"/>
      <c r="D231" s="13"/>
      <c r="E231" s="38">
        <f t="shared" ref="E231:E236" si="229">D231-C231</f>
        <v>0</v>
      </c>
      <c r="F231" s="39">
        <v>315.29</v>
      </c>
      <c r="G231" s="14" t="str">
        <f t="shared" ref="G231:G236" si="230">(F231/E231)*100</f>
        <v>#DIV/0!</v>
      </c>
      <c r="H231" s="89"/>
      <c r="I231" s="138"/>
      <c r="J231" s="41">
        <f t="shared" ref="J231:J236" si="231">I231-H231</f>
        <v>0</v>
      </c>
      <c r="K231" s="41">
        <f t="shared" ref="K231:K236" si="232">F231</f>
        <v>315.29</v>
      </c>
      <c r="L231" s="71" t="str">
        <f t="shared" ref="L231:L236" si="233">(K231/J231)*100</f>
        <v>#DIV/0!</v>
      </c>
      <c r="M231" s="72">
        <v>19030.0</v>
      </c>
      <c r="N231" s="49">
        <f>M231*F231</f>
        <v>5999968.7</v>
      </c>
    </row>
    <row r="232">
      <c r="A232" s="35">
        <v>45946.0</v>
      </c>
      <c r="B232" s="156" t="s">
        <v>69</v>
      </c>
      <c r="C232" s="89"/>
      <c r="D232" s="89"/>
      <c r="E232" s="12">
        <f t="shared" si="229"/>
        <v>0</v>
      </c>
      <c r="F232" s="157"/>
      <c r="G232" s="14" t="str">
        <f t="shared" si="230"/>
        <v>#DIV/0!</v>
      </c>
      <c r="H232" s="89"/>
      <c r="I232" s="137"/>
      <c r="J232" s="37">
        <f t="shared" si="231"/>
        <v>0</v>
      </c>
      <c r="K232" s="37" t="str">
        <f t="shared" si="232"/>
        <v/>
      </c>
      <c r="L232" s="48" t="str">
        <f t="shared" si="233"/>
        <v>#DIV/0!</v>
      </c>
      <c r="M232" s="126"/>
      <c r="N232" s="49">
        <v>2000000.0</v>
      </c>
    </row>
    <row r="233">
      <c r="A233" s="70">
        <v>45946.0</v>
      </c>
      <c r="B233" s="156" t="s">
        <v>69</v>
      </c>
      <c r="C233" s="89"/>
      <c r="D233" s="13"/>
      <c r="E233" s="38">
        <f t="shared" si="229"/>
        <v>0</v>
      </c>
      <c r="F233" s="39"/>
      <c r="G233" s="14" t="str">
        <f t="shared" si="230"/>
        <v>#DIV/0!</v>
      </c>
      <c r="H233" s="89"/>
      <c r="I233" s="138"/>
      <c r="J233" s="41">
        <f t="shared" si="231"/>
        <v>0</v>
      </c>
      <c r="K233" s="41" t="str">
        <f t="shared" si="232"/>
        <v/>
      </c>
      <c r="L233" s="71" t="str">
        <f t="shared" si="233"/>
        <v>#DIV/0!</v>
      </c>
      <c r="M233" s="72"/>
      <c r="N233" s="49">
        <v>5500000.0</v>
      </c>
    </row>
    <row r="234">
      <c r="A234" s="35">
        <v>45958.0</v>
      </c>
      <c r="B234" s="156" t="s">
        <v>69</v>
      </c>
      <c r="C234" s="89"/>
      <c r="D234" s="89"/>
      <c r="E234" s="12">
        <f t="shared" si="229"/>
        <v>0</v>
      </c>
      <c r="F234" s="157"/>
      <c r="G234" s="14" t="str">
        <f t="shared" si="230"/>
        <v>#DIV/0!</v>
      </c>
      <c r="H234" s="89"/>
      <c r="I234" s="137"/>
      <c r="J234" s="37">
        <f t="shared" si="231"/>
        <v>0</v>
      </c>
      <c r="K234" s="37" t="str">
        <f t="shared" si="232"/>
        <v/>
      </c>
      <c r="L234" s="48" t="str">
        <f t="shared" si="233"/>
        <v>#DIV/0!</v>
      </c>
      <c r="M234" s="126"/>
      <c r="N234" s="49">
        <v>2000000.0</v>
      </c>
    </row>
    <row r="235">
      <c r="A235" s="35"/>
      <c r="B235" s="156" t="s">
        <v>69</v>
      </c>
      <c r="C235" s="89"/>
      <c r="D235" s="89"/>
      <c r="E235" s="12">
        <f t="shared" si="229"/>
        <v>0</v>
      </c>
      <c r="F235" s="157"/>
      <c r="G235" s="14" t="str">
        <f t="shared" si="230"/>
        <v>#DIV/0!</v>
      </c>
      <c r="H235" s="89"/>
      <c r="I235" s="137"/>
      <c r="J235" s="37">
        <f t="shared" si="231"/>
        <v>0</v>
      </c>
      <c r="K235" s="37" t="str">
        <f t="shared" si="232"/>
        <v/>
      </c>
      <c r="L235" s="77" t="str">
        <f t="shared" si="233"/>
        <v>#DIV/0!</v>
      </c>
      <c r="M235" s="126"/>
      <c r="N235" s="49">
        <f t="shared" ref="N235:N236" si="234">M235*F235</f>
        <v>0</v>
      </c>
    </row>
    <row r="236">
      <c r="A236" s="35"/>
      <c r="B236" s="156" t="s">
        <v>69</v>
      </c>
      <c r="C236" s="89"/>
      <c r="D236" s="89"/>
      <c r="E236" s="12">
        <f t="shared" si="229"/>
        <v>0</v>
      </c>
      <c r="F236" s="157"/>
      <c r="G236" s="14" t="str">
        <f t="shared" si="230"/>
        <v>#DIV/0!</v>
      </c>
      <c r="H236" s="89"/>
      <c r="I236" s="137"/>
      <c r="J236" s="89">
        <f t="shared" si="231"/>
        <v>0</v>
      </c>
      <c r="K236" s="89" t="str">
        <f t="shared" si="232"/>
        <v/>
      </c>
      <c r="L236" s="152" t="str">
        <f t="shared" si="233"/>
        <v>#DIV/0!</v>
      </c>
      <c r="M236" s="126"/>
      <c r="N236" s="49">
        <f t="shared" si="234"/>
        <v>0</v>
      </c>
    </row>
    <row r="237">
      <c r="A237" s="70"/>
      <c r="B237" s="63"/>
      <c r="C237" s="62"/>
      <c r="D237" s="64" t="s">
        <v>19</v>
      </c>
      <c r="E237" s="64">
        <f t="shared" ref="E237:F237" si="235">sum(E231:E236)</f>
        <v>0</v>
      </c>
      <c r="F237" s="64">
        <f t="shared" si="235"/>
        <v>315.29</v>
      </c>
      <c r="G237" s="65" t="str">
        <f>average(G231:G236)</f>
        <v>#DIV/0!</v>
      </c>
      <c r="H237" s="62"/>
      <c r="I237" s="66"/>
      <c r="J237" s="64">
        <f t="shared" ref="J237:K237" si="236">sum(J231:J236)</f>
        <v>0</v>
      </c>
      <c r="K237" s="64">
        <f t="shared" si="236"/>
        <v>315.29</v>
      </c>
      <c r="L237" s="65" t="str">
        <f>average(L231:L236)</f>
        <v>#DIV/0!</v>
      </c>
      <c r="M237" s="68"/>
      <c r="N237" s="69">
        <f>sum(N231:N236)</f>
        <v>15499968.7</v>
      </c>
    </row>
    <row r="238">
      <c r="A238" s="70">
        <v>45933.0</v>
      </c>
      <c r="B238" s="234" t="s">
        <v>63</v>
      </c>
      <c r="C238" s="89">
        <v>136233.0</v>
      </c>
      <c r="D238" s="13">
        <v>137161.0</v>
      </c>
      <c r="E238" s="38">
        <f t="shared" ref="E238:E243" si="237">D238-C238</f>
        <v>928</v>
      </c>
      <c r="F238" s="39">
        <v>260.68</v>
      </c>
      <c r="G238" s="14">
        <f t="shared" ref="G238:G243" si="238">(F238/E238)*100</f>
        <v>28.09051724</v>
      </c>
      <c r="H238" s="89">
        <v>123.0</v>
      </c>
      <c r="I238" s="138">
        <v>700.0</v>
      </c>
      <c r="J238" s="41">
        <f t="shared" ref="J238:J243" si="239">I238-H238</f>
        <v>577</v>
      </c>
      <c r="K238" s="41">
        <f t="shared" ref="K238:K239" si="240">F238</f>
        <v>260.68</v>
      </c>
      <c r="L238" s="152">
        <f t="shared" ref="L238:L243" si="241">(K238/J238)*100</f>
        <v>45.17850953</v>
      </c>
      <c r="M238" s="72">
        <v>19030.0</v>
      </c>
      <c r="N238" s="49">
        <f t="shared" ref="N238:N243" si="242">M238*F238</f>
        <v>4960740.4</v>
      </c>
    </row>
    <row r="239">
      <c r="A239" s="35">
        <v>45944.0</v>
      </c>
      <c r="B239" s="234" t="s">
        <v>63</v>
      </c>
      <c r="C239" s="37">
        <v>137161.0</v>
      </c>
      <c r="D239" s="13">
        <v>138140.0</v>
      </c>
      <c r="E239" s="12">
        <f t="shared" si="237"/>
        <v>979</v>
      </c>
      <c r="F239" s="157">
        <v>268.83</v>
      </c>
      <c r="G239" s="14">
        <f t="shared" si="238"/>
        <v>27.45965271</v>
      </c>
      <c r="H239" s="89">
        <v>700.0</v>
      </c>
      <c r="I239" s="137">
        <v>4320.0</v>
      </c>
      <c r="J239" s="89">
        <f t="shared" si="239"/>
        <v>3620</v>
      </c>
      <c r="K239" s="37">
        <f t="shared" si="240"/>
        <v>268.83</v>
      </c>
      <c r="L239" s="152">
        <f t="shared" si="241"/>
        <v>7.426243094</v>
      </c>
      <c r="M239" s="126">
        <v>18600.0</v>
      </c>
      <c r="N239" s="49">
        <f t="shared" si="242"/>
        <v>5000238</v>
      </c>
    </row>
    <row r="240">
      <c r="A240" s="35">
        <v>45952.0</v>
      </c>
      <c r="B240" s="234" t="s">
        <v>63</v>
      </c>
      <c r="C240" s="13">
        <v>138140.0</v>
      </c>
      <c r="D240" s="89">
        <v>139140.0</v>
      </c>
      <c r="E240" s="12">
        <f t="shared" si="237"/>
        <v>1000</v>
      </c>
      <c r="F240" s="157">
        <v>271.44</v>
      </c>
      <c r="G240" s="14">
        <f t="shared" si="238"/>
        <v>27.144</v>
      </c>
      <c r="H240" s="89">
        <v>4320.0</v>
      </c>
      <c r="I240" s="137">
        <v>292.0</v>
      </c>
      <c r="J240" s="89">
        <f t="shared" si="239"/>
        <v>-4028</v>
      </c>
      <c r="K240" s="37">
        <v>271.44</v>
      </c>
      <c r="L240" s="152">
        <f t="shared" si="241"/>
        <v>-6.738828203</v>
      </c>
      <c r="M240" s="126">
        <v>18420.0</v>
      </c>
      <c r="N240" s="49">
        <f t="shared" si="242"/>
        <v>4999924.8</v>
      </c>
    </row>
    <row r="241">
      <c r="A241" s="35">
        <v>45960.0</v>
      </c>
      <c r="B241" s="234" t="s">
        <v>63</v>
      </c>
      <c r="C241" s="89">
        <v>139140.0</v>
      </c>
      <c r="D241" s="89">
        <v>139996.0</v>
      </c>
      <c r="E241" s="12">
        <f t="shared" si="237"/>
        <v>856</v>
      </c>
      <c r="F241" s="157">
        <v>258.94</v>
      </c>
      <c r="G241" s="14">
        <f t="shared" si="238"/>
        <v>30.25</v>
      </c>
      <c r="H241" s="89"/>
      <c r="I241" s="137"/>
      <c r="J241" s="89">
        <f t="shared" si="239"/>
        <v>0</v>
      </c>
      <c r="K241" s="37">
        <f t="shared" ref="K241:K243" si="243">F241</f>
        <v>258.94</v>
      </c>
      <c r="L241" s="152" t="str">
        <f t="shared" si="241"/>
        <v>#DIV/0!</v>
      </c>
      <c r="M241" s="126">
        <v>17880.0</v>
      </c>
      <c r="N241" s="49">
        <f t="shared" si="242"/>
        <v>4629847.2</v>
      </c>
    </row>
    <row r="242">
      <c r="A242" s="35"/>
      <c r="B242" s="234" t="s">
        <v>63</v>
      </c>
      <c r="C242" s="37"/>
      <c r="D242" s="89"/>
      <c r="E242" s="12">
        <f t="shared" si="237"/>
        <v>0</v>
      </c>
      <c r="F242" s="157"/>
      <c r="G242" s="14" t="str">
        <f t="shared" si="238"/>
        <v>#DIV/0!</v>
      </c>
      <c r="H242" s="89"/>
      <c r="I242" s="137"/>
      <c r="J242" s="89">
        <f t="shared" si="239"/>
        <v>0</v>
      </c>
      <c r="K242" s="37" t="str">
        <f t="shared" si="243"/>
        <v/>
      </c>
      <c r="L242" s="152" t="str">
        <f t="shared" si="241"/>
        <v>#DIV/0!</v>
      </c>
      <c r="M242" s="126"/>
      <c r="N242" s="49">
        <f t="shared" si="242"/>
        <v>0</v>
      </c>
    </row>
    <row r="243">
      <c r="A243" s="154"/>
      <c r="B243" s="156"/>
      <c r="C243" s="89"/>
      <c r="D243" s="89"/>
      <c r="E243" s="12">
        <f t="shared" si="237"/>
        <v>0</v>
      </c>
      <c r="F243" s="157"/>
      <c r="G243" s="14" t="str">
        <f t="shared" si="238"/>
        <v>#DIV/0!</v>
      </c>
      <c r="H243" s="89"/>
      <c r="I243" s="137"/>
      <c r="J243" s="89">
        <f t="shared" si="239"/>
        <v>0</v>
      </c>
      <c r="K243" s="89" t="str">
        <f t="shared" si="243"/>
        <v/>
      </c>
      <c r="L243" s="152" t="str">
        <f t="shared" si="241"/>
        <v>#DIV/0!</v>
      </c>
      <c r="M243" s="126"/>
      <c r="N243" s="49">
        <f t="shared" si="242"/>
        <v>0</v>
      </c>
    </row>
    <row r="244">
      <c r="A244" s="62"/>
      <c r="B244" s="63"/>
      <c r="C244" s="62"/>
      <c r="D244" s="64" t="s">
        <v>19</v>
      </c>
      <c r="E244" s="64">
        <f t="shared" ref="E244:F244" si="244">sum(E238:E243)</f>
        <v>3763</v>
      </c>
      <c r="F244" s="64">
        <f t="shared" si="244"/>
        <v>1059.89</v>
      </c>
      <c r="G244" s="65" t="str">
        <f>average(G238:G243)</f>
        <v>#DIV/0!</v>
      </c>
      <c r="H244" s="62"/>
      <c r="I244" s="66"/>
      <c r="J244" s="64">
        <f t="shared" ref="J244:K244" si="245">sum(J238:J243)</f>
        <v>169</v>
      </c>
      <c r="K244" s="64">
        <f t="shared" si="245"/>
        <v>1059.89</v>
      </c>
      <c r="L244" s="65" t="str">
        <f>average(L238:L243)</f>
        <v>#DIV/0!</v>
      </c>
      <c r="M244" s="68"/>
      <c r="N244" s="69">
        <f>sum(N238:N243)</f>
        <v>19590750.4</v>
      </c>
    </row>
    <row r="245">
      <c r="A245" s="198" t="s">
        <v>64</v>
      </c>
      <c r="B245" s="199"/>
      <c r="C245" s="199"/>
      <c r="D245" s="199"/>
      <c r="E245" s="199"/>
      <c r="F245" s="199"/>
      <c r="G245" s="199"/>
      <c r="H245" s="199"/>
      <c r="I245" s="199"/>
      <c r="J245" s="199"/>
      <c r="K245" s="199"/>
      <c r="L245" s="200"/>
      <c r="M245" s="68"/>
      <c r="N245" s="69">
        <f>SUM(N180:N244)/2</f>
        <v>153383619.1</v>
      </c>
    </row>
    <row r="246">
      <c r="G246" s="168"/>
      <c r="L246" s="168"/>
      <c r="N246" s="169"/>
    </row>
    <row r="247">
      <c r="G247" s="168"/>
      <c r="L247" s="168"/>
      <c r="N247" s="274">
        <v>1.24719013E8</v>
      </c>
    </row>
    <row r="248">
      <c r="G248" s="168"/>
      <c r="L248" s="168"/>
      <c r="N248" s="169"/>
    </row>
    <row r="249">
      <c r="G249" s="168"/>
      <c r="L249" s="168"/>
      <c r="N249" s="169"/>
    </row>
    <row r="250">
      <c r="G250" s="168"/>
      <c r="L250" s="168"/>
      <c r="N250" s="169"/>
    </row>
    <row r="251">
      <c r="G251" s="168"/>
      <c r="L251" s="168"/>
      <c r="N251" s="169"/>
    </row>
    <row r="252">
      <c r="G252" s="168"/>
      <c r="L252" s="168"/>
      <c r="N252" s="169"/>
    </row>
    <row r="253">
      <c r="G253" s="168"/>
      <c r="L253" s="168"/>
      <c r="N253" s="169"/>
    </row>
    <row r="254">
      <c r="G254" s="168"/>
      <c r="L254" s="168"/>
      <c r="N254" s="169"/>
    </row>
    <row r="255">
      <c r="G255" s="168"/>
      <c r="L255" s="168"/>
      <c r="N255" s="169"/>
    </row>
    <row r="256">
      <c r="G256" s="168"/>
      <c r="L256" s="168"/>
      <c r="N256" s="169"/>
    </row>
    <row r="257">
      <c r="G257" s="168"/>
      <c r="L257" s="168"/>
      <c r="N257" s="169"/>
    </row>
    <row r="258">
      <c r="G258" s="168"/>
      <c r="L258" s="168"/>
      <c r="N258" s="169"/>
    </row>
    <row r="259">
      <c r="G259" s="168"/>
      <c r="L259" s="168"/>
      <c r="N259" s="169"/>
    </row>
    <row r="260">
      <c r="G260" s="168"/>
      <c r="L260" s="168"/>
      <c r="N260" s="169"/>
    </row>
    <row r="261">
      <c r="G261" s="168"/>
      <c r="L261" s="168"/>
      <c r="N261" s="169"/>
    </row>
    <row r="262">
      <c r="G262" s="168"/>
      <c r="L262" s="168"/>
      <c r="N262" s="169"/>
    </row>
    <row r="263">
      <c r="G263" s="168"/>
      <c r="L263" s="168"/>
      <c r="N263" s="169"/>
    </row>
    <row r="264">
      <c r="G264" s="168"/>
      <c r="L264" s="168"/>
      <c r="N264" s="169"/>
    </row>
    <row r="265">
      <c r="G265" s="168"/>
      <c r="L265" s="168"/>
      <c r="N265" s="169"/>
    </row>
    <row r="266">
      <c r="G266" s="168"/>
      <c r="L266" s="168"/>
      <c r="N266" s="169"/>
    </row>
    <row r="267">
      <c r="G267" s="168"/>
      <c r="L267" s="168"/>
      <c r="N267" s="169"/>
    </row>
    <row r="268">
      <c r="G268" s="168"/>
      <c r="L268" s="168"/>
      <c r="N268" s="169"/>
    </row>
    <row r="269">
      <c r="G269" s="168"/>
      <c r="L269" s="168"/>
      <c r="N269" s="169"/>
    </row>
    <row r="270">
      <c r="G270" s="168"/>
      <c r="L270" s="168"/>
      <c r="N270" s="169"/>
    </row>
    <row r="271">
      <c r="G271" s="168"/>
      <c r="L271" s="168"/>
      <c r="N271" s="169"/>
    </row>
    <row r="272">
      <c r="G272" s="168"/>
      <c r="L272" s="168"/>
      <c r="N272" s="169"/>
    </row>
    <row r="273">
      <c r="G273" s="168"/>
      <c r="L273" s="168"/>
      <c r="N273" s="169"/>
    </row>
    <row r="274">
      <c r="G274" s="168"/>
      <c r="L274" s="168"/>
      <c r="N274" s="169"/>
    </row>
    <row r="275">
      <c r="G275" s="168"/>
      <c r="L275" s="168"/>
      <c r="N275" s="169"/>
    </row>
    <row r="276">
      <c r="G276" s="168"/>
      <c r="L276" s="168"/>
      <c r="N276" s="169"/>
    </row>
    <row r="277">
      <c r="G277" s="168"/>
      <c r="L277" s="168"/>
      <c r="N277" s="169"/>
    </row>
    <row r="278">
      <c r="G278" s="168"/>
      <c r="L278" s="168"/>
      <c r="N278" s="169"/>
    </row>
    <row r="279">
      <c r="G279" s="168"/>
      <c r="L279" s="168"/>
      <c r="N279" s="169"/>
    </row>
    <row r="280">
      <c r="G280" s="168"/>
      <c r="L280" s="168"/>
      <c r="N280" s="169"/>
    </row>
    <row r="281">
      <c r="G281" s="168"/>
      <c r="L281" s="168"/>
      <c r="N281" s="169"/>
    </row>
    <row r="282">
      <c r="G282" s="168"/>
      <c r="L282" s="168"/>
      <c r="N282" s="169"/>
    </row>
    <row r="283">
      <c r="G283" s="168"/>
      <c r="L283" s="168"/>
      <c r="N283" s="169"/>
    </row>
    <row r="284">
      <c r="G284" s="168"/>
      <c r="L284" s="168"/>
      <c r="N284" s="169"/>
    </row>
    <row r="285">
      <c r="G285" s="168"/>
      <c r="L285" s="168"/>
      <c r="N285" s="169"/>
    </row>
    <row r="286">
      <c r="G286" s="168"/>
      <c r="L286" s="168"/>
      <c r="N286" s="169"/>
    </row>
    <row r="287">
      <c r="G287" s="168"/>
      <c r="L287" s="168"/>
      <c r="N287" s="169"/>
    </row>
    <row r="288">
      <c r="G288" s="168"/>
      <c r="L288" s="168"/>
      <c r="N288" s="169"/>
    </row>
    <row r="289">
      <c r="G289" s="168"/>
      <c r="L289" s="168"/>
      <c r="N289" s="169"/>
    </row>
    <row r="290">
      <c r="G290" s="168"/>
      <c r="L290" s="168"/>
      <c r="N290" s="169"/>
    </row>
    <row r="291">
      <c r="G291" s="168"/>
      <c r="L291" s="168"/>
      <c r="N291" s="169"/>
    </row>
    <row r="292">
      <c r="G292" s="168"/>
      <c r="L292" s="168"/>
      <c r="N292" s="169"/>
    </row>
    <row r="293">
      <c r="G293" s="168"/>
      <c r="L293" s="168"/>
      <c r="N293" s="169"/>
    </row>
    <row r="294">
      <c r="G294" s="168"/>
      <c r="L294" s="168"/>
      <c r="N294" s="169"/>
    </row>
    <row r="295">
      <c r="G295" s="168"/>
      <c r="L295" s="168"/>
      <c r="N295" s="169"/>
    </row>
    <row r="296">
      <c r="G296" s="168"/>
      <c r="L296" s="168"/>
      <c r="N296" s="169"/>
    </row>
    <row r="297">
      <c r="G297" s="168"/>
      <c r="L297" s="168"/>
      <c r="N297" s="169"/>
    </row>
    <row r="298">
      <c r="G298" s="168"/>
      <c r="L298" s="168"/>
      <c r="N298" s="169"/>
    </row>
    <row r="299">
      <c r="G299" s="168"/>
      <c r="L299" s="168"/>
      <c r="N299" s="169"/>
    </row>
    <row r="300">
      <c r="G300" s="168"/>
      <c r="L300" s="168"/>
      <c r="N300" s="169"/>
    </row>
    <row r="301">
      <c r="G301" s="168"/>
      <c r="L301" s="168"/>
      <c r="N301" s="169"/>
    </row>
    <row r="302">
      <c r="G302" s="168"/>
      <c r="L302" s="168"/>
      <c r="N302" s="169"/>
    </row>
    <row r="303">
      <c r="G303" s="168"/>
      <c r="L303" s="168"/>
      <c r="N303" s="169"/>
    </row>
    <row r="304">
      <c r="G304" s="168"/>
      <c r="L304" s="168"/>
      <c r="N304" s="169"/>
    </row>
    <row r="305">
      <c r="G305" s="168"/>
      <c r="L305" s="168"/>
      <c r="N305" s="169"/>
    </row>
    <row r="306">
      <c r="G306" s="168"/>
      <c r="L306" s="168"/>
      <c r="N306" s="169"/>
    </row>
    <row r="307">
      <c r="G307" s="168"/>
      <c r="L307" s="168"/>
      <c r="N307" s="169"/>
    </row>
    <row r="308">
      <c r="G308" s="168"/>
      <c r="L308" s="168"/>
      <c r="N308" s="169"/>
    </row>
    <row r="309">
      <c r="G309" s="168"/>
      <c r="L309" s="168"/>
      <c r="N309" s="169"/>
    </row>
    <row r="310">
      <c r="G310" s="168"/>
      <c r="L310" s="168"/>
      <c r="N310" s="169"/>
    </row>
    <row r="311">
      <c r="G311" s="168"/>
      <c r="L311" s="168"/>
      <c r="N311" s="169"/>
    </row>
    <row r="312">
      <c r="G312" s="168"/>
      <c r="L312" s="168"/>
      <c r="N312" s="169"/>
    </row>
    <row r="313">
      <c r="G313" s="168"/>
      <c r="L313" s="168"/>
      <c r="N313" s="169"/>
    </row>
    <row r="314">
      <c r="G314" s="168"/>
      <c r="L314" s="168"/>
      <c r="N314" s="169"/>
    </row>
    <row r="315">
      <c r="G315" s="168"/>
      <c r="L315" s="168"/>
      <c r="N315" s="169"/>
    </row>
    <row r="316">
      <c r="G316" s="168"/>
      <c r="L316" s="168"/>
      <c r="N316" s="169"/>
    </row>
    <row r="317">
      <c r="G317" s="168"/>
      <c r="L317" s="168"/>
      <c r="N317" s="169"/>
    </row>
    <row r="318">
      <c r="G318" s="168"/>
      <c r="L318" s="168"/>
      <c r="N318" s="169"/>
    </row>
    <row r="319">
      <c r="G319" s="168"/>
      <c r="L319" s="168"/>
      <c r="N319" s="169"/>
    </row>
    <row r="320">
      <c r="G320" s="168"/>
      <c r="L320" s="168"/>
      <c r="N320" s="169"/>
    </row>
    <row r="321">
      <c r="G321" s="168"/>
      <c r="L321" s="168"/>
      <c r="N321" s="169"/>
    </row>
    <row r="322">
      <c r="G322" s="168"/>
      <c r="L322" s="168"/>
      <c r="N322" s="169"/>
    </row>
    <row r="323">
      <c r="G323" s="168"/>
      <c r="L323" s="168"/>
      <c r="N323" s="169"/>
    </row>
    <row r="324">
      <c r="G324" s="168"/>
      <c r="L324" s="168"/>
      <c r="N324" s="169"/>
    </row>
    <row r="325">
      <c r="G325" s="168"/>
      <c r="L325" s="168"/>
      <c r="N325" s="169"/>
    </row>
    <row r="326">
      <c r="G326" s="168"/>
      <c r="L326" s="168"/>
      <c r="N326" s="169"/>
    </row>
    <row r="327">
      <c r="G327" s="168"/>
      <c r="L327" s="168"/>
      <c r="N327" s="169"/>
    </row>
    <row r="328">
      <c r="G328" s="168"/>
      <c r="L328" s="168"/>
      <c r="N328" s="169"/>
    </row>
    <row r="329">
      <c r="G329" s="168"/>
      <c r="L329" s="168"/>
      <c r="N329" s="169"/>
    </row>
    <row r="330">
      <c r="G330" s="168"/>
      <c r="L330" s="168"/>
      <c r="N330" s="169"/>
    </row>
    <row r="331">
      <c r="G331" s="168"/>
      <c r="L331" s="168"/>
      <c r="N331" s="169"/>
    </row>
    <row r="332">
      <c r="G332" s="168"/>
      <c r="L332" s="168"/>
      <c r="N332" s="169"/>
    </row>
    <row r="333">
      <c r="G333" s="168"/>
      <c r="L333" s="168"/>
      <c r="N333" s="169"/>
    </row>
    <row r="334">
      <c r="G334" s="168"/>
      <c r="L334" s="168"/>
      <c r="N334" s="169"/>
    </row>
    <row r="335">
      <c r="G335" s="168"/>
      <c r="L335" s="168"/>
      <c r="N335" s="169"/>
    </row>
    <row r="336">
      <c r="G336" s="168"/>
      <c r="L336" s="168"/>
      <c r="N336" s="169"/>
    </row>
    <row r="337">
      <c r="G337" s="168"/>
      <c r="L337" s="168"/>
      <c r="N337" s="169"/>
    </row>
    <row r="338">
      <c r="G338" s="168"/>
      <c r="L338" s="168"/>
      <c r="N338" s="169"/>
    </row>
    <row r="339">
      <c r="G339" s="168"/>
      <c r="L339" s="168"/>
      <c r="N339" s="169"/>
    </row>
    <row r="340">
      <c r="G340" s="168"/>
      <c r="L340" s="168"/>
      <c r="N340" s="169"/>
    </row>
    <row r="341">
      <c r="G341" s="168"/>
      <c r="L341" s="168"/>
      <c r="N341" s="169"/>
    </row>
    <row r="342">
      <c r="G342" s="168"/>
      <c r="L342" s="168"/>
      <c r="N342" s="169"/>
    </row>
    <row r="343">
      <c r="G343" s="168"/>
      <c r="L343" s="168"/>
      <c r="N343" s="169"/>
    </row>
    <row r="344">
      <c r="G344" s="168"/>
      <c r="L344" s="168"/>
      <c r="N344" s="169"/>
    </row>
    <row r="345">
      <c r="G345" s="168"/>
      <c r="L345" s="168"/>
      <c r="N345" s="169"/>
    </row>
    <row r="346">
      <c r="G346" s="168"/>
      <c r="L346" s="168"/>
      <c r="N346" s="169"/>
    </row>
    <row r="347">
      <c r="G347" s="168"/>
      <c r="L347" s="168"/>
      <c r="N347" s="169"/>
    </row>
    <row r="348">
      <c r="G348" s="168"/>
      <c r="L348" s="168"/>
      <c r="N348" s="169"/>
    </row>
    <row r="349">
      <c r="G349" s="168"/>
      <c r="L349" s="168"/>
      <c r="N349" s="169"/>
    </row>
    <row r="350">
      <c r="G350" s="168"/>
      <c r="L350" s="168"/>
      <c r="N350" s="169"/>
    </row>
    <row r="351">
      <c r="G351" s="168"/>
      <c r="L351" s="168"/>
      <c r="N351" s="169"/>
    </row>
    <row r="352">
      <c r="G352" s="168"/>
      <c r="L352" s="168"/>
      <c r="N352" s="169"/>
    </row>
    <row r="353">
      <c r="G353" s="168"/>
      <c r="L353" s="168"/>
      <c r="N353" s="169"/>
    </row>
    <row r="354">
      <c r="G354" s="168"/>
      <c r="L354" s="168"/>
      <c r="N354" s="169"/>
    </row>
    <row r="355">
      <c r="G355" s="168"/>
      <c r="L355" s="168"/>
      <c r="N355" s="169"/>
    </row>
    <row r="356">
      <c r="G356" s="168"/>
      <c r="L356" s="168"/>
      <c r="N356" s="169"/>
    </row>
    <row r="357">
      <c r="G357" s="168"/>
      <c r="L357" s="168"/>
      <c r="N357" s="169"/>
    </row>
    <row r="358">
      <c r="G358" s="168"/>
      <c r="L358" s="168"/>
      <c r="N358" s="169"/>
    </row>
    <row r="359">
      <c r="G359" s="168"/>
      <c r="L359" s="168"/>
      <c r="N359" s="169"/>
    </row>
    <row r="360">
      <c r="G360" s="168"/>
      <c r="L360" s="168"/>
      <c r="N360" s="169"/>
    </row>
    <row r="361">
      <c r="G361" s="168"/>
      <c r="L361" s="168"/>
      <c r="N361" s="169"/>
    </row>
    <row r="362">
      <c r="G362" s="168"/>
      <c r="L362" s="168"/>
      <c r="N362" s="169"/>
    </row>
    <row r="363">
      <c r="G363" s="168"/>
      <c r="L363" s="168"/>
      <c r="N363" s="169"/>
    </row>
    <row r="364">
      <c r="G364" s="168"/>
      <c r="L364" s="168"/>
      <c r="N364" s="169"/>
    </row>
    <row r="365">
      <c r="G365" s="168"/>
      <c r="L365" s="168"/>
      <c r="N365" s="169"/>
    </row>
    <row r="366">
      <c r="G366" s="168"/>
      <c r="L366" s="168"/>
      <c r="N366" s="169"/>
    </row>
    <row r="367">
      <c r="G367" s="168"/>
      <c r="L367" s="168"/>
      <c r="N367" s="169"/>
    </row>
    <row r="368">
      <c r="G368" s="168"/>
      <c r="L368" s="168"/>
      <c r="N368" s="169"/>
    </row>
    <row r="369">
      <c r="G369" s="168"/>
      <c r="L369" s="168"/>
      <c r="N369" s="169"/>
    </row>
    <row r="370">
      <c r="G370" s="168"/>
      <c r="L370" s="168"/>
      <c r="N370" s="169"/>
    </row>
    <row r="371">
      <c r="G371" s="168"/>
      <c r="L371" s="168"/>
      <c r="N371" s="169"/>
    </row>
    <row r="372">
      <c r="G372" s="168"/>
      <c r="L372" s="168"/>
      <c r="N372" s="169"/>
    </row>
    <row r="373">
      <c r="G373" s="168"/>
      <c r="L373" s="168"/>
      <c r="N373" s="169"/>
    </row>
    <row r="374">
      <c r="G374" s="168"/>
      <c r="L374" s="168"/>
      <c r="N374" s="169"/>
    </row>
    <row r="375">
      <c r="G375" s="168"/>
      <c r="L375" s="168"/>
      <c r="N375" s="169"/>
    </row>
    <row r="376">
      <c r="G376" s="168"/>
      <c r="L376" s="168"/>
      <c r="N376" s="169"/>
    </row>
    <row r="377">
      <c r="G377" s="168"/>
      <c r="L377" s="168"/>
      <c r="N377" s="169"/>
    </row>
    <row r="378">
      <c r="G378" s="168"/>
      <c r="L378" s="168"/>
      <c r="N378" s="169"/>
    </row>
    <row r="379">
      <c r="G379" s="168"/>
      <c r="L379" s="168"/>
      <c r="N379" s="169"/>
    </row>
    <row r="380">
      <c r="G380" s="168"/>
      <c r="L380" s="168"/>
      <c r="N380" s="169"/>
    </row>
    <row r="381">
      <c r="G381" s="168"/>
      <c r="L381" s="168"/>
      <c r="N381" s="169"/>
    </row>
    <row r="382">
      <c r="G382" s="168"/>
      <c r="L382" s="168"/>
      <c r="N382" s="169"/>
    </row>
    <row r="383">
      <c r="G383" s="168"/>
      <c r="L383" s="168"/>
      <c r="N383" s="169"/>
    </row>
    <row r="384">
      <c r="G384" s="168"/>
      <c r="L384" s="168"/>
      <c r="N384" s="169"/>
    </row>
    <row r="385">
      <c r="G385" s="168"/>
      <c r="L385" s="168"/>
      <c r="N385" s="169"/>
    </row>
    <row r="386">
      <c r="G386" s="168"/>
      <c r="L386" s="168"/>
      <c r="N386" s="169"/>
    </row>
    <row r="387">
      <c r="G387" s="168"/>
      <c r="L387" s="168"/>
      <c r="N387" s="169"/>
    </row>
    <row r="388">
      <c r="G388" s="168"/>
      <c r="L388" s="168"/>
      <c r="N388" s="169"/>
    </row>
    <row r="389">
      <c r="G389" s="168"/>
      <c r="L389" s="168"/>
      <c r="N389" s="169"/>
    </row>
    <row r="390">
      <c r="G390" s="168"/>
      <c r="L390" s="168"/>
      <c r="N390" s="169"/>
    </row>
    <row r="391">
      <c r="G391" s="168"/>
      <c r="L391" s="168"/>
      <c r="N391" s="169"/>
    </row>
    <row r="392">
      <c r="G392" s="168"/>
      <c r="L392" s="168"/>
      <c r="N392" s="169"/>
    </row>
    <row r="393">
      <c r="G393" s="168"/>
      <c r="L393" s="168"/>
      <c r="N393" s="169"/>
    </row>
    <row r="394">
      <c r="G394" s="168"/>
      <c r="L394" s="168"/>
      <c r="N394" s="169"/>
    </row>
    <row r="395">
      <c r="G395" s="168"/>
      <c r="L395" s="168"/>
      <c r="N395" s="169"/>
    </row>
    <row r="396">
      <c r="G396" s="168"/>
      <c r="L396" s="168"/>
      <c r="N396" s="169"/>
    </row>
    <row r="397">
      <c r="G397" s="168"/>
      <c r="L397" s="168"/>
      <c r="N397" s="169"/>
    </row>
    <row r="398">
      <c r="G398" s="168"/>
      <c r="L398" s="168"/>
      <c r="N398" s="169"/>
    </row>
    <row r="399">
      <c r="G399" s="168"/>
      <c r="L399" s="168"/>
      <c r="N399" s="169"/>
    </row>
    <row r="400">
      <c r="G400" s="168"/>
      <c r="L400" s="168"/>
      <c r="N400" s="169"/>
    </row>
    <row r="401">
      <c r="G401" s="168"/>
      <c r="L401" s="168"/>
      <c r="N401" s="169"/>
    </row>
    <row r="402">
      <c r="G402" s="168"/>
      <c r="L402" s="168"/>
      <c r="N402" s="169"/>
    </row>
    <row r="403">
      <c r="G403" s="168"/>
      <c r="L403" s="168"/>
      <c r="N403" s="169"/>
    </row>
    <row r="404">
      <c r="G404" s="168"/>
      <c r="L404" s="168"/>
      <c r="N404" s="169"/>
    </row>
    <row r="405">
      <c r="G405" s="168"/>
      <c r="L405" s="168"/>
      <c r="N405" s="169"/>
    </row>
    <row r="406">
      <c r="G406" s="168"/>
      <c r="L406" s="168"/>
      <c r="N406" s="169"/>
    </row>
    <row r="407">
      <c r="G407" s="168"/>
      <c r="L407" s="168"/>
      <c r="N407" s="169"/>
    </row>
    <row r="408">
      <c r="G408" s="168"/>
      <c r="L408" s="168"/>
      <c r="N408" s="169"/>
    </row>
    <row r="409">
      <c r="G409" s="168"/>
      <c r="L409" s="168"/>
      <c r="N409" s="169"/>
    </row>
    <row r="410">
      <c r="G410" s="168"/>
      <c r="L410" s="168"/>
      <c r="N410" s="169"/>
    </row>
    <row r="411">
      <c r="G411" s="168"/>
      <c r="L411" s="168"/>
      <c r="N411" s="169"/>
    </row>
    <row r="412">
      <c r="G412" s="168"/>
      <c r="L412" s="168"/>
      <c r="N412" s="169"/>
    </row>
    <row r="413">
      <c r="G413" s="168"/>
      <c r="L413" s="168"/>
      <c r="N413" s="169"/>
    </row>
    <row r="414">
      <c r="G414" s="168"/>
      <c r="L414" s="168"/>
      <c r="N414" s="169"/>
    </row>
    <row r="415">
      <c r="G415" s="168"/>
      <c r="L415" s="168"/>
      <c r="N415" s="169"/>
    </row>
    <row r="416">
      <c r="G416" s="168"/>
      <c r="L416" s="168"/>
      <c r="N416" s="169"/>
    </row>
    <row r="417">
      <c r="G417" s="168"/>
      <c r="L417" s="168"/>
      <c r="N417" s="169"/>
    </row>
    <row r="418">
      <c r="G418" s="168"/>
      <c r="L418" s="168"/>
      <c r="N418" s="169"/>
    </row>
    <row r="419">
      <c r="G419" s="168"/>
      <c r="L419" s="168"/>
      <c r="N419" s="169"/>
    </row>
    <row r="420">
      <c r="G420" s="168"/>
      <c r="L420" s="168"/>
      <c r="N420" s="169"/>
    </row>
    <row r="421">
      <c r="G421" s="168"/>
      <c r="L421" s="168"/>
      <c r="N421" s="169"/>
    </row>
    <row r="422">
      <c r="G422" s="168"/>
      <c r="L422" s="168"/>
      <c r="N422" s="169"/>
    </row>
    <row r="423">
      <c r="G423" s="168"/>
      <c r="L423" s="168"/>
      <c r="N423" s="169"/>
    </row>
    <row r="424">
      <c r="G424" s="168"/>
      <c r="L424" s="168"/>
      <c r="N424" s="169"/>
    </row>
    <row r="425">
      <c r="G425" s="168"/>
      <c r="L425" s="168"/>
      <c r="N425" s="169"/>
    </row>
    <row r="426">
      <c r="G426" s="168"/>
      <c r="L426" s="168"/>
      <c r="N426" s="169"/>
    </row>
    <row r="427">
      <c r="G427" s="168"/>
      <c r="L427" s="168"/>
      <c r="N427" s="169"/>
    </row>
    <row r="428">
      <c r="G428" s="168"/>
      <c r="L428" s="168"/>
      <c r="N428" s="169"/>
    </row>
    <row r="429">
      <c r="G429" s="168"/>
      <c r="L429" s="168"/>
      <c r="N429" s="169"/>
    </row>
    <row r="430">
      <c r="G430" s="168"/>
      <c r="L430" s="168"/>
      <c r="N430" s="169"/>
    </row>
    <row r="431">
      <c r="G431" s="168"/>
      <c r="L431" s="168"/>
      <c r="N431" s="169"/>
    </row>
    <row r="432">
      <c r="G432" s="168"/>
      <c r="L432" s="168"/>
      <c r="N432" s="169"/>
    </row>
    <row r="433">
      <c r="G433" s="168"/>
      <c r="L433" s="168"/>
      <c r="N433" s="169"/>
    </row>
    <row r="434">
      <c r="G434" s="168"/>
      <c r="L434" s="168"/>
      <c r="N434" s="169"/>
    </row>
    <row r="435">
      <c r="G435" s="168"/>
      <c r="L435" s="168"/>
      <c r="N435" s="169"/>
    </row>
    <row r="436">
      <c r="G436" s="168"/>
      <c r="L436" s="168"/>
      <c r="N436" s="169"/>
    </row>
    <row r="437">
      <c r="G437" s="168"/>
      <c r="L437" s="168"/>
      <c r="N437" s="169"/>
    </row>
    <row r="438">
      <c r="G438" s="168"/>
      <c r="L438" s="168"/>
      <c r="N438" s="169"/>
    </row>
    <row r="439">
      <c r="G439" s="168"/>
      <c r="L439" s="168"/>
      <c r="N439" s="169"/>
    </row>
    <row r="440">
      <c r="G440" s="168"/>
      <c r="L440" s="168"/>
      <c r="N440" s="169"/>
    </row>
    <row r="441">
      <c r="G441" s="168"/>
      <c r="L441" s="168"/>
      <c r="N441" s="169"/>
    </row>
    <row r="442">
      <c r="G442" s="168"/>
      <c r="L442" s="168"/>
      <c r="N442" s="169"/>
    </row>
    <row r="443">
      <c r="G443" s="168"/>
      <c r="L443" s="168"/>
      <c r="N443" s="169"/>
    </row>
    <row r="444">
      <c r="G444" s="168"/>
      <c r="L444" s="168"/>
      <c r="N444" s="169"/>
    </row>
    <row r="445">
      <c r="G445" s="168"/>
      <c r="L445" s="168"/>
      <c r="N445" s="169"/>
    </row>
    <row r="446">
      <c r="G446" s="168"/>
      <c r="L446" s="168"/>
      <c r="N446" s="169"/>
    </row>
    <row r="447">
      <c r="G447" s="168"/>
      <c r="L447" s="168"/>
      <c r="N447" s="169"/>
    </row>
    <row r="448">
      <c r="G448" s="168"/>
      <c r="L448" s="168"/>
      <c r="N448" s="169"/>
    </row>
    <row r="449">
      <c r="G449" s="168"/>
      <c r="L449" s="168"/>
      <c r="N449" s="169"/>
    </row>
    <row r="450">
      <c r="G450" s="168"/>
      <c r="L450" s="168"/>
      <c r="N450" s="169"/>
    </row>
    <row r="451">
      <c r="G451" s="168"/>
      <c r="L451" s="168"/>
      <c r="N451" s="169"/>
    </row>
    <row r="452">
      <c r="G452" s="168"/>
      <c r="L452" s="168"/>
      <c r="N452" s="169"/>
    </row>
    <row r="453">
      <c r="G453" s="168"/>
      <c r="L453" s="168"/>
      <c r="N453" s="169"/>
    </row>
    <row r="454">
      <c r="G454" s="168"/>
      <c r="L454" s="168"/>
      <c r="N454" s="169"/>
    </row>
    <row r="455">
      <c r="G455" s="168"/>
      <c r="L455" s="168"/>
      <c r="N455" s="169"/>
    </row>
    <row r="456">
      <c r="G456" s="168"/>
      <c r="L456" s="168"/>
      <c r="N456" s="169"/>
    </row>
    <row r="457">
      <c r="G457" s="168"/>
      <c r="L457" s="168"/>
      <c r="N457" s="169"/>
    </row>
    <row r="458">
      <c r="G458" s="168"/>
      <c r="L458" s="168"/>
      <c r="N458" s="169"/>
    </row>
    <row r="459">
      <c r="G459" s="168"/>
      <c r="L459" s="168"/>
      <c r="N459" s="169"/>
    </row>
    <row r="460">
      <c r="G460" s="168"/>
      <c r="L460" s="168"/>
      <c r="N460" s="169"/>
    </row>
    <row r="461">
      <c r="G461" s="168"/>
      <c r="L461" s="168"/>
      <c r="N461" s="169"/>
    </row>
    <row r="462">
      <c r="G462" s="168"/>
      <c r="L462" s="168"/>
      <c r="N462" s="169"/>
    </row>
    <row r="463">
      <c r="G463" s="168"/>
      <c r="L463" s="168"/>
      <c r="N463" s="169"/>
    </row>
    <row r="464">
      <c r="G464" s="168"/>
      <c r="L464" s="168"/>
      <c r="N464" s="169"/>
    </row>
    <row r="465">
      <c r="G465" s="168"/>
      <c r="L465" s="168"/>
      <c r="N465" s="169"/>
    </row>
    <row r="466">
      <c r="G466" s="168"/>
      <c r="L466" s="168"/>
      <c r="N466" s="169"/>
    </row>
    <row r="467">
      <c r="G467" s="168"/>
      <c r="L467" s="168"/>
      <c r="N467" s="169"/>
    </row>
    <row r="468">
      <c r="G468" s="168"/>
      <c r="L468" s="168"/>
      <c r="N468" s="169"/>
    </row>
    <row r="469">
      <c r="G469" s="168"/>
      <c r="L469" s="168"/>
      <c r="N469" s="169"/>
    </row>
    <row r="470">
      <c r="G470" s="168"/>
      <c r="L470" s="168"/>
      <c r="N470" s="169"/>
    </row>
    <row r="471">
      <c r="G471" s="168"/>
      <c r="L471" s="168"/>
      <c r="N471" s="169"/>
    </row>
    <row r="472">
      <c r="G472" s="168"/>
      <c r="L472" s="168"/>
      <c r="N472" s="169"/>
    </row>
    <row r="473">
      <c r="G473" s="168"/>
      <c r="L473" s="168"/>
      <c r="N473" s="169"/>
    </row>
    <row r="474">
      <c r="G474" s="168"/>
      <c r="L474" s="168"/>
      <c r="N474" s="169"/>
    </row>
    <row r="475">
      <c r="G475" s="168"/>
      <c r="L475" s="168"/>
      <c r="N475" s="169"/>
    </row>
    <row r="476">
      <c r="G476" s="168"/>
      <c r="L476" s="168"/>
      <c r="N476" s="169"/>
    </row>
    <row r="477">
      <c r="G477" s="168"/>
      <c r="L477" s="168"/>
      <c r="N477" s="169"/>
    </row>
    <row r="478">
      <c r="G478" s="168"/>
      <c r="L478" s="168"/>
      <c r="N478" s="169"/>
    </row>
    <row r="479">
      <c r="G479" s="168"/>
      <c r="L479" s="168"/>
      <c r="N479" s="169"/>
    </row>
    <row r="480">
      <c r="G480" s="168"/>
      <c r="L480" s="168"/>
      <c r="N480" s="169"/>
    </row>
    <row r="481">
      <c r="G481" s="168"/>
      <c r="L481" s="168"/>
      <c r="N481" s="169"/>
    </row>
    <row r="482">
      <c r="G482" s="168"/>
      <c r="L482" s="168"/>
      <c r="N482" s="169"/>
    </row>
    <row r="483">
      <c r="G483" s="168"/>
      <c r="L483" s="168"/>
      <c r="N483" s="169"/>
    </row>
    <row r="484">
      <c r="G484" s="168"/>
      <c r="L484" s="168"/>
      <c r="N484" s="169"/>
    </row>
    <row r="485">
      <c r="G485" s="168"/>
      <c r="L485" s="168"/>
      <c r="N485" s="169"/>
    </row>
    <row r="486">
      <c r="G486" s="168"/>
      <c r="L486" s="168"/>
      <c r="N486" s="169"/>
    </row>
    <row r="487">
      <c r="G487" s="168"/>
      <c r="L487" s="168"/>
      <c r="N487" s="169"/>
    </row>
    <row r="488">
      <c r="G488" s="168"/>
      <c r="L488" s="168"/>
      <c r="N488" s="169"/>
    </row>
    <row r="489">
      <c r="G489" s="168"/>
      <c r="L489" s="168"/>
      <c r="N489" s="169"/>
    </row>
    <row r="490">
      <c r="G490" s="168"/>
      <c r="L490" s="168"/>
      <c r="N490" s="169"/>
    </row>
    <row r="491">
      <c r="G491" s="168"/>
      <c r="L491" s="168"/>
      <c r="N491" s="169"/>
    </row>
    <row r="492">
      <c r="G492" s="168"/>
      <c r="L492" s="168"/>
      <c r="N492" s="169"/>
    </row>
    <row r="493">
      <c r="G493" s="168"/>
      <c r="L493" s="168"/>
      <c r="N493" s="169"/>
    </row>
    <row r="494">
      <c r="G494" s="168"/>
      <c r="L494" s="168"/>
      <c r="N494" s="169"/>
    </row>
    <row r="495">
      <c r="G495" s="168"/>
      <c r="L495" s="168"/>
      <c r="N495" s="169"/>
    </row>
    <row r="496">
      <c r="G496" s="168"/>
      <c r="L496" s="168"/>
      <c r="N496" s="169"/>
    </row>
    <row r="497">
      <c r="G497" s="168"/>
      <c r="L497" s="168"/>
      <c r="N497" s="169"/>
    </row>
    <row r="498">
      <c r="G498" s="168"/>
      <c r="L498" s="168"/>
      <c r="N498" s="169"/>
    </row>
    <row r="499">
      <c r="G499" s="168"/>
      <c r="L499" s="168"/>
      <c r="N499" s="169"/>
    </row>
    <row r="500">
      <c r="G500" s="168"/>
      <c r="L500" s="168"/>
      <c r="N500" s="169"/>
    </row>
    <row r="501">
      <c r="G501" s="168"/>
      <c r="L501" s="168"/>
      <c r="N501" s="169"/>
    </row>
    <row r="502">
      <c r="G502" s="168"/>
      <c r="L502" s="168"/>
      <c r="N502" s="169"/>
    </row>
    <row r="503">
      <c r="G503" s="168"/>
      <c r="L503" s="168"/>
      <c r="N503" s="169"/>
    </row>
    <row r="504">
      <c r="G504" s="168"/>
      <c r="L504" s="168"/>
      <c r="N504" s="169"/>
    </row>
    <row r="505">
      <c r="G505" s="168"/>
      <c r="L505" s="168"/>
      <c r="N505" s="169"/>
    </row>
    <row r="506">
      <c r="G506" s="168"/>
      <c r="L506" s="168"/>
      <c r="N506" s="169"/>
    </row>
    <row r="507">
      <c r="G507" s="168"/>
      <c r="L507" s="168"/>
      <c r="N507" s="169"/>
    </row>
    <row r="508">
      <c r="G508" s="168"/>
      <c r="L508" s="168"/>
      <c r="N508" s="169"/>
    </row>
    <row r="509">
      <c r="G509" s="168"/>
      <c r="L509" s="168"/>
      <c r="N509" s="169"/>
    </row>
    <row r="510">
      <c r="G510" s="168"/>
      <c r="L510" s="168"/>
      <c r="N510" s="169"/>
    </row>
    <row r="511">
      <c r="G511" s="168"/>
      <c r="L511" s="168"/>
      <c r="N511" s="169"/>
    </row>
    <row r="512">
      <c r="G512" s="168"/>
      <c r="L512" s="168"/>
      <c r="N512" s="169"/>
    </row>
    <row r="513">
      <c r="G513" s="168"/>
      <c r="L513" s="168"/>
      <c r="N513" s="169"/>
    </row>
    <row r="514">
      <c r="G514" s="168"/>
      <c r="L514" s="168"/>
      <c r="N514" s="169"/>
    </row>
    <row r="515">
      <c r="G515" s="168"/>
      <c r="L515" s="168"/>
      <c r="N515" s="169"/>
    </row>
    <row r="516">
      <c r="G516" s="168"/>
      <c r="L516" s="168"/>
      <c r="N516" s="169"/>
    </row>
    <row r="517">
      <c r="G517" s="168"/>
      <c r="L517" s="168"/>
      <c r="N517" s="169"/>
    </row>
    <row r="518">
      <c r="G518" s="168"/>
      <c r="L518" s="168"/>
      <c r="N518" s="169"/>
    </row>
    <row r="519">
      <c r="G519" s="168"/>
      <c r="L519" s="168"/>
      <c r="N519" s="169"/>
    </row>
    <row r="520">
      <c r="G520" s="168"/>
      <c r="L520" s="168"/>
      <c r="N520" s="169"/>
    </row>
    <row r="521">
      <c r="G521" s="168"/>
      <c r="L521" s="168"/>
      <c r="N521" s="169"/>
    </row>
    <row r="522">
      <c r="G522" s="168"/>
      <c r="L522" s="168"/>
      <c r="N522" s="169"/>
    </row>
    <row r="523">
      <c r="G523" s="168"/>
      <c r="L523" s="168"/>
      <c r="N523" s="169"/>
    </row>
    <row r="524">
      <c r="G524" s="168"/>
      <c r="L524" s="168"/>
      <c r="N524" s="169"/>
    </row>
    <row r="525">
      <c r="G525" s="168"/>
      <c r="L525" s="168"/>
      <c r="N525" s="169"/>
    </row>
    <row r="526">
      <c r="G526" s="168"/>
      <c r="L526" s="168"/>
      <c r="N526" s="169"/>
    </row>
    <row r="527">
      <c r="G527" s="168"/>
      <c r="L527" s="168"/>
      <c r="N527" s="169"/>
    </row>
    <row r="528">
      <c r="G528" s="168"/>
      <c r="L528" s="168"/>
      <c r="N528" s="169"/>
    </row>
    <row r="529">
      <c r="G529" s="168"/>
      <c r="L529" s="168"/>
      <c r="N529" s="169"/>
    </row>
    <row r="530">
      <c r="G530" s="168"/>
      <c r="L530" s="168"/>
      <c r="N530" s="169"/>
    </row>
    <row r="531">
      <c r="G531" s="168"/>
      <c r="L531" s="168"/>
      <c r="N531" s="169"/>
    </row>
    <row r="532">
      <c r="G532" s="168"/>
      <c r="L532" s="168"/>
      <c r="N532" s="169"/>
    </row>
    <row r="533">
      <c r="G533" s="168"/>
      <c r="L533" s="168"/>
      <c r="N533" s="169"/>
    </row>
    <row r="534">
      <c r="G534" s="168"/>
      <c r="L534" s="168"/>
      <c r="N534" s="169"/>
    </row>
    <row r="535">
      <c r="G535" s="168"/>
      <c r="L535" s="168"/>
      <c r="N535" s="169"/>
    </row>
    <row r="536">
      <c r="G536" s="168"/>
      <c r="L536" s="168"/>
      <c r="N536" s="169"/>
    </row>
    <row r="537">
      <c r="G537" s="168"/>
      <c r="L537" s="168"/>
      <c r="N537" s="169"/>
    </row>
    <row r="538">
      <c r="G538" s="168"/>
      <c r="L538" s="168"/>
      <c r="N538" s="169"/>
    </row>
    <row r="539">
      <c r="G539" s="168"/>
      <c r="L539" s="168"/>
      <c r="N539" s="169"/>
    </row>
    <row r="540">
      <c r="G540" s="168"/>
      <c r="L540" s="168"/>
      <c r="N540" s="169"/>
    </row>
    <row r="541">
      <c r="G541" s="168"/>
      <c r="L541" s="168"/>
      <c r="N541" s="169"/>
    </row>
    <row r="542">
      <c r="G542" s="168"/>
      <c r="L542" s="168"/>
      <c r="N542" s="169"/>
    </row>
    <row r="543">
      <c r="G543" s="168"/>
      <c r="L543" s="168"/>
      <c r="N543" s="169"/>
    </row>
    <row r="544">
      <c r="G544" s="168"/>
      <c r="L544" s="168"/>
      <c r="N544" s="169"/>
    </row>
    <row r="545">
      <c r="G545" s="168"/>
      <c r="L545" s="168"/>
      <c r="N545" s="169"/>
    </row>
    <row r="546">
      <c r="G546" s="168"/>
      <c r="L546" s="168"/>
      <c r="N546" s="169"/>
    </row>
    <row r="547">
      <c r="G547" s="168"/>
      <c r="L547" s="168"/>
      <c r="N547" s="169"/>
    </row>
    <row r="548">
      <c r="G548" s="168"/>
      <c r="L548" s="168"/>
      <c r="N548" s="169"/>
    </row>
    <row r="549">
      <c r="G549" s="168"/>
      <c r="L549" s="168"/>
      <c r="N549" s="169"/>
    </row>
    <row r="550">
      <c r="G550" s="168"/>
      <c r="L550" s="168"/>
      <c r="N550" s="169"/>
    </row>
    <row r="551">
      <c r="G551" s="168"/>
      <c r="L551" s="168"/>
      <c r="N551" s="169"/>
    </row>
    <row r="552">
      <c r="G552" s="168"/>
      <c r="L552" s="168"/>
      <c r="N552" s="169"/>
    </row>
    <row r="553">
      <c r="G553" s="168"/>
      <c r="L553" s="168"/>
      <c r="N553" s="169"/>
    </row>
    <row r="554">
      <c r="G554" s="168"/>
      <c r="L554" s="168"/>
      <c r="N554" s="169"/>
    </row>
    <row r="555">
      <c r="G555" s="168"/>
      <c r="L555" s="168"/>
      <c r="N555" s="169"/>
    </row>
    <row r="556">
      <c r="G556" s="168"/>
      <c r="L556" s="168"/>
      <c r="N556" s="169"/>
    </row>
    <row r="557">
      <c r="G557" s="168"/>
      <c r="L557" s="168"/>
      <c r="N557" s="169"/>
    </row>
    <row r="558">
      <c r="G558" s="168"/>
      <c r="L558" s="168"/>
      <c r="N558" s="169"/>
    </row>
    <row r="559">
      <c r="G559" s="168"/>
      <c r="L559" s="168"/>
      <c r="N559" s="169"/>
    </row>
    <row r="560">
      <c r="G560" s="168"/>
      <c r="L560" s="168"/>
      <c r="N560" s="169"/>
    </row>
    <row r="561">
      <c r="G561" s="168"/>
      <c r="L561" s="168"/>
      <c r="N561" s="169"/>
    </row>
    <row r="562">
      <c r="G562" s="168"/>
      <c r="L562" s="168"/>
      <c r="N562" s="169"/>
    </row>
    <row r="563">
      <c r="G563" s="168"/>
      <c r="L563" s="168"/>
      <c r="N563" s="169"/>
    </row>
    <row r="564">
      <c r="G564" s="168"/>
      <c r="L564" s="168"/>
      <c r="N564" s="169"/>
    </row>
    <row r="565">
      <c r="G565" s="168"/>
      <c r="L565" s="168"/>
      <c r="N565" s="169"/>
    </row>
    <row r="566">
      <c r="G566" s="168"/>
      <c r="L566" s="168"/>
      <c r="N566" s="169"/>
    </row>
    <row r="567">
      <c r="G567" s="168"/>
      <c r="L567" s="168"/>
      <c r="N567" s="169"/>
    </row>
    <row r="568">
      <c r="G568" s="168"/>
      <c r="L568" s="168"/>
      <c r="N568" s="169"/>
    </row>
    <row r="569">
      <c r="G569" s="168"/>
      <c r="L569" s="168"/>
      <c r="N569" s="169"/>
    </row>
    <row r="570">
      <c r="G570" s="168"/>
      <c r="L570" s="168"/>
      <c r="N570" s="169"/>
    </row>
    <row r="571">
      <c r="G571" s="168"/>
      <c r="L571" s="168"/>
      <c r="N571" s="169"/>
    </row>
    <row r="572">
      <c r="G572" s="168"/>
      <c r="L572" s="168"/>
      <c r="N572" s="169"/>
    </row>
    <row r="573">
      <c r="G573" s="168"/>
      <c r="L573" s="168"/>
      <c r="N573" s="169"/>
    </row>
    <row r="574">
      <c r="G574" s="168"/>
      <c r="L574" s="168"/>
      <c r="N574" s="169"/>
    </row>
    <row r="575">
      <c r="G575" s="168"/>
      <c r="L575" s="168"/>
      <c r="N575" s="169"/>
    </row>
    <row r="576">
      <c r="G576" s="168"/>
      <c r="L576" s="168"/>
      <c r="N576" s="169"/>
    </row>
    <row r="577">
      <c r="G577" s="168"/>
      <c r="L577" s="168"/>
      <c r="N577" s="169"/>
    </row>
    <row r="578">
      <c r="G578" s="168"/>
      <c r="L578" s="168"/>
      <c r="N578" s="169"/>
    </row>
    <row r="579">
      <c r="G579" s="168"/>
      <c r="L579" s="168"/>
      <c r="N579" s="169"/>
    </row>
    <row r="580">
      <c r="G580" s="168"/>
      <c r="L580" s="168"/>
      <c r="N580" s="169"/>
    </row>
    <row r="581">
      <c r="G581" s="168"/>
      <c r="L581" s="168"/>
      <c r="N581" s="169"/>
    </row>
    <row r="582">
      <c r="G582" s="168"/>
      <c r="L582" s="168"/>
      <c r="N582" s="169"/>
    </row>
    <row r="583">
      <c r="G583" s="168"/>
      <c r="L583" s="168"/>
      <c r="N583" s="169"/>
    </row>
    <row r="584">
      <c r="G584" s="168"/>
      <c r="L584" s="168"/>
      <c r="N584" s="169"/>
    </row>
    <row r="585">
      <c r="G585" s="168"/>
      <c r="L585" s="168"/>
      <c r="N585" s="169"/>
    </row>
    <row r="586">
      <c r="G586" s="168"/>
      <c r="L586" s="168"/>
      <c r="N586" s="169"/>
    </row>
    <row r="587">
      <c r="G587" s="168"/>
      <c r="L587" s="168"/>
      <c r="N587" s="169"/>
    </row>
    <row r="588">
      <c r="G588" s="168"/>
      <c r="L588" s="168"/>
      <c r="N588" s="169"/>
    </row>
    <row r="589">
      <c r="G589" s="168"/>
      <c r="L589" s="168"/>
      <c r="N589" s="169"/>
    </row>
    <row r="590">
      <c r="G590" s="168"/>
      <c r="L590" s="168"/>
      <c r="N590" s="169"/>
    </row>
    <row r="591">
      <c r="G591" s="168"/>
      <c r="L591" s="168"/>
      <c r="N591" s="169"/>
    </row>
    <row r="592">
      <c r="G592" s="168"/>
      <c r="L592" s="168"/>
      <c r="N592" s="169"/>
    </row>
    <row r="593">
      <c r="G593" s="168"/>
      <c r="L593" s="168"/>
      <c r="N593" s="169"/>
    </row>
    <row r="594">
      <c r="G594" s="168"/>
      <c r="L594" s="168"/>
      <c r="N594" s="169"/>
    </row>
    <row r="595">
      <c r="G595" s="168"/>
      <c r="L595" s="168"/>
      <c r="N595" s="169"/>
    </row>
    <row r="596">
      <c r="G596" s="168"/>
      <c r="L596" s="168"/>
      <c r="N596" s="169"/>
    </row>
    <row r="597">
      <c r="G597" s="168"/>
      <c r="L597" s="168"/>
      <c r="N597" s="169"/>
    </row>
    <row r="598">
      <c r="G598" s="168"/>
      <c r="L598" s="168"/>
      <c r="N598" s="169"/>
    </row>
    <row r="599">
      <c r="G599" s="168"/>
      <c r="L599" s="168"/>
      <c r="N599" s="169"/>
    </row>
    <row r="600">
      <c r="G600" s="168"/>
      <c r="L600" s="168"/>
      <c r="N600" s="169"/>
    </row>
    <row r="601">
      <c r="G601" s="168"/>
      <c r="L601" s="168"/>
      <c r="N601" s="169"/>
    </row>
    <row r="602">
      <c r="G602" s="168"/>
      <c r="L602" s="168"/>
      <c r="N602" s="169"/>
    </row>
    <row r="603">
      <c r="G603" s="168"/>
      <c r="L603" s="168"/>
      <c r="N603" s="169"/>
    </row>
    <row r="604">
      <c r="G604" s="168"/>
      <c r="L604" s="168"/>
      <c r="N604" s="169"/>
    </row>
    <row r="605">
      <c r="G605" s="168"/>
      <c r="L605" s="168"/>
      <c r="N605" s="169"/>
    </row>
    <row r="606">
      <c r="G606" s="168"/>
      <c r="L606" s="168"/>
      <c r="N606" s="169"/>
    </row>
    <row r="607">
      <c r="G607" s="168"/>
      <c r="L607" s="168"/>
      <c r="N607" s="169"/>
    </row>
    <row r="608">
      <c r="G608" s="168"/>
      <c r="L608" s="168"/>
      <c r="N608" s="169"/>
    </row>
    <row r="609">
      <c r="G609" s="168"/>
      <c r="L609" s="168"/>
      <c r="N609" s="169"/>
    </row>
    <row r="610">
      <c r="G610" s="168"/>
      <c r="L610" s="168"/>
      <c r="N610" s="169"/>
    </row>
    <row r="611">
      <c r="G611" s="168"/>
      <c r="L611" s="168"/>
      <c r="N611" s="169"/>
    </row>
    <row r="612">
      <c r="G612" s="168"/>
      <c r="L612" s="168"/>
      <c r="N612" s="169"/>
    </row>
    <row r="613">
      <c r="G613" s="168"/>
      <c r="L613" s="168"/>
      <c r="N613" s="169"/>
    </row>
    <row r="614">
      <c r="G614" s="168"/>
      <c r="L614" s="168"/>
      <c r="N614" s="169"/>
    </row>
    <row r="615">
      <c r="G615" s="168"/>
      <c r="L615" s="168"/>
      <c r="N615" s="169"/>
    </row>
    <row r="616">
      <c r="G616" s="168"/>
      <c r="L616" s="168"/>
      <c r="N616" s="169"/>
    </row>
    <row r="617">
      <c r="G617" s="168"/>
      <c r="L617" s="168"/>
      <c r="N617" s="169"/>
    </row>
    <row r="618">
      <c r="G618" s="168"/>
      <c r="L618" s="168"/>
      <c r="N618" s="169"/>
    </row>
    <row r="619">
      <c r="G619" s="168"/>
      <c r="L619" s="168"/>
      <c r="N619" s="169"/>
    </row>
    <row r="620">
      <c r="G620" s="168"/>
      <c r="L620" s="168"/>
      <c r="N620" s="169"/>
    </row>
    <row r="621">
      <c r="G621" s="168"/>
      <c r="L621" s="168"/>
      <c r="N621" s="169"/>
    </row>
    <row r="622">
      <c r="G622" s="168"/>
      <c r="L622" s="168"/>
      <c r="N622" s="169"/>
    </row>
    <row r="623">
      <c r="G623" s="168"/>
      <c r="L623" s="168"/>
      <c r="N623" s="169"/>
    </row>
    <row r="624">
      <c r="G624" s="168"/>
      <c r="L624" s="168"/>
      <c r="N624" s="169"/>
    </row>
    <row r="625">
      <c r="G625" s="168"/>
      <c r="L625" s="168"/>
      <c r="N625" s="169"/>
    </row>
    <row r="626">
      <c r="G626" s="168"/>
      <c r="L626" s="168"/>
      <c r="N626" s="169"/>
    </row>
    <row r="627">
      <c r="G627" s="168"/>
      <c r="L627" s="168"/>
      <c r="N627" s="169"/>
    </row>
    <row r="628">
      <c r="G628" s="168"/>
      <c r="L628" s="168"/>
      <c r="N628" s="169"/>
    </row>
    <row r="629">
      <c r="G629" s="168"/>
      <c r="L629" s="168"/>
      <c r="N629" s="169"/>
    </row>
    <row r="630">
      <c r="G630" s="168"/>
      <c r="L630" s="168"/>
      <c r="N630" s="169"/>
    </row>
    <row r="631">
      <c r="G631" s="168"/>
      <c r="L631" s="168"/>
      <c r="N631" s="169"/>
    </row>
    <row r="632">
      <c r="G632" s="168"/>
      <c r="L632" s="168"/>
      <c r="N632" s="169"/>
    </row>
    <row r="633">
      <c r="G633" s="168"/>
      <c r="L633" s="168"/>
      <c r="N633" s="169"/>
    </row>
    <row r="634">
      <c r="G634" s="168"/>
      <c r="L634" s="168"/>
      <c r="N634" s="169"/>
    </row>
    <row r="635">
      <c r="G635" s="168"/>
      <c r="L635" s="168"/>
      <c r="N635" s="169"/>
    </row>
    <row r="636">
      <c r="G636" s="168"/>
      <c r="L636" s="168"/>
      <c r="N636" s="169"/>
    </row>
    <row r="637">
      <c r="G637" s="168"/>
      <c r="L637" s="168"/>
      <c r="N637" s="169"/>
    </row>
    <row r="638">
      <c r="G638" s="168"/>
      <c r="L638" s="168"/>
      <c r="N638" s="169"/>
    </row>
    <row r="639">
      <c r="G639" s="168"/>
      <c r="L639" s="168"/>
      <c r="N639" s="169"/>
    </row>
    <row r="640">
      <c r="G640" s="168"/>
      <c r="L640" s="168"/>
      <c r="N640" s="169"/>
    </row>
    <row r="641">
      <c r="G641" s="168"/>
      <c r="L641" s="168"/>
      <c r="N641" s="169"/>
    </row>
    <row r="642">
      <c r="G642" s="168"/>
      <c r="L642" s="168"/>
      <c r="N642" s="169"/>
    </row>
    <row r="643">
      <c r="G643" s="168"/>
      <c r="L643" s="168"/>
      <c r="N643" s="169"/>
    </row>
    <row r="644">
      <c r="G644" s="168"/>
      <c r="L644" s="168"/>
      <c r="N644" s="169"/>
    </row>
    <row r="645">
      <c r="G645" s="168"/>
      <c r="L645" s="168"/>
      <c r="N645" s="169"/>
    </row>
    <row r="646">
      <c r="G646" s="168"/>
      <c r="L646" s="168"/>
      <c r="N646" s="169"/>
    </row>
    <row r="647">
      <c r="G647" s="168"/>
      <c r="L647" s="168"/>
      <c r="N647" s="169"/>
    </row>
    <row r="648">
      <c r="G648" s="168"/>
      <c r="L648" s="168"/>
      <c r="N648" s="169"/>
    </row>
    <row r="649">
      <c r="G649" s="168"/>
      <c r="L649" s="168"/>
      <c r="N649" s="169"/>
    </row>
    <row r="650">
      <c r="G650" s="168"/>
      <c r="L650" s="168"/>
      <c r="N650" s="169"/>
    </row>
    <row r="651">
      <c r="G651" s="168"/>
      <c r="L651" s="168"/>
      <c r="N651" s="169"/>
    </row>
    <row r="652">
      <c r="G652" s="168"/>
      <c r="L652" s="168"/>
      <c r="N652" s="169"/>
    </row>
    <row r="653">
      <c r="G653" s="168"/>
      <c r="L653" s="168"/>
      <c r="N653" s="169"/>
    </row>
    <row r="654">
      <c r="G654" s="168"/>
      <c r="L654" s="168"/>
      <c r="N654" s="169"/>
    </row>
    <row r="655">
      <c r="G655" s="168"/>
      <c r="L655" s="168"/>
      <c r="N655" s="169"/>
    </row>
    <row r="656">
      <c r="G656" s="168"/>
      <c r="L656" s="168"/>
      <c r="N656" s="169"/>
    </row>
    <row r="657">
      <c r="G657" s="168"/>
      <c r="L657" s="168"/>
      <c r="N657" s="169"/>
    </row>
    <row r="658">
      <c r="G658" s="168"/>
      <c r="L658" s="168"/>
      <c r="N658" s="169"/>
    </row>
    <row r="659">
      <c r="G659" s="168"/>
      <c r="L659" s="168"/>
      <c r="N659" s="169"/>
    </row>
    <row r="660">
      <c r="G660" s="168"/>
      <c r="L660" s="168"/>
      <c r="N660" s="169"/>
    </row>
    <row r="661">
      <c r="G661" s="168"/>
      <c r="L661" s="168"/>
      <c r="N661" s="169"/>
    </row>
    <row r="662">
      <c r="G662" s="168"/>
      <c r="L662" s="168"/>
      <c r="N662" s="169"/>
    </row>
    <row r="663">
      <c r="G663" s="168"/>
      <c r="L663" s="168"/>
      <c r="N663" s="169"/>
    </row>
    <row r="664">
      <c r="G664" s="168"/>
      <c r="L664" s="168"/>
      <c r="N664" s="169"/>
    </row>
    <row r="665">
      <c r="G665" s="168"/>
      <c r="L665" s="168"/>
      <c r="N665" s="169"/>
    </row>
    <row r="666">
      <c r="G666" s="168"/>
      <c r="L666" s="168"/>
      <c r="N666" s="169"/>
    </row>
    <row r="667">
      <c r="G667" s="168"/>
      <c r="L667" s="168"/>
      <c r="N667" s="169"/>
    </row>
    <row r="668">
      <c r="G668" s="168"/>
      <c r="L668" s="168"/>
      <c r="N668" s="169"/>
    </row>
    <row r="669">
      <c r="G669" s="168"/>
      <c r="L669" s="168"/>
      <c r="N669" s="169"/>
    </row>
    <row r="670">
      <c r="G670" s="168"/>
      <c r="L670" s="168"/>
      <c r="N670" s="169"/>
    </row>
    <row r="671">
      <c r="G671" s="168"/>
      <c r="L671" s="168"/>
      <c r="N671" s="169"/>
    </row>
    <row r="672">
      <c r="G672" s="168"/>
      <c r="L672" s="168"/>
      <c r="N672" s="169"/>
    </row>
    <row r="673">
      <c r="G673" s="168"/>
      <c r="L673" s="168"/>
      <c r="N673" s="169"/>
    </row>
    <row r="674">
      <c r="G674" s="168"/>
      <c r="L674" s="168"/>
      <c r="N674" s="169"/>
    </row>
    <row r="675">
      <c r="G675" s="168"/>
      <c r="L675" s="168"/>
      <c r="N675" s="169"/>
    </row>
    <row r="676">
      <c r="G676" s="168"/>
      <c r="L676" s="168"/>
      <c r="N676" s="169"/>
    </row>
    <row r="677">
      <c r="G677" s="168"/>
      <c r="L677" s="168"/>
      <c r="N677" s="169"/>
    </row>
    <row r="678">
      <c r="G678" s="168"/>
      <c r="L678" s="168"/>
      <c r="N678" s="169"/>
    </row>
    <row r="679">
      <c r="G679" s="168"/>
      <c r="L679" s="168"/>
      <c r="N679" s="169"/>
    </row>
    <row r="680">
      <c r="G680" s="168"/>
      <c r="L680" s="168"/>
      <c r="N680" s="169"/>
    </row>
    <row r="681">
      <c r="G681" s="168"/>
      <c r="L681" s="168"/>
      <c r="N681" s="169"/>
    </row>
    <row r="682">
      <c r="G682" s="168"/>
      <c r="L682" s="168"/>
      <c r="N682" s="169"/>
    </row>
    <row r="683">
      <c r="G683" s="168"/>
      <c r="L683" s="168"/>
      <c r="N683" s="169"/>
    </row>
    <row r="684">
      <c r="G684" s="168"/>
      <c r="L684" s="168"/>
      <c r="N684" s="169"/>
    </row>
    <row r="685">
      <c r="G685" s="168"/>
      <c r="L685" s="168"/>
      <c r="N685" s="169"/>
    </row>
    <row r="686">
      <c r="G686" s="168"/>
      <c r="L686" s="168"/>
      <c r="N686" s="169"/>
    </row>
    <row r="687">
      <c r="G687" s="168"/>
      <c r="L687" s="168"/>
      <c r="N687" s="169"/>
    </row>
    <row r="688">
      <c r="G688" s="168"/>
      <c r="L688" s="168"/>
      <c r="N688" s="169"/>
    </row>
    <row r="689">
      <c r="G689" s="168"/>
      <c r="L689" s="168"/>
      <c r="N689" s="169"/>
    </row>
    <row r="690">
      <c r="G690" s="168"/>
      <c r="L690" s="168"/>
      <c r="N690" s="169"/>
    </row>
    <row r="691">
      <c r="G691" s="168"/>
      <c r="L691" s="168"/>
      <c r="N691" s="169"/>
    </row>
    <row r="692">
      <c r="G692" s="168"/>
      <c r="L692" s="168"/>
      <c r="N692" s="169"/>
    </row>
    <row r="693">
      <c r="G693" s="168"/>
      <c r="L693" s="168"/>
      <c r="N693" s="169"/>
    </row>
    <row r="694">
      <c r="G694" s="168"/>
      <c r="L694" s="168"/>
      <c r="N694" s="169"/>
    </row>
    <row r="695">
      <c r="G695" s="168"/>
      <c r="L695" s="168"/>
      <c r="N695" s="169"/>
    </row>
    <row r="696">
      <c r="G696" s="168"/>
      <c r="L696" s="168"/>
      <c r="N696" s="169"/>
    </row>
    <row r="697">
      <c r="G697" s="168"/>
      <c r="L697" s="168"/>
      <c r="N697" s="169"/>
    </row>
    <row r="698">
      <c r="G698" s="168"/>
      <c r="L698" s="168"/>
      <c r="N698" s="169"/>
    </row>
    <row r="699">
      <c r="G699" s="168"/>
      <c r="L699" s="168"/>
      <c r="N699" s="169"/>
    </row>
    <row r="700">
      <c r="G700" s="168"/>
      <c r="L700" s="168"/>
      <c r="N700" s="169"/>
    </row>
    <row r="701">
      <c r="G701" s="168"/>
      <c r="L701" s="168"/>
      <c r="N701" s="169"/>
    </row>
    <row r="702">
      <c r="G702" s="168"/>
      <c r="L702" s="168"/>
      <c r="N702" s="169"/>
    </row>
    <row r="703">
      <c r="G703" s="168"/>
      <c r="L703" s="168"/>
      <c r="N703" s="169"/>
    </row>
    <row r="704">
      <c r="G704" s="168"/>
      <c r="L704" s="168"/>
      <c r="N704" s="169"/>
    </row>
    <row r="705">
      <c r="G705" s="168"/>
      <c r="L705" s="168"/>
      <c r="N705" s="169"/>
    </row>
    <row r="706">
      <c r="G706" s="168"/>
      <c r="L706" s="168"/>
      <c r="N706" s="169"/>
    </row>
    <row r="707">
      <c r="G707" s="168"/>
      <c r="L707" s="168"/>
      <c r="N707" s="169"/>
    </row>
    <row r="708">
      <c r="G708" s="168"/>
      <c r="L708" s="168"/>
      <c r="N708" s="169"/>
    </row>
    <row r="709">
      <c r="G709" s="168"/>
      <c r="L709" s="168"/>
      <c r="N709" s="169"/>
    </row>
    <row r="710">
      <c r="G710" s="168"/>
      <c r="L710" s="168"/>
      <c r="N710" s="169"/>
    </row>
    <row r="711">
      <c r="G711" s="168"/>
      <c r="L711" s="168"/>
      <c r="N711" s="169"/>
    </row>
    <row r="712">
      <c r="G712" s="168"/>
      <c r="L712" s="168"/>
      <c r="N712" s="169"/>
    </row>
    <row r="713">
      <c r="G713" s="168"/>
      <c r="L713" s="168"/>
      <c r="N713" s="169"/>
    </row>
    <row r="714">
      <c r="G714" s="168"/>
      <c r="L714" s="168"/>
      <c r="N714" s="169"/>
    </row>
    <row r="715">
      <c r="G715" s="168"/>
      <c r="L715" s="168"/>
      <c r="N715" s="169"/>
    </row>
    <row r="716">
      <c r="G716" s="168"/>
      <c r="L716" s="168"/>
      <c r="N716" s="169"/>
    </row>
    <row r="717">
      <c r="G717" s="168"/>
      <c r="L717" s="168"/>
      <c r="N717" s="169"/>
    </row>
    <row r="718">
      <c r="G718" s="168"/>
      <c r="L718" s="168"/>
      <c r="N718" s="169"/>
    </row>
    <row r="719">
      <c r="G719" s="168"/>
      <c r="L719" s="168"/>
      <c r="N719" s="169"/>
    </row>
    <row r="720">
      <c r="G720" s="168"/>
      <c r="L720" s="168"/>
      <c r="N720" s="169"/>
    </row>
    <row r="721">
      <c r="G721" s="168"/>
      <c r="L721" s="168"/>
      <c r="N721" s="169"/>
    </row>
    <row r="722">
      <c r="G722" s="168"/>
      <c r="L722" s="168"/>
      <c r="N722" s="169"/>
    </row>
    <row r="723">
      <c r="G723" s="168"/>
      <c r="L723" s="168"/>
      <c r="N723" s="169"/>
    </row>
    <row r="724">
      <c r="G724" s="168"/>
      <c r="L724" s="168"/>
      <c r="N724" s="169"/>
    </row>
    <row r="725">
      <c r="G725" s="168"/>
      <c r="L725" s="168"/>
      <c r="N725" s="169"/>
    </row>
    <row r="726">
      <c r="G726" s="168"/>
      <c r="L726" s="168"/>
      <c r="N726" s="169"/>
    </row>
    <row r="727">
      <c r="G727" s="168"/>
      <c r="L727" s="168"/>
      <c r="N727" s="169"/>
    </row>
    <row r="728">
      <c r="G728" s="168"/>
      <c r="L728" s="168"/>
      <c r="N728" s="169"/>
    </row>
    <row r="729">
      <c r="G729" s="168"/>
      <c r="L729" s="168"/>
      <c r="N729" s="169"/>
    </row>
    <row r="730">
      <c r="G730" s="168"/>
      <c r="L730" s="168"/>
      <c r="N730" s="169"/>
    </row>
    <row r="731">
      <c r="G731" s="168"/>
      <c r="L731" s="168"/>
      <c r="N731" s="169"/>
    </row>
    <row r="732">
      <c r="G732" s="168"/>
      <c r="L732" s="168"/>
      <c r="N732" s="169"/>
    </row>
    <row r="733">
      <c r="G733" s="168"/>
      <c r="L733" s="168"/>
      <c r="N733" s="169"/>
    </row>
    <row r="734">
      <c r="G734" s="168"/>
      <c r="L734" s="168"/>
      <c r="N734" s="169"/>
    </row>
    <row r="735">
      <c r="G735" s="168"/>
      <c r="L735" s="168"/>
      <c r="N735" s="169"/>
    </row>
    <row r="736">
      <c r="G736" s="168"/>
      <c r="L736" s="168"/>
      <c r="N736" s="169"/>
    </row>
    <row r="737">
      <c r="G737" s="168"/>
      <c r="L737" s="168"/>
      <c r="N737" s="169"/>
    </row>
    <row r="738">
      <c r="G738" s="168"/>
      <c r="L738" s="168"/>
      <c r="N738" s="169"/>
    </row>
    <row r="739">
      <c r="G739" s="168"/>
      <c r="L739" s="168"/>
      <c r="N739" s="169"/>
    </row>
    <row r="740">
      <c r="G740" s="168"/>
      <c r="L740" s="168"/>
      <c r="N740" s="169"/>
    </row>
    <row r="741">
      <c r="G741" s="168"/>
      <c r="L741" s="168"/>
      <c r="N741" s="169"/>
    </row>
    <row r="742">
      <c r="G742" s="168"/>
      <c r="L742" s="168"/>
      <c r="N742" s="169"/>
    </row>
    <row r="743">
      <c r="G743" s="168"/>
      <c r="L743" s="168"/>
      <c r="N743" s="169"/>
    </row>
    <row r="744">
      <c r="G744" s="168"/>
      <c r="L744" s="168"/>
      <c r="N744" s="169"/>
    </row>
    <row r="745">
      <c r="G745" s="168"/>
      <c r="L745" s="168"/>
      <c r="N745" s="169"/>
    </row>
    <row r="746">
      <c r="G746" s="168"/>
      <c r="L746" s="168"/>
      <c r="N746" s="169"/>
    </row>
    <row r="747">
      <c r="G747" s="168"/>
      <c r="L747" s="168"/>
      <c r="N747" s="169"/>
    </row>
    <row r="748">
      <c r="G748" s="168"/>
      <c r="L748" s="168"/>
      <c r="N748" s="169"/>
    </row>
    <row r="749">
      <c r="G749" s="168"/>
      <c r="L749" s="168"/>
      <c r="N749" s="169"/>
    </row>
    <row r="750">
      <c r="G750" s="168"/>
      <c r="L750" s="168"/>
      <c r="N750" s="169"/>
    </row>
    <row r="751">
      <c r="G751" s="168"/>
      <c r="L751" s="168"/>
      <c r="N751" s="169"/>
    </row>
    <row r="752">
      <c r="G752" s="168"/>
      <c r="L752" s="168"/>
      <c r="N752" s="169"/>
    </row>
    <row r="753">
      <c r="G753" s="168"/>
      <c r="L753" s="168"/>
      <c r="N753" s="169"/>
    </row>
    <row r="754">
      <c r="G754" s="168"/>
      <c r="L754" s="168"/>
      <c r="N754" s="169"/>
    </row>
    <row r="755">
      <c r="G755" s="168"/>
      <c r="L755" s="168"/>
      <c r="N755" s="169"/>
    </row>
    <row r="756">
      <c r="G756" s="168"/>
      <c r="L756" s="168"/>
      <c r="N756" s="169"/>
    </row>
    <row r="757">
      <c r="G757" s="168"/>
      <c r="L757" s="168"/>
      <c r="N757" s="169"/>
    </row>
    <row r="758">
      <c r="G758" s="168"/>
      <c r="L758" s="168"/>
      <c r="N758" s="169"/>
    </row>
    <row r="759">
      <c r="G759" s="168"/>
      <c r="L759" s="168"/>
      <c r="N759" s="169"/>
    </row>
    <row r="760">
      <c r="G760" s="168"/>
      <c r="L760" s="168"/>
      <c r="N760" s="169"/>
    </row>
    <row r="761">
      <c r="G761" s="168"/>
      <c r="L761" s="168"/>
      <c r="N761" s="169"/>
    </row>
    <row r="762">
      <c r="G762" s="168"/>
      <c r="L762" s="168"/>
      <c r="N762" s="169"/>
    </row>
    <row r="763">
      <c r="G763" s="168"/>
      <c r="L763" s="168"/>
      <c r="N763" s="169"/>
    </row>
    <row r="764">
      <c r="G764" s="168"/>
      <c r="L764" s="168"/>
      <c r="N764" s="169"/>
    </row>
    <row r="765">
      <c r="G765" s="168"/>
      <c r="L765" s="168"/>
      <c r="N765" s="169"/>
    </row>
    <row r="766">
      <c r="G766" s="168"/>
      <c r="L766" s="168"/>
      <c r="N766" s="169"/>
    </row>
    <row r="767">
      <c r="G767" s="168"/>
      <c r="L767" s="168"/>
      <c r="N767" s="169"/>
    </row>
    <row r="768">
      <c r="G768" s="168"/>
      <c r="L768" s="168"/>
      <c r="N768" s="169"/>
    </row>
    <row r="769">
      <c r="G769" s="168"/>
      <c r="L769" s="168"/>
      <c r="N769" s="169"/>
    </row>
    <row r="770">
      <c r="G770" s="168"/>
      <c r="L770" s="168"/>
      <c r="N770" s="169"/>
    </row>
    <row r="771">
      <c r="G771" s="168"/>
      <c r="L771" s="168"/>
      <c r="N771" s="169"/>
    </row>
    <row r="772">
      <c r="G772" s="168"/>
      <c r="L772" s="168"/>
      <c r="N772" s="169"/>
    </row>
    <row r="773">
      <c r="G773" s="168"/>
      <c r="L773" s="168"/>
      <c r="N773" s="169"/>
    </row>
    <row r="774">
      <c r="G774" s="168"/>
      <c r="L774" s="168"/>
      <c r="N774" s="169"/>
    </row>
    <row r="775">
      <c r="G775" s="168"/>
      <c r="L775" s="168"/>
      <c r="N775" s="169"/>
    </row>
    <row r="776">
      <c r="G776" s="168"/>
      <c r="L776" s="168"/>
      <c r="N776" s="169"/>
    </row>
    <row r="777">
      <c r="G777" s="168"/>
      <c r="L777" s="168"/>
      <c r="N777" s="169"/>
    </row>
    <row r="778">
      <c r="G778" s="168"/>
      <c r="L778" s="168"/>
      <c r="N778" s="169"/>
    </row>
    <row r="779">
      <c r="G779" s="168"/>
      <c r="L779" s="168"/>
      <c r="N779" s="169"/>
    </row>
    <row r="780">
      <c r="G780" s="168"/>
      <c r="L780" s="168"/>
      <c r="N780" s="169"/>
    </row>
    <row r="781">
      <c r="G781" s="168"/>
      <c r="L781" s="168"/>
      <c r="N781" s="169"/>
    </row>
    <row r="782">
      <c r="G782" s="168"/>
      <c r="L782" s="168"/>
      <c r="N782" s="169"/>
    </row>
    <row r="783">
      <c r="G783" s="168"/>
      <c r="L783" s="168"/>
      <c r="N783" s="169"/>
    </row>
    <row r="784">
      <c r="G784" s="168"/>
      <c r="L784" s="168"/>
      <c r="N784" s="169"/>
    </row>
    <row r="785">
      <c r="G785" s="168"/>
      <c r="L785" s="168"/>
      <c r="N785" s="169"/>
    </row>
    <row r="786">
      <c r="G786" s="168"/>
      <c r="L786" s="168"/>
      <c r="N786" s="169"/>
    </row>
    <row r="787">
      <c r="G787" s="168"/>
      <c r="L787" s="168"/>
      <c r="N787" s="169"/>
    </row>
    <row r="788">
      <c r="G788" s="168"/>
      <c r="L788" s="168"/>
      <c r="N788" s="169"/>
    </row>
    <row r="789">
      <c r="G789" s="168"/>
      <c r="L789" s="168"/>
      <c r="N789" s="169"/>
    </row>
    <row r="790">
      <c r="G790" s="168"/>
      <c r="L790" s="168"/>
      <c r="N790" s="169"/>
    </row>
    <row r="791">
      <c r="G791" s="168"/>
      <c r="L791" s="168"/>
      <c r="N791" s="169"/>
    </row>
    <row r="792">
      <c r="G792" s="168"/>
      <c r="L792" s="168"/>
      <c r="N792" s="169"/>
    </row>
    <row r="793">
      <c r="G793" s="168"/>
      <c r="L793" s="168"/>
      <c r="N793" s="169"/>
    </row>
    <row r="794">
      <c r="G794" s="168"/>
      <c r="L794" s="168"/>
      <c r="N794" s="169"/>
    </row>
    <row r="795">
      <c r="G795" s="168"/>
      <c r="L795" s="168"/>
      <c r="N795" s="169"/>
    </row>
    <row r="796">
      <c r="G796" s="168"/>
      <c r="L796" s="168"/>
      <c r="N796" s="169"/>
    </row>
    <row r="797">
      <c r="G797" s="168"/>
      <c r="L797" s="168"/>
      <c r="N797" s="169"/>
    </row>
    <row r="798">
      <c r="G798" s="168"/>
      <c r="L798" s="168"/>
      <c r="N798" s="169"/>
    </row>
    <row r="799">
      <c r="G799" s="168"/>
      <c r="L799" s="168"/>
      <c r="N799" s="169"/>
    </row>
    <row r="800">
      <c r="G800" s="168"/>
      <c r="L800" s="168"/>
      <c r="N800" s="169"/>
    </row>
    <row r="801">
      <c r="G801" s="168"/>
      <c r="L801" s="168"/>
      <c r="N801" s="169"/>
    </row>
    <row r="802">
      <c r="G802" s="168"/>
      <c r="L802" s="168"/>
      <c r="N802" s="169"/>
    </row>
    <row r="803">
      <c r="G803" s="168"/>
      <c r="L803" s="168"/>
      <c r="N803" s="169"/>
    </row>
    <row r="804">
      <c r="G804" s="168"/>
      <c r="L804" s="168"/>
      <c r="N804" s="169"/>
    </row>
    <row r="805">
      <c r="G805" s="168"/>
      <c r="L805" s="168"/>
      <c r="N805" s="169"/>
    </row>
    <row r="806">
      <c r="G806" s="168"/>
      <c r="L806" s="168"/>
      <c r="N806" s="169"/>
    </row>
    <row r="807">
      <c r="G807" s="168"/>
      <c r="L807" s="168"/>
      <c r="N807" s="169"/>
    </row>
    <row r="808">
      <c r="G808" s="168"/>
      <c r="L808" s="168"/>
      <c r="N808" s="169"/>
    </row>
    <row r="809">
      <c r="G809" s="168"/>
      <c r="L809" s="168"/>
      <c r="N809" s="169"/>
    </row>
    <row r="810">
      <c r="G810" s="168"/>
      <c r="L810" s="168"/>
      <c r="N810" s="169"/>
    </row>
    <row r="811">
      <c r="G811" s="168"/>
      <c r="L811" s="168"/>
      <c r="N811" s="169"/>
    </row>
    <row r="812">
      <c r="G812" s="168"/>
      <c r="L812" s="168"/>
      <c r="N812" s="169"/>
    </row>
    <row r="813">
      <c r="G813" s="168"/>
      <c r="L813" s="168"/>
      <c r="N813" s="169"/>
    </row>
    <row r="814">
      <c r="G814" s="168"/>
      <c r="L814" s="168"/>
      <c r="N814" s="169"/>
    </row>
    <row r="815">
      <c r="G815" s="168"/>
      <c r="L815" s="168"/>
      <c r="N815" s="169"/>
    </row>
    <row r="816">
      <c r="G816" s="168"/>
      <c r="L816" s="168"/>
      <c r="N816" s="169"/>
    </row>
    <row r="817">
      <c r="G817" s="168"/>
      <c r="L817" s="168"/>
      <c r="N817" s="169"/>
    </row>
    <row r="818">
      <c r="G818" s="168"/>
      <c r="L818" s="168"/>
      <c r="N818" s="169"/>
    </row>
    <row r="819">
      <c r="G819" s="168"/>
      <c r="L819" s="168"/>
      <c r="N819" s="169"/>
    </row>
    <row r="820">
      <c r="G820" s="168"/>
      <c r="L820" s="168"/>
      <c r="N820" s="169"/>
    </row>
    <row r="821">
      <c r="G821" s="168"/>
      <c r="L821" s="168"/>
      <c r="N821" s="169"/>
    </row>
    <row r="822">
      <c r="G822" s="168"/>
      <c r="L822" s="168"/>
      <c r="N822" s="169"/>
    </row>
    <row r="823">
      <c r="G823" s="168"/>
      <c r="L823" s="168"/>
      <c r="N823" s="169"/>
    </row>
    <row r="824">
      <c r="G824" s="168"/>
      <c r="L824" s="168"/>
      <c r="N824" s="169"/>
    </row>
    <row r="825">
      <c r="G825" s="168"/>
      <c r="L825" s="168"/>
      <c r="N825" s="169"/>
    </row>
    <row r="826">
      <c r="G826" s="168"/>
      <c r="L826" s="168"/>
      <c r="N826" s="169"/>
    </row>
    <row r="827">
      <c r="G827" s="168"/>
      <c r="L827" s="168"/>
      <c r="N827" s="169"/>
    </row>
    <row r="828">
      <c r="G828" s="168"/>
      <c r="L828" s="168"/>
      <c r="N828" s="169"/>
    </row>
    <row r="829">
      <c r="G829" s="168"/>
      <c r="L829" s="168"/>
      <c r="N829" s="169"/>
    </row>
    <row r="830">
      <c r="G830" s="168"/>
      <c r="L830" s="168"/>
      <c r="N830" s="169"/>
    </row>
    <row r="831">
      <c r="G831" s="168"/>
      <c r="L831" s="168"/>
      <c r="N831" s="169"/>
    </row>
    <row r="832">
      <c r="G832" s="168"/>
      <c r="L832" s="168"/>
      <c r="N832" s="169"/>
    </row>
    <row r="833">
      <c r="G833" s="168"/>
      <c r="L833" s="168"/>
      <c r="N833" s="169"/>
    </row>
    <row r="834">
      <c r="G834" s="168"/>
      <c r="L834" s="168"/>
      <c r="N834" s="169"/>
    </row>
    <row r="835">
      <c r="G835" s="168"/>
      <c r="L835" s="168"/>
      <c r="N835" s="169"/>
    </row>
    <row r="836">
      <c r="G836" s="168"/>
      <c r="L836" s="168"/>
      <c r="N836" s="169"/>
    </row>
    <row r="837">
      <c r="G837" s="168"/>
      <c r="L837" s="168"/>
      <c r="N837" s="169"/>
    </row>
    <row r="838">
      <c r="G838" s="168"/>
      <c r="L838" s="168"/>
      <c r="N838" s="169"/>
    </row>
    <row r="839">
      <c r="G839" s="168"/>
      <c r="L839" s="168"/>
      <c r="N839" s="169"/>
    </row>
    <row r="840">
      <c r="G840" s="168"/>
      <c r="L840" s="168"/>
      <c r="N840" s="169"/>
    </row>
    <row r="841">
      <c r="G841" s="168"/>
      <c r="L841" s="168"/>
      <c r="N841" s="169"/>
    </row>
    <row r="842">
      <c r="G842" s="168"/>
      <c r="L842" s="168"/>
      <c r="N842" s="169"/>
    </row>
    <row r="843">
      <c r="G843" s="168"/>
      <c r="L843" s="168"/>
      <c r="N843" s="169"/>
    </row>
    <row r="844">
      <c r="G844" s="168"/>
      <c r="L844" s="168"/>
      <c r="N844" s="169"/>
    </row>
    <row r="845">
      <c r="G845" s="168"/>
      <c r="L845" s="168"/>
      <c r="N845" s="169"/>
    </row>
    <row r="846">
      <c r="G846" s="168"/>
      <c r="L846" s="168"/>
      <c r="N846" s="169"/>
    </row>
    <row r="847">
      <c r="G847" s="168"/>
      <c r="L847" s="168"/>
      <c r="N847" s="169"/>
    </row>
    <row r="848">
      <c r="G848" s="168"/>
      <c r="L848" s="168"/>
      <c r="N848" s="169"/>
    </row>
    <row r="849">
      <c r="G849" s="168"/>
      <c r="L849" s="168"/>
      <c r="N849" s="169"/>
    </row>
    <row r="850">
      <c r="G850" s="168"/>
      <c r="L850" s="168"/>
      <c r="N850" s="169"/>
    </row>
    <row r="851">
      <c r="G851" s="168"/>
      <c r="L851" s="168"/>
      <c r="N851" s="169"/>
    </row>
    <row r="852">
      <c r="G852" s="168"/>
      <c r="L852" s="168"/>
      <c r="N852" s="169"/>
    </row>
    <row r="853">
      <c r="G853" s="168"/>
      <c r="L853" s="168"/>
      <c r="N853" s="169"/>
    </row>
    <row r="854">
      <c r="G854" s="168"/>
      <c r="L854" s="168"/>
      <c r="N854" s="169"/>
    </row>
    <row r="855">
      <c r="G855" s="168"/>
      <c r="L855" s="168"/>
      <c r="N855" s="169"/>
    </row>
    <row r="856">
      <c r="G856" s="168"/>
      <c r="L856" s="168"/>
      <c r="N856" s="169"/>
    </row>
    <row r="857">
      <c r="G857" s="168"/>
      <c r="L857" s="168"/>
      <c r="N857" s="169"/>
    </row>
    <row r="858">
      <c r="G858" s="168"/>
      <c r="L858" s="168"/>
      <c r="N858" s="169"/>
    </row>
    <row r="859">
      <c r="G859" s="168"/>
      <c r="L859" s="168"/>
      <c r="N859" s="169"/>
    </row>
    <row r="860">
      <c r="G860" s="168"/>
      <c r="L860" s="168"/>
      <c r="N860" s="169"/>
    </row>
    <row r="861">
      <c r="G861" s="168"/>
      <c r="L861" s="168"/>
      <c r="N861" s="169"/>
    </row>
    <row r="862">
      <c r="G862" s="168"/>
      <c r="L862" s="168"/>
      <c r="N862" s="169"/>
    </row>
    <row r="863">
      <c r="G863" s="168"/>
      <c r="L863" s="168"/>
      <c r="N863" s="169"/>
    </row>
    <row r="864">
      <c r="G864" s="168"/>
      <c r="L864" s="168"/>
      <c r="N864" s="169"/>
    </row>
    <row r="865">
      <c r="G865" s="168"/>
      <c r="L865" s="168"/>
      <c r="N865" s="169"/>
    </row>
    <row r="866">
      <c r="G866" s="168"/>
      <c r="L866" s="168"/>
      <c r="N866" s="169"/>
    </row>
    <row r="867">
      <c r="G867" s="168"/>
      <c r="L867" s="168"/>
      <c r="N867" s="169"/>
    </row>
    <row r="868">
      <c r="G868" s="168"/>
      <c r="L868" s="168"/>
      <c r="N868" s="169"/>
    </row>
    <row r="869">
      <c r="G869" s="168"/>
      <c r="L869" s="168"/>
      <c r="N869" s="169"/>
    </row>
    <row r="870">
      <c r="G870" s="168"/>
      <c r="L870" s="168"/>
      <c r="N870" s="169"/>
    </row>
    <row r="871">
      <c r="G871" s="168"/>
      <c r="L871" s="168"/>
      <c r="N871" s="169"/>
    </row>
    <row r="872">
      <c r="G872" s="168"/>
      <c r="L872" s="168"/>
      <c r="N872" s="169"/>
    </row>
    <row r="873">
      <c r="G873" s="168"/>
      <c r="L873" s="168"/>
      <c r="N873" s="169"/>
    </row>
    <row r="874">
      <c r="G874" s="168"/>
      <c r="L874" s="168"/>
      <c r="N874" s="169"/>
    </row>
    <row r="875">
      <c r="G875" s="168"/>
      <c r="L875" s="168"/>
      <c r="N875" s="169"/>
    </row>
    <row r="876">
      <c r="G876" s="168"/>
      <c r="L876" s="168"/>
      <c r="N876" s="169"/>
    </row>
    <row r="877">
      <c r="G877" s="168"/>
      <c r="L877" s="168"/>
      <c r="N877" s="169"/>
    </row>
    <row r="878">
      <c r="G878" s="168"/>
      <c r="L878" s="168"/>
      <c r="N878" s="169"/>
    </row>
    <row r="879">
      <c r="G879" s="168"/>
      <c r="L879" s="168"/>
      <c r="N879" s="169"/>
    </row>
    <row r="880">
      <c r="G880" s="168"/>
      <c r="L880" s="168"/>
      <c r="N880" s="169"/>
    </row>
    <row r="881">
      <c r="G881" s="168"/>
      <c r="L881" s="168"/>
      <c r="N881" s="169"/>
    </row>
    <row r="882">
      <c r="G882" s="168"/>
      <c r="L882" s="168"/>
      <c r="N882" s="169"/>
    </row>
    <row r="883">
      <c r="G883" s="168"/>
      <c r="L883" s="168"/>
      <c r="N883" s="169"/>
    </row>
    <row r="884">
      <c r="G884" s="168"/>
      <c r="L884" s="168"/>
      <c r="N884" s="169"/>
    </row>
    <row r="885">
      <c r="G885" s="168"/>
      <c r="L885" s="168"/>
      <c r="N885" s="169"/>
    </row>
    <row r="886">
      <c r="G886" s="168"/>
      <c r="L886" s="168"/>
      <c r="N886" s="169"/>
    </row>
    <row r="887">
      <c r="G887" s="168"/>
      <c r="L887" s="168"/>
      <c r="N887" s="169"/>
    </row>
    <row r="888">
      <c r="G888" s="168"/>
      <c r="L888" s="168"/>
      <c r="N888" s="169"/>
    </row>
    <row r="889">
      <c r="G889" s="168"/>
      <c r="L889" s="168"/>
      <c r="N889" s="169"/>
    </row>
    <row r="890">
      <c r="G890" s="168"/>
      <c r="L890" s="168"/>
      <c r="N890" s="169"/>
    </row>
    <row r="891">
      <c r="G891" s="168"/>
      <c r="L891" s="168"/>
      <c r="N891" s="169"/>
    </row>
    <row r="892">
      <c r="G892" s="168"/>
      <c r="L892" s="168"/>
      <c r="N892" s="169"/>
    </row>
    <row r="893">
      <c r="G893" s="168"/>
      <c r="L893" s="168"/>
      <c r="N893" s="169"/>
    </row>
    <row r="894">
      <c r="G894" s="168"/>
      <c r="L894" s="168"/>
      <c r="N894" s="169"/>
    </row>
    <row r="895">
      <c r="G895" s="168"/>
      <c r="L895" s="168"/>
      <c r="N895" s="169"/>
    </row>
    <row r="896">
      <c r="G896" s="168"/>
      <c r="L896" s="168"/>
      <c r="N896" s="169"/>
    </row>
    <row r="897">
      <c r="G897" s="168"/>
      <c r="L897" s="168"/>
      <c r="N897" s="169"/>
    </row>
    <row r="898">
      <c r="G898" s="168"/>
      <c r="L898" s="168"/>
      <c r="N898" s="169"/>
    </row>
    <row r="899">
      <c r="G899" s="168"/>
      <c r="L899" s="168"/>
      <c r="N899" s="169"/>
    </row>
    <row r="900">
      <c r="G900" s="168"/>
      <c r="L900" s="168"/>
      <c r="N900" s="169"/>
    </row>
    <row r="901">
      <c r="G901" s="168"/>
      <c r="L901" s="168"/>
      <c r="N901" s="169"/>
    </row>
    <row r="902">
      <c r="G902" s="168"/>
      <c r="L902" s="168"/>
      <c r="N902" s="169"/>
    </row>
    <row r="903">
      <c r="G903" s="168"/>
      <c r="L903" s="168"/>
      <c r="N903" s="169"/>
    </row>
    <row r="904">
      <c r="G904" s="168"/>
      <c r="L904" s="168"/>
      <c r="N904" s="169"/>
    </row>
    <row r="905">
      <c r="G905" s="168"/>
      <c r="L905" s="168"/>
      <c r="N905" s="169"/>
    </row>
    <row r="906">
      <c r="G906" s="168"/>
      <c r="L906" s="168"/>
      <c r="N906" s="169"/>
    </row>
    <row r="907">
      <c r="G907" s="168"/>
      <c r="L907" s="168"/>
      <c r="N907" s="169"/>
    </row>
    <row r="908">
      <c r="G908" s="168"/>
      <c r="L908" s="168"/>
      <c r="N908" s="169"/>
    </row>
    <row r="909">
      <c r="G909" s="168"/>
      <c r="L909" s="168"/>
      <c r="N909" s="169"/>
    </row>
    <row r="910">
      <c r="G910" s="168"/>
      <c r="L910" s="168"/>
      <c r="N910" s="169"/>
    </row>
    <row r="911">
      <c r="G911" s="168"/>
      <c r="L911" s="168"/>
      <c r="N911" s="169"/>
    </row>
    <row r="912">
      <c r="G912" s="168"/>
      <c r="L912" s="168"/>
      <c r="N912" s="169"/>
    </row>
    <row r="913">
      <c r="G913" s="168"/>
      <c r="L913" s="168"/>
      <c r="N913" s="169"/>
    </row>
    <row r="914">
      <c r="G914" s="168"/>
      <c r="L914" s="168"/>
      <c r="N914" s="169"/>
    </row>
    <row r="915">
      <c r="G915" s="168"/>
      <c r="L915" s="168"/>
      <c r="N915" s="169"/>
    </row>
    <row r="916">
      <c r="G916" s="168"/>
      <c r="L916" s="168"/>
      <c r="N916" s="169"/>
    </row>
    <row r="917">
      <c r="G917" s="168"/>
      <c r="L917" s="168"/>
      <c r="N917" s="169"/>
    </row>
    <row r="918">
      <c r="G918" s="168"/>
      <c r="L918" s="168"/>
      <c r="N918" s="169"/>
    </row>
    <row r="919">
      <c r="G919" s="168"/>
      <c r="L919" s="168"/>
      <c r="N919" s="169"/>
    </row>
    <row r="920">
      <c r="G920" s="168"/>
      <c r="L920" s="168"/>
      <c r="N920" s="169"/>
    </row>
    <row r="921">
      <c r="G921" s="168"/>
      <c r="L921" s="168"/>
      <c r="N921" s="169"/>
    </row>
    <row r="922">
      <c r="G922" s="168"/>
      <c r="L922" s="168"/>
      <c r="N922" s="169"/>
    </row>
    <row r="923">
      <c r="G923" s="168"/>
      <c r="L923" s="168"/>
      <c r="N923" s="169"/>
    </row>
    <row r="924">
      <c r="G924" s="168"/>
      <c r="L924" s="168"/>
      <c r="N924" s="169"/>
    </row>
    <row r="925">
      <c r="G925" s="168"/>
      <c r="L925" s="168"/>
      <c r="N925" s="169"/>
    </row>
    <row r="926">
      <c r="G926" s="168"/>
      <c r="L926" s="168"/>
      <c r="N926" s="169"/>
    </row>
    <row r="927">
      <c r="G927" s="168"/>
      <c r="L927" s="168"/>
      <c r="N927" s="169"/>
    </row>
    <row r="928">
      <c r="G928" s="168"/>
      <c r="L928" s="168"/>
      <c r="N928" s="169"/>
    </row>
    <row r="929">
      <c r="G929" s="168"/>
      <c r="L929" s="168"/>
      <c r="N929" s="169"/>
    </row>
    <row r="930">
      <c r="G930" s="168"/>
      <c r="L930" s="168"/>
      <c r="N930" s="169"/>
    </row>
    <row r="931">
      <c r="G931" s="168"/>
      <c r="L931" s="168"/>
      <c r="N931" s="169"/>
    </row>
    <row r="932">
      <c r="G932" s="168"/>
      <c r="L932" s="168"/>
      <c r="N932" s="169"/>
    </row>
    <row r="933">
      <c r="G933" s="168"/>
      <c r="L933" s="168"/>
      <c r="N933" s="169"/>
    </row>
    <row r="934">
      <c r="G934" s="168"/>
      <c r="L934" s="168"/>
      <c r="N934" s="169"/>
    </row>
    <row r="935">
      <c r="G935" s="168"/>
      <c r="L935" s="168"/>
      <c r="N935" s="169"/>
    </row>
    <row r="936">
      <c r="G936" s="168"/>
      <c r="L936" s="168"/>
      <c r="N936" s="169"/>
    </row>
    <row r="937">
      <c r="G937" s="168"/>
      <c r="L937" s="168"/>
      <c r="N937" s="169"/>
    </row>
    <row r="938">
      <c r="G938" s="168"/>
      <c r="L938" s="168"/>
      <c r="N938" s="169"/>
    </row>
    <row r="939">
      <c r="G939" s="168"/>
      <c r="L939" s="168"/>
      <c r="N939" s="169"/>
    </row>
    <row r="940">
      <c r="G940" s="168"/>
      <c r="L940" s="168"/>
      <c r="N940" s="169"/>
    </row>
    <row r="941">
      <c r="G941" s="168"/>
      <c r="L941" s="168"/>
      <c r="N941" s="169"/>
    </row>
    <row r="942">
      <c r="G942" s="168"/>
      <c r="L942" s="168"/>
      <c r="N942" s="169"/>
    </row>
    <row r="943">
      <c r="G943" s="168"/>
      <c r="L943" s="168"/>
      <c r="N943" s="169"/>
    </row>
    <row r="944">
      <c r="G944" s="168"/>
      <c r="L944" s="168"/>
      <c r="N944" s="169"/>
    </row>
    <row r="945">
      <c r="G945" s="168"/>
      <c r="L945" s="168"/>
      <c r="N945" s="169"/>
    </row>
    <row r="946">
      <c r="G946" s="168"/>
      <c r="L946" s="168"/>
      <c r="N946" s="169"/>
    </row>
    <row r="947">
      <c r="G947" s="168"/>
      <c r="L947" s="168"/>
      <c r="N947" s="169"/>
    </row>
    <row r="948">
      <c r="G948" s="168"/>
      <c r="L948" s="168"/>
      <c r="N948" s="169"/>
    </row>
    <row r="949">
      <c r="G949" s="168"/>
      <c r="L949" s="168"/>
      <c r="N949" s="169"/>
    </row>
    <row r="950">
      <c r="G950" s="168"/>
      <c r="L950" s="168"/>
      <c r="N950" s="169"/>
    </row>
    <row r="951">
      <c r="G951" s="168"/>
      <c r="L951" s="168"/>
      <c r="N951" s="169"/>
    </row>
    <row r="952">
      <c r="G952" s="168"/>
      <c r="L952" s="168"/>
      <c r="N952" s="169"/>
    </row>
    <row r="953">
      <c r="G953" s="168"/>
      <c r="L953" s="168"/>
      <c r="N953" s="169"/>
    </row>
    <row r="954">
      <c r="G954" s="168"/>
      <c r="L954" s="168"/>
      <c r="N954" s="169"/>
    </row>
    <row r="955">
      <c r="G955" s="168"/>
      <c r="L955" s="168"/>
      <c r="N955" s="169"/>
    </row>
    <row r="956">
      <c r="G956" s="168"/>
      <c r="L956" s="168"/>
      <c r="N956" s="169"/>
    </row>
    <row r="957">
      <c r="G957" s="168"/>
      <c r="L957" s="168"/>
      <c r="N957" s="169"/>
    </row>
    <row r="958">
      <c r="G958" s="168"/>
      <c r="L958" s="168"/>
      <c r="N958" s="169"/>
    </row>
    <row r="959">
      <c r="G959" s="168"/>
      <c r="L959" s="168"/>
      <c r="N959" s="169"/>
    </row>
    <row r="960">
      <c r="G960" s="168"/>
      <c r="L960" s="168"/>
      <c r="N960" s="169"/>
    </row>
    <row r="961">
      <c r="G961" s="168"/>
      <c r="L961" s="168"/>
      <c r="N961" s="169"/>
    </row>
    <row r="962">
      <c r="G962" s="168"/>
      <c r="L962" s="168"/>
      <c r="N962" s="169"/>
    </row>
    <row r="963">
      <c r="G963" s="168"/>
      <c r="L963" s="168"/>
      <c r="N963" s="169"/>
    </row>
    <row r="964">
      <c r="G964" s="168"/>
      <c r="L964" s="168"/>
      <c r="N964" s="169"/>
    </row>
    <row r="965">
      <c r="G965" s="168"/>
      <c r="L965" s="168"/>
      <c r="N965" s="169"/>
    </row>
    <row r="966">
      <c r="G966" s="168"/>
      <c r="L966" s="168"/>
      <c r="N966" s="169"/>
    </row>
    <row r="967">
      <c r="G967" s="168"/>
      <c r="L967" s="168"/>
      <c r="N967" s="169"/>
    </row>
    <row r="968">
      <c r="G968" s="168"/>
      <c r="L968" s="168"/>
      <c r="N968" s="169"/>
    </row>
    <row r="969">
      <c r="G969" s="168"/>
      <c r="L969" s="168"/>
      <c r="N969" s="169"/>
    </row>
    <row r="970">
      <c r="G970" s="168"/>
      <c r="L970" s="168"/>
      <c r="N970" s="169"/>
    </row>
    <row r="971">
      <c r="G971" s="168"/>
      <c r="L971" s="168"/>
      <c r="N971" s="169"/>
    </row>
    <row r="972">
      <c r="G972" s="168"/>
      <c r="L972" s="168"/>
      <c r="N972" s="169"/>
    </row>
    <row r="973">
      <c r="G973" s="168"/>
      <c r="L973" s="168"/>
      <c r="N973" s="169"/>
    </row>
    <row r="974">
      <c r="G974" s="168"/>
      <c r="L974" s="168"/>
      <c r="N974" s="169"/>
    </row>
    <row r="975">
      <c r="G975" s="168"/>
      <c r="L975" s="168"/>
      <c r="N975" s="169"/>
    </row>
    <row r="976">
      <c r="G976" s="168"/>
      <c r="L976" s="168"/>
      <c r="N976" s="169"/>
    </row>
    <row r="977">
      <c r="G977" s="168"/>
      <c r="L977" s="168"/>
      <c r="N977" s="169"/>
    </row>
    <row r="978">
      <c r="G978" s="168"/>
      <c r="L978" s="168"/>
      <c r="N978" s="169"/>
    </row>
    <row r="979">
      <c r="G979" s="168"/>
      <c r="L979" s="168"/>
      <c r="N979" s="169"/>
    </row>
    <row r="980">
      <c r="G980" s="168"/>
      <c r="L980" s="168"/>
      <c r="N980" s="169"/>
    </row>
    <row r="981">
      <c r="G981" s="168"/>
      <c r="L981" s="168"/>
      <c r="N981" s="169"/>
    </row>
    <row r="982">
      <c r="G982" s="168"/>
      <c r="L982" s="168"/>
      <c r="N982" s="169"/>
    </row>
    <row r="983">
      <c r="G983" s="168"/>
      <c r="L983" s="168"/>
      <c r="N983" s="169"/>
    </row>
    <row r="984">
      <c r="G984" s="168"/>
      <c r="L984" s="168"/>
      <c r="N984" s="169"/>
    </row>
    <row r="985">
      <c r="G985" s="168"/>
      <c r="L985" s="168"/>
      <c r="N985" s="169"/>
    </row>
    <row r="986">
      <c r="G986" s="168"/>
      <c r="L986" s="168"/>
      <c r="N986" s="169"/>
    </row>
    <row r="987">
      <c r="G987" s="168"/>
      <c r="L987" s="168"/>
      <c r="N987" s="169"/>
    </row>
    <row r="988">
      <c r="G988" s="168"/>
      <c r="L988" s="168"/>
      <c r="N988" s="169"/>
    </row>
    <row r="989">
      <c r="G989" s="168"/>
      <c r="L989" s="168"/>
      <c r="N989" s="169"/>
    </row>
    <row r="990">
      <c r="G990" s="168"/>
      <c r="L990" s="168"/>
      <c r="N990" s="169"/>
    </row>
    <row r="991">
      <c r="G991" s="168"/>
      <c r="L991" s="168"/>
      <c r="N991" s="169"/>
    </row>
    <row r="992">
      <c r="G992" s="168"/>
      <c r="L992" s="168"/>
      <c r="N992" s="169"/>
    </row>
    <row r="993">
      <c r="G993" s="168"/>
      <c r="L993" s="168"/>
      <c r="N993" s="169"/>
    </row>
    <row r="994">
      <c r="G994" s="168"/>
      <c r="L994" s="168"/>
      <c r="N994" s="169"/>
    </row>
    <row r="995">
      <c r="G995" s="168"/>
      <c r="L995" s="168"/>
      <c r="N995" s="169"/>
    </row>
    <row r="996">
      <c r="G996" s="168"/>
      <c r="L996" s="168"/>
      <c r="N996" s="169"/>
    </row>
    <row r="997">
      <c r="G997" s="168"/>
      <c r="L997" s="168"/>
      <c r="N997" s="169"/>
    </row>
    <row r="998">
      <c r="G998" s="168"/>
      <c r="L998" s="168"/>
      <c r="N998" s="169"/>
    </row>
    <row r="999">
      <c r="G999" s="168"/>
      <c r="L999" s="168"/>
      <c r="N999" s="169"/>
    </row>
    <row r="1000">
      <c r="G1000" s="168"/>
      <c r="L1000" s="168"/>
      <c r="N1000" s="169"/>
    </row>
    <row r="1001">
      <c r="G1001" s="168"/>
      <c r="L1001" s="168"/>
      <c r="N1001" s="169"/>
    </row>
    <row r="1002">
      <c r="G1002" s="168"/>
      <c r="L1002" s="168"/>
      <c r="N1002" s="169"/>
    </row>
    <row r="1003">
      <c r="G1003" s="168"/>
      <c r="L1003" s="168"/>
      <c r="N1003" s="169"/>
    </row>
    <row r="1004">
      <c r="G1004" s="168"/>
      <c r="L1004" s="168"/>
      <c r="N1004" s="169"/>
    </row>
    <row r="1005">
      <c r="G1005" s="168"/>
      <c r="L1005" s="168"/>
      <c r="N1005" s="169"/>
    </row>
    <row r="1006">
      <c r="G1006" s="168"/>
      <c r="L1006" s="168"/>
      <c r="N1006" s="169"/>
    </row>
    <row r="1007">
      <c r="G1007" s="168"/>
      <c r="L1007" s="168"/>
      <c r="N1007" s="169"/>
    </row>
    <row r="1008">
      <c r="G1008" s="168"/>
      <c r="L1008" s="168"/>
      <c r="N1008" s="169"/>
    </row>
    <row r="1009">
      <c r="G1009" s="168"/>
      <c r="L1009" s="168"/>
      <c r="N1009" s="169"/>
    </row>
    <row r="1010">
      <c r="G1010" s="168"/>
      <c r="L1010" s="168"/>
      <c r="N1010" s="169"/>
    </row>
    <row r="1011">
      <c r="G1011" s="168"/>
      <c r="L1011" s="168"/>
      <c r="N1011" s="169"/>
    </row>
    <row r="1012">
      <c r="G1012" s="168"/>
      <c r="L1012" s="168"/>
      <c r="N1012" s="169"/>
    </row>
    <row r="1013">
      <c r="G1013" s="168"/>
      <c r="L1013" s="168"/>
      <c r="N1013" s="169"/>
    </row>
    <row r="1014">
      <c r="G1014" s="168"/>
      <c r="L1014" s="168"/>
      <c r="N1014" s="169"/>
    </row>
    <row r="1015">
      <c r="G1015" s="168"/>
      <c r="L1015" s="168"/>
      <c r="N1015" s="169"/>
    </row>
    <row r="1016">
      <c r="G1016" s="168"/>
      <c r="L1016" s="168"/>
      <c r="N1016" s="169"/>
    </row>
    <row r="1017">
      <c r="G1017" s="168"/>
      <c r="L1017" s="168"/>
      <c r="N1017" s="169"/>
    </row>
    <row r="1018">
      <c r="G1018" s="168"/>
      <c r="L1018" s="168"/>
      <c r="N1018" s="169"/>
    </row>
    <row r="1019">
      <c r="G1019" s="168"/>
      <c r="L1019" s="168"/>
      <c r="N1019" s="169"/>
    </row>
    <row r="1020">
      <c r="G1020" s="168"/>
      <c r="L1020" s="168"/>
      <c r="N1020" s="169"/>
    </row>
    <row r="1021">
      <c r="G1021" s="168"/>
      <c r="L1021" s="168"/>
      <c r="N1021" s="169"/>
    </row>
    <row r="1022">
      <c r="G1022" s="168"/>
      <c r="L1022" s="168"/>
      <c r="N1022" s="169"/>
    </row>
    <row r="1023">
      <c r="G1023" s="168"/>
      <c r="L1023" s="168"/>
      <c r="N1023" s="169"/>
    </row>
    <row r="1024">
      <c r="G1024" s="168"/>
      <c r="L1024" s="168"/>
      <c r="N1024" s="169"/>
    </row>
    <row r="1025">
      <c r="G1025" s="168"/>
      <c r="L1025" s="168"/>
      <c r="N1025" s="169"/>
    </row>
    <row r="1026">
      <c r="G1026" s="168"/>
      <c r="L1026" s="168"/>
      <c r="N1026" s="169"/>
    </row>
    <row r="1027">
      <c r="G1027" s="168"/>
      <c r="L1027" s="168"/>
      <c r="N1027" s="169"/>
    </row>
    <row r="1028">
      <c r="G1028" s="168"/>
      <c r="L1028" s="168"/>
      <c r="N1028" s="169"/>
    </row>
    <row r="1029">
      <c r="G1029" s="168"/>
      <c r="L1029" s="168"/>
      <c r="N1029" s="169"/>
    </row>
    <row r="1030">
      <c r="G1030" s="168"/>
      <c r="L1030" s="168"/>
      <c r="N1030" s="169"/>
    </row>
    <row r="1031">
      <c r="G1031" s="168"/>
      <c r="L1031" s="168"/>
      <c r="N1031" s="169"/>
    </row>
    <row r="1032">
      <c r="G1032" s="168"/>
      <c r="L1032" s="168"/>
      <c r="N1032" s="169"/>
    </row>
    <row r="1033">
      <c r="G1033" s="168"/>
      <c r="L1033" s="168"/>
      <c r="N1033" s="169"/>
    </row>
    <row r="1034">
      <c r="G1034" s="168"/>
      <c r="L1034" s="168"/>
      <c r="N1034" s="169"/>
    </row>
    <row r="1035">
      <c r="G1035" s="168"/>
      <c r="L1035" s="168"/>
      <c r="N1035" s="169"/>
    </row>
    <row r="1036">
      <c r="G1036" s="168"/>
      <c r="L1036" s="168"/>
      <c r="N1036" s="169"/>
    </row>
    <row r="1037">
      <c r="G1037" s="168"/>
      <c r="L1037" s="168"/>
      <c r="N1037" s="169"/>
    </row>
    <row r="1038">
      <c r="G1038" s="168"/>
      <c r="L1038" s="168"/>
      <c r="N1038" s="169"/>
    </row>
    <row r="1039">
      <c r="G1039" s="168"/>
      <c r="L1039" s="168"/>
      <c r="N1039" s="169"/>
    </row>
    <row r="1040">
      <c r="G1040" s="168"/>
      <c r="L1040" s="168"/>
      <c r="N1040" s="169"/>
    </row>
    <row r="1041">
      <c r="G1041" s="168"/>
      <c r="L1041" s="168"/>
      <c r="N1041" s="169"/>
    </row>
    <row r="1042">
      <c r="G1042" s="168"/>
      <c r="L1042" s="168"/>
      <c r="N1042" s="169"/>
    </row>
    <row r="1043">
      <c r="G1043" s="168"/>
      <c r="L1043" s="168"/>
      <c r="N1043" s="169"/>
    </row>
    <row r="1044">
      <c r="G1044" s="168"/>
      <c r="L1044" s="168"/>
      <c r="N1044" s="169"/>
    </row>
    <row r="1045">
      <c r="G1045" s="168"/>
      <c r="L1045" s="168"/>
      <c r="N1045" s="169"/>
    </row>
    <row r="1046">
      <c r="G1046" s="168"/>
      <c r="L1046" s="168"/>
      <c r="N1046" s="169"/>
    </row>
    <row r="1047">
      <c r="G1047" s="168"/>
      <c r="L1047" s="168"/>
      <c r="N1047" s="169"/>
    </row>
    <row r="1048">
      <c r="G1048" s="168"/>
      <c r="L1048" s="168"/>
      <c r="N1048" s="169"/>
    </row>
    <row r="1049">
      <c r="G1049" s="168"/>
      <c r="L1049" s="168"/>
      <c r="N1049" s="169"/>
    </row>
    <row r="1050">
      <c r="G1050" s="168"/>
      <c r="L1050" s="168"/>
      <c r="N1050" s="169"/>
    </row>
    <row r="1051">
      <c r="G1051" s="168"/>
      <c r="L1051" s="168"/>
      <c r="N1051" s="169"/>
    </row>
    <row r="1052">
      <c r="G1052" s="168"/>
      <c r="L1052" s="168"/>
      <c r="N1052" s="169"/>
    </row>
    <row r="1053">
      <c r="G1053" s="168"/>
      <c r="L1053" s="168"/>
      <c r="N1053" s="169"/>
    </row>
    <row r="1054">
      <c r="G1054" s="168"/>
      <c r="L1054" s="168"/>
      <c r="N1054" s="169"/>
    </row>
    <row r="1055">
      <c r="G1055" s="168"/>
      <c r="L1055" s="168"/>
      <c r="N1055" s="169"/>
    </row>
    <row r="1056">
      <c r="G1056" s="168"/>
      <c r="L1056" s="168"/>
      <c r="N1056" s="169"/>
    </row>
    <row r="1057">
      <c r="G1057" s="168"/>
      <c r="L1057" s="168"/>
      <c r="N1057" s="169"/>
    </row>
    <row r="1058">
      <c r="G1058" s="168"/>
      <c r="L1058" s="168"/>
      <c r="N1058" s="169"/>
    </row>
    <row r="1059">
      <c r="G1059" s="168"/>
      <c r="L1059" s="168"/>
      <c r="N1059" s="169"/>
    </row>
    <row r="1060">
      <c r="G1060" s="168"/>
      <c r="L1060" s="168"/>
      <c r="N1060" s="169"/>
    </row>
    <row r="1061">
      <c r="G1061" s="168"/>
      <c r="L1061" s="168"/>
      <c r="N1061" s="169"/>
    </row>
    <row r="1062">
      <c r="G1062" s="168"/>
      <c r="L1062" s="168"/>
      <c r="N1062" s="169"/>
    </row>
    <row r="1063">
      <c r="G1063" s="168"/>
      <c r="L1063" s="168"/>
      <c r="N1063" s="169"/>
    </row>
    <row r="1064">
      <c r="G1064" s="168"/>
      <c r="L1064" s="168"/>
      <c r="N1064" s="169"/>
    </row>
    <row r="1065">
      <c r="G1065" s="168"/>
      <c r="L1065" s="168"/>
      <c r="N1065" s="169"/>
    </row>
    <row r="1066">
      <c r="G1066" s="168"/>
      <c r="L1066" s="168"/>
      <c r="N1066" s="169"/>
    </row>
    <row r="1067">
      <c r="G1067" s="168"/>
      <c r="L1067" s="168"/>
      <c r="N1067" s="169"/>
    </row>
    <row r="1068">
      <c r="G1068" s="168"/>
      <c r="L1068" s="168"/>
      <c r="N1068" s="169"/>
    </row>
    <row r="1069">
      <c r="G1069" s="168"/>
      <c r="L1069" s="168"/>
      <c r="N1069" s="169"/>
    </row>
    <row r="1070">
      <c r="G1070" s="168"/>
      <c r="L1070" s="168"/>
      <c r="N1070" s="169"/>
    </row>
    <row r="1071">
      <c r="G1071" s="168"/>
      <c r="L1071" s="168"/>
      <c r="N1071" s="169"/>
    </row>
    <row r="1072">
      <c r="G1072" s="168"/>
      <c r="L1072" s="168"/>
      <c r="N1072" s="169"/>
    </row>
    <row r="1073">
      <c r="G1073" s="168"/>
      <c r="L1073" s="168"/>
      <c r="N1073" s="169"/>
    </row>
    <row r="1074">
      <c r="G1074" s="168"/>
      <c r="L1074" s="168"/>
      <c r="N1074" s="169"/>
    </row>
    <row r="1075">
      <c r="G1075" s="168"/>
      <c r="L1075" s="168"/>
      <c r="N1075" s="169"/>
    </row>
    <row r="1076">
      <c r="G1076" s="168"/>
      <c r="L1076" s="168"/>
      <c r="N1076" s="169"/>
    </row>
    <row r="1077">
      <c r="G1077" s="168"/>
      <c r="L1077" s="168"/>
      <c r="N1077" s="169"/>
    </row>
    <row r="1078">
      <c r="G1078" s="168"/>
      <c r="L1078" s="168"/>
      <c r="N1078" s="169"/>
    </row>
    <row r="1079">
      <c r="G1079" s="168"/>
      <c r="L1079" s="168"/>
      <c r="N1079" s="169"/>
    </row>
    <row r="1080">
      <c r="G1080" s="168"/>
      <c r="L1080" s="168"/>
      <c r="N1080" s="169"/>
    </row>
    <row r="1081">
      <c r="G1081" s="168"/>
      <c r="L1081" s="168"/>
      <c r="N1081" s="169"/>
    </row>
    <row r="1082">
      <c r="G1082" s="168"/>
      <c r="L1082" s="168"/>
      <c r="N1082" s="169"/>
    </row>
    <row r="1083">
      <c r="G1083" s="168"/>
      <c r="L1083" s="168"/>
      <c r="N1083" s="169"/>
    </row>
    <row r="1084">
      <c r="G1084" s="168"/>
      <c r="L1084" s="168"/>
      <c r="N1084" s="169"/>
    </row>
    <row r="1085">
      <c r="G1085" s="168"/>
      <c r="L1085" s="168"/>
      <c r="N1085" s="169"/>
    </row>
    <row r="1086">
      <c r="G1086" s="168"/>
      <c r="L1086" s="168"/>
      <c r="N1086" s="169"/>
    </row>
    <row r="1087">
      <c r="G1087" s="168"/>
      <c r="L1087" s="168"/>
      <c r="N1087" s="169"/>
    </row>
    <row r="1088">
      <c r="G1088" s="168"/>
      <c r="L1088" s="168"/>
      <c r="N1088" s="169"/>
    </row>
    <row r="1089">
      <c r="G1089" s="168"/>
      <c r="L1089" s="168"/>
      <c r="N1089" s="169"/>
    </row>
    <row r="1090">
      <c r="G1090" s="168"/>
      <c r="L1090" s="168"/>
      <c r="N1090" s="169"/>
    </row>
    <row r="1091">
      <c r="G1091" s="168"/>
      <c r="L1091" s="168"/>
      <c r="N1091" s="169"/>
    </row>
    <row r="1092">
      <c r="G1092" s="168"/>
      <c r="L1092" s="168"/>
      <c r="N1092" s="169"/>
    </row>
    <row r="1093">
      <c r="G1093" s="168"/>
      <c r="L1093" s="168"/>
      <c r="N1093" s="169"/>
    </row>
    <row r="1094">
      <c r="G1094" s="168"/>
      <c r="L1094" s="168"/>
      <c r="N1094" s="169"/>
    </row>
    <row r="1095">
      <c r="G1095" s="168"/>
      <c r="L1095" s="168"/>
      <c r="N1095" s="169"/>
    </row>
    <row r="1096">
      <c r="G1096" s="168"/>
      <c r="L1096" s="168"/>
      <c r="N1096" s="169"/>
    </row>
    <row r="1097">
      <c r="G1097" s="168"/>
      <c r="L1097" s="168"/>
      <c r="N1097" s="169"/>
    </row>
    <row r="1098">
      <c r="G1098" s="168"/>
      <c r="L1098" s="168"/>
      <c r="N1098" s="169"/>
    </row>
  </sheetData>
  <mergeCells count="2">
    <mergeCell ref="A1:N1"/>
    <mergeCell ref="A245:L24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86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  <c r="P2" s="80">
        <f>185231+340</f>
        <v>185571</v>
      </c>
    </row>
    <row r="3">
      <c r="A3" s="70">
        <v>45904.0</v>
      </c>
      <c r="B3" s="36" t="s">
        <v>11</v>
      </c>
      <c r="C3" s="268">
        <v>189378.0</v>
      </c>
      <c r="D3" s="268">
        <v>189673.0</v>
      </c>
      <c r="E3" s="12">
        <f t="shared" ref="E3:E9" si="1">D3-C3</f>
        <v>295</v>
      </c>
      <c r="F3" s="39">
        <v>45.0</v>
      </c>
      <c r="G3" s="14">
        <f t="shared" ref="G3:G9" si="2">(F3/E3)*100</f>
        <v>15.25423729</v>
      </c>
      <c r="H3" s="275"/>
      <c r="I3" s="138">
        <v>23443.0</v>
      </c>
      <c r="J3" s="41">
        <f t="shared" ref="J3:J9" si="3">I3-H3</f>
        <v>23443</v>
      </c>
      <c r="K3" s="81">
        <f t="shared" ref="K3:K9" si="4">F3</f>
        <v>45</v>
      </c>
      <c r="L3" s="71">
        <f t="shared" ref="L3:L9" si="5">(K3/J3)*100</f>
        <v>0.1919549546</v>
      </c>
      <c r="M3" s="72">
        <v>18350.0</v>
      </c>
      <c r="N3" s="131">
        <f t="shared" ref="N3:N9" si="6">F3*M3</f>
        <v>825750</v>
      </c>
    </row>
    <row r="4">
      <c r="A4" s="35">
        <v>45909.0</v>
      </c>
      <c r="B4" s="46" t="s">
        <v>11</v>
      </c>
      <c r="C4" s="52">
        <v>189673.0</v>
      </c>
      <c r="D4" s="52">
        <v>189990.0</v>
      </c>
      <c r="E4" s="12">
        <f t="shared" si="1"/>
        <v>317</v>
      </c>
      <c r="F4" s="47">
        <v>40.0</v>
      </c>
      <c r="G4" s="14">
        <f t="shared" si="2"/>
        <v>12.61829653</v>
      </c>
      <c r="H4" s="52">
        <v>23443.0</v>
      </c>
      <c r="I4" s="40">
        <v>23780.0</v>
      </c>
      <c r="J4" s="37">
        <f t="shared" si="3"/>
        <v>337</v>
      </c>
      <c r="K4" s="52">
        <f t="shared" si="4"/>
        <v>40</v>
      </c>
      <c r="L4" s="48">
        <f t="shared" si="5"/>
        <v>11.8694362</v>
      </c>
      <c r="M4" s="50">
        <v>18470.0</v>
      </c>
      <c r="N4" s="49">
        <f t="shared" si="6"/>
        <v>738800</v>
      </c>
      <c r="O4" s="80">
        <f t="shared" ref="O4:O26" si="7">O3+1</f>
        <v>1</v>
      </c>
      <c r="P4" s="197" t="s">
        <v>12</v>
      </c>
      <c r="Q4" s="251">
        <f>N18</f>
        <v>4823700</v>
      </c>
      <c r="R4" s="251">
        <f t="shared" ref="R4:R14" si="8">Q4</f>
        <v>4823700</v>
      </c>
    </row>
    <row r="5">
      <c r="A5" s="35">
        <v>45916.0</v>
      </c>
      <c r="B5" s="46" t="s">
        <v>11</v>
      </c>
      <c r="C5" s="52">
        <v>189990.0</v>
      </c>
      <c r="D5" s="52">
        <v>190326.0</v>
      </c>
      <c r="E5" s="12">
        <f t="shared" si="1"/>
        <v>336</v>
      </c>
      <c r="F5" s="54">
        <v>40.0</v>
      </c>
      <c r="G5" s="14">
        <f t="shared" si="2"/>
        <v>11.9047619</v>
      </c>
      <c r="H5" s="40">
        <v>23780.0</v>
      </c>
      <c r="I5" s="40">
        <v>24140.0</v>
      </c>
      <c r="J5" s="37">
        <f t="shared" si="3"/>
        <v>360</v>
      </c>
      <c r="K5" s="52">
        <f t="shared" si="4"/>
        <v>40</v>
      </c>
      <c r="L5" s="48">
        <f t="shared" si="5"/>
        <v>11.11111111</v>
      </c>
      <c r="M5" s="252">
        <v>18640.0</v>
      </c>
      <c r="N5" s="49">
        <f t="shared" si="6"/>
        <v>745600</v>
      </c>
      <c r="O5" s="80">
        <f t="shared" si="7"/>
        <v>2</v>
      </c>
      <c r="P5" s="197" t="s">
        <v>13</v>
      </c>
      <c r="Q5" s="251">
        <f>N27</f>
        <v>2712940</v>
      </c>
      <c r="R5" s="251">
        <f t="shared" si="8"/>
        <v>2712940</v>
      </c>
    </row>
    <row r="6">
      <c r="A6" s="35">
        <v>45919.0</v>
      </c>
      <c r="B6" s="46" t="s">
        <v>11</v>
      </c>
      <c r="C6" s="52">
        <v>190326.0</v>
      </c>
      <c r="D6" s="52">
        <v>190709.0</v>
      </c>
      <c r="E6" s="12">
        <f t="shared" si="1"/>
        <v>383</v>
      </c>
      <c r="F6" s="54">
        <v>50.0</v>
      </c>
      <c r="G6" s="14">
        <f t="shared" si="2"/>
        <v>13.05483029</v>
      </c>
      <c r="H6" s="37"/>
      <c r="I6" s="40"/>
      <c r="J6" s="37">
        <f t="shared" si="3"/>
        <v>0</v>
      </c>
      <c r="K6" s="52">
        <f t="shared" si="4"/>
        <v>50</v>
      </c>
      <c r="L6" s="48" t="str">
        <f t="shared" si="5"/>
        <v>#DIV/0!</v>
      </c>
      <c r="M6" s="252">
        <v>18700.0</v>
      </c>
      <c r="N6" s="49">
        <f t="shared" si="6"/>
        <v>935000</v>
      </c>
      <c r="O6" s="80">
        <f t="shared" si="7"/>
        <v>3</v>
      </c>
      <c r="P6" s="197" t="s">
        <v>14</v>
      </c>
      <c r="Q6" s="251">
        <f>N35</f>
        <v>4097500</v>
      </c>
      <c r="R6" s="251">
        <f t="shared" si="8"/>
        <v>4097500</v>
      </c>
    </row>
    <row r="7">
      <c r="A7" s="35">
        <v>45925.0</v>
      </c>
      <c r="B7" s="46" t="s">
        <v>11</v>
      </c>
      <c r="C7" s="52">
        <v>190709.0</v>
      </c>
      <c r="D7" s="52">
        <v>191091.0</v>
      </c>
      <c r="E7" s="12">
        <f t="shared" si="1"/>
        <v>382</v>
      </c>
      <c r="F7" s="54">
        <v>50.0</v>
      </c>
      <c r="G7" s="14">
        <f t="shared" si="2"/>
        <v>13.08900524</v>
      </c>
      <c r="H7" s="37"/>
      <c r="I7" s="40"/>
      <c r="J7" s="37">
        <f t="shared" si="3"/>
        <v>0</v>
      </c>
      <c r="K7" s="52">
        <f t="shared" si="4"/>
        <v>50</v>
      </c>
      <c r="L7" s="48" t="str">
        <f t="shared" si="5"/>
        <v>#DIV/0!</v>
      </c>
      <c r="M7" s="252">
        <v>18700.0</v>
      </c>
      <c r="N7" s="49">
        <f t="shared" si="6"/>
        <v>935000</v>
      </c>
      <c r="O7" s="80">
        <f t="shared" si="7"/>
        <v>4</v>
      </c>
      <c r="P7" s="197" t="s">
        <v>15</v>
      </c>
      <c r="Q7" s="251">
        <f>N44</f>
        <v>4297930</v>
      </c>
      <c r="R7" s="251">
        <f t="shared" si="8"/>
        <v>4297930</v>
      </c>
    </row>
    <row r="8">
      <c r="A8" s="35"/>
      <c r="B8" s="46" t="s">
        <v>11</v>
      </c>
      <c r="C8" s="52"/>
      <c r="D8" s="52"/>
      <c r="E8" s="12">
        <f t="shared" si="1"/>
        <v>0</v>
      </c>
      <c r="F8" s="54"/>
      <c r="G8" s="14" t="str">
        <f t="shared" si="2"/>
        <v>#DIV/0!</v>
      </c>
      <c r="H8" s="37"/>
      <c r="I8" s="40"/>
      <c r="J8" s="37">
        <f t="shared" si="3"/>
        <v>0</v>
      </c>
      <c r="K8" s="52" t="str">
        <f t="shared" si="4"/>
        <v/>
      </c>
      <c r="L8" s="48" t="str">
        <f t="shared" si="5"/>
        <v>#DIV/0!</v>
      </c>
      <c r="M8" s="252"/>
      <c r="N8" s="49">
        <f t="shared" si="6"/>
        <v>0</v>
      </c>
      <c r="O8" s="80">
        <f t="shared" si="7"/>
        <v>5</v>
      </c>
      <c r="P8" s="197" t="s">
        <v>16</v>
      </c>
      <c r="Q8" s="251">
        <f>N55</f>
        <v>4851410</v>
      </c>
      <c r="R8" s="251">
        <f t="shared" si="8"/>
        <v>4851410</v>
      </c>
    </row>
    <row r="9">
      <c r="A9" s="35"/>
      <c r="B9" s="83" t="s">
        <v>11</v>
      </c>
      <c r="C9" s="52"/>
      <c r="D9" s="249"/>
      <c r="E9" s="25">
        <f t="shared" si="1"/>
        <v>0</v>
      </c>
      <c r="F9" s="253"/>
      <c r="G9" s="56" t="str">
        <f t="shared" si="2"/>
        <v>#DIV/0!</v>
      </c>
      <c r="H9" s="55"/>
      <c r="I9" s="85"/>
      <c r="J9" s="37">
        <f t="shared" si="3"/>
        <v>0</v>
      </c>
      <c r="K9" s="52" t="str">
        <f t="shared" si="4"/>
        <v/>
      </c>
      <c r="L9" s="48" t="str">
        <f t="shared" si="5"/>
        <v>#DIV/0!</v>
      </c>
      <c r="M9" s="254"/>
      <c r="N9" s="59">
        <f t="shared" si="6"/>
        <v>0</v>
      </c>
      <c r="O9" s="80">
        <f t="shared" si="7"/>
        <v>6</v>
      </c>
      <c r="P9" s="197" t="s">
        <v>18</v>
      </c>
      <c r="Q9" s="251">
        <f>N64</f>
        <v>5880320</v>
      </c>
      <c r="R9" s="251">
        <f t="shared" si="8"/>
        <v>5880320</v>
      </c>
    </row>
    <row r="10">
      <c r="A10" s="62"/>
      <c r="B10" s="63"/>
      <c r="C10" s="62"/>
      <c r="D10" s="64" t="s">
        <v>19</v>
      </c>
      <c r="E10" s="64">
        <f t="shared" ref="E10:F10" si="9">sum(E3:E9)</f>
        <v>1713</v>
      </c>
      <c r="F10" s="64">
        <f t="shared" si="9"/>
        <v>225</v>
      </c>
      <c r="G10" s="65" t="str">
        <f>average(G3:G9)</f>
        <v>#DIV/0!</v>
      </c>
      <c r="H10" s="62"/>
      <c r="I10" s="66"/>
      <c r="J10" s="64">
        <f t="shared" ref="J10:K10" si="10">sum(J3:J9)</f>
        <v>24140</v>
      </c>
      <c r="K10" s="64">
        <f t="shared" si="10"/>
        <v>225</v>
      </c>
      <c r="L10" s="65" t="str">
        <f>average(L3:L9)</f>
        <v>#DIV/0!</v>
      </c>
      <c r="M10" s="68"/>
      <c r="N10" s="69">
        <f>sum(N3:N9)</f>
        <v>4180150</v>
      </c>
      <c r="O10" s="80">
        <f t="shared" si="7"/>
        <v>7</v>
      </c>
      <c r="P10" s="197" t="s">
        <v>20</v>
      </c>
      <c r="Q10" s="251">
        <f>N72</f>
        <v>5876730</v>
      </c>
      <c r="R10" s="251">
        <f t="shared" si="8"/>
        <v>5876730</v>
      </c>
    </row>
    <row r="11">
      <c r="A11" s="264">
        <v>45903.0</v>
      </c>
      <c r="B11" s="36" t="s">
        <v>12</v>
      </c>
      <c r="C11" s="89">
        <v>152380.0</v>
      </c>
      <c r="D11" s="89">
        <v>152735.0</v>
      </c>
      <c r="E11" s="38">
        <f t="shared" ref="E11:E17" si="11">D11-C11</f>
        <v>355</v>
      </c>
      <c r="F11" s="39">
        <v>48.0</v>
      </c>
      <c r="G11" s="14">
        <f t="shared" ref="G11:G17" si="12">(F11/E11)*100</f>
        <v>13.52112676</v>
      </c>
      <c r="H11" s="137"/>
      <c r="I11" s="137">
        <v>23148.0</v>
      </c>
      <c r="J11" s="41">
        <f t="shared" ref="J11:J17" si="13">I11-H11</f>
        <v>23148</v>
      </c>
      <c r="K11" s="81">
        <f t="shared" ref="K11:K17" si="14">F11</f>
        <v>48</v>
      </c>
      <c r="L11" s="42">
        <f t="shared" ref="L11:L17" si="15">(K11/J11)*100</f>
        <v>0.2073613271</v>
      </c>
      <c r="M11" s="43">
        <v>18350.0</v>
      </c>
      <c r="N11" s="44">
        <f t="shared" ref="N11:N17" si="16">F11*M11</f>
        <v>880800</v>
      </c>
      <c r="O11" s="80">
        <f t="shared" si="7"/>
        <v>8</v>
      </c>
      <c r="P11" s="197" t="s">
        <v>21</v>
      </c>
      <c r="Q11" s="251">
        <f>N80</f>
        <v>5240500</v>
      </c>
      <c r="R11" s="251">
        <f t="shared" si="8"/>
        <v>5240500</v>
      </c>
    </row>
    <row r="12">
      <c r="A12" s="45">
        <v>45908.0</v>
      </c>
      <c r="B12" s="46" t="s">
        <v>12</v>
      </c>
      <c r="C12" s="37">
        <v>152735.0</v>
      </c>
      <c r="D12" s="37">
        <v>153160.0</v>
      </c>
      <c r="E12" s="12">
        <f t="shared" si="11"/>
        <v>425</v>
      </c>
      <c r="F12" s="47">
        <v>55.0</v>
      </c>
      <c r="G12" s="14">
        <f t="shared" si="12"/>
        <v>12.94117647</v>
      </c>
      <c r="H12" s="37">
        <v>23147.0</v>
      </c>
      <c r="I12" s="40">
        <v>23600.0</v>
      </c>
      <c r="J12" s="37">
        <f t="shared" si="13"/>
        <v>453</v>
      </c>
      <c r="K12" s="52">
        <f t="shared" si="14"/>
        <v>55</v>
      </c>
      <c r="L12" s="48">
        <f t="shared" si="15"/>
        <v>12.14128035</v>
      </c>
      <c r="M12" s="50">
        <v>18470.0</v>
      </c>
      <c r="N12" s="49">
        <f t="shared" si="16"/>
        <v>1015850</v>
      </c>
      <c r="O12" s="80">
        <f t="shared" si="7"/>
        <v>9</v>
      </c>
      <c r="P12" s="276" t="s">
        <v>22</v>
      </c>
      <c r="Q12" s="251">
        <f>N88</f>
        <v>2763700</v>
      </c>
      <c r="R12" s="251">
        <f t="shared" si="8"/>
        <v>2763700</v>
      </c>
    </row>
    <row r="13">
      <c r="A13" s="45">
        <v>45912.0</v>
      </c>
      <c r="B13" s="46" t="s">
        <v>12</v>
      </c>
      <c r="C13" s="37">
        <v>153160.0</v>
      </c>
      <c r="D13" s="37">
        <v>153560.0</v>
      </c>
      <c r="E13" s="12">
        <f t="shared" si="11"/>
        <v>400</v>
      </c>
      <c r="F13" s="47">
        <v>50.0</v>
      </c>
      <c r="G13" s="14">
        <f t="shared" si="12"/>
        <v>12.5</v>
      </c>
      <c r="H13" s="37">
        <v>23600.0</v>
      </c>
      <c r="I13" s="40">
        <v>24060.0</v>
      </c>
      <c r="J13" s="37">
        <f t="shared" si="13"/>
        <v>460</v>
      </c>
      <c r="K13" s="52">
        <f t="shared" si="14"/>
        <v>50</v>
      </c>
      <c r="L13" s="48">
        <f t="shared" si="15"/>
        <v>10.86956522</v>
      </c>
      <c r="M13" s="50">
        <v>18640.0</v>
      </c>
      <c r="N13" s="49">
        <f t="shared" si="16"/>
        <v>932000</v>
      </c>
      <c r="O13" s="80">
        <f t="shared" si="7"/>
        <v>10</v>
      </c>
      <c r="P13" s="197" t="s">
        <v>23</v>
      </c>
      <c r="Q13" s="251">
        <f>N95</f>
        <v>4050880</v>
      </c>
      <c r="R13" s="251">
        <f t="shared" si="8"/>
        <v>4050880</v>
      </c>
    </row>
    <row r="14">
      <c r="A14" s="45">
        <v>45918.0</v>
      </c>
      <c r="B14" s="51" t="s">
        <v>12</v>
      </c>
      <c r="C14" s="52">
        <v>153560.0</v>
      </c>
      <c r="D14" s="52">
        <v>153954.0</v>
      </c>
      <c r="E14" s="53">
        <f t="shared" si="11"/>
        <v>394</v>
      </c>
      <c r="F14" s="54">
        <v>50.0</v>
      </c>
      <c r="G14" s="14">
        <f t="shared" si="12"/>
        <v>12.69035533</v>
      </c>
      <c r="H14" s="37"/>
      <c r="I14" s="40"/>
      <c r="J14" s="37">
        <f t="shared" si="13"/>
        <v>0</v>
      </c>
      <c r="K14" s="52">
        <f t="shared" si="14"/>
        <v>50</v>
      </c>
      <c r="L14" s="48" t="str">
        <f t="shared" si="15"/>
        <v>#DIV/0!</v>
      </c>
      <c r="M14" s="50">
        <v>18640.0</v>
      </c>
      <c r="N14" s="49">
        <f t="shared" si="16"/>
        <v>932000</v>
      </c>
      <c r="O14" s="80">
        <f t="shared" si="7"/>
        <v>11</v>
      </c>
      <c r="P14" s="276" t="s">
        <v>24</v>
      </c>
      <c r="Q14" s="251">
        <f>N103</f>
        <v>5807850</v>
      </c>
      <c r="R14" s="251">
        <f t="shared" si="8"/>
        <v>5807850</v>
      </c>
    </row>
    <row r="15">
      <c r="A15" s="45">
        <v>45929.0</v>
      </c>
      <c r="B15" s="46" t="s">
        <v>12</v>
      </c>
      <c r="C15" s="52">
        <v>153954.0</v>
      </c>
      <c r="D15" s="37">
        <v>154351.0</v>
      </c>
      <c r="E15" s="12">
        <f t="shared" si="11"/>
        <v>397</v>
      </c>
      <c r="F15" s="47">
        <v>57.0</v>
      </c>
      <c r="G15" s="14">
        <f t="shared" si="12"/>
        <v>14.35768262</v>
      </c>
      <c r="H15" s="40"/>
      <c r="I15" s="40"/>
      <c r="J15" s="37">
        <f t="shared" si="13"/>
        <v>0</v>
      </c>
      <c r="K15" s="52">
        <f t="shared" si="14"/>
        <v>57</v>
      </c>
      <c r="L15" s="48" t="str">
        <f t="shared" si="15"/>
        <v>#DIV/0!</v>
      </c>
      <c r="M15" s="50">
        <v>18650.0</v>
      </c>
      <c r="N15" s="49">
        <f t="shared" si="16"/>
        <v>1063050</v>
      </c>
      <c r="O15" s="80">
        <f t="shared" si="7"/>
        <v>12</v>
      </c>
      <c r="P15" s="197" t="s">
        <v>25</v>
      </c>
      <c r="Q15" s="251">
        <f>N103</f>
        <v>5807850</v>
      </c>
      <c r="R15" s="251">
        <f>N111</f>
        <v>5489990</v>
      </c>
    </row>
    <row r="16">
      <c r="A16" s="45"/>
      <c r="B16" s="46" t="s">
        <v>12</v>
      </c>
      <c r="C16" s="37"/>
      <c r="D16" s="37"/>
      <c r="E16" s="12">
        <f t="shared" si="11"/>
        <v>0</v>
      </c>
      <c r="F16" s="47"/>
      <c r="G16" s="14" t="str">
        <f t="shared" si="12"/>
        <v>#DIV/0!</v>
      </c>
      <c r="H16" s="37"/>
      <c r="I16" s="93"/>
      <c r="J16" s="37">
        <f t="shared" si="13"/>
        <v>0</v>
      </c>
      <c r="K16" s="52" t="str">
        <f t="shared" si="14"/>
        <v/>
      </c>
      <c r="L16" s="48" t="str">
        <f t="shared" si="15"/>
        <v>#DIV/0!</v>
      </c>
      <c r="M16" s="50"/>
      <c r="N16" s="49">
        <f t="shared" si="16"/>
        <v>0</v>
      </c>
      <c r="O16" s="80">
        <f t="shared" si="7"/>
        <v>13</v>
      </c>
      <c r="P16" s="276" t="s">
        <v>26</v>
      </c>
      <c r="Q16" s="251">
        <f>N117</f>
        <v>6701120</v>
      </c>
      <c r="R16" s="251">
        <f t="shared" ref="R16:R26" si="17">Q16</f>
        <v>6701120</v>
      </c>
    </row>
    <row r="17">
      <c r="A17" s="94"/>
      <c r="B17" s="267"/>
      <c r="C17" s="55"/>
      <c r="D17" s="95"/>
      <c r="E17" s="25">
        <f t="shared" si="11"/>
        <v>0</v>
      </c>
      <c r="F17" s="47"/>
      <c r="G17" s="56" t="str">
        <f t="shared" si="12"/>
        <v>#DIV/0!</v>
      </c>
      <c r="H17" s="55"/>
      <c r="I17" s="85"/>
      <c r="J17" s="55">
        <f t="shared" si="13"/>
        <v>0</v>
      </c>
      <c r="K17" s="52" t="str">
        <f t="shared" si="14"/>
        <v/>
      </c>
      <c r="L17" s="48" t="str">
        <f t="shared" si="15"/>
        <v>#DIV/0!</v>
      </c>
      <c r="M17" s="96"/>
      <c r="N17" s="59">
        <f t="shared" si="16"/>
        <v>0</v>
      </c>
      <c r="O17" s="80">
        <f t="shared" si="7"/>
        <v>14</v>
      </c>
      <c r="P17" s="197" t="s">
        <v>27</v>
      </c>
      <c r="Q17" s="251">
        <f>N126</f>
        <v>8486870</v>
      </c>
      <c r="R17" s="251">
        <f t="shared" si="17"/>
        <v>8486870</v>
      </c>
    </row>
    <row r="18">
      <c r="A18" s="62"/>
      <c r="B18" s="63"/>
      <c r="C18" s="62"/>
      <c r="D18" s="64" t="s">
        <v>19</v>
      </c>
      <c r="E18" s="64">
        <f>sum(E11:E17)</f>
        <v>1971</v>
      </c>
      <c r="F18" s="64">
        <f>sum(F10:F17)</f>
        <v>485</v>
      </c>
      <c r="G18" s="65" t="str">
        <f>average(G11:G17)</f>
        <v>#DIV/0!</v>
      </c>
      <c r="H18" s="62"/>
      <c r="I18" s="66"/>
      <c r="J18" s="64">
        <f t="shared" ref="J18:K18" si="18">sum(J11:J17)</f>
        <v>24061</v>
      </c>
      <c r="K18" s="64">
        <f t="shared" si="18"/>
        <v>260</v>
      </c>
      <c r="L18" s="65" t="str">
        <f>average(L11:L17)</f>
        <v>#DIV/0!</v>
      </c>
      <c r="M18" s="68"/>
      <c r="N18" s="69">
        <f>sum(N11:N17)</f>
        <v>4823700</v>
      </c>
      <c r="O18" s="80">
        <f t="shared" si="7"/>
        <v>15</v>
      </c>
      <c r="P18" s="197" t="s">
        <v>80</v>
      </c>
      <c r="Q18" s="251">
        <f>N135</f>
        <v>6318000</v>
      </c>
      <c r="R18" s="251">
        <f t="shared" si="17"/>
        <v>6318000</v>
      </c>
    </row>
    <row r="19">
      <c r="A19" s="70">
        <v>45908.0</v>
      </c>
      <c r="B19" s="36" t="s">
        <v>13</v>
      </c>
      <c r="C19" s="89">
        <v>171252.0</v>
      </c>
      <c r="D19" s="41"/>
      <c r="E19" s="38">
        <f t="shared" ref="E19:E26" si="19">D19-C19</f>
        <v>-171252</v>
      </c>
      <c r="F19" s="39">
        <v>50.0</v>
      </c>
      <c r="G19" s="14">
        <f t="shared" ref="G19:G26" si="20">(F19/E19)*100</f>
        <v>-0.02919673931</v>
      </c>
      <c r="H19" s="275">
        <v>25050.0</v>
      </c>
      <c r="I19" s="81"/>
      <c r="J19" s="41">
        <f t="shared" ref="J19:J26" si="21">I19-H19</f>
        <v>-25050</v>
      </c>
      <c r="K19" s="81">
        <f t="shared" ref="K19:K26" si="22">F19</f>
        <v>50</v>
      </c>
      <c r="L19" s="71">
        <f t="shared" ref="L19:L26" si="23">(K19/J19)*100</f>
        <v>-0.1996007984</v>
      </c>
      <c r="M19" s="72">
        <v>18470.0</v>
      </c>
      <c r="N19" s="44">
        <f t="shared" ref="N19:N26" si="24">F19*M19</f>
        <v>923500</v>
      </c>
      <c r="O19" s="80">
        <f t="shared" si="7"/>
        <v>16</v>
      </c>
      <c r="P19" s="197" t="s">
        <v>29</v>
      </c>
      <c r="Q19" s="251">
        <f>N144</f>
        <v>6687000</v>
      </c>
      <c r="R19" s="251">
        <f t="shared" si="17"/>
        <v>6687000</v>
      </c>
    </row>
    <row r="20">
      <c r="A20" s="70">
        <v>45912.0</v>
      </c>
      <c r="B20" s="36" t="s">
        <v>13</v>
      </c>
      <c r="C20" s="89">
        <v>171252.0</v>
      </c>
      <c r="D20" s="41">
        <v>172050.0</v>
      </c>
      <c r="E20" s="12">
        <f t="shared" si="19"/>
        <v>798</v>
      </c>
      <c r="F20" s="39">
        <v>54.0</v>
      </c>
      <c r="G20" s="14">
        <f t="shared" si="20"/>
        <v>6.766917293</v>
      </c>
      <c r="H20" s="37"/>
      <c r="I20" s="40"/>
      <c r="J20" s="37">
        <f t="shared" si="21"/>
        <v>0</v>
      </c>
      <c r="K20" s="52">
        <f t="shared" si="22"/>
        <v>54</v>
      </c>
      <c r="L20" s="48" t="str">
        <f t="shared" si="23"/>
        <v>#DIV/0!</v>
      </c>
      <c r="M20" s="72">
        <v>18640.0</v>
      </c>
      <c r="N20" s="49">
        <f t="shared" si="24"/>
        <v>1006560</v>
      </c>
      <c r="O20" s="80">
        <f t="shared" si="7"/>
        <v>17</v>
      </c>
      <c r="P20" s="197" t="s">
        <v>30</v>
      </c>
      <c r="Q20" s="251">
        <f>N153</f>
        <v>8440330</v>
      </c>
      <c r="R20" s="251">
        <f t="shared" si="17"/>
        <v>8440330</v>
      </c>
    </row>
    <row r="21">
      <c r="A21" s="35">
        <v>45917.0</v>
      </c>
      <c r="B21" s="46" t="s">
        <v>13</v>
      </c>
      <c r="C21" s="41">
        <v>172050.0</v>
      </c>
      <c r="D21" s="37">
        <v>172413.0</v>
      </c>
      <c r="E21" s="12">
        <f t="shared" si="19"/>
        <v>363</v>
      </c>
      <c r="F21" s="47">
        <v>42.0</v>
      </c>
      <c r="G21" s="14">
        <f t="shared" si="20"/>
        <v>11.57024793</v>
      </c>
      <c r="H21" s="37"/>
      <c r="I21" s="40"/>
      <c r="J21" s="37">
        <f t="shared" si="21"/>
        <v>0</v>
      </c>
      <c r="K21" s="52">
        <f t="shared" si="22"/>
        <v>42</v>
      </c>
      <c r="L21" s="48" t="str">
        <f t="shared" si="23"/>
        <v>#DIV/0!</v>
      </c>
      <c r="M21" s="50">
        <v>18640.0</v>
      </c>
      <c r="N21" s="49">
        <f t="shared" si="24"/>
        <v>782880</v>
      </c>
      <c r="O21" s="80">
        <f t="shared" si="7"/>
        <v>18</v>
      </c>
      <c r="P21" s="197" t="s">
        <v>83</v>
      </c>
      <c r="Q21" s="251">
        <f>N162</f>
        <v>4834610</v>
      </c>
      <c r="R21" s="251">
        <f t="shared" si="17"/>
        <v>4834610</v>
      </c>
    </row>
    <row r="22">
      <c r="A22" s="35"/>
      <c r="B22" s="46" t="s">
        <v>13</v>
      </c>
      <c r="C22" s="37"/>
      <c r="D22" s="37"/>
      <c r="E22" s="12">
        <f t="shared" si="19"/>
        <v>0</v>
      </c>
      <c r="F22" s="47"/>
      <c r="G22" s="14" t="str">
        <f t="shared" si="20"/>
        <v>#DIV/0!</v>
      </c>
      <c r="H22" s="37"/>
      <c r="I22" s="40"/>
      <c r="J22" s="37">
        <f t="shared" si="21"/>
        <v>0</v>
      </c>
      <c r="K22" s="52" t="str">
        <f t="shared" si="22"/>
        <v/>
      </c>
      <c r="L22" s="48" t="str">
        <f t="shared" si="23"/>
        <v>#DIV/0!</v>
      </c>
      <c r="M22" s="50"/>
      <c r="N22" s="49">
        <f t="shared" si="24"/>
        <v>0</v>
      </c>
      <c r="O22" s="80">
        <f t="shared" si="7"/>
        <v>19</v>
      </c>
      <c r="P22" s="197" t="s">
        <v>32</v>
      </c>
      <c r="Q22" s="251">
        <f>N171</f>
        <v>7578440</v>
      </c>
      <c r="R22" s="251">
        <f t="shared" si="17"/>
        <v>7578440</v>
      </c>
    </row>
    <row r="23">
      <c r="A23" s="35"/>
      <c r="B23" s="46" t="s">
        <v>13</v>
      </c>
      <c r="C23" s="37"/>
      <c r="D23" s="37"/>
      <c r="E23" s="12">
        <f t="shared" si="19"/>
        <v>0</v>
      </c>
      <c r="F23" s="47"/>
      <c r="G23" s="14" t="str">
        <f t="shared" si="20"/>
        <v>#DIV/0!</v>
      </c>
      <c r="H23" s="37"/>
      <c r="I23" s="40"/>
      <c r="J23" s="37">
        <f t="shared" si="21"/>
        <v>0</v>
      </c>
      <c r="K23" s="52" t="str">
        <f t="shared" si="22"/>
        <v/>
      </c>
      <c r="L23" s="48" t="str">
        <f t="shared" si="23"/>
        <v>#DIV/0!</v>
      </c>
      <c r="M23" s="50"/>
      <c r="N23" s="49">
        <f t="shared" si="24"/>
        <v>0</v>
      </c>
      <c r="O23" s="80">
        <f t="shared" si="7"/>
        <v>20</v>
      </c>
      <c r="P23" s="197" t="s">
        <v>11</v>
      </c>
      <c r="Q23" s="251">
        <f>N10</f>
        <v>4180150</v>
      </c>
      <c r="R23" s="251">
        <f t="shared" si="17"/>
        <v>4180150</v>
      </c>
    </row>
    <row r="24">
      <c r="A24" s="35"/>
      <c r="B24" s="46" t="s">
        <v>13</v>
      </c>
      <c r="C24" s="37"/>
      <c r="D24" s="37"/>
      <c r="E24" s="12">
        <f t="shared" si="19"/>
        <v>0</v>
      </c>
      <c r="F24" s="47"/>
      <c r="G24" s="14" t="str">
        <f t="shared" si="20"/>
        <v>#DIV/0!</v>
      </c>
      <c r="H24" s="37"/>
      <c r="I24" s="40"/>
      <c r="J24" s="37">
        <f t="shared" si="21"/>
        <v>0</v>
      </c>
      <c r="K24" s="52" t="str">
        <f t="shared" si="22"/>
        <v/>
      </c>
      <c r="L24" s="48" t="str">
        <f t="shared" si="23"/>
        <v>#DIV/0!</v>
      </c>
      <c r="M24" s="50"/>
      <c r="N24" s="49">
        <f t="shared" si="24"/>
        <v>0</v>
      </c>
      <c r="O24" s="80">
        <f t="shared" si="7"/>
        <v>21</v>
      </c>
      <c r="R24" s="80" t="str">
        <f t="shared" si="17"/>
        <v/>
      </c>
    </row>
    <row r="25">
      <c r="A25" s="35"/>
      <c r="B25" s="46" t="s">
        <v>13</v>
      </c>
      <c r="C25" s="37"/>
      <c r="D25" s="37"/>
      <c r="E25" s="12">
        <f t="shared" si="19"/>
        <v>0</v>
      </c>
      <c r="F25" s="47"/>
      <c r="G25" s="14" t="str">
        <f t="shared" si="20"/>
        <v>#DIV/0!</v>
      </c>
      <c r="H25" s="37"/>
      <c r="I25" s="40"/>
      <c r="J25" s="37">
        <f t="shared" si="21"/>
        <v>0</v>
      </c>
      <c r="K25" s="52" t="str">
        <f t="shared" si="22"/>
        <v/>
      </c>
      <c r="L25" s="48" t="str">
        <f t="shared" si="23"/>
        <v>#DIV/0!</v>
      </c>
      <c r="M25" s="50"/>
      <c r="N25" s="49">
        <f t="shared" si="24"/>
        <v>0</v>
      </c>
      <c r="O25" s="80">
        <f t="shared" si="7"/>
        <v>22</v>
      </c>
      <c r="R25" s="80" t="str">
        <f t="shared" si="17"/>
        <v/>
      </c>
    </row>
    <row r="26">
      <c r="A26" s="74"/>
      <c r="B26" s="46" t="s">
        <v>13</v>
      </c>
      <c r="C26" s="75"/>
      <c r="D26" s="75"/>
      <c r="E26" s="25">
        <f t="shared" si="19"/>
        <v>0</v>
      </c>
      <c r="F26" s="47"/>
      <c r="G26" s="56" t="str">
        <f t="shared" si="20"/>
        <v>#DIV/0!</v>
      </c>
      <c r="H26" s="75"/>
      <c r="I26" s="277"/>
      <c r="J26" s="55">
        <f t="shared" si="21"/>
        <v>0</v>
      </c>
      <c r="K26" s="52" t="str">
        <f t="shared" si="22"/>
        <v/>
      </c>
      <c r="L26" s="77" t="str">
        <f t="shared" si="23"/>
        <v>#DIV/0!</v>
      </c>
      <c r="M26" s="78"/>
      <c r="N26" s="59">
        <f t="shared" si="24"/>
        <v>0</v>
      </c>
      <c r="O26" s="80">
        <f t="shared" si="7"/>
        <v>23</v>
      </c>
      <c r="R26" s="80" t="str">
        <f t="shared" si="17"/>
        <v/>
      </c>
    </row>
    <row r="27">
      <c r="A27" s="62"/>
      <c r="B27" s="63"/>
      <c r="C27" s="62"/>
      <c r="D27" s="64" t="s">
        <v>19</v>
      </c>
      <c r="E27" s="64">
        <f>sum(E19:E25)</f>
        <v>-170091</v>
      </c>
      <c r="F27" s="64">
        <f>sum(F19:F26)</f>
        <v>146</v>
      </c>
      <c r="G27" s="65" t="str">
        <f>average(G19:G25)</f>
        <v>#DIV/0!</v>
      </c>
      <c r="H27" s="62"/>
      <c r="I27" s="66"/>
      <c r="J27" s="64">
        <f t="shared" ref="J27:K27" si="25">sum(J19:J25)</f>
        <v>-25050</v>
      </c>
      <c r="K27" s="64">
        <f t="shared" si="25"/>
        <v>146</v>
      </c>
      <c r="L27" s="65" t="str">
        <f>average(L19:L25)</f>
        <v>#DIV/0!</v>
      </c>
      <c r="M27" s="68"/>
      <c r="N27" s="69">
        <f>sum(N19:N26)</f>
        <v>2712940</v>
      </c>
      <c r="R27" s="251"/>
    </row>
    <row r="28">
      <c r="A28" s="70">
        <v>45906.0</v>
      </c>
      <c r="B28" s="36" t="s">
        <v>14</v>
      </c>
      <c r="C28" s="89">
        <v>172935.0</v>
      </c>
      <c r="D28" s="41">
        <v>173640.0</v>
      </c>
      <c r="E28" s="38">
        <f t="shared" ref="E28:E33" si="26">D28-C28</f>
        <v>705</v>
      </c>
      <c r="F28" s="39">
        <v>40.0</v>
      </c>
      <c r="G28" s="14">
        <f t="shared" ref="G28:G34" si="27">(F28/E28)*100</f>
        <v>5.673758865</v>
      </c>
      <c r="H28" s="137"/>
      <c r="I28" s="275"/>
      <c r="J28" s="41">
        <f t="shared" ref="J28:J34" si="28">I28-H28</f>
        <v>0</v>
      </c>
      <c r="K28" s="81">
        <f t="shared" ref="K28:K34" si="29">F28</f>
        <v>40</v>
      </c>
      <c r="L28" s="71" t="str">
        <f t="shared" ref="L28:L34" si="30">(K28/J28)*100</f>
        <v>#DIV/0!</v>
      </c>
      <c r="M28" s="72">
        <v>18470.0</v>
      </c>
      <c r="N28" s="44">
        <f t="shared" ref="N28:N34" si="31">F28*M28</f>
        <v>738800</v>
      </c>
      <c r="R28" s="80" t="str">
        <f t="shared" ref="R28:R41" si="32">Q28</f>
        <v/>
      </c>
    </row>
    <row r="29">
      <c r="A29" s="35">
        <v>45911.0</v>
      </c>
      <c r="B29" s="46" t="s">
        <v>14</v>
      </c>
      <c r="C29" s="37">
        <v>173640.0</v>
      </c>
      <c r="D29" s="37">
        <v>173970.0</v>
      </c>
      <c r="E29" s="12">
        <f t="shared" si="26"/>
        <v>330</v>
      </c>
      <c r="F29" s="47">
        <v>40.0</v>
      </c>
      <c r="G29" s="14">
        <f t="shared" si="27"/>
        <v>12.12121212</v>
      </c>
      <c r="H29" s="37"/>
      <c r="I29" s="40"/>
      <c r="J29" s="37">
        <f t="shared" si="28"/>
        <v>0</v>
      </c>
      <c r="K29" s="52">
        <f t="shared" si="29"/>
        <v>40</v>
      </c>
      <c r="L29" s="48" t="str">
        <f t="shared" si="30"/>
        <v>#DIV/0!</v>
      </c>
      <c r="M29" s="50">
        <v>18640.0</v>
      </c>
      <c r="N29" s="49">
        <f t="shared" si="31"/>
        <v>745600</v>
      </c>
      <c r="R29" s="80" t="str">
        <f t="shared" si="32"/>
        <v/>
      </c>
    </row>
    <row r="30">
      <c r="A30" s="35">
        <v>45917.0</v>
      </c>
      <c r="B30" s="46" t="s">
        <v>14</v>
      </c>
      <c r="C30" s="37">
        <v>173970.0</v>
      </c>
      <c r="D30" s="37">
        <v>174307.0</v>
      </c>
      <c r="E30" s="12">
        <f t="shared" si="26"/>
        <v>337</v>
      </c>
      <c r="F30" s="47">
        <v>40.0</v>
      </c>
      <c r="G30" s="14">
        <f t="shared" si="27"/>
        <v>11.8694362</v>
      </c>
      <c r="H30" s="37"/>
      <c r="I30" s="40"/>
      <c r="J30" s="37">
        <f t="shared" si="28"/>
        <v>0</v>
      </c>
      <c r="K30" s="52">
        <f t="shared" si="29"/>
        <v>40</v>
      </c>
      <c r="L30" s="48" t="str">
        <f t="shared" si="30"/>
        <v>#DIV/0!</v>
      </c>
      <c r="M30" s="50">
        <v>18640.0</v>
      </c>
      <c r="N30" s="49">
        <f t="shared" si="31"/>
        <v>745600</v>
      </c>
      <c r="R30" s="80" t="str">
        <f t="shared" si="32"/>
        <v/>
      </c>
    </row>
    <row r="31">
      <c r="A31" s="35">
        <v>45920.0</v>
      </c>
      <c r="B31" s="46" t="s">
        <v>14</v>
      </c>
      <c r="C31" s="37">
        <v>174307.0</v>
      </c>
      <c r="D31" s="37">
        <v>174666.0</v>
      </c>
      <c r="E31" s="12">
        <f t="shared" si="26"/>
        <v>359</v>
      </c>
      <c r="F31" s="47">
        <v>50.0</v>
      </c>
      <c r="G31" s="14">
        <f t="shared" si="27"/>
        <v>13.9275766</v>
      </c>
      <c r="H31" s="37"/>
      <c r="I31" s="40"/>
      <c r="J31" s="37">
        <f t="shared" si="28"/>
        <v>0</v>
      </c>
      <c r="K31" s="52">
        <f t="shared" si="29"/>
        <v>50</v>
      </c>
      <c r="L31" s="48" t="str">
        <f t="shared" si="30"/>
        <v>#DIV/0!</v>
      </c>
      <c r="M31" s="50">
        <v>18700.0</v>
      </c>
      <c r="N31" s="49">
        <f t="shared" si="31"/>
        <v>935000</v>
      </c>
      <c r="R31" s="80" t="str">
        <f t="shared" si="32"/>
        <v/>
      </c>
    </row>
    <row r="32">
      <c r="A32" s="35">
        <v>45926.0</v>
      </c>
      <c r="B32" s="46" t="s">
        <v>14</v>
      </c>
      <c r="C32" s="37">
        <v>174666.0</v>
      </c>
      <c r="D32" s="37">
        <v>175068.0</v>
      </c>
      <c r="E32" s="12">
        <f t="shared" si="26"/>
        <v>402</v>
      </c>
      <c r="F32" s="47">
        <v>50.0</v>
      </c>
      <c r="G32" s="14">
        <f t="shared" si="27"/>
        <v>12.43781095</v>
      </c>
      <c r="H32" s="37"/>
      <c r="I32" s="40"/>
      <c r="J32" s="37">
        <f t="shared" si="28"/>
        <v>0</v>
      </c>
      <c r="K32" s="52">
        <f t="shared" si="29"/>
        <v>50</v>
      </c>
      <c r="L32" s="48" t="str">
        <f t="shared" si="30"/>
        <v>#DIV/0!</v>
      </c>
      <c r="M32" s="50">
        <v>18650.0</v>
      </c>
      <c r="N32" s="49">
        <f t="shared" si="31"/>
        <v>932500</v>
      </c>
      <c r="R32" s="80" t="str">
        <f t="shared" si="32"/>
        <v/>
      </c>
    </row>
    <row r="33">
      <c r="A33" s="35"/>
      <c r="B33" s="46" t="s">
        <v>14</v>
      </c>
      <c r="C33" s="37"/>
      <c r="D33" s="37"/>
      <c r="E33" s="12">
        <f t="shared" si="26"/>
        <v>0</v>
      </c>
      <c r="F33" s="47"/>
      <c r="G33" s="14" t="str">
        <f t="shared" si="27"/>
        <v>#DIV/0!</v>
      </c>
      <c r="H33" s="37"/>
      <c r="I33" s="40"/>
      <c r="J33" s="37">
        <f t="shared" si="28"/>
        <v>0</v>
      </c>
      <c r="K33" s="52" t="str">
        <f t="shared" si="29"/>
        <v/>
      </c>
      <c r="L33" s="48" t="str">
        <f t="shared" si="30"/>
        <v>#DIV/0!</v>
      </c>
      <c r="M33" s="50"/>
      <c r="N33" s="49">
        <f t="shared" si="31"/>
        <v>0</v>
      </c>
      <c r="R33" s="80" t="str">
        <f t="shared" si="32"/>
        <v/>
      </c>
    </row>
    <row r="34">
      <c r="A34" s="266"/>
      <c r="B34" s="267"/>
      <c r="C34" s="55"/>
      <c r="D34" s="95"/>
      <c r="E34" s="25"/>
      <c r="F34" s="47"/>
      <c r="G34" s="56" t="str">
        <f t="shared" si="27"/>
        <v>#DIV/0!</v>
      </c>
      <c r="H34" s="55"/>
      <c r="I34" s="85"/>
      <c r="J34" s="55">
        <f t="shared" si="28"/>
        <v>0</v>
      </c>
      <c r="K34" s="52" t="str">
        <f t="shared" si="29"/>
        <v/>
      </c>
      <c r="L34" s="77" t="str">
        <f t="shared" si="30"/>
        <v>#DIV/0!</v>
      </c>
      <c r="M34" s="50"/>
      <c r="N34" s="59">
        <f t="shared" si="31"/>
        <v>0</v>
      </c>
      <c r="R34" s="80" t="str">
        <f t="shared" si="32"/>
        <v/>
      </c>
    </row>
    <row r="35">
      <c r="A35" s="62"/>
      <c r="B35" s="63"/>
      <c r="C35" s="62"/>
      <c r="D35" s="64" t="s">
        <v>19</v>
      </c>
      <c r="E35" s="64">
        <f>sum(E28:E34)</f>
        <v>2133</v>
      </c>
      <c r="F35" s="39"/>
      <c r="G35" s="65" t="str">
        <f>average(G28:G34)</f>
        <v>#DIV/0!</v>
      </c>
      <c r="H35" s="62"/>
      <c r="I35" s="66"/>
      <c r="J35" s="64">
        <f t="shared" ref="J35:K35" si="33">sum(J28:J34)</f>
        <v>0</v>
      </c>
      <c r="K35" s="64">
        <f t="shared" si="33"/>
        <v>220</v>
      </c>
      <c r="L35" s="65" t="str">
        <f>average(L28:L34)</f>
        <v>#DIV/0!</v>
      </c>
      <c r="M35" s="68"/>
      <c r="N35" s="69">
        <f>sum(N28:N34)</f>
        <v>4097500</v>
      </c>
      <c r="R35" s="80" t="str">
        <f t="shared" si="32"/>
        <v/>
      </c>
    </row>
    <row r="36">
      <c r="A36" s="70">
        <v>45905.0</v>
      </c>
      <c r="B36" s="36" t="s">
        <v>15</v>
      </c>
      <c r="C36" s="89">
        <v>159197.0</v>
      </c>
      <c r="D36" s="41">
        <v>159465.0</v>
      </c>
      <c r="E36" s="38">
        <f t="shared" ref="E36:E43" si="34">D36-C36</f>
        <v>268</v>
      </c>
      <c r="F36" s="39">
        <v>30.0</v>
      </c>
      <c r="G36" s="14">
        <f t="shared" ref="G36:G43" si="35">(F36/E36)*100</f>
        <v>11.19402985</v>
      </c>
      <c r="H36" s="89"/>
      <c r="I36" s="271"/>
      <c r="J36" s="41">
        <f t="shared" ref="J36:J41" si="36">I36-H36</f>
        <v>0</v>
      </c>
      <c r="K36" s="81">
        <f t="shared" ref="K36:K43" si="37">F36</f>
        <v>30</v>
      </c>
      <c r="L36" s="71" t="str">
        <f t="shared" ref="L36:L43" si="38">(K36/J36)*100</f>
        <v>#DIV/0!</v>
      </c>
      <c r="M36" s="72">
        <v>18470.0</v>
      </c>
      <c r="N36" s="44">
        <f t="shared" ref="N36:N43" si="39">F36*M36</f>
        <v>554100</v>
      </c>
      <c r="R36" s="80" t="str">
        <f t="shared" si="32"/>
        <v/>
      </c>
    </row>
    <row r="37">
      <c r="A37" s="35">
        <v>45910.0</v>
      </c>
      <c r="B37" s="46" t="s">
        <v>15</v>
      </c>
      <c r="C37" s="37">
        <v>159465.0</v>
      </c>
      <c r="D37" s="37">
        <v>159740.0</v>
      </c>
      <c r="E37" s="12">
        <f t="shared" si="34"/>
        <v>275</v>
      </c>
      <c r="F37" s="47">
        <v>45.0</v>
      </c>
      <c r="G37" s="14">
        <f t="shared" si="35"/>
        <v>16.36363636</v>
      </c>
      <c r="H37" s="40"/>
      <c r="I37" s="40">
        <v>24520.0</v>
      </c>
      <c r="J37" s="37">
        <f t="shared" si="36"/>
        <v>24520</v>
      </c>
      <c r="K37" s="52">
        <f t="shared" si="37"/>
        <v>45</v>
      </c>
      <c r="L37" s="48">
        <f t="shared" si="38"/>
        <v>0.1835236542</v>
      </c>
      <c r="M37" s="50">
        <v>18470.0</v>
      </c>
      <c r="N37" s="49">
        <f t="shared" si="39"/>
        <v>831150</v>
      </c>
      <c r="P37" s="82"/>
      <c r="R37" s="80" t="str">
        <f t="shared" si="32"/>
        <v/>
      </c>
    </row>
    <row r="38">
      <c r="A38" s="35">
        <v>45916.0</v>
      </c>
      <c r="B38" s="46" t="s">
        <v>15</v>
      </c>
      <c r="C38" s="37">
        <v>159740.0</v>
      </c>
      <c r="D38" s="37">
        <v>160094.0</v>
      </c>
      <c r="E38" s="12">
        <f t="shared" si="34"/>
        <v>354</v>
      </c>
      <c r="F38" s="47">
        <v>42.0</v>
      </c>
      <c r="G38" s="14">
        <f t="shared" si="35"/>
        <v>11.86440678</v>
      </c>
      <c r="H38" s="37"/>
      <c r="I38" s="40"/>
      <c r="J38" s="37">
        <f t="shared" si="36"/>
        <v>0</v>
      </c>
      <c r="K38" s="52">
        <f t="shared" si="37"/>
        <v>42</v>
      </c>
      <c r="L38" s="48" t="str">
        <f t="shared" si="38"/>
        <v>#DIV/0!</v>
      </c>
      <c r="M38" s="50">
        <v>18640.0</v>
      </c>
      <c r="N38" s="49">
        <f t="shared" si="39"/>
        <v>782880</v>
      </c>
      <c r="R38" s="80" t="str">
        <f t="shared" si="32"/>
        <v/>
      </c>
    </row>
    <row r="39">
      <c r="A39" s="35">
        <v>45919.0</v>
      </c>
      <c r="B39" s="46" t="s">
        <v>15</v>
      </c>
      <c r="C39" s="37">
        <v>160094.0</v>
      </c>
      <c r="D39" s="37">
        <v>160416.0</v>
      </c>
      <c r="E39" s="12">
        <f t="shared" si="34"/>
        <v>322</v>
      </c>
      <c r="F39" s="47">
        <v>40.0</v>
      </c>
      <c r="G39" s="14">
        <f t="shared" si="35"/>
        <v>12.42236025</v>
      </c>
      <c r="H39" s="37"/>
      <c r="I39" s="40"/>
      <c r="J39" s="37">
        <f t="shared" si="36"/>
        <v>0</v>
      </c>
      <c r="K39" s="52">
        <f t="shared" si="37"/>
        <v>40</v>
      </c>
      <c r="L39" s="48" t="str">
        <f t="shared" si="38"/>
        <v>#DIV/0!</v>
      </c>
      <c r="M39" s="50">
        <v>18700.0</v>
      </c>
      <c r="N39" s="49">
        <f t="shared" si="39"/>
        <v>748000</v>
      </c>
      <c r="R39" s="80" t="str">
        <f t="shared" si="32"/>
        <v/>
      </c>
    </row>
    <row r="40">
      <c r="A40" s="35">
        <v>45924.0</v>
      </c>
      <c r="B40" s="46" t="s">
        <v>15</v>
      </c>
      <c r="C40" s="37">
        <v>160416.0</v>
      </c>
      <c r="D40" s="37">
        <v>160699.0</v>
      </c>
      <c r="E40" s="12">
        <f t="shared" si="34"/>
        <v>283</v>
      </c>
      <c r="F40" s="47">
        <v>34.0</v>
      </c>
      <c r="G40" s="14">
        <f t="shared" si="35"/>
        <v>12.01413428</v>
      </c>
      <c r="H40" s="37"/>
      <c r="I40" s="40"/>
      <c r="J40" s="37">
        <f t="shared" si="36"/>
        <v>0</v>
      </c>
      <c r="K40" s="52">
        <f t="shared" si="37"/>
        <v>34</v>
      </c>
      <c r="L40" s="48" t="str">
        <f t="shared" si="38"/>
        <v>#DIV/0!</v>
      </c>
      <c r="M40" s="50">
        <v>18700.0</v>
      </c>
      <c r="N40" s="49">
        <f t="shared" si="39"/>
        <v>635800</v>
      </c>
      <c r="R40" s="80" t="str">
        <f t="shared" si="32"/>
        <v/>
      </c>
    </row>
    <row r="41">
      <c r="A41" s="35">
        <v>45926.0</v>
      </c>
      <c r="B41" s="46" t="s">
        <v>15</v>
      </c>
      <c r="C41" s="37">
        <v>160699.0</v>
      </c>
      <c r="D41" s="37">
        <v>161012.0</v>
      </c>
      <c r="E41" s="12">
        <f t="shared" si="34"/>
        <v>313</v>
      </c>
      <c r="F41" s="47">
        <v>40.0</v>
      </c>
      <c r="G41" s="14">
        <f t="shared" si="35"/>
        <v>12.77955272</v>
      </c>
      <c r="H41" s="37"/>
      <c r="I41" s="40"/>
      <c r="J41" s="37">
        <f t="shared" si="36"/>
        <v>0</v>
      </c>
      <c r="K41" s="52">
        <f t="shared" si="37"/>
        <v>40</v>
      </c>
      <c r="L41" s="48" t="str">
        <f t="shared" si="38"/>
        <v>#DIV/0!</v>
      </c>
      <c r="M41" s="50">
        <v>18650.0</v>
      </c>
      <c r="N41" s="49">
        <f t="shared" si="39"/>
        <v>746000</v>
      </c>
      <c r="R41" s="80" t="str">
        <f t="shared" si="32"/>
        <v/>
      </c>
    </row>
    <row r="42">
      <c r="A42" s="35"/>
      <c r="B42" s="46" t="s">
        <v>87</v>
      </c>
      <c r="C42" s="37"/>
      <c r="D42" s="37"/>
      <c r="E42" s="12">
        <f t="shared" si="34"/>
        <v>0</v>
      </c>
      <c r="F42" s="47"/>
      <c r="G42" s="14" t="str">
        <f t="shared" si="35"/>
        <v>#DIV/0!</v>
      </c>
      <c r="H42" s="37"/>
      <c r="I42" s="93"/>
      <c r="J42" s="37"/>
      <c r="K42" s="52" t="str">
        <f t="shared" si="37"/>
        <v/>
      </c>
      <c r="L42" s="48" t="str">
        <f t="shared" si="38"/>
        <v>#DIV/0!</v>
      </c>
      <c r="M42" s="50"/>
      <c r="N42" s="49">
        <f t="shared" si="39"/>
        <v>0</v>
      </c>
    </row>
    <row r="43">
      <c r="A43" s="35"/>
      <c r="B43" s="83" t="s">
        <v>15</v>
      </c>
      <c r="C43" s="37"/>
      <c r="D43" s="55"/>
      <c r="E43" s="25">
        <f t="shared" si="34"/>
        <v>0</v>
      </c>
      <c r="F43" s="47"/>
      <c r="G43" s="56" t="str">
        <f t="shared" si="35"/>
        <v>#DIV/0!</v>
      </c>
      <c r="H43" s="55"/>
      <c r="I43" s="85"/>
      <c r="J43" s="55">
        <f>I43-H43</f>
        <v>0</v>
      </c>
      <c r="K43" s="52" t="str">
        <f t="shared" si="37"/>
        <v/>
      </c>
      <c r="L43" s="77" t="str">
        <f t="shared" si="38"/>
        <v>#DIV/0!</v>
      </c>
      <c r="M43" s="50"/>
      <c r="N43" s="59">
        <f t="shared" si="39"/>
        <v>0</v>
      </c>
      <c r="R43" s="80" t="str">
        <f t="shared" ref="R43:R51" si="42">Q43</f>
        <v/>
      </c>
    </row>
    <row r="44">
      <c r="A44" s="62"/>
      <c r="B44" s="63"/>
      <c r="C44" s="62"/>
      <c r="D44" s="64" t="s">
        <v>19</v>
      </c>
      <c r="E44" s="64">
        <f t="shared" ref="E44:F44" si="40">sum(E36:E43)</f>
        <v>1815</v>
      </c>
      <c r="F44" s="64">
        <f t="shared" si="40"/>
        <v>231</v>
      </c>
      <c r="G44" s="65" t="str">
        <f>average(G36:G43)</f>
        <v>#DIV/0!</v>
      </c>
      <c r="H44" s="62"/>
      <c r="I44" s="66"/>
      <c r="J44" s="64">
        <f t="shared" ref="J44:K44" si="41">sum(J36:J43)</f>
        <v>24520</v>
      </c>
      <c r="K44" s="64">
        <f t="shared" si="41"/>
        <v>231</v>
      </c>
      <c r="L44" s="65" t="str">
        <f>average(L36:L43)</f>
        <v>#DIV/0!</v>
      </c>
      <c r="M44" s="68"/>
      <c r="N44" s="69">
        <f>sum(N36:N43)</f>
        <v>4297930</v>
      </c>
      <c r="R44" s="80" t="str">
        <f t="shared" si="42"/>
        <v/>
      </c>
    </row>
    <row r="45">
      <c r="A45" s="293">
        <v>45904.0</v>
      </c>
      <c r="B45" s="36" t="s">
        <v>16</v>
      </c>
      <c r="C45" s="89">
        <v>136135.0</v>
      </c>
      <c r="D45" s="41">
        <v>136420.0</v>
      </c>
      <c r="E45" s="38">
        <f t="shared" ref="E45:E54" si="43">D45-C45</f>
        <v>285</v>
      </c>
      <c r="F45" s="39">
        <v>35.0</v>
      </c>
      <c r="G45" s="14">
        <f t="shared" ref="G45:G54" si="44">(F45/E45)*100</f>
        <v>12.28070175</v>
      </c>
      <c r="H45" s="137"/>
      <c r="I45" s="275">
        <v>25018.0</v>
      </c>
      <c r="J45" s="41">
        <f t="shared" ref="J45:J50" si="45">I45-H45</f>
        <v>25018</v>
      </c>
      <c r="K45" s="81">
        <f t="shared" ref="K45:K54" si="46">F45</f>
        <v>35</v>
      </c>
      <c r="L45" s="71">
        <f t="shared" ref="L45:L54" si="47">(K45/J45)*100</f>
        <v>0.1398992725</v>
      </c>
      <c r="M45" s="72">
        <v>18470.0</v>
      </c>
      <c r="N45" s="44">
        <f t="shared" ref="N45:N54" si="48">F45*M45</f>
        <v>646450</v>
      </c>
      <c r="R45" s="80" t="str">
        <f t="shared" si="42"/>
        <v/>
      </c>
    </row>
    <row r="46">
      <c r="A46" s="84">
        <v>45908.0</v>
      </c>
      <c r="B46" s="46" t="s">
        <v>16</v>
      </c>
      <c r="C46" s="13">
        <v>136420.0</v>
      </c>
      <c r="D46" s="37">
        <v>136730.0</v>
      </c>
      <c r="E46" s="12">
        <f t="shared" si="43"/>
        <v>310</v>
      </c>
      <c r="F46" s="47">
        <v>44.0</v>
      </c>
      <c r="G46" s="14">
        <f t="shared" si="44"/>
        <v>14.19354839</v>
      </c>
      <c r="H46" s="37">
        <v>25018.0</v>
      </c>
      <c r="I46" s="40">
        <v>25300.0</v>
      </c>
      <c r="J46" s="37">
        <f t="shared" si="45"/>
        <v>282</v>
      </c>
      <c r="K46" s="52">
        <f t="shared" si="46"/>
        <v>44</v>
      </c>
      <c r="L46" s="48">
        <f t="shared" si="47"/>
        <v>15.60283688</v>
      </c>
      <c r="M46" s="50">
        <v>18470.0</v>
      </c>
      <c r="N46" s="49">
        <f t="shared" si="48"/>
        <v>812680</v>
      </c>
      <c r="R46" s="80" t="str">
        <f t="shared" si="42"/>
        <v/>
      </c>
    </row>
    <row r="47">
      <c r="A47" s="84">
        <v>45911.0</v>
      </c>
      <c r="B47" s="46" t="s">
        <v>16</v>
      </c>
      <c r="C47" s="37">
        <v>136730.0</v>
      </c>
      <c r="D47" s="37">
        <v>136980.0</v>
      </c>
      <c r="E47" s="12">
        <f t="shared" si="43"/>
        <v>250</v>
      </c>
      <c r="F47" s="47">
        <v>30.0</v>
      </c>
      <c r="G47" s="14">
        <f t="shared" si="44"/>
        <v>12</v>
      </c>
      <c r="H47" s="40">
        <v>25300.0</v>
      </c>
      <c r="I47" s="40">
        <v>25530.0</v>
      </c>
      <c r="J47" s="37">
        <f t="shared" si="45"/>
        <v>230</v>
      </c>
      <c r="K47" s="52">
        <f t="shared" si="46"/>
        <v>30</v>
      </c>
      <c r="L47" s="48">
        <f t="shared" si="47"/>
        <v>13.04347826</v>
      </c>
      <c r="M47" s="50">
        <v>18470.0</v>
      </c>
      <c r="N47" s="49">
        <f t="shared" si="48"/>
        <v>554100</v>
      </c>
      <c r="R47" s="80" t="str">
        <f t="shared" si="42"/>
        <v/>
      </c>
    </row>
    <row r="48">
      <c r="A48" s="84">
        <v>45915.0</v>
      </c>
      <c r="B48" s="46" t="s">
        <v>16</v>
      </c>
      <c r="C48" s="37">
        <v>136980.0</v>
      </c>
      <c r="D48" s="37">
        <v>137273.0</v>
      </c>
      <c r="E48" s="12">
        <f t="shared" si="43"/>
        <v>293</v>
      </c>
      <c r="F48" s="47">
        <v>37.0</v>
      </c>
      <c r="G48" s="14">
        <f t="shared" si="44"/>
        <v>12.62798635</v>
      </c>
      <c r="H48" s="40">
        <v>25530.0</v>
      </c>
      <c r="I48" s="40">
        <v>25840.0</v>
      </c>
      <c r="J48" s="37">
        <f t="shared" si="45"/>
        <v>310</v>
      </c>
      <c r="K48" s="52">
        <f t="shared" si="46"/>
        <v>37</v>
      </c>
      <c r="L48" s="48">
        <f t="shared" si="47"/>
        <v>11.93548387</v>
      </c>
      <c r="M48" s="50">
        <v>18640.0</v>
      </c>
      <c r="N48" s="49">
        <f t="shared" si="48"/>
        <v>689680</v>
      </c>
      <c r="P48" s="82"/>
      <c r="R48" s="80" t="str">
        <f t="shared" si="42"/>
        <v/>
      </c>
    </row>
    <row r="49">
      <c r="A49" s="294">
        <v>45922.0</v>
      </c>
      <c r="B49" s="46" t="s">
        <v>16</v>
      </c>
      <c r="C49" s="37">
        <v>137273.0</v>
      </c>
      <c r="D49" s="37">
        <v>137593.0</v>
      </c>
      <c r="E49" s="12">
        <f t="shared" si="43"/>
        <v>320</v>
      </c>
      <c r="F49" s="47">
        <v>40.0</v>
      </c>
      <c r="G49" s="14">
        <f t="shared" si="44"/>
        <v>12.5</v>
      </c>
      <c r="H49" s="37"/>
      <c r="I49" s="40"/>
      <c r="J49" s="37">
        <f t="shared" si="45"/>
        <v>0</v>
      </c>
      <c r="K49" s="52">
        <f t="shared" si="46"/>
        <v>40</v>
      </c>
      <c r="L49" s="48" t="str">
        <f t="shared" si="47"/>
        <v>#DIV/0!</v>
      </c>
      <c r="M49" s="50">
        <v>18700.0</v>
      </c>
      <c r="N49" s="49">
        <f t="shared" si="48"/>
        <v>748000</v>
      </c>
      <c r="R49" s="80" t="str">
        <f t="shared" si="42"/>
        <v/>
      </c>
    </row>
    <row r="50">
      <c r="A50" s="84">
        <v>45924.0</v>
      </c>
      <c r="B50" s="46" t="s">
        <v>16</v>
      </c>
      <c r="C50" s="37">
        <v>137593.0</v>
      </c>
      <c r="D50" s="37">
        <v>137831.0</v>
      </c>
      <c r="E50" s="12">
        <f t="shared" si="43"/>
        <v>238</v>
      </c>
      <c r="F50" s="47">
        <v>35.0</v>
      </c>
      <c r="G50" s="14">
        <f t="shared" si="44"/>
        <v>14.70588235</v>
      </c>
      <c r="H50" s="37"/>
      <c r="I50" s="40"/>
      <c r="J50" s="37">
        <f t="shared" si="45"/>
        <v>0</v>
      </c>
      <c r="K50" s="52">
        <f t="shared" si="46"/>
        <v>35</v>
      </c>
      <c r="L50" s="48" t="str">
        <f t="shared" si="47"/>
        <v>#DIV/0!</v>
      </c>
      <c r="M50" s="50">
        <v>18700.0</v>
      </c>
      <c r="N50" s="49">
        <f t="shared" si="48"/>
        <v>654500</v>
      </c>
      <c r="R50" s="80" t="str">
        <f t="shared" si="42"/>
        <v/>
      </c>
    </row>
    <row r="51">
      <c r="A51" s="84">
        <v>45926.0</v>
      </c>
      <c r="B51" s="46" t="s">
        <v>16</v>
      </c>
      <c r="C51" s="37">
        <v>137831.0</v>
      </c>
      <c r="D51" s="37">
        <v>138162.0</v>
      </c>
      <c r="E51" s="12">
        <f t="shared" si="43"/>
        <v>331</v>
      </c>
      <c r="F51" s="47">
        <v>40.0</v>
      </c>
      <c r="G51" s="14">
        <f t="shared" si="44"/>
        <v>12.08459215</v>
      </c>
      <c r="H51" s="37"/>
      <c r="I51" s="93"/>
      <c r="J51" s="37"/>
      <c r="K51" s="52">
        <f t="shared" si="46"/>
        <v>40</v>
      </c>
      <c r="L51" s="48" t="str">
        <f t="shared" si="47"/>
        <v>#DIV/0!</v>
      </c>
      <c r="M51" s="50">
        <v>18650.0</v>
      </c>
      <c r="N51" s="49">
        <f t="shared" si="48"/>
        <v>746000</v>
      </c>
      <c r="R51" s="80" t="str">
        <f t="shared" si="42"/>
        <v/>
      </c>
    </row>
    <row r="52">
      <c r="A52" s="84"/>
      <c r="B52" s="46" t="s">
        <v>88</v>
      </c>
      <c r="C52" s="13"/>
      <c r="D52" s="37"/>
      <c r="E52" s="12">
        <f t="shared" si="43"/>
        <v>0</v>
      </c>
      <c r="F52" s="47"/>
      <c r="G52" s="14" t="str">
        <f t="shared" si="44"/>
        <v>#DIV/0!</v>
      </c>
      <c r="H52" s="37"/>
      <c r="I52" s="93"/>
      <c r="J52" s="37"/>
      <c r="K52" s="52" t="str">
        <f t="shared" si="46"/>
        <v/>
      </c>
      <c r="L52" s="48" t="str">
        <f t="shared" si="47"/>
        <v>#DIV/0!</v>
      </c>
      <c r="M52" s="50"/>
      <c r="N52" s="49">
        <f t="shared" si="48"/>
        <v>0</v>
      </c>
    </row>
    <row r="53">
      <c r="A53" s="84"/>
      <c r="B53" s="46" t="s">
        <v>16</v>
      </c>
      <c r="C53" s="13"/>
      <c r="D53" s="37"/>
      <c r="E53" s="12">
        <f t="shared" si="43"/>
        <v>0</v>
      </c>
      <c r="F53" s="47"/>
      <c r="G53" s="14" t="str">
        <f t="shared" si="44"/>
        <v>#DIV/0!</v>
      </c>
      <c r="H53" s="37"/>
      <c r="I53" s="93"/>
      <c r="J53" s="37"/>
      <c r="K53" s="52" t="str">
        <f t="shared" si="46"/>
        <v/>
      </c>
      <c r="L53" s="48" t="str">
        <f t="shared" si="47"/>
        <v>#DIV/0!</v>
      </c>
      <c r="M53" s="50"/>
      <c r="N53" s="49">
        <f t="shared" si="48"/>
        <v>0</v>
      </c>
      <c r="R53" s="80" t="str">
        <f t="shared" ref="R53:R153" si="49">Q53</f>
        <v/>
      </c>
    </row>
    <row r="54">
      <c r="A54" s="84"/>
      <c r="B54" s="46" t="s">
        <v>16</v>
      </c>
      <c r="C54" s="55"/>
      <c r="D54" s="55"/>
      <c r="E54" s="25">
        <f t="shared" si="43"/>
        <v>0</v>
      </c>
      <c r="F54" s="47"/>
      <c r="G54" s="56" t="str">
        <f t="shared" si="44"/>
        <v>#DIV/0!</v>
      </c>
      <c r="H54" s="55"/>
      <c r="I54" s="85"/>
      <c r="J54" s="55">
        <f>I54-H54</f>
        <v>0</v>
      </c>
      <c r="K54" s="52" t="str">
        <f t="shared" si="46"/>
        <v/>
      </c>
      <c r="L54" s="77" t="str">
        <f t="shared" si="47"/>
        <v>#DIV/0!</v>
      </c>
      <c r="M54" s="50"/>
      <c r="N54" s="59">
        <f t="shared" si="48"/>
        <v>0</v>
      </c>
      <c r="R54" s="80" t="str">
        <f t="shared" si="49"/>
        <v/>
      </c>
    </row>
    <row r="55">
      <c r="A55" s="62"/>
      <c r="B55" s="63"/>
      <c r="C55" s="86"/>
      <c r="D55" s="64" t="s">
        <v>19</v>
      </c>
      <c r="E55" s="64">
        <f>sum(E45:E54)</f>
        <v>2027</v>
      </c>
      <c r="F55" s="39"/>
      <c r="G55" s="65" t="str">
        <f>average(G45:G54)</f>
        <v>#DIV/0!</v>
      </c>
      <c r="H55" s="62"/>
      <c r="I55" s="66"/>
      <c r="J55" s="64">
        <f t="shared" ref="J55:K55" si="50">sum(J45:J54)</f>
        <v>25840</v>
      </c>
      <c r="K55" s="64">
        <f t="shared" si="50"/>
        <v>261</v>
      </c>
      <c r="L55" s="65" t="str">
        <f>average(L45:L54)</f>
        <v>#DIV/0!</v>
      </c>
      <c r="M55" s="68"/>
      <c r="N55" s="69">
        <f>sum(N45:N54)</f>
        <v>4851410</v>
      </c>
      <c r="R55" s="80" t="str">
        <f t="shared" si="49"/>
        <v/>
      </c>
    </row>
    <row r="56">
      <c r="A56" s="70">
        <v>45905.0</v>
      </c>
      <c r="B56" s="87" t="s">
        <v>18</v>
      </c>
      <c r="C56" s="13">
        <v>140768.0</v>
      </c>
      <c r="D56" s="41">
        <v>141388.0</v>
      </c>
      <c r="E56" s="38">
        <f t="shared" ref="E56:E63" si="51">D56-C56</f>
        <v>620</v>
      </c>
      <c r="F56" s="39">
        <v>44.0</v>
      </c>
      <c r="G56" s="14">
        <f t="shared" ref="G56:G63" si="52">(F56/E56)*100</f>
        <v>7.096774194</v>
      </c>
      <c r="H56" s="137"/>
      <c r="I56" s="275">
        <v>17603.0</v>
      </c>
      <c r="J56" s="41">
        <f t="shared" ref="J56:J63" si="53">I56-H56</f>
        <v>17603</v>
      </c>
      <c r="K56" s="81">
        <f t="shared" ref="K56:K63" si="54">F56</f>
        <v>44</v>
      </c>
      <c r="L56" s="71">
        <f t="shared" ref="L56:L63" si="55">(K56/J56)*100</f>
        <v>0.2499573936</v>
      </c>
      <c r="M56" s="72">
        <v>18470.0</v>
      </c>
      <c r="N56" s="44">
        <f t="shared" ref="N56:N63" si="56">F56*M56</f>
        <v>812680</v>
      </c>
      <c r="R56" s="80" t="str">
        <f t="shared" si="49"/>
        <v/>
      </c>
    </row>
    <row r="57">
      <c r="A57" s="35">
        <v>45911.0</v>
      </c>
      <c r="B57" s="46" t="s">
        <v>18</v>
      </c>
      <c r="C57" s="13">
        <v>141388.0</v>
      </c>
      <c r="D57" s="37">
        <v>141740.0</v>
      </c>
      <c r="E57" s="12">
        <f t="shared" si="51"/>
        <v>352</v>
      </c>
      <c r="F57" s="47">
        <v>48.0</v>
      </c>
      <c r="G57" s="14">
        <f t="shared" si="52"/>
        <v>13.63636364</v>
      </c>
      <c r="H57" s="37">
        <v>17603.0</v>
      </c>
      <c r="I57" s="40">
        <v>17890.0</v>
      </c>
      <c r="J57" s="37">
        <f t="shared" si="53"/>
        <v>287</v>
      </c>
      <c r="K57" s="52">
        <f t="shared" si="54"/>
        <v>48</v>
      </c>
      <c r="L57" s="48">
        <f t="shared" si="55"/>
        <v>16.72473868</v>
      </c>
      <c r="M57" s="50">
        <v>18470.0</v>
      </c>
      <c r="N57" s="49">
        <f t="shared" si="56"/>
        <v>886560</v>
      </c>
      <c r="R57" s="80" t="str">
        <f t="shared" si="49"/>
        <v/>
      </c>
    </row>
    <row r="58">
      <c r="A58" s="35">
        <v>45915.0</v>
      </c>
      <c r="B58" s="46" t="s">
        <v>18</v>
      </c>
      <c r="C58" s="13">
        <v>141740.0</v>
      </c>
      <c r="D58" s="37">
        <v>142077.0</v>
      </c>
      <c r="E58" s="12">
        <f t="shared" si="51"/>
        <v>337</v>
      </c>
      <c r="F58" s="47">
        <v>45.0</v>
      </c>
      <c r="G58" s="14">
        <f t="shared" si="52"/>
        <v>13.35311573</v>
      </c>
      <c r="H58" s="37">
        <v>17890.0</v>
      </c>
      <c r="I58" s="40">
        <v>18358.0</v>
      </c>
      <c r="J58" s="37">
        <f t="shared" si="53"/>
        <v>468</v>
      </c>
      <c r="K58" s="52">
        <f t="shared" si="54"/>
        <v>45</v>
      </c>
      <c r="L58" s="48">
        <f t="shared" si="55"/>
        <v>9.615384615</v>
      </c>
      <c r="M58" s="50">
        <v>18640.0</v>
      </c>
      <c r="N58" s="49">
        <f t="shared" si="56"/>
        <v>838800</v>
      </c>
      <c r="R58" s="80" t="str">
        <f t="shared" si="49"/>
        <v/>
      </c>
    </row>
    <row r="59">
      <c r="A59" s="35">
        <v>45918.0</v>
      </c>
      <c r="B59" s="46" t="s">
        <v>18</v>
      </c>
      <c r="C59" s="37">
        <v>142077.0</v>
      </c>
      <c r="D59" s="37">
        <v>142415.0</v>
      </c>
      <c r="E59" s="12">
        <f t="shared" si="51"/>
        <v>338</v>
      </c>
      <c r="F59" s="47">
        <v>42.0</v>
      </c>
      <c r="G59" s="14">
        <f t="shared" si="52"/>
        <v>12.4260355</v>
      </c>
      <c r="H59" s="37"/>
      <c r="I59" s="40"/>
      <c r="J59" s="37">
        <f t="shared" si="53"/>
        <v>0</v>
      </c>
      <c r="K59" s="52">
        <f t="shared" si="54"/>
        <v>42</v>
      </c>
      <c r="L59" s="48" t="str">
        <f t="shared" si="55"/>
        <v>#DIV/0!</v>
      </c>
      <c r="M59" s="50">
        <v>18640.0</v>
      </c>
      <c r="N59" s="49">
        <f t="shared" si="56"/>
        <v>782880</v>
      </c>
      <c r="R59" s="80" t="str">
        <f t="shared" si="49"/>
        <v/>
      </c>
    </row>
    <row r="60">
      <c r="A60" s="35">
        <v>45920.0</v>
      </c>
      <c r="B60" s="46" t="s">
        <v>18</v>
      </c>
      <c r="C60" s="37">
        <v>142415.0</v>
      </c>
      <c r="D60" s="37">
        <v>142720.0</v>
      </c>
      <c r="E60" s="12">
        <f t="shared" si="51"/>
        <v>305</v>
      </c>
      <c r="F60" s="47">
        <v>42.0</v>
      </c>
      <c r="G60" s="14">
        <f t="shared" si="52"/>
        <v>13.7704918</v>
      </c>
      <c r="H60" s="37"/>
      <c r="I60" s="40"/>
      <c r="J60" s="37">
        <f t="shared" si="53"/>
        <v>0</v>
      </c>
      <c r="K60" s="52">
        <f t="shared" si="54"/>
        <v>42</v>
      </c>
      <c r="L60" s="48" t="str">
        <f t="shared" si="55"/>
        <v>#DIV/0!</v>
      </c>
      <c r="M60" s="50">
        <v>18700.0</v>
      </c>
      <c r="N60" s="49">
        <f t="shared" si="56"/>
        <v>785400</v>
      </c>
      <c r="R60" s="80" t="str">
        <f t="shared" si="49"/>
        <v/>
      </c>
    </row>
    <row r="61">
      <c r="A61" s="35">
        <v>45925.0</v>
      </c>
      <c r="B61" s="46" t="s">
        <v>18</v>
      </c>
      <c r="C61" s="37">
        <v>142720.0</v>
      </c>
      <c r="D61" s="37">
        <v>143076.0</v>
      </c>
      <c r="E61" s="53">
        <f t="shared" si="51"/>
        <v>356</v>
      </c>
      <c r="F61" s="47">
        <v>45.0</v>
      </c>
      <c r="G61" s="14">
        <f t="shared" si="52"/>
        <v>12.64044944</v>
      </c>
      <c r="H61" s="37"/>
      <c r="I61" s="40"/>
      <c r="J61" s="37">
        <f t="shared" si="53"/>
        <v>0</v>
      </c>
      <c r="K61" s="52">
        <f t="shared" si="54"/>
        <v>45</v>
      </c>
      <c r="L61" s="48" t="str">
        <f t="shared" si="55"/>
        <v>#DIV/0!</v>
      </c>
      <c r="M61" s="50">
        <v>18700.0</v>
      </c>
      <c r="N61" s="49">
        <f t="shared" si="56"/>
        <v>841500</v>
      </c>
      <c r="R61" s="80" t="str">
        <f t="shared" si="49"/>
        <v/>
      </c>
    </row>
    <row r="62">
      <c r="A62" s="45">
        <v>45930.0</v>
      </c>
      <c r="B62" s="51" t="s">
        <v>18</v>
      </c>
      <c r="C62" s="11">
        <v>143076.0</v>
      </c>
      <c r="D62" s="52">
        <v>143432.0</v>
      </c>
      <c r="E62" s="53">
        <f t="shared" si="51"/>
        <v>356</v>
      </c>
      <c r="F62" s="47">
        <v>50.0</v>
      </c>
      <c r="G62" s="14">
        <f t="shared" si="52"/>
        <v>14.04494382</v>
      </c>
      <c r="H62" s="37"/>
      <c r="I62" s="40"/>
      <c r="J62" s="37">
        <f t="shared" si="53"/>
        <v>0</v>
      </c>
      <c r="K62" s="52">
        <f t="shared" si="54"/>
        <v>50</v>
      </c>
      <c r="L62" s="48" t="str">
        <f t="shared" si="55"/>
        <v>#DIV/0!</v>
      </c>
      <c r="M62" s="50">
        <v>18650.0</v>
      </c>
      <c r="N62" s="49">
        <f t="shared" si="56"/>
        <v>932500</v>
      </c>
      <c r="R62" s="80" t="str">
        <f t="shared" si="49"/>
        <v/>
      </c>
    </row>
    <row r="63">
      <c r="A63" s="35"/>
      <c r="B63" s="46" t="s">
        <v>18</v>
      </c>
      <c r="C63" s="13"/>
      <c r="D63" s="55"/>
      <c r="E63" s="25">
        <f t="shared" si="51"/>
        <v>0</v>
      </c>
      <c r="F63" s="47"/>
      <c r="G63" s="56" t="str">
        <f t="shared" si="52"/>
        <v>#DIV/0!</v>
      </c>
      <c r="H63" s="55"/>
      <c r="I63" s="57"/>
      <c r="J63" s="55">
        <f t="shared" si="53"/>
        <v>0</v>
      </c>
      <c r="K63" s="52" t="str">
        <f t="shared" si="54"/>
        <v/>
      </c>
      <c r="L63" s="77" t="str">
        <f t="shared" si="55"/>
        <v>#DIV/0!</v>
      </c>
      <c r="M63" s="50"/>
      <c r="N63" s="59">
        <f t="shared" si="56"/>
        <v>0</v>
      </c>
      <c r="R63" s="80" t="str">
        <f t="shared" si="49"/>
        <v/>
      </c>
    </row>
    <row r="64">
      <c r="A64" s="62"/>
      <c r="B64" s="63"/>
      <c r="C64" s="88"/>
      <c r="D64" s="64" t="s">
        <v>19</v>
      </c>
      <c r="E64" s="64">
        <f t="shared" ref="E64:F64" si="57">sum(E56:E63)</f>
        <v>2664</v>
      </c>
      <c r="F64" s="64">
        <f t="shared" si="57"/>
        <v>316</v>
      </c>
      <c r="G64" s="65" t="str">
        <f>average(G56:G63)</f>
        <v>#DIV/0!</v>
      </c>
      <c r="H64" s="62"/>
      <c r="I64" s="66"/>
      <c r="J64" s="64">
        <f t="shared" ref="J64:K64" si="58">sum(J56:J63)</f>
        <v>18358</v>
      </c>
      <c r="K64" s="64">
        <f t="shared" si="58"/>
        <v>316</v>
      </c>
      <c r="L64" s="65" t="str">
        <f>average(L56:L63)</f>
        <v>#DIV/0!</v>
      </c>
      <c r="M64" s="68"/>
      <c r="N64" s="69">
        <f>sum(N56:N63)</f>
        <v>5880320</v>
      </c>
      <c r="R64" s="80" t="str">
        <f t="shared" si="49"/>
        <v/>
      </c>
    </row>
    <row r="65">
      <c r="A65" s="70">
        <v>45903.0</v>
      </c>
      <c r="B65" s="36" t="s">
        <v>20</v>
      </c>
      <c r="C65" s="89">
        <v>386579.0</v>
      </c>
      <c r="D65" s="41">
        <v>387260.0</v>
      </c>
      <c r="E65" s="38">
        <f t="shared" ref="E65:E71" si="59">D65-C65</f>
        <v>681</v>
      </c>
      <c r="F65" s="39">
        <v>80.0</v>
      </c>
      <c r="G65" s="14">
        <f t="shared" ref="G65:G71" si="60">(F65/E65)*100</f>
        <v>11.74743025</v>
      </c>
      <c r="H65" s="137"/>
      <c r="I65" s="271">
        <v>25470.0</v>
      </c>
      <c r="J65" s="41">
        <f t="shared" ref="J65:J71" si="61">I65-H65</f>
        <v>25470</v>
      </c>
      <c r="K65" s="81">
        <f t="shared" ref="K65:K71" si="62">F65</f>
        <v>80</v>
      </c>
      <c r="L65" s="71">
        <f t="shared" ref="L65:L71" si="63">(K65/J65)*100</f>
        <v>0.3140950137</v>
      </c>
      <c r="M65" s="72">
        <v>18350.0</v>
      </c>
      <c r="N65" s="44">
        <f t="shared" ref="N65:N71" si="64">F65*M65</f>
        <v>1468000</v>
      </c>
      <c r="R65" s="80" t="str">
        <f t="shared" si="49"/>
        <v/>
      </c>
    </row>
    <row r="66">
      <c r="A66" s="35">
        <v>45910.0</v>
      </c>
      <c r="B66" s="46" t="s">
        <v>20</v>
      </c>
      <c r="C66" s="37">
        <v>387260.0</v>
      </c>
      <c r="D66" s="37">
        <v>387890.0</v>
      </c>
      <c r="E66" s="12">
        <f t="shared" si="59"/>
        <v>630</v>
      </c>
      <c r="F66" s="47">
        <v>84.0</v>
      </c>
      <c r="G66" s="14">
        <f t="shared" si="60"/>
        <v>13.33333333</v>
      </c>
      <c r="H66" s="37">
        <v>25470.0</v>
      </c>
      <c r="I66" s="40">
        <v>26050.0</v>
      </c>
      <c r="J66" s="37">
        <f t="shared" si="61"/>
        <v>580</v>
      </c>
      <c r="K66" s="52">
        <f t="shared" si="62"/>
        <v>84</v>
      </c>
      <c r="L66" s="48">
        <f t="shared" si="63"/>
        <v>14.48275862</v>
      </c>
      <c r="M66" s="50">
        <v>18470.0</v>
      </c>
      <c r="N66" s="49">
        <f t="shared" si="64"/>
        <v>1551480</v>
      </c>
      <c r="R66" s="80" t="str">
        <f t="shared" si="49"/>
        <v/>
      </c>
    </row>
    <row r="67">
      <c r="A67" s="35">
        <v>45923.0</v>
      </c>
      <c r="B67" s="46" t="s">
        <v>20</v>
      </c>
      <c r="C67" s="37">
        <v>387890.0</v>
      </c>
      <c r="D67" s="37">
        <v>388518.0</v>
      </c>
      <c r="E67" s="12">
        <f t="shared" si="59"/>
        <v>628</v>
      </c>
      <c r="F67" s="47">
        <v>76.0</v>
      </c>
      <c r="G67" s="14">
        <f t="shared" si="60"/>
        <v>12.10191083</v>
      </c>
      <c r="H67" s="37"/>
      <c r="I67" s="40"/>
      <c r="J67" s="37">
        <f t="shared" si="61"/>
        <v>0</v>
      </c>
      <c r="K67" s="52">
        <f t="shared" si="62"/>
        <v>76</v>
      </c>
      <c r="L67" s="48" t="str">
        <f t="shared" si="63"/>
        <v>#DIV/0!</v>
      </c>
      <c r="M67" s="50">
        <v>18700.0</v>
      </c>
      <c r="N67" s="49">
        <f t="shared" si="64"/>
        <v>1421200</v>
      </c>
      <c r="R67" s="80" t="str">
        <f t="shared" si="49"/>
        <v/>
      </c>
    </row>
    <row r="68">
      <c r="A68" s="35">
        <v>45927.0</v>
      </c>
      <c r="B68" s="46" t="s">
        <v>20</v>
      </c>
      <c r="C68" s="37">
        <v>388518.0</v>
      </c>
      <c r="D68" s="37">
        <v>389104.0</v>
      </c>
      <c r="E68" s="12">
        <f t="shared" si="59"/>
        <v>586</v>
      </c>
      <c r="F68" s="47">
        <v>77.0</v>
      </c>
      <c r="G68" s="14">
        <f t="shared" si="60"/>
        <v>13.13993174</v>
      </c>
      <c r="H68" s="37"/>
      <c r="I68" s="40"/>
      <c r="J68" s="37">
        <f t="shared" si="61"/>
        <v>0</v>
      </c>
      <c r="K68" s="52">
        <f t="shared" si="62"/>
        <v>77</v>
      </c>
      <c r="L68" s="48" t="str">
        <f t="shared" si="63"/>
        <v>#DIV/0!</v>
      </c>
      <c r="M68" s="50">
        <v>18650.0</v>
      </c>
      <c r="N68" s="49">
        <f t="shared" si="64"/>
        <v>1436050</v>
      </c>
      <c r="R68" s="80" t="str">
        <f t="shared" si="49"/>
        <v/>
      </c>
    </row>
    <row r="69">
      <c r="A69" s="35"/>
      <c r="B69" s="46" t="s">
        <v>20</v>
      </c>
      <c r="C69" s="37"/>
      <c r="D69" s="37"/>
      <c r="E69" s="12">
        <f t="shared" si="59"/>
        <v>0</v>
      </c>
      <c r="F69" s="47"/>
      <c r="G69" s="14" t="str">
        <f t="shared" si="60"/>
        <v>#DIV/0!</v>
      </c>
      <c r="H69" s="37"/>
      <c r="I69" s="40"/>
      <c r="J69" s="37">
        <f t="shared" si="61"/>
        <v>0</v>
      </c>
      <c r="K69" s="52" t="str">
        <f t="shared" si="62"/>
        <v/>
      </c>
      <c r="L69" s="48" t="str">
        <f t="shared" si="63"/>
        <v>#DIV/0!</v>
      </c>
      <c r="M69" s="50"/>
      <c r="N69" s="49">
        <f t="shared" si="64"/>
        <v>0</v>
      </c>
      <c r="R69" s="80" t="str">
        <f t="shared" si="49"/>
        <v/>
      </c>
    </row>
    <row r="70">
      <c r="A70" s="258"/>
      <c r="B70" s="46" t="s">
        <v>20</v>
      </c>
      <c r="C70" s="37"/>
      <c r="D70" s="133"/>
      <c r="E70" s="12">
        <f t="shared" si="59"/>
        <v>0</v>
      </c>
      <c r="F70" s="47"/>
      <c r="G70" s="14" t="str">
        <f t="shared" si="60"/>
        <v>#DIV/0!</v>
      </c>
      <c r="H70" s="37"/>
      <c r="I70" s="93"/>
      <c r="J70" s="37">
        <f t="shared" si="61"/>
        <v>0</v>
      </c>
      <c r="K70" s="52" t="str">
        <f t="shared" si="62"/>
        <v/>
      </c>
      <c r="L70" s="48" t="str">
        <f t="shared" si="63"/>
        <v>#DIV/0!</v>
      </c>
      <c r="M70" s="134"/>
      <c r="N70" s="49">
        <f t="shared" si="64"/>
        <v>0</v>
      </c>
      <c r="R70" s="80" t="str">
        <f t="shared" si="49"/>
        <v/>
      </c>
    </row>
    <row r="71">
      <c r="A71" s="94"/>
      <c r="B71" s="267"/>
      <c r="C71" s="55"/>
      <c r="D71" s="95"/>
      <c r="E71" s="25">
        <f t="shared" si="59"/>
        <v>0</v>
      </c>
      <c r="F71" s="47"/>
      <c r="G71" s="56" t="str">
        <f t="shared" si="60"/>
        <v>#DIV/0!</v>
      </c>
      <c r="H71" s="55"/>
      <c r="I71" s="85"/>
      <c r="J71" s="55">
        <f t="shared" si="61"/>
        <v>0</v>
      </c>
      <c r="K71" s="52" t="str">
        <f t="shared" si="62"/>
        <v/>
      </c>
      <c r="L71" s="77" t="str">
        <f t="shared" si="63"/>
        <v>#DIV/0!</v>
      </c>
      <c r="M71" s="96"/>
      <c r="N71" s="59">
        <f t="shared" si="64"/>
        <v>0</v>
      </c>
      <c r="R71" s="80" t="str">
        <f t="shared" si="49"/>
        <v/>
      </c>
    </row>
    <row r="72">
      <c r="A72" s="62"/>
      <c r="B72" s="63"/>
      <c r="C72" s="62"/>
      <c r="D72" s="64" t="s">
        <v>19</v>
      </c>
      <c r="E72" s="64">
        <f>sum(E65:E71)</f>
        <v>2525</v>
      </c>
      <c r="F72" s="39"/>
      <c r="G72" s="65" t="str">
        <f>average(G65:G71)</f>
        <v>#DIV/0!</v>
      </c>
      <c r="H72" s="62"/>
      <c r="I72" s="66"/>
      <c r="J72" s="64">
        <f>sum(J65:J71)</f>
        <v>26050</v>
      </c>
      <c r="K72" s="64">
        <f>sum(K66:K71)</f>
        <v>237</v>
      </c>
      <c r="L72" s="65" t="str">
        <f>average(L65:L71)</f>
        <v>#DIV/0!</v>
      </c>
      <c r="M72" s="68"/>
      <c r="N72" s="69">
        <f>sum(N65:N71)</f>
        <v>5876730</v>
      </c>
      <c r="R72" s="80" t="str">
        <f t="shared" si="49"/>
        <v/>
      </c>
    </row>
    <row r="73">
      <c r="A73" s="91">
        <v>45903.0</v>
      </c>
      <c r="B73" s="36" t="s">
        <v>21</v>
      </c>
      <c r="C73" s="89">
        <v>368349.0</v>
      </c>
      <c r="D73" s="41">
        <v>368832.0</v>
      </c>
      <c r="E73" s="38">
        <f t="shared" ref="E73:E79" si="65">D73-C73</f>
        <v>483</v>
      </c>
      <c r="F73" s="39">
        <v>72.0</v>
      </c>
      <c r="G73" s="14">
        <f t="shared" ref="G73:G79" si="66">(F73/E73)*100</f>
        <v>14.9068323</v>
      </c>
      <c r="H73" s="268"/>
      <c r="I73" s="271">
        <v>16026.0</v>
      </c>
      <c r="J73" s="41">
        <f t="shared" ref="J73:J79" si="67">I73-H73</f>
        <v>16026</v>
      </c>
      <c r="K73" s="81">
        <f t="shared" ref="K73:K79" si="68">F73</f>
        <v>72</v>
      </c>
      <c r="L73" s="71">
        <f t="shared" ref="L73:L79" si="69">(K73/J73)*100</f>
        <v>0.4492699364</v>
      </c>
      <c r="M73" s="72">
        <v>18350.0</v>
      </c>
      <c r="N73" s="44">
        <f t="shared" ref="N73:N79" si="70">F73*M73</f>
        <v>1321200</v>
      </c>
      <c r="R73" s="80" t="str">
        <f t="shared" si="49"/>
        <v/>
      </c>
    </row>
    <row r="74">
      <c r="A74" s="92">
        <v>45916.0</v>
      </c>
      <c r="B74" s="46" t="s">
        <v>21</v>
      </c>
      <c r="C74" s="41">
        <v>368832.0</v>
      </c>
      <c r="D74" s="37">
        <v>369338.0</v>
      </c>
      <c r="E74" s="12">
        <f t="shared" si="65"/>
        <v>506</v>
      </c>
      <c r="F74" s="47">
        <v>70.0</v>
      </c>
      <c r="G74" s="14">
        <f t="shared" si="66"/>
        <v>13.83399209</v>
      </c>
      <c r="H74" s="271">
        <v>16026.0</v>
      </c>
      <c r="I74" s="37">
        <v>16510.0</v>
      </c>
      <c r="J74" s="37">
        <f t="shared" si="67"/>
        <v>484</v>
      </c>
      <c r="K74" s="52">
        <f t="shared" si="68"/>
        <v>70</v>
      </c>
      <c r="L74" s="48">
        <f t="shared" si="69"/>
        <v>14.46280992</v>
      </c>
      <c r="M74" s="50">
        <v>18640.0</v>
      </c>
      <c r="N74" s="49">
        <f t="shared" si="70"/>
        <v>1304800</v>
      </c>
      <c r="R74" s="80" t="str">
        <f t="shared" si="49"/>
        <v/>
      </c>
    </row>
    <row r="75">
      <c r="A75" s="92">
        <v>45923.0</v>
      </c>
      <c r="B75" s="46" t="s">
        <v>21</v>
      </c>
      <c r="C75" s="37">
        <v>369338.0</v>
      </c>
      <c r="D75" s="37">
        <v>369835.0</v>
      </c>
      <c r="E75" s="12">
        <f t="shared" si="65"/>
        <v>497</v>
      </c>
      <c r="F75" s="47">
        <v>70.0</v>
      </c>
      <c r="G75" s="14">
        <f t="shared" si="66"/>
        <v>14.08450704</v>
      </c>
      <c r="H75" s="37"/>
      <c r="I75" s="40"/>
      <c r="J75" s="37">
        <f t="shared" si="67"/>
        <v>0</v>
      </c>
      <c r="K75" s="52">
        <f t="shared" si="68"/>
        <v>70</v>
      </c>
      <c r="L75" s="48" t="str">
        <f t="shared" si="69"/>
        <v>#DIV/0!</v>
      </c>
      <c r="M75" s="50">
        <v>18700.0</v>
      </c>
      <c r="N75" s="49">
        <f t="shared" si="70"/>
        <v>1309000</v>
      </c>
      <c r="R75" s="80" t="str">
        <f t="shared" si="49"/>
        <v/>
      </c>
    </row>
    <row r="76">
      <c r="A76" s="92">
        <v>45930.0</v>
      </c>
      <c r="B76" s="46" t="s">
        <v>21</v>
      </c>
      <c r="C76" s="37">
        <v>369835.0</v>
      </c>
      <c r="D76" s="37">
        <v>370365.0</v>
      </c>
      <c r="E76" s="12">
        <f t="shared" si="65"/>
        <v>530</v>
      </c>
      <c r="F76" s="47">
        <v>70.0</v>
      </c>
      <c r="G76" s="14">
        <f t="shared" si="66"/>
        <v>13.20754717</v>
      </c>
      <c r="H76" s="37"/>
      <c r="I76" s="40"/>
      <c r="J76" s="37">
        <f t="shared" si="67"/>
        <v>0</v>
      </c>
      <c r="K76" s="52">
        <f t="shared" si="68"/>
        <v>70</v>
      </c>
      <c r="L76" s="48" t="str">
        <f t="shared" si="69"/>
        <v>#DIV/0!</v>
      </c>
      <c r="M76" s="50">
        <v>18650.0</v>
      </c>
      <c r="N76" s="49">
        <f t="shared" si="70"/>
        <v>1305500</v>
      </c>
      <c r="R76" s="80" t="str">
        <f t="shared" si="49"/>
        <v/>
      </c>
    </row>
    <row r="77">
      <c r="A77" s="35"/>
      <c r="B77" s="46" t="s">
        <v>21</v>
      </c>
      <c r="C77" s="37"/>
      <c r="D77" s="37"/>
      <c r="E77" s="12">
        <f t="shared" si="65"/>
        <v>0</v>
      </c>
      <c r="F77" s="47"/>
      <c r="G77" s="14" t="str">
        <f t="shared" si="66"/>
        <v>#DIV/0!</v>
      </c>
      <c r="H77" s="37"/>
      <c r="I77" s="40"/>
      <c r="J77" s="37">
        <f t="shared" si="67"/>
        <v>0</v>
      </c>
      <c r="K77" s="52" t="str">
        <f t="shared" si="68"/>
        <v/>
      </c>
      <c r="L77" s="48" t="str">
        <f t="shared" si="69"/>
        <v>#DIV/0!</v>
      </c>
      <c r="M77" s="50"/>
      <c r="N77" s="49">
        <f t="shared" si="70"/>
        <v>0</v>
      </c>
      <c r="R77" s="80" t="str">
        <f t="shared" si="49"/>
        <v/>
      </c>
    </row>
    <row r="78">
      <c r="A78" s="92"/>
      <c r="B78" s="46" t="s">
        <v>37</v>
      </c>
      <c r="C78" s="37"/>
      <c r="D78" s="37"/>
      <c r="E78" s="12">
        <f t="shared" si="65"/>
        <v>0</v>
      </c>
      <c r="F78" s="47"/>
      <c r="G78" s="14" t="str">
        <f t="shared" si="66"/>
        <v>#DIV/0!</v>
      </c>
      <c r="H78" s="37"/>
      <c r="I78" s="93"/>
      <c r="J78" s="37">
        <f t="shared" si="67"/>
        <v>0</v>
      </c>
      <c r="K78" s="52" t="str">
        <f t="shared" si="68"/>
        <v/>
      </c>
      <c r="L78" s="48" t="str">
        <f t="shared" si="69"/>
        <v>#DIV/0!</v>
      </c>
      <c r="M78" s="50"/>
      <c r="N78" s="49">
        <f t="shared" si="70"/>
        <v>0</v>
      </c>
      <c r="R78" s="80" t="str">
        <f t="shared" si="49"/>
        <v/>
      </c>
    </row>
    <row r="79">
      <c r="A79" s="94"/>
      <c r="B79" s="267"/>
      <c r="C79" s="55"/>
      <c r="D79" s="95"/>
      <c r="E79" s="25">
        <f t="shared" si="65"/>
        <v>0</v>
      </c>
      <c r="F79" s="47"/>
      <c r="G79" s="56" t="str">
        <f t="shared" si="66"/>
        <v>#DIV/0!</v>
      </c>
      <c r="H79" s="55"/>
      <c r="I79" s="85"/>
      <c r="J79" s="55">
        <f t="shared" si="67"/>
        <v>0</v>
      </c>
      <c r="K79" s="52" t="str">
        <f t="shared" si="68"/>
        <v/>
      </c>
      <c r="L79" s="77" t="str">
        <f t="shared" si="69"/>
        <v>#DIV/0!</v>
      </c>
      <c r="M79" s="96"/>
      <c r="N79" s="59">
        <f t="shared" si="70"/>
        <v>0</v>
      </c>
      <c r="R79" s="80" t="str">
        <f t="shared" si="49"/>
        <v/>
      </c>
    </row>
    <row r="80">
      <c r="A80" s="62"/>
      <c r="B80" s="63"/>
      <c r="C80" s="62"/>
      <c r="D80" s="64" t="s">
        <v>19</v>
      </c>
      <c r="E80" s="64">
        <f>sum(E73:E79)</f>
        <v>2016</v>
      </c>
      <c r="F80" s="39"/>
      <c r="G80" s="65" t="str">
        <f>average(G73:G79)</f>
        <v>#DIV/0!</v>
      </c>
      <c r="H80" s="62"/>
      <c r="I80" s="66"/>
      <c r="J80" s="64">
        <f t="shared" ref="J80:K80" si="71">sum(J73:J79)</f>
        <v>16510</v>
      </c>
      <c r="K80" s="64">
        <f t="shared" si="71"/>
        <v>282</v>
      </c>
      <c r="L80" s="65" t="str">
        <f>average(L73:L79)</f>
        <v>#DIV/0!</v>
      </c>
      <c r="M80" s="68"/>
      <c r="N80" s="69">
        <f>sum(N73:N79)</f>
        <v>5240500</v>
      </c>
      <c r="R80" s="80" t="str">
        <f t="shared" si="49"/>
        <v/>
      </c>
    </row>
    <row r="81">
      <c r="A81" s="70">
        <v>45913.0</v>
      </c>
      <c r="B81" s="87" t="s">
        <v>22</v>
      </c>
      <c r="C81" s="41">
        <v>202770.0</v>
      </c>
      <c r="D81" s="41">
        <v>203250.0</v>
      </c>
      <c r="E81" s="38">
        <f t="shared" ref="E81:E87" si="72">D81-C81</f>
        <v>480</v>
      </c>
      <c r="F81" s="39">
        <v>65.0</v>
      </c>
      <c r="G81" s="14">
        <f t="shared" ref="G81:G87" si="73">(F81/E81)*100</f>
        <v>13.54166667</v>
      </c>
      <c r="H81" s="137"/>
      <c r="I81" s="138">
        <v>15710.0</v>
      </c>
      <c r="J81" s="41">
        <f t="shared" ref="J81:J87" si="74">I81-H81</f>
        <v>15710</v>
      </c>
      <c r="K81" s="81">
        <f t="shared" ref="K81:K87" si="75">F81</f>
        <v>65</v>
      </c>
      <c r="L81" s="71">
        <f t="shared" ref="L81:L87" si="76">(K81/J81)*100</f>
        <v>0.4137492043</v>
      </c>
      <c r="M81" s="72">
        <v>18640.0</v>
      </c>
      <c r="N81" s="44">
        <f t="shared" ref="N81:N87" si="77">F81*M81</f>
        <v>1211600</v>
      </c>
      <c r="R81" s="80" t="str">
        <f t="shared" si="49"/>
        <v/>
      </c>
    </row>
    <row r="82">
      <c r="A82" s="35">
        <v>45924.0</v>
      </c>
      <c r="B82" s="46" t="s">
        <v>22</v>
      </c>
      <c r="C82" s="41">
        <v>203250.0</v>
      </c>
      <c r="D82" s="37">
        <v>203911.0</v>
      </c>
      <c r="E82" s="12">
        <f t="shared" si="72"/>
        <v>661</v>
      </c>
      <c r="F82" s="47">
        <v>83.0</v>
      </c>
      <c r="G82" s="14">
        <f t="shared" si="73"/>
        <v>12.55673222</v>
      </c>
      <c r="H82" s="40"/>
      <c r="I82" s="40"/>
      <c r="J82" s="37">
        <f t="shared" si="74"/>
        <v>0</v>
      </c>
      <c r="K82" s="52">
        <f t="shared" si="75"/>
        <v>83</v>
      </c>
      <c r="L82" s="48" t="str">
        <f t="shared" si="76"/>
        <v>#DIV/0!</v>
      </c>
      <c r="M82" s="50">
        <v>18700.0</v>
      </c>
      <c r="N82" s="49">
        <f t="shared" si="77"/>
        <v>1552100</v>
      </c>
      <c r="R82" s="80" t="str">
        <f t="shared" si="49"/>
        <v/>
      </c>
    </row>
    <row r="83">
      <c r="A83" s="92"/>
      <c r="B83" s="46" t="s">
        <v>22</v>
      </c>
      <c r="C83" s="37"/>
      <c r="D83" s="37"/>
      <c r="E83" s="12">
        <f t="shared" si="72"/>
        <v>0</v>
      </c>
      <c r="F83" s="47"/>
      <c r="G83" s="14" t="str">
        <f t="shared" si="73"/>
        <v>#DIV/0!</v>
      </c>
      <c r="H83" s="37"/>
      <c r="I83" s="40"/>
      <c r="J83" s="37">
        <f t="shared" si="74"/>
        <v>0</v>
      </c>
      <c r="K83" s="52" t="str">
        <f t="shared" si="75"/>
        <v/>
      </c>
      <c r="L83" s="48" t="str">
        <f t="shared" si="76"/>
        <v>#DIV/0!</v>
      </c>
      <c r="M83" s="50"/>
      <c r="N83" s="49">
        <f t="shared" si="77"/>
        <v>0</v>
      </c>
      <c r="R83" s="80" t="str">
        <f t="shared" si="49"/>
        <v/>
      </c>
    </row>
    <row r="84">
      <c r="A84" s="35"/>
      <c r="B84" s="46" t="s">
        <v>22</v>
      </c>
      <c r="C84" s="37"/>
      <c r="D84" s="37"/>
      <c r="E84" s="12">
        <f t="shared" si="72"/>
        <v>0</v>
      </c>
      <c r="F84" s="47"/>
      <c r="G84" s="14" t="str">
        <f t="shared" si="73"/>
        <v>#DIV/0!</v>
      </c>
      <c r="H84" s="37"/>
      <c r="I84" s="40"/>
      <c r="J84" s="37">
        <f t="shared" si="74"/>
        <v>0</v>
      </c>
      <c r="K84" s="52" t="str">
        <f t="shared" si="75"/>
        <v/>
      </c>
      <c r="L84" s="48" t="str">
        <f t="shared" si="76"/>
        <v>#DIV/0!</v>
      </c>
      <c r="M84" s="50"/>
      <c r="N84" s="49">
        <f t="shared" si="77"/>
        <v>0</v>
      </c>
      <c r="R84" s="80" t="str">
        <f t="shared" si="49"/>
        <v/>
      </c>
    </row>
    <row r="85">
      <c r="A85" s="35"/>
      <c r="B85" s="46" t="s">
        <v>22</v>
      </c>
      <c r="C85" s="37"/>
      <c r="D85" s="37"/>
      <c r="E85" s="12">
        <f t="shared" si="72"/>
        <v>0</v>
      </c>
      <c r="F85" s="47"/>
      <c r="G85" s="14" t="str">
        <f t="shared" si="73"/>
        <v>#DIV/0!</v>
      </c>
      <c r="H85" s="37"/>
      <c r="I85" s="40"/>
      <c r="J85" s="37">
        <f t="shared" si="74"/>
        <v>0</v>
      </c>
      <c r="K85" s="52" t="str">
        <f t="shared" si="75"/>
        <v/>
      </c>
      <c r="L85" s="48" t="str">
        <f t="shared" si="76"/>
        <v>#DIV/0!</v>
      </c>
      <c r="M85" s="50"/>
      <c r="N85" s="49">
        <f t="shared" si="77"/>
        <v>0</v>
      </c>
      <c r="R85" s="80" t="str">
        <f t="shared" si="49"/>
        <v/>
      </c>
    </row>
    <row r="86">
      <c r="A86" s="92"/>
      <c r="B86" s="46" t="s">
        <v>22</v>
      </c>
      <c r="C86" s="37"/>
      <c r="D86" s="37"/>
      <c r="E86" s="12">
        <f t="shared" si="72"/>
        <v>0</v>
      </c>
      <c r="F86" s="47"/>
      <c r="G86" s="14" t="str">
        <f t="shared" si="73"/>
        <v>#DIV/0!</v>
      </c>
      <c r="H86" s="37"/>
      <c r="I86" s="93"/>
      <c r="J86" s="37">
        <f t="shared" si="74"/>
        <v>0</v>
      </c>
      <c r="K86" s="52" t="str">
        <f t="shared" si="75"/>
        <v/>
      </c>
      <c r="L86" s="48" t="str">
        <f t="shared" si="76"/>
        <v>#DIV/0!</v>
      </c>
      <c r="M86" s="50"/>
      <c r="N86" s="49">
        <f t="shared" si="77"/>
        <v>0</v>
      </c>
      <c r="R86" s="80" t="str">
        <f t="shared" si="49"/>
        <v/>
      </c>
    </row>
    <row r="87">
      <c r="A87" s="97"/>
      <c r="B87" s="267"/>
      <c r="C87" s="55"/>
      <c r="D87" s="95"/>
      <c r="E87" s="25">
        <f t="shared" si="72"/>
        <v>0</v>
      </c>
      <c r="F87" s="47"/>
      <c r="G87" s="56" t="str">
        <f t="shared" si="73"/>
        <v>#DIV/0!</v>
      </c>
      <c r="H87" s="55"/>
      <c r="I87" s="57"/>
      <c r="J87" s="55">
        <f t="shared" si="74"/>
        <v>0</v>
      </c>
      <c r="K87" s="52" t="str">
        <f t="shared" si="75"/>
        <v/>
      </c>
      <c r="L87" s="77" t="str">
        <f t="shared" si="76"/>
        <v>#DIV/0!</v>
      </c>
      <c r="M87" s="96"/>
      <c r="N87" s="59">
        <f t="shared" si="77"/>
        <v>0</v>
      </c>
      <c r="R87" s="80" t="str">
        <f t="shared" si="49"/>
        <v/>
      </c>
    </row>
    <row r="88">
      <c r="A88" s="62"/>
      <c r="B88" s="63"/>
      <c r="C88" s="62"/>
      <c r="D88" s="64" t="s">
        <v>19</v>
      </c>
      <c r="E88" s="64">
        <f>sum(E81:E87)</f>
        <v>1141</v>
      </c>
      <c r="F88" s="64">
        <f>sum(F80:F87)</f>
        <v>148</v>
      </c>
      <c r="G88" s="65" t="str">
        <f>average(G81:G87)</f>
        <v>#DIV/0!</v>
      </c>
      <c r="H88" s="62"/>
      <c r="I88" s="66"/>
      <c r="J88" s="64">
        <f t="shared" ref="J88:K88" si="78">sum(J81:J87)</f>
        <v>15710</v>
      </c>
      <c r="K88" s="64">
        <f t="shared" si="78"/>
        <v>148</v>
      </c>
      <c r="L88" s="65" t="str">
        <f>average(L81:L87)</f>
        <v>#DIV/0!</v>
      </c>
      <c r="M88" s="68"/>
      <c r="N88" s="69">
        <f>sum(N81:N87)</f>
        <v>2763700</v>
      </c>
      <c r="R88" s="80" t="str">
        <f t="shared" si="49"/>
        <v/>
      </c>
    </row>
    <row r="89">
      <c r="A89" s="98">
        <v>45911.0</v>
      </c>
      <c r="B89" s="99" t="s">
        <v>38</v>
      </c>
      <c r="C89" s="295">
        <v>158665.0</v>
      </c>
      <c r="D89" s="41">
        <v>159300.0</v>
      </c>
      <c r="E89" s="38">
        <f t="shared" ref="E89:E94" si="79">D89-C89</f>
        <v>635</v>
      </c>
      <c r="F89" s="39">
        <v>79.0</v>
      </c>
      <c r="G89" s="14">
        <f t="shared" ref="G89:G94" si="80">(F89/E89)*100</f>
        <v>12.44094488</v>
      </c>
      <c r="H89" s="137"/>
      <c r="I89" s="275">
        <v>19380.0</v>
      </c>
      <c r="J89" s="41">
        <f t="shared" ref="J89:J94" si="81">I89-H89</f>
        <v>19380</v>
      </c>
      <c r="K89" s="81">
        <f t="shared" ref="K89:K94" si="82">F89</f>
        <v>79</v>
      </c>
      <c r="L89" s="71">
        <f t="shared" ref="L89:L94" si="83">(K89/J89)*100</f>
        <v>0.4076367389</v>
      </c>
      <c r="M89" s="72">
        <v>18470.0</v>
      </c>
      <c r="N89" s="44">
        <f t="shared" ref="N89:N94" si="84">F89*M89</f>
        <v>1459130</v>
      </c>
      <c r="R89" s="80" t="str">
        <f t="shared" si="49"/>
        <v/>
      </c>
    </row>
    <row r="90">
      <c r="A90" s="101">
        <v>45918.0</v>
      </c>
      <c r="B90" s="46" t="s">
        <v>38</v>
      </c>
      <c r="C90" s="278">
        <v>159300.0</v>
      </c>
      <c r="D90" s="37">
        <v>159790.0</v>
      </c>
      <c r="E90" s="12">
        <f t="shared" si="79"/>
        <v>490</v>
      </c>
      <c r="F90" s="47">
        <v>60.0</v>
      </c>
      <c r="G90" s="14">
        <f t="shared" si="80"/>
        <v>12.24489796</v>
      </c>
      <c r="H90" s="37"/>
      <c r="I90" s="40"/>
      <c r="J90" s="37">
        <f t="shared" si="81"/>
        <v>0</v>
      </c>
      <c r="K90" s="52">
        <f t="shared" si="82"/>
        <v>60</v>
      </c>
      <c r="L90" s="48" t="str">
        <f t="shared" si="83"/>
        <v>#DIV/0!</v>
      </c>
      <c r="M90" s="50">
        <v>18640.0</v>
      </c>
      <c r="N90" s="49">
        <f t="shared" si="84"/>
        <v>1118400</v>
      </c>
      <c r="R90" s="80" t="str">
        <f t="shared" si="49"/>
        <v/>
      </c>
    </row>
    <row r="91">
      <c r="A91" s="101">
        <v>45925.0</v>
      </c>
      <c r="B91" s="46" t="s">
        <v>38</v>
      </c>
      <c r="C91" s="37">
        <v>159790.0</v>
      </c>
      <c r="D91" s="37">
        <v>160527.0</v>
      </c>
      <c r="E91" s="12">
        <f t="shared" si="79"/>
        <v>737</v>
      </c>
      <c r="F91" s="47">
        <v>79.0</v>
      </c>
      <c r="G91" s="14">
        <f t="shared" si="80"/>
        <v>10.71913161</v>
      </c>
      <c r="H91" s="37"/>
      <c r="I91" s="40"/>
      <c r="J91" s="37">
        <f t="shared" si="81"/>
        <v>0</v>
      </c>
      <c r="K91" s="52">
        <f t="shared" si="82"/>
        <v>79</v>
      </c>
      <c r="L91" s="48" t="str">
        <f t="shared" si="83"/>
        <v>#DIV/0!</v>
      </c>
      <c r="M91" s="50">
        <v>18650.0</v>
      </c>
      <c r="N91" s="49">
        <f t="shared" si="84"/>
        <v>1473350</v>
      </c>
      <c r="R91" s="80" t="str">
        <f t="shared" si="49"/>
        <v/>
      </c>
    </row>
    <row r="92">
      <c r="A92" s="101"/>
      <c r="B92" s="46" t="s">
        <v>38</v>
      </c>
      <c r="C92" s="278"/>
      <c r="D92" s="37"/>
      <c r="E92" s="12">
        <f t="shared" si="79"/>
        <v>0</v>
      </c>
      <c r="F92" s="47"/>
      <c r="G92" s="14" t="str">
        <f t="shared" si="80"/>
        <v>#DIV/0!</v>
      </c>
      <c r="H92" s="37"/>
      <c r="I92" s="40"/>
      <c r="J92" s="37">
        <f t="shared" si="81"/>
        <v>0</v>
      </c>
      <c r="K92" s="52" t="str">
        <f t="shared" si="82"/>
        <v/>
      </c>
      <c r="L92" s="48" t="str">
        <f t="shared" si="83"/>
        <v>#DIV/0!</v>
      </c>
      <c r="M92" s="50"/>
      <c r="N92" s="49">
        <f t="shared" si="84"/>
        <v>0</v>
      </c>
      <c r="R92" s="80" t="str">
        <f t="shared" si="49"/>
        <v/>
      </c>
    </row>
    <row r="93">
      <c r="A93" s="101"/>
      <c r="B93" s="46" t="s">
        <v>38</v>
      </c>
      <c r="C93" s="278"/>
      <c r="D93" s="100"/>
      <c r="E93" s="12">
        <f t="shared" si="79"/>
        <v>0</v>
      </c>
      <c r="F93" s="47"/>
      <c r="G93" s="14" t="str">
        <f t="shared" si="80"/>
        <v>#DIV/0!</v>
      </c>
      <c r="H93" s="37"/>
      <c r="I93" s="40"/>
      <c r="J93" s="37">
        <f t="shared" si="81"/>
        <v>0</v>
      </c>
      <c r="K93" s="52" t="str">
        <f t="shared" si="82"/>
        <v/>
      </c>
      <c r="L93" s="48" t="str">
        <f t="shared" si="83"/>
        <v>#DIV/0!</v>
      </c>
      <c r="M93" s="50"/>
      <c r="N93" s="49">
        <f t="shared" si="84"/>
        <v>0</v>
      </c>
      <c r="R93" s="80" t="str">
        <f t="shared" si="49"/>
        <v/>
      </c>
    </row>
    <row r="94">
      <c r="A94" s="102"/>
      <c r="B94" s="103" t="s">
        <v>38</v>
      </c>
      <c r="C94" s="104"/>
      <c r="D94" s="105"/>
      <c r="E94" s="12">
        <f t="shared" si="79"/>
        <v>0</v>
      </c>
      <c r="F94" s="47"/>
      <c r="G94" s="106" t="str">
        <f t="shared" si="80"/>
        <v>#DIV/0!</v>
      </c>
      <c r="H94" s="107"/>
      <c r="I94" s="108"/>
      <c r="J94" s="107">
        <f t="shared" si="81"/>
        <v>0</v>
      </c>
      <c r="K94" s="52" t="str">
        <f t="shared" si="82"/>
        <v/>
      </c>
      <c r="L94" s="109" t="str">
        <f t="shared" si="83"/>
        <v>#DIV/0!</v>
      </c>
      <c r="M94" s="110"/>
      <c r="N94" s="111">
        <f t="shared" si="84"/>
        <v>0</v>
      </c>
      <c r="R94" s="80" t="str">
        <f t="shared" si="49"/>
        <v/>
      </c>
    </row>
    <row r="95">
      <c r="A95" s="112"/>
      <c r="B95" s="113"/>
      <c r="C95" s="114"/>
      <c r="D95" s="115" t="s">
        <v>19</v>
      </c>
      <c r="E95" s="116">
        <f>SUM(E89:E94)</f>
        <v>1862</v>
      </c>
      <c r="F95" s="64">
        <f>sum(F87:F94)</f>
        <v>366</v>
      </c>
      <c r="G95" s="117" t="str">
        <f>average(G89:G94)</f>
        <v>#DIV/0!</v>
      </c>
      <c r="H95" s="114"/>
      <c r="I95" s="118"/>
      <c r="J95" s="115">
        <f t="shared" ref="J95:K95" si="85">sum(J89:J94)</f>
        <v>19380</v>
      </c>
      <c r="K95" s="115">
        <f t="shared" si="85"/>
        <v>218</v>
      </c>
      <c r="L95" s="119" t="str">
        <f>average(L89:L94)</f>
        <v>#DIV/0!</v>
      </c>
      <c r="M95" s="120"/>
      <c r="N95" s="269">
        <f>sum(N89:N94)</f>
        <v>4050880</v>
      </c>
      <c r="R95" s="80" t="str">
        <f t="shared" si="49"/>
        <v/>
      </c>
    </row>
    <row r="96">
      <c r="A96" s="122">
        <v>45906.0</v>
      </c>
      <c r="B96" s="123" t="s">
        <v>39</v>
      </c>
      <c r="C96" s="89">
        <v>108720.0</v>
      </c>
      <c r="D96" s="89">
        <v>109530.0</v>
      </c>
      <c r="E96" s="38">
        <f t="shared" ref="E96:E102" si="86">D96-C96</f>
        <v>810</v>
      </c>
      <c r="F96" s="39">
        <v>87.0</v>
      </c>
      <c r="G96" s="124">
        <f t="shared" ref="G96:G102" si="87">(F96/E96)*100</f>
        <v>10.74074074</v>
      </c>
      <c r="H96" s="137"/>
      <c r="I96" s="271">
        <v>20800.0</v>
      </c>
      <c r="J96" s="89">
        <f t="shared" ref="J96:J102" si="88">I96-H96</f>
        <v>20800</v>
      </c>
      <c r="K96" s="81">
        <f t="shared" ref="K96:K102" si="89">F96</f>
        <v>87</v>
      </c>
      <c r="L96" s="125">
        <f t="shared" ref="L96:L102" si="90">(K96/J96)*100</f>
        <v>0.4182692308</v>
      </c>
      <c r="M96" s="126">
        <v>18470.0</v>
      </c>
      <c r="N96" s="287">
        <f>M96*K96</f>
        <v>1606890</v>
      </c>
      <c r="R96" s="80" t="str">
        <f t="shared" si="49"/>
        <v/>
      </c>
    </row>
    <row r="97">
      <c r="A97" s="127">
        <v>45910.0</v>
      </c>
      <c r="B97" s="46" t="s">
        <v>39</v>
      </c>
      <c r="C97" s="37">
        <v>109530.0</v>
      </c>
      <c r="D97" s="37">
        <v>110210.0</v>
      </c>
      <c r="E97" s="12">
        <f t="shared" si="86"/>
        <v>680</v>
      </c>
      <c r="F97" s="47">
        <v>73.0</v>
      </c>
      <c r="G97" s="14">
        <f t="shared" si="87"/>
        <v>10.73529412</v>
      </c>
      <c r="H97" s="13">
        <v>20800.0</v>
      </c>
      <c r="I97" s="16">
        <v>21300.0</v>
      </c>
      <c r="J97" s="37">
        <f t="shared" si="88"/>
        <v>500</v>
      </c>
      <c r="K97" s="52">
        <f t="shared" si="89"/>
        <v>73</v>
      </c>
      <c r="L97" s="48">
        <f t="shared" si="90"/>
        <v>14.6</v>
      </c>
      <c r="M97" s="50">
        <v>18470.0</v>
      </c>
      <c r="N97" s="270">
        <f t="shared" ref="N97:N102" si="91">F97*M97</f>
        <v>1348310</v>
      </c>
      <c r="R97" s="80" t="str">
        <f t="shared" si="49"/>
        <v/>
      </c>
      <c r="S97" s="257"/>
      <c r="T97" s="257"/>
      <c r="U97" s="257"/>
      <c r="V97" s="257"/>
      <c r="W97" s="257"/>
      <c r="X97" s="257"/>
      <c r="Y97" s="257"/>
      <c r="Z97" s="257"/>
    </row>
    <row r="98">
      <c r="A98" s="127">
        <v>45917.0</v>
      </c>
      <c r="B98" s="46" t="s">
        <v>39</v>
      </c>
      <c r="C98" s="37">
        <v>110210.0</v>
      </c>
      <c r="D98" s="37">
        <v>110971.0</v>
      </c>
      <c r="E98" s="12">
        <f t="shared" si="86"/>
        <v>761</v>
      </c>
      <c r="F98" s="47">
        <v>80.0</v>
      </c>
      <c r="G98" s="14">
        <f t="shared" si="87"/>
        <v>10.51248357</v>
      </c>
      <c r="H98" s="37"/>
      <c r="I98" s="40"/>
      <c r="J98" s="37">
        <f t="shared" si="88"/>
        <v>0</v>
      </c>
      <c r="K98" s="52">
        <f t="shared" si="89"/>
        <v>80</v>
      </c>
      <c r="L98" s="48" t="str">
        <f t="shared" si="90"/>
        <v>#DIV/0!</v>
      </c>
      <c r="M98" s="50">
        <v>18640.0</v>
      </c>
      <c r="N98" s="270">
        <f t="shared" si="91"/>
        <v>1491200</v>
      </c>
      <c r="P98" s="82"/>
      <c r="R98" s="80" t="str">
        <f t="shared" si="49"/>
        <v/>
      </c>
    </row>
    <row r="99">
      <c r="A99" s="127">
        <v>45925.0</v>
      </c>
      <c r="B99" s="46" t="s">
        <v>39</v>
      </c>
      <c r="C99" s="37">
        <v>110971.0</v>
      </c>
      <c r="D99" s="37">
        <v>111598.0</v>
      </c>
      <c r="E99" s="12">
        <f t="shared" si="86"/>
        <v>627</v>
      </c>
      <c r="F99" s="47">
        <v>73.0</v>
      </c>
      <c r="G99" s="14">
        <f t="shared" si="87"/>
        <v>11.64274322</v>
      </c>
      <c r="H99" s="37"/>
      <c r="I99" s="40"/>
      <c r="J99" s="37">
        <f t="shared" si="88"/>
        <v>0</v>
      </c>
      <c r="K99" s="52">
        <f t="shared" si="89"/>
        <v>73</v>
      </c>
      <c r="L99" s="48" t="str">
        <f t="shared" si="90"/>
        <v>#DIV/0!</v>
      </c>
      <c r="M99" s="50">
        <v>18650.0</v>
      </c>
      <c r="N99" s="49">
        <f t="shared" si="91"/>
        <v>1361450</v>
      </c>
      <c r="R99" s="80" t="str">
        <f t="shared" si="49"/>
        <v/>
      </c>
    </row>
    <row r="100">
      <c r="A100" s="35"/>
      <c r="B100" s="46" t="s">
        <v>39</v>
      </c>
      <c r="C100" s="37"/>
      <c r="D100" s="37"/>
      <c r="E100" s="12">
        <f t="shared" si="86"/>
        <v>0</v>
      </c>
      <c r="F100" s="47"/>
      <c r="G100" s="14" t="str">
        <f t="shared" si="87"/>
        <v>#DIV/0!</v>
      </c>
      <c r="H100" s="37"/>
      <c r="I100" s="40"/>
      <c r="J100" s="37">
        <f t="shared" si="88"/>
        <v>0</v>
      </c>
      <c r="K100" s="52" t="str">
        <f t="shared" si="89"/>
        <v/>
      </c>
      <c r="L100" s="48" t="str">
        <f t="shared" si="90"/>
        <v>#DIV/0!</v>
      </c>
      <c r="M100" s="50"/>
      <c r="N100" s="49">
        <f t="shared" si="91"/>
        <v>0</v>
      </c>
      <c r="R100" s="80" t="str">
        <f t="shared" si="49"/>
        <v/>
      </c>
    </row>
    <row r="101">
      <c r="A101" s="258"/>
      <c r="B101" s="46" t="s">
        <v>39</v>
      </c>
      <c r="C101" s="37"/>
      <c r="D101" s="133"/>
      <c r="E101" s="12">
        <f t="shared" si="86"/>
        <v>0</v>
      </c>
      <c r="F101" s="47"/>
      <c r="G101" s="14" t="str">
        <f t="shared" si="87"/>
        <v>#DIV/0!</v>
      </c>
      <c r="H101" s="37"/>
      <c r="I101" s="93"/>
      <c r="J101" s="37">
        <f t="shared" si="88"/>
        <v>0</v>
      </c>
      <c r="K101" s="52" t="str">
        <f t="shared" si="89"/>
        <v/>
      </c>
      <c r="L101" s="48" t="str">
        <f t="shared" si="90"/>
        <v>#DIV/0!</v>
      </c>
      <c r="M101" s="134"/>
      <c r="N101" s="49">
        <f t="shared" si="91"/>
        <v>0</v>
      </c>
      <c r="R101" s="80" t="str">
        <f t="shared" si="49"/>
        <v/>
      </c>
    </row>
    <row r="102">
      <c r="A102" s="94"/>
      <c r="B102" s="267"/>
      <c r="C102" s="55"/>
      <c r="D102" s="95"/>
      <c r="E102" s="25">
        <f t="shared" si="86"/>
        <v>0</v>
      </c>
      <c r="F102" s="47"/>
      <c r="G102" s="56" t="str">
        <f t="shared" si="87"/>
        <v>#DIV/0!</v>
      </c>
      <c r="H102" s="55"/>
      <c r="I102" s="85"/>
      <c r="J102" s="55">
        <f t="shared" si="88"/>
        <v>0</v>
      </c>
      <c r="K102" s="52" t="str">
        <f t="shared" si="89"/>
        <v/>
      </c>
      <c r="L102" s="77" t="str">
        <f t="shared" si="90"/>
        <v>#DIV/0!</v>
      </c>
      <c r="M102" s="96"/>
      <c r="N102" s="59">
        <f t="shared" si="91"/>
        <v>0</v>
      </c>
      <c r="R102" s="80" t="str">
        <f t="shared" si="49"/>
        <v/>
      </c>
    </row>
    <row r="103">
      <c r="A103" s="62"/>
      <c r="B103" s="63"/>
      <c r="C103" s="62"/>
      <c r="D103" s="64" t="s">
        <v>19</v>
      </c>
      <c r="E103" s="64">
        <f>sum(E89:E102)</f>
        <v>6602</v>
      </c>
      <c r="F103" s="64">
        <f>sum(F95:F102)</f>
        <v>679</v>
      </c>
      <c r="G103" s="65" t="str">
        <f>average(G89:G102)</f>
        <v>#DIV/0!</v>
      </c>
      <c r="H103" s="62"/>
      <c r="I103" s="66"/>
      <c r="J103" s="64">
        <f t="shared" ref="J103:K103" si="92">sum(J89:J102)</f>
        <v>60060</v>
      </c>
      <c r="K103" s="64">
        <f t="shared" si="92"/>
        <v>749</v>
      </c>
      <c r="L103" s="65" t="str">
        <f>average(L89:L102)</f>
        <v>#DIV/0!</v>
      </c>
      <c r="M103" s="68"/>
      <c r="N103" s="69">
        <f>sum(N96:N102)</f>
        <v>5807850</v>
      </c>
      <c r="R103" s="80" t="str">
        <f t="shared" si="49"/>
        <v/>
      </c>
    </row>
    <row r="104">
      <c r="A104" s="70">
        <v>45847.0</v>
      </c>
      <c r="B104" s="99" t="s">
        <v>40</v>
      </c>
      <c r="C104" s="89">
        <v>104728.0</v>
      </c>
      <c r="D104" s="13">
        <v>105490.0</v>
      </c>
      <c r="E104" s="38">
        <f t="shared" ref="E104:E110" si="93">D104-C104</f>
        <v>762</v>
      </c>
      <c r="F104" s="39">
        <v>80.0</v>
      </c>
      <c r="G104" s="14">
        <f t="shared" ref="G104:G110" si="94">(F104/E104)*100</f>
        <v>10.49868766</v>
      </c>
      <c r="H104" s="137"/>
      <c r="I104" s="275">
        <v>104570.0</v>
      </c>
      <c r="J104" s="41">
        <f t="shared" ref="J104:J110" si="95">I104-H104</f>
        <v>104570</v>
      </c>
      <c r="K104" s="81">
        <f t="shared" ref="K104:K110" si="96">F104</f>
        <v>80</v>
      </c>
      <c r="L104" s="71">
        <f t="shared" ref="L104:L110" si="97">(K104/J104)*100</f>
        <v>0.07650377737</v>
      </c>
      <c r="M104" s="72">
        <v>18470.0</v>
      </c>
      <c r="N104" s="44">
        <f t="shared" ref="N104:N110" si="98">F104*M104</f>
        <v>1477600</v>
      </c>
      <c r="R104" s="80" t="str">
        <f t="shared" si="49"/>
        <v/>
      </c>
    </row>
    <row r="105">
      <c r="A105" s="45">
        <v>45913.0</v>
      </c>
      <c r="B105" s="51" t="s">
        <v>40</v>
      </c>
      <c r="C105" s="52">
        <v>105490.0</v>
      </c>
      <c r="D105" s="11">
        <v>106200.0</v>
      </c>
      <c r="E105" s="53">
        <f t="shared" si="93"/>
        <v>710</v>
      </c>
      <c r="F105" s="54">
        <v>76.0</v>
      </c>
      <c r="G105" s="14">
        <f t="shared" si="94"/>
        <v>10.70422535</v>
      </c>
      <c r="H105" s="37"/>
      <c r="I105" s="40"/>
      <c r="J105" s="37">
        <f t="shared" si="95"/>
        <v>0</v>
      </c>
      <c r="K105" s="52">
        <f t="shared" si="96"/>
        <v>76</v>
      </c>
      <c r="L105" s="48" t="str">
        <f t="shared" si="97"/>
        <v>#DIV/0!</v>
      </c>
      <c r="M105" s="50">
        <v>18640.0</v>
      </c>
      <c r="N105" s="49">
        <f t="shared" si="98"/>
        <v>1416640</v>
      </c>
      <c r="R105" s="80" t="str">
        <f t="shared" si="49"/>
        <v/>
      </c>
    </row>
    <row r="106">
      <c r="A106" s="35">
        <v>45919.0</v>
      </c>
      <c r="B106" s="46" t="s">
        <v>40</v>
      </c>
      <c r="C106" s="13">
        <v>106200.0</v>
      </c>
      <c r="D106" s="13">
        <v>106809.0</v>
      </c>
      <c r="E106" s="12">
        <f t="shared" si="93"/>
        <v>609</v>
      </c>
      <c r="F106" s="47">
        <v>68.0</v>
      </c>
      <c r="G106" s="14">
        <f t="shared" si="94"/>
        <v>11.16584565</v>
      </c>
      <c r="H106" s="37"/>
      <c r="I106" s="40"/>
      <c r="J106" s="37">
        <f t="shared" si="95"/>
        <v>0</v>
      </c>
      <c r="K106" s="52">
        <f t="shared" si="96"/>
        <v>68</v>
      </c>
      <c r="L106" s="48" t="str">
        <f t="shared" si="97"/>
        <v>#DIV/0!</v>
      </c>
      <c r="M106" s="50">
        <v>18700.0</v>
      </c>
      <c r="N106" s="49">
        <f t="shared" si="98"/>
        <v>1271600</v>
      </c>
      <c r="R106" s="80" t="str">
        <f t="shared" si="49"/>
        <v/>
      </c>
    </row>
    <row r="107">
      <c r="A107" s="35">
        <v>45926.0</v>
      </c>
      <c r="B107" s="46" t="s">
        <v>40</v>
      </c>
      <c r="C107" s="13">
        <v>106809.0</v>
      </c>
      <c r="D107" s="13">
        <v>107417.0</v>
      </c>
      <c r="E107" s="12">
        <f t="shared" si="93"/>
        <v>608</v>
      </c>
      <c r="F107" s="47">
        <v>71.0</v>
      </c>
      <c r="G107" s="14">
        <f t="shared" si="94"/>
        <v>11.67763158</v>
      </c>
      <c r="H107" s="37"/>
      <c r="I107" s="40"/>
      <c r="J107" s="37">
        <f t="shared" si="95"/>
        <v>0</v>
      </c>
      <c r="K107" s="52">
        <f t="shared" si="96"/>
        <v>71</v>
      </c>
      <c r="L107" s="48" t="str">
        <f t="shared" si="97"/>
        <v>#DIV/0!</v>
      </c>
      <c r="M107" s="50">
        <v>18650.0</v>
      </c>
      <c r="N107" s="49">
        <f t="shared" si="98"/>
        <v>1324150</v>
      </c>
      <c r="R107" s="80" t="str">
        <f t="shared" si="49"/>
        <v/>
      </c>
    </row>
    <row r="108">
      <c r="A108" s="35"/>
      <c r="B108" s="46" t="s">
        <v>40</v>
      </c>
      <c r="C108" s="37"/>
      <c r="D108" s="37"/>
      <c r="E108" s="12">
        <f t="shared" si="93"/>
        <v>0</v>
      </c>
      <c r="F108" s="47"/>
      <c r="G108" s="14" t="str">
        <f t="shared" si="94"/>
        <v>#DIV/0!</v>
      </c>
      <c r="H108" s="37"/>
      <c r="I108" s="40"/>
      <c r="J108" s="37">
        <f t="shared" si="95"/>
        <v>0</v>
      </c>
      <c r="K108" s="52" t="str">
        <f t="shared" si="96"/>
        <v/>
      </c>
      <c r="L108" s="48" t="str">
        <f t="shared" si="97"/>
        <v>#DIV/0!</v>
      </c>
      <c r="M108" s="50"/>
      <c r="N108" s="49">
        <f t="shared" si="98"/>
        <v>0</v>
      </c>
      <c r="R108" s="80" t="str">
        <f t="shared" si="49"/>
        <v/>
      </c>
    </row>
    <row r="109">
      <c r="A109" s="132"/>
      <c r="B109" s="46"/>
      <c r="C109" s="37"/>
      <c r="D109" s="133"/>
      <c r="E109" s="12">
        <f t="shared" si="93"/>
        <v>0</v>
      </c>
      <c r="F109" s="47"/>
      <c r="G109" s="14" t="str">
        <f t="shared" si="94"/>
        <v>#DIV/0!</v>
      </c>
      <c r="H109" s="37"/>
      <c r="I109" s="40"/>
      <c r="J109" s="37">
        <f t="shared" si="95"/>
        <v>0</v>
      </c>
      <c r="K109" s="52" t="str">
        <f t="shared" si="96"/>
        <v/>
      </c>
      <c r="L109" s="48" t="str">
        <f t="shared" si="97"/>
        <v>#DIV/0!</v>
      </c>
      <c r="M109" s="134"/>
      <c r="N109" s="49">
        <f t="shared" si="98"/>
        <v>0</v>
      </c>
      <c r="R109" s="80" t="str">
        <f t="shared" si="49"/>
        <v/>
      </c>
    </row>
    <row r="110">
      <c r="A110" s="94"/>
      <c r="B110" s="267"/>
      <c r="C110" s="55"/>
      <c r="D110" s="95"/>
      <c r="E110" s="25">
        <f t="shared" si="93"/>
        <v>0</v>
      </c>
      <c r="F110" s="47"/>
      <c r="G110" s="56" t="str">
        <f t="shared" si="94"/>
        <v>#DIV/0!</v>
      </c>
      <c r="H110" s="55"/>
      <c r="I110" s="85"/>
      <c r="J110" s="55">
        <f t="shared" si="95"/>
        <v>0</v>
      </c>
      <c r="K110" s="52" t="str">
        <f t="shared" si="96"/>
        <v/>
      </c>
      <c r="L110" s="77" t="str">
        <f t="shared" si="97"/>
        <v>#DIV/0!</v>
      </c>
      <c r="M110" s="96"/>
      <c r="N110" s="59">
        <f t="shared" si="98"/>
        <v>0</v>
      </c>
      <c r="R110" s="80" t="str">
        <f t="shared" si="49"/>
        <v/>
      </c>
    </row>
    <row r="111">
      <c r="A111" s="62"/>
      <c r="B111" s="63"/>
      <c r="C111" s="62"/>
      <c r="D111" s="64" t="s">
        <v>19</v>
      </c>
      <c r="E111" s="64">
        <f>sum(E104:E110)</f>
        <v>2689</v>
      </c>
      <c r="F111" s="39"/>
      <c r="G111" s="65" t="str">
        <f>average(G104:G110)</f>
        <v>#DIV/0!</v>
      </c>
      <c r="H111" s="62"/>
      <c r="I111" s="66"/>
      <c r="J111" s="64">
        <f t="shared" ref="J111:K111" si="99">sum(J104:J110)</f>
        <v>104570</v>
      </c>
      <c r="K111" s="64">
        <f t="shared" si="99"/>
        <v>295</v>
      </c>
      <c r="L111" s="65" t="str">
        <f>average(L104:L110)</f>
        <v>#DIV/0!</v>
      </c>
      <c r="M111" s="68"/>
      <c r="N111" s="69">
        <f>sum(N104:N110)</f>
        <v>5489990</v>
      </c>
      <c r="R111" s="80" t="str">
        <f t="shared" si="49"/>
        <v/>
      </c>
    </row>
    <row r="112">
      <c r="A112" s="70">
        <v>45903.0</v>
      </c>
      <c r="B112" s="99" t="s">
        <v>41</v>
      </c>
      <c r="C112" s="89">
        <v>161533.0</v>
      </c>
      <c r="D112" s="13">
        <v>162178.0</v>
      </c>
      <c r="E112" s="38">
        <f t="shared" ref="E112:E116" si="100">D112-C112</f>
        <v>645</v>
      </c>
      <c r="F112" s="39">
        <v>77.0</v>
      </c>
      <c r="G112" s="14">
        <f t="shared" ref="G112:G116" si="101">(F112/E112)*100</f>
        <v>11.9379845</v>
      </c>
      <c r="H112" s="137"/>
      <c r="I112" s="275">
        <v>9805.0</v>
      </c>
      <c r="J112" s="41">
        <f t="shared" ref="J112:J116" si="102">I112-H112</f>
        <v>9805</v>
      </c>
      <c r="K112" s="81">
        <f t="shared" ref="K112:K116" si="103">F112</f>
        <v>77</v>
      </c>
      <c r="L112" s="71">
        <f t="shared" ref="L112:L116" si="104">(K112/J112)*100</f>
        <v>0.7853136155</v>
      </c>
      <c r="M112" s="296">
        <v>18350.0</v>
      </c>
      <c r="N112" s="44">
        <f t="shared" ref="N112:N116" si="105">F112*M112</f>
        <v>1412950</v>
      </c>
      <c r="R112" s="80" t="str">
        <f t="shared" si="49"/>
        <v/>
      </c>
    </row>
    <row r="113">
      <c r="A113" s="128">
        <v>45908.0</v>
      </c>
      <c r="B113" s="129" t="s">
        <v>41</v>
      </c>
      <c r="C113" s="297">
        <v>162178.0</v>
      </c>
      <c r="D113" s="53">
        <v>162670.0</v>
      </c>
      <c r="E113" s="53">
        <f t="shared" si="100"/>
        <v>492</v>
      </c>
      <c r="F113" s="130">
        <v>64.0</v>
      </c>
      <c r="G113" s="14">
        <f t="shared" si="101"/>
        <v>13.00813008</v>
      </c>
      <c r="H113" s="37"/>
      <c r="I113" s="40"/>
      <c r="J113" s="37">
        <f t="shared" si="102"/>
        <v>0</v>
      </c>
      <c r="K113" s="52">
        <f t="shared" si="103"/>
        <v>64</v>
      </c>
      <c r="L113" s="48" t="str">
        <f t="shared" si="104"/>
        <v>#DIV/0!</v>
      </c>
      <c r="M113" s="50">
        <v>18470.0</v>
      </c>
      <c r="N113" s="131">
        <f t="shared" si="105"/>
        <v>1182080</v>
      </c>
      <c r="R113" s="80" t="str">
        <f t="shared" si="49"/>
        <v/>
      </c>
    </row>
    <row r="114">
      <c r="A114" s="128">
        <v>45913.0</v>
      </c>
      <c r="B114" s="129" t="s">
        <v>41</v>
      </c>
      <c r="C114" s="53">
        <v>162670.0</v>
      </c>
      <c r="D114" s="53">
        <v>163200.0</v>
      </c>
      <c r="E114" s="53">
        <f t="shared" si="100"/>
        <v>530</v>
      </c>
      <c r="F114" s="130">
        <v>71.0</v>
      </c>
      <c r="G114" s="14">
        <f t="shared" si="101"/>
        <v>13.39622642</v>
      </c>
      <c r="H114" s="37">
        <v>9805.0</v>
      </c>
      <c r="I114" s="40">
        <v>10800.0</v>
      </c>
      <c r="J114" s="37">
        <f t="shared" si="102"/>
        <v>995</v>
      </c>
      <c r="K114" s="52">
        <f t="shared" si="103"/>
        <v>71</v>
      </c>
      <c r="L114" s="48">
        <f t="shared" si="104"/>
        <v>7.135678392</v>
      </c>
      <c r="M114" s="50">
        <v>18640.0</v>
      </c>
      <c r="N114" s="131">
        <f t="shared" si="105"/>
        <v>1323440</v>
      </c>
      <c r="R114" s="80" t="str">
        <f t="shared" si="49"/>
        <v/>
      </c>
    </row>
    <row r="115">
      <c r="A115" s="35">
        <v>45920.0</v>
      </c>
      <c r="B115" s="46" t="s">
        <v>41</v>
      </c>
      <c r="C115" s="37">
        <v>163200.0</v>
      </c>
      <c r="D115" s="37">
        <v>163829.0</v>
      </c>
      <c r="E115" s="12">
        <f t="shared" si="100"/>
        <v>629</v>
      </c>
      <c r="F115" s="47">
        <v>76.0</v>
      </c>
      <c r="G115" s="14">
        <f t="shared" si="101"/>
        <v>12.08267091</v>
      </c>
      <c r="H115" s="37">
        <v>10800.0</v>
      </c>
      <c r="I115" s="40">
        <v>11380.0</v>
      </c>
      <c r="J115" s="37">
        <f t="shared" si="102"/>
        <v>580</v>
      </c>
      <c r="K115" s="52">
        <f t="shared" si="103"/>
        <v>76</v>
      </c>
      <c r="L115" s="48">
        <f t="shared" si="104"/>
        <v>13.10344828</v>
      </c>
      <c r="M115" s="50">
        <v>18700.0</v>
      </c>
      <c r="N115" s="131">
        <f t="shared" si="105"/>
        <v>1421200</v>
      </c>
      <c r="R115" s="80" t="str">
        <f t="shared" si="49"/>
        <v/>
      </c>
    </row>
    <row r="116">
      <c r="A116" s="132">
        <v>45927.0</v>
      </c>
      <c r="B116" s="298" t="s">
        <v>41</v>
      </c>
      <c r="C116" s="288">
        <v>163829.0</v>
      </c>
      <c r="D116" s="288">
        <v>164465.0</v>
      </c>
      <c r="E116" s="12">
        <f t="shared" si="100"/>
        <v>636</v>
      </c>
      <c r="F116" s="47">
        <v>73.0</v>
      </c>
      <c r="G116" s="14">
        <f t="shared" si="101"/>
        <v>11.47798742</v>
      </c>
      <c r="H116" s="37"/>
      <c r="I116" s="40"/>
      <c r="J116" s="37">
        <f t="shared" si="102"/>
        <v>0</v>
      </c>
      <c r="K116" s="52">
        <f t="shared" si="103"/>
        <v>73</v>
      </c>
      <c r="L116" s="48" t="str">
        <f t="shared" si="104"/>
        <v>#DIV/0!</v>
      </c>
      <c r="M116" s="50">
        <v>18650.0</v>
      </c>
      <c r="N116" s="131">
        <f t="shared" si="105"/>
        <v>1361450</v>
      </c>
      <c r="R116" s="80" t="str">
        <f t="shared" si="49"/>
        <v/>
      </c>
    </row>
    <row r="117">
      <c r="A117" s="62"/>
      <c r="B117" s="63"/>
      <c r="C117" s="62"/>
      <c r="D117" s="64" t="s">
        <v>19</v>
      </c>
      <c r="E117" s="64">
        <f>sum(E112:E116)</f>
        <v>2932</v>
      </c>
      <c r="F117" s="64">
        <f>sum(F111:F116)</f>
        <v>361</v>
      </c>
      <c r="G117" s="65">
        <f>average(G112:G116)</f>
        <v>12.38059986</v>
      </c>
      <c r="H117" s="62"/>
      <c r="I117" s="66"/>
      <c r="J117" s="64">
        <f t="shared" ref="J117:K117" si="106">sum(J112:J116)</f>
        <v>11380</v>
      </c>
      <c r="K117" s="64">
        <f t="shared" si="106"/>
        <v>361</v>
      </c>
      <c r="L117" s="65" t="str">
        <f>average(L112:L116)</f>
        <v>#DIV/0!</v>
      </c>
      <c r="M117" s="68"/>
      <c r="N117" s="69">
        <f>sum(N112:N116)</f>
        <v>6701120</v>
      </c>
      <c r="R117" s="80" t="str">
        <f t="shared" si="49"/>
        <v/>
      </c>
    </row>
    <row r="118">
      <c r="A118" s="70">
        <v>45904.0</v>
      </c>
      <c r="B118" s="99" t="s">
        <v>27</v>
      </c>
      <c r="C118" s="89"/>
      <c r="D118" s="13"/>
      <c r="E118" s="38">
        <f t="shared" ref="E118:E125" si="107">D118-C118</f>
        <v>0</v>
      </c>
      <c r="F118" s="39">
        <v>62.0</v>
      </c>
      <c r="G118" s="14" t="str">
        <f t="shared" ref="G118:G125" si="108">(F118/E118)*100</f>
        <v>#DIV/0!</v>
      </c>
      <c r="H118" s="137"/>
      <c r="I118" s="138"/>
      <c r="J118" s="41">
        <f t="shared" ref="J118:J125" si="109">I118-H118</f>
        <v>0</v>
      </c>
      <c r="K118" s="81">
        <f t="shared" ref="K118:K125" si="110">F118</f>
        <v>62</v>
      </c>
      <c r="L118" s="71" t="str">
        <f t="shared" ref="L118:L125" si="111">(K118/J118)*100</f>
        <v>#DIV/0!</v>
      </c>
      <c r="M118" s="72">
        <v>18470.0</v>
      </c>
      <c r="N118" s="44">
        <f t="shared" ref="N118:N124" si="112">F118*M118</f>
        <v>1145140</v>
      </c>
      <c r="R118" s="80" t="str">
        <f t="shared" si="49"/>
        <v/>
      </c>
    </row>
    <row r="119">
      <c r="A119" s="35">
        <v>45909.0</v>
      </c>
      <c r="B119" s="46" t="s">
        <v>27</v>
      </c>
      <c r="C119" s="37"/>
      <c r="D119" s="13"/>
      <c r="E119" s="12">
        <f t="shared" si="107"/>
        <v>0</v>
      </c>
      <c r="F119" s="47">
        <v>65.0</v>
      </c>
      <c r="G119" s="14" t="str">
        <f t="shared" si="108"/>
        <v>#DIV/0!</v>
      </c>
      <c r="H119" s="40"/>
      <c r="I119" s="40"/>
      <c r="J119" s="37">
        <f t="shared" si="109"/>
        <v>0</v>
      </c>
      <c r="K119" s="52">
        <f t="shared" si="110"/>
        <v>65</v>
      </c>
      <c r="L119" s="48" t="str">
        <f t="shared" si="111"/>
        <v>#DIV/0!</v>
      </c>
      <c r="M119" s="50">
        <v>18470.0</v>
      </c>
      <c r="N119" s="49">
        <f t="shared" si="112"/>
        <v>1200550</v>
      </c>
      <c r="R119" s="80" t="str">
        <f t="shared" si="49"/>
        <v/>
      </c>
    </row>
    <row r="120">
      <c r="A120" s="35">
        <v>45912.0</v>
      </c>
      <c r="B120" s="46" t="s">
        <v>27</v>
      </c>
      <c r="C120" s="37"/>
      <c r="D120" s="37"/>
      <c r="E120" s="12">
        <f t="shared" si="107"/>
        <v>0</v>
      </c>
      <c r="F120" s="47">
        <v>68.0</v>
      </c>
      <c r="G120" s="14" t="str">
        <f t="shared" si="108"/>
        <v>#DIV/0!</v>
      </c>
      <c r="H120" s="37"/>
      <c r="I120" s="40"/>
      <c r="J120" s="37">
        <f t="shared" si="109"/>
        <v>0</v>
      </c>
      <c r="K120" s="52">
        <f t="shared" si="110"/>
        <v>68</v>
      </c>
      <c r="L120" s="48" t="str">
        <f t="shared" si="111"/>
        <v>#DIV/0!</v>
      </c>
      <c r="M120" s="50">
        <v>18640.0</v>
      </c>
      <c r="N120" s="49">
        <f t="shared" si="112"/>
        <v>1267520</v>
      </c>
      <c r="R120" s="80" t="str">
        <f t="shared" si="49"/>
        <v/>
      </c>
    </row>
    <row r="121">
      <c r="A121" s="35">
        <v>45916.0</v>
      </c>
      <c r="B121" s="46" t="s">
        <v>27</v>
      </c>
      <c r="C121" s="37"/>
      <c r="D121" s="37"/>
      <c r="E121" s="12">
        <f t="shared" si="107"/>
        <v>0</v>
      </c>
      <c r="F121" s="47">
        <v>64.0</v>
      </c>
      <c r="G121" s="14" t="str">
        <f t="shared" si="108"/>
        <v>#DIV/0!</v>
      </c>
      <c r="H121" s="37"/>
      <c r="I121" s="40"/>
      <c r="J121" s="37">
        <f t="shared" si="109"/>
        <v>0</v>
      </c>
      <c r="K121" s="52">
        <f t="shared" si="110"/>
        <v>64</v>
      </c>
      <c r="L121" s="48" t="str">
        <f t="shared" si="111"/>
        <v>#DIV/0!</v>
      </c>
      <c r="M121" s="50">
        <v>18640.0</v>
      </c>
      <c r="N121" s="49">
        <f t="shared" si="112"/>
        <v>1192960</v>
      </c>
      <c r="R121" s="80" t="str">
        <f t="shared" si="49"/>
        <v/>
      </c>
    </row>
    <row r="122">
      <c r="A122" s="35">
        <v>45920.0</v>
      </c>
      <c r="B122" s="46" t="s">
        <v>27</v>
      </c>
      <c r="C122" s="37"/>
      <c r="D122" s="37"/>
      <c r="E122" s="12">
        <f t="shared" si="107"/>
        <v>0</v>
      </c>
      <c r="F122" s="47">
        <v>69.0</v>
      </c>
      <c r="G122" s="14" t="str">
        <f t="shared" si="108"/>
        <v>#DIV/0!</v>
      </c>
      <c r="H122" s="37"/>
      <c r="I122" s="40"/>
      <c r="J122" s="37">
        <f t="shared" si="109"/>
        <v>0</v>
      </c>
      <c r="K122" s="52">
        <f t="shared" si="110"/>
        <v>69</v>
      </c>
      <c r="L122" s="48" t="str">
        <f t="shared" si="111"/>
        <v>#DIV/0!</v>
      </c>
      <c r="M122" s="50">
        <v>18700.0</v>
      </c>
      <c r="N122" s="49">
        <f t="shared" si="112"/>
        <v>1290300</v>
      </c>
      <c r="R122" s="80" t="str">
        <f t="shared" si="49"/>
        <v/>
      </c>
    </row>
    <row r="123">
      <c r="A123" s="35">
        <v>45925.0</v>
      </c>
      <c r="B123" s="46" t="s">
        <v>27</v>
      </c>
      <c r="C123" s="37"/>
      <c r="D123" s="133"/>
      <c r="E123" s="12">
        <f t="shared" si="107"/>
        <v>0</v>
      </c>
      <c r="F123" s="47">
        <v>64.0</v>
      </c>
      <c r="G123" s="14" t="str">
        <f t="shared" si="108"/>
        <v>#DIV/0!</v>
      </c>
      <c r="H123" s="37"/>
      <c r="I123" s="93"/>
      <c r="J123" s="37">
        <f t="shared" si="109"/>
        <v>0</v>
      </c>
      <c r="K123" s="52">
        <f t="shared" si="110"/>
        <v>64</v>
      </c>
      <c r="L123" s="48" t="str">
        <f t="shared" si="111"/>
        <v>#DIV/0!</v>
      </c>
      <c r="M123" s="50">
        <v>18700.0</v>
      </c>
      <c r="N123" s="49">
        <f t="shared" si="112"/>
        <v>1196800</v>
      </c>
      <c r="R123" s="80" t="str">
        <f t="shared" si="49"/>
        <v/>
      </c>
    </row>
    <row r="124">
      <c r="A124" s="35">
        <v>45928.0</v>
      </c>
      <c r="B124" s="46" t="s">
        <v>27</v>
      </c>
      <c r="C124" s="37"/>
      <c r="D124" s="133"/>
      <c r="E124" s="12">
        <f t="shared" si="107"/>
        <v>0</v>
      </c>
      <c r="F124" s="47">
        <v>64.0</v>
      </c>
      <c r="G124" s="14" t="str">
        <f t="shared" si="108"/>
        <v>#DIV/0!</v>
      </c>
      <c r="H124" s="37"/>
      <c r="I124" s="93"/>
      <c r="J124" s="37">
        <f t="shared" si="109"/>
        <v>0</v>
      </c>
      <c r="K124" s="52">
        <f t="shared" si="110"/>
        <v>64</v>
      </c>
      <c r="L124" s="48" t="str">
        <f t="shared" si="111"/>
        <v>#DIV/0!</v>
      </c>
      <c r="M124" s="50">
        <v>18650.0</v>
      </c>
      <c r="N124" s="49">
        <f t="shared" si="112"/>
        <v>1193600</v>
      </c>
      <c r="R124" s="80" t="str">
        <f t="shared" si="49"/>
        <v/>
      </c>
    </row>
    <row r="125">
      <c r="A125" s="299"/>
      <c r="B125" s="83" t="s">
        <v>27</v>
      </c>
      <c r="C125" s="55"/>
      <c r="D125" s="95"/>
      <c r="E125" s="25">
        <f t="shared" si="107"/>
        <v>0</v>
      </c>
      <c r="F125" s="47"/>
      <c r="G125" s="56" t="str">
        <f t="shared" si="108"/>
        <v>#DIV/0!</v>
      </c>
      <c r="H125" s="55"/>
      <c r="I125" s="85"/>
      <c r="J125" s="55">
        <f t="shared" si="109"/>
        <v>0</v>
      </c>
      <c r="K125" s="52" t="str">
        <f t="shared" si="110"/>
        <v/>
      </c>
      <c r="L125" s="77" t="str">
        <f t="shared" si="111"/>
        <v>#DIV/0!</v>
      </c>
      <c r="M125" s="58"/>
      <c r="N125" s="49">
        <f>M125*K125</f>
        <v>0</v>
      </c>
      <c r="R125" s="80" t="str">
        <f t="shared" si="49"/>
        <v/>
      </c>
    </row>
    <row r="126">
      <c r="A126" s="62"/>
      <c r="B126" s="63"/>
      <c r="C126" s="62"/>
      <c r="D126" s="64" t="s">
        <v>19</v>
      </c>
      <c r="E126" s="64">
        <f t="shared" ref="E126:F126" si="113">sum(E118:E125)</f>
        <v>0</v>
      </c>
      <c r="F126" s="64">
        <f t="shared" si="113"/>
        <v>456</v>
      </c>
      <c r="G126" s="65" t="str">
        <f>average(G118:G125)</f>
        <v>#DIV/0!</v>
      </c>
      <c r="H126" s="62"/>
      <c r="I126" s="66"/>
      <c r="J126" s="64">
        <f t="shared" ref="J126:K126" si="114">sum(J118:J125)</f>
        <v>0</v>
      </c>
      <c r="K126" s="64">
        <f t="shared" si="114"/>
        <v>456</v>
      </c>
      <c r="L126" s="65" t="str">
        <f>average(L118:L125)</f>
        <v>#DIV/0!</v>
      </c>
      <c r="M126" s="68"/>
      <c r="N126" s="147">
        <f>sum(N118:N125)</f>
        <v>8486870</v>
      </c>
      <c r="R126" s="80" t="str">
        <f t="shared" si="49"/>
        <v/>
      </c>
    </row>
    <row r="127">
      <c r="A127" s="70">
        <v>45905.0</v>
      </c>
      <c r="B127" s="99" t="s">
        <v>80</v>
      </c>
      <c r="C127" s="89"/>
      <c r="D127" s="13"/>
      <c r="E127" s="38">
        <f t="shared" ref="E127:E134" si="115">D127-C127</f>
        <v>0</v>
      </c>
      <c r="F127" s="39">
        <v>70.0</v>
      </c>
      <c r="G127" s="14" t="str">
        <f t="shared" ref="G127:G134" si="116">(F127/E127)*100</f>
        <v>#DIV/0!</v>
      </c>
      <c r="H127" s="137"/>
      <c r="I127" s="138"/>
      <c r="J127" s="41">
        <f t="shared" ref="J127:J134" si="117">I127-H127</f>
        <v>0</v>
      </c>
      <c r="K127" s="81">
        <f t="shared" ref="K127:K134" si="118">F127</f>
        <v>70</v>
      </c>
      <c r="L127" s="71" t="str">
        <f t="shared" ref="L127:L134" si="119">(K127/J127)*100</f>
        <v>#DIV/0!</v>
      </c>
      <c r="M127" s="72">
        <v>18470.0</v>
      </c>
      <c r="N127" s="49">
        <f t="shared" ref="N127:N133" si="120">F127*M127</f>
        <v>1292900</v>
      </c>
      <c r="R127" s="80" t="str">
        <f t="shared" si="49"/>
        <v/>
      </c>
    </row>
    <row r="128">
      <c r="A128" s="35">
        <v>45910.0</v>
      </c>
      <c r="B128" s="46" t="s">
        <v>80</v>
      </c>
      <c r="C128" s="37"/>
      <c r="D128" s="13"/>
      <c r="E128" s="12">
        <f t="shared" si="115"/>
        <v>0</v>
      </c>
      <c r="F128" s="47">
        <v>70.0</v>
      </c>
      <c r="G128" s="14" t="str">
        <f t="shared" si="116"/>
        <v>#DIV/0!</v>
      </c>
      <c r="H128" s="40"/>
      <c r="I128" s="40"/>
      <c r="J128" s="37">
        <f t="shared" si="117"/>
        <v>0</v>
      </c>
      <c r="K128" s="52">
        <f t="shared" si="118"/>
        <v>70</v>
      </c>
      <c r="L128" s="71" t="str">
        <f t="shared" si="119"/>
        <v>#DIV/0!</v>
      </c>
      <c r="M128" s="50">
        <v>18470.0</v>
      </c>
      <c r="N128" s="49">
        <f t="shared" si="120"/>
        <v>1292900</v>
      </c>
      <c r="R128" s="80" t="str">
        <f t="shared" si="49"/>
        <v/>
      </c>
    </row>
    <row r="129">
      <c r="A129" s="35">
        <v>45913.0</v>
      </c>
      <c r="B129" s="46" t="s">
        <v>80</v>
      </c>
      <c r="C129" s="37"/>
      <c r="D129" s="37"/>
      <c r="E129" s="12">
        <f t="shared" si="115"/>
        <v>0</v>
      </c>
      <c r="F129" s="47">
        <v>60.0</v>
      </c>
      <c r="G129" s="14" t="str">
        <f t="shared" si="116"/>
        <v>#DIV/0!</v>
      </c>
      <c r="H129" s="37"/>
      <c r="I129" s="40"/>
      <c r="J129" s="37">
        <f t="shared" si="117"/>
        <v>0</v>
      </c>
      <c r="K129" s="52">
        <f t="shared" si="118"/>
        <v>60</v>
      </c>
      <c r="L129" s="48" t="str">
        <f t="shared" si="119"/>
        <v>#DIV/0!</v>
      </c>
      <c r="M129" s="50">
        <v>18640.0</v>
      </c>
      <c r="N129" s="49">
        <f t="shared" si="120"/>
        <v>1118400</v>
      </c>
      <c r="R129" s="80" t="str">
        <f t="shared" si="49"/>
        <v/>
      </c>
    </row>
    <row r="130">
      <c r="A130" s="35">
        <v>45916.0</v>
      </c>
      <c r="B130" s="46" t="s">
        <v>80</v>
      </c>
      <c r="C130" s="37"/>
      <c r="D130" s="37"/>
      <c r="E130" s="12">
        <f t="shared" si="115"/>
        <v>0</v>
      </c>
      <c r="F130" s="47">
        <v>70.0</v>
      </c>
      <c r="G130" s="14" t="str">
        <f t="shared" si="116"/>
        <v>#DIV/0!</v>
      </c>
      <c r="H130" s="37"/>
      <c r="I130" s="40"/>
      <c r="J130" s="37">
        <f t="shared" si="117"/>
        <v>0</v>
      </c>
      <c r="K130" s="52">
        <f t="shared" si="118"/>
        <v>70</v>
      </c>
      <c r="L130" s="48" t="str">
        <f t="shared" si="119"/>
        <v>#DIV/0!</v>
      </c>
      <c r="M130" s="50">
        <v>18640.0</v>
      </c>
      <c r="N130" s="49">
        <f t="shared" si="120"/>
        <v>1304800</v>
      </c>
      <c r="R130" s="80" t="str">
        <f t="shared" si="49"/>
        <v/>
      </c>
    </row>
    <row r="131">
      <c r="A131" s="35">
        <v>45920.0</v>
      </c>
      <c r="B131" s="46" t="s">
        <v>80</v>
      </c>
      <c r="C131" s="37"/>
      <c r="D131" s="37"/>
      <c r="E131" s="12">
        <f t="shared" si="115"/>
        <v>0</v>
      </c>
      <c r="F131" s="47">
        <v>70.0</v>
      </c>
      <c r="G131" s="14" t="str">
        <f t="shared" si="116"/>
        <v>#DIV/0!</v>
      </c>
      <c r="H131" s="37"/>
      <c r="I131" s="40"/>
      <c r="J131" s="37">
        <f t="shared" si="117"/>
        <v>0</v>
      </c>
      <c r="K131" s="52">
        <f t="shared" si="118"/>
        <v>70</v>
      </c>
      <c r="L131" s="48" t="str">
        <f t="shared" si="119"/>
        <v>#DIV/0!</v>
      </c>
      <c r="M131" s="50">
        <v>18700.0</v>
      </c>
      <c r="N131" s="49">
        <f t="shared" si="120"/>
        <v>1309000</v>
      </c>
      <c r="R131" s="80" t="str">
        <f t="shared" si="49"/>
        <v/>
      </c>
    </row>
    <row r="132">
      <c r="A132" s="35"/>
      <c r="B132" s="46" t="s">
        <v>80</v>
      </c>
      <c r="C132" s="37"/>
      <c r="D132" s="133"/>
      <c r="E132" s="12">
        <f t="shared" si="115"/>
        <v>0</v>
      </c>
      <c r="F132" s="47"/>
      <c r="G132" s="14" t="str">
        <f t="shared" si="116"/>
        <v>#DIV/0!</v>
      </c>
      <c r="H132" s="37"/>
      <c r="I132" s="93"/>
      <c r="J132" s="37">
        <f t="shared" si="117"/>
        <v>0</v>
      </c>
      <c r="K132" s="52" t="str">
        <f t="shared" si="118"/>
        <v/>
      </c>
      <c r="L132" s="48" t="str">
        <f t="shared" si="119"/>
        <v>#DIV/0!</v>
      </c>
      <c r="M132" s="50"/>
      <c r="N132" s="49">
        <f t="shared" si="120"/>
        <v>0</v>
      </c>
      <c r="R132" s="80" t="str">
        <f t="shared" si="49"/>
        <v/>
      </c>
    </row>
    <row r="133">
      <c r="A133" s="35"/>
      <c r="B133" s="46"/>
      <c r="C133" s="37"/>
      <c r="D133" s="133"/>
      <c r="E133" s="12">
        <f t="shared" si="115"/>
        <v>0</v>
      </c>
      <c r="F133" s="47"/>
      <c r="G133" s="14" t="str">
        <f t="shared" si="116"/>
        <v>#DIV/0!</v>
      </c>
      <c r="H133" s="37"/>
      <c r="I133" s="93"/>
      <c r="J133" s="37">
        <f t="shared" si="117"/>
        <v>0</v>
      </c>
      <c r="K133" s="52" t="str">
        <f t="shared" si="118"/>
        <v/>
      </c>
      <c r="L133" s="48" t="str">
        <f t="shared" si="119"/>
        <v>#DIV/0!</v>
      </c>
      <c r="M133" s="50"/>
      <c r="N133" s="49">
        <f t="shared" si="120"/>
        <v>0</v>
      </c>
      <c r="R133" s="80" t="str">
        <f t="shared" si="49"/>
        <v/>
      </c>
    </row>
    <row r="134">
      <c r="A134" s="146"/>
      <c r="B134" s="83"/>
      <c r="C134" s="55"/>
      <c r="D134" s="95"/>
      <c r="E134" s="25">
        <f t="shared" si="115"/>
        <v>0</v>
      </c>
      <c r="F134" s="47"/>
      <c r="G134" s="56" t="str">
        <f t="shared" si="116"/>
        <v>#DIV/0!</v>
      </c>
      <c r="H134" s="55"/>
      <c r="I134" s="85"/>
      <c r="J134" s="55">
        <f t="shared" si="117"/>
        <v>0</v>
      </c>
      <c r="K134" s="52" t="str">
        <f t="shared" si="118"/>
        <v/>
      </c>
      <c r="L134" s="77" t="str">
        <f t="shared" si="119"/>
        <v>#DIV/0!</v>
      </c>
      <c r="M134" s="58"/>
      <c r="N134" s="49">
        <f>M134*K134</f>
        <v>0</v>
      </c>
      <c r="R134" s="80" t="str">
        <f t="shared" si="49"/>
        <v/>
      </c>
    </row>
    <row r="135">
      <c r="A135" s="62"/>
      <c r="B135" s="63"/>
      <c r="C135" s="62"/>
      <c r="D135" s="64" t="s">
        <v>19</v>
      </c>
      <c r="E135" s="64">
        <f t="shared" ref="E135:F135" si="121">sum(E127:E134)</f>
        <v>0</v>
      </c>
      <c r="F135" s="64">
        <f t="shared" si="121"/>
        <v>340</v>
      </c>
      <c r="G135" s="65" t="str">
        <f>average(G127:G134)</f>
        <v>#DIV/0!</v>
      </c>
      <c r="H135" s="62"/>
      <c r="I135" s="66"/>
      <c r="J135" s="64">
        <f t="shared" ref="J135:K135" si="122">sum(J127:J134)</f>
        <v>0</v>
      </c>
      <c r="K135" s="64">
        <f t="shared" si="122"/>
        <v>340</v>
      </c>
      <c r="L135" s="65" t="str">
        <f>average(L127:L134)</f>
        <v>#DIV/0!</v>
      </c>
      <c r="M135" s="68"/>
      <c r="N135" s="147">
        <f>sum(N127:N134)</f>
        <v>6318000</v>
      </c>
      <c r="R135" s="80" t="str">
        <f t="shared" si="49"/>
        <v/>
      </c>
    </row>
    <row r="136">
      <c r="A136" s="300" t="s">
        <v>89</v>
      </c>
      <c r="B136" s="99" t="s">
        <v>43</v>
      </c>
      <c r="C136" s="89"/>
      <c r="D136" s="13"/>
      <c r="E136" s="38">
        <f t="shared" ref="E136:E143" si="123">D136-C136</f>
        <v>0</v>
      </c>
      <c r="F136" s="39">
        <v>60.0</v>
      </c>
      <c r="G136" s="14" t="str">
        <f t="shared" ref="G136:G143" si="124">(F136/E136)*100</f>
        <v>#DIV/0!</v>
      </c>
      <c r="H136" s="137"/>
      <c r="I136" s="138"/>
      <c r="J136" s="41">
        <f t="shared" ref="J136:J143" si="125">I136-H136</f>
        <v>0</v>
      </c>
      <c r="K136" s="81">
        <f t="shared" ref="K136:K143" si="126">F136</f>
        <v>60</v>
      </c>
      <c r="L136" s="71" t="str">
        <f t="shared" ref="L136:L143" si="127">(K136/J136)*100</f>
        <v>#DIV/0!</v>
      </c>
      <c r="M136" s="72">
        <v>18350.0</v>
      </c>
      <c r="N136" s="49">
        <f t="shared" ref="N136:N142" si="128">F136*M136</f>
        <v>1101000</v>
      </c>
      <c r="R136" s="80" t="str">
        <f t="shared" si="49"/>
        <v/>
      </c>
    </row>
    <row r="137">
      <c r="A137" s="35">
        <v>45908.0</v>
      </c>
      <c r="B137" s="46" t="s">
        <v>43</v>
      </c>
      <c r="C137" s="37"/>
      <c r="D137" s="13"/>
      <c r="E137" s="12">
        <f t="shared" si="123"/>
        <v>0</v>
      </c>
      <c r="F137" s="47">
        <v>60.0</v>
      </c>
      <c r="G137" s="14" t="str">
        <f t="shared" si="124"/>
        <v>#DIV/0!</v>
      </c>
      <c r="H137" s="40"/>
      <c r="I137" s="40"/>
      <c r="J137" s="37">
        <f t="shared" si="125"/>
        <v>0</v>
      </c>
      <c r="K137" s="52">
        <f t="shared" si="126"/>
        <v>60</v>
      </c>
      <c r="L137" s="48" t="str">
        <f t="shared" si="127"/>
        <v>#DIV/0!</v>
      </c>
      <c r="M137" s="50">
        <v>18470.0</v>
      </c>
      <c r="N137" s="49">
        <f t="shared" si="128"/>
        <v>1108200</v>
      </c>
      <c r="R137" s="80" t="str">
        <f t="shared" si="49"/>
        <v/>
      </c>
    </row>
    <row r="138">
      <c r="A138" s="35">
        <v>45912.0</v>
      </c>
      <c r="B138" s="46" t="s">
        <v>43</v>
      </c>
      <c r="C138" s="37"/>
      <c r="D138" s="37"/>
      <c r="E138" s="12">
        <f t="shared" si="123"/>
        <v>0</v>
      </c>
      <c r="F138" s="47">
        <v>60.0</v>
      </c>
      <c r="G138" s="14" t="str">
        <f t="shared" si="124"/>
        <v>#DIV/0!</v>
      </c>
      <c r="H138" s="37"/>
      <c r="I138" s="40"/>
      <c r="J138" s="37">
        <f t="shared" si="125"/>
        <v>0</v>
      </c>
      <c r="K138" s="52">
        <f t="shared" si="126"/>
        <v>60</v>
      </c>
      <c r="L138" s="48" t="str">
        <f t="shared" si="127"/>
        <v>#DIV/0!</v>
      </c>
      <c r="M138" s="50">
        <v>18640.0</v>
      </c>
      <c r="N138" s="49">
        <f t="shared" si="128"/>
        <v>1118400</v>
      </c>
      <c r="R138" s="80" t="str">
        <f t="shared" si="49"/>
        <v/>
      </c>
    </row>
    <row r="139">
      <c r="A139" s="35">
        <v>45917.0</v>
      </c>
      <c r="B139" s="46" t="s">
        <v>43</v>
      </c>
      <c r="C139" s="37"/>
      <c r="D139" s="37"/>
      <c r="E139" s="12">
        <f t="shared" si="123"/>
        <v>0</v>
      </c>
      <c r="F139" s="47">
        <v>60.0</v>
      </c>
      <c r="G139" s="14" t="str">
        <f t="shared" si="124"/>
        <v>#DIV/0!</v>
      </c>
      <c r="H139" s="37"/>
      <c r="I139" s="40"/>
      <c r="J139" s="37">
        <f t="shared" si="125"/>
        <v>0</v>
      </c>
      <c r="K139" s="52">
        <f t="shared" si="126"/>
        <v>60</v>
      </c>
      <c r="L139" s="48" t="str">
        <f t="shared" si="127"/>
        <v>#DIV/0!</v>
      </c>
      <c r="M139" s="50">
        <v>18640.0</v>
      </c>
      <c r="N139" s="49">
        <f t="shared" si="128"/>
        <v>1118400</v>
      </c>
      <c r="R139" s="80" t="str">
        <f t="shared" si="49"/>
        <v/>
      </c>
    </row>
    <row r="140">
      <c r="A140" s="35">
        <v>45923.0</v>
      </c>
      <c r="B140" s="46" t="s">
        <v>43</v>
      </c>
      <c r="C140" s="37"/>
      <c r="D140" s="37"/>
      <c r="E140" s="12">
        <f t="shared" si="123"/>
        <v>0</v>
      </c>
      <c r="F140" s="47">
        <v>60.0</v>
      </c>
      <c r="G140" s="14" t="str">
        <f t="shared" si="124"/>
        <v>#DIV/0!</v>
      </c>
      <c r="H140" s="37"/>
      <c r="I140" s="40"/>
      <c r="J140" s="37">
        <f t="shared" si="125"/>
        <v>0</v>
      </c>
      <c r="K140" s="52">
        <f t="shared" si="126"/>
        <v>60</v>
      </c>
      <c r="L140" s="48" t="str">
        <f t="shared" si="127"/>
        <v>#DIV/0!</v>
      </c>
      <c r="M140" s="50">
        <v>18700.0</v>
      </c>
      <c r="N140" s="49">
        <f t="shared" si="128"/>
        <v>1122000</v>
      </c>
      <c r="R140" s="80" t="str">
        <f t="shared" si="49"/>
        <v/>
      </c>
    </row>
    <row r="141">
      <c r="A141" s="35">
        <v>45929.0</v>
      </c>
      <c r="B141" s="46" t="s">
        <v>43</v>
      </c>
      <c r="C141" s="37"/>
      <c r="D141" s="133"/>
      <c r="E141" s="12">
        <f t="shared" si="123"/>
        <v>0</v>
      </c>
      <c r="F141" s="47">
        <v>60.0</v>
      </c>
      <c r="G141" s="14" t="str">
        <f t="shared" si="124"/>
        <v>#DIV/0!</v>
      </c>
      <c r="H141" s="37"/>
      <c r="I141" s="93"/>
      <c r="J141" s="37">
        <f t="shared" si="125"/>
        <v>0</v>
      </c>
      <c r="K141" s="52">
        <f t="shared" si="126"/>
        <v>60</v>
      </c>
      <c r="L141" s="48" t="str">
        <f t="shared" si="127"/>
        <v>#DIV/0!</v>
      </c>
      <c r="M141" s="50">
        <v>18650.0</v>
      </c>
      <c r="N141" s="49">
        <f t="shared" si="128"/>
        <v>1119000</v>
      </c>
      <c r="R141" s="80" t="str">
        <f t="shared" si="49"/>
        <v/>
      </c>
    </row>
    <row r="142">
      <c r="A142" s="35"/>
      <c r="B142" s="46" t="s">
        <v>43</v>
      </c>
      <c r="C142" s="37"/>
      <c r="D142" s="133"/>
      <c r="E142" s="12">
        <f t="shared" si="123"/>
        <v>0</v>
      </c>
      <c r="F142" s="47"/>
      <c r="G142" s="14" t="str">
        <f t="shared" si="124"/>
        <v>#DIV/0!</v>
      </c>
      <c r="H142" s="37"/>
      <c r="I142" s="93"/>
      <c r="J142" s="37">
        <f t="shared" si="125"/>
        <v>0</v>
      </c>
      <c r="K142" s="52" t="str">
        <f t="shared" si="126"/>
        <v/>
      </c>
      <c r="L142" s="48" t="str">
        <f t="shared" si="127"/>
        <v>#DIV/0!</v>
      </c>
      <c r="M142" s="50"/>
      <c r="N142" s="49">
        <f t="shared" si="128"/>
        <v>0</v>
      </c>
      <c r="R142" s="80" t="str">
        <f t="shared" si="49"/>
        <v/>
      </c>
    </row>
    <row r="143">
      <c r="A143" s="146"/>
      <c r="B143" s="83"/>
      <c r="C143" s="55"/>
      <c r="D143" s="95"/>
      <c r="E143" s="25">
        <f t="shared" si="123"/>
        <v>0</v>
      </c>
      <c r="F143" s="47"/>
      <c r="G143" s="56" t="str">
        <f t="shared" si="124"/>
        <v>#DIV/0!</v>
      </c>
      <c r="H143" s="55"/>
      <c r="I143" s="85"/>
      <c r="J143" s="55">
        <f t="shared" si="125"/>
        <v>0</v>
      </c>
      <c r="K143" s="52" t="str">
        <f t="shared" si="126"/>
        <v/>
      </c>
      <c r="L143" s="77" t="str">
        <f t="shared" si="127"/>
        <v>#DIV/0!</v>
      </c>
      <c r="M143" s="50"/>
      <c r="N143" s="49">
        <f>M143*K143</f>
        <v>0</v>
      </c>
      <c r="R143" s="80" t="str">
        <f t="shared" si="49"/>
        <v/>
      </c>
    </row>
    <row r="144">
      <c r="A144" s="62"/>
      <c r="B144" s="63"/>
      <c r="C144" s="62"/>
      <c r="D144" s="64" t="s">
        <v>19</v>
      </c>
      <c r="E144" s="64">
        <f>sum(E136:E143)</f>
        <v>0</v>
      </c>
      <c r="F144" s="39"/>
      <c r="G144" s="65" t="str">
        <f>average(G136:G143)</f>
        <v>#DIV/0!</v>
      </c>
      <c r="H144" s="62"/>
      <c r="I144" s="66"/>
      <c r="J144" s="64">
        <f t="shared" ref="J144:K144" si="129">sum(J136:J143)</f>
        <v>0</v>
      </c>
      <c r="K144" s="64">
        <f t="shared" si="129"/>
        <v>360</v>
      </c>
      <c r="L144" s="65" t="str">
        <f>average(L136:L143)</f>
        <v>#DIV/0!</v>
      </c>
      <c r="M144" s="72"/>
      <c r="N144" s="147">
        <f>sum(N136:N143)</f>
        <v>6687000</v>
      </c>
      <c r="R144" s="80" t="str">
        <f t="shared" si="49"/>
        <v/>
      </c>
    </row>
    <row r="145">
      <c r="A145" s="70">
        <v>45904.0</v>
      </c>
      <c r="B145" s="99" t="s">
        <v>30</v>
      </c>
      <c r="C145" s="89"/>
      <c r="D145" s="13">
        <v>67.0</v>
      </c>
      <c r="E145" s="38">
        <f t="shared" ref="E145:E152" si="130">D145-C145</f>
        <v>67</v>
      </c>
      <c r="F145" s="39"/>
      <c r="G145" s="14">
        <f t="shared" ref="G145:G152" si="131">(F145/E145)*100</f>
        <v>0</v>
      </c>
      <c r="H145" s="137"/>
      <c r="I145" s="138"/>
      <c r="J145" s="41">
        <f t="shared" ref="J145:J152" si="132">I145-H145</f>
        <v>0</v>
      </c>
      <c r="K145" s="41">
        <f t="shared" ref="K145:K148" si="133">D145</f>
        <v>67</v>
      </c>
      <c r="L145" s="71" t="str">
        <f t="shared" ref="L145:L152" si="134">(K145/J145)*100</f>
        <v>#DIV/0!</v>
      </c>
      <c r="M145" s="72">
        <v>18350.0</v>
      </c>
      <c r="N145" s="49">
        <f t="shared" ref="N145:N147" si="135">M145*K145</f>
        <v>1229450</v>
      </c>
      <c r="R145" s="80" t="str">
        <f t="shared" si="49"/>
        <v/>
      </c>
    </row>
    <row r="146">
      <c r="A146" s="35">
        <v>45909.0</v>
      </c>
      <c r="B146" s="46" t="s">
        <v>30</v>
      </c>
      <c r="C146" s="37"/>
      <c r="D146" s="13">
        <v>76.0</v>
      </c>
      <c r="E146" s="12">
        <f t="shared" si="130"/>
        <v>76</v>
      </c>
      <c r="F146" s="47"/>
      <c r="G146" s="14">
        <f t="shared" si="131"/>
        <v>0</v>
      </c>
      <c r="H146" s="40"/>
      <c r="I146" s="40"/>
      <c r="J146" s="37">
        <f t="shared" si="132"/>
        <v>0</v>
      </c>
      <c r="K146" s="41">
        <f t="shared" si="133"/>
        <v>76</v>
      </c>
      <c r="L146" s="48" t="str">
        <f t="shared" si="134"/>
        <v>#DIV/0!</v>
      </c>
      <c r="M146" s="50">
        <v>18470.0</v>
      </c>
      <c r="N146" s="49">
        <f t="shared" si="135"/>
        <v>1403720</v>
      </c>
      <c r="R146" s="80" t="str">
        <f t="shared" si="49"/>
        <v/>
      </c>
    </row>
    <row r="147">
      <c r="A147" s="35">
        <v>45913.0</v>
      </c>
      <c r="B147" s="46" t="s">
        <v>30</v>
      </c>
      <c r="C147" s="37"/>
      <c r="D147" s="37">
        <v>79.0</v>
      </c>
      <c r="E147" s="12">
        <f t="shared" si="130"/>
        <v>79</v>
      </c>
      <c r="F147" s="47"/>
      <c r="G147" s="14">
        <f t="shared" si="131"/>
        <v>0</v>
      </c>
      <c r="H147" s="37"/>
      <c r="I147" s="40"/>
      <c r="J147" s="37">
        <f t="shared" si="132"/>
        <v>0</v>
      </c>
      <c r="K147" s="41">
        <f t="shared" si="133"/>
        <v>79</v>
      </c>
      <c r="L147" s="48" t="str">
        <f t="shared" si="134"/>
        <v>#DIV/0!</v>
      </c>
      <c r="M147" s="50">
        <v>18640.0</v>
      </c>
      <c r="N147" s="49">
        <f t="shared" si="135"/>
        <v>1472560</v>
      </c>
      <c r="R147" s="80" t="str">
        <f t="shared" si="49"/>
        <v/>
      </c>
    </row>
    <row r="148">
      <c r="A148" s="35">
        <v>45920.0</v>
      </c>
      <c r="B148" s="46" t="s">
        <v>30</v>
      </c>
      <c r="C148" s="37"/>
      <c r="D148" s="37"/>
      <c r="E148" s="12">
        <f t="shared" si="130"/>
        <v>0</v>
      </c>
      <c r="F148" s="47">
        <v>81.0</v>
      </c>
      <c r="G148" s="14" t="str">
        <f t="shared" si="131"/>
        <v>#DIV/0!</v>
      </c>
      <c r="H148" s="37"/>
      <c r="I148" s="40"/>
      <c r="J148" s="37">
        <f t="shared" si="132"/>
        <v>0</v>
      </c>
      <c r="K148" s="41" t="str">
        <f t="shared" si="133"/>
        <v/>
      </c>
      <c r="L148" s="48" t="str">
        <f t="shared" si="134"/>
        <v>#DIV/0!</v>
      </c>
      <c r="M148" s="50">
        <v>18700.0</v>
      </c>
      <c r="N148" s="49">
        <f t="shared" ref="N148:N151" si="136">F148*M148</f>
        <v>1514700</v>
      </c>
      <c r="R148" s="80" t="str">
        <f t="shared" si="49"/>
        <v/>
      </c>
    </row>
    <row r="149">
      <c r="A149" s="35">
        <v>45923.0</v>
      </c>
      <c r="B149" s="46" t="s">
        <v>30</v>
      </c>
      <c r="C149" s="37"/>
      <c r="D149" s="37"/>
      <c r="E149" s="12">
        <f t="shared" si="130"/>
        <v>0</v>
      </c>
      <c r="F149" s="47">
        <v>75.0</v>
      </c>
      <c r="G149" s="14" t="str">
        <f t="shared" si="131"/>
        <v>#DIV/0!</v>
      </c>
      <c r="H149" s="37"/>
      <c r="I149" s="40"/>
      <c r="J149" s="37">
        <f t="shared" si="132"/>
        <v>0</v>
      </c>
      <c r="K149" s="41">
        <v>75.0</v>
      </c>
      <c r="L149" s="48" t="str">
        <f t="shared" si="134"/>
        <v>#DIV/0!</v>
      </c>
      <c r="M149" s="50">
        <v>18700.0</v>
      </c>
      <c r="N149" s="49">
        <f t="shared" si="136"/>
        <v>1402500</v>
      </c>
      <c r="R149" s="80" t="str">
        <f t="shared" si="49"/>
        <v/>
      </c>
    </row>
    <row r="150">
      <c r="A150" s="35">
        <v>45930.0</v>
      </c>
      <c r="B150" s="46" t="s">
        <v>30</v>
      </c>
      <c r="C150" s="37"/>
      <c r="D150" s="133"/>
      <c r="E150" s="12">
        <f t="shared" si="130"/>
        <v>0</v>
      </c>
      <c r="F150" s="47">
        <v>76.0</v>
      </c>
      <c r="G150" s="14" t="str">
        <f t="shared" si="131"/>
        <v>#DIV/0!</v>
      </c>
      <c r="H150" s="37"/>
      <c r="I150" s="93"/>
      <c r="J150" s="37">
        <f t="shared" si="132"/>
        <v>0</v>
      </c>
      <c r="K150" s="41">
        <v>76.0</v>
      </c>
      <c r="L150" s="48" t="str">
        <f t="shared" si="134"/>
        <v>#DIV/0!</v>
      </c>
      <c r="M150" s="50">
        <v>18650.0</v>
      </c>
      <c r="N150" s="49">
        <f t="shared" si="136"/>
        <v>1417400</v>
      </c>
      <c r="R150" s="80" t="str">
        <f t="shared" si="49"/>
        <v/>
      </c>
    </row>
    <row r="151">
      <c r="A151" s="35"/>
      <c r="B151" s="83"/>
      <c r="C151" s="37"/>
      <c r="D151" s="133"/>
      <c r="E151" s="12">
        <f t="shared" si="130"/>
        <v>0</v>
      </c>
      <c r="F151" s="47"/>
      <c r="G151" s="14" t="str">
        <f t="shared" si="131"/>
        <v>#DIV/0!</v>
      </c>
      <c r="H151" s="37"/>
      <c r="I151" s="93"/>
      <c r="J151" s="37">
        <f t="shared" si="132"/>
        <v>0</v>
      </c>
      <c r="K151" s="41" t="str">
        <f>D151</f>
        <v/>
      </c>
      <c r="L151" s="77" t="str">
        <f t="shared" si="134"/>
        <v>#DIV/0!</v>
      </c>
      <c r="M151" s="50"/>
      <c r="N151" s="49">
        <f t="shared" si="136"/>
        <v>0</v>
      </c>
      <c r="R151" s="80" t="str">
        <f t="shared" si="49"/>
        <v/>
      </c>
    </row>
    <row r="152">
      <c r="A152" s="148"/>
      <c r="B152" s="156"/>
      <c r="C152" s="149"/>
      <c r="D152" s="150"/>
      <c r="E152" s="25">
        <f t="shared" si="130"/>
        <v>0</v>
      </c>
      <c r="F152" s="39"/>
      <c r="G152" s="56" t="str">
        <f t="shared" si="131"/>
        <v>#DIV/0!</v>
      </c>
      <c r="H152" s="149"/>
      <c r="I152" s="151"/>
      <c r="J152" s="149">
        <f t="shared" si="132"/>
        <v>0</v>
      </c>
      <c r="K152" s="149"/>
      <c r="L152" s="152" t="str">
        <f t="shared" si="134"/>
        <v>#DIV/0!</v>
      </c>
      <c r="M152" s="153"/>
      <c r="N152" s="49">
        <f>M152*K152</f>
        <v>0</v>
      </c>
      <c r="R152" s="80" t="str">
        <f t="shared" si="49"/>
        <v/>
      </c>
    </row>
    <row r="153">
      <c r="A153" s="62"/>
      <c r="B153" s="63"/>
      <c r="C153" s="62"/>
      <c r="D153" s="64" t="s">
        <v>19</v>
      </c>
      <c r="E153" s="64">
        <f t="shared" ref="E153:F153" si="137">sum(E145:E152)</f>
        <v>222</v>
      </c>
      <c r="F153" s="64">
        <f t="shared" si="137"/>
        <v>232</v>
      </c>
      <c r="G153" s="65" t="str">
        <f>average(G145:G152)</f>
        <v>#DIV/0!</v>
      </c>
      <c r="H153" s="62"/>
      <c r="I153" s="66"/>
      <c r="J153" s="64">
        <f t="shared" ref="J153:K153" si="138">sum(J145:J152)</f>
        <v>0</v>
      </c>
      <c r="K153" s="64">
        <f t="shared" si="138"/>
        <v>373</v>
      </c>
      <c r="L153" s="65" t="str">
        <f>average(L145:L152)</f>
        <v>#DIV/0!</v>
      </c>
      <c r="M153" s="68"/>
      <c r="N153" s="69">
        <f>sum(N145:N152)</f>
        <v>8440330</v>
      </c>
      <c r="R153" s="80" t="str">
        <f t="shared" si="49"/>
        <v/>
      </c>
    </row>
    <row r="154">
      <c r="A154" s="154">
        <v>45904.0</v>
      </c>
      <c r="B154" s="99" t="s">
        <v>83</v>
      </c>
      <c r="C154" s="89"/>
      <c r="D154" s="13"/>
      <c r="E154" s="38">
        <v>91.0</v>
      </c>
      <c r="F154" s="39">
        <v>91.0</v>
      </c>
      <c r="G154" s="14">
        <f t="shared" ref="G154:G161" si="139">(F154/E154)*100</f>
        <v>100</v>
      </c>
      <c r="H154" s="137"/>
      <c r="I154" s="138"/>
      <c r="J154" s="41">
        <f t="shared" ref="J154:J161" si="140">I154-H154</f>
        <v>0</v>
      </c>
      <c r="K154" s="81">
        <f>E154</f>
        <v>91</v>
      </c>
      <c r="L154" s="71" t="str">
        <f t="shared" ref="L154:L161" si="141">(K154/J154)*100</f>
        <v>#DIV/0!</v>
      </c>
      <c r="M154" s="72">
        <v>18470.0</v>
      </c>
      <c r="N154" s="131">
        <f t="shared" ref="N154:N161" si="142">M154*K154</f>
        <v>1680770</v>
      </c>
    </row>
    <row r="155">
      <c r="A155" s="35">
        <v>45910.0</v>
      </c>
      <c r="B155" s="46" t="s">
        <v>83</v>
      </c>
      <c r="C155" s="37"/>
      <c r="D155" s="13"/>
      <c r="E155" s="12">
        <f t="shared" ref="E155:E161" si="143">D155-C155</f>
        <v>0</v>
      </c>
      <c r="F155" s="47">
        <v>88.0</v>
      </c>
      <c r="G155" s="14" t="str">
        <f t="shared" si="139"/>
        <v>#DIV/0!</v>
      </c>
      <c r="H155" s="40"/>
      <c r="I155" s="40"/>
      <c r="J155" s="37">
        <f t="shared" si="140"/>
        <v>0</v>
      </c>
      <c r="K155" s="81">
        <f t="shared" ref="K155:K156" si="144">F155</f>
        <v>88</v>
      </c>
      <c r="L155" s="48" t="str">
        <f t="shared" si="141"/>
        <v>#DIV/0!</v>
      </c>
      <c r="M155" s="72">
        <v>18470.0</v>
      </c>
      <c r="N155" s="131">
        <f t="shared" si="142"/>
        <v>1625360</v>
      </c>
    </row>
    <row r="156">
      <c r="A156" s="35">
        <v>45917.0</v>
      </c>
      <c r="B156" s="46" t="s">
        <v>83</v>
      </c>
      <c r="C156" s="37"/>
      <c r="D156" s="37"/>
      <c r="E156" s="12">
        <f t="shared" si="143"/>
        <v>0</v>
      </c>
      <c r="F156" s="47">
        <v>82.0</v>
      </c>
      <c r="G156" s="14" t="str">
        <f t="shared" si="139"/>
        <v>#DIV/0!</v>
      </c>
      <c r="H156" s="37"/>
      <c r="I156" s="40"/>
      <c r="J156" s="37">
        <f t="shared" si="140"/>
        <v>0</v>
      </c>
      <c r="K156" s="81">
        <f t="shared" si="144"/>
        <v>82</v>
      </c>
      <c r="L156" s="48" t="str">
        <f t="shared" si="141"/>
        <v>#DIV/0!</v>
      </c>
      <c r="M156" s="72">
        <v>18640.0</v>
      </c>
      <c r="N156" s="131">
        <f t="shared" si="142"/>
        <v>1528480</v>
      </c>
    </row>
    <row r="157">
      <c r="A157" s="35"/>
      <c r="B157" s="46" t="s">
        <v>83</v>
      </c>
      <c r="C157" s="37"/>
      <c r="D157" s="37"/>
      <c r="E157" s="12">
        <f t="shared" si="143"/>
        <v>0</v>
      </c>
      <c r="F157" s="47"/>
      <c r="G157" s="14" t="str">
        <f t="shared" si="139"/>
        <v>#DIV/0!</v>
      </c>
      <c r="H157" s="37"/>
      <c r="I157" s="40"/>
      <c r="J157" s="37">
        <f t="shared" si="140"/>
        <v>0</v>
      </c>
      <c r="K157" s="81">
        <f t="shared" ref="K157:K159" si="145">E157</f>
        <v>0</v>
      </c>
      <c r="L157" s="48" t="str">
        <f t="shared" si="141"/>
        <v>#DIV/0!</v>
      </c>
      <c r="M157" s="72"/>
      <c r="N157" s="131">
        <f t="shared" si="142"/>
        <v>0</v>
      </c>
    </row>
    <row r="158">
      <c r="A158" s="35"/>
      <c r="B158" s="46" t="s">
        <v>83</v>
      </c>
      <c r="C158" s="37"/>
      <c r="D158" s="37"/>
      <c r="E158" s="12">
        <f t="shared" si="143"/>
        <v>0</v>
      </c>
      <c r="F158" s="47"/>
      <c r="G158" s="14" t="str">
        <f t="shared" si="139"/>
        <v>#DIV/0!</v>
      </c>
      <c r="H158" s="37"/>
      <c r="I158" s="40"/>
      <c r="J158" s="37">
        <f t="shared" si="140"/>
        <v>0</v>
      </c>
      <c r="K158" s="81">
        <f t="shared" si="145"/>
        <v>0</v>
      </c>
      <c r="L158" s="48" t="str">
        <f t="shared" si="141"/>
        <v>#DIV/0!</v>
      </c>
      <c r="M158" s="72"/>
      <c r="N158" s="131">
        <f t="shared" si="142"/>
        <v>0</v>
      </c>
    </row>
    <row r="159">
      <c r="A159" s="35"/>
      <c r="B159" s="46" t="s">
        <v>83</v>
      </c>
      <c r="C159" s="37"/>
      <c r="D159" s="133"/>
      <c r="E159" s="12">
        <f t="shared" si="143"/>
        <v>0</v>
      </c>
      <c r="F159" s="47"/>
      <c r="G159" s="14" t="str">
        <f t="shared" si="139"/>
        <v>#DIV/0!</v>
      </c>
      <c r="H159" s="37"/>
      <c r="I159" s="93"/>
      <c r="J159" s="37">
        <f t="shared" si="140"/>
        <v>0</v>
      </c>
      <c r="K159" s="81">
        <f t="shared" si="145"/>
        <v>0</v>
      </c>
      <c r="L159" s="48" t="str">
        <f t="shared" si="141"/>
        <v>#DIV/0!</v>
      </c>
      <c r="M159" s="72"/>
      <c r="N159" s="131">
        <f t="shared" si="142"/>
        <v>0</v>
      </c>
    </row>
    <row r="160">
      <c r="A160" s="35"/>
      <c r="B160" s="46" t="s">
        <v>83</v>
      </c>
      <c r="C160" s="37"/>
      <c r="D160" s="133"/>
      <c r="E160" s="12">
        <f t="shared" si="143"/>
        <v>0</v>
      </c>
      <c r="F160" s="47"/>
      <c r="G160" s="14" t="str">
        <f t="shared" si="139"/>
        <v>#DIV/0!</v>
      </c>
      <c r="H160" s="37"/>
      <c r="I160" s="93"/>
      <c r="J160" s="37">
        <f t="shared" si="140"/>
        <v>0</v>
      </c>
      <c r="K160" s="52" t="str">
        <f t="shared" ref="K160:K161" si="146">F160</f>
        <v/>
      </c>
      <c r="L160" s="48" t="str">
        <f t="shared" si="141"/>
        <v>#DIV/0!</v>
      </c>
      <c r="M160" s="50"/>
      <c r="N160" s="131">
        <f t="shared" si="142"/>
        <v>0</v>
      </c>
    </row>
    <row r="161">
      <c r="A161" s="146"/>
      <c r="B161" s="83"/>
      <c r="C161" s="55"/>
      <c r="D161" s="95"/>
      <c r="E161" s="25">
        <f t="shared" si="143"/>
        <v>0</v>
      </c>
      <c r="F161" s="47"/>
      <c r="G161" s="56" t="str">
        <f t="shared" si="139"/>
        <v>#DIV/0!</v>
      </c>
      <c r="H161" s="55"/>
      <c r="I161" s="85"/>
      <c r="J161" s="55">
        <f t="shared" si="140"/>
        <v>0</v>
      </c>
      <c r="K161" s="52" t="str">
        <f t="shared" si="146"/>
        <v/>
      </c>
      <c r="L161" s="77" t="str">
        <f t="shared" si="141"/>
        <v>#DIV/0!</v>
      </c>
      <c r="M161" s="58"/>
      <c r="N161" s="49">
        <f t="shared" si="142"/>
        <v>0</v>
      </c>
    </row>
    <row r="162">
      <c r="A162" s="62"/>
      <c r="B162" s="63"/>
      <c r="C162" s="62"/>
      <c r="D162" s="64" t="s">
        <v>19</v>
      </c>
      <c r="E162" s="64">
        <f t="shared" ref="E162:F162" si="147">sum(E154:E161)</f>
        <v>91</v>
      </c>
      <c r="F162" s="64">
        <f t="shared" si="147"/>
        <v>261</v>
      </c>
      <c r="G162" s="65" t="str">
        <f>average(G154:G161)</f>
        <v>#DIV/0!</v>
      </c>
      <c r="H162" s="62"/>
      <c r="I162" s="66"/>
      <c r="J162" s="64">
        <f t="shared" ref="J162:K162" si="148">sum(J154:J161)</f>
        <v>0</v>
      </c>
      <c r="K162" s="64">
        <f t="shared" si="148"/>
        <v>261</v>
      </c>
      <c r="L162" s="65" t="str">
        <f>average(L154:L161)</f>
        <v>#DIV/0!</v>
      </c>
      <c r="M162" s="68"/>
      <c r="N162" s="69">
        <f>sum(N154:N161)</f>
        <v>4834610</v>
      </c>
    </row>
    <row r="163">
      <c r="A163" s="155">
        <v>45908.0</v>
      </c>
      <c r="B163" s="156" t="s">
        <v>32</v>
      </c>
      <c r="C163" s="89"/>
      <c r="D163" s="13"/>
      <c r="E163" s="38">
        <f t="shared" ref="E163:E170" si="149">D163-C163</f>
        <v>0</v>
      </c>
      <c r="F163" s="39">
        <v>82.0</v>
      </c>
      <c r="G163" s="14" t="str">
        <f t="shared" ref="G163:G170" si="150">(F163/E163)*100</f>
        <v>#DIV/0!</v>
      </c>
      <c r="H163" s="137"/>
      <c r="I163" s="138"/>
      <c r="J163" s="41">
        <f t="shared" ref="J163:J170" si="151">I163-H163</f>
        <v>0</v>
      </c>
      <c r="K163" s="81">
        <f t="shared" ref="K163:K170" si="152">F163</f>
        <v>82</v>
      </c>
      <c r="L163" s="152" t="str">
        <f t="shared" ref="L163:L170" si="153">(K163/J163)*100</f>
        <v>#DIV/0!</v>
      </c>
      <c r="M163" s="72">
        <v>18470.0</v>
      </c>
      <c r="N163" s="131">
        <f>M163*K163</f>
        <v>1514540</v>
      </c>
      <c r="R163" s="80" t="str">
        <f t="shared" ref="R163:R172" si="154">Q163</f>
        <v/>
      </c>
    </row>
    <row r="164">
      <c r="A164" s="154">
        <v>45913.0</v>
      </c>
      <c r="B164" s="156" t="s">
        <v>32</v>
      </c>
      <c r="C164" s="89"/>
      <c r="D164" s="13"/>
      <c r="E164" s="38">
        <f t="shared" si="149"/>
        <v>0</v>
      </c>
      <c r="F164" s="47">
        <v>70.0</v>
      </c>
      <c r="G164" s="14" t="str">
        <f t="shared" si="150"/>
        <v>#DIV/0!</v>
      </c>
      <c r="H164" s="40"/>
      <c r="I164" s="40"/>
      <c r="J164" s="37">
        <f t="shared" si="151"/>
        <v>0</v>
      </c>
      <c r="K164" s="81">
        <f t="shared" si="152"/>
        <v>70</v>
      </c>
      <c r="L164" s="152" t="str">
        <f t="shared" si="153"/>
        <v>#DIV/0!</v>
      </c>
      <c r="M164" s="126">
        <v>18640.0</v>
      </c>
      <c r="N164" s="49">
        <f t="shared" ref="N164:N169" si="155">F164*M164</f>
        <v>1304800</v>
      </c>
      <c r="R164" s="80" t="str">
        <f t="shared" si="154"/>
        <v/>
      </c>
    </row>
    <row r="165">
      <c r="A165" s="154">
        <v>45918.0</v>
      </c>
      <c r="B165" s="156" t="s">
        <v>32</v>
      </c>
      <c r="C165" s="89"/>
      <c r="D165" s="89"/>
      <c r="E165" s="12">
        <f t="shared" si="149"/>
        <v>0</v>
      </c>
      <c r="F165" s="157">
        <v>90.0</v>
      </c>
      <c r="G165" s="14" t="str">
        <f t="shared" si="150"/>
        <v>#DIV/0!</v>
      </c>
      <c r="H165" s="37"/>
      <c r="I165" s="40"/>
      <c r="J165" s="37">
        <f t="shared" si="151"/>
        <v>0</v>
      </c>
      <c r="K165" s="81">
        <f t="shared" si="152"/>
        <v>90</v>
      </c>
      <c r="L165" s="152" t="str">
        <f t="shared" si="153"/>
        <v>#DIV/0!</v>
      </c>
      <c r="M165" s="126">
        <v>18640.0</v>
      </c>
      <c r="N165" s="49">
        <f t="shared" si="155"/>
        <v>1677600</v>
      </c>
      <c r="R165" s="80" t="str">
        <f t="shared" si="154"/>
        <v/>
      </c>
    </row>
    <row r="166">
      <c r="A166" s="154">
        <v>45922.0</v>
      </c>
      <c r="B166" s="156" t="s">
        <v>32</v>
      </c>
      <c r="C166" s="89"/>
      <c r="D166" s="89"/>
      <c r="E166" s="12">
        <f t="shared" si="149"/>
        <v>0</v>
      </c>
      <c r="F166" s="157">
        <v>85.0</v>
      </c>
      <c r="G166" s="14" t="str">
        <f t="shared" si="150"/>
        <v>#DIV/0!</v>
      </c>
      <c r="H166" s="37"/>
      <c r="I166" s="40"/>
      <c r="J166" s="37">
        <f t="shared" si="151"/>
        <v>0</v>
      </c>
      <c r="K166" s="81">
        <f t="shared" si="152"/>
        <v>85</v>
      </c>
      <c r="L166" s="152" t="str">
        <f t="shared" si="153"/>
        <v>#DIV/0!</v>
      </c>
      <c r="M166" s="126">
        <v>18700.0</v>
      </c>
      <c r="N166" s="49">
        <f t="shared" si="155"/>
        <v>1589500</v>
      </c>
      <c r="R166" s="80" t="str">
        <f t="shared" si="154"/>
        <v/>
      </c>
    </row>
    <row r="167">
      <c r="A167" s="154">
        <v>45927.0</v>
      </c>
      <c r="B167" s="156" t="s">
        <v>32</v>
      </c>
      <c r="C167" s="89"/>
      <c r="D167" s="89"/>
      <c r="E167" s="12">
        <f t="shared" si="149"/>
        <v>0</v>
      </c>
      <c r="F167" s="157">
        <v>80.0</v>
      </c>
      <c r="G167" s="14" t="str">
        <f t="shared" si="150"/>
        <v>#DIV/0!</v>
      </c>
      <c r="H167" s="37"/>
      <c r="I167" s="40"/>
      <c r="J167" s="37">
        <f t="shared" si="151"/>
        <v>0</v>
      </c>
      <c r="K167" s="81">
        <f t="shared" si="152"/>
        <v>80</v>
      </c>
      <c r="L167" s="152" t="str">
        <f t="shared" si="153"/>
        <v>#DIV/0!</v>
      </c>
      <c r="M167" s="126">
        <v>18650.0</v>
      </c>
      <c r="N167" s="49">
        <f t="shared" si="155"/>
        <v>1492000</v>
      </c>
      <c r="R167" s="80" t="str">
        <f t="shared" si="154"/>
        <v/>
      </c>
    </row>
    <row r="168">
      <c r="A168" s="154"/>
      <c r="B168" s="156" t="s">
        <v>32</v>
      </c>
      <c r="C168" s="89"/>
      <c r="D168" s="158"/>
      <c r="E168" s="12">
        <f t="shared" si="149"/>
        <v>0</v>
      </c>
      <c r="F168" s="157"/>
      <c r="G168" s="14" t="str">
        <f t="shared" si="150"/>
        <v>#DIV/0!</v>
      </c>
      <c r="H168" s="37"/>
      <c r="I168" s="93"/>
      <c r="J168" s="37">
        <f t="shared" si="151"/>
        <v>0</v>
      </c>
      <c r="K168" s="81" t="str">
        <f t="shared" si="152"/>
        <v/>
      </c>
      <c r="L168" s="152" t="str">
        <f t="shared" si="153"/>
        <v>#DIV/0!</v>
      </c>
      <c r="M168" s="126"/>
      <c r="N168" s="49">
        <f t="shared" si="155"/>
        <v>0</v>
      </c>
      <c r="R168" s="80" t="str">
        <f t="shared" si="154"/>
        <v/>
      </c>
    </row>
    <row r="169">
      <c r="A169" s="154"/>
      <c r="B169" s="156"/>
      <c r="C169" s="89"/>
      <c r="D169" s="158"/>
      <c r="E169" s="12">
        <f t="shared" si="149"/>
        <v>0</v>
      </c>
      <c r="F169" s="157"/>
      <c r="G169" s="14" t="str">
        <f t="shared" si="150"/>
        <v>#DIV/0!</v>
      </c>
      <c r="H169" s="89"/>
      <c r="I169" s="159"/>
      <c r="J169" s="89">
        <f t="shared" si="151"/>
        <v>0</v>
      </c>
      <c r="K169" s="81" t="str">
        <f t="shared" si="152"/>
        <v/>
      </c>
      <c r="L169" s="152" t="str">
        <f t="shared" si="153"/>
        <v>#DIV/0!</v>
      </c>
      <c r="M169" s="126"/>
      <c r="N169" s="49">
        <f t="shared" si="155"/>
        <v>0</v>
      </c>
      <c r="R169" s="80" t="str">
        <f t="shared" si="154"/>
        <v/>
      </c>
    </row>
    <row r="170">
      <c r="A170" s="154"/>
      <c r="B170" s="156"/>
      <c r="C170" s="149"/>
      <c r="D170" s="150"/>
      <c r="E170" s="25">
        <f t="shared" si="149"/>
        <v>0</v>
      </c>
      <c r="F170" s="161"/>
      <c r="G170" s="56" t="str">
        <f t="shared" si="150"/>
        <v>#DIV/0!</v>
      </c>
      <c r="H170" s="149"/>
      <c r="I170" s="151"/>
      <c r="J170" s="149">
        <f t="shared" si="151"/>
        <v>0</v>
      </c>
      <c r="K170" s="81" t="str">
        <f t="shared" si="152"/>
        <v/>
      </c>
      <c r="L170" s="152" t="str">
        <f t="shared" si="153"/>
        <v>#DIV/0!</v>
      </c>
      <c r="M170" s="153"/>
      <c r="N170" s="49">
        <f>M170*K170</f>
        <v>0</v>
      </c>
      <c r="R170" s="80" t="str">
        <f t="shared" si="154"/>
        <v/>
      </c>
    </row>
    <row r="171">
      <c r="A171" s="154"/>
      <c r="B171" s="63"/>
      <c r="C171" s="62"/>
      <c r="D171" s="64" t="s">
        <v>19</v>
      </c>
      <c r="E171" s="64">
        <f t="shared" ref="E171:F171" si="156">sum(E163:E170)</f>
        <v>0</v>
      </c>
      <c r="F171" s="64">
        <f t="shared" si="156"/>
        <v>407</v>
      </c>
      <c r="G171" s="65" t="str">
        <f>average(G163:G170)</f>
        <v>#DIV/0!</v>
      </c>
      <c r="H171" s="62"/>
      <c r="I171" s="66"/>
      <c r="J171" s="64">
        <f t="shared" ref="J171:K171" si="157">sum(J163:J170)</f>
        <v>0</v>
      </c>
      <c r="K171" s="64">
        <f t="shared" si="157"/>
        <v>407</v>
      </c>
      <c r="L171" s="65" t="str">
        <f>average(L163:L170)</f>
        <v>#DIV/0!</v>
      </c>
      <c r="M171" s="68"/>
      <c r="N171" s="147">
        <f>sum(N163:N170)</f>
        <v>7578440</v>
      </c>
      <c r="R171" s="80" t="str">
        <f t="shared" si="154"/>
        <v/>
      </c>
    </row>
    <row r="172">
      <c r="A172" s="154"/>
      <c r="B172" s="165"/>
      <c r="C172" s="165"/>
      <c r="D172" s="165"/>
      <c r="E172" s="165"/>
      <c r="F172" s="165"/>
      <c r="G172" s="165"/>
      <c r="H172" s="165"/>
      <c r="I172" s="165"/>
      <c r="J172" s="165"/>
      <c r="K172" s="165"/>
      <c r="L172" s="165"/>
      <c r="M172" s="166"/>
      <c r="N172" s="167">
        <f>N10+N18+N27+N35+N44+N55+N64+N72+N80+N88+N95+N103+N111+N126+N135+N144+N171+N117+N153+N162</f>
        <v>109119970</v>
      </c>
      <c r="P172" s="80">
        <f>31969600+28581263+24887064+26245620</f>
        <v>111683547</v>
      </c>
      <c r="R172" s="80" t="str">
        <f t="shared" si="154"/>
        <v/>
      </c>
    </row>
    <row r="173">
      <c r="A173" s="154"/>
      <c r="G173" s="168"/>
      <c r="L173" s="168"/>
      <c r="N173" s="169"/>
    </row>
    <row r="174" ht="31.5" customHeight="1">
      <c r="A174" s="154"/>
      <c r="D174" s="170" t="s">
        <v>45</v>
      </c>
      <c r="E174" s="171"/>
      <c r="G174" s="168"/>
      <c r="L174" s="168"/>
      <c r="N174" s="169"/>
    </row>
    <row r="175">
      <c r="A175" s="154"/>
      <c r="B175" s="172" t="s">
        <v>2</v>
      </c>
      <c r="C175" s="166" t="s">
        <v>3</v>
      </c>
      <c r="D175" s="166" t="s">
        <v>4</v>
      </c>
      <c r="E175" s="166" t="s">
        <v>5</v>
      </c>
      <c r="F175" s="166" t="s">
        <v>6</v>
      </c>
      <c r="G175" s="173" t="s">
        <v>7</v>
      </c>
      <c r="H175" s="174" t="s">
        <v>8</v>
      </c>
      <c r="I175" s="175" t="s">
        <v>8</v>
      </c>
      <c r="J175" s="166" t="s">
        <v>5</v>
      </c>
      <c r="K175" s="166" t="s">
        <v>6</v>
      </c>
      <c r="L175" s="173" t="s">
        <v>7</v>
      </c>
      <c r="M175" s="166" t="s">
        <v>9</v>
      </c>
      <c r="N175" s="176" t="s">
        <v>10</v>
      </c>
      <c r="O175" s="197">
        <v>1.0</v>
      </c>
      <c r="P175" s="197" t="s">
        <v>46</v>
      </c>
      <c r="Q175" s="251">
        <f>N181</f>
        <v>21410000</v>
      </c>
    </row>
    <row r="176">
      <c r="A176" s="154">
        <v>45903.0</v>
      </c>
      <c r="B176" s="99" t="s">
        <v>46</v>
      </c>
      <c r="C176" s="301"/>
      <c r="D176" s="301">
        <v>396712.0</v>
      </c>
      <c r="E176" s="12" t="str">
        <f>C176</f>
        <v/>
      </c>
      <c r="F176" s="37">
        <v>354.0</v>
      </c>
      <c r="G176" s="14" t="str">
        <f t="shared" ref="G176:G180" si="158">(F176/E176)*100</f>
        <v>#DIV/0!</v>
      </c>
      <c r="H176" s="89"/>
      <c r="I176" s="138"/>
      <c r="J176" s="41">
        <f t="shared" ref="J176:J180" si="159">I176-H176</f>
        <v>0</v>
      </c>
      <c r="K176" s="37">
        <f t="shared" ref="K176:K180" si="160">F176</f>
        <v>354</v>
      </c>
      <c r="L176" s="71" t="str">
        <f t="shared" ref="L176:L180" si="161">(K176/J176)*100</f>
        <v>#DIV/0!</v>
      </c>
      <c r="M176" s="72">
        <v>18350.0</v>
      </c>
      <c r="N176" s="49">
        <v>6500000.0</v>
      </c>
      <c r="O176" s="197">
        <v>2.0</v>
      </c>
      <c r="P176" s="197" t="s">
        <v>47</v>
      </c>
      <c r="Q176" s="251">
        <f>N185</f>
        <v>14500000</v>
      </c>
    </row>
    <row r="177">
      <c r="A177" s="154">
        <v>45915.0</v>
      </c>
      <c r="B177" s="46" t="s">
        <v>46</v>
      </c>
      <c r="C177" s="13">
        <v>396712.0</v>
      </c>
      <c r="D177" s="13">
        <v>397784.0</v>
      </c>
      <c r="E177" s="12">
        <f t="shared" ref="E177:E180" si="162">D177-C177</f>
        <v>1072</v>
      </c>
      <c r="F177" s="47">
        <v>140.56</v>
      </c>
      <c r="G177" s="14">
        <f t="shared" si="158"/>
        <v>13.1119403</v>
      </c>
      <c r="H177" s="37"/>
      <c r="I177" s="40"/>
      <c r="J177" s="37">
        <f t="shared" si="159"/>
        <v>0</v>
      </c>
      <c r="K177" s="37">
        <f t="shared" si="160"/>
        <v>140.56</v>
      </c>
      <c r="L177" s="48" t="str">
        <f t="shared" si="161"/>
        <v>#DIV/0!</v>
      </c>
      <c r="M177" s="50">
        <v>18640.0</v>
      </c>
      <c r="N177" s="49">
        <v>6710000.0</v>
      </c>
      <c r="O177" s="197">
        <v>3.0</v>
      </c>
      <c r="P177" s="197" t="s">
        <v>48</v>
      </c>
      <c r="Q177" s="251">
        <f>N191</f>
        <v>7500047.9</v>
      </c>
    </row>
    <row r="178">
      <c r="A178" s="154">
        <v>45929.0</v>
      </c>
      <c r="B178" s="46" t="s">
        <v>46</v>
      </c>
      <c r="C178" s="37">
        <v>397784.0</v>
      </c>
      <c r="D178" s="37">
        <v>399234.0</v>
      </c>
      <c r="E178" s="12">
        <f t="shared" si="162"/>
        <v>1450</v>
      </c>
      <c r="F178" s="47">
        <v>439.67</v>
      </c>
      <c r="G178" s="14">
        <f t="shared" si="158"/>
        <v>30.32206897</v>
      </c>
      <c r="H178" s="37"/>
      <c r="I178" s="40">
        <v>17220.0</v>
      </c>
      <c r="J178" s="37">
        <f t="shared" si="159"/>
        <v>17220</v>
      </c>
      <c r="K178" s="37">
        <f t="shared" si="160"/>
        <v>439.67</v>
      </c>
      <c r="L178" s="48">
        <f t="shared" si="161"/>
        <v>2.553252033</v>
      </c>
      <c r="M178" s="50">
        <v>18650.0</v>
      </c>
      <c r="N178" s="49">
        <v>8200000.0</v>
      </c>
      <c r="O178" s="197">
        <v>4.0</v>
      </c>
      <c r="P178" s="197" t="s">
        <v>49</v>
      </c>
      <c r="Q178" s="251">
        <f>N197</f>
        <v>8700078</v>
      </c>
    </row>
    <row r="179">
      <c r="A179" s="154"/>
      <c r="B179" s="46" t="s">
        <v>46</v>
      </c>
      <c r="C179" s="37"/>
      <c r="D179" s="37"/>
      <c r="E179" s="12">
        <f t="shared" si="162"/>
        <v>0</v>
      </c>
      <c r="F179" s="47"/>
      <c r="G179" s="14" t="str">
        <f t="shared" si="158"/>
        <v>#DIV/0!</v>
      </c>
      <c r="H179" s="37"/>
      <c r="I179" s="40"/>
      <c r="J179" s="37">
        <f t="shared" si="159"/>
        <v>0</v>
      </c>
      <c r="K179" s="37" t="str">
        <f t="shared" si="160"/>
        <v/>
      </c>
      <c r="L179" s="48" t="str">
        <f t="shared" si="161"/>
        <v>#DIV/0!</v>
      </c>
      <c r="M179" s="50"/>
      <c r="N179" s="49">
        <f t="shared" ref="N179:N180" si="163">M179*K179</f>
        <v>0</v>
      </c>
      <c r="O179" s="197">
        <v>5.0</v>
      </c>
      <c r="P179" s="197" t="s">
        <v>50</v>
      </c>
      <c r="Q179" s="251">
        <f>N203</f>
        <v>7499977.5</v>
      </c>
    </row>
    <row r="180">
      <c r="A180" s="154"/>
      <c r="B180" s="83"/>
      <c r="C180" s="37"/>
      <c r="D180" s="37"/>
      <c r="E180" s="12">
        <f t="shared" si="162"/>
        <v>0</v>
      </c>
      <c r="F180" s="47"/>
      <c r="G180" s="14" t="str">
        <f t="shared" si="158"/>
        <v>#DIV/0!</v>
      </c>
      <c r="H180" s="37"/>
      <c r="I180" s="40"/>
      <c r="J180" s="37">
        <f t="shared" si="159"/>
        <v>0</v>
      </c>
      <c r="K180" s="37" t="str">
        <f t="shared" si="160"/>
        <v/>
      </c>
      <c r="L180" s="77" t="str">
        <f t="shared" si="161"/>
        <v>#DIV/0!</v>
      </c>
      <c r="M180" s="50"/>
      <c r="N180" s="49">
        <f t="shared" si="163"/>
        <v>0</v>
      </c>
      <c r="O180" s="197">
        <v>6.0</v>
      </c>
      <c r="P180" s="197" t="s">
        <v>51</v>
      </c>
      <c r="Q180" s="251">
        <f>N209</f>
        <v>5800340.1</v>
      </c>
    </row>
    <row r="181">
      <c r="A181" s="154"/>
      <c r="B181" s="63"/>
      <c r="C181" s="62"/>
      <c r="D181" s="64" t="s">
        <v>19</v>
      </c>
      <c r="E181" s="64">
        <f t="shared" ref="E181:F181" si="164">sum(E176:E180)</f>
        <v>2522</v>
      </c>
      <c r="F181" s="64">
        <f t="shared" si="164"/>
        <v>934.23</v>
      </c>
      <c r="G181" s="65" t="str">
        <f>average(G176:G180)</f>
        <v>#DIV/0!</v>
      </c>
      <c r="H181" s="62"/>
      <c r="I181" s="66"/>
      <c r="J181" s="64">
        <f t="shared" ref="J181:K181" si="165">sum(J176:J180)</f>
        <v>17220</v>
      </c>
      <c r="K181" s="64">
        <f t="shared" si="165"/>
        <v>934.23</v>
      </c>
      <c r="L181" s="65" t="str">
        <f>average(L176:L180)</f>
        <v>#DIV/0!</v>
      </c>
      <c r="M181" s="68"/>
      <c r="N181" s="69">
        <f>sum(N176:N180)</f>
        <v>21410000</v>
      </c>
      <c r="O181" s="197">
        <v>7.0</v>
      </c>
      <c r="P181" s="197" t="s">
        <v>81</v>
      </c>
      <c r="Q181" s="251">
        <f>N215</f>
        <v>14000000</v>
      </c>
    </row>
    <row r="182">
      <c r="A182" s="154">
        <v>45908.0</v>
      </c>
      <c r="B182" s="156" t="s">
        <v>53</v>
      </c>
      <c r="C182" s="89">
        <v>493300.0</v>
      </c>
      <c r="D182" s="89">
        <v>493990.0</v>
      </c>
      <c r="E182" s="12">
        <f t="shared" ref="E182:E184" si="166">D182-C182</f>
        <v>690</v>
      </c>
      <c r="F182" s="157">
        <v>254.46</v>
      </c>
      <c r="G182" s="14">
        <f t="shared" ref="G182:G184" si="167">(F182/E182)*100</f>
        <v>36.87826087</v>
      </c>
      <c r="H182" s="89">
        <v>21470.0</v>
      </c>
      <c r="I182" s="137">
        <v>22126.0</v>
      </c>
      <c r="J182" s="89">
        <f t="shared" ref="J182:J184" si="168">I182-H182</f>
        <v>656</v>
      </c>
      <c r="K182" s="89">
        <f t="shared" ref="K182:K184" si="169">F182</f>
        <v>254.46</v>
      </c>
      <c r="L182" s="152">
        <f t="shared" ref="L182:L184" si="170">(K182/J182)*100</f>
        <v>38.78963415</v>
      </c>
      <c r="M182" s="126">
        <v>18470.0</v>
      </c>
      <c r="N182" s="44">
        <v>4700000.0</v>
      </c>
      <c r="O182" s="197">
        <v>8.0</v>
      </c>
      <c r="P182" s="197" t="s">
        <v>54</v>
      </c>
      <c r="Q182" s="251">
        <f>N224</f>
        <v>29000000</v>
      </c>
    </row>
    <row r="183">
      <c r="A183" s="154">
        <v>45918.0</v>
      </c>
      <c r="B183" s="156" t="s">
        <v>53</v>
      </c>
      <c r="C183" s="89">
        <v>493990.0</v>
      </c>
      <c r="D183" s="89">
        <v>494811.0</v>
      </c>
      <c r="E183" s="12">
        <f t="shared" si="166"/>
        <v>821</v>
      </c>
      <c r="F183" s="157">
        <v>256.68</v>
      </c>
      <c r="G183" s="14">
        <f t="shared" si="167"/>
        <v>31.26431181</v>
      </c>
      <c r="H183" s="89"/>
      <c r="I183" s="137"/>
      <c r="J183" s="89">
        <f t="shared" si="168"/>
        <v>0</v>
      </c>
      <c r="K183" s="89">
        <f t="shared" si="169"/>
        <v>256.68</v>
      </c>
      <c r="L183" s="152" t="str">
        <f t="shared" si="170"/>
        <v>#DIV/0!</v>
      </c>
      <c r="M183" s="126">
        <v>18700.0</v>
      </c>
      <c r="N183" s="49">
        <v>4800000.0</v>
      </c>
      <c r="O183" s="197">
        <v>9.0</v>
      </c>
      <c r="P183" s="197" t="s">
        <v>69</v>
      </c>
      <c r="Q183" s="251">
        <f>N231</f>
        <v>18900038.8</v>
      </c>
    </row>
    <row r="184">
      <c r="A184" s="154">
        <v>45929.0</v>
      </c>
      <c r="B184" s="156" t="s">
        <v>53</v>
      </c>
      <c r="C184" s="89">
        <v>494811.0</v>
      </c>
      <c r="D184" s="89">
        <v>495682.0</v>
      </c>
      <c r="E184" s="12">
        <f t="shared" si="166"/>
        <v>871</v>
      </c>
      <c r="F184" s="157">
        <v>268.09</v>
      </c>
      <c r="G184" s="14">
        <f t="shared" si="167"/>
        <v>30.77956372</v>
      </c>
      <c r="H184" s="89"/>
      <c r="I184" s="137"/>
      <c r="J184" s="89">
        <f t="shared" si="168"/>
        <v>0</v>
      </c>
      <c r="K184" s="89">
        <f t="shared" si="169"/>
        <v>268.09</v>
      </c>
      <c r="L184" s="152" t="str">
        <f t="shared" si="170"/>
        <v>#DIV/0!</v>
      </c>
      <c r="M184" s="126">
        <v>18650.0</v>
      </c>
      <c r="N184" s="49">
        <v>5000000.0</v>
      </c>
      <c r="O184" s="197">
        <v>10.0</v>
      </c>
      <c r="P184" s="197" t="s">
        <v>90</v>
      </c>
      <c r="Q184" s="251">
        <f>N235</f>
        <v>14800179.2</v>
      </c>
    </row>
    <row r="185">
      <c r="A185" s="154"/>
      <c r="B185" s="63"/>
      <c r="C185" s="62"/>
      <c r="D185" s="64" t="s">
        <v>19</v>
      </c>
      <c r="E185" s="64">
        <f t="shared" ref="E185:F185" si="171">sum(E182:E184)</f>
        <v>2382</v>
      </c>
      <c r="F185" s="64">
        <f t="shared" si="171"/>
        <v>779.23</v>
      </c>
      <c r="G185" s="65">
        <f>average(G182:G184)</f>
        <v>32.97404547</v>
      </c>
      <c r="H185" s="62"/>
      <c r="I185" s="66"/>
      <c r="J185" s="64">
        <f t="shared" ref="J185:K185" si="172">sum(J182:J184)</f>
        <v>656</v>
      </c>
      <c r="K185" s="64">
        <f t="shared" si="172"/>
        <v>779.23</v>
      </c>
      <c r="L185" s="65" t="str">
        <f>average(L182:L184)</f>
        <v>#DIV/0!</v>
      </c>
      <c r="M185" s="68"/>
      <c r="N185" s="69">
        <f>sum(N182:N184)</f>
        <v>14500000</v>
      </c>
    </row>
    <row r="186">
      <c r="A186" s="154">
        <v>45911.0</v>
      </c>
      <c r="B186" s="156" t="s">
        <v>48</v>
      </c>
      <c r="C186" s="89"/>
      <c r="D186" s="13">
        <v>453490.0</v>
      </c>
      <c r="E186" s="38">
        <f t="shared" ref="E186:E190" si="173">D186-C186</f>
        <v>453490</v>
      </c>
      <c r="F186" s="157">
        <v>216.57</v>
      </c>
      <c r="G186" s="14">
        <f t="shared" ref="G186:G190" si="174">(F186/E186)*100</f>
        <v>0.04775629011</v>
      </c>
      <c r="H186" s="89"/>
      <c r="I186" s="138">
        <v>4910.0</v>
      </c>
      <c r="J186" s="41">
        <f t="shared" ref="J186:J190" si="175">I186-H186</f>
        <v>4910</v>
      </c>
      <c r="K186" s="41">
        <f t="shared" ref="K186:K190" si="176">F186</f>
        <v>216.57</v>
      </c>
      <c r="L186" s="152">
        <f t="shared" ref="L186:L190" si="177">(K186/J186)*100</f>
        <v>4.410794297</v>
      </c>
      <c r="M186" s="72">
        <v>18470.0</v>
      </c>
      <c r="N186" s="131">
        <f t="shared" ref="N186:N187" si="178">F186*M186</f>
        <v>4000047.9</v>
      </c>
    </row>
    <row r="187">
      <c r="A187" s="154"/>
      <c r="B187" s="156"/>
      <c r="C187" s="89"/>
      <c r="D187" s="13"/>
      <c r="E187" s="12">
        <f t="shared" si="173"/>
        <v>0</v>
      </c>
      <c r="F187" s="157"/>
      <c r="G187" s="14" t="str">
        <f t="shared" si="174"/>
        <v>#DIV/0!</v>
      </c>
      <c r="H187" s="89"/>
      <c r="I187" s="137"/>
      <c r="J187" s="89">
        <f t="shared" si="175"/>
        <v>0</v>
      </c>
      <c r="K187" s="37" t="str">
        <f t="shared" si="176"/>
        <v/>
      </c>
      <c r="L187" s="152" t="str">
        <f t="shared" si="177"/>
        <v>#DIV/0!</v>
      </c>
      <c r="M187" s="126"/>
      <c r="N187" s="131">
        <f t="shared" si="178"/>
        <v>0</v>
      </c>
    </row>
    <row r="188">
      <c r="A188" s="154">
        <v>45927.0</v>
      </c>
      <c r="B188" s="156" t="s">
        <v>48</v>
      </c>
      <c r="C188" s="89"/>
      <c r="D188" s="89"/>
      <c r="E188" s="12">
        <f t="shared" si="173"/>
        <v>0</v>
      </c>
      <c r="F188" s="157">
        <v>187.66</v>
      </c>
      <c r="G188" s="14" t="str">
        <f t="shared" si="174"/>
        <v>#DIV/0!</v>
      </c>
      <c r="H188" s="89"/>
      <c r="I188" s="137"/>
      <c r="J188" s="89">
        <f t="shared" si="175"/>
        <v>0</v>
      </c>
      <c r="K188" s="37">
        <f t="shared" si="176"/>
        <v>187.66</v>
      </c>
      <c r="L188" s="152" t="str">
        <f t="shared" si="177"/>
        <v>#DIV/0!</v>
      </c>
      <c r="M188" s="126">
        <v>18650.0</v>
      </c>
      <c r="N188" s="131">
        <v>3500000.0</v>
      </c>
    </row>
    <row r="189">
      <c r="A189" s="154"/>
      <c r="B189" s="156" t="s">
        <v>48</v>
      </c>
      <c r="C189" s="89"/>
      <c r="D189" s="89"/>
      <c r="E189" s="12">
        <f t="shared" si="173"/>
        <v>0</v>
      </c>
      <c r="F189" s="157"/>
      <c r="G189" s="14" t="str">
        <f t="shared" si="174"/>
        <v>#DIV/0!</v>
      </c>
      <c r="H189" s="89"/>
      <c r="I189" s="137"/>
      <c r="J189" s="89">
        <f t="shared" si="175"/>
        <v>0</v>
      </c>
      <c r="K189" s="41" t="str">
        <f t="shared" si="176"/>
        <v/>
      </c>
      <c r="L189" s="152" t="str">
        <f t="shared" si="177"/>
        <v>#DIV/0!</v>
      </c>
      <c r="M189" s="126"/>
      <c r="N189" s="131">
        <f t="shared" ref="N189:N190" si="179">F189*M189</f>
        <v>0</v>
      </c>
    </row>
    <row r="190">
      <c r="A190" s="154"/>
      <c r="B190" s="156"/>
      <c r="C190" s="89"/>
      <c r="D190" s="89"/>
      <c r="E190" s="12">
        <f t="shared" si="173"/>
        <v>0</v>
      </c>
      <c r="F190" s="157"/>
      <c r="G190" s="14" t="str">
        <f t="shared" si="174"/>
        <v>#DIV/0!</v>
      </c>
      <c r="H190" s="89"/>
      <c r="I190" s="137"/>
      <c r="J190" s="89">
        <f t="shared" si="175"/>
        <v>0</v>
      </c>
      <c r="K190" s="89" t="str">
        <f t="shared" si="176"/>
        <v/>
      </c>
      <c r="L190" s="152" t="str">
        <f t="shared" si="177"/>
        <v>#DIV/0!</v>
      </c>
      <c r="M190" s="126"/>
      <c r="N190" s="131">
        <f t="shared" si="179"/>
        <v>0</v>
      </c>
    </row>
    <row r="191">
      <c r="A191" s="154"/>
      <c r="B191" s="63"/>
      <c r="C191" s="62"/>
      <c r="D191" s="64" t="s">
        <v>19</v>
      </c>
      <c r="E191" s="64">
        <f t="shared" ref="E191:F191" si="180">sum(E186:E190)</f>
        <v>453490</v>
      </c>
      <c r="F191" s="64">
        <f t="shared" si="180"/>
        <v>404.23</v>
      </c>
      <c r="G191" s="65" t="str">
        <f>average(G186:G190)</f>
        <v>#DIV/0!</v>
      </c>
      <c r="H191" s="62"/>
      <c r="I191" s="66"/>
      <c r="J191" s="64">
        <f t="shared" ref="J191:K191" si="181">sum(J186:J190)</f>
        <v>4910</v>
      </c>
      <c r="K191" s="64">
        <f t="shared" si="181"/>
        <v>404.23</v>
      </c>
      <c r="L191" s="65" t="str">
        <f>average(L186:L190)</f>
        <v>#DIV/0!</v>
      </c>
      <c r="M191" s="68"/>
      <c r="N191" s="69">
        <f>sum(N186:N190)</f>
        <v>7500047.9</v>
      </c>
    </row>
    <row r="192">
      <c r="A192" s="154">
        <v>45904.0</v>
      </c>
      <c r="B192" s="156" t="s">
        <v>49</v>
      </c>
      <c r="C192" s="89"/>
      <c r="D192" s="13"/>
      <c r="E192" s="38">
        <f t="shared" ref="E192:E196" si="182">D192-C192</f>
        <v>0</v>
      </c>
      <c r="F192" s="39">
        <v>227.4</v>
      </c>
      <c r="G192" s="14" t="str">
        <f t="shared" ref="G192:G196" si="183">(F192/E192)*100</f>
        <v>#DIV/0!</v>
      </c>
      <c r="H192" s="89"/>
      <c r="I192" s="138"/>
      <c r="J192" s="41">
        <f t="shared" ref="J192:J196" si="184">I192-H192</f>
        <v>0</v>
      </c>
      <c r="K192" s="41">
        <f t="shared" ref="K192:K196" si="185">F192</f>
        <v>227.4</v>
      </c>
      <c r="L192" s="48" t="str">
        <f t="shared" ref="L192:L196" si="186">(K192/J192)*100</f>
        <v>#DIV/0!</v>
      </c>
      <c r="M192" s="72">
        <v>18470.0</v>
      </c>
      <c r="N192" s="131">
        <f>M192*K192</f>
        <v>4200078</v>
      </c>
    </row>
    <row r="193">
      <c r="A193" s="154">
        <v>45920.0</v>
      </c>
      <c r="B193" s="156" t="s">
        <v>49</v>
      </c>
      <c r="C193" s="89"/>
      <c r="D193" s="89"/>
      <c r="E193" s="12">
        <f t="shared" si="182"/>
        <v>0</v>
      </c>
      <c r="F193" s="157"/>
      <c r="G193" s="14" t="str">
        <f t="shared" si="183"/>
        <v>#DIV/0!</v>
      </c>
      <c r="H193" s="89"/>
      <c r="I193" s="137"/>
      <c r="J193" s="89">
        <f t="shared" si="184"/>
        <v>0</v>
      </c>
      <c r="K193" s="89" t="str">
        <f t="shared" si="185"/>
        <v/>
      </c>
      <c r="L193" s="152" t="str">
        <f t="shared" si="186"/>
        <v>#DIV/0!</v>
      </c>
      <c r="M193" s="126"/>
      <c r="N193" s="131">
        <v>4500000.0</v>
      </c>
    </row>
    <row r="194">
      <c r="A194" s="154"/>
      <c r="B194" s="156" t="s">
        <v>49</v>
      </c>
      <c r="C194" s="89"/>
      <c r="D194" s="89"/>
      <c r="E194" s="12">
        <f t="shared" si="182"/>
        <v>0</v>
      </c>
      <c r="F194" s="157"/>
      <c r="G194" s="14" t="str">
        <f t="shared" si="183"/>
        <v>#DIV/0!</v>
      </c>
      <c r="H194" s="89"/>
      <c r="I194" s="137"/>
      <c r="J194" s="89">
        <f t="shared" si="184"/>
        <v>0</v>
      </c>
      <c r="K194" s="89" t="str">
        <f t="shared" si="185"/>
        <v/>
      </c>
      <c r="L194" s="152" t="str">
        <f t="shared" si="186"/>
        <v>#DIV/0!</v>
      </c>
      <c r="M194" s="126"/>
      <c r="N194" s="131">
        <f t="shared" ref="N194:N195" si="187">M194*K194</f>
        <v>0</v>
      </c>
    </row>
    <row r="195">
      <c r="A195" s="154"/>
      <c r="B195" s="156" t="s">
        <v>49</v>
      </c>
      <c r="C195" s="89"/>
      <c r="D195" s="89"/>
      <c r="E195" s="12">
        <f t="shared" si="182"/>
        <v>0</v>
      </c>
      <c r="F195" s="157"/>
      <c r="G195" s="14" t="str">
        <f t="shared" si="183"/>
        <v>#DIV/0!</v>
      </c>
      <c r="H195" s="89"/>
      <c r="I195" s="137"/>
      <c r="J195" s="89">
        <f t="shared" si="184"/>
        <v>0</v>
      </c>
      <c r="K195" s="89" t="str">
        <f t="shared" si="185"/>
        <v/>
      </c>
      <c r="L195" s="152" t="str">
        <f t="shared" si="186"/>
        <v>#DIV/0!</v>
      </c>
      <c r="M195" s="126"/>
      <c r="N195" s="131">
        <f t="shared" si="187"/>
        <v>0</v>
      </c>
    </row>
    <row r="196">
      <c r="A196" s="154"/>
      <c r="B196" s="156"/>
      <c r="C196" s="89"/>
      <c r="D196" s="89"/>
      <c r="E196" s="12">
        <f t="shared" si="182"/>
        <v>0</v>
      </c>
      <c r="F196" s="157"/>
      <c r="G196" s="14" t="str">
        <f t="shared" si="183"/>
        <v>#DIV/0!</v>
      </c>
      <c r="H196" s="89"/>
      <c r="I196" s="137"/>
      <c r="J196" s="89">
        <f t="shared" si="184"/>
        <v>0</v>
      </c>
      <c r="K196" s="89" t="str">
        <f t="shared" si="185"/>
        <v/>
      </c>
      <c r="L196" s="152" t="str">
        <f t="shared" si="186"/>
        <v>#DIV/0!</v>
      </c>
      <c r="M196" s="126"/>
      <c r="N196" s="131">
        <f>F196*M196</f>
        <v>0</v>
      </c>
    </row>
    <row r="197">
      <c r="A197" s="154"/>
      <c r="B197" s="63"/>
      <c r="C197" s="62"/>
      <c r="D197" s="64" t="s">
        <v>19</v>
      </c>
      <c r="E197" s="64">
        <f t="shared" ref="E197:F197" si="188">sum(E192:E196)</f>
        <v>0</v>
      </c>
      <c r="F197" s="64">
        <f t="shared" si="188"/>
        <v>227.4</v>
      </c>
      <c r="G197" s="65" t="str">
        <f>average(G192:G196)</f>
        <v>#DIV/0!</v>
      </c>
      <c r="H197" s="62"/>
      <c r="I197" s="66"/>
      <c r="J197" s="64">
        <f t="shared" ref="J197:K197" si="189">sum(J192:J196)</f>
        <v>0</v>
      </c>
      <c r="K197" s="64">
        <f t="shared" si="189"/>
        <v>227.4</v>
      </c>
      <c r="L197" s="65" t="str">
        <f>average(L192:L196)</f>
        <v>#DIV/0!</v>
      </c>
      <c r="M197" s="68"/>
      <c r="N197" s="69">
        <f>sum(N192:N196)</f>
        <v>8700078</v>
      </c>
    </row>
    <row r="198">
      <c r="A198" s="154"/>
      <c r="B198" s="156" t="s">
        <v>50</v>
      </c>
      <c r="C198" s="89"/>
      <c r="D198" s="13"/>
      <c r="E198" s="38"/>
      <c r="F198" s="39"/>
      <c r="G198" s="14" t="str">
        <f t="shared" ref="G198:G202" si="190">(F198/E198)*100</f>
        <v>#DIV/0!</v>
      </c>
      <c r="H198" s="89"/>
      <c r="I198" s="138"/>
      <c r="J198" s="41">
        <f t="shared" ref="J198:J202" si="191">I198-H198</f>
        <v>0</v>
      </c>
      <c r="K198" s="41" t="str">
        <f t="shared" ref="K198:K202" si="192">F198</f>
        <v/>
      </c>
      <c r="L198" s="152" t="str">
        <f t="shared" ref="L198:L202" si="193">(K198/J198)*100</f>
        <v>#DIV/0!</v>
      </c>
      <c r="M198" s="72"/>
      <c r="N198" s="49">
        <f t="shared" ref="N198:N202" si="194">F198*M198</f>
        <v>0</v>
      </c>
    </row>
    <row r="199">
      <c r="A199" s="154">
        <v>45915.0</v>
      </c>
      <c r="B199" s="156" t="s">
        <v>50</v>
      </c>
      <c r="C199" s="89"/>
      <c r="D199" s="89"/>
      <c r="E199" s="12">
        <f t="shared" ref="E199:E202" si="195">D199-C199</f>
        <v>0</v>
      </c>
      <c r="F199" s="157">
        <v>198.5</v>
      </c>
      <c r="G199" s="14" t="str">
        <f t="shared" si="190"/>
        <v>#DIV/0!</v>
      </c>
      <c r="H199" s="89">
        <v>4480.0</v>
      </c>
      <c r="I199" s="137"/>
      <c r="J199" s="89">
        <f t="shared" si="191"/>
        <v>-4480</v>
      </c>
      <c r="K199" s="41">
        <f t="shared" si="192"/>
        <v>198.5</v>
      </c>
      <c r="L199" s="152">
        <f t="shared" si="193"/>
        <v>-4.430803571</v>
      </c>
      <c r="M199" s="126">
        <v>18640.0</v>
      </c>
      <c r="N199" s="49">
        <f t="shared" si="194"/>
        <v>3700040</v>
      </c>
    </row>
    <row r="200">
      <c r="A200" s="154">
        <v>45927.0</v>
      </c>
      <c r="B200" s="156" t="s">
        <v>50</v>
      </c>
      <c r="C200" s="89"/>
      <c r="D200" s="89"/>
      <c r="E200" s="12">
        <f t="shared" si="195"/>
        <v>0</v>
      </c>
      <c r="F200" s="157">
        <v>203.75</v>
      </c>
      <c r="G200" s="14" t="str">
        <f t="shared" si="190"/>
        <v>#DIV/0!</v>
      </c>
      <c r="H200" s="89"/>
      <c r="I200" s="137"/>
      <c r="J200" s="89">
        <f t="shared" si="191"/>
        <v>0</v>
      </c>
      <c r="K200" s="41">
        <f t="shared" si="192"/>
        <v>203.75</v>
      </c>
      <c r="L200" s="152" t="str">
        <f t="shared" si="193"/>
        <v>#DIV/0!</v>
      </c>
      <c r="M200" s="126">
        <v>18650.0</v>
      </c>
      <c r="N200" s="49">
        <f t="shared" si="194"/>
        <v>3799937.5</v>
      </c>
    </row>
    <row r="201">
      <c r="A201" s="154"/>
      <c r="B201" s="156" t="s">
        <v>50</v>
      </c>
      <c r="C201" s="89"/>
      <c r="D201" s="89"/>
      <c r="E201" s="12">
        <f t="shared" si="195"/>
        <v>0</v>
      </c>
      <c r="F201" s="157"/>
      <c r="G201" s="14" t="str">
        <f t="shared" si="190"/>
        <v>#DIV/0!</v>
      </c>
      <c r="H201" s="89"/>
      <c r="I201" s="137"/>
      <c r="J201" s="89">
        <f t="shared" si="191"/>
        <v>0</v>
      </c>
      <c r="K201" s="41" t="str">
        <f t="shared" si="192"/>
        <v/>
      </c>
      <c r="L201" s="152" t="str">
        <f t="shared" si="193"/>
        <v>#DIV/0!</v>
      </c>
      <c r="M201" s="126"/>
      <c r="N201" s="49">
        <f t="shared" si="194"/>
        <v>0</v>
      </c>
    </row>
    <row r="202">
      <c r="A202" s="154"/>
      <c r="B202" s="156" t="s">
        <v>50</v>
      </c>
      <c r="C202" s="89"/>
      <c r="D202" s="89"/>
      <c r="E202" s="12">
        <f t="shared" si="195"/>
        <v>0</v>
      </c>
      <c r="F202" s="157"/>
      <c r="G202" s="14" t="str">
        <f t="shared" si="190"/>
        <v>#DIV/0!</v>
      </c>
      <c r="H202" s="89"/>
      <c r="I202" s="137"/>
      <c r="J202" s="89">
        <f t="shared" si="191"/>
        <v>0</v>
      </c>
      <c r="K202" s="89" t="str">
        <f t="shared" si="192"/>
        <v/>
      </c>
      <c r="L202" s="152" t="str">
        <f t="shared" si="193"/>
        <v>#DIV/0!</v>
      </c>
      <c r="M202" s="126"/>
      <c r="N202" s="49">
        <f t="shared" si="194"/>
        <v>0</v>
      </c>
    </row>
    <row r="203">
      <c r="A203" s="154"/>
      <c r="B203" s="63"/>
      <c r="C203" s="62"/>
      <c r="D203" s="64" t="s">
        <v>19</v>
      </c>
      <c r="E203" s="64">
        <f t="shared" ref="E203:F203" si="196">sum(E198:E202)</f>
        <v>0</v>
      </c>
      <c r="F203" s="64">
        <f t="shared" si="196"/>
        <v>402.25</v>
      </c>
      <c r="G203" s="65" t="str">
        <f>average(G198:G202)</f>
        <v>#DIV/0!</v>
      </c>
      <c r="H203" s="62"/>
      <c r="I203" s="66"/>
      <c r="J203" s="64">
        <f t="shared" ref="J203:K203" si="197">sum(J198:J202)</f>
        <v>-4480</v>
      </c>
      <c r="K203" s="64">
        <f t="shared" si="197"/>
        <v>402.25</v>
      </c>
      <c r="L203" s="65" t="str">
        <f>average(L198:L202)</f>
        <v>#DIV/0!</v>
      </c>
      <c r="M203" s="68"/>
      <c r="N203" s="69">
        <f>sum(N198:N202)</f>
        <v>7499977.5</v>
      </c>
    </row>
    <row r="204">
      <c r="A204" s="154">
        <v>45909.0</v>
      </c>
      <c r="B204" s="156" t="s">
        <v>51</v>
      </c>
      <c r="C204" s="89"/>
      <c r="D204" s="13">
        <v>299540.0</v>
      </c>
      <c r="E204" s="12">
        <f t="shared" ref="E204:E208" si="198">D204-C204</f>
        <v>299540</v>
      </c>
      <c r="F204" s="39">
        <v>157.03</v>
      </c>
      <c r="G204" s="14">
        <f t="shared" ref="G204:G208" si="199">(F204/E204)*100</f>
        <v>0.05242371637</v>
      </c>
      <c r="H204" s="89"/>
      <c r="I204" s="138">
        <v>15220.0</v>
      </c>
      <c r="J204" s="41">
        <f t="shared" ref="J204:J208" si="200">I204-H204</f>
        <v>15220</v>
      </c>
      <c r="K204" s="41">
        <f t="shared" ref="K204:K208" si="201">F204</f>
        <v>157.03</v>
      </c>
      <c r="L204" s="152">
        <f t="shared" ref="L204:L208" si="202">(K204/J204)*100</f>
        <v>1.03173456</v>
      </c>
      <c r="M204" s="72">
        <v>18470.0</v>
      </c>
      <c r="N204" s="49">
        <f t="shared" ref="N204:N207" si="203">F204*M204</f>
        <v>2900344.1</v>
      </c>
    </row>
    <row r="205">
      <c r="A205" s="154">
        <v>45918.0</v>
      </c>
      <c r="B205" s="156" t="s">
        <v>51</v>
      </c>
      <c r="C205" s="13">
        <v>299540.0</v>
      </c>
      <c r="D205" s="89">
        <v>299715.0</v>
      </c>
      <c r="E205" s="12">
        <f t="shared" si="198"/>
        <v>175</v>
      </c>
      <c r="F205" s="157">
        <v>155.08</v>
      </c>
      <c r="G205" s="14">
        <f t="shared" si="199"/>
        <v>88.61714286</v>
      </c>
      <c r="H205" s="89"/>
      <c r="I205" s="137"/>
      <c r="J205" s="89">
        <f t="shared" si="200"/>
        <v>0</v>
      </c>
      <c r="K205" s="89">
        <f t="shared" si="201"/>
        <v>155.08</v>
      </c>
      <c r="L205" s="152" t="str">
        <f t="shared" si="202"/>
        <v>#DIV/0!</v>
      </c>
      <c r="M205" s="126">
        <v>18700.0</v>
      </c>
      <c r="N205" s="49">
        <f t="shared" si="203"/>
        <v>2899996</v>
      </c>
    </row>
    <row r="206">
      <c r="A206" s="154"/>
      <c r="B206" s="156" t="s">
        <v>51</v>
      </c>
      <c r="C206" s="89"/>
      <c r="D206" s="89"/>
      <c r="E206" s="12">
        <f t="shared" si="198"/>
        <v>0</v>
      </c>
      <c r="F206" s="157"/>
      <c r="G206" s="14" t="str">
        <f t="shared" si="199"/>
        <v>#DIV/0!</v>
      </c>
      <c r="H206" s="89"/>
      <c r="I206" s="137"/>
      <c r="J206" s="89">
        <f t="shared" si="200"/>
        <v>0</v>
      </c>
      <c r="K206" s="89" t="str">
        <f t="shared" si="201"/>
        <v/>
      </c>
      <c r="L206" s="152" t="str">
        <f t="shared" si="202"/>
        <v>#DIV/0!</v>
      </c>
      <c r="M206" s="126"/>
      <c r="N206" s="49">
        <f t="shared" si="203"/>
        <v>0</v>
      </c>
    </row>
    <row r="207">
      <c r="A207" s="154"/>
      <c r="B207" s="156" t="s">
        <v>51</v>
      </c>
      <c r="C207" s="89"/>
      <c r="D207" s="89"/>
      <c r="E207" s="12">
        <f t="shared" si="198"/>
        <v>0</v>
      </c>
      <c r="F207" s="157"/>
      <c r="G207" s="14" t="str">
        <f t="shared" si="199"/>
        <v>#DIV/0!</v>
      </c>
      <c r="H207" s="89"/>
      <c r="I207" s="137"/>
      <c r="J207" s="89">
        <f t="shared" si="200"/>
        <v>0</v>
      </c>
      <c r="K207" s="89" t="str">
        <f t="shared" si="201"/>
        <v/>
      </c>
      <c r="L207" s="152" t="str">
        <f t="shared" si="202"/>
        <v>#DIV/0!</v>
      </c>
      <c r="M207" s="126"/>
      <c r="N207" s="49">
        <f t="shared" si="203"/>
        <v>0</v>
      </c>
    </row>
    <row r="208">
      <c r="A208" s="154"/>
      <c r="B208" s="156"/>
      <c r="C208" s="89"/>
      <c r="D208" s="89"/>
      <c r="E208" s="12">
        <f t="shared" si="198"/>
        <v>0</v>
      </c>
      <c r="F208" s="157"/>
      <c r="G208" s="14" t="str">
        <f t="shared" si="199"/>
        <v>#DIV/0!</v>
      </c>
      <c r="H208" s="89"/>
      <c r="I208" s="137"/>
      <c r="J208" s="89">
        <f t="shared" si="200"/>
        <v>0</v>
      </c>
      <c r="K208" s="89" t="str">
        <f t="shared" si="201"/>
        <v/>
      </c>
      <c r="L208" s="152" t="str">
        <f t="shared" si="202"/>
        <v>#DIV/0!</v>
      </c>
      <c r="M208" s="126"/>
      <c r="N208" s="49">
        <f>M208*K208</f>
        <v>0</v>
      </c>
    </row>
    <row r="209">
      <c r="A209" s="154"/>
      <c r="B209" s="63"/>
      <c r="C209" s="62"/>
      <c r="D209" s="64" t="s">
        <v>19</v>
      </c>
      <c r="E209" s="64">
        <f t="shared" ref="E209:F209" si="204">sum(E204:E208)</f>
        <v>299715</v>
      </c>
      <c r="F209" s="64">
        <f t="shared" si="204"/>
        <v>312.11</v>
      </c>
      <c r="G209" s="65" t="str">
        <f>average(G204:G208)</f>
        <v>#DIV/0!</v>
      </c>
      <c r="H209" s="62"/>
      <c r="I209" s="66"/>
      <c r="J209" s="64">
        <f t="shared" ref="J209:K209" si="205">sum(J204:J208)</f>
        <v>15220</v>
      </c>
      <c r="K209" s="64">
        <f t="shared" si="205"/>
        <v>312.11</v>
      </c>
      <c r="L209" s="65" t="str">
        <f>average(L204:L208)</f>
        <v>#DIV/0!</v>
      </c>
      <c r="M209" s="68"/>
      <c r="N209" s="69">
        <f>sum(N204:N208)</f>
        <v>5800340.1</v>
      </c>
    </row>
    <row r="210">
      <c r="A210" s="154">
        <v>45908.0</v>
      </c>
      <c r="B210" s="156" t="s">
        <v>91</v>
      </c>
      <c r="C210" s="89"/>
      <c r="D210" s="13"/>
      <c r="E210" s="38">
        <f t="shared" ref="E210:E214" si="206">D210-C210</f>
        <v>0</v>
      </c>
      <c r="F210" s="39"/>
      <c r="G210" s="14" t="str">
        <f t="shared" ref="G210:G214" si="207">(F210/E210)*100</f>
        <v>#DIV/0!</v>
      </c>
      <c r="H210" s="89"/>
      <c r="I210" s="138"/>
      <c r="J210" s="41">
        <f t="shared" ref="J210:J214" si="208">I210-H210</f>
        <v>0</v>
      </c>
      <c r="K210" s="41" t="str">
        <f t="shared" ref="K210:K214" si="209">F210</f>
        <v/>
      </c>
      <c r="L210" s="152" t="str">
        <f t="shared" ref="L210:L214" si="210">(K210/J210)*100</f>
        <v>#DIV/0!</v>
      </c>
      <c r="M210" s="72"/>
      <c r="N210" s="131">
        <v>9000000.0</v>
      </c>
    </row>
    <row r="211">
      <c r="A211" s="154">
        <v>45924.0</v>
      </c>
      <c r="B211" s="156" t="s">
        <v>91</v>
      </c>
      <c r="C211" s="89"/>
      <c r="D211" s="89"/>
      <c r="E211" s="12">
        <f t="shared" si="206"/>
        <v>0</v>
      </c>
      <c r="F211" s="157"/>
      <c r="G211" s="14" t="str">
        <f t="shared" si="207"/>
        <v>#DIV/0!</v>
      </c>
      <c r="H211" s="89"/>
      <c r="I211" s="137"/>
      <c r="J211" s="89">
        <f t="shared" si="208"/>
        <v>0</v>
      </c>
      <c r="K211" s="89" t="str">
        <f t="shared" si="209"/>
        <v/>
      </c>
      <c r="L211" s="152" t="str">
        <f t="shared" si="210"/>
        <v>#DIV/0!</v>
      </c>
      <c r="M211" s="126"/>
      <c r="N211" s="131">
        <v>4000000.0</v>
      </c>
    </row>
    <row r="212">
      <c r="A212" s="154">
        <v>45930.0</v>
      </c>
      <c r="B212" s="156" t="s">
        <v>91</v>
      </c>
      <c r="C212" s="89"/>
      <c r="D212" s="89"/>
      <c r="E212" s="12">
        <f t="shared" si="206"/>
        <v>0</v>
      </c>
      <c r="F212" s="157"/>
      <c r="G212" s="14" t="str">
        <f t="shared" si="207"/>
        <v>#DIV/0!</v>
      </c>
      <c r="H212" s="89"/>
      <c r="I212" s="137"/>
      <c r="J212" s="89">
        <f t="shared" si="208"/>
        <v>0</v>
      </c>
      <c r="K212" s="89" t="str">
        <f t="shared" si="209"/>
        <v/>
      </c>
      <c r="L212" s="152" t="str">
        <f t="shared" si="210"/>
        <v>#DIV/0!</v>
      </c>
      <c r="M212" s="126"/>
      <c r="N212" s="131">
        <v>1000000.0</v>
      </c>
    </row>
    <row r="213">
      <c r="A213" s="154"/>
      <c r="B213" s="156" t="s">
        <v>91</v>
      </c>
      <c r="C213" s="89"/>
      <c r="D213" s="89"/>
      <c r="E213" s="12">
        <f t="shared" si="206"/>
        <v>0</v>
      </c>
      <c r="F213" s="157"/>
      <c r="G213" s="14" t="str">
        <f t="shared" si="207"/>
        <v>#DIV/0!</v>
      </c>
      <c r="H213" s="89"/>
      <c r="I213" s="137"/>
      <c r="J213" s="89">
        <f t="shared" si="208"/>
        <v>0</v>
      </c>
      <c r="K213" s="89" t="str">
        <f t="shared" si="209"/>
        <v/>
      </c>
      <c r="L213" s="152" t="str">
        <f t="shared" si="210"/>
        <v>#DIV/0!</v>
      </c>
      <c r="M213" s="126"/>
      <c r="N213" s="131">
        <f t="shared" ref="N213:N214" si="211">F213*M213</f>
        <v>0</v>
      </c>
    </row>
    <row r="214">
      <c r="A214" s="154"/>
      <c r="B214" s="156"/>
      <c r="C214" s="89"/>
      <c r="D214" s="89"/>
      <c r="E214" s="12">
        <f t="shared" si="206"/>
        <v>0</v>
      </c>
      <c r="F214" s="157"/>
      <c r="G214" s="14" t="str">
        <f t="shared" si="207"/>
        <v>#DIV/0!</v>
      </c>
      <c r="H214" s="89"/>
      <c r="I214" s="137"/>
      <c r="J214" s="89">
        <f t="shared" si="208"/>
        <v>0</v>
      </c>
      <c r="K214" s="89" t="str">
        <f t="shared" si="209"/>
        <v/>
      </c>
      <c r="L214" s="152" t="str">
        <f t="shared" si="210"/>
        <v>#DIV/0!</v>
      </c>
      <c r="M214" s="126"/>
      <c r="N214" s="131">
        <f t="shared" si="211"/>
        <v>0</v>
      </c>
    </row>
    <row r="215">
      <c r="A215" s="62"/>
      <c r="B215" s="63"/>
      <c r="C215" s="62"/>
      <c r="D215" s="64"/>
      <c r="E215" s="64">
        <f t="shared" ref="E215:F215" si="212">sum(E210:E214)</f>
        <v>0</v>
      </c>
      <c r="F215" s="64">
        <f t="shared" si="212"/>
        <v>0</v>
      </c>
      <c r="G215" s="65" t="str">
        <f>average(G210:G214)</f>
        <v>#DIV/0!</v>
      </c>
      <c r="H215" s="62"/>
      <c r="I215" s="66"/>
      <c r="J215" s="64">
        <f t="shared" ref="J215:K215" si="213">sum(J210:J214)</f>
        <v>0</v>
      </c>
      <c r="K215" s="64">
        <f t="shared" si="213"/>
        <v>0</v>
      </c>
      <c r="L215" s="65" t="str">
        <f>average(L210:L214)</f>
        <v>#DIV/0!</v>
      </c>
      <c r="M215" s="68"/>
      <c r="N215" s="69">
        <f>sum(N210:N214)</f>
        <v>14000000</v>
      </c>
    </row>
    <row r="216">
      <c r="A216" s="70">
        <v>45903.0</v>
      </c>
      <c r="B216" s="156" t="s">
        <v>54</v>
      </c>
      <c r="C216" s="89"/>
      <c r="D216" s="13"/>
      <c r="E216" s="38">
        <f t="shared" ref="E216:E221" si="214">D216-C216</f>
        <v>0</v>
      </c>
      <c r="F216" s="39"/>
      <c r="G216" s="14" t="str">
        <f t="shared" ref="G216:G221" si="215">(F216/E216)*100</f>
        <v>#DIV/0!</v>
      </c>
      <c r="H216" s="89"/>
      <c r="I216" s="138"/>
      <c r="J216" s="41">
        <f t="shared" ref="J216:J223" si="216">I216-H216</f>
        <v>0</v>
      </c>
      <c r="K216" s="41"/>
      <c r="L216" s="152" t="str">
        <f t="shared" ref="L216:L223" si="217">(K216/J216)*100</f>
        <v>#DIV/0!</v>
      </c>
      <c r="M216" s="72"/>
      <c r="N216" s="49">
        <v>8000000.0</v>
      </c>
    </row>
    <row r="217">
      <c r="A217" s="35">
        <v>45909.0</v>
      </c>
      <c r="B217" s="156" t="s">
        <v>54</v>
      </c>
      <c r="C217" s="89"/>
      <c r="D217" s="89"/>
      <c r="E217" s="12">
        <f t="shared" si="214"/>
        <v>0</v>
      </c>
      <c r="F217" s="157"/>
      <c r="G217" s="14" t="str">
        <f t="shared" si="215"/>
        <v>#DIV/0!</v>
      </c>
      <c r="H217" s="89"/>
      <c r="I217" s="137"/>
      <c r="J217" s="89">
        <f t="shared" si="216"/>
        <v>0</v>
      </c>
      <c r="K217" s="89" t="str">
        <f t="shared" ref="K217:K223" si="218">F217</f>
        <v/>
      </c>
      <c r="L217" s="152" t="str">
        <f t="shared" si="217"/>
        <v>#DIV/0!</v>
      </c>
      <c r="M217" s="126"/>
      <c r="N217" s="49">
        <v>5000000.0</v>
      </c>
    </row>
    <row r="218">
      <c r="A218" s="35">
        <v>45912.0</v>
      </c>
      <c r="B218" s="156" t="s">
        <v>54</v>
      </c>
      <c r="C218" s="89"/>
      <c r="D218" s="89"/>
      <c r="E218" s="12">
        <f t="shared" si="214"/>
        <v>0</v>
      </c>
      <c r="F218" s="157"/>
      <c r="G218" s="14" t="str">
        <f t="shared" si="215"/>
        <v>#DIV/0!</v>
      </c>
      <c r="H218" s="89"/>
      <c r="I218" s="137"/>
      <c r="J218" s="89">
        <f t="shared" si="216"/>
        <v>0</v>
      </c>
      <c r="K218" s="89" t="str">
        <f t="shared" si="218"/>
        <v/>
      </c>
      <c r="L218" s="152" t="str">
        <f t="shared" si="217"/>
        <v>#DIV/0!</v>
      </c>
      <c r="M218" s="126"/>
      <c r="N218" s="49">
        <v>5000000.0</v>
      </c>
    </row>
    <row r="219">
      <c r="A219" s="35">
        <v>45915.0</v>
      </c>
      <c r="B219" s="156" t="s">
        <v>54</v>
      </c>
      <c r="C219" s="89"/>
      <c r="D219" s="89"/>
      <c r="E219" s="12">
        <f t="shared" si="214"/>
        <v>0</v>
      </c>
      <c r="F219" s="157"/>
      <c r="G219" s="14" t="str">
        <f t="shared" si="215"/>
        <v>#DIV/0!</v>
      </c>
      <c r="H219" s="89"/>
      <c r="I219" s="137"/>
      <c r="J219" s="89">
        <f t="shared" si="216"/>
        <v>0</v>
      </c>
      <c r="K219" s="89" t="str">
        <f t="shared" si="218"/>
        <v/>
      </c>
      <c r="L219" s="152" t="str">
        <f t="shared" si="217"/>
        <v>#DIV/0!</v>
      </c>
      <c r="M219" s="126"/>
      <c r="N219" s="49">
        <v>5000000.0</v>
      </c>
    </row>
    <row r="220">
      <c r="A220" s="35">
        <v>45926.0</v>
      </c>
      <c r="B220" s="156" t="s">
        <v>54</v>
      </c>
      <c r="C220" s="89"/>
      <c r="D220" s="89"/>
      <c r="E220" s="12">
        <f t="shared" si="214"/>
        <v>0</v>
      </c>
      <c r="F220" s="157"/>
      <c r="G220" s="14" t="str">
        <f t="shared" si="215"/>
        <v>#DIV/0!</v>
      </c>
      <c r="H220" s="89"/>
      <c r="I220" s="137"/>
      <c r="J220" s="89">
        <f t="shared" si="216"/>
        <v>0</v>
      </c>
      <c r="K220" s="89" t="str">
        <f t="shared" si="218"/>
        <v/>
      </c>
      <c r="L220" s="152" t="str">
        <f t="shared" si="217"/>
        <v>#DIV/0!</v>
      </c>
      <c r="M220" s="126"/>
      <c r="N220" s="49">
        <v>3000000.0</v>
      </c>
    </row>
    <row r="221">
      <c r="A221" s="35">
        <v>45930.0</v>
      </c>
      <c r="B221" s="156" t="s">
        <v>54</v>
      </c>
      <c r="C221" s="89"/>
      <c r="D221" s="89"/>
      <c r="E221" s="12">
        <f t="shared" si="214"/>
        <v>0</v>
      </c>
      <c r="F221" s="157"/>
      <c r="G221" s="14" t="str">
        <f t="shared" si="215"/>
        <v>#DIV/0!</v>
      </c>
      <c r="H221" s="89"/>
      <c r="I221" s="137"/>
      <c r="J221" s="89">
        <f t="shared" si="216"/>
        <v>0</v>
      </c>
      <c r="K221" s="89" t="str">
        <f t="shared" si="218"/>
        <v/>
      </c>
      <c r="L221" s="152" t="str">
        <f t="shared" si="217"/>
        <v>#DIV/0!</v>
      </c>
      <c r="M221" s="126"/>
      <c r="N221" s="49">
        <v>3000000.0</v>
      </c>
    </row>
    <row r="222">
      <c r="A222" s="35"/>
      <c r="B222" s="156" t="s">
        <v>54</v>
      </c>
      <c r="C222" s="89"/>
      <c r="D222" s="89"/>
      <c r="E222" s="12"/>
      <c r="F222" s="157"/>
      <c r="G222" s="14"/>
      <c r="H222" s="89"/>
      <c r="I222" s="137"/>
      <c r="J222" s="89">
        <f t="shared" si="216"/>
        <v>0</v>
      </c>
      <c r="K222" s="89" t="str">
        <f t="shared" si="218"/>
        <v/>
      </c>
      <c r="L222" s="152" t="str">
        <f t="shared" si="217"/>
        <v>#DIV/0!</v>
      </c>
      <c r="M222" s="126"/>
      <c r="N222" s="49">
        <f t="shared" ref="N222:N223" si="219">M222*F222</f>
        <v>0</v>
      </c>
    </row>
    <row r="223">
      <c r="A223" s="35"/>
      <c r="B223" s="156" t="s">
        <v>54</v>
      </c>
      <c r="C223" s="89"/>
      <c r="D223" s="89"/>
      <c r="E223" s="12">
        <f>D223-C223</f>
        <v>0</v>
      </c>
      <c r="F223" s="157"/>
      <c r="G223" s="14" t="str">
        <f>(F223/E223)*100</f>
        <v>#DIV/0!</v>
      </c>
      <c r="H223" s="89"/>
      <c r="I223" s="137"/>
      <c r="J223" s="89">
        <f t="shared" si="216"/>
        <v>0</v>
      </c>
      <c r="K223" s="89" t="str">
        <f t="shared" si="218"/>
        <v/>
      </c>
      <c r="L223" s="152" t="str">
        <f t="shared" si="217"/>
        <v>#DIV/0!</v>
      </c>
      <c r="M223" s="126"/>
      <c r="N223" s="49">
        <f t="shared" si="219"/>
        <v>0</v>
      </c>
    </row>
    <row r="224">
      <c r="A224" s="70"/>
      <c r="B224" s="63"/>
      <c r="C224" s="62"/>
      <c r="D224" s="64" t="s">
        <v>19</v>
      </c>
      <c r="E224" s="64">
        <f t="shared" ref="E224:F224" si="220">sum(E216:E223)</f>
        <v>0</v>
      </c>
      <c r="F224" s="64">
        <f t="shared" si="220"/>
        <v>0</v>
      </c>
      <c r="G224" s="65" t="str">
        <f>average(G216:G223)</f>
        <v>#DIV/0!</v>
      </c>
      <c r="H224" s="62"/>
      <c r="I224" s="66"/>
      <c r="J224" s="64">
        <f t="shared" ref="J224:K224" si="221">sum(J216:J223)</f>
        <v>0</v>
      </c>
      <c r="K224" s="64">
        <f t="shared" si="221"/>
        <v>0</v>
      </c>
      <c r="L224" s="65" t="str">
        <f>average(L216:L223)</f>
        <v>#DIV/0!</v>
      </c>
      <c r="M224" s="68"/>
      <c r="N224" s="69">
        <f>sum(N216:N223)</f>
        <v>29000000</v>
      </c>
    </row>
    <row r="225">
      <c r="A225" s="70">
        <v>45903.0</v>
      </c>
      <c r="B225" s="156" t="s">
        <v>69</v>
      </c>
      <c r="C225" s="89"/>
      <c r="D225" s="13"/>
      <c r="E225" s="38">
        <f t="shared" ref="E225:E230" si="222">D225-C225</f>
        <v>0</v>
      </c>
      <c r="F225" s="39"/>
      <c r="G225" s="14" t="str">
        <f t="shared" ref="G225:G230" si="223">(F225/E225)*100</f>
        <v>#DIV/0!</v>
      </c>
      <c r="H225" s="89"/>
      <c r="I225" s="138"/>
      <c r="J225" s="41">
        <f t="shared" ref="J225:J230" si="224">I225-H225</f>
        <v>0</v>
      </c>
      <c r="K225" s="41" t="str">
        <f t="shared" ref="K225:K230" si="225">F225</f>
        <v/>
      </c>
      <c r="L225" s="71" t="str">
        <f t="shared" ref="L225:L230" si="226">(K225/J225)*100</f>
        <v>#DIV/0!</v>
      </c>
      <c r="M225" s="72"/>
      <c r="N225" s="49">
        <v>6070000.0</v>
      </c>
    </row>
    <row r="226">
      <c r="A226" s="35">
        <v>45912.0</v>
      </c>
      <c r="B226" s="156" t="s">
        <v>69</v>
      </c>
      <c r="C226" s="89"/>
      <c r="D226" s="89"/>
      <c r="E226" s="12">
        <f t="shared" si="222"/>
        <v>0</v>
      </c>
      <c r="F226" s="157"/>
      <c r="G226" s="14" t="str">
        <f t="shared" si="223"/>
        <v>#DIV/0!</v>
      </c>
      <c r="H226" s="89"/>
      <c r="I226" s="137"/>
      <c r="J226" s="37">
        <f t="shared" si="224"/>
        <v>0</v>
      </c>
      <c r="K226" s="37" t="str">
        <f t="shared" si="225"/>
        <v/>
      </c>
      <c r="L226" s="48" t="str">
        <f t="shared" si="226"/>
        <v>#DIV/0!</v>
      </c>
      <c r="M226" s="126"/>
      <c r="N226" s="49">
        <v>2000000.0</v>
      </c>
    </row>
    <row r="227">
      <c r="A227" s="70">
        <v>45915.0</v>
      </c>
      <c r="B227" s="156" t="s">
        <v>69</v>
      </c>
      <c r="C227" s="89"/>
      <c r="D227" s="13"/>
      <c r="E227" s="38">
        <f t="shared" si="222"/>
        <v>0</v>
      </c>
      <c r="F227" s="39">
        <v>312.77</v>
      </c>
      <c r="G227" s="14" t="str">
        <f t="shared" si="223"/>
        <v>#DIV/0!</v>
      </c>
      <c r="H227" s="89"/>
      <c r="I227" s="138"/>
      <c r="J227" s="41">
        <f t="shared" si="224"/>
        <v>0</v>
      </c>
      <c r="K227" s="41">
        <f t="shared" si="225"/>
        <v>312.77</v>
      </c>
      <c r="L227" s="71" t="str">
        <f t="shared" si="226"/>
        <v>#DIV/0!</v>
      </c>
      <c r="M227" s="72">
        <v>18640.0</v>
      </c>
      <c r="N227" s="49">
        <f t="shared" ref="N227:N230" si="227">M227*F227</f>
        <v>5830032.8</v>
      </c>
    </row>
    <row r="228">
      <c r="A228" s="35">
        <v>45925.0</v>
      </c>
      <c r="B228" s="156" t="s">
        <v>69</v>
      </c>
      <c r="C228" s="89"/>
      <c r="D228" s="89"/>
      <c r="E228" s="12">
        <f t="shared" si="222"/>
        <v>0</v>
      </c>
      <c r="F228" s="157">
        <v>267.38</v>
      </c>
      <c r="G228" s="14" t="str">
        <f t="shared" si="223"/>
        <v>#DIV/0!</v>
      </c>
      <c r="H228" s="89"/>
      <c r="I228" s="137"/>
      <c r="J228" s="37">
        <f t="shared" si="224"/>
        <v>0</v>
      </c>
      <c r="K228" s="37">
        <f t="shared" si="225"/>
        <v>267.38</v>
      </c>
      <c r="L228" s="48" t="str">
        <f t="shared" si="226"/>
        <v>#DIV/0!</v>
      </c>
      <c r="M228" s="126">
        <v>18700.0</v>
      </c>
      <c r="N228" s="49">
        <f t="shared" si="227"/>
        <v>5000006</v>
      </c>
    </row>
    <row r="229">
      <c r="A229" s="35"/>
      <c r="B229" s="156" t="s">
        <v>69</v>
      </c>
      <c r="C229" s="89"/>
      <c r="D229" s="89"/>
      <c r="E229" s="12">
        <f t="shared" si="222"/>
        <v>0</v>
      </c>
      <c r="F229" s="157"/>
      <c r="G229" s="14" t="str">
        <f t="shared" si="223"/>
        <v>#DIV/0!</v>
      </c>
      <c r="H229" s="89"/>
      <c r="I229" s="137"/>
      <c r="J229" s="37">
        <f t="shared" si="224"/>
        <v>0</v>
      </c>
      <c r="K229" s="37" t="str">
        <f t="shared" si="225"/>
        <v/>
      </c>
      <c r="L229" s="77" t="str">
        <f t="shared" si="226"/>
        <v>#DIV/0!</v>
      </c>
      <c r="M229" s="126"/>
      <c r="N229" s="49">
        <f t="shared" si="227"/>
        <v>0</v>
      </c>
    </row>
    <row r="230">
      <c r="A230" s="35"/>
      <c r="B230" s="156" t="s">
        <v>69</v>
      </c>
      <c r="C230" s="89"/>
      <c r="D230" s="89"/>
      <c r="E230" s="12">
        <f t="shared" si="222"/>
        <v>0</v>
      </c>
      <c r="F230" s="157"/>
      <c r="G230" s="14" t="str">
        <f t="shared" si="223"/>
        <v>#DIV/0!</v>
      </c>
      <c r="H230" s="89"/>
      <c r="I230" s="137"/>
      <c r="J230" s="89">
        <f t="shared" si="224"/>
        <v>0</v>
      </c>
      <c r="K230" s="89" t="str">
        <f t="shared" si="225"/>
        <v/>
      </c>
      <c r="L230" s="152" t="str">
        <f t="shared" si="226"/>
        <v>#DIV/0!</v>
      </c>
      <c r="M230" s="126"/>
      <c r="N230" s="49">
        <f t="shared" si="227"/>
        <v>0</v>
      </c>
    </row>
    <row r="231">
      <c r="A231" s="70"/>
      <c r="B231" s="63"/>
      <c r="C231" s="62"/>
      <c r="D231" s="64" t="s">
        <v>19</v>
      </c>
      <c r="E231" s="64">
        <f t="shared" ref="E231:F231" si="228">sum(E225:E230)</f>
        <v>0</v>
      </c>
      <c r="F231" s="64">
        <f t="shared" si="228"/>
        <v>580.15</v>
      </c>
      <c r="G231" s="65" t="str">
        <f>average(G225:G230)</f>
        <v>#DIV/0!</v>
      </c>
      <c r="H231" s="62"/>
      <c r="I231" s="66"/>
      <c r="J231" s="64">
        <f t="shared" ref="J231:K231" si="229">sum(J225:J230)</f>
        <v>0</v>
      </c>
      <c r="K231" s="64">
        <f t="shared" si="229"/>
        <v>580.15</v>
      </c>
      <c r="L231" s="65" t="str">
        <f>average(L225:L230)</f>
        <v>#DIV/0!</v>
      </c>
      <c r="M231" s="68"/>
      <c r="N231" s="69">
        <f>sum(N225:N230)</f>
        <v>18900038.8</v>
      </c>
    </row>
    <row r="232">
      <c r="A232" s="70">
        <v>45909.0</v>
      </c>
      <c r="B232" s="234" t="s">
        <v>63</v>
      </c>
      <c r="C232" s="89">
        <v>133770.0</v>
      </c>
      <c r="D232" s="13">
        <v>134400.0</v>
      </c>
      <c r="E232" s="38">
        <f t="shared" ref="E232:E234" si="230">D232-C232</f>
        <v>630</v>
      </c>
      <c r="F232" s="39">
        <v>254.46</v>
      </c>
      <c r="G232" s="14">
        <f t="shared" ref="G232:G234" si="231">(F232/E232)*100</f>
        <v>40.39047619</v>
      </c>
      <c r="H232" s="89">
        <v>123.0</v>
      </c>
      <c r="I232" s="138">
        <v>700.0</v>
      </c>
      <c r="J232" s="41">
        <f t="shared" ref="J232:J234" si="232">I232-H232</f>
        <v>577</v>
      </c>
      <c r="K232" s="41">
        <f t="shared" ref="K232:K234" si="233">F232</f>
        <v>254.46</v>
      </c>
      <c r="L232" s="152">
        <f t="shared" ref="L232:L234" si="234">(K232/J232)*100</f>
        <v>44.10051993</v>
      </c>
      <c r="M232" s="72">
        <v>18870.0</v>
      </c>
      <c r="N232" s="49">
        <v>4700000.0</v>
      </c>
    </row>
    <row r="233">
      <c r="A233" s="35">
        <v>45917.0</v>
      </c>
      <c r="B233" s="234" t="s">
        <v>63</v>
      </c>
      <c r="C233" s="37">
        <v>134400.0</v>
      </c>
      <c r="D233" s="13">
        <v>135280.0</v>
      </c>
      <c r="E233" s="12">
        <f t="shared" si="230"/>
        <v>880</v>
      </c>
      <c r="F233" s="157">
        <v>262.88</v>
      </c>
      <c r="G233" s="14">
        <f t="shared" si="231"/>
        <v>29.87272727</v>
      </c>
      <c r="H233" s="89"/>
      <c r="I233" s="137"/>
      <c r="J233" s="89">
        <f t="shared" si="232"/>
        <v>0</v>
      </c>
      <c r="K233" s="37">
        <f t="shared" si="233"/>
        <v>262.88</v>
      </c>
      <c r="L233" s="152" t="str">
        <f t="shared" si="234"/>
        <v>#DIV/0!</v>
      </c>
      <c r="M233" s="126">
        <v>18640.0</v>
      </c>
      <c r="N233" s="49">
        <f t="shared" ref="N233:N234" si="235">M233*F233</f>
        <v>4900083.2</v>
      </c>
    </row>
    <row r="234">
      <c r="A234" s="35">
        <v>45925.0</v>
      </c>
      <c r="B234" s="234" t="s">
        <v>63</v>
      </c>
      <c r="C234" s="13">
        <v>135280.0</v>
      </c>
      <c r="D234" s="89">
        <v>136233.0</v>
      </c>
      <c r="E234" s="12">
        <f t="shared" si="230"/>
        <v>953</v>
      </c>
      <c r="F234" s="157">
        <v>278.08</v>
      </c>
      <c r="G234" s="14">
        <f t="shared" si="231"/>
        <v>29.17943337</v>
      </c>
      <c r="H234" s="89"/>
      <c r="I234" s="137"/>
      <c r="J234" s="89">
        <f t="shared" si="232"/>
        <v>0</v>
      </c>
      <c r="K234" s="37">
        <f t="shared" si="233"/>
        <v>278.08</v>
      </c>
      <c r="L234" s="152" t="str">
        <f t="shared" si="234"/>
        <v>#DIV/0!</v>
      </c>
      <c r="M234" s="126">
        <v>18700.0</v>
      </c>
      <c r="N234" s="49">
        <f t="shared" si="235"/>
        <v>5200096</v>
      </c>
    </row>
    <row r="235">
      <c r="A235" s="62"/>
      <c r="B235" s="63"/>
      <c r="C235" s="62"/>
      <c r="D235" s="64" t="s">
        <v>19</v>
      </c>
      <c r="E235" s="64">
        <f t="shared" ref="E235:F235" si="236">sum(E232:E234)</f>
        <v>2463</v>
      </c>
      <c r="F235" s="64">
        <f t="shared" si="236"/>
        <v>795.42</v>
      </c>
      <c r="G235" s="65">
        <f>average(G232:G234)</f>
        <v>33.14754561</v>
      </c>
      <c r="H235" s="62"/>
      <c r="I235" s="66"/>
      <c r="J235" s="64">
        <f t="shared" ref="J235:K235" si="237">sum(J232:J234)</f>
        <v>577</v>
      </c>
      <c r="K235" s="64">
        <f t="shared" si="237"/>
        <v>795.42</v>
      </c>
      <c r="L235" s="65" t="str">
        <f>average(L232:L234)</f>
        <v>#DIV/0!</v>
      </c>
      <c r="M235" s="68"/>
      <c r="N235" s="69">
        <f>sum(N232:N234)</f>
        <v>14800179.2</v>
      </c>
    </row>
    <row r="236">
      <c r="A236" s="198" t="s">
        <v>64</v>
      </c>
      <c r="B236" s="199"/>
      <c r="C236" s="199"/>
      <c r="D236" s="199"/>
      <c r="E236" s="199"/>
      <c r="F236" s="199"/>
      <c r="G236" s="199"/>
      <c r="H236" s="199"/>
      <c r="I236" s="199"/>
      <c r="J236" s="199"/>
      <c r="K236" s="199"/>
      <c r="L236" s="200"/>
      <c r="M236" s="68"/>
      <c r="N236" s="69">
        <f>SUM(N176:N235)/2</f>
        <v>142110661.5</v>
      </c>
    </row>
    <row r="237">
      <c r="G237" s="168"/>
      <c r="L237" s="168"/>
      <c r="N237" s="169"/>
    </row>
    <row r="238">
      <c r="G238" s="168"/>
      <c r="L238" s="168"/>
      <c r="N238" s="274">
        <v>1.24719013E8</v>
      </c>
    </row>
    <row r="239">
      <c r="G239" s="168"/>
      <c r="L239" s="168"/>
      <c r="N239" s="169"/>
    </row>
    <row r="240">
      <c r="G240" s="168"/>
      <c r="L240" s="168"/>
      <c r="N240" s="169"/>
    </row>
    <row r="241">
      <c r="G241" s="168"/>
      <c r="L241" s="168"/>
      <c r="N241" s="169"/>
    </row>
    <row r="242">
      <c r="G242" s="168"/>
      <c r="L242" s="168"/>
      <c r="N242" s="169"/>
    </row>
    <row r="243">
      <c r="G243" s="168"/>
      <c r="L243" s="168"/>
      <c r="N243" s="169"/>
    </row>
    <row r="244">
      <c r="G244" s="168"/>
      <c r="L244" s="168"/>
      <c r="N244" s="169"/>
    </row>
    <row r="245">
      <c r="G245" s="168"/>
      <c r="L245" s="168"/>
      <c r="N245" s="169"/>
    </row>
    <row r="246">
      <c r="G246" s="168"/>
      <c r="L246" s="168"/>
      <c r="N246" s="169"/>
    </row>
    <row r="247">
      <c r="G247" s="168"/>
      <c r="L247" s="168"/>
      <c r="N247" s="169"/>
    </row>
    <row r="248">
      <c r="G248" s="168"/>
      <c r="L248" s="168"/>
      <c r="N248" s="169"/>
    </row>
    <row r="249">
      <c r="G249" s="168"/>
      <c r="L249" s="168"/>
      <c r="N249" s="169"/>
    </row>
    <row r="250">
      <c r="G250" s="168"/>
      <c r="L250" s="168"/>
      <c r="N250" s="169"/>
    </row>
    <row r="251">
      <c r="G251" s="168"/>
      <c r="L251" s="168"/>
      <c r="N251" s="169"/>
    </row>
    <row r="252">
      <c r="G252" s="168"/>
      <c r="L252" s="168"/>
      <c r="N252" s="169"/>
    </row>
    <row r="253">
      <c r="G253" s="168"/>
      <c r="L253" s="168"/>
      <c r="N253" s="169"/>
    </row>
    <row r="254">
      <c r="G254" s="168"/>
      <c r="L254" s="168"/>
      <c r="N254" s="169"/>
    </row>
    <row r="255">
      <c r="G255" s="168"/>
      <c r="L255" s="168"/>
      <c r="N255" s="169"/>
    </row>
    <row r="256">
      <c r="G256" s="168"/>
      <c r="L256" s="168"/>
      <c r="N256" s="169"/>
    </row>
    <row r="257">
      <c r="G257" s="168"/>
      <c r="L257" s="168"/>
      <c r="N257" s="169"/>
    </row>
    <row r="258">
      <c r="G258" s="168"/>
      <c r="L258" s="168"/>
      <c r="N258" s="169"/>
    </row>
    <row r="259">
      <c r="G259" s="168"/>
      <c r="L259" s="168"/>
      <c r="N259" s="169"/>
    </row>
    <row r="260">
      <c r="G260" s="168"/>
      <c r="L260" s="168"/>
      <c r="N260" s="169"/>
    </row>
    <row r="261">
      <c r="G261" s="168"/>
      <c r="L261" s="168"/>
      <c r="N261" s="169"/>
    </row>
    <row r="262">
      <c r="G262" s="168"/>
      <c r="L262" s="168"/>
      <c r="N262" s="169"/>
    </row>
    <row r="263">
      <c r="G263" s="168"/>
      <c r="L263" s="168"/>
      <c r="N263" s="169"/>
    </row>
    <row r="264">
      <c r="G264" s="168"/>
      <c r="L264" s="168"/>
      <c r="N264" s="169"/>
    </row>
    <row r="265">
      <c r="G265" s="168"/>
      <c r="L265" s="168"/>
      <c r="N265" s="169"/>
    </row>
    <row r="266">
      <c r="G266" s="168"/>
      <c r="L266" s="168"/>
      <c r="N266" s="169"/>
    </row>
    <row r="267">
      <c r="G267" s="168"/>
      <c r="L267" s="168"/>
      <c r="N267" s="169"/>
    </row>
    <row r="268">
      <c r="G268" s="168"/>
      <c r="L268" s="168"/>
      <c r="N268" s="169"/>
    </row>
    <row r="269">
      <c r="G269" s="168"/>
      <c r="L269" s="168"/>
      <c r="N269" s="169"/>
    </row>
    <row r="270">
      <c r="G270" s="168"/>
      <c r="L270" s="168"/>
      <c r="N270" s="169"/>
    </row>
    <row r="271">
      <c r="G271" s="168"/>
      <c r="L271" s="168"/>
      <c r="N271" s="169"/>
    </row>
    <row r="272">
      <c r="G272" s="168"/>
      <c r="L272" s="168"/>
      <c r="N272" s="169"/>
    </row>
    <row r="273">
      <c r="G273" s="168"/>
      <c r="L273" s="168"/>
      <c r="N273" s="169"/>
    </row>
    <row r="274">
      <c r="G274" s="168"/>
      <c r="L274" s="168"/>
      <c r="N274" s="169"/>
    </row>
    <row r="275">
      <c r="G275" s="168"/>
      <c r="L275" s="168"/>
      <c r="N275" s="169"/>
    </row>
    <row r="276">
      <c r="G276" s="168"/>
      <c r="L276" s="168"/>
      <c r="N276" s="169"/>
    </row>
    <row r="277">
      <c r="G277" s="168"/>
      <c r="L277" s="168"/>
      <c r="N277" s="169"/>
    </row>
    <row r="278">
      <c r="G278" s="168"/>
      <c r="L278" s="168"/>
      <c r="N278" s="169"/>
    </row>
    <row r="279">
      <c r="G279" s="168"/>
      <c r="L279" s="168"/>
      <c r="N279" s="169"/>
    </row>
    <row r="280">
      <c r="G280" s="168"/>
      <c r="L280" s="168"/>
      <c r="N280" s="169"/>
    </row>
    <row r="281">
      <c r="G281" s="168"/>
      <c r="L281" s="168"/>
      <c r="N281" s="169"/>
    </row>
    <row r="282">
      <c r="G282" s="168"/>
      <c r="L282" s="168"/>
      <c r="N282" s="169"/>
    </row>
    <row r="283">
      <c r="G283" s="168"/>
      <c r="L283" s="168"/>
      <c r="N283" s="169"/>
    </row>
    <row r="284">
      <c r="G284" s="168"/>
      <c r="L284" s="168"/>
      <c r="N284" s="169"/>
    </row>
    <row r="285">
      <c r="G285" s="168"/>
      <c r="L285" s="168"/>
      <c r="N285" s="169"/>
    </row>
    <row r="286">
      <c r="G286" s="168"/>
      <c r="L286" s="168"/>
      <c r="N286" s="169"/>
    </row>
    <row r="287">
      <c r="G287" s="168"/>
      <c r="L287" s="168"/>
      <c r="N287" s="169"/>
    </row>
    <row r="288">
      <c r="G288" s="168"/>
      <c r="L288" s="168"/>
      <c r="N288" s="169"/>
    </row>
    <row r="289">
      <c r="G289" s="168"/>
      <c r="L289" s="168"/>
      <c r="N289" s="169"/>
    </row>
    <row r="290">
      <c r="G290" s="168"/>
      <c r="L290" s="168"/>
      <c r="N290" s="169"/>
    </row>
    <row r="291">
      <c r="G291" s="168"/>
      <c r="L291" s="168"/>
      <c r="N291" s="169"/>
    </row>
    <row r="292">
      <c r="G292" s="168"/>
      <c r="L292" s="168"/>
      <c r="N292" s="169"/>
    </row>
    <row r="293">
      <c r="G293" s="168"/>
      <c r="L293" s="168"/>
      <c r="N293" s="169"/>
    </row>
    <row r="294">
      <c r="G294" s="168"/>
      <c r="L294" s="168"/>
      <c r="N294" s="169"/>
    </row>
    <row r="295">
      <c r="G295" s="168"/>
      <c r="L295" s="168"/>
      <c r="N295" s="169"/>
    </row>
    <row r="296">
      <c r="G296" s="168"/>
      <c r="L296" s="168"/>
      <c r="N296" s="169"/>
    </row>
    <row r="297">
      <c r="G297" s="168"/>
      <c r="L297" s="168"/>
      <c r="N297" s="169"/>
    </row>
    <row r="298">
      <c r="G298" s="168"/>
      <c r="L298" s="168"/>
      <c r="N298" s="169"/>
    </row>
    <row r="299">
      <c r="G299" s="168"/>
      <c r="L299" s="168"/>
      <c r="N299" s="169"/>
    </row>
    <row r="300">
      <c r="G300" s="168"/>
      <c r="L300" s="168"/>
      <c r="N300" s="169"/>
    </row>
    <row r="301">
      <c r="G301" s="168"/>
      <c r="L301" s="168"/>
      <c r="N301" s="169"/>
    </row>
    <row r="302">
      <c r="G302" s="168"/>
      <c r="L302" s="168"/>
      <c r="N302" s="169"/>
    </row>
    <row r="303">
      <c r="G303" s="168"/>
      <c r="L303" s="168"/>
      <c r="N303" s="169"/>
    </row>
    <row r="304">
      <c r="G304" s="168"/>
      <c r="L304" s="168"/>
      <c r="N304" s="169"/>
    </row>
    <row r="305">
      <c r="G305" s="168"/>
      <c r="L305" s="168"/>
      <c r="N305" s="169"/>
    </row>
    <row r="306">
      <c r="G306" s="168"/>
      <c r="L306" s="168"/>
      <c r="N306" s="169"/>
    </row>
    <row r="307">
      <c r="G307" s="168"/>
      <c r="L307" s="168"/>
      <c r="N307" s="169"/>
    </row>
    <row r="308">
      <c r="G308" s="168"/>
      <c r="L308" s="168"/>
      <c r="N308" s="169"/>
    </row>
    <row r="309">
      <c r="G309" s="168"/>
      <c r="L309" s="168"/>
      <c r="N309" s="169"/>
    </row>
    <row r="310">
      <c r="G310" s="168"/>
      <c r="L310" s="168"/>
      <c r="N310" s="169"/>
    </row>
    <row r="311">
      <c r="G311" s="168"/>
      <c r="L311" s="168"/>
      <c r="N311" s="169"/>
    </row>
    <row r="312">
      <c r="G312" s="168"/>
      <c r="L312" s="168"/>
      <c r="N312" s="169"/>
    </row>
    <row r="313">
      <c r="G313" s="168"/>
      <c r="L313" s="168"/>
      <c r="N313" s="169"/>
    </row>
    <row r="314">
      <c r="G314" s="168"/>
      <c r="L314" s="168"/>
      <c r="N314" s="169"/>
    </row>
    <row r="315">
      <c r="G315" s="168"/>
      <c r="L315" s="168"/>
      <c r="N315" s="169"/>
    </row>
    <row r="316">
      <c r="G316" s="168"/>
      <c r="L316" s="168"/>
      <c r="N316" s="169"/>
    </row>
    <row r="317">
      <c r="G317" s="168"/>
      <c r="L317" s="168"/>
      <c r="N317" s="169"/>
    </row>
    <row r="318">
      <c r="G318" s="168"/>
      <c r="L318" s="168"/>
      <c r="N318" s="169"/>
    </row>
    <row r="319">
      <c r="G319" s="168"/>
      <c r="L319" s="168"/>
      <c r="N319" s="169"/>
    </row>
    <row r="320">
      <c r="G320" s="168"/>
      <c r="L320" s="168"/>
      <c r="N320" s="169"/>
    </row>
    <row r="321">
      <c r="G321" s="168"/>
      <c r="L321" s="168"/>
      <c r="N321" s="169"/>
    </row>
    <row r="322">
      <c r="G322" s="168"/>
      <c r="L322" s="168"/>
      <c r="N322" s="169"/>
    </row>
    <row r="323">
      <c r="G323" s="168"/>
      <c r="L323" s="168"/>
      <c r="N323" s="169"/>
    </row>
    <row r="324">
      <c r="G324" s="168"/>
      <c r="L324" s="168"/>
      <c r="N324" s="169"/>
    </row>
    <row r="325">
      <c r="G325" s="168"/>
      <c r="L325" s="168"/>
      <c r="N325" s="169"/>
    </row>
    <row r="326">
      <c r="G326" s="168"/>
      <c r="L326" s="168"/>
      <c r="N326" s="169"/>
    </row>
    <row r="327">
      <c r="G327" s="168"/>
      <c r="L327" s="168"/>
      <c r="N327" s="169"/>
    </row>
    <row r="328">
      <c r="G328" s="168"/>
      <c r="L328" s="168"/>
      <c r="N328" s="169"/>
    </row>
    <row r="329">
      <c r="G329" s="168"/>
      <c r="L329" s="168"/>
      <c r="N329" s="169"/>
    </row>
    <row r="330">
      <c r="G330" s="168"/>
      <c r="L330" s="168"/>
      <c r="N330" s="169"/>
    </row>
    <row r="331">
      <c r="G331" s="168"/>
      <c r="L331" s="168"/>
      <c r="N331" s="169"/>
    </row>
    <row r="332">
      <c r="G332" s="168"/>
      <c r="L332" s="168"/>
      <c r="N332" s="169"/>
    </row>
    <row r="333">
      <c r="G333" s="168"/>
      <c r="L333" s="168"/>
      <c r="N333" s="169"/>
    </row>
    <row r="334">
      <c r="G334" s="168"/>
      <c r="L334" s="168"/>
      <c r="N334" s="169"/>
    </row>
    <row r="335">
      <c r="G335" s="168"/>
      <c r="L335" s="168"/>
      <c r="N335" s="169"/>
    </row>
    <row r="336">
      <c r="G336" s="168"/>
      <c r="L336" s="168"/>
      <c r="N336" s="169"/>
    </row>
    <row r="337">
      <c r="G337" s="168"/>
      <c r="L337" s="168"/>
      <c r="N337" s="169"/>
    </row>
    <row r="338">
      <c r="G338" s="168"/>
      <c r="L338" s="168"/>
      <c r="N338" s="169"/>
    </row>
    <row r="339">
      <c r="G339" s="168"/>
      <c r="L339" s="168"/>
      <c r="N339" s="169"/>
    </row>
    <row r="340">
      <c r="G340" s="168"/>
      <c r="L340" s="168"/>
      <c r="N340" s="169"/>
    </row>
    <row r="341">
      <c r="G341" s="168"/>
      <c r="L341" s="168"/>
      <c r="N341" s="169"/>
    </row>
    <row r="342">
      <c r="G342" s="168"/>
      <c r="L342" s="168"/>
      <c r="N342" s="169"/>
    </row>
    <row r="343">
      <c r="G343" s="168"/>
      <c r="L343" s="168"/>
      <c r="N343" s="169"/>
    </row>
    <row r="344">
      <c r="G344" s="168"/>
      <c r="L344" s="168"/>
      <c r="N344" s="169"/>
    </row>
    <row r="345">
      <c r="G345" s="168"/>
      <c r="L345" s="168"/>
      <c r="N345" s="169"/>
    </row>
    <row r="346">
      <c r="G346" s="168"/>
      <c r="L346" s="168"/>
      <c r="N346" s="169"/>
    </row>
    <row r="347">
      <c r="G347" s="168"/>
      <c r="L347" s="168"/>
      <c r="N347" s="169"/>
    </row>
    <row r="348">
      <c r="G348" s="168"/>
      <c r="L348" s="168"/>
      <c r="N348" s="169"/>
    </row>
    <row r="349">
      <c r="G349" s="168"/>
      <c r="L349" s="168"/>
      <c r="N349" s="169"/>
    </row>
    <row r="350">
      <c r="G350" s="168"/>
      <c r="L350" s="168"/>
      <c r="N350" s="169"/>
    </row>
    <row r="351">
      <c r="G351" s="168"/>
      <c r="L351" s="168"/>
      <c r="N351" s="169"/>
    </row>
    <row r="352">
      <c r="G352" s="168"/>
      <c r="L352" s="168"/>
      <c r="N352" s="169"/>
    </row>
    <row r="353">
      <c r="G353" s="168"/>
      <c r="L353" s="168"/>
      <c r="N353" s="169"/>
    </row>
    <row r="354">
      <c r="G354" s="168"/>
      <c r="L354" s="168"/>
      <c r="N354" s="169"/>
    </row>
    <row r="355">
      <c r="G355" s="168"/>
      <c r="L355" s="168"/>
      <c r="N355" s="169"/>
    </row>
    <row r="356">
      <c r="G356" s="168"/>
      <c r="L356" s="168"/>
      <c r="N356" s="169"/>
    </row>
    <row r="357">
      <c r="G357" s="168"/>
      <c r="L357" s="168"/>
      <c r="N357" s="169"/>
    </row>
    <row r="358">
      <c r="G358" s="168"/>
      <c r="L358" s="168"/>
      <c r="N358" s="169"/>
    </row>
    <row r="359">
      <c r="G359" s="168"/>
      <c r="L359" s="168"/>
      <c r="N359" s="169"/>
    </row>
    <row r="360">
      <c r="G360" s="168"/>
      <c r="L360" s="168"/>
      <c r="N360" s="169"/>
    </row>
    <row r="361">
      <c r="G361" s="168"/>
      <c r="L361" s="168"/>
      <c r="N361" s="169"/>
    </row>
    <row r="362">
      <c r="G362" s="168"/>
      <c r="L362" s="168"/>
      <c r="N362" s="169"/>
    </row>
    <row r="363">
      <c r="G363" s="168"/>
      <c r="L363" s="168"/>
      <c r="N363" s="169"/>
    </row>
    <row r="364">
      <c r="G364" s="168"/>
      <c r="L364" s="168"/>
      <c r="N364" s="169"/>
    </row>
    <row r="365">
      <c r="G365" s="168"/>
      <c r="L365" s="168"/>
      <c r="N365" s="169"/>
    </row>
    <row r="366">
      <c r="G366" s="168"/>
      <c r="L366" s="168"/>
      <c r="N366" s="169"/>
    </row>
    <row r="367">
      <c r="G367" s="168"/>
      <c r="L367" s="168"/>
      <c r="N367" s="169"/>
    </row>
    <row r="368">
      <c r="G368" s="168"/>
      <c r="L368" s="168"/>
      <c r="N368" s="169"/>
    </row>
    <row r="369">
      <c r="G369" s="168"/>
      <c r="L369" s="168"/>
      <c r="N369" s="169"/>
    </row>
    <row r="370">
      <c r="G370" s="168"/>
      <c r="L370" s="168"/>
      <c r="N370" s="169"/>
    </row>
    <row r="371">
      <c r="G371" s="168"/>
      <c r="L371" s="168"/>
      <c r="N371" s="169"/>
    </row>
    <row r="372">
      <c r="G372" s="168"/>
      <c r="L372" s="168"/>
      <c r="N372" s="169"/>
    </row>
    <row r="373">
      <c r="G373" s="168"/>
      <c r="L373" s="168"/>
      <c r="N373" s="169"/>
    </row>
    <row r="374">
      <c r="G374" s="168"/>
      <c r="L374" s="168"/>
      <c r="N374" s="169"/>
    </row>
    <row r="375">
      <c r="G375" s="168"/>
      <c r="L375" s="168"/>
      <c r="N375" s="169"/>
    </row>
    <row r="376">
      <c r="G376" s="168"/>
      <c r="L376" s="168"/>
      <c r="N376" s="169"/>
    </row>
    <row r="377">
      <c r="G377" s="168"/>
      <c r="L377" s="168"/>
      <c r="N377" s="169"/>
    </row>
    <row r="378">
      <c r="G378" s="168"/>
      <c r="L378" s="168"/>
      <c r="N378" s="169"/>
    </row>
    <row r="379">
      <c r="G379" s="168"/>
      <c r="L379" s="168"/>
      <c r="N379" s="169"/>
    </row>
    <row r="380">
      <c r="G380" s="168"/>
      <c r="L380" s="168"/>
      <c r="N380" s="169"/>
    </row>
    <row r="381">
      <c r="G381" s="168"/>
      <c r="L381" s="168"/>
      <c r="N381" s="169"/>
    </row>
    <row r="382">
      <c r="G382" s="168"/>
      <c r="L382" s="168"/>
      <c r="N382" s="169"/>
    </row>
    <row r="383">
      <c r="G383" s="168"/>
      <c r="L383" s="168"/>
      <c r="N383" s="169"/>
    </row>
    <row r="384">
      <c r="G384" s="168"/>
      <c r="L384" s="168"/>
      <c r="N384" s="169"/>
    </row>
    <row r="385">
      <c r="G385" s="168"/>
      <c r="L385" s="168"/>
      <c r="N385" s="169"/>
    </row>
    <row r="386">
      <c r="G386" s="168"/>
      <c r="L386" s="168"/>
      <c r="N386" s="169"/>
    </row>
    <row r="387">
      <c r="G387" s="168"/>
      <c r="L387" s="168"/>
      <c r="N387" s="169"/>
    </row>
    <row r="388">
      <c r="G388" s="168"/>
      <c r="L388" s="168"/>
      <c r="N388" s="169"/>
    </row>
    <row r="389">
      <c r="G389" s="168"/>
      <c r="L389" s="168"/>
      <c r="N389" s="169"/>
    </row>
    <row r="390">
      <c r="G390" s="168"/>
      <c r="L390" s="168"/>
      <c r="N390" s="169"/>
    </row>
    <row r="391">
      <c r="G391" s="168"/>
      <c r="L391" s="168"/>
      <c r="N391" s="169"/>
    </row>
    <row r="392">
      <c r="G392" s="168"/>
      <c r="L392" s="168"/>
      <c r="N392" s="169"/>
    </row>
    <row r="393">
      <c r="G393" s="168"/>
      <c r="L393" s="168"/>
      <c r="N393" s="169"/>
    </row>
    <row r="394">
      <c r="G394" s="168"/>
      <c r="L394" s="168"/>
      <c r="N394" s="169"/>
    </row>
    <row r="395">
      <c r="G395" s="168"/>
      <c r="L395" s="168"/>
      <c r="N395" s="169"/>
    </row>
    <row r="396">
      <c r="G396" s="168"/>
      <c r="L396" s="168"/>
      <c r="N396" s="169"/>
    </row>
    <row r="397">
      <c r="G397" s="168"/>
      <c r="L397" s="168"/>
      <c r="N397" s="169"/>
    </row>
    <row r="398">
      <c r="G398" s="168"/>
      <c r="L398" s="168"/>
      <c r="N398" s="169"/>
    </row>
    <row r="399">
      <c r="G399" s="168"/>
      <c r="L399" s="168"/>
      <c r="N399" s="169"/>
    </row>
    <row r="400">
      <c r="G400" s="168"/>
      <c r="L400" s="168"/>
      <c r="N400" s="169"/>
    </row>
    <row r="401">
      <c r="G401" s="168"/>
      <c r="L401" s="168"/>
      <c r="N401" s="169"/>
    </row>
    <row r="402">
      <c r="G402" s="168"/>
      <c r="L402" s="168"/>
      <c r="N402" s="169"/>
    </row>
    <row r="403">
      <c r="G403" s="168"/>
      <c r="L403" s="168"/>
      <c r="N403" s="169"/>
    </row>
    <row r="404">
      <c r="G404" s="168"/>
      <c r="L404" s="168"/>
      <c r="N404" s="169"/>
    </row>
    <row r="405">
      <c r="G405" s="168"/>
      <c r="L405" s="168"/>
      <c r="N405" s="169"/>
    </row>
    <row r="406">
      <c r="G406" s="168"/>
      <c r="L406" s="168"/>
      <c r="N406" s="169"/>
    </row>
    <row r="407">
      <c r="G407" s="168"/>
      <c r="L407" s="168"/>
      <c r="N407" s="169"/>
    </row>
    <row r="408">
      <c r="G408" s="168"/>
      <c r="L408" s="168"/>
      <c r="N408" s="169"/>
    </row>
    <row r="409">
      <c r="G409" s="168"/>
      <c r="L409" s="168"/>
      <c r="N409" s="169"/>
    </row>
    <row r="410">
      <c r="G410" s="168"/>
      <c r="L410" s="168"/>
      <c r="N410" s="169"/>
    </row>
    <row r="411">
      <c r="G411" s="168"/>
      <c r="L411" s="168"/>
      <c r="N411" s="169"/>
    </row>
    <row r="412">
      <c r="G412" s="168"/>
      <c r="L412" s="168"/>
      <c r="N412" s="169"/>
    </row>
    <row r="413">
      <c r="G413" s="168"/>
      <c r="L413" s="168"/>
      <c r="N413" s="169"/>
    </row>
    <row r="414">
      <c r="G414" s="168"/>
      <c r="L414" s="168"/>
      <c r="N414" s="169"/>
    </row>
    <row r="415">
      <c r="G415" s="168"/>
      <c r="L415" s="168"/>
      <c r="N415" s="169"/>
    </row>
    <row r="416">
      <c r="G416" s="168"/>
      <c r="L416" s="168"/>
      <c r="N416" s="169"/>
    </row>
    <row r="417">
      <c r="G417" s="168"/>
      <c r="L417" s="168"/>
      <c r="N417" s="169"/>
    </row>
    <row r="418">
      <c r="G418" s="168"/>
      <c r="L418" s="168"/>
      <c r="N418" s="169"/>
    </row>
    <row r="419">
      <c r="G419" s="168"/>
      <c r="L419" s="168"/>
      <c r="N419" s="169"/>
    </row>
    <row r="420">
      <c r="G420" s="168"/>
      <c r="L420" s="168"/>
      <c r="N420" s="169"/>
    </row>
    <row r="421">
      <c r="G421" s="168"/>
      <c r="L421" s="168"/>
      <c r="N421" s="169"/>
    </row>
    <row r="422">
      <c r="G422" s="168"/>
      <c r="L422" s="168"/>
      <c r="N422" s="169"/>
    </row>
    <row r="423">
      <c r="G423" s="168"/>
      <c r="L423" s="168"/>
      <c r="N423" s="169"/>
    </row>
    <row r="424">
      <c r="G424" s="168"/>
      <c r="L424" s="168"/>
      <c r="N424" s="169"/>
    </row>
    <row r="425">
      <c r="G425" s="168"/>
      <c r="L425" s="168"/>
      <c r="N425" s="169"/>
    </row>
    <row r="426">
      <c r="G426" s="168"/>
      <c r="L426" s="168"/>
      <c r="N426" s="169"/>
    </row>
    <row r="427">
      <c r="G427" s="168"/>
      <c r="L427" s="168"/>
      <c r="N427" s="169"/>
    </row>
    <row r="428">
      <c r="G428" s="168"/>
      <c r="L428" s="168"/>
      <c r="N428" s="169"/>
    </row>
    <row r="429">
      <c r="G429" s="168"/>
      <c r="L429" s="168"/>
      <c r="N429" s="169"/>
    </row>
    <row r="430">
      <c r="G430" s="168"/>
      <c r="L430" s="168"/>
      <c r="N430" s="169"/>
    </row>
    <row r="431">
      <c r="G431" s="168"/>
      <c r="L431" s="168"/>
      <c r="N431" s="169"/>
    </row>
    <row r="432">
      <c r="G432" s="168"/>
      <c r="L432" s="168"/>
      <c r="N432" s="169"/>
    </row>
    <row r="433">
      <c r="G433" s="168"/>
      <c r="L433" s="168"/>
      <c r="N433" s="169"/>
    </row>
    <row r="434">
      <c r="G434" s="168"/>
      <c r="L434" s="168"/>
      <c r="N434" s="169"/>
    </row>
    <row r="435">
      <c r="G435" s="168"/>
      <c r="L435" s="168"/>
      <c r="N435" s="169"/>
    </row>
    <row r="436">
      <c r="G436" s="168"/>
      <c r="L436" s="168"/>
      <c r="N436" s="169"/>
    </row>
    <row r="437">
      <c r="G437" s="168"/>
      <c r="L437" s="168"/>
      <c r="N437" s="169"/>
    </row>
    <row r="438">
      <c r="G438" s="168"/>
      <c r="L438" s="168"/>
      <c r="N438" s="169"/>
    </row>
    <row r="439">
      <c r="G439" s="168"/>
      <c r="L439" s="168"/>
      <c r="N439" s="169"/>
    </row>
    <row r="440">
      <c r="G440" s="168"/>
      <c r="L440" s="168"/>
      <c r="N440" s="169"/>
    </row>
    <row r="441">
      <c r="G441" s="168"/>
      <c r="L441" s="168"/>
      <c r="N441" s="169"/>
    </row>
    <row r="442">
      <c r="G442" s="168"/>
      <c r="L442" s="168"/>
      <c r="N442" s="169"/>
    </row>
    <row r="443">
      <c r="G443" s="168"/>
      <c r="L443" s="168"/>
      <c r="N443" s="169"/>
    </row>
    <row r="444">
      <c r="G444" s="168"/>
      <c r="L444" s="168"/>
      <c r="N444" s="169"/>
    </row>
    <row r="445">
      <c r="G445" s="168"/>
      <c r="L445" s="168"/>
      <c r="N445" s="169"/>
    </row>
    <row r="446">
      <c r="G446" s="168"/>
      <c r="L446" s="168"/>
      <c r="N446" s="169"/>
    </row>
    <row r="447">
      <c r="G447" s="168"/>
      <c r="L447" s="168"/>
      <c r="N447" s="169"/>
    </row>
    <row r="448">
      <c r="G448" s="168"/>
      <c r="L448" s="168"/>
      <c r="N448" s="169"/>
    </row>
    <row r="449">
      <c r="G449" s="168"/>
      <c r="L449" s="168"/>
      <c r="N449" s="169"/>
    </row>
    <row r="450">
      <c r="G450" s="168"/>
      <c r="L450" s="168"/>
      <c r="N450" s="169"/>
    </row>
    <row r="451">
      <c r="G451" s="168"/>
      <c r="L451" s="168"/>
      <c r="N451" s="169"/>
    </row>
    <row r="452">
      <c r="G452" s="168"/>
      <c r="L452" s="168"/>
      <c r="N452" s="169"/>
    </row>
    <row r="453">
      <c r="G453" s="168"/>
      <c r="L453" s="168"/>
      <c r="N453" s="169"/>
    </row>
    <row r="454">
      <c r="G454" s="168"/>
      <c r="L454" s="168"/>
      <c r="N454" s="169"/>
    </row>
    <row r="455">
      <c r="G455" s="168"/>
      <c r="L455" s="168"/>
      <c r="N455" s="169"/>
    </row>
    <row r="456">
      <c r="G456" s="168"/>
      <c r="L456" s="168"/>
      <c r="N456" s="169"/>
    </row>
    <row r="457">
      <c r="G457" s="168"/>
      <c r="L457" s="168"/>
      <c r="N457" s="169"/>
    </row>
    <row r="458">
      <c r="G458" s="168"/>
      <c r="L458" s="168"/>
      <c r="N458" s="169"/>
    </row>
    <row r="459">
      <c r="G459" s="168"/>
      <c r="L459" s="168"/>
      <c r="N459" s="169"/>
    </row>
    <row r="460">
      <c r="G460" s="168"/>
      <c r="L460" s="168"/>
      <c r="N460" s="169"/>
    </row>
    <row r="461">
      <c r="G461" s="168"/>
      <c r="L461" s="168"/>
      <c r="N461" s="169"/>
    </row>
    <row r="462">
      <c r="G462" s="168"/>
      <c r="L462" s="168"/>
      <c r="N462" s="169"/>
    </row>
    <row r="463">
      <c r="G463" s="168"/>
      <c r="L463" s="168"/>
      <c r="N463" s="169"/>
    </row>
    <row r="464">
      <c r="G464" s="168"/>
      <c r="L464" s="168"/>
      <c r="N464" s="169"/>
    </row>
    <row r="465">
      <c r="G465" s="168"/>
      <c r="L465" s="168"/>
      <c r="N465" s="169"/>
    </row>
    <row r="466">
      <c r="G466" s="168"/>
      <c r="L466" s="168"/>
      <c r="N466" s="169"/>
    </row>
    <row r="467">
      <c r="G467" s="168"/>
      <c r="L467" s="168"/>
      <c r="N467" s="169"/>
    </row>
    <row r="468">
      <c r="G468" s="168"/>
      <c r="L468" s="168"/>
      <c r="N468" s="169"/>
    </row>
    <row r="469">
      <c r="G469" s="168"/>
      <c r="L469" s="168"/>
      <c r="N469" s="169"/>
    </row>
    <row r="470">
      <c r="G470" s="168"/>
      <c r="L470" s="168"/>
      <c r="N470" s="169"/>
    </row>
    <row r="471">
      <c r="G471" s="168"/>
      <c r="L471" s="168"/>
      <c r="N471" s="169"/>
    </row>
    <row r="472">
      <c r="G472" s="168"/>
      <c r="L472" s="168"/>
      <c r="N472" s="169"/>
    </row>
    <row r="473">
      <c r="G473" s="168"/>
      <c r="L473" s="168"/>
      <c r="N473" s="169"/>
    </row>
    <row r="474">
      <c r="G474" s="168"/>
      <c r="L474" s="168"/>
      <c r="N474" s="169"/>
    </row>
    <row r="475">
      <c r="G475" s="168"/>
      <c r="L475" s="168"/>
      <c r="N475" s="169"/>
    </row>
    <row r="476">
      <c r="G476" s="168"/>
      <c r="L476" s="168"/>
      <c r="N476" s="169"/>
    </row>
    <row r="477">
      <c r="G477" s="168"/>
      <c r="L477" s="168"/>
      <c r="N477" s="169"/>
    </row>
    <row r="478">
      <c r="G478" s="168"/>
      <c r="L478" s="168"/>
      <c r="N478" s="169"/>
    </row>
    <row r="479">
      <c r="G479" s="168"/>
      <c r="L479" s="168"/>
      <c r="N479" s="169"/>
    </row>
    <row r="480">
      <c r="G480" s="168"/>
      <c r="L480" s="168"/>
      <c r="N480" s="169"/>
    </row>
    <row r="481">
      <c r="G481" s="168"/>
      <c r="L481" s="168"/>
      <c r="N481" s="169"/>
    </row>
    <row r="482">
      <c r="G482" s="168"/>
      <c r="L482" s="168"/>
      <c r="N482" s="169"/>
    </row>
    <row r="483">
      <c r="G483" s="168"/>
      <c r="L483" s="168"/>
      <c r="N483" s="169"/>
    </row>
    <row r="484">
      <c r="G484" s="168"/>
      <c r="L484" s="168"/>
      <c r="N484" s="169"/>
    </row>
    <row r="485">
      <c r="G485" s="168"/>
      <c r="L485" s="168"/>
      <c r="N485" s="169"/>
    </row>
    <row r="486">
      <c r="G486" s="168"/>
      <c r="L486" s="168"/>
      <c r="N486" s="169"/>
    </row>
    <row r="487">
      <c r="G487" s="168"/>
      <c r="L487" s="168"/>
      <c r="N487" s="169"/>
    </row>
    <row r="488">
      <c r="G488" s="168"/>
      <c r="L488" s="168"/>
      <c r="N488" s="169"/>
    </row>
    <row r="489">
      <c r="G489" s="168"/>
      <c r="L489" s="168"/>
      <c r="N489" s="169"/>
    </row>
    <row r="490">
      <c r="G490" s="168"/>
      <c r="L490" s="168"/>
      <c r="N490" s="169"/>
    </row>
    <row r="491">
      <c r="G491" s="168"/>
      <c r="L491" s="168"/>
      <c r="N491" s="169"/>
    </row>
    <row r="492">
      <c r="G492" s="168"/>
      <c r="L492" s="168"/>
      <c r="N492" s="169"/>
    </row>
    <row r="493">
      <c r="G493" s="168"/>
      <c r="L493" s="168"/>
      <c r="N493" s="169"/>
    </row>
    <row r="494">
      <c r="G494" s="168"/>
      <c r="L494" s="168"/>
      <c r="N494" s="169"/>
    </row>
    <row r="495">
      <c r="G495" s="168"/>
      <c r="L495" s="168"/>
      <c r="N495" s="169"/>
    </row>
    <row r="496">
      <c r="G496" s="168"/>
      <c r="L496" s="168"/>
      <c r="N496" s="169"/>
    </row>
    <row r="497">
      <c r="G497" s="168"/>
      <c r="L497" s="168"/>
      <c r="N497" s="169"/>
    </row>
    <row r="498">
      <c r="G498" s="168"/>
      <c r="L498" s="168"/>
      <c r="N498" s="169"/>
    </row>
    <row r="499">
      <c r="G499" s="168"/>
      <c r="L499" s="168"/>
      <c r="N499" s="169"/>
    </row>
    <row r="500">
      <c r="G500" s="168"/>
      <c r="L500" s="168"/>
      <c r="N500" s="169"/>
    </row>
    <row r="501">
      <c r="G501" s="168"/>
      <c r="L501" s="168"/>
      <c r="N501" s="169"/>
    </row>
    <row r="502">
      <c r="G502" s="168"/>
      <c r="L502" s="168"/>
      <c r="N502" s="169"/>
    </row>
    <row r="503">
      <c r="G503" s="168"/>
      <c r="L503" s="168"/>
      <c r="N503" s="169"/>
    </row>
    <row r="504">
      <c r="G504" s="168"/>
      <c r="L504" s="168"/>
      <c r="N504" s="169"/>
    </row>
    <row r="505">
      <c r="G505" s="168"/>
      <c r="L505" s="168"/>
      <c r="N505" s="169"/>
    </row>
    <row r="506">
      <c r="G506" s="168"/>
      <c r="L506" s="168"/>
      <c r="N506" s="169"/>
    </row>
    <row r="507">
      <c r="G507" s="168"/>
      <c r="L507" s="168"/>
      <c r="N507" s="169"/>
    </row>
    <row r="508">
      <c r="G508" s="168"/>
      <c r="L508" s="168"/>
      <c r="N508" s="169"/>
    </row>
    <row r="509">
      <c r="G509" s="168"/>
      <c r="L509" s="168"/>
      <c r="N509" s="169"/>
    </row>
    <row r="510">
      <c r="G510" s="168"/>
      <c r="L510" s="168"/>
      <c r="N510" s="169"/>
    </row>
    <row r="511">
      <c r="G511" s="168"/>
      <c r="L511" s="168"/>
      <c r="N511" s="169"/>
    </row>
    <row r="512">
      <c r="G512" s="168"/>
      <c r="L512" s="168"/>
      <c r="N512" s="169"/>
    </row>
    <row r="513">
      <c r="G513" s="168"/>
      <c r="L513" s="168"/>
      <c r="N513" s="169"/>
    </row>
    <row r="514">
      <c r="G514" s="168"/>
      <c r="L514" s="168"/>
      <c r="N514" s="169"/>
    </row>
    <row r="515">
      <c r="G515" s="168"/>
      <c r="L515" s="168"/>
      <c r="N515" s="169"/>
    </row>
    <row r="516">
      <c r="G516" s="168"/>
      <c r="L516" s="168"/>
      <c r="N516" s="169"/>
    </row>
    <row r="517">
      <c r="G517" s="168"/>
      <c r="L517" s="168"/>
      <c r="N517" s="169"/>
    </row>
    <row r="518">
      <c r="G518" s="168"/>
      <c r="L518" s="168"/>
      <c r="N518" s="169"/>
    </row>
    <row r="519">
      <c r="G519" s="168"/>
      <c r="L519" s="168"/>
      <c r="N519" s="169"/>
    </row>
    <row r="520">
      <c r="G520" s="168"/>
      <c r="L520" s="168"/>
      <c r="N520" s="169"/>
    </row>
    <row r="521">
      <c r="G521" s="168"/>
      <c r="L521" s="168"/>
      <c r="N521" s="169"/>
    </row>
    <row r="522">
      <c r="G522" s="168"/>
      <c r="L522" s="168"/>
      <c r="N522" s="169"/>
    </row>
    <row r="523">
      <c r="G523" s="168"/>
      <c r="L523" s="168"/>
      <c r="N523" s="169"/>
    </row>
    <row r="524">
      <c r="G524" s="168"/>
      <c r="L524" s="168"/>
      <c r="N524" s="169"/>
    </row>
    <row r="525">
      <c r="G525" s="168"/>
      <c r="L525" s="168"/>
      <c r="N525" s="169"/>
    </row>
    <row r="526">
      <c r="G526" s="168"/>
      <c r="L526" s="168"/>
      <c r="N526" s="169"/>
    </row>
    <row r="527">
      <c r="G527" s="168"/>
      <c r="L527" s="168"/>
      <c r="N527" s="169"/>
    </row>
    <row r="528">
      <c r="G528" s="168"/>
      <c r="L528" s="168"/>
      <c r="N528" s="169"/>
    </row>
    <row r="529">
      <c r="G529" s="168"/>
      <c r="L529" s="168"/>
      <c r="N529" s="169"/>
    </row>
    <row r="530">
      <c r="G530" s="168"/>
      <c r="L530" s="168"/>
      <c r="N530" s="169"/>
    </row>
    <row r="531">
      <c r="G531" s="168"/>
      <c r="L531" s="168"/>
      <c r="N531" s="169"/>
    </row>
    <row r="532">
      <c r="G532" s="168"/>
      <c r="L532" s="168"/>
      <c r="N532" s="169"/>
    </row>
    <row r="533">
      <c r="G533" s="168"/>
      <c r="L533" s="168"/>
      <c r="N533" s="169"/>
    </row>
    <row r="534">
      <c r="G534" s="168"/>
      <c r="L534" s="168"/>
      <c r="N534" s="169"/>
    </row>
    <row r="535">
      <c r="G535" s="168"/>
      <c r="L535" s="168"/>
      <c r="N535" s="169"/>
    </row>
    <row r="536">
      <c r="G536" s="168"/>
      <c r="L536" s="168"/>
      <c r="N536" s="169"/>
    </row>
    <row r="537">
      <c r="G537" s="168"/>
      <c r="L537" s="168"/>
      <c r="N537" s="169"/>
    </row>
    <row r="538">
      <c r="G538" s="168"/>
      <c r="L538" s="168"/>
      <c r="N538" s="169"/>
    </row>
    <row r="539">
      <c r="G539" s="168"/>
      <c r="L539" s="168"/>
      <c r="N539" s="169"/>
    </row>
    <row r="540">
      <c r="G540" s="168"/>
      <c r="L540" s="168"/>
      <c r="N540" s="169"/>
    </row>
    <row r="541">
      <c r="G541" s="168"/>
      <c r="L541" s="168"/>
      <c r="N541" s="169"/>
    </row>
    <row r="542">
      <c r="G542" s="168"/>
      <c r="L542" s="168"/>
      <c r="N542" s="169"/>
    </row>
    <row r="543">
      <c r="G543" s="168"/>
      <c r="L543" s="168"/>
      <c r="N543" s="169"/>
    </row>
    <row r="544">
      <c r="G544" s="168"/>
      <c r="L544" s="168"/>
      <c r="N544" s="169"/>
    </row>
    <row r="545">
      <c r="G545" s="168"/>
      <c r="L545" s="168"/>
      <c r="N545" s="169"/>
    </row>
    <row r="546">
      <c r="G546" s="168"/>
      <c r="L546" s="168"/>
      <c r="N546" s="169"/>
    </row>
    <row r="547">
      <c r="G547" s="168"/>
      <c r="L547" s="168"/>
      <c r="N547" s="169"/>
    </row>
    <row r="548">
      <c r="G548" s="168"/>
      <c r="L548" s="168"/>
      <c r="N548" s="169"/>
    </row>
    <row r="549">
      <c r="G549" s="168"/>
      <c r="L549" s="168"/>
      <c r="N549" s="169"/>
    </row>
    <row r="550">
      <c r="G550" s="168"/>
      <c r="L550" s="168"/>
      <c r="N550" s="169"/>
    </row>
    <row r="551">
      <c r="G551" s="168"/>
      <c r="L551" s="168"/>
      <c r="N551" s="169"/>
    </row>
    <row r="552">
      <c r="G552" s="168"/>
      <c r="L552" s="168"/>
      <c r="N552" s="169"/>
    </row>
    <row r="553">
      <c r="G553" s="168"/>
      <c r="L553" s="168"/>
      <c r="N553" s="169"/>
    </row>
    <row r="554">
      <c r="G554" s="168"/>
      <c r="L554" s="168"/>
      <c r="N554" s="169"/>
    </row>
    <row r="555">
      <c r="G555" s="168"/>
      <c r="L555" s="168"/>
      <c r="N555" s="169"/>
    </row>
    <row r="556">
      <c r="G556" s="168"/>
      <c r="L556" s="168"/>
      <c r="N556" s="169"/>
    </row>
    <row r="557">
      <c r="G557" s="168"/>
      <c r="L557" s="168"/>
      <c r="N557" s="169"/>
    </row>
    <row r="558">
      <c r="G558" s="168"/>
      <c r="L558" s="168"/>
      <c r="N558" s="169"/>
    </row>
    <row r="559">
      <c r="G559" s="168"/>
      <c r="L559" s="168"/>
      <c r="N559" s="169"/>
    </row>
    <row r="560">
      <c r="G560" s="168"/>
      <c r="L560" s="168"/>
      <c r="N560" s="169"/>
    </row>
    <row r="561">
      <c r="G561" s="168"/>
      <c r="L561" s="168"/>
      <c r="N561" s="169"/>
    </row>
    <row r="562">
      <c r="G562" s="168"/>
      <c r="L562" s="168"/>
      <c r="N562" s="169"/>
    </row>
    <row r="563">
      <c r="G563" s="168"/>
      <c r="L563" s="168"/>
      <c r="N563" s="169"/>
    </row>
    <row r="564">
      <c r="G564" s="168"/>
      <c r="L564" s="168"/>
      <c r="N564" s="169"/>
    </row>
    <row r="565">
      <c r="G565" s="168"/>
      <c r="L565" s="168"/>
      <c r="N565" s="169"/>
    </row>
    <row r="566">
      <c r="G566" s="168"/>
      <c r="L566" s="168"/>
      <c r="N566" s="169"/>
    </row>
    <row r="567">
      <c r="G567" s="168"/>
      <c r="L567" s="168"/>
      <c r="N567" s="169"/>
    </row>
    <row r="568">
      <c r="G568" s="168"/>
      <c r="L568" s="168"/>
      <c r="N568" s="169"/>
    </row>
    <row r="569">
      <c r="G569" s="168"/>
      <c r="L569" s="168"/>
      <c r="N569" s="169"/>
    </row>
    <row r="570">
      <c r="G570" s="168"/>
      <c r="L570" s="168"/>
      <c r="N570" s="169"/>
    </row>
    <row r="571">
      <c r="G571" s="168"/>
      <c r="L571" s="168"/>
      <c r="N571" s="169"/>
    </row>
    <row r="572">
      <c r="G572" s="168"/>
      <c r="L572" s="168"/>
      <c r="N572" s="169"/>
    </row>
    <row r="573">
      <c r="G573" s="168"/>
      <c r="L573" s="168"/>
      <c r="N573" s="169"/>
    </row>
    <row r="574">
      <c r="G574" s="168"/>
      <c r="L574" s="168"/>
      <c r="N574" s="169"/>
    </row>
    <row r="575">
      <c r="G575" s="168"/>
      <c r="L575" s="168"/>
      <c r="N575" s="169"/>
    </row>
    <row r="576">
      <c r="G576" s="168"/>
      <c r="L576" s="168"/>
      <c r="N576" s="169"/>
    </row>
    <row r="577">
      <c r="G577" s="168"/>
      <c r="L577" s="168"/>
      <c r="N577" s="169"/>
    </row>
    <row r="578">
      <c r="G578" s="168"/>
      <c r="L578" s="168"/>
      <c r="N578" s="169"/>
    </row>
    <row r="579">
      <c r="G579" s="168"/>
      <c r="L579" s="168"/>
      <c r="N579" s="169"/>
    </row>
    <row r="580">
      <c r="G580" s="168"/>
      <c r="L580" s="168"/>
      <c r="N580" s="169"/>
    </row>
    <row r="581">
      <c r="G581" s="168"/>
      <c r="L581" s="168"/>
      <c r="N581" s="169"/>
    </row>
    <row r="582">
      <c r="G582" s="168"/>
      <c r="L582" s="168"/>
      <c r="N582" s="169"/>
    </row>
    <row r="583">
      <c r="G583" s="168"/>
      <c r="L583" s="168"/>
      <c r="N583" s="169"/>
    </row>
    <row r="584">
      <c r="G584" s="168"/>
      <c r="L584" s="168"/>
      <c r="N584" s="169"/>
    </row>
    <row r="585">
      <c r="G585" s="168"/>
      <c r="L585" s="168"/>
      <c r="N585" s="169"/>
    </row>
    <row r="586">
      <c r="G586" s="168"/>
      <c r="L586" s="168"/>
      <c r="N586" s="169"/>
    </row>
    <row r="587">
      <c r="G587" s="168"/>
      <c r="L587" s="168"/>
      <c r="N587" s="169"/>
    </row>
    <row r="588">
      <c r="G588" s="168"/>
      <c r="L588" s="168"/>
      <c r="N588" s="169"/>
    </row>
    <row r="589">
      <c r="G589" s="168"/>
      <c r="L589" s="168"/>
      <c r="N589" s="169"/>
    </row>
    <row r="590">
      <c r="G590" s="168"/>
      <c r="L590" s="168"/>
      <c r="N590" s="169"/>
    </row>
    <row r="591">
      <c r="G591" s="168"/>
      <c r="L591" s="168"/>
      <c r="N591" s="169"/>
    </row>
    <row r="592">
      <c r="G592" s="168"/>
      <c r="L592" s="168"/>
      <c r="N592" s="169"/>
    </row>
    <row r="593">
      <c r="G593" s="168"/>
      <c r="L593" s="168"/>
      <c r="N593" s="169"/>
    </row>
    <row r="594">
      <c r="G594" s="168"/>
      <c r="L594" s="168"/>
      <c r="N594" s="169"/>
    </row>
    <row r="595">
      <c r="G595" s="168"/>
      <c r="L595" s="168"/>
      <c r="N595" s="169"/>
    </row>
    <row r="596">
      <c r="G596" s="168"/>
      <c r="L596" s="168"/>
      <c r="N596" s="169"/>
    </row>
    <row r="597">
      <c r="G597" s="168"/>
      <c r="L597" s="168"/>
      <c r="N597" s="169"/>
    </row>
    <row r="598">
      <c r="G598" s="168"/>
      <c r="L598" s="168"/>
      <c r="N598" s="169"/>
    </row>
    <row r="599">
      <c r="G599" s="168"/>
      <c r="L599" s="168"/>
      <c r="N599" s="169"/>
    </row>
    <row r="600">
      <c r="G600" s="168"/>
      <c r="L600" s="168"/>
      <c r="N600" s="169"/>
    </row>
    <row r="601">
      <c r="G601" s="168"/>
      <c r="L601" s="168"/>
      <c r="N601" s="169"/>
    </row>
    <row r="602">
      <c r="G602" s="168"/>
      <c r="L602" s="168"/>
      <c r="N602" s="169"/>
    </row>
    <row r="603">
      <c r="G603" s="168"/>
      <c r="L603" s="168"/>
      <c r="N603" s="169"/>
    </row>
    <row r="604">
      <c r="G604" s="168"/>
      <c r="L604" s="168"/>
      <c r="N604" s="169"/>
    </row>
    <row r="605">
      <c r="G605" s="168"/>
      <c r="L605" s="168"/>
      <c r="N605" s="169"/>
    </row>
    <row r="606">
      <c r="G606" s="168"/>
      <c r="L606" s="168"/>
      <c r="N606" s="169"/>
    </row>
    <row r="607">
      <c r="G607" s="168"/>
      <c r="L607" s="168"/>
      <c r="N607" s="169"/>
    </row>
    <row r="608">
      <c r="G608" s="168"/>
      <c r="L608" s="168"/>
      <c r="N608" s="169"/>
    </row>
    <row r="609">
      <c r="G609" s="168"/>
      <c r="L609" s="168"/>
      <c r="N609" s="169"/>
    </row>
    <row r="610">
      <c r="G610" s="168"/>
      <c r="L610" s="168"/>
      <c r="N610" s="169"/>
    </row>
    <row r="611">
      <c r="G611" s="168"/>
      <c r="L611" s="168"/>
      <c r="N611" s="169"/>
    </row>
    <row r="612">
      <c r="G612" s="168"/>
      <c r="L612" s="168"/>
      <c r="N612" s="169"/>
    </row>
    <row r="613">
      <c r="G613" s="168"/>
      <c r="L613" s="168"/>
      <c r="N613" s="169"/>
    </row>
    <row r="614">
      <c r="G614" s="168"/>
      <c r="L614" s="168"/>
      <c r="N614" s="169"/>
    </row>
    <row r="615">
      <c r="G615" s="168"/>
      <c r="L615" s="168"/>
      <c r="N615" s="169"/>
    </row>
    <row r="616">
      <c r="G616" s="168"/>
      <c r="L616" s="168"/>
      <c r="N616" s="169"/>
    </row>
    <row r="617">
      <c r="G617" s="168"/>
      <c r="L617" s="168"/>
      <c r="N617" s="169"/>
    </row>
    <row r="618">
      <c r="G618" s="168"/>
      <c r="L618" s="168"/>
      <c r="N618" s="169"/>
    </row>
    <row r="619">
      <c r="G619" s="168"/>
      <c r="L619" s="168"/>
      <c r="N619" s="169"/>
    </row>
    <row r="620">
      <c r="G620" s="168"/>
      <c r="L620" s="168"/>
      <c r="N620" s="169"/>
    </row>
    <row r="621">
      <c r="G621" s="168"/>
      <c r="L621" s="168"/>
      <c r="N621" s="169"/>
    </row>
    <row r="622">
      <c r="G622" s="168"/>
      <c r="L622" s="168"/>
      <c r="N622" s="169"/>
    </row>
    <row r="623">
      <c r="G623" s="168"/>
      <c r="L623" s="168"/>
      <c r="N623" s="169"/>
    </row>
    <row r="624">
      <c r="G624" s="168"/>
      <c r="L624" s="168"/>
      <c r="N624" s="169"/>
    </row>
    <row r="625">
      <c r="G625" s="168"/>
      <c r="L625" s="168"/>
      <c r="N625" s="169"/>
    </row>
    <row r="626">
      <c r="G626" s="168"/>
      <c r="L626" s="168"/>
      <c r="N626" s="169"/>
    </row>
    <row r="627">
      <c r="G627" s="168"/>
      <c r="L627" s="168"/>
      <c r="N627" s="169"/>
    </row>
    <row r="628">
      <c r="G628" s="168"/>
      <c r="L628" s="168"/>
      <c r="N628" s="169"/>
    </row>
    <row r="629">
      <c r="G629" s="168"/>
      <c r="L629" s="168"/>
      <c r="N629" s="169"/>
    </row>
    <row r="630">
      <c r="G630" s="168"/>
      <c r="L630" s="168"/>
      <c r="N630" s="169"/>
    </row>
    <row r="631">
      <c r="G631" s="168"/>
      <c r="L631" s="168"/>
      <c r="N631" s="169"/>
    </row>
    <row r="632">
      <c r="G632" s="168"/>
      <c r="L632" s="168"/>
      <c r="N632" s="169"/>
    </row>
    <row r="633">
      <c r="G633" s="168"/>
      <c r="L633" s="168"/>
      <c r="N633" s="169"/>
    </row>
    <row r="634">
      <c r="G634" s="168"/>
      <c r="L634" s="168"/>
      <c r="N634" s="169"/>
    </row>
    <row r="635">
      <c r="G635" s="168"/>
      <c r="L635" s="168"/>
      <c r="N635" s="169"/>
    </row>
    <row r="636">
      <c r="G636" s="168"/>
      <c r="L636" s="168"/>
      <c r="N636" s="169"/>
    </row>
    <row r="637">
      <c r="G637" s="168"/>
      <c r="L637" s="168"/>
      <c r="N637" s="169"/>
    </row>
    <row r="638">
      <c r="G638" s="168"/>
      <c r="L638" s="168"/>
      <c r="N638" s="169"/>
    </row>
    <row r="639">
      <c r="G639" s="168"/>
      <c r="L639" s="168"/>
      <c r="N639" s="169"/>
    </row>
    <row r="640">
      <c r="G640" s="168"/>
      <c r="L640" s="168"/>
      <c r="N640" s="169"/>
    </row>
    <row r="641">
      <c r="G641" s="168"/>
      <c r="L641" s="168"/>
      <c r="N641" s="169"/>
    </row>
    <row r="642">
      <c r="G642" s="168"/>
      <c r="L642" s="168"/>
      <c r="N642" s="169"/>
    </row>
    <row r="643">
      <c r="G643" s="168"/>
      <c r="L643" s="168"/>
      <c r="N643" s="169"/>
    </row>
    <row r="644">
      <c r="G644" s="168"/>
      <c r="L644" s="168"/>
      <c r="N644" s="169"/>
    </row>
    <row r="645">
      <c r="G645" s="168"/>
      <c r="L645" s="168"/>
      <c r="N645" s="169"/>
    </row>
    <row r="646">
      <c r="G646" s="168"/>
      <c r="L646" s="168"/>
      <c r="N646" s="169"/>
    </row>
    <row r="647">
      <c r="G647" s="168"/>
      <c r="L647" s="168"/>
      <c r="N647" s="169"/>
    </row>
    <row r="648">
      <c r="G648" s="168"/>
      <c r="L648" s="168"/>
      <c r="N648" s="169"/>
    </row>
    <row r="649">
      <c r="G649" s="168"/>
      <c r="L649" s="168"/>
      <c r="N649" s="169"/>
    </row>
    <row r="650">
      <c r="G650" s="168"/>
      <c r="L650" s="168"/>
      <c r="N650" s="169"/>
    </row>
    <row r="651">
      <c r="G651" s="168"/>
      <c r="L651" s="168"/>
      <c r="N651" s="169"/>
    </row>
    <row r="652">
      <c r="G652" s="168"/>
      <c r="L652" s="168"/>
      <c r="N652" s="169"/>
    </row>
    <row r="653">
      <c r="G653" s="168"/>
      <c r="L653" s="168"/>
      <c r="N653" s="169"/>
    </row>
    <row r="654">
      <c r="G654" s="168"/>
      <c r="L654" s="168"/>
      <c r="N654" s="169"/>
    </row>
    <row r="655">
      <c r="G655" s="168"/>
      <c r="L655" s="168"/>
      <c r="N655" s="169"/>
    </row>
    <row r="656">
      <c r="G656" s="168"/>
      <c r="L656" s="168"/>
      <c r="N656" s="169"/>
    </row>
    <row r="657">
      <c r="G657" s="168"/>
      <c r="L657" s="168"/>
      <c r="N657" s="169"/>
    </row>
    <row r="658">
      <c r="G658" s="168"/>
      <c r="L658" s="168"/>
      <c r="N658" s="169"/>
    </row>
    <row r="659">
      <c r="G659" s="168"/>
      <c r="L659" s="168"/>
      <c r="N659" s="169"/>
    </row>
    <row r="660">
      <c r="G660" s="168"/>
      <c r="L660" s="168"/>
      <c r="N660" s="169"/>
    </row>
    <row r="661">
      <c r="G661" s="168"/>
      <c r="L661" s="168"/>
      <c r="N661" s="169"/>
    </row>
    <row r="662">
      <c r="G662" s="168"/>
      <c r="L662" s="168"/>
      <c r="N662" s="169"/>
    </row>
    <row r="663">
      <c r="G663" s="168"/>
      <c r="L663" s="168"/>
      <c r="N663" s="169"/>
    </row>
    <row r="664">
      <c r="G664" s="168"/>
      <c r="L664" s="168"/>
      <c r="N664" s="169"/>
    </row>
    <row r="665">
      <c r="G665" s="168"/>
      <c r="L665" s="168"/>
      <c r="N665" s="169"/>
    </row>
    <row r="666">
      <c r="G666" s="168"/>
      <c r="L666" s="168"/>
      <c r="N666" s="169"/>
    </row>
    <row r="667">
      <c r="G667" s="168"/>
      <c r="L667" s="168"/>
      <c r="N667" s="169"/>
    </row>
    <row r="668">
      <c r="G668" s="168"/>
      <c r="L668" s="168"/>
      <c r="N668" s="169"/>
    </row>
    <row r="669">
      <c r="G669" s="168"/>
      <c r="L669" s="168"/>
      <c r="N669" s="169"/>
    </row>
    <row r="670">
      <c r="G670" s="168"/>
      <c r="L670" s="168"/>
      <c r="N670" s="169"/>
    </row>
    <row r="671">
      <c r="G671" s="168"/>
      <c r="L671" s="168"/>
      <c r="N671" s="169"/>
    </row>
    <row r="672">
      <c r="G672" s="168"/>
      <c r="L672" s="168"/>
      <c r="N672" s="169"/>
    </row>
    <row r="673">
      <c r="G673" s="168"/>
      <c r="L673" s="168"/>
      <c r="N673" s="169"/>
    </row>
    <row r="674">
      <c r="G674" s="168"/>
      <c r="L674" s="168"/>
      <c r="N674" s="169"/>
    </row>
    <row r="675">
      <c r="G675" s="168"/>
      <c r="L675" s="168"/>
      <c r="N675" s="169"/>
    </row>
    <row r="676">
      <c r="G676" s="168"/>
      <c r="L676" s="168"/>
      <c r="N676" s="169"/>
    </row>
    <row r="677">
      <c r="G677" s="168"/>
      <c r="L677" s="168"/>
      <c r="N677" s="169"/>
    </row>
    <row r="678">
      <c r="G678" s="168"/>
      <c r="L678" s="168"/>
      <c r="N678" s="169"/>
    </row>
    <row r="679">
      <c r="G679" s="168"/>
      <c r="L679" s="168"/>
      <c r="N679" s="169"/>
    </row>
    <row r="680">
      <c r="G680" s="168"/>
      <c r="L680" s="168"/>
      <c r="N680" s="169"/>
    </row>
    <row r="681">
      <c r="G681" s="168"/>
      <c r="L681" s="168"/>
      <c r="N681" s="169"/>
    </row>
    <row r="682">
      <c r="G682" s="168"/>
      <c r="L682" s="168"/>
      <c r="N682" s="169"/>
    </row>
    <row r="683">
      <c r="G683" s="168"/>
      <c r="L683" s="168"/>
      <c r="N683" s="169"/>
    </row>
    <row r="684">
      <c r="G684" s="168"/>
      <c r="L684" s="168"/>
      <c r="N684" s="169"/>
    </row>
    <row r="685">
      <c r="G685" s="168"/>
      <c r="L685" s="168"/>
      <c r="N685" s="169"/>
    </row>
    <row r="686">
      <c r="G686" s="168"/>
      <c r="L686" s="168"/>
      <c r="N686" s="169"/>
    </row>
    <row r="687">
      <c r="G687" s="168"/>
      <c r="L687" s="168"/>
      <c r="N687" s="169"/>
    </row>
    <row r="688">
      <c r="G688" s="168"/>
      <c r="L688" s="168"/>
      <c r="N688" s="169"/>
    </row>
    <row r="689">
      <c r="G689" s="168"/>
      <c r="L689" s="168"/>
      <c r="N689" s="169"/>
    </row>
    <row r="690">
      <c r="G690" s="168"/>
      <c r="L690" s="168"/>
      <c r="N690" s="169"/>
    </row>
    <row r="691">
      <c r="G691" s="168"/>
      <c r="L691" s="168"/>
      <c r="N691" s="169"/>
    </row>
    <row r="692">
      <c r="G692" s="168"/>
      <c r="L692" s="168"/>
      <c r="N692" s="169"/>
    </row>
    <row r="693">
      <c r="G693" s="168"/>
      <c r="L693" s="168"/>
      <c r="N693" s="169"/>
    </row>
    <row r="694">
      <c r="G694" s="168"/>
      <c r="L694" s="168"/>
      <c r="N694" s="169"/>
    </row>
    <row r="695">
      <c r="G695" s="168"/>
      <c r="L695" s="168"/>
      <c r="N695" s="169"/>
    </row>
    <row r="696">
      <c r="G696" s="168"/>
      <c r="L696" s="168"/>
      <c r="N696" s="169"/>
    </row>
    <row r="697">
      <c r="G697" s="168"/>
      <c r="L697" s="168"/>
      <c r="N697" s="169"/>
    </row>
    <row r="698">
      <c r="G698" s="168"/>
      <c r="L698" s="168"/>
      <c r="N698" s="169"/>
    </row>
    <row r="699">
      <c r="G699" s="168"/>
      <c r="L699" s="168"/>
      <c r="N699" s="169"/>
    </row>
    <row r="700">
      <c r="G700" s="168"/>
      <c r="L700" s="168"/>
      <c r="N700" s="169"/>
    </row>
    <row r="701">
      <c r="G701" s="168"/>
      <c r="L701" s="168"/>
      <c r="N701" s="169"/>
    </row>
    <row r="702">
      <c r="G702" s="168"/>
      <c r="L702" s="168"/>
      <c r="N702" s="169"/>
    </row>
    <row r="703">
      <c r="G703" s="168"/>
      <c r="L703" s="168"/>
      <c r="N703" s="169"/>
    </row>
    <row r="704">
      <c r="G704" s="168"/>
      <c r="L704" s="168"/>
      <c r="N704" s="169"/>
    </row>
    <row r="705">
      <c r="G705" s="168"/>
      <c r="L705" s="168"/>
      <c r="N705" s="169"/>
    </row>
    <row r="706">
      <c r="G706" s="168"/>
      <c r="L706" s="168"/>
      <c r="N706" s="169"/>
    </row>
    <row r="707">
      <c r="G707" s="168"/>
      <c r="L707" s="168"/>
      <c r="N707" s="169"/>
    </row>
    <row r="708">
      <c r="G708" s="168"/>
      <c r="L708" s="168"/>
      <c r="N708" s="169"/>
    </row>
    <row r="709">
      <c r="G709" s="168"/>
      <c r="L709" s="168"/>
      <c r="N709" s="169"/>
    </row>
    <row r="710">
      <c r="G710" s="168"/>
      <c r="L710" s="168"/>
      <c r="N710" s="169"/>
    </row>
    <row r="711">
      <c r="G711" s="168"/>
      <c r="L711" s="168"/>
      <c r="N711" s="169"/>
    </row>
    <row r="712">
      <c r="G712" s="168"/>
      <c r="L712" s="168"/>
      <c r="N712" s="169"/>
    </row>
    <row r="713">
      <c r="G713" s="168"/>
      <c r="L713" s="168"/>
      <c r="N713" s="169"/>
    </row>
    <row r="714">
      <c r="G714" s="168"/>
      <c r="L714" s="168"/>
      <c r="N714" s="169"/>
    </row>
    <row r="715">
      <c r="G715" s="168"/>
      <c r="L715" s="168"/>
      <c r="N715" s="169"/>
    </row>
    <row r="716">
      <c r="G716" s="168"/>
      <c r="L716" s="168"/>
      <c r="N716" s="169"/>
    </row>
    <row r="717">
      <c r="G717" s="168"/>
      <c r="L717" s="168"/>
      <c r="N717" s="169"/>
    </row>
    <row r="718">
      <c r="G718" s="168"/>
      <c r="L718" s="168"/>
      <c r="N718" s="169"/>
    </row>
    <row r="719">
      <c r="G719" s="168"/>
      <c r="L719" s="168"/>
      <c r="N719" s="169"/>
    </row>
    <row r="720">
      <c r="G720" s="168"/>
      <c r="L720" s="168"/>
      <c r="N720" s="169"/>
    </row>
    <row r="721">
      <c r="G721" s="168"/>
      <c r="L721" s="168"/>
      <c r="N721" s="169"/>
    </row>
    <row r="722">
      <c r="G722" s="168"/>
      <c r="L722" s="168"/>
      <c r="N722" s="169"/>
    </row>
    <row r="723">
      <c r="G723" s="168"/>
      <c r="L723" s="168"/>
      <c r="N723" s="169"/>
    </row>
    <row r="724">
      <c r="G724" s="168"/>
      <c r="L724" s="168"/>
      <c r="N724" s="169"/>
    </row>
    <row r="725">
      <c r="G725" s="168"/>
      <c r="L725" s="168"/>
      <c r="N725" s="169"/>
    </row>
    <row r="726">
      <c r="G726" s="168"/>
      <c r="L726" s="168"/>
      <c r="N726" s="169"/>
    </row>
    <row r="727">
      <c r="G727" s="168"/>
      <c r="L727" s="168"/>
      <c r="N727" s="169"/>
    </row>
    <row r="728">
      <c r="G728" s="168"/>
      <c r="L728" s="168"/>
      <c r="N728" s="169"/>
    </row>
    <row r="729">
      <c r="G729" s="168"/>
      <c r="L729" s="168"/>
      <c r="N729" s="169"/>
    </row>
    <row r="730">
      <c r="G730" s="168"/>
      <c r="L730" s="168"/>
      <c r="N730" s="169"/>
    </row>
    <row r="731">
      <c r="G731" s="168"/>
      <c r="L731" s="168"/>
      <c r="N731" s="169"/>
    </row>
    <row r="732">
      <c r="G732" s="168"/>
      <c r="L732" s="168"/>
      <c r="N732" s="169"/>
    </row>
    <row r="733">
      <c r="G733" s="168"/>
      <c r="L733" s="168"/>
      <c r="N733" s="169"/>
    </row>
    <row r="734">
      <c r="G734" s="168"/>
      <c r="L734" s="168"/>
      <c r="N734" s="169"/>
    </row>
    <row r="735">
      <c r="G735" s="168"/>
      <c r="L735" s="168"/>
      <c r="N735" s="169"/>
    </row>
    <row r="736">
      <c r="G736" s="168"/>
      <c r="L736" s="168"/>
      <c r="N736" s="169"/>
    </row>
    <row r="737">
      <c r="G737" s="168"/>
      <c r="L737" s="168"/>
      <c r="N737" s="169"/>
    </row>
    <row r="738">
      <c r="G738" s="168"/>
      <c r="L738" s="168"/>
      <c r="N738" s="169"/>
    </row>
    <row r="739">
      <c r="G739" s="168"/>
      <c r="L739" s="168"/>
      <c r="N739" s="169"/>
    </row>
    <row r="740">
      <c r="G740" s="168"/>
      <c r="L740" s="168"/>
      <c r="N740" s="169"/>
    </row>
    <row r="741">
      <c r="G741" s="168"/>
      <c r="L741" s="168"/>
      <c r="N741" s="169"/>
    </row>
    <row r="742">
      <c r="G742" s="168"/>
      <c r="L742" s="168"/>
      <c r="N742" s="169"/>
    </row>
    <row r="743">
      <c r="G743" s="168"/>
      <c r="L743" s="168"/>
      <c r="N743" s="169"/>
    </row>
    <row r="744">
      <c r="G744" s="168"/>
      <c r="L744" s="168"/>
      <c r="N744" s="169"/>
    </row>
    <row r="745">
      <c r="G745" s="168"/>
      <c r="L745" s="168"/>
      <c r="N745" s="169"/>
    </row>
    <row r="746">
      <c r="G746" s="168"/>
      <c r="L746" s="168"/>
      <c r="N746" s="169"/>
    </row>
    <row r="747">
      <c r="G747" s="168"/>
      <c r="L747" s="168"/>
      <c r="N747" s="169"/>
    </row>
    <row r="748">
      <c r="G748" s="168"/>
      <c r="L748" s="168"/>
      <c r="N748" s="169"/>
    </row>
    <row r="749">
      <c r="G749" s="168"/>
      <c r="L749" s="168"/>
      <c r="N749" s="169"/>
    </row>
    <row r="750">
      <c r="G750" s="168"/>
      <c r="L750" s="168"/>
      <c r="N750" s="169"/>
    </row>
    <row r="751">
      <c r="G751" s="168"/>
      <c r="L751" s="168"/>
      <c r="N751" s="169"/>
    </row>
    <row r="752">
      <c r="G752" s="168"/>
      <c r="L752" s="168"/>
      <c r="N752" s="169"/>
    </row>
    <row r="753">
      <c r="G753" s="168"/>
      <c r="L753" s="168"/>
      <c r="N753" s="169"/>
    </row>
    <row r="754">
      <c r="G754" s="168"/>
      <c r="L754" s="168"/>
      <c r="N754" s="169"/>
    </row>
    <row r="755">
      <c r="G755" s="168"/>
      <c r="L755" s="168"/>
      <c r="N755" s="169"/>
    </row>
    <row r="756">
      <c r="G756" s="168"/>
      <c r="L756" s="168"/>
      <c r="N756" s="169"/>
    </row>
    <row r="757">
      <c r="G757" s="168"/>
      <c r="L757" s="168"/>
      <c r="N757" s="169"/>
    </row>
    <row r="758">
      <c r="G758" s="168"/>
      <c r="L758" s="168"/>
      <c r="N758" s="169"/>
    </row>
    <row r="759">
      <c r="G759" s="168"/>
      <c r="L759" s="168"/>
      <c r="N759" s="169"/>
    </row>
    <row r="760">
      <c r="G760" s="168"/>
      <c r="L760" s="168"/>
      <c r="N760" s="169"/>
    </row>
    <row r="761">
      <c r="G761" s="168"/>
      <c r="L761" s="168"/>
      <c r="N761" s="169"/>
    </row>
    <row r="762">
      <c r="G762" s="168"/>
      <c r="L762" s="168"/>
      <c r="N762" s="169"/>
    </row>
    <row r="763">
      <c r="G763" s="168"/>
      <c r="L763" s="168"/>
      <c r="N763" s="169"/>
    </row>
    <row r="764">
      <c r="G764" s="168"/>
      <c r="L764" s="168"/>
      <c r="N764" s="169"/>
    </row>
    <row r="765">
      <c r="G765" s="168"/>
      <c r="L765" s="168"/>
      <c r="N765" s="169"/>
    </row>
    <row r="766">
      <c r="G766" s="168"/>
      <c r="L766" s="168"/>
      <c r="N766" s="169"/>
    </row>
    <row r="767">
      <c r="G767" s="168"/>
      <c r="L767" s="168"/>
      <c r="N767" s="169"/>
    </row>
    <row r="768">
      <c r="G768" s="168"/>
      <c r="L768" s="168"/>
      <c r="N768" s="169"/>
    </row>
    <row r="769">
      <c r="G769" s="168"/>
      <c r="L769" s="168"/>
      <c r="N769" s="169"/>
    </row>
    <row r="770">
      <c r="G770" s="168"/>
      <c r="L770" s="168"/>
      <c r="N770" s="169"/>
    </row>
    <row r="771">
      <c r="G771" s="168"/>
      <c r="L771" s="168"/>
      <c r="N771" s="169"/>
    </row>
    <row r="772">
      <c r="G772" s="168"/>
      <c r="L772" s="168"/>
      <c r="N772" s="169"/>
    </row>
    <row r="773">
      <c r="G773" s="168"/>
      <c r="L773" s="168"/>
      <c r="N773" s="169"/>
    </row>
    <row r="774">
      <c r="G774" s="168"/>
      <c r="L774" s="168"/>
      <c r="N774" s="169"/>
    </row>
    <row r="775">
      <c r="G775" s="168"/>
      <c r="L775" s="168"/>
      <c r="N775" s="169"/>
    </row>
    <row r="776">
      <c r="G776" s="168"/>
      <c r="L776" s="168"/>
      <c r="N776" s="169"/>
    </row>
    <row r="777">
      <c r="G777" s="168"/>
      <c r="L777" s="168"/>
      <c r="N777" s="169"/>
    </row>
    <row r="778">
      <c r="G778" s="168"/>
      <c r="L778" s="168"/>
      <c r="N778" s="169"/>
    </row>
    <row r="779">
      <c r="G779" s="168"/>
      <c r="L779" s="168"/>
      <c r="N779" s="169"/>
    </row>
    <row r="780">
      <c r="G780" s="168"/>
      <c r="L780" s="168"/>
      <c r="N780" s="169"/>
    </row>
    <row r="781">
      <c r="G781" s="168"/>
      <c r="L781" s="168"/>
      <c r="N781" s="169"/>
    </row>
    <row r="782">
      <c r="G782" s="168"/>
      <c r="L782" s="168"/>
      <c r="N782" s="169"/>
    </row>
    <row r="783">
      <c r="G783" s="168"/>
      <c r="L783" s="168"/>
      <c r="N783" s="169"/>
    </row>
    <row r="784">
      <c r="G784" s="168"/>
      <c r="L784" s="168"/>
      <c r="N784" s="169"/>
    </row>
    <row r="785">
      <c r="G785" s="168"/>
      <c r="L785" s="168"/>
      <c r="N785" s="169"/>
    </row>
    <row r="786">
      <c r="G786" s="168"/>
      <c r="L786" s="168"/>
      <c r="N786" s="169"/>
    </row>
    <row r="787">
      <c r="G787" s="168"/>
      <c r="L787" s="168"/>
      <c r="N787" s="169"/>
    </row>
    <row r="788">
      <c r="G788" s="168"/>
      <c r="L788" s="168"/>
      <c r="N788" s="169"/>
    </row>
    <row r="789">
      <c r="G789" s="168"/>
      <c r="L789" s="168"/>
      <c r="N789" s="169"/>
    </row>
    <row r="790">
      <c r="G790" s="168"/>
      <c r="L790" s="168"/>
      <c r="N790" s="169"/>
    </row>
    <row r="791">
      <c r="G791" s="168"/>
      <c r="L791" s="168"/>
      <c r="N791" s="169"/>
    </row>
    <row r="792">
      <c r="G792" s="168"/>
      <c r="L792" s="168"/>
      <c r="N792" s="169"/>
    </row>
    <row r="793">
      <c r="G793" s="168"/>
      <c r="L793" s="168"/>
      <c r="N793" s="169"/>
    </row>
    <row r="794">
      <c r="G794" s="168"/>
      <c r="L794" s="168"/>
      <c r="N794" s="169"/>
    </row>
    <row r="795">
      <c r="G795" s="168"/>
      <c r="L795" s="168"/>
      <c r="N795" s="169"/>
    </row>
    <row r="796">
      <c r="G796" s="168"/>
      <c r="L796" s="168"/>
      <c r="N796" s="169"/>
    </row>
    <row r="797">
      <c r="G797" s="168"/>
      <c r="L797" s="168"/>
      <c r="N797" s="169"/>
    </row>
    <row r="798">
      <c r="G798" s="168"/>
      <c r="L798" s="168"/>
      <c r="N798" s="169"/>
    </row>
    <row r="799">
      <c r="G799" s="168"/>
      <c r="L799" s="168"/>
      <c r="N799" s="169"/>
    </row>
    <row r="800">
      <c r="G800" s="168"/>
      <c r="L800" s="168"/>
      <c r="N800" s="169"/>
    </row>
    <row r="801">
      <c r="G801" s="168"/>
      <c r="L801" s="168"/>
      <c r="N801" s="169"/>
    </row>
    <row r="802">
      <c r="G802" s="168"/>
      <c r="L802" s="168"/>
      <c r="N802" s="169"/>
    </row>
    <row r="803">
      <c r="G803" s="168"/>
      <c r="L803" s="168"/>
      <c r="N803" s="169"/>
    </row>
    <row r="804">
      <c r="G804" s="168"/>
      <c r="L804" s="168"/>
      <c r="N804" s="169"/>
    </row>
    <row r="805">
      <c r="G805" s="168"/>
      <c r="L805" s="168"/>
      <c r="N805" s="169"/>
    </row>
    <row r="806">
      <c r="G806" s="168"/>
      <c r="L806" s="168"/>
      <c r="N806" s="169"/>
    </row>
    <row r="807">
      <c r="G807" s="168"/>
      <c r="L807" s="168"/>
      <c r="N807" s="169"/>
    </row>
    <row r="808">
      <c r="G808" s="168"/>
      <c r="L808" s="168"/>
      <c r="N808" s="169"/>
    </row>
    <row r="809">
      <c r="G809" s="168"/>
      <c r="L809" s="168"/>
      <c r="N809" s="169"/>
    </row>
    <row r="810">
      <c r="G810" s="168"/>
      <c r="L810" s="168"/>
      <c r="N810" s="169"/>
    </row>
    <row r="811">
      <c r="G811" s="168"/>
      <c r="L811" s="168"/>
      <c r="N811" s="169"/>
    </row>
    <row r="812">
      <c r="G812" s="168"/>
      <c r="L812" s="168"/>
      <c r="N812" s="169"/>
    </row>
    <row r="813">
      <c r="G813" s="168"/>
      <c r="L813" s="168"/>
      <c r="N813" s="169"/>
    </row>
    <row r="814">
      <c r="G814" s="168"/>
      <c r="L814" s="168"/>
      <c r="N814" s="169"/>
    </row>
    <row r="815">
      <c r="G815" s="168"/>
      <c r="L815" s="168"/>
      <c r="N815" s="169"/>
    </row>
    <row r="816">
      <c r="G816" s="168"/>
      <c r="L816" s="168"/>
      <c r="N816" s="169"/>
    </row>
    <row r="817">
      <c r="G817" s="168"/>
      <c r="L817" s="168"/>
      <c r="N817" s="169"/>
    </row>
    <row r="818">
      <c r="G818" s="168"/>
      <c r="L818" s="168"/>
      <c r="N818" s="169"/>
    </row>
    <row r="819">
      <c r="G819" s="168"/>
      <c r="L819" s="168"/>
      <c r="N819" s="169"/>
    </row>
    <row r="820">
      <c r="G820" s="168"/>
      <c r="L820" s="168"/>
      <c r="N820" s="169"/>
    </row>
    <row r="821">
      <c r="G821" s="168"/>
      <c r="L821" s="168"/>
      <c r="N821" s="169"/>
    </row>
    <row r="822">
      <c r="G822" s="168"/>
      <c r="L822" s="168"/>
      <c r="N822" s="169"/>
    </row>
    <row r="823">
      <c r="G823" s="168"/>
      <c r="L823" s="168"/>
      <c r="N823" s="169"/>
    </row>
    <row r="824">
      <c r="G824" s="168"/>
      <c r="L824" s="168"/>
      <c r="N824" s="169"/>
    </row>
    <row r="825">
      <c r="G825" s="168"/>
      <c r="L825" s="168"/>
      <c r="N825" s="169"/>
    </row>
    <row r="826">
      <c r="G826" s="168"/>
      <c r="L826" s="168"/>
      <c r="N826" s="169"/>
    </row>
    <row r="827">
      <c r="G827" s="168"/>
      <c r="L827" s="168"/>
      <c r="N827" s="169"/>
    </row>
    <row r="828">
      <c r="G828" s="168"/>
      <c r="L828" s="168"/>
      <c r="N828" s="169"/>
    </row>
    <row r="829">
      <c r="G829" s="168"/>
      <c r="L829" s="168"/>
      <c r="N829" s="169"/>
    </row>
    <row r="830">
      <c r="G830" s="168"/>
      <c r="L830" s="168"/>
      <c r="N830" s="169"/>
    </row>
    <row r="831">
      <c r="G831" s="168"/>
      <c r="L831" s="168"/>
      <c r="N831" s="169"/>
    </row>
    <row r="832">
      <c r="G832" s="168"/>
      <c r="L832" s="168"/>
      <c r="N832" s="169"/>
    </row>
    <row r="833">
      <c r="G833" s="168"/>
      <c r="L833" s="168"/>
      <c r="N833" s="169"/>
    </row>
    <row r="834">
      <c r="G834" s="168"/>
      <c r="L834" s="168"/>
      <c r="N834" s="169"/>
    </row>
    <row r="835">
      <c r="G835" s="168"/>
      <c r="L835" s="168"/>
      <c r="N835" s="169"/>
    </row>
    <row r="836">
      <c r="G836" s="168"/>
      <c r="L836" s="168"/>
      <c r="N836" s="169"/>
    </row>
    <row r="837">
      <c r="G837" s="168"/>
      <c r="L837" s="168"/>
      <c r="N837" s="169"/>
    </row>
    <row r="838">
      <c r="G838" s="168"/>
      <c r="L838" s="168"/>
      <c r="N838" s="169"/>
    </row>
    <row r="839">
      <c r="G839" s="168"/>
      <c r="L839" s="168"/>
      <c r="N839" s="169"/>
    </row>
    <row r="840">
      <c r="G840" s="168"/>
      <c r="L840" s="168"/>
      <c r="N840" s="169"/>
    </row>
    <row r="841">
      <c r="G841" s="168"/>
      <c r="L841" s="168"/>
      <c r="N841" s="169"/>
    </row>
    <row r="842">
      <c r="G842" s="168"/>
      <c r="L842" s="168"/>
      <c r="N842" s="169"/>
    </row>
    <row r="843">
      <c r="G843" s="168"/>
      <c r="L843" s="168"/>
      <c r="N843" s="169"/>
    </row>
    <row r="844">
      <c r="G844" s="168"/>
      <c r="L844" s="168"/>
      <c r="N844" s="169"/>
    </row>
    <row r="845">
      <c r="G845" s="168"/>
      <c r="L845" s="168"/>
      <c r="N845" s="169"/>
    </row>
    <row r="846">
      <c r="G846" s="168"/>
      <c r="L846" s="168"/>
      <c r="N846" s="169"/>
    </row>
    <row r="847">
      <c r="G847" s="168"/>
      <c r="L847" s="168"/>
      <c r="N847" s="169"/>
    </row>
    <row r="848">
      <c r="G848" s="168"/>
      <c r="L848" s="168"/>
      <c r="N848" s="169"/>
    </row>
    <row r="849">
      <c r="G849" s="168"/>
      <c r="L849" s="168"/>
      <c r="N849" s="169"/>
    </row>
    <row r="850">
      <c r="G850" s="168"/>
      <c r="L850" s="168"/>
      <c r="N850" s="169"/>
    </row>
    <row r="851">
      <c r="G851" s="168"/>
      <c r="L851" s="168"/>
      <c r="N851" s="169"/>
    </row>
    <row r="852">
      <c r="G852" s="168"/>
      <c r="L852" s="168"/>
      <c r="N852" s="169"/>
    </row>
    <row r="853">
      <c r="G853" s="168"/>
      <c r="L853" s="168"/>
      <c r="N853" s="169"/>
    </row>
    <row r="854">
      <c r="G854" s="168"/>
      <c r="L854" s="168"/>
      <c r="N854" s="169"/>
    </row>
    <row r="855">
      <c r="G855" s="168"/>
      <c r="L855" s="168"/>
      <c r="N855" s="169"/>
    </row>
    <row r="856">
      <c r="G856" s="168"/>
      <c r="L856" s="168"/>
      <c r="N856" s="169"/>
    </row>
    <row r="857">
      <c r="G857" s="168"/>
      <c r="L857" s="168"/>
      <c r="N857" s="169"/>
    </row>
    <row r="858">
      <c r="G858" s="168"/>
      <c r="L858" s="168"/>
      <c r="N858" s="169"/>
    </row>
    <row r="859">
      <c r="G859" s="168"/>
      <c r="L859" s="168"/>
      <c r="N859" s="169"/>
    </row>
    <row r="860">
      <c r="G860" s="168"/>
      <c r="L860" s="168"/>
      <c r="N860" s="169"/>
    </row>
    <row r="861">
      <c r="G861" s="168"/>
      <c r="L861" s="168"/>
      <c r="N861" s="169"/>
    </row>
    <row r="862">
      <c r="G862" s="168"/>
      <c r="L862" s="168"/>
      <c r="N862" s="169"/>
    </row>
    <row r="863">
      <c r="G863" s="168"/>
      <c r="L863" s="168"/>
      <c r="N863" s="169"/>
    </row>
    <row r="864">
      <c r="G864" s="168"/>
      <c r="L864" s="168"/>
      <c r="N864" s="169"/>
    </row>
    <row r="865">
      <c r="G865" s="168"/>
      <c r="L865" s="168"/>
      <c r="N865" s="169"/>
    </row>
    <row r="866">
      <c r="G866" s="168"/>
      <c r="L866" s="168"/>
      <c r="N866" s="169"/>
    </row>
    <row r="867">
      <c r="G867" s="168"/>
      <c r="L867" s="168"/>
      <c r="N867" s="169"/>
    </row>
    <row r="868">
      <c r="G868" s="168"/>
      <c r="L868" s="168"/>
      <c r="N868" s="169"/>
    </row>
    <row r="869">
      <c r="G869" s="168"/>
      <c r="L869" s="168"/>
      <c r="N869" s="169"/>
    </row>
    <row r="870">
      <c r="G870" s="168"/>
      <c r="L870" s="168"/>
      <c r="N870" s="169"/>
    </row>
    <row r="871">
      <c r="G871" s="168"/>
      <c r="L871" s="168"/>
      <c r="N871" s="169"/>
    </row>
    <row r="872">
      <c r="G872" s="168"/>
      <c r="L872" s="168"/>
      <c r="N872" s="169"/>
    </row>
    <row r="873">
      <c r="G873" s="168"/>
      <c r="L873" s="168"/>
      <c r="N873" s="169"/>
    </row>
    <row r="874">
      <c r="G874" s="168"/>
      <c r="L874" s="168"/>
      <c r="N874" s="169"/>
    </row>
    <row r="875">
      <c r="G875" s="168"/>
      <c r="L875" s="168"/>
      <c r="N875" s="169"/>
    </row>
    <row r="876">
      <c r="G876" s="168"/>
      <c r="L876" s="168"/>
      <c r="N876" s="169"/>
    </row>
    <row r="877">
      <c r="G877" s="168"/>
      <c r="L877" s="168"/>
      <c r="N877" s="169"/>
    </row>
    <row r="878">
      <c r="G878" s="168"/>
      <c r="L878" s="168"/>
      <c r="N878" s="169"/>
    </row>
    <row r="879">
      <c r="G879" s="168"/>
      <c r="L879" s="168"/>
      <c r="N879" s="169"/>
    </row>
    <row r="880">
      <c r="G880" s="168"/>
      <c r="L880" s="168"/>
      <c r="N880" s="169"/>
    </row>
    <row r="881">
      <c r="G881" s="168"/>
      <c r="L881" s="168"/>
      <c r="N881" s="169"/>
    </row>
    <row r="882">
      <c r="G882" s="168"/>
      <c r="L882" s="168"/>
      <c r="N882" s="169"/>
    </row>
    <row r="883">
      <c r="G883" s="168"/>
      <c r="L883" s="168"/>
      <c r="N883" s="169"/>
    </row>
    <row r="884">
      <c r="G884" s="168"/>
      <c r="L884" s="168"/>
      <c r="N884" s="169"/>
    </row>
    <row r="885">
      <c r="G885" s="168"/>
      <c r="L885" s="168"/>
      <c r="N885" s="169"/>
    </row>
    <row r="886">
      <c r="G886" s="168"/>
      <c r="L886" s="168"/>
      <c r="N886" s="169"/>
    </row>
    <row r="887">
      <c r="G887" s="168"/>
      <c r="L887" s="168"/>
      <c r="N887" s="169"/>
    </row>
    <row r="888">
      <c r="G888" s="168"/>
      <c r="L888" s="168"/>
      <c r="N888" s="169"/>
    </row>
    <row r="889">
      <c r="G889" s="168"/>
      <c r="L889" s="168"/>
      <c r="N889" s="169"/>
    </row>
    <row r="890">
      <c r="G890" s="168"/>
      <c r="L890" s="168"/>
      <c r="N890" s="169"/>
    </row>
    <row r="891">
      <c r="G891" s="168"/>
      <c r="L891" s="168"/>
      <c r="N891" s="169"/>
    </row>
    <row r="892">
      <c r="G892" s="168"/>
      <c r="L892" s="168"/>
      <c r="N892" s="169"/>
    </row>
    <row r="893">
      <c r="G893" s="168"/>
      <c r="L893" s="168"/>
      <c r="N893" s="169"/>
    </row>
    <row r="894">
      <c r="G894" s="168"/>
      <c r="L894" s="168"/>
      <c r="N894" s="169"/>
    </row>
    <row r="895">
      <c r="G895" s="168"/>
      <c r="L895" s="168"/>
      <c r="N895" s="169"/>
    </row>
    <row r="896">
      <c r="G896" s="168"/>
      <c r="L896" s="168"/>
      <c r="N896" s="169"/>
    </row>
    <row r="897">
      <c r="G897" s="168"/>
      <c r="L897" s="168"/>
      <c r="N897" s="169"/>
    </row>
    <row r="898">
      <c r="G898" s="168"/>
      <c r="L898" s="168"/>
      <c r="N898" s="169"/>
    </row>
    <row r="899">
      <c r="G899" s="168"/>
      <c r="L899" s="168"/>
      <c r="N899" s="169"/>
    </row>
    <row r="900">
      <c r="G900" s="168"/>
      <c r="L900" s="168"/>
      <c r="N900" s="169"/>
    </row>
    <row r="901">
      <c r="G901" s="168"/>
      <c r="L901" s="168"/>
      <c r="N901" s="169"/>
    </row>
    <row r="902">
      <c r="G902" s="168"/>
      <c r="L902" s="168"/>
      <c r="N902" s="169"/>
    </row>
    <row r="903">
      <c r="G903" s="168"/>
      <c r="L903" s="168"/>
      <c r="N903" s="169"/>
    </row>
    <row r="904">
      <c r="G904" s="168"/>
      <c r="L904" s="168"/>
      <c r="N904" s="169"/>
    </row>
    <row r="905">
      <c r="G905" s="168"/>
      <c r="L905" s="168"/>
      <c r="N905" s="169"/>
    </row>
    <row r="906">
      <c r="G906" s="168"/>
      <c r="L906" s="168"/>
      <c r="N906" s="169"/>
    </row>
    <row r="907">
      <c r="G907" s="168"/>
      <c r="L907" s="168"/>
      <c r="N907" s="169"/>
    </row>
    <row r="908">
      <c r="G908" s="168"/>
      <c r="L908" s="168"/>
      <c r="N908" s="169"/>
    </row>
    <row r="909">
      <c r="G909" s="168"/>
      <c r="L909" s="168"/>
      <c r="N909" s="169"/>
    </row>
    <row r="910">
      <c r="G910" s="168"/>
      <c r="L910" s="168"/>
      <c r="N910" s="169"/>
    </row>
    <row r="911">
      <c r="G911" s="168"/>
      <c r="L911" s="168"/>
      <c r="N911" s="169"/>
    </row>
    <row r="912">
      <c r="G912" s="168"/>
      <c r="L912" s="168"/>
      <c r="N912" s="169"/>
    </row>
    <row r="913">
      <c r="G913" s="168"/>
      <c r="L913" s="168"/>
      <c r="N913" s="169"/>
    </row>
    <row r="914">
      <c r="G914" s="168"/>
      <c r="L914" s="168"/>
      <c r="N914" s="169"/>
    </row>
    <row r="915">
      <c r="G915" s="168"/>
      <c r="L915" s="168"/>
      <c r="N915" s="169"/>
    </row>
    <row r="916">
      <c r="G916" s="168"/>
      <c r="L916" s="168"/>
      <c r="N916" s="169"/>
    </row>
    <row r="917">
      <c r="G917" s="168"/>
      <c r="L917" s="168"/>
      <c r="N917" s="169"/>
    </row>
    <row r="918">
      <c r="G918" s="168"/>
      <c r="L918" s="168"/>
      <c r="N918" s="169"/>
    </row>
    <row r="919">
      <c r="G919" s="168"/>
      <c r="L919" s="168"/>
      <c r="N919" s="169"/>
    </row>
    <row r="920">
      <c r="G920" s="168"/>
      <c r="L920" s="168"/>
      <c r="N920" s="169"/>
    </row>
    <row r="921">
      <c r="G921" s="168"/>
      <c r="L921" s="168"/>
      <c r="N921" s="169"/>
    </row>
    <row r="922">
      <c r="G922" s="168"/>
      <c r="L922" s="168"/>
      <c r="N922" s="169"/>
    </row>
    <row r="923">
      <c r="G923" s="168"/>
      <c r="L923" s="168"/>
      <c r="N923" s="169"/>
    </row>
    <row r="924">
      <c r="G924" s="168"/>
      <c r="L924" s="168"/>
      <c r="N924" s="169"/>
    </row>
    <row r="925">
      <c r="G925" s="168"/>
      <c r="L925" s="168"/>
      <c r="N925" s="169"/>
    </row>
    <row r="926">
      <c r="G926" s="168"/>
      <c r="L926" s="168"/>
      <c r="N926" s="169"/>
    </row>
    <row r="927">
      <c r="G927" s="168"/>
      <c r="L927" s="168"/>
      <c r="N927" s="169"/>
    </row>
    <row r="928">
      <c r="G928" s="168"/>
      <c r="L928" s="168"/>
      <c r="N928" s="169"/>
    </row>
    <row r="929">
      <c r="G929" s="168"/>
      <c r="L929" s="168"/>
      <c r="N929" s="169"/>
    </row>
    <row r="930">
      <c r="G930" s="168"/>
      <c r="L930" s="168"/>
      <c r="N930" s="169"/>
    </row>
    <row r="931">
      <c r="G931" s="168"/>
      <c r="L931" s="168"/>
      <c r="N931" s="169"/>
    </row>
    <row r="932">
      <c r="G932" s="168"/>
      <c r="L932" s="168"/>
      <c r="N932" s="169"/>
    </row>
    <row r="933">
      <c r="G933" s="168"/>
      <c r="L933" s="168"/>
      <c r="N933" s="169"/>
    </row>
    <row r="934">
      <c r="G934" s="168"/>
      <c r="L934" s="168"/>
      <c r="N934" s="169"/>
    </row>
    <row r="935">
      <c r="G935" s="168"/>
      <c r="L935" s="168"/>
      <c r="N935" s="169"/>
    </row>
    <row r="936">
      <c r="G936" s="168"/>
      <c r="L936" s="168"/>
      <c r="N936" s="169"/>
    </row>
    <row r="937">
      <c r="G937" s="168"/>
      <c r="L937" s="168"/>
      <c r="N937" s="169"/>
    </row>
    <row r="938">
      <c r="G938" s="168"/>
      <c r="L938" s="168"/>
      <c r="N938" s="169"/>
    </row>
    <row r="939">
      <c r="G939" s="168"/>
      <c r="L939" s="168"/>
      <c r="N939" s="169"/>
    </row>
    <row r="940">
      <c r="G940" s="168"/>
      <c r="L940" s="168"/>
      <c r="N940" s="169"/>
    </row>
    <row r="941">
      <c r="G941" s="168"/>
      <c r="L941" s="168"/>
      <c r="N941" s="169"/>
    </row>
    <row r="942">
      <c r="G942" s="168"/>
      <c r="L942" s="168"/>
      <c r="N942" s="169"/>
    </row>
    <row r="943">
      <c r="G943" s="168"/>
      <c r="L943" s="168"/>
      <c r="N943" s="169"/>
    </row>
    <row r="944">
      <c r="G944" s="168"/>
      <c r="L944" s="168"/>
      <c r="N944" s="169"/>
    </row>
    <row r="945">
      <c r="G945" s="168"/>
      <c r="L945" s="168"/>
      <c r="N945" s="169"/>
    </row>
    <row r="946">
      <c r="G946" s="168"/>
      <c r="L946" s="168"/>
      <c r="N946" s="169"/>
    </row>
    <row r="947">
      <c r="G947" s="168"/>
      <c r="L947" s="168"/>
      <c r="N947" s="169"/>
    </row>
    <row r="948">
      <c r="G948" s="168"/>
      <c r="L948" s="168"/>
      <c r="N948" s="169"/>
    </row>
    <row r="949">
      <c r="G949" s="168"/>
      <c r="L949" s="168"/>
      <c r="N949" s="169"/>
    </row>
    <row r="950">
      <c r="G950" s="168"/>
      <c r="L950" s="168"/>
      <c r="N950" s="169"/>
    </row>
    <row r="951">
      <c r="G951" s="168"/>
      <c r="L951" s="168"/>
      <c r="N951" s="169"/>
    </row>
    <row r="952">
      <c r="G952" s="168"/>
      <c r="L952" s="168"/>
      <c r="N952" s="169"/>
    </row>
    <row r="953">
      <c r="G953" s="168"/>
      <c r="L953" s="168"/>
      <c r="N953" s="169"/>
    </row>
    <row r="954">
      <c r="G954" s="168"/>
      <c r="L954" s="168"/>
      <c r="N954" s="169"/>
    </row>
    <row r="955">
      <c r="G955" s="168"/>
      <c r="L955" s="168"/>
      <c r="N955" s="169"/>
    </row>
    <row r="956">
      <c r="G956" s="168"/>
      <c r="L956" s="168"/>
      <c r="N956" s="169"/>
    </row>
    <row r="957">
      <c r="G957" s="168"/>
      <c r="L957" s="168"/>
      <c r="N957" s="169"/>
    </row>
    <row r="958">
      <c r="G958" s="168"/>
      <c r="L958" s="168"/>
      <c r="N958" s="169"/>
    </row>
    <row r="959">
      <c r="G959" s="168"/>
      <c r="L959" s="168"/>
      <c r="N959" s="169"/>
    </row>
    <row r="960">
      <c r="G960" s="168"/>
      <c r="L960" s="168"/>
      <c r="N960" s="169"/>
    </row>
    <row r="961">
      <c r="G961" s="168"/>
      <c r="L961" s="168"/>
      <c r="N961" s="169"/>
    </row>
    <row r="962">
      <c r="G962" s="168"/>
      <c r="L962" s="168"/>
      <c r="N962" s="169"/>
    </row>
    <row r="963">
      <c r="G963" s="168"/>
      <c r="L963" s="168"/>
      <c r="N963" s="169"/>
    </row>
    <row r="964">
      <c r="G964" s="168"/>
      <c r="L964" s="168"/>
      <c r="N964" s="169"/>
    </row>
    <row r="965">
      <c r="G965" s="168"/>
      <c r="L965" s="168"/>
      <c r="N965" s="169"/>
    </row>
    <row r="966">
      <c r="G966" s="168"/>
      <c r="L966" s="168"/>
      <c r="N966" s="169"/>
    </row>
    <row r="967">
      <c r="G967" s="168"/>
      <c r="L967" s="168"/>
      <c r="N967" s="169"/>
    </row>
    <row r="968">
      <c r="G968" s="168"/>
      <c r="L968" s="168"/>
      <c r="N968" s="169"/>
    </row>
    <row r="969">
      <c r="G969" s="168"/>
      <c r="L969" s="168"/>
      <c r="N969" s="169"/>
    </row>
    <row r="970">
      <c r="G970" s="168"/>
      <c r="L970" s="168"/>
      <c r="N970" s="169"/>
    </row>
    <row r="971">
      <c r="G971" s="168"/>
      <c r="L971" s="168"/>
      <c r="N971" s="169"/>
    </row>
    <row r="972">
      <c r="G972" s="168"/>
      <c r="L972" s="168"/>
      <c r="N972" s="169"/>
    </row>
    <row r="973">
      <c r="G973" s="168"/>
      <c r="L973" s="168"/>
      <c r="N973" s="169"/>
    </row>
    <row r="974">
      <c r="G974" s="168"/>
      <c r="L974" s="168"/>
      <c r="N974" s="169"/>
    </row>
    <row r="975">
      <c r="G975" s="168"/>
      <c r="L975" s="168"/>
      <c r="N975" s="169"/>
    </row>
    <row r="976">
      <c r="G976" s="168"/>
      <c r="L976" s="168"/>
      <c r="N976" s="169"/>
    </row>
    <row r="977">
      <c r="G977" s="168"/>
      <c r="L977" s="168"/>
      <c r="N977" s="169"/>
    </row>
    <row r="978">
      <c r="G978" s="168"/>
      <c r="L978" s="168"/>
      <c r="N978" s="169"/>
    </row>
    <row r="979">
      <c r="G979" s="168"/>
      <c r="L979" s="168"/>
      <c r="N979" s="169"/>
    </row>
    <row r="980">
      <c r="G980" s="168"/>
      <c r="L980" s="168"/>
      <c r="N980" s="169"/>
    </row>
    <row r="981">
      <c r="G981" s="168"/>
      <c r="L981" s="168"/>
      <c r="N981" s="169"/>
    </row>
    <row r="982">
      <c r="G982" s="168"/>
      <c r="L982" s="168"/>
      <c r="N982" s="169"/>
    </row>
    <row r="983">
      <c r="G983" s="168"/>
      <c r="L983" s="168"/>
      <c r="N983" s="169"/>
    </row>
    <row r="984">
      <c r="G984" s="168"/>
      <c r="L984" s="168"/>
      <c r="N984" s="169"/>
    </row>
    <row r="985">
      <c r="G985" s="168"/>
      <c r="L985" s="168"/>
      <c r="N985" s="169"/>
    </row>
    <row r="986">
      <c r="G986" s="168"/>
      <c r="L986" s="168"/>
      <c r="N986" s="169"/>
    </row>
    <row r="987">
      <c r="G987" s="168"/>
      <c r="L987" s="168"/>
      <c r="N987" s="169"/>
    </row>
    <row r="988">
      <c r="G988" s="168"/>
      <c r="L988" s="168"/>
      <c r="N988" s="169"/>
    </row>
    <row r="989">
      <c r="G989" s="168"/>
      <c r="L989" s="168"/>
      <c r="N989" s="169"/>
    </row>
    <row r="990">
      <c r="G990" s="168"/>
      <c r="L990" s="168"/>
      <c r="N990" s="169"/>
    </row>
    <row r="991">
      <c r="G991" s="168"/>
      <c r="L991" s="168"/>
      <c r="N991" s="169"/>
    </row>
    <row r="992">
      <c r="G992" s="168"/>
      <c r="L992" s="168"/>
      <c r="N992" s="169"/>
    </row>
    <row r="993">
      <c r="G993" s="168"/>
      <c r="L993" s="168"/>
      <c r="N993" s="169"/>
    </row>
    <row r="994">
      <c r="G994" s="168"/>
      <c r="L994" s="168"/>
      <c r="N994" s="169"/>
    </row>
    <row r="995">
      <c r="G995" s="168"/>
      <c r="L995" s="168"/>
      <c r="N995" s="169"/>
    </row>
    <row r="996">
      <c r="G996" s="168"/>
      <c r="L996" s="168"/>
      <c r="N996" s="169"/>
    </row>
    <row r="997">
      <c r="G997" s="168"/>
      <c r="L997" s="168"/>
      <c r="N997" s="169"/>
    </row>
    <row r="998">
      <c r="G998" s="168"/>
      <c r="L998" s="168"/>
      <c r="N998" s="169"/>
    </row>
    <row r="999">
      <c r="G999" s="168"/>
      <c r="L999" s="168"/>
      <c r="N999" s="169"/>
    </row>
    <row r="1000">
      <c r="G1000" s="168"/>
      <c r="L1000" s="168"/>
      <c r="N1000" s="169"/>
    </row>
    <row r="1001">
      <c r="G1001" s="168"/>
      <c r="L1001" s="168"/>
      <c r="N1001" s="169"/>
    </row>
    <row r="1002">
      <c r="G1002" s="168"/>
      <c r="L1002" s="168"/>
      <c r="N1002" s="169"/>
    </row>
    <row r="1003">
      <c r="G1003" s="168"/>
      <c r="L1003" s="168"/>
      <c r="N1003" s="169"/>
    </row>
    <row r="1004">
      <c r="G1004" s="168"/>
      <c r="L1004" s="168"/>
      <c r="N1004" s="169"/>
    </row>
    <row r="1005">
      <c r="G1005" s="168"/>
      <c r="L1005" s="168"/>
      <c r="N1005" s="169"/>
    </row>
    <row r="1006">
      <c r="G1006" s="168"/>
      <c r="L1006" s="168"/>
      <c r="N1006" s="169"/>
    </row>
    <row r="1007">
      <c r="G1007" s="168"/>
      <c r="L1007" s="168"/>
      <c r="N1007" s="169"/>
    </row>
    <row r="1008">
      <c r="G1008" s="168"/>
      <c r="L1008" s="168"/>
      <c r="N1008" s="169"/>
    </row>
    <row r="1009">
      <c r="G1009" s="168"/>
      <c r="L1009" s="168"/>
      <c r="N1009" s="169"/>
    </row>
    <row r="1010">
      <c r="G1010" s="168"/>
      <c r="L1010" s="168"/>
      <c r="N1010" s="169"/>
    </row>
    <row r="1011">
      <c r="G1011" s="168"/>
      <c r="L1011" s="168"/>
      <c r="N1011" s="169"/>
    </row>
    <row r="1012">
      <c r="G1012" s="168"/>
      <c r="L1012" s="168"/>
      <c r="N1012" s="169"/>
    </row>
    <row r="1013">
      <c r="G1013" s="168"/>
      <c r="L1013" s="168"/>
      <c r="N1013" s="169"/>
    </row>
    <row r="1014">
      <c r="G1014" s="168"/>
      <c r="L1014" s="168"/>
      <c r="N1014" s="169"/>
    </row>
    <row r="1015">
      <c r="G1015" s="168"/>
      <c r="L1015" s="168"/>
      <c r="N1015" s="169"/>
    </row>
    <row r="1016">
      <c r="G1016" s="168"/>
      <c r="L1016" s="168"/>
      <c r="N1016" s="169"/>
    </row>
    <row r="1017">
      <c r="G1017" s="168"/>
      <c r="L1017" s="168"/>
      <c r="N1017" s="169"/>
    </row>
    <row r="1018">
      <c r="G1018" s="168"/>
      <c r="L1018" s="168"/>
      <c r="N1018" s="169"/>
    </row>
    <row r="1019">
      <c r="G1019" s="168"/>
      <c r="L1019" s="168"/>
      <c r="N1019" s="169"/>
    </row>
    <row r="1020">
      <c r="G1020" s="168"/>
      <c r="L1020" s="168"/>
      <c r="N1020" s="169"/>
    </row>
    <row r="1021">
      <c r="G1021" s="168"/>
      <c r="L1021" s="168"/>
      <c r="N1021" s="169"/>
    </row>
    <row r="1022">
      <c r="G1022" s="168"/>
      <c r="L1022" s="168"/>
      <c r="N1022" s="169"/>
    </row>
    <row r="1023">
      <c r="G1023" s="168"/>
      <c r="L1023" s="168"/>
      <c r="N1023" s="169"/>
    </row>
    <row r="1024">
      <c r="G1024" s="168"/>
      <c r="L1024" s="168"/>
      <c r="N1024" s="169"/>
    </row>
    <row r="1025">
      <c r="G1025" s="168"/>
      <c r="L1025" s="168"/>
      <c r="N1025" s="169"/>
    </row>
    <row r="1026">
      <c r="G1026" s="168"/>
      <c r="L1026" s="168"/>
      <c r="N1026" s="169"/>
    </row>
    <row r="1027">
      <c r="G1027" s="168"/>
      <c r="L1027" s="168"/>
      <c r="N1027" s="169"/>
    </row>
    <row r="1028">
      <c r="G1028" s="168"/>
      <c r="L1028" s="168"/>
      <c r="N1028" s="169"/>
    </row>
    <row r="1029">
      <c r="G1029" s="168"/>
      <c r="L1029" s="168"/>
      <c r="N1029" s="169"/>
    </row>
    <row r="1030">
      <c r="G1030" s="168"/>
      <c r="L1030" s="168"/>
      <c r="N1030" s="169"/>
    </row>
    <row r="1031">
      <c r="G1031" s="168"/>
      <c r="L1031" s="168"/>
      <c r="N1031" s="169"/>
    </row>
    <row r="1032">
      <c r="G1032" s="168"/>
      <c r="L1032" s="168"/>
      <c r="N1032" s="169"/>
    </row>
    <row r="1033">
      <c r="G1033" s="168"/>
      <c r="L1033" s="168"/>
      <c r="N1033" s="169"/>
    </row>
    <row r="1034">
      <c r="G1034" s="168"/>
      <c r="L1034" s="168"/>
      <c r="N1034" s="169"/>
    </row>
    <row r="1035">
      <c r="G1035" s="168"/>
      <c r="L1035" s="168"/>
      <c r="N1035" s="169"/>
    </row>
    <row r="1036">
      <c r="G1036" s="168"/>
      <c r="L1036" s="168"/>
      <c r="N1036" s="169"/>
    </row>
    <row r="1037">
      <c r="G1037" s="168"/>
      <c r="L1037" s="168"/>
      <c r="N1037" s="169"/>
    </row>
    <row r="1038">
      <c r="G1038" s="168"/>
      <c r="L1038" s="168"/>
      <c r="N1038" s="169"/>
    </row>
    <row r="1039">
      <c r="G1039" s="168"/>
      <c r="L1039" s="168"/>
      <c r="N1039" s="169"/>
    </row>
    <row r="1040">
      <c r="G1040" s="168"/>
      <c r="L1040" s="168"/>
      <c r="N1040" s="169"/>
    </row>
    <row r="1041">
      <c r="G1041" s="168"/>
      <c r="L1041" s="168"/>
      <c r="N1041" s="169"/>
    </row>
    <row r="1042">
      <c r="G1042" s="168"/>
      <c r="L1042" s="168"/>
      <c r="N1042" s="169"/>
    </row>
    <row r="1043">
      <c r="G1043" s="168"/>
      <c r="L1043" s="168"/>
      <c r="N1043" s="169"/>
    </row>
    <row r="1044">
      <c r="G1044" s="168"/>
      <c r="L1044" s="168"/>
      <c r="N1044" s="169"/>
    </row>
    <row r="1045">
      <c r="G1045" s="168"/>
      <c r="L1045" s="168"/>
      <c r="N1045" s="169"/>
    </row>
    <row r="1046">
      <c r="G1046" s="168"/>
      <c r="L1046" s="168"/>
      <c r="N1046" s="169"/>
    </row>
    <row r="1047">
      <c r="G1047" s="168"/>
      <c r="L1047" s="168"/>
      <c r="N1047" s="169"/>
    </row>
    <row r="1048">
      <c r="G1048" s="168"/>
      <c r="L1048" s="168"/>
      <c r="N1048" s="169"/>
    </row>
    <row r="1049">
      <c r="G1049" s="168"/>
      <c r="L1049" s="168"/>
      <c r="N1049" s="169"/>
    </row>
    <row r="1050">
      <c r="G1050" s="168"/>
      <c r="L1050" s="168"/>
      <c r="N1050" s="169"/>
    </row>
    <row r="1051">
      <c r="G1051" s="168"/>
      <c r="L1051" s="168"/>
      <c r="N1051" s="169"/>
    </row>
    <row r="1052">
      <c r="G1052" s="168"/>
      <c r="L1052" s="168"/>
      <c r="N1052" s="169"/>
    </row>
    <row r="1053">
      <c r="G1053" s="168"/>
      <c r="L1053" s="168"/>
      <c r="N1053" s="169"/>
    </row>
    <row r="1054">
      <c r="G1054" s="168"/>
      <c r="L1054" s="168"/>
      <c r="N1054" s="169"/>
    </row>
    <row r="1055">
      <c r="G1055" s="168"/>
      <c r="L1055" s="168"/>
      <c r="N1055" s="169"/>
    </row>
    <row r="1056">
      <c r="G1056" s="168"/>
      <c r="L1056" s="168"/>
      <c r="N1056" s="169"/>
    </row>
    <row r="1057">
      <c r="G1057" s="168"/>
      <c r="L1057" s="168"/>
      <c r="N1057" s="169"/>
    </row>
    <row r="1058">
      <c r="G1058" s="168"/>
      <c r="L1058" s="168"/>
      <c r="N1058" s="169"/>
    </row>
    <row r="1059">
      <c r="G1059" s="168"/>
      <c r="L1059" s="168"/>
      <c r="N1059" s="169"/>
    </row>
    <row r="1060">
      <c r="G1060" s="168"/>
      <c r="L1060" s="168"/>
      <c r="N1060" s="169"/>
    </row>
    <row r="1061">
      <c r="G1061" s="168"/>
      <c r="L1061" s="168"/>
      <c r="N1061" s="169"/>
    </row>
    <row r="1062">
      <c r="G1062" s="168"/>
      <c r="L1062" s="168"/>
      <c r="N1062" s="169"/>
    </row>
    <row r="1063">
      <c r="G1063" s="168"/>
      <c r="L1063" s="168"/>
      <c r="N1063" s="169"/>
    </row>
    <row r="1064">
      <c r="G1064" s="168"/>
      <c r="L1064" s="168"/>
      <c r="N1064" s="169"/>
    </row>
    <row r="1065">
      <c r="G1065" s="168"/>
      <c r="L1065" s="168"/>
      <c r="N1065" s="169"/>
    </row>
    <row r="1066">
      <c r="G1066" s="168"/>
      <c r="L1066" s="168"/>
      <c r="N1066" s="169"/>
    </row>
    <row r="1067">
      <c r="G1067" s="168"/>
      <c r="L1067" s="168"/>
      <c r="N1067" s="169"/>
    </row>
    <row r="1068">
      <c r="G1068" s="168"/>
      <c r="L1068" s="168"/>
      <c r="N1068" s="169"/>
    </row>
    <row r="1069">
      <c r="G1069" s="168"/>
      <c r="L1069" s="168"/>
      <c r="N1069" s="169"/>
    </row>
    <row r="1070">
      <c r="G1070" s="168"/>
      <c r="L1070" s="168"/>
      <c r="N1070" s="169"/>
    </row>
    <row r="1071">
      <c r="G1071" s="168"/>
      <c r="L1071" s="168"/>
      <c r="N1071" s="169"/>
    </row>
    <row r="1072">
      <c r="G1072" s="168"/>
      <c r="L1072" s="168"/>
      <c r="N1072" s="169"/>
    </row>
    <row r="1073">
      <c r="G1073" s="168"/>
      <c r="L1073" s="168"/>
      <c r="N1073" s="169"/>
    </row>
    <row r="1074">
      <c r="G1074" s="168"/>
      <c r="L1074" s="168"/>
      <c r="N1074" s="169"/>
    </row>
    <row r="1075">
      <c r="G1075" s="168"/>
      <c r="L1075" s="168"/>
      <c r="N1075" s="169"/>
    </row>
    <row r="1076">
      <c r="G1076" s="168"/>
      <c r="L1076" s="168"/>
      <c r="N1076" s="169"/>
    </row>
    <row r="1077">
      <c r="G1077" s="168"/>
      <c r="L1077" s="168"/>
      <c r="N1077" s="169"/>
    </row>
    <row r="1078">
      <c r="G1078" s="168"/>
      <c r="L1078" s="168"/>
      <c r="N1078" s="169"/>
    </row>
    <row r="1079">
      <c r="G1079" s="168"/>
      <c r="L1079" s="168"/>
      <c r="N1079" s="169"/>
    </row>
    <row r="1080">
      <c r="G1080" s="168"/>
      <c r="L1080" s="168"/>
      <c r="N1080" s="169"/>
    </row>
    <row r="1081">
      <c r="G1081" s="168"/>
      <c r="L1081" s="168"/>
      <c r="N1081" s="169"/>
    </row>
    <row r="1082">
      <c r="G1082" s="168"/>
      <c r="L1082" s="168"/>
      <c r="N1082" s="169"/>
    </row>
    <row r="1083">
      <c r="G1083" s="168"/>
      <c r="L1083" s="168"/>
      <c r="N1083" s="169"/>
    </row>
    <row r="1084">
      <c r="G1084" s="168"/>
      <c r="L1084" s="168"/>
      <c r="N1084" s="169"/>
    </row>
    <row r="1085">
      <c r="G1085" s="168"/>
      <c r="L1085" s="168"/>
      <c r="N1085" s="169"/>
    </row>
    <row r="1086">
      <c r="G1086" s="168"/>
      <c r="L1086" s="168"/>
      <c r="N1086" s="169"/>
    </row>
    <row r="1087">
      <c r="G1087" s="168"/>
      <c r="L1087" s="168"/>
      <c r="N1087" s="169"/>
    </row>
    <row r="1088">
      <c r="G1088" s="168"/>
      <c r="L1088" s="168"/>
      <c r="N1088" s="169"/>
    </row>
    <row r="1089">
      <c r="G1089" s="168"/>
      <c r="L1089" s="168"/>
      <c r="N1089" s="169"/>
    </row>
  </sheetData>
  <mergeCells count="2">
    <mergeCell ref="A1:N1"/>
    <mergeCell ref="A236:L236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92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</row>
    <row r="3">
      <c r="A3" s="70">
        <v>45874.0</v>
      </c>
      <c r="B3" s="302" t="s">
        <v>11</v>
      </c>
      <c r="C3" s="149">
        <v>186900.0</v>
      </c>
      <c r="D3" s="89">
        <v>187275.0</v>
      </c>
      <c r="E3" s="38">
        <f t="shared" ref="E3:E9" si="1">D3-C3</f>
        <v>375</v>
      </c>
      <c r="F3" s="39">
        <v>45.0</v>
      </c>
      <c r="G3" s="14">
        <f t="shared" ref="G3:G9" si="2">(F3/E3)*100</f>
        <v>12</v>
      </c>
      <c r="H3" s="137"/>
      <c r="I3" s="138"/>
      <c r="J3" s="41">
        <f t="shared" ref="J3:J9" si="3">I3-H3</f>
        <v>0</v>
      </c>
      <c r="K3" s="41">
        <f t="shared" ref="K3:K9" si="4">F3</f>
        <v>45</v>
      </c>
      <c r="L3" s="303" t="str">
        <f t="shared" ref="L3:L9" si="5">(K3/J3)*100</f>
        <v>#DIV/0!</v>
      </c>
      <c r="M3" s="72">
        <v>19060.0</v>
      </c>
      <c r="N3" s="44">
        <f t="shared" ref="N3:N9" si="6">F3*M3</f>
        <v>857700</v>
      </c>
      <c r="O3" s="197">
        <v>1.0</v>
      </c>
      <c r="P3" s="197" t="s">
        <v>11</v>
      </c>
      <c r="Q3" s="251">
        <f>N10</f>
        <v>5571790</v>
      </c>
      <c r="R3" s="251">
        <f t="shared" ref="R3:R14" si="7">Q3</f>
        <v>5571790</v>
      </c>
    </row>
    <row r="4">
      <c r="A4" s="154">
        <v>45877.0</v>
      </c>
      <c r="B4" s="156" t="s">
        <v>11</v>
      </c>
      <c r="C4" s="89">
        <v>187275.0</v>
      </c>
      <c r="D4" s="89">
        <v>187641.0</v>
      </c>
      <c r="E4" s="12">
        <f t="shared" si="1"/>
        <v>366</v>
      </c>
      <c r="F4" s="157">
        <v>40.0</v>
      </c>
      <c r="G4" s="14">
        <f t="shared" si="2"/>
        <v>10.92896175</v>
      </c>
      <c r="H4" s="137"/>
      <c r="I4" s="138"/>
      <c r="J4" s="41">
        <f t="shared" si="3"/>
        <v>0</v>
      </c>
      <c r="K4" s="89">
        <f t="shared" si="4"/>
        <v>40</v>
      </c>
      <c r="L4" s="152" t="str">
        <f t="shared" si="5"/>
        <v>#DIV/0!</v>
      </c>
      <c r="M4" s="126">
        <v>18800.0</v>
      </c>
      <c r="N4" s="131">
        <f t="shared" si="6"/>
        <v>752000</v>
      </c>
      <c r="O4" s="80">
        <f t="shared" ref="O4:O32" si="8">O3+1</f>
        <v>2</v>
      </c>
      <c r="P4" s="197" t="s">
        <v>12</v>
      </c>
      <c r="Q4" s="251">
        <f>N18</f>
        <v>5647930</v>
      </c>
      <c r="R4" s="251">
        <f t="shared" si="7"/>
        <v>5647930</v>
      </c>
    </row>
    <row r="5">
      <c r="A5" s="154">
        <v>45882.0</v>
      </c>
      <c r="B5" s="156" t="s">
        <v>11</v>
      </c>
      <c r="C5" s="89">
        <v>187641.0</v>
      </c>
      <c r="D5" s="89">
        <v>187954.0</v>
      </c>
      <c r="E5" s="12">
        <f t="shared" si="1"/>
        <v>313</v>
      </c>
      <c r="F5" s="157">
        <v>50.0</v>
      </c>
      <c r="G5" s="14">
        <f t="shared" si="2"/>
        <v>15.97444089</v>
      </c>
      <c r="H5" s="137"/>
      <c r="I5" s="137"/>
      <c r="J5" s="89">
        <f t="shared" si="3"/>
        <v>0</v>
      </c>
      <c r="K5" s="89">
        <f t="shared" si="4"/>
        <v>50</v>
      </c>
      <c r="L5" s="152" t="str">
        <f t="shared" si="5"/>
        <v>#DIV/0!</v>
      </c>
      <c r="M5" s="126">
        <v>18800.0</v>
      </c>
      <c r="N5" s="131">
        <f t="shared" si="6"/>
        <v>940000</v>
      </c>
      <c r="O5" s="80">
        <f t="shared" si="8"/>
        <v>3</v>
      </c>
      <c r="P5" s="197" t="s">
        <v>13</v>
      </c>
      <c r="Q5" s="251">
        <f>N27</f>
        <v>5170320</v>
      </c>
      <c r="R5" s="251">
        <f t="shared" si="7"/>
        <v>5170320</v>
      </c>
    </row>
    <row r="6">
      <c r="A6" s="154">
        <v>45887.0</v>
      </c>
      <c r="B6" s="156" t="s">
        <v>11</v>
      </c>
      <c r="C6" s="89">
        <v>187954.0</v>
      </c>
      <c r="D6" s="89">
        <v>188343.0</v>
      </c>
      <c r="E6" s="12">
        <f t="shared" si="1"/>
        <v>389</v>
      </c>
      <c r="F6" s="157">
        <v>47.0</v>
      </c>
      <c r="G6" s="14">
        <f t="shared" si="2"/>
        <v>12.08226221</v>
      </c>
      <c r="H6" s="89"/>
      <c r="I6" s="137"/>
      <c r="J6" s="89">
        <f t="shared" si="3"/>
        <v>0</v>
      </c>
      <c r="K6" s="89">
        <f t="shared" si="4"/>
        <v>47</v>
      </c>
      <c r="L6" s="152" t="str">
        <f t="shared" si="5"/>
        <v>#DIV/0!</v>
      </c>
      <c r="M6" s="126">
        <v>18070.0</v>
      </c>
      <c r="N6" s="131">
        <f t="shared" si="6"/>
        <v>849290</v>
      </c>
      <c r="O6" s="80">
        <f t="shared" si="8"/>
        <v>4</v>
      </c>
      <c r="P6" s="197" t="s">
        <v>14</v>
      </c>
      <c r="Q6" s="251">
        <f>N35</f>
        <v>5779589.5</v>
      </c>
      <c r="R6" s="251">
        <f t="shared" si="7"/>
        <v>5779589.5</v>
      </c>
    </row>
    <row r="7">
      <c r="A7" s="154">
        <v>45890.0</v>
      </c>
      <c r="B7" s="156" t="s">
        <v>11</v>
      </c>
      <c r="C7" s="89">
        <v>188343.0</v>
      </c>
      <c r="D7" s="89">
        <v>188728.0</v>
      </c>
      <c r="E7" s="12">
        <f t="shared" si="1"/>
        <v>385</v>
      </c>
      <c r="F7" s="157">
        <v>40.0</v>
      </c>
      <c r="G7" s="14">
        <f t="shared" si="2"/>
        <v>10.38961039</v>
      </c>
      <c r="H7" s="89"/>
      <c r="I7" s="137"/>
      <c r="J7" s="89">
        <f t="shared" si="3"/>
        <v>0</v>
      </c>
      <c r="K7" s="89">
        <f t="shared" si="4"/>
        <v>40</v>
      </c>
      <c r="L7" s="152" t="str">
        <f t="shared" si="5"/>
        <v>#DIV/0!</v>
      </c>
      <c r="M7" s="126">
        <v>18070.0</v>
      </c>
      <c r="N7" s="131">
        <f t="shared" si="6"/>
        <v>722800</v>
      </c>
      <c r="O7" s="80">
        <f t="shared" si="8"/>
        <v>5</v>
      </c>
      <c r="P7" s="197" t="s">
        <v>15</v>
      </c>
      <c r="Q7" s="251">
        <f>N44</f>
        <v>6044300</v>
      </c>
      <c r="R7" s="251">
        <f t="shared" si="7"/>
        <v>6044300</v>
      </c>
    </row>
    <row r="8">
      <c r="A8" s="154">
        <v>45895.0</v>
      </c>
      <c r="B8" s="99" t="s">
        <v>11</v>
      </c>
      <c r="C8" s="89">
        <v>188728.0</v>
      </c>
      <c r="D8" s="89">
        <v>189030.0</v>
      </c>
      <c r="E8" s="12">
        <f t="shared" si="1"/>
        <v>302</v>
      </c>
      <c r="F8" s="157">
        <v>40.0</v>
      </c>
      <c r="G8" s="14">
        <f t="shared" si="2"/>
        <v>13.24503311</v>
      </c>
      <c r="H8" s="89"/>
      <c r="I8" s="137"/>
      <c r="J8" s="89">
        <f t="shared" si="3"/>
        <v>0</v>
      </c>
      <c r="K8" s="89">
        <f t="shared" si="4"/>
        <v>40</v>
      </c>
      <c r="L8" s="152" t="str">
        <f t="shared" si="5"/>
        <v>#DIV/0!</v>
      </c>
      <c r="M8" s="126">
        <v>17900.0</v>
      </c>
      <c r="N8" s="131">
        <f t="shared" si="6"/>
        <v>716000</v>
      </c>
      <c r="O8" s="80">
        <f t="shared" si="8"/>
        <v>6</v>
      </c>
      <c r="P8" s="197" t="s">
        <v>16</v>
      </c>
      <c r="Q8" s="251">
        <f>N55</f>
        <v>6518410</v>
      </c>
      <c r="R8" s="251">
        <f t="shared" si="7"/>
        <v>6518410</v>
      </c>
    </row>
    <row r="9">
      <c r="A9" s="304">
        <v>45898.0</v>
      </c>
      <c r="B9" s="156" t="s">
        <v>11</v>
      </c>
      <c r="C9" s="89">
        <v>189030.0</v>
      </c>
      <c r="D9" s="149">
        <v>189378.0</v>
      </c>
      <c r="E9" s="25">
        <f t="shared" si="1"/>
        <v>348</v>
      </c>
      <c r="F9" s="161">
        <v>40.0</v>
      </c>
      <c r="G9" s="56">
        <f t="shared" si="2"/>
        <v>11.49425287</v>
      </c>
      <c r="H9" s="149"/>
      <c r="I9" s="151"/>
      <c r="J9" s="149">
        <f t="shared" si="3"/>
        <v>0</v>
      </c>
      <c r="K9" s="149">
        <f t="shared" si="4"/>
        <v>40</v>
      </c>
      <c r="L9" s="71" t="str">
        <f t="shared" si="5"/>
        <v>#DIV/0!</v>
      </c>
      <c r="M9" s="153">
        <v>18350.0</v>
      </c>
      <c r="N9" s="135">
        <f t="shared" si="6"/>
        <v>734000</v>
      </c>
      <c r="O9" s="80">
        <f t="shared" si="8"/>
        <v>7</v>
      </c>
      <c r="P9" s="197" t="s">
        <v>18</v>
      </c>
      <c r="Q9" s="251">
        <f>N64</f>
        <v>6623420</v>
      </c>
      <c r="R9" s="251">
        <f t="shared" si="7"/>
        <v>6623420</v>
      </c>
    </row>
    <row r="10">
      <c r="A10" s="62"/>
      <c r="B10" s="63"/>
      <c r="C10" s="62"/>
      <c r="D10" s="64" t="s">
        <v>19</v>
      </c>
      <c r="E10" s="64">
        <f t="shared" ref="E10:F10" si="9">sum(E3:E9)</f>
        <v>2478</v>
      </c>
      <c r="F10" s="64">
        <f t="shared" si="9"/>
        <v>302</v>
      </c>
      <c r="G10" s="65">
        <f>average(G3:G9)</f>
        <v>12.30208018</v>
      </c>
      <c r="H10" s="62"/>
      <c r="I10" s="66"/>
      <c r="J10" s="64">
        <f t="shared" ref="J10:K10" si="10">sum(J3:J9)</f>
        <v>0</v>
      </c>
      <c r="K10" s="64">
        <f t="shared" si="10"/>
        <v>302</v>
      </c>
      <c r="L10" s="65" t="str">
        <f>average(L3:L9)</f>
        <v>#DIV/0!</v>
      </c>
      <c r="M10" s="68"/>
      <c r="N10" s="69">
        <f>sum(N3:N9)</f>
        <v>5571790</v>
      </c>
      <c r="O10" s="80">
        <f t="shared" si="8"/>
        <v>8</v>
      </c>
      <c r="P10" s="197" t="s">
        <v>20</v>
      </c>
      <c r="Q10" s="251">
        <f>N72</f>
        <v>5894780</v>
      </c>
      <c r="R10" s="251">
        <f t="shared" si="7"/>
        <v>5894780</v>
      </c>
    </row>
    <row r="11">
      <c r="A11" s="70">
        <v>45871.0</v>
      </c>
      <c r="B11" s="302" t="s">
        <v>12</v>
      </c>
      <c r="C11" s="89">
        <v>150015.0</v>
      </c>
      <c r="D11" s="89">
        <v>150433.0</v>
      </c>
      <c r="E11" s="38">
        <f t="shared" ref="E11:E17" si="11">D11-C11</f>
        <v>418</v>
      </c>
      <c r="F11" s="39">
        <v>50.0</v>
      </c>
      <c r="G11" s="14">
        <f t="shared" ref="G11:G17" si="12">(F11/E11)*100</f>
        <v>11.96172249</v>
      </c>
      <c r="H11" s="137"/>
      <c r="I11" s="138"/>
      <c r="J11" s="41">
        <f t="shared" ref="J11:J17" si="13">I11-H11</f>
        <v>0</v>
      </c>
      <c r="K11" s="41">
        <f t="shared" ref="K11:K17" si="14">F11</f>
        <v>50</v>
      </c>
      <c r="L11" s="303" t="str">
        <f t="shared" ref="L11:L17" si="15">(K11/J11)*100</f>
        <v>#DIV/0!</v>
      </c>
      <c r="M11" s="72">
        <v>19060.0</v>
      </c>
      <c r="N11" s="44">
        <f t="shared" ref="N11:N17" si="16">F11*M11</f>
        <v>953000</v>
      </c>
      <c r="O11" s="80">
        <f t="shared" si="8"/>
        <v>9</v>
      </c>
      <c r="P11" s="197" t="s">
        <v>21</v>
      </c>
      <c r="Q11" s="251">
        <f>N80</f>
        <v>5535714.05</v>
      </c>
      <c r="R11" s="251">
        <f t="shared" si="7"/>
        <v>5535714.05</v>
      </c>
    </row>
    <row r="12">
      <c r="A12" s="154">
        <v>45876.0</v>
      </c>
      <c r="B12" s="156" t="s">
        <v>12</v>
      </c>
      <c r="C12" s="89">
        <v>150433.0</v>
      </c>
      <c r="D12" s="89">
        <v>150807.0</v>
      </c>
      <c r="E12" s="12">
        <f t="shared" si="11"/>
        <v>374</v>
      </c>
      <c r="F12" s="157">
        <v>49.0</v>
      </c>
      <c r="G12" s="14">
        <f t="shared" si="12"/>
        <v>13.10160428</v>
      </c>
      <c r="H12" s="89"/>
      <c r="I12" s="137"/>
      <c r="J12" s="89">
        <f t="shared" si="13"/>
        <v>0</v>
      </c>
      <c r="K12" s="89">
        <f t="shared" si="14"/>
        <v>49</v>
      </c>
      <c r="L12" s="152" t="str">
        <f t="shared" si="15"/>
        <v>#DIV/0!</v>
      </c>
      <c r="M12" s="126">
        <v>19060.0</v>
      </c>
      <c r="N12" s="131">
        <f t="shared" si="16"/>
        <v>933940</v>
      </c>
      <c r="O12" s="80">
        <f t="shared" si="8"/>
        <v>10</v>
      </c>
      <c r="P12" s="276" t="s">
        <v>22</v>
      </c>
      <c r="Q12" s="251">
        <f>N88</f>
        <v>1505740</v>
      </c>
      <c r="R12" s="251">
        <f t="shared" si="7"/>
        <v>1505740</v>
      </c>
    </row>
    <row r="13">
      <c r="A13" s="154">
        <v>45882.0</v>
      </c>
      <c r="B13" s="156" t="s">
        <v>12</v>
      </c>
      <c r="C13" s="89">
        <v>150807.0</v>
      </c>
      <c r="D13" s="89">
        <v>151183.0</v>
      </c>
      <c r="E13" s="12">
        <f t="shared" si="11"/>
        <v>376</v>
      </c>
      <c r="F13" s="157">
        <v>53.0</v>
      </c>
      <c r="G13" s="14">
        <f t="shared" si="12"/>
        <v>14.09574468</v>
      </c>
      <c r="H13" s="89"/>
      <c r="I13" s="137"/>
      <c r="J13" s="89">
        <f t="shared" si="13"/>
        <v>0</v>
      </c>
      <c r="K13" s="89">
        <f t="shared" si="14"/>
        <v>53</v>
      </c>
      <c r="L13" s="152" t="str">
        <f t="shared" si="15"/>
        <v>#DIV/0!</v>
      </c>
      <c r="M13" s="126">
        <v>18800.0</v>
      </c>
      <c r="N13" s="131">
        <f t="shared" si="16"/>
        <v>996400</v>
      </c>
      <c r="O13" s="80">
        <f t="shared" si="8"/>
        <v>11</v>
      </c>
      <c r="P13" s="197" t="s">
        <v>23</v>
      </c>
      <c r="Q13" s="251">
        <f>N95</f>
        <v>6424850</v>
      </c>
      <c r="R13" s="251">
        <f t="shared" si="7"/>
        <v>6424850</v>
      </c>
    </row>
    <row r="14">
      <c r="A14" s="155">
        <v>45888.0</v>
      </c>
      <c r="B14" s="156" t="s">
        <v>12</v>
      </c>
      <c r="C14" s="89">
        <v>151183.0</v>
      </c>
      <c r="D14" s="89">
        <v>151571.0</v>
      </c>
      <c r="E14" s="12">
        <f t="shared" si="11"/>
        <v>388</v>
      </c>
      <c r="F14" s="157">
        <v>47.0</v>
      </c>
      <c r="G14" s="14">
        <f t="shared" si="12"/>
        <v>12.11340206</v>
      </c>
      <c r="H14" s="89"/>
      <c r="I14" s="137"/>
      <c r="J14" s="89">
        <f t="shared" si="13"/>
        <v>0</v>
      </c>
      <c r="K14" s="89">
        <f t="shared" si="14"/>
        <v>47</v>
      </c>
      <c r="L14" s="152" t="str">
        <f t="shared" si="15"/>
        <v>#DIV/0!</v>
      </c>
      <c r="M14" s="126">
        <v>18070.0</v>
      </c>
      <c r="N14" s="131">
        <f t="shared" si="16"/>
        <v>849290</v>
      </c>
      <c r="O14" s="80">
        <f t="shared" si="8"/>
        <v>12</v>
      </c>
      <c r="P14" s="276" t="s">
        <v>24</v>
      </c>
      <c r="Q14" s="251">
        <f>N103</f>
        <v>5766540</v>
      </c>
      <c r="R14" s="251">
        <f t="shared" si="7"/>
        <v>5766540</v>
      </c>
    </row>
    <row r="15">
      <c r="A15" s="154">
        <v>45892.0</v>
      </c>
      <c r="B15" s="156" t="s">
        <v>12</v>
      </c>
      <c r="C15" s="89">
        <v>151571.0</v>
      </c>
      <c r="D15" s="89">
        <v>151976.0</v>
      </c>
      <c r="E15" s="12">
        <f t="shared" si="11"/>
        <v>405</v>
      </c>
      <c r="F15" s="157">
        <v>55.0</v>
      </c>
      <c r="G15" s="14">
        <f t="shared" si="12"/>
        <v>13.58024691</v>
      </c>
      <c r="H15" s="137"/>
      <c r="I15" s="137"/>
      <c r="J15" s="89">
        <f t="shared" si="13"/>
        <v>0</v>
      </c>
      <c r="K15" s="89">
        <f t="shared" si="14"/>
        <v>55</v>
      </c>
      <c r="L15" s="152" t="str">
        <f t="shared" si="15"/>
        <v>#DIV/0!</v>
      </c>
      <c r="M15" s="126">
        <v>17900.0</v>
      </c>
      <c r="N15" s="131">
        <f t="shared" si="16"/>
        <v>984500</v>
      </c>
      <c r="O15" s="80">
        <f t="shared" si="8"/>
        <v>13</v>
      </c>
      <c r="P15" s="197" t="s">
        <v>25</v>
      </c>
      <c r="Q15" s="251">
        <f>N103</f>
        <v>5766540</v>
      </c>
      <c r="R15" s="251">
        <f>N111</f>
        <v>6575504</v>
      </c>
    </row>
    <row r="16">
      <c r="A16" s="155">
        <v>45897.0</v>
      </c>
      <c r="B16" s="156" t="s">
        <v>12</v>
      </c>
      <c r="C16" s="89">
        <v>151976.0</v>
      </c>
      <c r="D16" s="89">
        <v>152380.0</v>
      </c>
      <c r="E16" s="12">
        <f t="shared" si="11"/>
        <v>404</v>
      </c>
      <c r="F16" s="157">
        <v>52.0</v>
      </c>
      <c r="G16" s="14">
        <f t="shared" si="12"/>
        <v>12.87128713</v>
      </c>
      <c r="H16" s="89"/>
      <c r="I16" s="159"/>
      <c r="J16" s="89">
        <f t="shared" si="13"/>
        <v>0</v>
      </c>
      <c r="K16" s="89">
        <f t="shared" si="14"/>
        <v>52</v>
      </c>
      <c r="L16" s="152" t="str">
        <f t="shared" si="15"/>
        <v>#DIV/0!</v>
      </c>
      <c r="M16" s="126">
        <v>17900.0</v>
      </c>
      <c r="N16" s="131">
        <f t="shared" si="16"/>
        <v>930800</v>
      </c>
      <c r="O16" s="80">
        <f t="shared" si="8"/>
        <v>14</v>
      </c>
      <c r="P16" s="276" t="s">
        <v>26</v>
      </c>
      <c r="Q16" s="251">
        <f>N119</f>
        <v>5172050</v>
      </c>
      <c r="R16" s="251">
        <f t="shared" ref="R16:R26" si="17">Q16</f>
        <v>5172050</v>
      </c>
    </row>
    <row r="17">
      <c r="A17" s="305"/>
      <c r="B17" s="306"/>
      <c r="C17" s="149"/>
      <c r="D17" s="150"/>
      <c r="E17" s="25">
        <f t="shared" si="11"/>
        <v>0</v>
      </c>
      <c r="F17" s="307"/>
      <c r="G17" s="56" t="str">
        <f t="shared" si="12"/>
        <v>#DIV/0!</v>
      </c>
      <c r="H17" s="149"/>
      <c r="I17" s="151"/>
      <c r="J17" s="149">
        <f t="shared" si="13"/>
        <v>0</v>
      </c>
      <c r="K17" s="149" t="str">
        <f t="shared" si="14"/>
        <v/>
      </c>
      <c r="L17" s="71" t="str">
        <f t="shared" si="15"/>
        <v>#DIV/0!</v>
      </c>
      <c r="M17" s="308"/>
      <c r="N17" s="135">
        <f t="shared" si="16"/>
        <v>0</v>
      </c>
      <c r="O17" s="80">
        <f t="shared" si="8"/>
        <v>15</v>
      </c>
      <c r="P17" s="197" t="s">
        <v>27</v>
      </c>
      <c r="Q17" s="251">
        <f>N128</f>
        <v>7094600</v>
      </c>
      <c r="R17" s="251">
        <f t="shared" si="17"/>
        <v>7094600</v>
      </c>
    </row>
    <row r="18">
      <c r="A18" s="62"/>
      <c r="B18" s="63"/>
      <c r="C18" s="62"/>
      <c r="D18" s="64" t="s">
        <v>19</v>
      </c>
      <c r="E18" s="64">
        <f t="shared" ref="E18:F18" si="18">sum(E11:E17)</f>
        <v>2365</v>
      </c>
      <c r="F18" s="64">
        <f t="shared" si="18"/>
        <v>306</v>
      </c>
      <c r="G18" s="65" t="str">
        <f>average(G11:G17)</f>
        <v>#DIV/0!</v>
      </c>
      <c r="H18" s="62"/>
      <c r="I18" s="66"/>
      <c r="J18" s="64">
        <f t="shared" ref="J18:K18" si="19">sum(J11:J17)</f>
        <v>0</v>
      </c>
      <c r="K18" s="64">
        <f t="shared" si="19"/>
        <v>306</v>
      </c>
      <c r="L18" s="65" t="str">
        <f>average(L11:L17)</f>
        <v>#DIV/0!</v>
      </c>
      <c r="M18" s="68"/>
      <c r="N18" s="69">
        <f>sum(N11:N17)</f>
        <v>5647930</v>
      </c>
      <c r="O18" s="80">
        <f t="shared" si="8"/>
        <v>16</v>
      </c>
      <c r="P18" s="197" t="s">
        <v>80</v>
      </c>
      <c r="Q18" s="251">
        <f>N137</f>
        <v>7673300</v>
      </c>
      <c r="R18" s="251">
        <f t="shared" si="17"/>
        <v>7673300</v>
      </c>
    </row>
    <row r="19">
      <c r="A19" s="70">
        <v>45871.0</v>
      </c>
      <c r="B19" s="302" t="s">
        <v>13</v>
      </c>
      <c r="C19" s="89">
        <v>168787.0</v>
      </c>
      <c r="D19" s="41">
        <v>169402.0</v>
      </c>
      <c r="E19" s="38">
        <f t="shared" ref="E19:E26" si="20">D19-C19</f>
        <v>615</v>
      </c>
      <c r="F19" s="39">
        <v>38.0</v>
      </c>
      <c r="G19" s="14">
        <f t="shared" ref="G19:G26" si="21">(F19/E19)*100</f>
        <v>6.178861789</v>
      </c>
      <c r="H19" s="137"/>
      <c r="I19" s="138"/>
      <c r="J19" s="41">
        <f t="shared" ref="J19:J26" si="22">I19-H19</f>
        <v>0</v>
      </c>
      <c r="K19" s="41">
        <f t="shared" ref="K19:K26" si="23">F19</f>
        <v>38</v>
      </c>
      <c r="L19" s="152" t="str">
        <f t="shared" ref="L19:L26" si="24">(K19/J19)*100</f>
        <v>#DIV/0!</v>
      </c>
      <c r="M19" s="72">
        <v>19060.0</v>
      </c>
      <c r="N19" s="44">
        <f t="shared" ref="N19:N26" si="25">F19*M19</f>
        <v>724280</v>
      </c>
      <c r="O19" s="80">
        <f t="shared" si="8"/>
        <v>17</v>
      </c>
      <c r="P19" s="197" t="s">
        <v>29</v>
      </c>
      <c r="Q19" s="251">
        <f>N146</f>
        <v>6219300</v>
      </c>
      <c r="R19" s="251">
        <f t="shared" si="17"/>
        <v>6219300</v>
      </c>
    </row>
    <row r="20">
      <c r="A20" s="154">
        <v>45876.0</v>
      </c>
      <c r="B20" s="156" t="s">
        <v>13</v>
      </c>
      <c r="C20" s="41">
        <v>169402.0</v>
      </c>
      <c r="D20" s="41">
        <v>169704.0</v>
      </c>
      <c r="E20" s="12">
        <f t="shared" si="20"/>
        <v>302</v>
      </c>
      <c r="F20" s="157">
        <v>40.0</v>
      </c>
      <c r="G20" s="14">
        <f t="shared" si="21"/>
        <v>13.24503311</v>
      </c>
      <c r="H20" s="89"/>
      <c r="I20" s="137"/>
      <c r="J20" s="89">
        <f t="shared" si="22"/>
        <v>0</v>
      </c>
      <c r="K20" s="89">
        <f t="shared" si="23"/>
        <v>40</v>
      </c>
      <c r="L20" s="152" t="str">
        <f t="shared" si="24"/>
        <v>#DIV/0!</v>
      </c>
      <c r="M20" s="126">
        <v>19060.0</v>
      </c>
      <c r="N20" s="131">
        <f t="shared" si="25"/>
        <v>762400</v>
      </c>
      <c r="O20" s="80">
        <f t="shared" si="8"/>
        <v>18</v>
      </c>
      <c r="P20" s="197" t="s">
        <v>30</v>
      </c>
      <c r="Q20" s="251">
        <f>N155</f>
        <v>5209690</v>
      </c>
      <c r="R20" s="251">
        <f t="shared" si="17"/>
        <v>5209690</v>
      </c>
    </row>
    <row r="21">
      <c r="A21" s="154">
        <v>45880.0</v>
      </c>
      <c r="B21" s="156" t="s">
        <v>13</v>
      </c>
      <c r="C21" s="89">
        <v>169704.0</v>
      </c>
      <c r="D21" s="89">
        <v>169985.0</v>
      </c>
      <c r="E21" s="12">
        <f t="shared" si="20"/>
        <v>281</v>
      </c>
      <c r="F21" s="157">
        <v>40.0</v>
      </c>
      <c r="G21" s="14">
        <f t="shared" si="21"/>
        <v>14.23487544</v>
      </c>
      <c r="H21" s="89"/>
      <c r="I21" s="137"/>
      <c r="J21" s="89">
        <f t="shared" si="22"/>
        <v>0</v>
      </c>
      <c r="K21" s="89">
        <f t="shared" si="23"/>
        <v>40</v>
      </c>
      <c r="L21" s="152" t="str">
        <f t="shared" si="24"/>
        <v>#DIV/0!</v>
      </c>
      <c r="M21" s="126">
        <v>18800.0</v>
      </c>
      <c r="N21" s="131">
        <f t="shared" si="25"/>
        <v>752000</v>
      </c>
      <c r="O21" s="80">
        <f t="shared" si="8"/>
        <v>19</v>
      </c>
      <c r="P21" s="197" t="s">
        <v>83</v>
      </c>
      <c r="Q21" s="251">
        <f>N164</f>
        <v>4902970</v>
      </c>
      <c r="R21" s="251">
        <f t="shared" si="17"/>
        <v>4902970</v>
      </c>
    </row>
    <row r="22">
      <c r="A22" s="155">
        <v>45884.0</v>
      </c>
      <c r="B22" s="156" t="s">
        <v>13</v>
      </c>
      <c r="C22" s="89">
        <v>169985.0</v>
      </c>
      <c r="D22" s="89">
        <v>170306.0</v>
      </c>
      <c r="E22" s="12">
        <f t="shared" si="20"/>
        <v>321</v>
      </c>
      <c r="F22" s="157">
        <v>40.0</v>
      </c>
      <c r="G22" s="14">
        <f t="shared" si="21"/>
        <v>12.46105919</v>
      </c>
      <c r="H22" s="89"/>
      <c r="I22" s="137"/>
      <c r="J22" s="89">
        <f t="shared" si="22"/>
        <v>0</v>
      </c>
      <c r="K22" s="89">
        <f t="shared" si="23"/>
        <v>40</v>
      </c>
      <c r="L22" s="152" t="str">
        <f t="shared" si="24"/>
        <v>#DIV/0!</v>
      </c>
      <c r="M22" s="126">
        <v>18070.0</v>
      </c>
      <c r="N22" s="131">
        <f t="shared" si="25"/>
        <v>722800</v>
      </c>
      <c r="O22" s="80">
        <f t="shared" si="8"/>
        <v>20</v>
      </c>
      <c r="P22" s="197" t="s">
        <v>32</v>
      </c>
      <c r="Q22" s="251">
        <f>N173</f>
        <v>6011200</v>
      </c>
      <c r="R22" s="251">
        <f t="shared" si="17"/>
        <v>6011200</v>
      </c>
    </row>
    <row r="23">
      <c r="A23" s="35">
        <v>45889.0</v>
      </c>
      <c r="B23" s="99" t="s">
        <v>13</v>
      </c>
      <c r="C23" s="89">
        <v>170306.0</v>
      </c>
      <c r="D23" s="89">
        <v>170623.0</v>
      </c>
      <c r="E23" s="12">
        <f t="shared" si="20"/>
        <v>317</v>
      </c>
      <c r="F23" s="157">
        <v>42.0</v>
      </c>
      <c r="G23" s="14">
        <f t="shared" si="21"/>
        <v>13.24921136</v>
      </c>
      <c r="H23" s="89"/>
      <c r="I23" s="137"/>
      <c r="J23" s="89">
        <f t="shared" si="22"/>
        <v>0</v>
      </c>
      <c r="K23" s="89">
        <f t="shared" si="23"/>
        <v>42</v>
      </c>
      <c r="L23" s="71" t="str">
        <f t="shared" si="24"/>
        <v>#DIV/0!</v>
      </c>
      <c r="M23" s="126">
        <v>18070.0</v>
      </c>
      <c r="N23" s="131">
        <f t="shared" si="25"/>
        <v>758940</v>
      </c>
      <c r="O23" s="80">
        <f t="shared" si="8"/>
        <v>21</v>
      </c>
      <c r="P23" s="197" t="s">
        <v>46</v>
      </c>
      <c r="Q23" s="251">
        <f>N183</f>
        <v>13650000</v>
      </c>
      <c r="R23" s="251">
        <f t="shared" si="17"/>
        <v>13650000</v>
      </c>
    </row>
    <row r="24">
      <c r="A24" s="35">
        <v>45892.0</v>
      </c>
      <c r="B24" s="46" t="s">
        <v>13</v>
      </c>
      <c r="C24" s="89">
        <v>170623.0</v>
      </c>
      <c r="D24" s="89">
        <v>170960.0</v>
      </c>
      <c r="E24" s="12">
        <f t="shared" si="20"/>
        <v>337</v>
      </c>
      <c r="F24" s="157">
        <v>41.0</v>
      </c>
      <c r="G24" s="14">
        <f t="shared" si="21"/>
        <v>12.16617211</v>
      </c>
      <c r="H24" s="37"/>
      <c r="I24" s="40"/>
      <c r="J24" s="37">
        <f t="shared" si="22"/>
        <v>0</v>
      </c>
      <c r="K24" s="37">
        <f t="shared" si="23"/>
        <v>41</v>
      </c>
      <c r="L24" s="48" t="str">
        <f t="shared" si="24"/>
        <v>#DIV/0!</v>
      </c>
      <c r="M24" s="50">
        <v>17900.0</v>
      </c>
      <c r="N24" s="49">
        <f t="shared" si="25"/>
        <v>733900</v>
      </c>
      <c r="O24" s="80">
        <f t="shared" si="8"/>
        <v>22</v>
      </c>
      <c r="P24" s="197" t="s">
        <v>47</v>
      </c>
      <c r="Q24" s="251">
        <f>N189</f>
        <v>15299977.8</v>
      </c>
      <c r="R24" s="251">
        <f t="shared" si="17"/>
        <v>15299977.8</v>
      </c>
    </row>
    <row r="25">
      <c r="A25" s="92">
        <v>45897.0</v>
      </c>
      <c r="B25" s="46" t="s">
        <v>13</v>
      </c>
      <c r="C25" s="89">
        <v>170960.0</v>
      </c>
      <c r="D25" s="149">
        <v>171252.0</v>
      </c>
      <c r="E25" s="25">
        <f t="shared" si="20"/>
        <v>292</v>
      </c>
      <c r="F25" s="161">
        <v>40.0</v>
      </c>
      <c r="G25" s="56">
        <f t="shared" si="21"/>
        <v>13.69863014</v>
      </c>
      <c r="H25" s="37"/>
      <c r="I25" s="40"/>
      <c r="J25" s="37">
        <f t="shared" si="22"/>
        <v>0</v>
      </c>
      <c r="K25" s="37">
        <f t="shared" si="23"/>
        <v>40</v>
      </c>
      <c r="L25" s="48" t="str">
        <f t="shared" si="24"/>
        <v>#DIV/0!</v>
      </c>
      <c r="M25" s="50">
        <v>17900.0</v>
      </c>
      <c r="N25" s="49">
        <f t="shared" si="25"/>
        <v>716000</v>
      </c>
      <c r="O25" s="80">
        <f t="shared" si="8"/>
        <v>23</v>
      </c>
      <c r="P25" s="197" t="s">
        <v>48</v>
      </c>
      <c r="Q25" s="251">
        <f>N195</f>
        <v>10240000</v>
      </c>
      <c r="R25" s="251">
        <f t="shared" si="17"/>
        <v>10240000</v>
      </c>
    </row>
    <row r="26">
      <c r="A26" s="74"/>
      <c r="B26" s="46" t="s">
        <v>13</v>
      </c>
      <c r="C26" s="309"/>
      <c r="D26" s="309"/>
      <c r="E26" s="25">
        <f t="shared" si="20"/>
        <v>0</v>
      </c>
      <c r="F26" s="309"/>
      <c r="G26" s="56" t="str">
        <f t="shared" si="21"/>
        <v>#DIV/0!</v>
      </c>
      <c r="H26" s="75"/>
      <c r="I26" s="277"/>
      <c r="J26" s="55">
        <f t="shared" si="22"/>
        <v>0</v>
      </c>
      <c r="K26" s="55" t="str">
        <f t="shared" si="23"/>
        <v/>
      </c>
      <c r="L26" s="77" t="str">
        <f t="shared" si="24"/>
        <v>#DIV/0!</v>
      </c>
      <c r="M26" s="78"/>
      <c r="N26" s="59">
        <f t="shared" si="25"/>
        <v>0</v>
      </c>
      <c r="O26" s="80">
        <f t="shared" si="8"/>
        <v>24</v>
      </c>
      <c r="P26" s="197" t="s">
        <v>49</v>
      </c>
      <c r="Q26" s="251">
        <f>N201</f>
        <v>8600000</v>
      </c>
      <c r="R26" s="251">
        <f t="shared" si="17"/>
        <v>8600000</v>
      </c>
    </row>
    <row r="27">
      <c r="A27" s="62"/>
      <c r="B27" s="63"/>
      <c r="C27" s="62"/>
      <c r="D27" s="64" t="s">
        <v>19</v>
      </c>
      <c r="E27" s="64">
        <f>sum(E19:E25)</f>
        <v>2465</v>
      </c>
      <c r="F27" s="64">
        <f>sum(F19:F26)</f>
        <v>281</v>
      </c>
      <c r="G27" s="65">
        <f>average(G19:G25)</f>
        <v>12.17626331</v>
      </c>
      <c r="H27" s="62"/>
      <c r="I27" s="66"/>
      <c r="J27" s="64">
        <f t="shared" ref="J27:K27" si="26">sum(J19:J25)</f>
        <v>0</v>
      </c>
      <c r="K27" s="64">
        <f t="shared" si="26"/>
        <v>281</v>
      </c>
      <c r="L27" s="65" t="str">
        <f>average(L19:L25)</f>
        <v>#DIV/0!</v>
      </c>
      <c r="M27" s="68"/>
      <c r="N27" s="69">
        <f>sum(N19:N26)</f>
        <v>5170320</v>
      </c>
      <c r="O27" s="80">
        <f t="shared" si="8"/>
        <v>25</v>
      </c>
      <c r="P27" s="197" t="s">
        <v>50</v>
      </c>
      <c r="Q27" s="251">
        <f>N207</f>
        <v>12000000</v>
      </c>
      <c r="R27" s="251"/>
    </row>
    <row r="28">
      <c r="A28" s="70">
        <v>45870.0</v>
      </c>
      <c r="B28" s="302" t="s">
        <v>14</v>
      </c>
      <c r="C28" s="89">
        <v>170717.0</v>
      </c>
      <c r="D28" s="41">
        <v>171082.0</v>
      </c>
      <c r="E28" s="38">
        <f t="shared" ref="E28:E33" si="27">D28-C28</f>
        <v>365</v>
      </c>
      <c r="F28" s="39">
        <v>50.0</v>
      </c>
      <c r="G28" s="14">
        <f t="shared" ref="G28:G34" si="28">(F28/E28)*100</f>
        <v>13.69863014</v>
      </c>
      <c r="H28" s="137"/>
      <c r="I28" s="138"/>
      <c r="J28" s="41">
        <f t="shared" ref="J28:J34" si="29">I28-H28</f>
        <v>0</v>
      </c>
      <c r="K28" s="41">
        <f t="shared" ref="K28:K34" si="30">F28</f>
        <v>50</v>
      </c>
      <c r="L28" s="152" t="str">
        <f t="shared" ref="L28:L34" si="31">(K28/J28)*100</f>
        <v>#DIV/0!</v>
      </c>
      <c r="M28" s="72">
        <v>19060.0</v>
      </c>
      <c r="N28" s="44">
        <f t="shared" ref="N28:N34" si="32">F28*M28</f>
        <v>953000</v>
      </c>
      <c r="O28" s="80">
        <f t="shared" si="8"/>
        <v>26</v>
      </c>
      <c r="P28" s="197" t="s">
        <v>51</v>
      </c>
      <c r="Q28" s="251">
        <f>N213</f>
        <v>10900000</v>
      </c>
      <c r="R28" s="251">
        <f t="shared" ref="R28:R41" si="33">Q28</f>
        <v>10900000</v>
      </c>
    </row>
    <row r="29">
      <c r="A29" s="154">
        <v>45876.0</v>
      </c>
      <c r="B29" s="156" t="s">
        <v>14</v>
      </c>
      <c r="C29" s="89">
        <v>171080.0</v>
      </c>
      <c r="D29" s="89">
        <v>171455.0</v>
      </c>
      <c r="E29" s="12">
        <f t="shared" si="27"/>
        <v>375</v>
      </c>
      <c r="F29" s="157">
        <v>50.0</v>
      </c>
      <c r="G29" s="14">
        <f t="shared" si="28"/>
        <v>13.33333333</v>
      </c>
      <c r="H29" s="89"/>
      <c r="I29" s="137"/>
      <c r="J29" s="89">
        <f t="shared" si="29"/>
        <v>0</v>
      </c>
      <c r="K29" s="89">
        <f t="shared" si="30"/>
        <v>50</v>
      </c>
      <c r="L29" s="152" t="str">
        <f t="shared" si="31"/>
        <v>#DIV/0!</v>
      </c>
      <c r="M29" s="126">
        <v>19060.0</v>
      </c>
      <c r="N29" s="131">
        <f t="shared" si="32"/>
        <v>953000</v>
      </c>
      <c r="O29" s="80">
        <f t="shared" si="8"/>
        <v>27</v>
      </c>
      <c r="P29" s="197" t="s">
        <v>81</v>
      </c>
      <c r="Q29" s="251">
        <f>N219</f>
        <v>18500000</v>
      </c>
      <c r="R29" s="251">
        <f t="shared" si="33"/>
        <v>18500000</v>
      </c>
    </row>
    <row r="30">
      <c r="A30" s="154">
        <v>45882.0</v>
      </c>
      <c r="B30" s="156" t="s">
        <v>14</v>
      </c>
      <c r="C30" s="89">
        <v>171455.0</v>
      </c>
      <c r="D30" s="89">
        <v>171821.0</v>
      </c>
      <c r="E30" s="12">
        <f t="shared" si="27"/>
        <v>366</v>
      </c>
      <c r="F30" s="157">
        <v>40.0</v>
      </c>
      <c r="G30" s="14">
        <f t="shared" si="28"/>
        <v>10.92896175</v>
      </c>
      <c r="H30" s="89"/>
      <c r="I30" s="137"/>
      <c r="J30" s="89">
        <f t="shared" si="29"/>
        <v>0</v>
      </c>
      <c r="K30" s="89">
        <f t="shared" si="30"/>
        <v>40</v>
      </c>
      <c r="L30" s="152" t="str">
        <f t="shared" si="31"/>
        <v>#DIV/0!</v>
      </c>
      <c r="M30" s="126">
        <v>18800.0</v>
      </c>
      <c r="N30" s="131">
        <f t="shared" si="32"/>
        <v>752000</v>
      </c>
      <c r="O30" s="80">
        <f t="shared" si="8"/>
        <v>28</v>
      </c>
      <c r="P30" s="197" t="s">
        <v>54</v>
      </c>
      <c r="Q30" s="251">
        <f>N228</f>
        <v>29000000</v>
      </c>
      <c r="R30" s="251">
        <f t="shared" si="33"/>
        <v>29000000</v>
      </c>
    </row>
    <row r="31">
      <c r="A31" s="155">
        <v>45885.0</v>
      </c>
      <c r="B31" s="156" t="s">
        <v>14</v>
      </c>
      <c r="C31" s="89">
        <v>171821.0</v>
      </c>
      <c r="D31" s="89">
        <v>172157.0</v>
      </c>
      <c r="E31" s="12">
        <f t="shared" si="27"/>
        <v>336</v>
      </c>
      <c r="F31" s="157">
        <v>40.0</v>
      </c>
      <c r="G31" s="14">
        <f t="shared" si="28"/>
        <v>11.9047619</v>
      </c>
      <c r="H31" s="89"/>
      <c r="I31" s="137"/>
      <c r="J31" s="89">
        <f t="shared" si="29"/>
        <v>0</v>
      </c>
      <c r="K31" s="89">
        <f t="shared" si="30"/>
        <v>40</v>
      </c>
      <c r="L31" s="152" t="str">
        <f t="shared" si="31"/>
        <v>#DIV/0!</v>
      </c>
      <c r="M31" s="126">
        <v>18070.0</v>
      </c>
      <c r="N31" s="131">
        <f t="shared" si="32"/>
        <v>722800</v>
      </c>
      <c r="O31" s="80">
        <f t="shared" si="8"/>
        <v>29</v>
      </c>
      <c r="P31" s="197" t="s">
        <v>69</v>
      </c>
      <c r="Q31" s="251">
        <f>N235</f>
        <v>19000000</v>
      </c>
      <c r="R31" s="251">
        <f t="shared" si="33"/>
        <v>19000000</v>
      </c>
    </row>
    <row r="32">
      <c r="A32" s="154">
        <v>45890.0</v>
      </c>
      <c r="B32" s="156" t="s">
        <v>14</v>
      </c>
      <c r="C32" s="89">
        <v>172157.0</v>
      </c>
      <c r="D32" s="89">
        <v>172531.0</v>
      </c>
      <c r="E32" s="12">
        <f t="shared" si="27"/>
        <v>374</v>
      </c>
      <c r="F32" s="157">
        <v>48.005</v>
      </c>
      <c r="G32" s="14">
        <f t="shared" si="28"/>
        <v>12.8355615</v>
      </c>
      <c r="H32" s="89"/>
      <c r="I32" s="137"/>
      <c r="J32" s="89">
        <f t="shared" si="29"/>
        <v>0</v>
      </c>
      <c r="K32" s="89">
        <f t="shared" si="30"/>
        <v>48.005</v>
      </c>
      <c r="L32" s="152" t="str">
        <f t="shared" si="31"/>
        <v>#DIV/0!</v>
      </c>
      <c r="M32" s="126">
        <v>17900.0</v>
      </c>
      <c r="N32" s="131">
        <f t="shared" si="32"/>
        <v>859289.5</v>
      </c>
      <c r="O32" s="80">
        <f t="shared" si="8"/>
        <v>30</v>
      </c>
      <c r="P32" s="197" t="s">
        <v>93</v>
      </c>
      <c r="Q32" s="251">
        <f>N242</f>
        <v>4299938</v>
      </c>
      <c r="R32" s="251">
        <f t="shared" si="33"/>
        <v>4299938</v>
      </c>
    </row>
    <row r="33">
      <c r="A33" s="154">
        <v>45896.0</v>
      </c>
      <c r="B33" s="156" t="s">
        <v>14</v>
      </c>
      <c r="C33" s="89">
        <v>172531.0</v>
      </c>
      <c r="D33" s="89">
        <v>172935.0</v>
      </c>
      <c r="E33" s="12">
        <f t="shared" si="27"/>
        <v>404</v>
      </c>
      <c r="F33" s="157">
        <v>45.0</v>
      </c>
      <c r="G33" s="14">
        <f t="shared" si="28"/>
        <v>11.13861386</v>
      </c>
      <c r="H33" s="89"/>
      <c r="I33" s="137"/>
      <c r="J33" s="89">
        <f t="shared" si="29"/>
        <v>0</v>
      </c>
      <c r="K33" s="89">
        <f t="shared" si="30"/>
        <v>45</v>
      </c>
      <c r="L33" s="152" t="str">
        <f t="shared" si="31"/>
        <v>#DIV/0!</v>
      </c>
      <c r="M33" s="126">
        <v>17900.0</v>
      </c>
      <c r="N33" s="131">
        <f t="shared" si="32"/>
        <v>805500</v>
      </c>
      <c r="R33" s="80" t="str">
        <f t="shared" si="33"/>
        <v/>
      </c>
    </row>
    <row r="34">
      <c r="A34" s="310">
        <v>45899.0</v>
      </c>
      <c r="B34" s="306"/>
      <c r="C34" s="149"/>
      <c r="D34" s="150"/>
      <c r="E34" s="25"/>
      <c r="F34" s="161">
        <v>40.0</v>
      </c>
      <c r="G34" s="56" t="str">
        <f t="shared" si="28"/>
        <v>#DIV/0!</v>
      </c>
      <c r="H34" s="149"/>
      <c r="I34" s="151"/>
      <c r="J34" s="149">
        <f t="shared" si="29"/>
        <v>0</v>
      </c>
      <c r="K34" s="149">
        <f t="shared" si="30"/>
        <v>40</v>
      </c>
      <c r="L34" s="152" t="str">
        <f t="shared" si="31"/>
        <v>#DIV/0!</v>
      </c>
      <c r="M34" s="153">
        <v>18350.0</v>
      </c>
      <c r="N34" s="135">
        <f t="shared" si="32"/>
        <v>734000</v>
      </c>
      <c r="R34" s="80" t="str">
        <f t="shared" si="33"/>
        <v/>
      </c>
    </row>
    <row r="35">
      <c r="A35" s="62"/>
      <c r="B35" s="63"/>
      <c r="C35" s="62"/>
      <c r="D35" s="64" t="s">
        <v>19</v>
      </c>
      <c r="E35" s="64">
        <f t="shared" ref="E35:F35" si="34">sum(E28:E34)</f>
        <v>2220</v>
      </c>
      <c r="F35" s="64">
        <f t="shared" si="34"/>
        <v>313.005</v>
      </c>
      <c r="G35" s="65" t="str">
        <f>average(G28:G34)</f>
        <v>#DIV/0!</v>
      </c>
      <c r="H35" s="62"/>
      <c r="I35" s="66"/>
      <c r="J35" s="64">
        <f t="shared" ref="J35:K35" si="35">sum(J28:J34)</f>
        <v>0</v>
      </c>
      <c r="K35" s="64">
        <f t="shared" si="35"/>
        <v>313.005</v>
      </c>
      <c r="L35" s="65" t="str">
        <f>average(L28:L34)</f>
        <v>#DIV/0!</v>
      </c>
      <c r="M35" s="68"/>
      <c r="N35" s="69">
        <f>sum(N28:N34)</f>
        <v>5779589.5</v>
      </c>
      <c r="R35" s="80" t="str">
        <f t="shared" si="33"/>
        <v/>
      </c>
    </row>
    <row r="36">
      <c r="A36" s="70">
        <v>45870.0</v>
      </c>
      <c r="B36" s="302" t="s">
        <v>15</v>
      </c>
      <c r="C36" s="89">
        <v>156570.0</v>
      </c>
      <c r="D36" s="41">
        <v>156866.0</v>
      </c>
      <c r="E36" s="38">
        <f t="shared" ref="E36:E43" si="36">D36-C36</f>
        <v>296</v>
      </c>
      <c r="F36" s="39">
        <v>35.0</v>
      </c>
      <c r="G36" s="14">
        <f t="shared" ref="G36:G43" si="37">(F36/E36)*100</f>
        <v>11.82432432</v>
      </c>
      <c r="H36" s="89"/>
      <c r="I36" s="137"/>
      <c r="J36" s="41">
        <f t="shared" ref="J36:J41" si="38">I36-H36</f>
        <v>0</v>
      </c>
      <c r="K36" s="41">
        <f t="shared" ref="K36:K43" si="39">F36</f>
        <v>35</v>
      </c>
      <c r="L36" s="152" t="str">
        <f t="shared" ref="L36:L43" si="40">(K36/J36)*100</f>
        <v>#DIV/0!</v>
      </c>
      <c r="M36" s="72">
        <v>19060.0</v>
      </c>
      <c r="N36" s="44">
        <f t="shared" ref="N36:N43" si="41">F36*M36</f>
        <v>667100</v>
      </c>
      <c r="R36" s="80" t="str">
        <f t="shared" si="33"/>
        <v/>
      </c>
    </row>
    <row r="37">
      <c r="A37" s="154">
        <v>45875.0</v>
      </c>
      <c r="B37" s="156" t="s">
        <v>15</v>
      </c>
      <c r="C37" s="89">
        <v>156866.0</v>
      </c>
      <c r="D37" s="89">
        <v>157195.0</v>
      </c>
      <c r="E37" s="12">
        <f t="shared" si="36"/>
        <v>329</v>
      </c>
      <c r="F37" s="157">
        <v>40.0</v>
      </c>
      <c r="G37" s="14">
        <f t="shared" si="37"/>
        <v>12.15805471</v>
      </c>
      <c r="H37" s="137"/>
      <c r="I37" s="137"/>
      <c r="J37" s="89">
        <f t="shared" si="38"/>
        <v>0</v>
      </c>
      <c r="K37" s="89">
        <f t="shared" si="39"/>
        <v>40</v>
      </c>
      <c r="L37" s="152" t="str">
        <f t="shared" si="40"/>
        <v>#DIV/0!</v>
      </c>
      <c r="M37" s="126">
        <v>19060.0</v>
      </c>
      <c r="N37" s="131">
        <f t="shared" si="41"/>
        <v>762400</v>
      </c>
      <c r="P37" s="82"/>
      <c r="R37" s="80" t="str">
        <f t="shared" si="33"/>
        <v/>
      </c>
    </row>
    <row r="38">
      <c r="A38" s="154">
        <v>45880.0</v>
      </c>
      <c r="B38" s="156" t="s">
        <v>15</v>
      </c>
      <c r="C38" s="89">
        <v>157195.0</v>
      </c>
      <c r="D38" s="89">
        <v>157537.0</v>
      </c>
      <c r="E38" s="12">
        <f t="shared" si="36"/>
        <v>342</v>
      </c>
      <c r="F38" s="157">
        <v>43.0</v>
      </c>
      <c r="G38" s="14">
        <f t="shared" si="37"/>
        <v>12.57309942</v>
      </c>
      <c r="H38" s="89"/>
      <c r="I38" s="137"/>
      <c r="J38" s="89">
        <f t="shared" si="38"/>
        <v>0</v>
      </c>
      <c r="K38" s="89">
        <f t="shared" si="39"/>
        <v>43</v>
      </c>
      <c r="L38" s="152" t="str">
        <f t="shared" si="40"/>
        <v>#DIV/0!</v>
      </c>
      <c r="M38" s="311">
        <v>18800.0</v>
      </c>
      <c r="N38" s="131">
        <f t="shared" si="41"/>
        <v>808400</v>
      </c>
      <c r="R38" s="80" t="str">
        <f t="shared" si="33"/>
        <v/>
      </c>
    </row>
    <row r="39">
      <c r="A39" s="154">
        <v>45882.0</v>
      </c>
      <c r="B39" s="156" t="s">
        <v>15</v>
      </c>
      <c r="C39" s="89">
        <v>157537.0</v>
      </c>
      <c r="D39" s="89">
        <v>157850.0</v>
      </c>
      <c r="E39" s="12">
        <f t="shared" si="36"/>
        <v>313</v>
      </c>
      <c r="F39" s="157">
        <v>43.0</v>
      </c>
      <c r="G39" s="14">
        <f t="shared" si="37"/>
        <v>13.73801917</v>
      </c>
      <c r="H39" s="89"/>
      <c r="I39" s="137"/>
      <c r="J39" s="89">
        <f t="shared" si="38"/>
        <v>0</v>
      </c>
      <c r="K39" s="89">
        <f t="shared" si="39"/>
        <v>43</v>
      </c>
      <c r="L39" s="152" t="str">
        <f t="shared" si="40"/>
        <v>#DIV/0!</v>
      </c>
      <c r="M39" s="126">
        <v>18800.0</v>
      </c>
      <c r="N39" s="131">
        <f t="shared" si="41"/>
        <v>808400</v>
      </c>
      <c r="R39" s="80" t="str">
        <f t="shared" si="33"/>
        <v/>
      </c>
    </row>
    <row r="40">
      <c r="A40" s="154">
        <v>45887.0</v>
      </c>
      <c r="B40" s="156" t="s">
        <v>15</v>
      </c>
      <c r="C40" s="89">
        <v>157850.0</v>
      </c>
      <c r="D40" s="89">
        <v>158171.0</v>
      </c>
      <c r="E40" s="12">
        <f t="shared" si="36"/>
        <v>321</v>
      </c>
      <c r="F40" s="157">
        <v>40.0</v>
      </c>
      <c r="G40" s="14">
        <f t="shared" si="37"/>
        <v>12.46105919</v>
      </c>
      <c r="H40" s="89"/>
      <c r="I40" s="137"/>
      <c r="J40" s="89">
        <f t="shared" si="38"/>
        <v>0</v>
      </c>
      <c r="K40" s="89">
        <f t="shared" si="39"/>
        <v>40</v>
      </c>
      <c r="L40" s="152" t="str">
        <f t="shared" si="40"/>
        <v>#DIV/0!</v>
      </c>
      <c r="M40" s="126">
        <v>18070.0</v>
      </c>
      <c r="N40" s="131">
        <f t="shared" si="41"/>
        <v>722800</v>
      </c>
      <c r="R40" s="80" t="str">
        <f t="shared" si="33"/>
        <v/>
      </c>
    </row>
    <row r="41">
      <c r="A41" s="312">
        <v>45890.0</v>
      </c>
      <c r="B41" s="156" t="s">
        <v>15</v>
      </c>
      <c r="C41" s="89">
        <v>158171.0</v>
      </c>
      <c r="D41" s="89">
        <v>158521.0</v>
      </c>
      <c r="E41" s="12">
        <f t="shared" si="36"/>
        <v>350</v>
      </c>
      <c r="F41" s="157">
        <v>42.0</v>
      </c>
      <c r="G41" s="14">
        <f t="shared" si="37"/>
        <v>12</v>
      </c>
      <c r="H41" s="89"/>
      <c r="I41" s="137"/>
      <c r="J41" s="89">
        <f t="shared" si="38"/>
        <v>0</v>
      </c>
      <c r="K41" s="89">
        <f t="shared" si="39"/>
        <v>42</v>
      </c>
      <c r="L41" s="152" t="str">
        <f t="shared" si="40"/>
        <v>#DIV/0!</v>
      </c>
      <c r="M41" s="126">
        <v>17900.0</v>
      </c>
      <c r="N41" s="131">
        <f t="shared" si="41"/>
        <v>751800</v>
      </c>
      <c r="R41" s="80" t="str">
        <f t="shared" si="33"/>
        <v/>
      </c>
    </row>
    <row r="42">
      <c r="A42" s="304">
        <v>45895.0</v>
      </c>
      <c r="B42" s="156" t="s">
        <v>87</v>
      </c>
      <c r="C42" s="89">
        <v>158521.0</v>
      </c>
      <c r="D42" s="149">
        <v>158828.0</v>
      </c>
      <c r="E42" s="12">
        <f t="shared" si="36"/>
        <v>307</v>
      </c>
      <c r="F42" s="161">
        <v>40.0</v>
      </c>
      <c r="G42" s="14">
        <f t="shared" si="37"/>
        <v>13.02931596</v>
      </c>
      <c r="H42" s="149"/>
      <c r="I42" s="151"/>
      <c r="J42" s="149"/>
      <c r="K42" s="89">
        <f t="shared" si="39"/>
        <v>40</v>
      </c>
      <c r="L42" s="152" t="str">
        <f t="shared" si="40"/>
        <v>#DIV/0!</v>
      </c>
      <c r="M42" s="153">
        <v>17900.0</v>
      </c>
      <c r="N42" s="131">
        <f t="shared" si="41"/>
        <v>716000</v>
      </c>
    </row>
    <row r="43">
      <c r="A43" s="304">
        <v>45898.0</v>
      </c>
      <c r="B43" s="156" t="s">
        <v>15</v>
      </c>
      <c r="C43" s="89">
        <v>158828.0</v>
      </c>
      <c r="D43" s="149">
        <v>159197.0</v>
      </c>
      <c r="E43" s="25">
        <f t="shared" si="36"/>
        <v>369</v>
      </c>
      <c r="F43" s="161">
        <v>44.0</v>
      </c>
      <c r="G43" s="56">
        <f t="shared" si="37"/>
        <v>11.92411924</v>
      </c>
      <c r="H43" s="149"/>
      <c r="I43" s="151"/>
      <c r="J43" s="149">
        <f>I43-H43</f>
        <v>0</v>
      </c>
      <c r="K43" s="149">
        <f t="shared" si="39"/>
        <v>44</v>
      </c>
      <c r="L43" s="152" t="str">
        <f t="shared" si="40"/>
        <v>#DIV/0!</v>
      </c>
      <c r="M43" s="153">
        <v>18350.0</v>
      </c>
      <c r="N43" s="135">
        <f t="shared" si="41"/>
        <v>807400</v>
      </c>
      <c r="R43" s="80" t="str">
        <f t="shared" ref="R43:R51" si="44">Q43</f>
        <v/>
      </c>
    </row>
    <row r="44">
      <c r="A44" s="62"/>
      <c r="B44" s="63"/>
      <c r="C44" s="62"/>
      <c r="D44" s="64" t="s">
        <v>19</v>
      </c>
      <c r="E44" s="64">
        <f t="shared" ref="E44:F44" si="42">sum(E36:E43)</f>
        <v>2627</v>
      </c>
      <c r="F44" s="64">
        <f t="shared" si="42"/>
        <v>327</v>
      </c>
      <c r="G44" s="65">
        <f>average(G36:G43)</f>
        <v>12.463499</v>
      </c>
      <c r="H44" s="62"/>
      <c r="I44" s="66"/>
      <c r="J44" s="64">
        <f t="shared" ref="J44:K44" si="43">sum(J36:J43)</f>
        <v>0</v>
      </c>
      <c r="K44" s="64">
        <f t="shared" si="43"/>
        <v>327</v>
      </c>
      <c r="L44" s="65" t="str">
        <f>average(L36:L43)</f>
        <v>#DIV/0!</v>
      </c>
      <c r="M44" s="68"/>
      <c r="N44" s="69">
        <f>sum(N36:N43)</f>
        <v>6044300</v>
      </c>
      <c r="R44" s="80" t="str">
        <f t="shared" si="44"/>
        <v/>
      </c>
    </row>
    <row r="45">
      <c r="A45" s="293">
        <v>45870.0</v>
      </c>
      <c r="B45" s="302" t="s">
        <v>16</v>
      </c>
      <c r="C45" s="149">
        <v>133458.0</v>
      </c>
      <c r="D45" s="41">
        <v>133663.0</v>
      </c>
      <c r="E45" s="38">
        <f t="shared" ref="E45:E54" si="45">D45-C45</f>
        <v>205</v>
      </c>
      <c r="F45" s="39">
        <v>28.0</v>
      </c>
      <c r="G45" s="14">
        <f t="shared" ref="G45:G54" si="46">(F45/E45)*100</f>
        <v>13.65853659</v>
      </c>
      <c r="H45" s="137"/>
      <c r="I45" s="138"/>
      <c r="J45" s="41">
        <f t="shared" ref="J45:J50" si="47">I45-H45</f>
        <v>0</v>
      </c>
      <c r="K45" s="41">
        <f t="shared" ref="K45:K54" si="48">F45</f>
        <v>28</v>
      </c>
      <c r="L45" s="152" t="str">
        <f t="shared" ref="L45:L54" si="49">(K45/J45)*100</f>
        <v>#DIV/0!</v>
      </c>
      <c r="M45" s="72">
        <v>19060.0</v>
      </c>
      <c r="N45" s="44">
        <f t="shared" ref="N45:N54" si="50">F45*M45</f>
        <v>533680</v>
      </c>
      <c r="R45" s="80" t="str">
        <f t="shared" si="44"/>
        <v/>
      </c>
    </row>
    <row r="46">
      <c r="A46" s="154">
        <v>45874.0</v>
      </c>
      <c r="B46" s="156" t="s">
        <v>16</v>
      </c>
      <c r="C46" s="89">
        <v>133663.0</v>
      </c>
      <c r="D46" s="89"/>
      <c r="E46" s="12">
        <f t="shared" si="45"/>
        <v>-133663</v>
      </c>
      <c r="F46" s="313">
        <v>37.0</v>
      </c>
      <c r="G46" s="14">
        <f t="shared" si="46"/>
        <v>-0.02768155735</v>
      </c>
      <c r="H46" s="89"/>
      <c r="I46" s="138"/>
      <c r="J46" s="89">
        <f t="shared" si="47"/>
        <v>0</v>
      </c>
      <c r="K46" s="41">
        <f t="shared" si="48"/>
        <v>37</v>
      </c>
      <c r="L46" s="152" t="str">
        <f t="shared" si="49"/>
        <v>#DIV/0!</v>
      </c>
      <c r="M46" s="126">
        <v>19060.0</v>
      </c>
      <c r="N46" s="131">
        <f t="shared" si="50"/>
        <v>705220</v>
      </c>
      <c r="R46" s="80" t="str">
        <f t="shared" si="44"/>
        <v/>
      </c>
    </row>
    <row r="47">
      <c r="A47" s="154">
        <v>45877.0</v>
      </c>
      <c r="B47" s="156" t="s">
        <v>16</v>
      </c>
      <c r="C47" s="89"/>
      <c r="D47" s="89"/>
      <c r="E47" s="12">
        <f t="shared" si="45"/>
        <v>0</v>
      </c>
      <c r="F47" s="157">
        <v>36.0</v>
      </c>
      <c r="G47" s="14" t="str">
        <f t="shared" si="46"/>
        <v>#DIV/0!</v>
      </c>
      <c r="H47" s="89"/>
      <c r="I47" s="137"/>
      <c r="J47" s="89">
        <f t="shared" si="47"/>
        <v>0</v>
      </c>
      <c r="K47" s="41">
        <f t="shared" si="48"/>
        <v>36</v>
      </c>
      <c r="L47" s="152" t="str">
        <f t="shared" si="49"/>
        <v>#DIV/0!</v>
      </c>
      <c r="M47" s="126">
        <v>18800.0</v>
      </c>
      <c r="N47" s="131">
        <f t="shared" si="50"/>
        <v>676800</v>
      </c>
      <c r="R47" s="80" t="str">
        <f t="shared" si="44"/>
        <v/>
      </c>
    </row>
    <row r="48">
      <c r="A48" s="154">
        <v>45881.0</v>
      </c>
      <c r="B48" s="156" t="s">
        <v>16</v>
      </c>
      <c r="C48" s="89"/>
      <c r="D48" s="89">
        <v>134497.0</v>
      </c>
      <c r="E48" s="12">
        <f t="shared" si="45"/>
        <v>134497</v>
      </c>
      <c r="F48" s="157">
        <v>36.0</v>
      </c>
      <c r="G48" s="14">
        <f t="shared" si="46"/>
        <v>0.02676639628</v>
      </c>
      <c r="H48" s="89"/>
      <c r="I48" s="137"/>
      <c r="J48" s="89">
        <f t="shared" si="47"/>
        <v>0</v>
      </c>
      <c r="K48" s="41">
        <f t="shared" si="48"/>
        <v>36</v>
      </c>
      <c r="L48" s="152" t="str">
        <f t="shared" si="49"/>
        <v>#DIV/0!</v>
      </c>
      <c r="M48" s="126">
        <v>18800.0</v>
      </c>
      <c r="N48" s="131">
        <f t="shared" si="50"/>
        <v>676800</v>
      </c>
      <c r="P48" s="82"/>
      <c r="R48" s="80" t="str">
        <f t="shared" si="44"/>
        <v/>
      </c>
    </row>
    <row r="49">
      <c r="A49" s="154">
        <v>45884.0</v>
      </c>
      <c r="B49" s="156" t="s">
        <v>16</v>
      </c>
      <c r="C49" s="89">
        <v>134497.0</v>
      </c>
      <c r="D49" s="89">
        <v>134742.0</v>
      </c>
      <c r="E49" s="12">
        <f t="shared" si="45"/>
        <v>245</v>
      </c>
      <c r="F49" s="157">
        <v>36.0</v>
      </c>
      <c r="G49" s="14">
        <f t="shared" si="46"/>
        <v>14.69387755</v>
      </c>
      <c r="H49" s="89"/>
      <c r="I49" s="137"/>
      <c r="J49" s="89">
        <f t="shared" si="47"/>
        <v>0</v>
      </c>
      <c r="K49" s="41">
        <f t="shared" si="48"/>
        <v>36</v>
      </c>
      <c r="L49" s="152" t="str">
        <f t="shared" si="49"/>
        <v>#DIV/0!</v>
      </c>
      <c r="M49" s="126">
        <v>18070.0</v>
      </c>
      <c r="N49" s="131">
        <f t="shared" si="50"/>
        <v>650520</v>
      </c>
      <c r="R49" s="80" t="str">
        <f t="shared" si="44"/>
        <v/>
      </c>
    </row>
    <row r="50">
      <c r="A50" s="155">
        <v>45888.0</v>
      </c>
      <c r="B50" s="99" t="s">
        <v>16</v>
      </c>
      <c r="C50" s="89">
        <v>134742.0</v>
      </c>
      <c r="D50" s="89">
        <v>135069.0</v>
      </c>
      <c r="E50" s="12">
        <f t="shared" si="45"/>
        <v>327</v>
      </c>
      <c r="F50" s="157">
        <v>42.0</v>
      </c>
      <c r="G50" s="14">
        <f t="shared" si="46"/>
        <v>12.8440367</v>
      </c>
      <c r="H50" s="89"/>
      <c r="I50" s="137"/>
      <c r="J50" s="89">
        <f t="shared" si="47"/>
        <v>0</v>
      </c>
      <c r="K50" s="41">
        <f t="shared" si="48"/>
        <v>42</v>
      </c>
      <c r="L50" s="152" t="str">
        <f t="shared" si="49"/>
        <v>#DIV/0!</v>
      </c>
      <c r="M50" s="126">
        <v>18070.0</v>
      </c>
      <c r="N50" s="131">
        <f t="shared" si="50"/>
        <v>758940</v>
      </c>
      <c r="R50" s="80" t="str">
        <f t="shared" si="44"/>
        <v/>
      </c>
    </row>
    <row r="51">
      <c r="A51" s="304">
        <v>45891.0</v>
      </c>
      <c r="B51" s="156" t="s">
        <v>16</v>
      </c>
      <c r="C51" s="89">
        <v>135069.0</v>
      </c>
      <c r="D51" s="149">
        <v>135341.0</v>
      </c>
      <c r="E51" s="12">
        <f t="shared" si="45"/>
        <v>272</v>
      </c>
      <c r="F51" s="161">
        <v>36.0</v>
      </c>
      <c r="G51" s="14">
        <f t="shared" si="46"/>
        <v>13.23529412</v>
      </c>
      <c r="H51" s="149"/>
      <c r="I51" s="151"/>
      <c r="J51" s="149"/>
      <c r="K51" s="41">
        <f t="shared" si="48"/>
        <v>36</v>
      </c>
      <c r="L51" s="152" t="str">
        <f t="shared" si="49"/>
        <v>#DIV/0!</v>
      </c>
      <c r="M51" s="126">
        <v>17900.0</v>
      </c>
      <c r="N51" s="131">
        <f t="shared" si="50"/>
        <v>644400</v>
      </c>
      <c r="R51" s="80" t="str">
        <f t="shared" si="44"/>
        <v/>
      </c>
    </row>
    <row r="52">
      <c r="A52" s="304">
        <v>45895.0</v>
      </c>
      <c r="B52" s="156" t="s">
        <v>88</v>
      </c>
      <c r="C52" s="149">
        <v>135341.0</v>
      </c>
      <c r="D52" s="149">
        <v>135663.0</v>
      </c>
      <c r="E52" s="12">
        <f t="shared" si="45"/>
        <v>322</v>
      </c>
      <c r="F52" s="161">
        <v>40.0</v>
      </c>
      <c r="G52" s="14">
        <f t="shared" si="46"/>
        <v>12.42236025</v>
      </c>
      <c r="H52" s="149"/>
      <c r="I52" s="151"/>
      <c r="J52" s="149"/>
      <c r="K52" s="41">
        <f t="shared" si="48"/>
        <v>40</v>
      </c>
      <c r="L52" s="152" t="str">
        <f t="shared" si="49"/>
        <v>#DIV/0!</v>
      </c>
      <c r="M52" s="126">
        <v>17900.0</v>
      </c>
      <c r="N52" s="131">
        <f t="shared" si="50"/>
        <v>716000</v>
      </c>
    </row>
    <row r="53">
      <c r="A53" s="304">
        <v>45897.0</v>
      </c>
      <c r="B53" s="156" t="s">
        <v>16</v>
      </c>
      <c r="C53" s="149">
        <v>135663.0</v>
      </c>
      <c r="D53" s="149">
        <v>136135.0</v>
      </c>
      <c r="E53" s="12">
        <f t="shared" si="45"/>
        <v>472</v>
      </c>
      <c r="F53" s="161">
        <v>30.0</v>
      </c>
      <c r="G53" s="14">
        <f t="shared" si="46"/>
        <v>6.355932203</v>
      </c>
      <c r="H53" s="149"/>
      <c r="I53" s="151"/>
      <c r="J53" s="149"/>
      <c r="K53" s="41">
        <f t="shared" si="48"/>
        <v>30</v>
      </c>
      <c r="L53" s="152" t="str">
        <f t="shared" si="49"/>
        <v>#DIV/0!</v>
      </c>
      <c r="M53" s="153">
        <v>18350.0</v>
      </c>
      <c r="N53" s="131">
        <f t="shared" si="50"/>
        <v>550500</v>
      </c>
      <c r="R53" s="80" t="str">
        <f t="shared" ref="R53:R155" si="51">Q53</f>
        <v/>
      </c>
    </row>
    <row r="54">
      <c r="A54" s="304">
        <v>45899.0</v>
      </c>
      <c r="B54" s="99" t="s">
        <v>16</v>
      </c>
      <c r="C54" s="149"/>
      <c r="D54" s="149"/>
      <c r="E54" s="25">
        <f t="shared" si="45"/>
        <v>0</v>
      </c>
      <c r="F54" s="161">
        <v>33.0</v>
      </c>
      <c r="G54" s="56" t="str">
        <f t="shared" si="46"/>
        <v>#DIV/0!</v>
      </c>
      <c r="H54" s="149"/>
      <c r="I54" s="151"/>
      <c r="J54" s="149">
        <f>I54-H54</f>
        <v>0</v>
      </c>
      <c r="K54" s="149">
        <f t="shared" si="48"/>
        <v>33</v>
      </c>
      <c r="L54" s="152" t="str">
        <f t="shared" si="49"/>
        <v>#DIV/0!</v>
      </c>
      <c r="M54" s="153">
        <v>18350.0</v>
      </c>
      <c r="N54" s="135">
        <f t="shared" si="50"/>
        <v>605550</v>
      </c>
      <c r="R54" s="80" t="str">
        <f t="shared" si="51"/>
        <v/>
      </c>
    </row>
    <row r="55">
      <c r="A55" s="62"/>
      <c r="B55" s="63"/>
      <c r="C55" s="62"/>
      <c r="D55" s="64" t="s">
        <v>19</v>
      </c>
      <c r="E55" s="64">
        <f t="shared" ref="E55:F55" si="52">sum(E45:E54)</f>
        <v>2677</v>
      </c>
      <c r="F55" s="64">
        <f t="shared" si="52"/>
        <v>354</v>
      </c>
      <c r="G55" s="65" t="str">
        <f>average(G45:G54)</f>
        <v>#DIV/0!</v>
      </c>
      <c r="H55" s="62"/>
      <c r="I55" s="66"/>
      <c r="J55" s="64">
        <f t="shared" ref="J55:K55" si="53">sum(J45:J54)</f>
        <v>0</v>
      </c>
      <c r="K55" s="64">
        <f t="shared" si="53"/>
        <v>354</v>
      </c>
      <c r="L55" s="65" t="str">
        <f>average(L45:L54)</f>
        <v>#DIV/0!</v>
      </c>
      <c r="M55" s="68"/>
      <c r="N55" s="69">
        <f>sum(N45:N54)</f>
        <v>6518410</v>
      </c>
      <c r="R55" s="80" t="str">
        <f t="shared" si="51"/>
        <v/>
      </c>
    </row>
    <row r="56">
      <c r="A56" s="70">
        <v>45874.0</v>
      </c>
      <c r="B56" s="314" t="s">
        <v>18</v>
      </c>
      <c r="C56" s="149">
        <v>137966.0</v>
      </c>
      <c r="D56" s="41">
        <v>138721.0</v>
      </c>
      <c r="E56" s="38">
        <f t="shared" ref="E56:E63" si="54">D56-C56</f>
        <v>755</v>
      </c>
      <c r="F56" s="39">
        <v>53.0</v>
      </c>
      <c r="G56" s="14">
        <f t="shared" ref="G56:G63" si="55">(F56/E56)*100</f>
        <v>7.01986755</v>
      </c>
      <c r="H56" s="315"/>
      <c r="I56" s="138"/>
      <c r="J56" s="41">
        <f t="shared" ref="J56:J63" si="56">I56-H56</f>
        <v>0</v>
      </c>
      <c r="K56" s="41">
        <f t="shared" ref="K56:K63" si="57">F56</f>
        <v>53</v>
      </c>
      <c r="L56" s="152" t="str">
        <f t="shared" ref="L56:L63" si="58">(K56/J56)*100</f>
        <v>#DIV/0!</v>
      </c>
      <c r="M56" s="72">
        <v>19060.0</v>
      </c>
      <c r="N56" s="44">
        <f t="shared" ref="N56:N63" si="59">F56*M56</f>
        <v>1010180</v>
      </c>
      <c r="R56" s="80" t="str">
        <f t="shared" si="51"/>
        <v/>
      </c>
    </row>
    <row r="57">
      <c r="A57" s="154">
        <v>45878.0</v>
      </c>
      <c r="B57" s="156" t="s">
        <v>18</v>
      </c>
      <c r="C57" s="89">
        <v>138721.0</v>
      </c>
      <c r="D57" s="89">
        <v>139108.0</v>
      </c>
      <c r="E57" s="12">
        <f t="shared" si="54"/>
        <v>387</v>
      </c>
      <c r="F57" s="157">
        <v>46.0</v>
      </c>
      <c r="G57" s="14">
        <f t="shared" si="55"/>
        <v>11.88630491</v>
      </c>
      <c r="H57" s="89"/>
      <c r="I57" s="137"/>
      <c r="J57" s="89">
        <f t="shared" si="56"/>
        <v>0</v>
      </c>
      <c r="K57" s="89">
        <f t="shared" si="57"/>
        <v>46</v>
      </c>
      <c r="L57" s="152" t="str">
        <f t="shared" si="58"/>
        <v>#DIV/0!</v>
      </c>
      <c r="M57" s="126">
        <v>18800.0</v>
      </c>
      <c r="N57" s="131">
        <f t="shared" si="59"/>
        <v>864800</v>
      </c>
      <c r="R57" s="80" t="str">
        <f t="shared" si="51"/>
        <v/>
      </c>
    </row>
    <row r="58">
      <c r="A58" s="154">
        <v>45882.0</v>
      </c>
      <c r="B58" s="156" t="s">
        <v>18</v>
      </c>
      <c r="C58" s="89">
        <v>139108.0</v>
      </c>
      <c r="D58" s="89">
        <v>139450.0</v>
      </c>
      <c r="E58" s="12">
        <f t="shared" si="54"/>
        <v>342</v>
      </c>
      <c r="F58" s="157">
        <v>44.0</v>
      </c>
      <c r="G58" s="14">
        <f t="shared" si="55"/>
        <v>12.86549708</v>
      </c>
      <c r="H58" s="89"/>
      <c r="I58" s="137"/>
      <c r="J58" s="89">
        <f t="shared" si="56"/>
        <v>0</v>
      </c>
      <c r="K58" s="89">
        <f t="shared" si="57"/>
        <v>44</v>
      </c>
      <c r="L58" s="152" t="str">
        <f t="shared" si="58"/>
        <v>#DIV/0!</v>
      </c>
      <c r="M58" s="126">
        <v>18800.0</v>
      </c>
      <c r="N58" s="131">
        <f t="shared" si="59"/>
        <v>827200</v>
      </c>
      <c r="R58" s="80" t="str">
        <f t="shared" si="51"/>
        <v/>
      </c>
    </row>
    <row r="59">
      <c r="A59" s="154">
        <v>45885.0</v>
      </c>
      <c r="B59" s="156" t="s">
        <v>18</v>
      </c>
      <c r="C59" s="89">
        <v>139450.0</v>
      </c>
      <c r="D59" s="89">
        <v>139771.0</v>
      </c>
      <c r="E59" s="12">
        <f t="shared" si="54"/>
        <v>321</v>
      </c>
      <c r="F59" s="157">
        <v>42.0</v>
      </c>
      <c r="G59" s="14">
        <f t="shared" si="55"/>
        <v>13.08411215</v>
      </c>
      <c r="H59" s="89"/>
      <c r="I59" s="137"/>
      <c r="J59" s="89">
        <f t="shared" si="56"/>
        <v>0</v>
      </c>
      <c r="K59" s="89">
        <f t="shared" si="57"/>
        <v>42</v>
      </c>
      <c r="L59" s="152" t="str">
        <f t="shared" si="58"/>
        <v>#DIV/0!</v>
      </c>
      <c r="M59" s="126">
        <v>18070.0</v>
      </c>
      <c r="N59" s="131">
        <f t="shared" si="59"/>
        <v>758940</v>
      </c>
      <c r="R59" s="80" t="str">
        <f t="shared" si="51"/>
        <v/>
      </c>
    </row>
    <row r="60">
      <c r="A60" s="154">
        <v>45888.0</v>
      </c>
      <c r="B60" s="156" t="s">
        <v>18</v>
      </c>
      <c r="C60" s="89">
        <v>139771.0</v>
      </c>
      <c r="D60" s="89">
        <v>140137.0</v>
      </c>
      <c r="E60" s="12">
        <f t="shared" si="54"/>
        <v>366</v>
      </c>
      <c r="F60" s="157">
        <v>45.0</v>
      </c>
      <c r="G60" s="14">
        <f t="shared" si="55"/>
        <v>12.29508197</v>
      </c>
      <c r="H60" s="89"/>
      <c r="I60" s="137"/>
      <c r="J60" s="89">
        <f t="shared" si="56"/>
        <v>0</v>
      </c>
      <c r="K60" s="89">
        <f t="shared" si="57"/>
        <v>45</v>
      </c>
      <c r="L60" s="152" t="str">
        <f t="shared" si="58"/>
        <v>#DIV/0!</v>
      </c>
      <c r="M60" s="126">
        <v>18070.0</v>
      </c>
      <c r="N60" s="131">
        <f t="shared" si="59"/>
        <v>813150</v>
      </c>
      <c r="R60" s="80" t="str">
        <f t="shared" si="51"/>
        <v/>
      </c>
    </row>
    <row r="61">
      <c r="A61" s="154">
        <v>45892.0</v>
      </c>
      <c r="B61" s="156" t="s">
        <v>18</v>
      </c>
      <c r="C61" s="89">
        <v>140137.0</v>
      </c>
      <c r="D61" s="89">
        <v>140421.0</v>
      </c>
      <c r="E61" s="53">
        <f t="shared" si="54"/>
        <v>284</v>
      </c>
      <c r="F61" s="157">
        <v>40.0</v>
      </c>
      <c r="G61" s="14">
        <f t="shared" si="55"/>
        <v>14.08450704</v>
      </c>
      <c r="H61" s="89"/>
      <c r="I61" s="137"/>
      <c r="J61" s="89">
        <f t="shared" si="56"/>
        <v>0</v>
      </c>
      <c r="K61" s="89">
        <f t="shared" si="57"/>
        <v>40</v>
      </c>
      <c r="L61" s="152" t="str">
        <f t="shared" si="58"/>
        <v>#DIV/0!</v>
      </c>
      <c r="M61" s="126">
        <v>17900.0</v>
      </c>
      <c r="N61" s="131">
        <f t="shared" si="59"/>
        <v>716000</v>
      </c>
      <c r="R61" s="80" t="str">
        <f t="shared" si="51"/>
        <v/>
      </c>
    </row>
    <row r="62">
      <c r="A62" s="316">
        <v>45897.0</v>
      </c>
      <c r="B62" s="156" t="s">
        <v>18</v>
      </c>
      <c r="C62" s="89">
        <v>140421.0</v>
      </c>
      <c r="D62" s="149">
        <v>140768.0</v>
      </c>
      <c r="E62" s="53">
        <f t="shared" si="54"/>
        <v>347</v>
      </c>
      <c r="F62" s="161">
        <v>47.0</v>
      </c>
      <c r="G62" s="14">
        <f t="shared" si="55"/>
        <v>13.54466859</v>
      </c>
      <c r="H62" s="149"/>
      <c r="I62" s="315"/>
      <c r="J62" s="89">
        <f t="shared" si="56"/>
        <v>0</v>
      </c>
      <c r="K62" s="89">
        <f t="shared" si="57"/>
        <v>47</v>
      </c>
      <c r="L62" s="152" t="str">
        <f t="shared" si="58"/>
        <v>#DIV/0!</v>
      </c>
      <c r="M62" s="126">
        <v>18350.0</v>
      </c>
      <c r="N62" s="131">
        <f t="shared" si="59"/>
        <v>862450</v>
      </c>
      <c r="R62" s="80" t="str">
        <f t="shared" si="51"/>
        <v/>
      </c>
    </row>
    <row r="63">
      <c r="A63" s="317">
        <v>45900.0</v>
      </c>
      <c r="B63" s="318" t="s">
        <v>18</v>
      </c>
      <c r="C63" s="319"/>
      <c r="D63" s="149"/>
      <c r="E63" s="25">
        <f t="shared" si="54"/>
        <v>0</v>
      </c>
      <c r="F63" s="161">
        <v>42.0</v>
      </c>
      <c r="G63" s="56" t="str">
        <f t="shared" si="55"/>
        <v>#DIV/0!</v>
      </c>
      <c r="H63" s="149"/>
      <c r="I63" s="315"/>
      <c r="J63" s="149">
        <f t="shared" si="56"/>
        <v>0</v>
      </c>
      <c r="K63" s="149">
        <f t="shared" si="57"/>
        <v>42</v>
      </c>
      <c r="L63" s="152" t="str">
        <f t="shared" si="58"/>
        <v>#DIV/0!</v>
      </c>
      <c r="M63" s="153">
        <v>18350.0</v>
      </c>
      <c r="N63" s="135">
        <f t="shared" si="59"/>
        <v>770700</v>
      </c>
      <c r="R63" s="80" t="str">
        <f t="shared" si="51"/>
        <v/>
      </c>
    </row>
    <row r="64">
      <c r="A64" s="62"/>
      <c r="B64" s="63"/>
      <c r="C64" s="62"/>
      <c r="D64" s="64" t="s">
        <v>19</v>
      </c>
      <c r="E64" s="64">
        <f t="shared" ref="E64:F64" si="60">sum(E56:E63)</f>
        <v>2802</v>
      </c>
      <c r="F64" s="64">
        <f t="shared" si="60"/>
        <v>359</v>
      </c>
      <c r="G64" s="65" t="str">
        <f>average(G56:G63)</f>
        <v>#DIV/0!</v>
      </c>
      <c r="H64" s="62"/>
      <c r="I64" s="66"/>
      <c r="J64" s="64">
        <f t="shared" ref="J64:K64" si="61">sum(J56:J63)</f>
        <v>0</v>
      </c>
      <c r="K64" s="64">
        <f t="shared" si="61"/>
        <v>359</v>
      </c>
      <c r="L64" s="65" t="str">
        <f>average(L56:L63)</f>
        <v>#DIV/0!</v>
      </c>
      <c r="M64" s="68"/>
      <c r="N64" s="69">
        <f>sum(N56:N63)</f>
        <v>6623420</v>
      </c>
      <c r="R64" s="80" t="str">
        <f t="shared" si="51"/>
        <v/>
      </c>
    </row>
    <row r="65">
      <c r="A65" s="70">
        <v>45871.0</v>
      </c>
      <c r="B65" s="302" t="s">
        <v>20</v>
      </c>
      <c r="C65" s="89">
        <v>383938.0</v>
      </c>
      <c r="D65" s="41">
        <v>384681.0</v>
      </c>
      <c r="E65" s="38">
        <f t="shared" ref="E65:E71" si="62">D65-C65</f>
        <v>743</v>
      </c>
      <c r="F65" s="39">
        <v>92.0</v>
      </c>
      <c r="G65" s="14">
        <f t="shared" ref="G65:G71" si="63">(F65/E65)*100</f>
        <v>12.38223419</v>
      </c>
      <c r="H65" s="137"/>
      <c r="I65" s="138">
        <v>18582.0</v>
      </c>
      <c r="J65" s="41">
        <f t="shared" ref="J65:J71" si="64">I65-H65</f>
        <v>18582</v>
      </c>
      <c r="K65" s="41">
        <f t="shared" ref="K65:K71" si="65">F65</f>
        <v>92</v>
      </c>
      <c r="L65" s="152">
        <f t="shared" ref="L65:L71" si="66">(K65/J65)*100</f>
        <v>0.4951027876</v>
      </c>
      <c r="M65" s="72">
        <v>19060.0</v>
      </c>
      <c r="N65" s="44">
        <f t="shared" ref="N65:N71" si="67">F65*M65</f>
        <v>1753520</v>
      </c>
      <c r="R65" s="80" t="str">
        <f t="shared" si="51"/>
        <v/>
      </c>
    </row>
    <row r="66">
      <c r="A66" s="154">
        <v>45878.0</v>
      </c>
      <c r="B66" s="156" t="s">
        <v>20</v>
      </c>
      <c r="C66" s="89">
        <v>384681.0</v>
      </c>
      <c r="D66" s="89">
        <v>385273.0</v>
      </c>
      <c r="E66" s="12">
        <f t="shared" si="62"/>
        <v>592</v>
      </c>
      <c r="F66" s="157">
        <v>70.0</v>
      </c>
      <c r="G66" s="14">
        <f t="shared" si="63"/>
        <v>11.82432432</v>
      </c>
      <c r="H66" s="89"/>
      <c r="I66" s="137"/>
      <c r="J66" s="89">
        <f t="shared" si="64"/>
        <v>0</v>
      </c>
      <c r="K66" s="41">
        <f t="shared" si="65"/>
        <v>70</v>
      </c>
      <c r="L66" s="152" t="str">
        <f t="shared" si="66"/>
        <v>#DIV/0!</v>
      </c>
      <c r="M66" s="126">
        <v>18800.0</v>
      </c>
      <c r="N66" s="131">
        <f t="shared" si="67"/>
        <v>1316000</v>
      </c>
      <c r="R66" s="80" t="str">
        <f t="shared" si="51"/>
        <v/>
      </c>
    </row>
    <row r="67">
      <c r="A67" s="154">
        <v>45886.0</v>
      </c>
      <c r="B67" s="156" t="s">
        <v>20</v>
      </c>
      <c r="C67" s="89">
        <v>385273.0</v>
      </c>
      <c r="D67" s="89">
        <v>386020.0</v>
      </c>
      <c r="E67" s="12">
        <f t="shared" si="62"/>
        <v>747</v>
      </c>
      <c r="F67" s="157">
        <v>88.0</v>
      </c>
      <c r="G67" s="14">
        <f t="shared" si="63"/>
        <v>11.78045515</v>
      </c>
      <c r="H67" s="89"/>
      <c r="I67" s="137"/>
      <c r="J67" s="89">
        <f t="shared" si="64"/>
        <v>0</v>
      </c>
      <c r="K67" s="268">
        <f t="shared" si="65"/>
        <v>88</v>
      </c>
      <c r="L67" s="152" t="str">
        <f t="shared" si="66"/>
        <v>#DIV/0!</v>
      </c>
      <c r="M67" s="126">
        <v>18070.0</v>
      </c>
      <c r="N67" s="131">
        <f t="shared" si="67"/>
        <v>1590160</v>
      </c>
      <c r="R67" s="80" t="str">
        <f t="shared" si="51"/>
        <v/>
      </c>
    </row>
    <row r="68">
      <c r="A68" s="154">
        <v>45892.0</v>
      </c>
      <c r="B68" s="156" t="s">
        <v>20</v>
      </c>
      <c r="C68" s="89">
        <v>386020.0</v>
      </c>
      <c r="D68" s="89">
        <v>386579.0</v>
      </c>
      <c r="E68" s="12">
        <f t="shared" si="62"/>
        <v>559</v>
      </c>
      <c r="F68" s="157">
        <v>69.0</v>
      </c>
      <c r="G68" s="14">
        <f t="shared" si="63"/>
        <v>12.34347048</v>
      </c>
      <c r="H68" s="89"/>
      <c r="I68" s="137"/>
      <c r="J68" s="89">
        <f t="shared" si="64"/>
        <v>0</v>
      </c>
      <c r="K68" s="89">
        <f t="shared" si="65"/>
        <v>69</v>
      </c>
      <c r="L68" s="152" t="str">
        <f t="shared" si="66"/>
        <v>#DIV/0!</v>
      </c>
      <c r="M68" s="126">
        <v>17900.0</v>
      </c>
      <c r="N68" s="131">
        <f t="shared" si="67"/>
        <v>1235100</v>
      </c>
      <c r="R68" s="80" t="str">
        <f t="shared" si="51"/>
        <v/>
      </c>
    </row>
    <row r="69">
      <c r="A69" s="154"/>
      <c r="B69" s="156" t="s">
        <v>20</v>
      </c>
      <c r="C69" s="89"/>
      <c r="D69" s="89"/>
      <c r="E69" s="12">
        <f t="shared" si="62"/>
        <v>0</v>
      </c>
      <c r="F69" s="157"/>
      <c r="G69" s="14" t="str">
        <f t="shared" si="63"/>
        <v>#DIV/0!</v>
      </c>
      <c r="H69" s="89"/>
      <c r="I69" s="137"/>
      <c r="J69" s="89">
        <f t="shared" si="64"/>
        <v>0</v>
      </c>
      <c r="K69" s="89" t="str">
        <f t="shared" si="65"/>
        <v/>
      </c>
      <c r="L69" s="152" t="str">
        <f t="shared" si="66"/>
        <v>#DIV/0!</v>
      </c>
      <c r="M69" s="126"/>
      <c r="N69" s="131">
        <f t="shared" si="67"/>
        <v>0</v>
      </c>
      <c r="R69" s="80" t="str">
        <f t="shared" si="51"/>
        <v/>
      </c>
    </row>
    <row r="70">
      <c r="A70" s="320"/>
      <c r="B70" s="99" t="s">
        <v>20</v>
      </c>
      <c r="C70" s="89"/>
      <c r="D70" s="158"/>
      <c r="E70" s="12">
        <f t="shared" si="62"/>
        <v>0</v>
      </c>
      <c r="F70" s="321"/>
      <c r="G70" s="14" t="str">
        <f t="shared" si="63"/>
        <v>#DIV/0!</v>
      </c>
      <c r="H70" s="89"/>
      <c r="I70" s="159"/>
      <c r="J70" s="89">
        <f t="shared" si="64"/>
        <v>0</v>
      </c>
      <c r="K70" s="89" t="str">
        <f t="shared" si="65"/>
        <v/>
      </c>
      <c r="L70" s="152" t="str">
        <f t="shared" si="66"/>
        <v>#DIV/0!</v>
      </c>
      <c r="M70" s="322"/>
      <c r="N70" s="131">
        <f t="shared" si="67"/>
        <v>0</v>
      </c>
      <c r="R70" s="80" t="str">
        <f t="shared" si="51"/>
        <v/>
      </c>
    </row>
    <row r="71">
      <c r="A71" s="305"/>
      <c r="B71" s="323"/>
      <c r="C71" s="149"/>
      <c r="D71" s="150"/>
      <c r="E71" s="25">
        <f t="shared" si="62"/>
        <v>0</v>
      </c>
      <c r="F71" s="307"/>
      <c r="G71" s="56" t="str">
        <f t="shared" si="63"/>
        <v>#DIV/0!</v>
      </c>
      <c r="H71" s="149"/>
      <c r="I71" s="151"/>
      <c r="J71" s="149">
        <f t="shared" si="64"/>
        <v>0</v>
      </c>
      <c r="K71" s="149" t="str">
        <f t="shared" si="65"/>
        <v/>
      </c>
      <c r="L71" s="152" t="str">
        <f t="shared" si="66"/>
        <v>#DIV/0!</v>
      </c>
      <c r="M71" s="308"/>
      <c r="N71" s="135">
        <f t="shared" si="67"/>
        <v>0</v>
      </c>
      <c r="R71" s="80" t="str">
        <f t="shared" si="51"/>
        <v/>
      </c>
    </row>
    <row r="72">
      <c r="A72" s="62"/>
      <c r="B72" s="63"/>
      <c r="C72" s="62"/>
      <c r="D72" s="64" t="s">
        <v>19</v>
      </c>
      <c r="E72" s="64">
        <f t="shared" ref="E72:F72" si="68">sum(E65:E71)</f>
        <v>2641</v>
      </c>
      <c r="F72" s="64">
        <f t="shared" si="68"/>
        <v>319</v>
      </c>
      <c r="G72" s="65" t="str">
        <f>average(G65:G71)</f>
        <v>#DIV/0!</v>
      </c>
      <c r="H72" s="62"/>
      <c r="I72" s="66"/>
      <c r="J72" s="64">
        <f t="shared" ref="J72:K72" si="69">sum(J65:J71)</f>
        <v>18582</v>
      </c>
      <c r="K72" s="64">
        <f t="shared" si="69"/>
        <v>319</v>
      </c>
      <c r="L72" s="65" t="str">
        <f>average(L65:L71)</f>
        <v>#DIV/0!</v>
      </c>
      <c r="M72" s="68"/>
      <c r="N72" s="69">
        <f>sum(N65:N71)</f>
        <v>5894780</v>
      </c>
      <c r="R72" s="80" t="str">
        <f t="shared" si="51"/>
        <v/>
      </c>
    </row>
    <row r="73">
      <c r="A73" s="91">
        <v>45874.0</v>
      </c>
      <c r="B73" s="302" t="s">
        <v>21</v>
      </c>
      <c r="C73" s="89">
        <v>366021.0</v>
      </c>
      <c r="D73" s="41">
        <v>366604.0</v>
      </c>
      <c r="E73" s="38">
        <f t="shared" ref="E73:E79" si="70">D73-C73</f>
        <v>583</v>
      </c>
      <c r="F73" s="39">
        <v>75.0</v>
      </c>
      <c r="G73" s="14">
        <f t="shared" ref="G73:G79" si="71">(F73/E73)*100</f>
        <v>12.864494</v>
      </c>
      <c r="H73" s="137"/>
      <c r="I73" s="137"/>
      <c r="J73" s="41">
        <f t="shared" ref="J73:J79" si="72">I73-H73</f>
        <v>0</v>
      </c>
      <c r="K73" s="89">
        <f t="shared" ref="K73:K79" si="73">F73</f>
        <v>75</v>
      </c>
      <c r="L73" s="152" t="str">
        <f t="shared" ref="L73:L79" si="74">(K73/J73)*100</f>
        <v>#DIV/0!</v>
      </c>
      <c r="M73" s="72">
        <v>19060.0</v>
      </c>
      <c r="N73" s="44">
        <f t="shared" ref="N73:N79" si="75">F73*M73</f>
        <v>1429500</v>
      </c>
      <c r="R73" s="80" t="str">
        <f t="shared" si="51"/>
        <v/>
      </c>
    </row>
    <row r="74">
      <c r="A74" s="154">
        <v>45880.0</v>
      </c>
      <c r="B74" s="156" t="s">
        <v>21</v>
      </c>
      <c r="C74" s="41">
        <v>366604.0</v>
      </c>
      <c r="D74" s="89">
        <v>367187.0</v>
      </c>
      <c r="E74" s="12">
        <f t="shared" si="70"/>
        <v>583</v>
      </c>
      <c r="F74" s="157">
        <v>75.0</v>
      </c>
      <c r="G74" s="14">
        <f t="shared" si="71"/>
        <v>12.864494</v>
      </c>
      <c r="H74" s="89"/>
      <c r="I74" s="137"/>
      <c r="J74" s="89">
        <f t="shared" si="72"/>
        <v>0</v>
      </c>
      <c r="K74" s="89">
        <f t="shared" si="73"/>
        <v>75</v>
      </c>
      <c r="L74" s="152" t="str">
        <f t="shared" si="74"/>
        <v>#DIV/0!</v>
      </c>
      <c r="M74" s="126">
        <v>18800.0</v>
      </c>
      <c r="N74" s="131">
        <f t="shared" si="75"/>
        <v>1410000</v>
      </c>
      <c r="R74" s="80" t="str">
        <f t="shared" si="51"/>
        <v/>
      </c>
    </row>
    <row r="75">
      <c r="A75" s="154">
        <v>45884.0</v>
      </c>
      <c r="B75" s="156" t="s">
        <v>21</v>
      </c>
      <c r="C75" s="89">
        <v>367187.0</v>
      </c>
      <c r="D75" s="89">
        <v>367751.0</v>
      </c>
      <c r="E75" s="12">
        <f t="shared" si="70"/>
        <v>564</v>
      </c>
      <c r="F75" s="157">
        <v>74.915</v>
      </c>
      <c r="G75" s="14">
        <f t="shared" si="71"/>
        <v>13.28280142</v>
      </c>
      <c r="H75" s="89"/>
      <c r="I75" s="137"/>
      <c r="J75" s="89">
        <f t="shared" si="72"/>
        <v>0</v>
      </c>
      <c r="K75" s="89">
        <f t="shared" si="73"/>
        <v>74.915</v>
      </c>
      <c r="L75" s="152" t="str">
        <f t="shared" si="74"/>
        <v>#DIV/0!</v>
      </c>
      <c r="M75" s="126">
        <v>18070.0</v>
      </c>
      <c r="N75" s="131">
        <f t="shared" si="75"/>
        <v>1353714.05</v>
      </c>
      <c r="R75" s="80" t="str">
        <f t="shared" si="51"/>
        <v/>
      </c>
    </row>
    <row r="76">
      <c r="A76" s="324">
        <v>45894.0</v>
      </c>
      <c r="B76" s="156" t="s">
        <v>21</v>
      </c>
      <c r="C76" s="89">
        <v>367751.0</v>
      </c>
      <c r="D76" s="89">
        <v>368349.0</v>
      </c>
      <c r="E76" s="12">
        <f t="shared" si="70"/>
        <v>598</v>
      </c>
      <c r="F76" s="157">
        <v>75.0</v>
      </c>
      <c r="G76" s="14">
        <f t="shared" si="71"/>
        <v>12.54180602</v>
      </c>
      <c r="H76" s="89"/>
      <c r="I76" s="137"/>
      <c r="J76" s="89">
        <f t="shared" si="72"/>
        <v>0</v>
      </c>
      <c r="K76" s="89">
        <f t="shared" si="73"/>
        <v>75</v>
      </c>
      <c r="L76" s="152" t="str">
        <f t="shared" si="74"/>
        <v>#DIV/0!</v>
      </c>
      <c r="M76" s="126">
        <v>17900.0</v>
      </c>
      <c r="N76" s="131">
        <f t="shared" si="75"/>
        <v>1342500</v>
      </c>
      <c r="R76" s="80" t="str">
        <f t="shared" si="51"/>
        <v/>
      </c>
    </row>
    <row r="77">
      <c r="A77" s="154"/>
      <c r="B77" s="156" t="s">
        <v>21</v>
      </c>
      <c r="C77" s="89"/>
      <c r="D77" s="89"/>
      <c r="E77" s="12">
        <f t="shared" si="70"/>
        <v>0</v>
      </c>
      <c r="F77" s="157"/>
      <c r="G77" s="14" t="str">
        <f t="shared" si="71"/>
        <v>#DIV/0!</v>
      </c>
      <c r="H77" s="89"/>
      <c r="I77" s="137"/>
      <c r="J77" s="89">
        <f t="shared" si="72"/>
        <v>0</v>
      </c>
      <c r="K77" s="89" t="str">
        <f t="shared" si="73"/>
        <v/>
      </c>
      <c r="L77" s="152" t="str">
        <f t="shared" si="74"/>
        <v>#DIV/0!</v>
      </c>
      <c r="M77" s="126"/>
      <c r="N77" s="131">
        <f t="shared" si="75"/>
        <v>0</v>
      </c>
      <c r="R77" s="80" t="str">
        <f t="shared" si="51"/>
        <v/>
      </c>
    </row>
    <row r="78">
      <c r="A78" s="155"/>
      <c r="B78" s="99" t="s">
        <v>37</v>
      </c>
      <c r="C78" s="89"/>
      <c r="D78" s="89"/>
      <c r="E78" s="12">
        <f t="shared" si="70"/>
        <v>0</v>
      </c>
      <c r="F78" s="157"/>
      <c r="G78" s="14" t="str">
        <f t="shared" si="71"/>
        <v>#DIV/0!</v>
      </c>
      <c r="H78" s="89"/>
      <c r="I78" s="159"/>
      <c r="J78" s="89">
        <f t="shared" si="72"/>
        <v>0</v>
      </c>
      <c r="K78" s="89" t="str">
        <f t="shared" si="73"/>
        <v/>
      </c>
      <c r="L78" s="152" t="str">
        <f t="shared" si="74"/>
        <v>#DIV/0!</v>
      </c>
      <c r="M78" s="126"/>
      <c r="N78" s="131">
        <f t="shared" si="75"/>
        <v>0</v>
      </c>
      <c r="R78" s="80" t="str">
        <f t="shared" si="51"/>
        <v/>
      </c>
    </row>
    <row r="79">
      <c r="A79" s="305"/>
      <c r="B79" s="323"/>
      <c r="C79" s="149"/>
      <c r="D79" s="150"/>
      <c r="E79" s="25">
        <f t="shared" si="70"/>
        <v>0</v>
      </c>
      <c r="F79" s="307"/>
      <c r="G79" s="56" t="str">
        <f t="shared" si="71"/>
        <v>#DIV/0!</v>
      </c>
      <c r="H79" s="149"/>
      <c r="I79" s="151"/>
      <c r="J79" s="149">
        <f t="shared" si="72"/>
        <v>0</v>
      </c>
      <c r="K79" s="149" t="str">
        <f t="shared" si="73"/>
        <v/>
      </c>
      <c r="L79" s="152" t="str">
        <f t="shared" si="74"/>
        <v>#DIV/0!</v>
      </c>
      <c r="M79" s="308"/>
      <c r="N79" s="135">
        <f t="shared" si="75"/>
        <v>0</v>
      </c>
      <c r="R79" s="80" t="str">
        <f t="shared" si="51"/>
        <v/>
      </c>
    </row>
    <row r="80">
      <c r="A80" s="62"/>
      <c r="B80" s="63"/>
      <c r="C80" s="62"/>
      <c r="D80" s="64" t="s">
        <v>19</v>
      </c>
      <c r="E80" s="64">
        <f t="shared" ref="E80:F80" si="76">sum(E73:E79)</f>
        <v>2328</v>
      </c>
      <c r="F80" s="64">
        <f t="shared" si="76"/>
        <v>299.915</v>
      </c>
      <c r="G80" s="65" t="str">
        <f>average(G73:G79)</f>
        <v>#DIV/0!</v>
      </c>
      <c r="H80" s="62"/>
      <c r="I80" s="66"/>
      <c r="J80" s="64">
        <f t="shared" ref="J80:K80" si="77">sum(J73:J79)</f>
        <v>0</v>
      </c>
      <c r="K80" s="64">
        <f t="shared" si="77"/>
        <v>299.915</v>
      </c>
      <c r="L80" s="65" t="str">
        <f>average(L73:L79)</f>
        <v>#DIV/0!</v>
      </c>
      <c r="M80" s="68"/>
      <c r="N80" s="69">
        <f>sum(N73:N79)</f>
        <v>5535714.05</v>
      </c>
      <c r="R80" s="80" t="str">
        <f t="shared" si="51"/>
        <v/>
      </c>
    </row>
    <row r="81">
      <c r="A81" s="70">
        <v>45870.0</v>
      </c>
      <c r="B81" s="314" t="s">
        <v>22</v>
      </c>
      <c r="C81" s="89">
        <v>202122.0</v>
      </c>
      <c r="D81" s="41">
        <v>202770.0</v>
      </c>
      <c r="E81" s="38">
        <f t="shared" ref="E81:E87" si="78">D81-C81</f>
        <v>648</v>
      </c>
      <c r="F81" s="39">
        <v>79.0</v>
      </c>
      <c r="G81" s="14">
        <f t="shared" ref="G81:G87" si="79">(F81/E81)*100</f>
        <v>12.19135802</v>
      </c>
      <c r="H81" s="315"/>
      <c r="I81" s="138"/>
      <c r="J81" s="41">
        <f t="shared" ref="J81:J87" si="80">I81-H81</f>
        <v>0</v>
      </c>
      <c r="K81" s="41">
        <f t="shared" ref="K81:K87" si="81">F81</f>
        <v>79</v>
      </c>
      <c r="L81" s="152" t="str">
        <f t="shared" ref="L81:L87" si="82">(K81/J81)*100</f>
        <v>#DIV/0!</v>
      </c>
      <c r="M81" s="72">
        <v>19060.0</v>
      </c>
      <c r="N81" s="44">
        <f t="shared" ref="N81:N87" si="83">F81*M81</f>
        <v>1505740</v>
      </c>
      <c r="R81" s="80" t="str">
        <f t="shared" si="51"/>
        <v/>
      </c>
    </row>
    <row r="82">
      <c r="A82" s="154"/>
      <c r="B82" s="156" t="s">
        <v>22</v>
      </c>
      <c r="C82" s="89"/>
      <c r="D82" s="89"/>
      <c r="E82" s="12">
        <f t="shared" si="78"/>
        <v>0</v>
      </c>
      <c r="F82" s="157"/>
      <c r="G82" s="14" t="str">
        <f t="shared" si="79"/>
        <v>#DIV/0!</v>
      </c>
      <c r="H82" s="138"/>
      <c r="I82" s="138"/>
      <c r="J82" s="89">
        <f t="shared" si="80"/>
        <v>0</v>
      </c>
      <c r="K82" s="89" t="str">
        <f t="shared" si="81"/>
        <v/>
      </c>
      <c r="L82" s="152" t="str">
        <f t="shared" si="82"/>
        <v>#DIV/0!</v>
      </c>
      <c r="M82" s="126"/>
      <c r="N82" s="131">
        <f t="shared" si="83"/>
        <v>0</v>
      </c>
      <c r="R82" s="80" t="str">
        <f t="shared" si="51"/>
        <v/>
      </c>
    </row>
    <row r="83">
      <c r="A83" s="155"/>
      <c r="B83" s="156" t="s">
        <v>22</v>
      </c>
      <c r="C83" s="89"/>
      <c r="D83" s="89"/>
      <c r="E83" s="12">
        <f t="shared" si="78"/>
        <v>0</v>
      </c>
      <c r="F83" s="157"/>
      <c r="G83" s="14" t="str">
        <f t="shared" si="79"/>
        <v>#DIV/0!</v>
      </c>
      <c r="H83" s="89"/>
      <c r="I83" s="137"/>
      <c r="J83" s="89">
        <f t="shared" si="80"/>
        <v>0</v>
      </c>
      <c r="K83" s="89" t="str">
        <f t="shared" si="81"/>
        <v/>
      </c>
      <c r="L83" s="152" t="str">
        <f t="shared" si="82"/>
        <v>#DIV/0!</v>
      </c>
      <c r="M83" s="126"/>
      <c r="N83" s="131">
        <f t="shared" si="83"/>
        <v>0</v>
      </c>
      <c r="R83" s="80" t="str">
        <f t="shared" si="51"/>
        <v/>
      </c>
    </row>
    <row r="84">
      <c r="A84" s="154"/>
      <c r="B84" s="156" t="s">
        <v>22</v>
      </c>
      <c r="C84" s="89"/>
      <c r="D84" s="89"/>
      <c r="E84" s="12">
        <f t="shared" si="78"/>
        <v>0</v>
      </c>
      <c r="F84" s="157"/>
      <c r="G84" s="14" t="str">
        <f t="shared" si="79"/>
        <v>#DIV/0!</v>
      </c>
      <c r="H84" s="89"/>
      <c r="I84" s="137"/>
      <c r="J84" s="89">
        <f t="shared" si="80"/>
        <v>0</v>
      </c>
      <c r="K84" s="89" t="str">
        <f t="shared" si="81"/>
        <v/>
      </c>
      <c r="L84" s="152" t="str">
        <f t="shared" si="82"/>
        <v>#DIV/0!</v>
      </c>
      <c r="M84" s="126"/>
      <c r="N84" s="131">
        <f t="shared" si="83"/>
        <v>0</v>
      </c>
      <c r="R84" s="80" t="str">
        <f t="shared" si="51"/>
        <v/>
      </c>
    </row>
    <row r="85">
      <c r="A85" s="154"/>
      <c r="B85" s="156" t="s">
        <v>22</v>
      </c>
      <c r="C85" s="89"/>
      <c r="D85" s="89"/>
      <c r="E85" s="12">
        <f t="shared" si="78"/>
        <v>0</v>
      </c>
      <c r="F85" s="157"/>
      <c r="G85" s="14" t="str">
        <f t="shared" si="79"/>
        <v>#DIV/0!</v>
      </c>
      <c r="H85" s="89"/>
      <c r="I85" s="137"/>
      <c r="J85" s="89">
        <f t="shared" si="80"/>
        <v>0</v>
      </c>
      <c r="K85" s="89" t="str">
        <f t="shared" si="81"/>
        <v/>
      </c>
      <c r="L85" s="152" t="str">
        <f t="shared" si="82"/>
        <v>#DIV/0!</v>
      </c>
      <c r="M85" s="126"/>
      <c r="N85" s="131">
        <f t="shared" si="83"/>
        <v>0</v>
      </c>
      <c r="R85" s="80" t="str">
        <f t="shared" si="51"/>
        <v/>
      </c>
    </row>
    <row r="86">
      <c r="A86" s="304"/>
      <c r="B86" s="156" t="s">
        <v>22</v>
      </c>
      <c r="C86" s="89"/>
      <c r="D86" s="89"/>
      <c r="E86" s="12">
        <f t="shared" si="78"/>
        <v>0</v>
      </c>
      <c r="F86" s="157"/>
      <c r="G86" s="14" t="str">
        <f t="shared" si="79"/>
        <v>#DIV/0!</v>
      </c>
      <c r="H86" s="89"/>
      <c r="I86" s="159"/>
      <c r="J86" s="89">
        <f t="shared" si="80"/>
        <v>0</v>
      </c>
      <c r="K86" s="89" t="str">
        <f t="shared" si="81"/>
        <v/>
      </c>
      <c r="L86" s="152" t="str">
        <f t="shared" si="82"/>
        <v>#DIV/0!</v>
      </c>
      <c r="M86" s="126"/>
      <c r="N86" s="131">
        <f t="shared" si="83"/>
        <v>0</v>
      </c>
      <c r="R86" s="80" t="str">
        <f t="shared" si="51"/>
        <v/>
      </c>
    </row>
    <row r="87">
      <c r="A87" s="304"/>
      <c r="B87" s="306"/>
      <c r="C87" s="149"/>
      <c r="D87" s="150"/>
      <c r="E87" s="25">
        <f t="shared" si="78"/>
        <v>0</v>
      </c>
      <c r="F87" s="307"/>
      <c r="G87" s="56" t="str">
        <f t="shared" si="79"/>
        <v>#DIV/0!</v>
      </c>
      <c r="H87" s="149"/>
      <c r="I87" s="315"/>
      <c r="J87" s="149">
        <f t="shared" si="80"/>
        <v>0</v>
      </c>
      <c r="K87" s="149" t="str">
        <f t="shared" si="81"/>
        <v/>
      </c>
      <c r="L87" s="152" t="str">
        <f t="shared" si="82"/>
        <v>#DIV/0!</v>
      </c>
      <c r="M87" s="308"/>
      <c r="N87" s="135">
        <f t="shared" si="83"/>
        <v>0</v>
      </c>
      <c r="R87" s="80" t="str">
        <f t="shared" si="51"/>
        <v/>
      </c>
    </row>
    <row r="88">
      <c r="A88" s="62"/>
      <c r="B88" s="63"/>
      <c r="C88" s="62"/>
      <c r="D88" s="64" t="s">
        <v>19</v>
      </c>
      <c r="E88" s="64">
        <f t="shared" ref="E88:F88" si="84">sum(E81:E87)</f>
        <v>648</v>
      </c>
      <c r="F88" s="64">
        <f t="shared" si="84"/>
        <v>79</v>
      </c>
      <c r="G88" s="65" t="str">
        <f>average(G81:G87)</f>
        <v>#DIV/0!</v>
      </c>
      <c r="H88" s="62"/>
      <c r="I88" s="66"/>
      <c r="J88" s="64">
        <f t="shared" ref="J88:K88" si="85">sum(J81:J87)</f>
        <v>0</v>
      </c>
      <c r="K88" s="64">
        <f t="shared" si="85"/>
        <v>79</v>
      </c>
      <c r="L88" s="65" t="str">
        <f>average(L81:L87)</f>
        <v>#DIV/0!</v>
      </c>
      <c r="M88" s="68"/>
      <c r="N88" s="69">
        <f>sum(N81:N87)</f>
        <v>1505740</v>
      </c>
      <c r="R88" s="80" t="str">
        <f t="shared" si="51"/>
        <v/>
      </c>
    </row>
    <row r="89">
      <c r="A89" s="98">
        <v>45873.0</v>
      </c>
      <c r="B89" s="156" t="s">
        <v>38</v>
      </c>
      <c r="C89" s="278">
        <v>155845.0</v>
      </c>
      <c r="D89" s="41">
        <v>156407.0</v>
      </c>
      <c r="E89" s="38">
        <f t="shared" ref="E89:E94" si="86">D89-C89</f>
        <v>562</v>
      </c>
      <c r="F89" s="39">
        <v>70.0</v>
      </c>
      <c r="G89" s="14">
        <f t="shared" ref="G89:G94" si="87">(F89/E89)*100</f>
        <v>12.45551601</v>
      </c>
      <c r="H89" s="137"/>
      <c r="I89" s="138"/>
      <c r="J89" s="41">
        <f t="shared" ref="J89:J94" si="88">I89-H89</f>
        <v>0</v>
      </c>
      <c r="K89" s="41">
        <f t="shared" ref="K89:K94" si="89">F89</f>
        <v>70</v>
      </c>
      <c r="L89" s="152" t="str">
        <f t="shared" ref="L89:L94" si="90">(K89/J89)*100</f>
        <v>#DIV/0!</v>
      </c>
      <c r="M89" s="72">
        <v>19060.0</v>
      </c>
      <c r="N89" s="44">
        <f t="shared" ref="N89:N94" si="91">F89*M89</f>
        <v>1334200</v>
      </c>
      <c r="R89" s="80" t="str">
        <f t="shared" si="51"/>
        <v/>
      </c>
    </row>
    <row r="90">
      <c r="A90" s="155">
        <v>45877.0</v>
      </c>
      <c r="B90" s="156" t="s">
        <v>38</v>
      </c>
      <c r="C90" s="89">
        <v>156407.0</v>
      </c>
      <c r="D90" s="89">
        <v>156870.0</v>
      </c>
      <c r="E90" s="38">
        <f t="shared" si="86"/>
        <v>463</v>
      </c>
      <c r="F90" s="157">
        <v>60.0</v>
      </c>
      <c r="G90" s="14">
        <f t="shared" si="87"/>
        <v>12.95896328</v>
      </c>
      <c r="H90" s="89"/>
      <c r="I90" s="137"/>
      <c r="J90" s="89">
        <f t="shared" si="88"/>
        <v>0</v>
      </c>
      <c r="K90" s="89">
        <f t="shared" si="89"/>
        <v>60</v>
      </c>
      <c r="L90" s="152" t="str">
        <f t="shared" si="90"/>
        <v>#DIV/0!</v>
      </c>
      <c r="M90" s="50">
        <v>18800.0</v>
      </c>
      <c r="N90" s="49">
        <f t="shared" si="91"/>
        <v>1128000</v>
      </c>
      <c r="R90" s="80" t="str">
        <f t="shared" si="51"/>
        <v/>
      </c>
    </row>
    <row r="91">
      <c r="A91" s="155">
        <v>45884.0</v>
      </c>
      <c r="B91" s="306" t="s">
        <v>38</v>
      </c>
      <c r="C91" s="89">
        <v>156870.0</v>
      </c>
      <c r="D91" s="89">
        <v>157057.0</v>
      </c>
      <c r="E91" s="38">
        <f t="shared" si="86"/>
        <v>187</v>
      </c>
      <c r="F91" s="157">
        <v>77.0</v>
      </c>
      <c r="G91" s="14">
        <f t="shared" si="87"/>
        <v>41.17647059</v>
      </c>
      <c r="H91" s="89"/>
      <c r="I91" s="137"/>
      <c r="J91" s="89">
        <f t="shared" si="88"/>
        <v>0</v>
      </c>
      <c r="K91" s="89">
        <f t="shared" si="89"/>
        <v>77</v>
      </c>
      <c r="L91" s="152" t="str">
        <f t="shared" si="90"/>
        <v>#DIV/0!</v>
      </c>
      <c r="M91" s="50">
        <v>18070.0</v>
      </c>
      <c r="N91" s="49">
        <f t="shared" si="91"/>
        <v>1391390</v>
      </c>
      <c r="R91" s="80" t="str">
        <f t="shared" si="51"/>
        <v/>
      </c>
    </row>
    <row r="92">
      <c r="A92" s="8">
        <v>45890.0</v>
      </c>
      <c r="B92" s="156" t="s">
        <v>38</v>
      </c>
      <c r="C92" s="89">
        <v>157057.0</v>
      </c>
      <c r="D92" s="105">
        <v>158086.0</v>
      </c>
      <c r="E92" s="38">
        <f t="shared" si="86"/>
        <v>1029</v>
      </c>
      <c r="F92" s="157">
        <v>68.0</v>
      </c>
      <c r="G92" s="14">
        <f t="shared" si="87"/>
        <v>6.608357629</v>
      </c>
      <c r="H92" s="89"/>
      <c r="I92" s="137"/>
      <c r="J92" s="89">
        <f t="shared" si="88"/>
        <v>0</v>
      </c>
      <c r="K92" s="89">
        <f t="shared" si="89"/>
        <v>68</v>
      </c>
      <c r="L92" s="152" t="str">
        <f t="shared" si="90"/>
        <v>#DIV/0!</v>
      </c>
      <c r="M92" s="50">
        <v>18070.0</v>
      </c>
      <c r="N92" s="49">
        <f t="shared" si="91"/>
        <v>1228760</v>
      </c>
      <c r="R92" s="80" t="str">
        <f t="shared" si="51"/>
        <v/>
      </c>
    </row>
    <row r="93">
      <c r="A93" s="8">
        <v>45896.0</v>
      </c>
      <c r="B93" s="306" t="s">
        <v>38</v>
      </c>
      <c r="C93" s="105">
        <v>158086.0</v>
      </c>
      <c r="D93" s="197">
        <v>158665.0</v>
      </c>
      <c r="E93" s="38">
        <f t="shared" si="86"/>
        <v>579</v>
      </c>
      <c r="F93" s="157">
        <v>75.0</v>
      </c>
      <c r="G93" s="14">
        <f t="shared" si="87"/>
        <v>12.95336788</v>
      </c>
      <c r="H93" s="89"/>
      <c r="I93" s="137"/>
      <c r="J93" s="89">
        <f t="shared" si="88"/>
        <v>0</v>
      </c>
      <c r="K93" s="89">
        <f t="shared" si="89"/>
        <v>75</v>
      </c>
      <c r="L93" s="152" t="str">
        <f t="shared" si="90"/>
        <v>#DIV/0!</v>
      </c>
      <c r="M93" s="50">
        <v>17900.0</v>
      </c>
      <c r="N93" s="49">
        <f t="shared" si="91"/>
        <v>1342500</v>
      </c>
      <c r="R93" s="80" t="str">
        <f t="shared" si="51"/>
        <v/>
      </c>
    </row>
    <row r="94">
      <c r="A94" s="160"/>
      <c r="B94" s="325" t="s">
        <v>38</v>
      </c>
      <c r="C94" s="104"/>
      <c r="D94" s="105"/>
      <c r="E94" s="38">
        <f t="shared" si="86"/>
        <v>0</v>
      </c>
      <c r="F94" s="326"/>
      <c r="G94" s="106" t="str">
        <f t="shared" si="87"/>
        <v>#DIV/0!</v>
      </c>
      <c r="H94" s="327"/>
      <c r="I94" s="328"/>
      <c r="J94" s="327">
        <f t="shared" si="88"/>
        <v>0</v>
      </c>
      <c r="K94" s="327" t="str">
        <f t="shared" si="89"/>
        <v/>
      </c>
      <c r="L94" s="329" t="str">
        <f t="shared" si="90"/>
        <v>#DIV/0!</v>
      </c>
      <c r="M94" s="110"/>
      <c r="N94" s="111">
        <f t="shared" si="91"/>
        <v>0</v>
      </c>
      <c r="R94" s="80" t="str">
        <f t="shared" si="51"/>
        <v/>
      </c>
    </row>
    <row r="95">
      <c r="A95" s="112"/>
      <c r="B95" s="113" t="s">
        <v>38</v>
      </c>
      <c r="C95" s="114"/>
      <c r="D95" s="115" t="s">
        <v>19</v>
      </c>
      <c r="E95" s="116">
        <f t="shared" ref="E95:F95" si="92">SUM(E89:E94)</f>
        <v>2820</v>
      </c>
      <c r="F95" s="116">
        <f t="shared" si="92"/>
        <v>350</v>
      </c>
      <c r="G95" s="117" t="str">
        <f>average(G89:G94)</f>
        <v>#DIV/0!</v>
      </c>
      <c r="H95" s="114"/>
      <c r="I95" s="118"/>
      <c r="J95" s="115">
        <f t="shared" ref="J95:K95" si="93">sum(J89:J94)</f>
        <v>0</v>
      </c>
      <c r="K95" s="115">
        <f t="shared" si="93"/>
        <v>350</v>
      </c>
      <c r="L95" s="119" t="str">
        <f>average(L89:L94)</f>
        <v>#DIV/0!</v>
      </c>
      <c r="M95" s="120"/>
      <c r="N95" s="269">
        <f>sum(N89:N94)</f>
        <v>6424850</v>
      </c>
      <c r="R95" s="80" t="str">
        <f t="shared" si="51"/>
        <v/>
      </c>
    </row>
    <row r="96">
      <c r="A96" s="122">
        <v>45874.0</v>
      </c>
      <c r="B96" s="323" t="s">
        <v>39</v>
      </c>
      <c r="C96" s="89">
        <v>105924.0</v>
      </c>
      <c r="D96" s="89">
        <v>106503.0</v>
      </c>
      <c r="E96" s="38">
        <f t="shared" ref="E96:E102" si="94">D96-C96</f>
        <v>579</v>
      </c>
      <c r="F96" s="157">
        <v>69.0</v>
      </c>
      <c r="G96" s="124">
        <f t="shared" ref="G96:G102" si="95">(F96/E96)*100</f>
        <v>11.91709845</v>
      </c>
      <c r="H96" s="137"/>
      <c r="I96" s="137"/>
      <c r="J96" s="89">
        <f t="shared" ref="J96:J102" si="96">I96-H96</f>
        <v>0</v>
      </c>
      <c r="K96" s="89">
        <f t="shared" ref="K96:K102" si="97">F96</f>
        <v>69</v>
      </c>
      <c r="L96" s="330" t="str">
        <f t="shared" ref="L96:L102" si="98">(K96/J96)*100</f>
        <v>#DIV/0!</v>
      </c>
      <c r="M96" s="126">
        <v>19060.0</v>
      </c>
      <c r="N96" s="287">
        <f>M96*K96</f>
        <v>1315140</v>
      </c>
      <c r="R96" s="80" t="str">
        <f t="shared" si="51"/>
        <v/>
      </c>
    </row>
    <row r="97">
      <c r="A97" s="8">
        <v>45880.0</v>
      </c>
      <c r="B97" s="323" t="s">
        <v>39</v>
      </c>
      <c r="C97" s="13">
        <v>106503.0</v>
      </c>
      <c r="D97" s="13">
        <v>107196.0</v>
      </c>
      <c r="E97" s="12">
        <f t="shared" si="94"/>
        <v>693</v>
      </c>
      <c r="F97" s="13">
        <v>78.0</v>
      </c>
      <c r="G97" s="14">
        <f t="shared" si="95"/>
        <v>11.25541126</v>
      </c>
      <c r="H97" s="13"/>
      <c r="I97" s="16"/>
      <c r="J97" s="89">
        <f t="shared" si="96"/>
        <v>0</v>
      </c>
      <c r="K97" s="89">
        <f t="shared" si="97"/>
        <v>78</v>
      </c>
      <c r="L97" s="330" t="str">
        <f t="shared" si="98"/>
        <v>#DIV/0!</v>
      </c>
      <c r="M97" s="18">
        <v>18800.0</v>
      </c>
      <c r="N97" s="331">
        <f t="shared" ref="N97:N102" si="99">F97*M97</f>
        <v>1466400</v>
      </c>
      <c r="R97" s="80" t="str">
        <f t="shared" si="51"/>
        <v/>
      </c>
      <c r="S97" s="257"/>
      <c r="T97" s="257"/>
      <c r="U97" s="257"/>
      <c r="V97" s="257"/>
      <c r="W97" s="257"/>
      <c r="X97" s="257"/>
      <c r="Y97" s="257"/>
      <c r="Z97" s="257"/>
    </row>
    <row r="98">
      <c r="A98" s="154">
        <v>45887.0</v>
      </c>
      <c r="B98" s="323" t="s">
        <v>39</v>
      </c>
      <c r="C98" s="13">
        <v>107196.0</v>
      </c>
      <c r="D98" s="89">
        <v>107952.0</v>
      </c>
      <c r="E98" s="12">
        <f t="shared" si="94"/>
        <v>756</v>
      </c>
      <c r="F98" s="157">
        <v>80.0</v>
      </c>
      <c r="G98" s="14">
        <f t="shared" si="95"/>
        <v>10.58201058</v>
      </c>
      <c r="H98" s="89"/>
      <c r="I98" s="137"/>
      <c r="J98" s="89">
        <f t="shared" si="96"/>
        <v>0</v>
      </c>
      <c r="K98" s="89">
        <f t="shared" si="97"/>
        <v>80</v>
      </c>
      <c r="L98" s="330" t="str">
        <f t="shared" si="98"/>
        <v>#DIV/0!</v>
      </c>
      <c r="M98" s="126">
        <v>18070.0</v>
      </c>
      <c r="N98" s="331">
        <f t="shared" si="99"/>
        <v>1445600</v>
      </c>
      <c r="P98" s="82"/>
      <c r="R98" s="80" t="str">
        <f t="shared" si="51"/>
        <v/>
      </c>
    </row>
    <row r="99">
      <c r="A99" s="154">
        <v>45895.0</v>
      </c>
      <c r="B99" s="323" t="s">
        <v>39</v>
      </c>
      <c r="C99" s="89">
        <v>107952.0</v>
      </c>
      <c r="D99" s="89">
        <v>108720.0</v>
      </c>
      <c r="E99" s="12">
        <f t="shared" si="94"/>
        <v>768</v>
      </c>
      <c r="F99" s="157">
        <v>86.0</v>
      </c>
      <c r="G99" s="14">
        <f t="shared" si="95"/>
        <v>11.19791667</v>
      </c>
      <c r="H99" s="89"/>
      <c r="I99" s="137"/>
      <c r="J99" s="89">
        <f t="shared" si="96"/>
        <v>0</v>
      </c>
      <c r="K99" s="89">
        <f t="shared" si="97"/>
        <v>86</v>
      </c>
      <c r="L99" s="152" t="str">
        <f t="shared" si="98"/>
        <v>#DIV/0!</v>
      </c>
      <c r="M99" s="126">
        <v>17900.0</v>
      </c>
      <c r="N99" s="131">
        <f t="shared" si="99"/>
        <v>1539400</v>
      </c>
      <c r="R99" s="80" t="str">
        <f t="shared" si="51"/>
        <v/>
      </c>
    </row>
    <row r="100">
      <c r="A100" s="154"/>
      <c r="B100" s="323" t="s">
        <v>39</v>
      </c>
      <c r="C100" s="89"/>
      <c r="D100" s="89"/>
      <c r="E100" s="12">
        <f t="shared" si="94"/>
        <v>0</v>
      </c>
      <c r="F100" s="157"/>
      <c r="G100" s="14" t="str">
        <f t="shared" si="95"/>
        <v>#DIV/0!</v>
      </c>
      <c r="H100" s="89"/>
      <c r="I100" s="137"/>
      <c r="J100" s="89">
        <f t="shared" si="96"/>
        <v>0</v>
      </c>
      <c r="K100" s="89" t="str">
        <f t="shared" si="97"/>
        <v/>
      </c>
      <c r="L100" s="152" t="str">
        <f t="shared" si="98"/>
        <v>#DIV/0!</v>
      </c>
      <c r="M100" s="126"/>
      <c r="N100" s="131">
        <f t="shared" si="99"/>
        <v>0</v>
      </c>
      <c r="R100" s="80" t="str">
        <f t="shared" si="51"/>
        <v/>
      </c>
    </row>
    <row r="101">
      <c r="A101" s="320"/>
      <c r="B101" s="323" t="s">
        <v>39</v>
      </c>
      <c r="C101" s="89"/>
      <c r="D101" s="158"/>
      <c r="E101" s="12">
        <f t="shared" si="94"/>
        <v>0</v>
      </c>
      <c r="F101" s="321"/>
      <c r="G101" s="14" t="str">
        <f t="shared" si="95"/>
        <v>#DIV/0!</v>
      </c>
      <c r="H101" s="89"/>
      <c r="I101" s="159"/>
      <c r="J101" s="89">
        <f t="shared" si="96"/>
        <v>0</v>
      </c>
      <c r="K101" s="89" t="str">
        <f t="shared" si="97"/>
        <v/>
      </c>
      <c r="L101" s="152" t="str">
        <f t="shared" si="98"/>
        <v>#DIV/0!</v>
      </c>
      <c r="M101" s="322"/>
      <c r="N101" s="131">
        <f t="shared" si="99"/>
        <v>0</v>
      </c>
      <c r="R101" s="80" t="str">
        <f t="shared" si="51"/>
        <v/>
      </c>
    </row>
    <row r="102">
      <c r="A102" s="305"/>
      <c r="B102" s="323"/>
      <c r="C102" s="149"/>
      <c r="D102" s="150"/>
      <c r="E102" s="25">
        <f t="shared" si="94"/>
        <v>0</v>
      </c>
      <c r="F102" s="307"/>
      <c r="G102" s="56" t="str">
        <f t="shared" si="95"/>
        <v>#DIV/0!</v>
      </c>
      <c r="H102" s="149"/>
      <c r="I102" s="151"/>
      <c r="J102" s="149">
        <f t="shared" si="96"/>
        <v>0</v>
      </c>
      <c r="K102" s="149" t="str">
        <f t="shared" si="97"/>
        <v/>
      </c>
      <c r="L102" s="152" t="str">
        <f t="shared" si="98"/>
        <v>#DIV/0!</v>
      </c>
      <c r="M102" s="308"/>
      <c r="N102" s="135">
        <f t="shared" si="99"/>
        <v>0</v>
      </c>
      <c r="R102" s="80" t="str">
        <f t="shared" si="51"/>
        <v/>
      </c>
    </row>
    <row r="103">
      <c r="A103" s="62"/>
      <c r="B103" s="63"/>
      <c r="C103" s="62"/>
      <c r="D103" s="64" t="s">
        <v>19</v>
      </c>
      <c r="E103" s="64">
        <f t="shared" ref="E103:F103" si="100">sum(E89:E102)</f>
        <v>8436</v>
      </c>
      <c r="F103" s="64">
        <f t="shared" si="100"/>
        <v>1013</v>
      </c>
      <c r="G103" s="65" t="str">
        <f>average(G89:G102)</f>
        <v>#DIV/0!</v>
      </c>
      <c r="H103" s="62"/>
      <c r="I103" s="66"/>
      <c r="J103" s="64">
        <f t="shared" ref="J103:K103" si="101">sum(J89:J102)</f>
        <v>0</v>
      </c>
      <c r="K103" s="64">
        <f t="shared" si="101"/>
        <v>1013</v>
      </c>
      <c r="L103" s="65" t="str">
        <f>average(L89:L102)</f>
        <v>#DIV/0!</v>
      </c>
      <c r="M103" s="68"/>
      <c r="N103" s="69">
        <f>sum(N96:N102)</f>
        <v>5766540</v>
      </c>
      <c r="R103" s="80" t="str">
        <f t="shared" si="51"/>
        <v/>
      </c>
    </row>
    <row r="104">
      <c r="A104" s="70">
        <v>45871.0</v>
      </c>
      <c r="B104" s="156" t="s">
        <v>40</v>
      </c>
      <c r="C104" s="89">
        <v>101527.0</v>
      </c>
      <c r="D104" s="13">
        <v>102145.0</v>
      </c>
      <c r="E104" s="38">
        <f t="shared" ref="E104:E110" si="102">D104-C104</f>
        <v>618</v>
      </c>
      <c r="F104" s="39">
        <v>65.0</v>
      </c>
      <c r="G104" s="14">
        <f t="shared" ref="G104:G110" si="103">(F104/E104)*100</f>
        <v>10.51779935</v>
      </c>
      <c r="H104" s="137"/>
      <c r="I104" s="138"/>
      <c r="J104" s="41">
        <f t="shared" ref="J104:J110" si="104">I104-H104</f>
        <v>0</v>
      </c>
      <c r="K104" s="41">
        <f t="shared" ref="K104:K110" si="105">F104</f>
        <v>65</v>
      </c>
      <c r="L104" s="152" t="str">
        <f t="shared" ref="L104:L110" si="106">(K104/J104)*100</f>
        <v>#DIV/0!</v>
      </c>
      <c r="M104" s="72">
        <v>19060.0</v>
      </c>
      <c r="N104" s="44">
        <f t="shared" ref="N104:N110" si="107">F104*M104</f>
        <v>1238900</v>
      </c>
      <c r="R104" s="80" t="str">
        <f t="shared" si="51"/>
        <v/>
      </c>
    </row>
    <row r="105">
      <c r="A105" s="154">
        <v>45877.0</v>
      </c>
      <c r="B105" s="156" t="s">
        <v>40</v>
      </c>
      <c r="C105" s="89">
        <v>102145.0</v>
      </c>
      <c r="D105" s="89">
        <v>102829.0</v>
      </c>
      <c r="E105" s="12">
        <f t="shared" si="102"/>
        <v>684</v>
      </c>
      <c r="F105" s="157">
        <v>77.78</v>
      </c>
      <c r="G105" s="14">
        <f t="shared" si="103"/>
        <v>11.37134503</v>
      </c>
      <c r="H105" s="89"/>
      <c r="I105" s="137"/>
      <c r="J105" s="89">
        <f t="shared" si="104"/>
        <v>0</v>
      </c>
      <c r="K105" s="41">
        <f t="shared" si="105"/>
        <v>77.78</v>
      </c>
      <c r="L105" s="152" t="str">
        <f t="shared" si="106"/>
        <v>#DIV/0!</v>
      </c>
      <c r="M105" s="126">
        <v>18800.0</v>
      </c>
      <c r="N105" s="131">
        <f t="shared" si="107"/>
        <v>1462264</v>
      </c>
      <c r="R105" s="80" t="str">
        <f t="shared" si="51"/>
        <v/>
      </c>
    </row>
    <row r="106">
      <c r="A106" s="154">
        <v>45884.0</v>
      </c>
      <c r="B106" s="156" t="s">
        <v>40</v>
      </c>
      <c r="C106" s="89">
        <v>102829.0</v>
      </c>
      <c r="D106" s="89">
        <v>103495.0</v>
      </c>
      <c r="E106" s="12">
        <f t="shared" si="102"/>
        <v>666</v>
      </c>
      <c r="F106" s="157">
        <v>72.0</v>
      </c>
      <c r="G106" s="14">
        <f t="shared" si="103"/>
        <v>10.81081081</v>
      </c>
      <c r="H106" s="89"/>
      <c r="I106" s="137"/>
      <c r="J106" s="89">
        <f t="shared" si="104"/>
        <v>0</v>
      </c>
      <c r="K106" s="41">
        <f t="shared" si="105"/>
        <v>72</v>
      </c>
      <c r="L106" s="152" t="str">
        <f t="shared" si="106"/>
        <v>#DIV/0!</v>
      </c>
      <c r="M106" s="126">
        <v>18070.0</v>
      </c>
      <c r="N106" s="131">
        <f t="shared" si="107"/>
        <v>1301040</v>
      </c>
      <c r="R106" s="80" t="str">
        <f t="shared" si="51"/>
        <v/>
      </c>
    </row>
    <row r="107">
      <c r="A107" s="154">
        <v>45892.0</v>
      </c>
      <c r="B107" s="156" t="s">
        <v>40</v>
      </c>
      <c r="C107" s="89">
        <v>103495.0</v>
      </c>
      <c r="D107" s="89">
        <v>104117.0</v>
      </c>
      <c r="E107" s="12">
        <f t="shared" si="102"/>
        <v>622</v>
      </c>
      <c r="F107" s="157">
        <v>72.0</v>
      </c>
      <c r="G107" s="14">
        <f t="shared" si="103"/>
        <v>11.5755627</v>
      </c>
      <c r="H107" s="89"/>
      <c r="I107" s="137"/>
      <c r="J107" s="89">
        <f t="shared" si="104"/>
        <v>0</v>
      </c>
      <c r="K107" s="41">
        <f t="shared" si="105"/>
        <v>72</v>
      </c>
      <c r="L107" s="152" t="str">
        <f t="shared" si="106"/>
        <v>#DIV/0!</v>
      </c>
      <c r="M107" s="126">
        <v>17900.0</v>
      </c>
      <c r="N107" s="131">
        <f t="shared" si="107"/>
        <v>1288800</v>
      </c>
      <c r="R107" s="80" t="str">
        <f t="shared" si="51"/>
        <v/>
      </c>
    </row>
    <row r="108">
      <c r="A108" s="332">
        <v>45897.0</v>
      </c>
      <c r="B108" s="156" t="s">
        <v>40</v>
      </c>
      <c r="C108" s="89">
        <v>104117.0</v>
      </c>
      <c r="D108" s="89">
        <v>104728.0</v>
      </c>
      <c r="E108" s="12">
        <f t="shared" si="102"/>
        <v>611</v>
      </c>
      <c r="F108" s="157">
        <v>70.0</v>
      </c>
      <c r="G108" s="14">
        <f t="shared" si="103"/>
        <v>11.45662848</v>
      </c>
      <c r="H108" s="89"/>
      <c r="I108" s="137"/>
      <c r="J108" s="89">
        <f t="shared" si="104"/>
        <v>0</v>
      </c>
      <c r="K108" s="41">
        <f t="shared" si="105"/>
        <v>70</v>
      </c>
      <c r="L108" s="152" t="str">
        <f t="shared" si="106"/>
        <v>#DIV/0!</v>
      </c>
      <c r="M108" s="126">
        <v>18350.0</v>
      </c>
      <c r="N108" s="131">
        <f t="shared" si="107"/>
        <v>1284500</v>
      </c>
      <c r="R108" s="80" t="str">
        <f t="shared" si="51"/>
        <v/>
      </c>
    </row>
    <row r="109">
      <c r="A109" s="332"/>
      <c r="B109" s="123"/>
      <c r="C109" s="89"/>
      <c r="D109" s="158"/>
      <c r="E109" s="12">
        <f t="shared" si="102"/>
        <v>0</v>
      </c>
      <c r="F109" s="321"/>
      <c r="G109" s="14" t="str">
        <f t="shared" si="103"/>
        <v>#DIV/0!</v>
      </c>
      <c r="H109" s="89"/>
      <c r="I109" s="137"/>
      <c r="J109" s="89">
        <f t="shared" si="104"/>
        <v>0</v>
      </c>
      <c r="K109" s="41" t="str">
        <f t="shared" si="105"/>
        <v/>
      </c>
      <c r="L109" s="152" t="str">
        <f t="shared" si="106"/>
        <v>#DIV/0!</v>
      </c>
      <c r="M109" s="322"/>
      <c r="N109" s="131">
        <f t="shared" si="107"/>
        <v>0</v>
      </c>
      <c r="R109" s="80" t="str">
        <f t="shared" si="51"/>
        <v/>
      </c>
    </row>
    <row r="110">
      <c r="A110" s="305"/>
      <c r="B110" s="323"/>
      <c r="C110" s="149"/>
      <c r="D110" s="150"/>
      <c r="E110" s="25">
        <f t="shared" si="102"/>
        <v>0</v>
      </c>
      <c r="F110" s="307"/>
      <c r="G110" s="56" t="str">
        <f t="shared" si="103"/>
        <v>#DIV/0!</v>
      </c>
      <c r="H110" s="149"/>
      <c r="I110" s="151"/>
      <c r="J110" s="149">
        <f t="shared" si="104"/>
        <v>0</v>
      </c>
      <c r="K110" s="149" t="str">
        <f t="shared" si="105"/>
        <v/>
      </c>
      <c r="L110" s="152" t="str">
        <f t="shared" si="106"/>
        <v>#DIV/0!</v>
      </c>
      <c r="M110" s="308"/>
      <c r="N110" s="135">
        <f t="shared" si="107"/>
        <v>0</v>
      </c>
      <c r="R110" s="80" t="str">
        <f t="shared" si="51"/>
        <v/>
      </c>
    </row>
    <row r="111">
      <c r="A111" s="62"/>
      <c r="B111" s="63"/>
      <c r="C111" s="62"/>
      <c r="D111" s="64" t="s">
        <v>19</v>
      </c>
      <c r="E111" s="64">
        <f t="shared" ref="E111:F111" si="108">sum(E104:E110)</f>
        <v>3201</v>
      </c>
      <c r="F111" s="64">
        <f t="shared" si="108"/>
        <v>356.78</v>
      </c>
      <c r="G111" s="65" t="str">
        <f>average(G104:G110)</f>
        <v>#DIV/0!</v>
      </c>
      <c r="H111" s="62"/>
      <c r="I111" s="66"/>
      <c r="J111" s="64">
        <f t="shared" ref="J111:K111" si="109">sum(J104:J110)</f>
        <v>0</v>
      </c>
      <c r="K111" s="64">
        <f t="shared" si="109"/>
        <v>356.78</v>
      </c>
      <c r="L111" s="65" t="str">
        <f>average(L104:L110)</f>
        <v>#DIV/0!</v>
      </c>
      <c r="M111" s="68"/>
      <c r="N111" s="69">
        <f>sum(N104:N110)</f>
        <v>6575504</v>
      </c>
      <c r="R111" s="80" t="str">
        <f t="shared" si="51"/>
        <v/>
      </c>
    </row>
    <row r="112">
      <c r="A112" s="70">
        <v>45875.0</v>
      </c>
      <c r="B112" s="156" t="s">
        <v>41</v>
      </c>
      <c r="C112" s="89">
        <v>159157.0</v>
      </c>
      <c r="D112" s="13">
        <v>159754.0</v>
      </c>
      <c r="E112" s="38">
        <f t="shared" ref="E112:E118" si="110">D112-C112</f>
        <v>597</v>
      </c>
      <c r="F112" s="39">
        <v>75.0</v>
      </c>
      <c r="G112" s="14">
        <f t="shared" ref="G112:G118" si="111">(F112/E112)*100</f>
        <v>12.56281407</v>
      </c>
      <c r="H112" s="137"/>
      <c r="I112" s="138"/>
      <c r="J112" s="41">
        <f t="shared" ref="J112:J118" si="112">I112-H112</f>
        <v>0</v>
      </c>
      <c r="K112" s="41">
        <f t="shared" ref="K112:K118" si="113">F112</f>
        <v>75</v>
      </c>
      <c r="L112" s="152" t="str">
        <f t="shared" ref="L112:L118" si="114">(K112/J112)*100</f>
        <v>#DIV/0!</v>
      </c>
      <c r="M112" s="72">
        <v>19060.0</v>
      </c>
      <c r="N112" s="44">
        <f t="shared" ref="N112:N118" si="115">F112*M112</f>
        <v>1429500</v>
      </c>
      <c r="R112" s="80" t="str">
        <f t="shared" si="51"/>
        <v/>
      </c>
    </row>
    <row r="113">
      <c r="A113" s="154">
        <v>45882.0</v>
      </c>
      <c r="B113" s="156" t="s">
        <v>41</v>
      </c>
      <c r="C113" s="13">
        <v>159754.0</v>
      </c>
      <c r="D113" s="89">
        <v>160331.0</v>
      </c>
      <c r="E113" s="12">
        <f t="shared" si="110"/>
        <v>577</v>
      </c>
      <c r="F113" s="157">
        <v>67.0</v>
      </c>
      <c r="G113" s="14">
        <f t="shared" si="111"/>
        <v>11.6117851</v>
      </c>
      <c r="H113" s="89"/>
      <c r="I113" s="137"/>
      <c r="J113" s="89">
        <f t="shared" si="112"/>
        <v>0</v>
      </c>
      <c r="K113" s="41">
        <f t="shared" si="113"/>
        <v>67</v>
      </c>
      <c r="L113" s="152" t="str">
        <f t="shared" si="114"/>
        <v>#DIV/0!</v>
      </c>
      <c r="M113" s="126">
        <v>18800.0</v>
      </c>
      <c r="N113" s="131">
        <f t="shared" si="115"/>
        <v>1259600</v>
      </c>
      <c r="R113" s="80" t="str">
        <f t="shared" si="51"/>
        <v/>
      </c>
    </row>
    <row r="114">
      <c r="A114" s="154">
        <v>45888.0</v>
      </c>
      <c r="B114" s="156" t="s">
        <v>41</v>
      </c>
      <c r="C114" s="89">
        <v>160331.0</v>
      </c>
      <c r="D114" s="89">
        <v>160970.0</v>
      </c>
      <c r="E114" s="12">
        <f t="shared" si="110"/>
        <v>639</v>
      </c>
      <c r="F114" s="157">
        <v>75.0</v>
      </c>
      <c r="G114" s="14">
        <f t="shared" si="111"/>
        <v>11.7370892</v>
      </c>
      <c r="H114" s="89"/>
      <c r="I114" s="137"/>
      <c r="J114" s="89">
        <f t="shared" si="112"/>
        <v>0</v>
      </c>
      <c r="K114" s="41">
        <f t="shared" si="113"/>
        <v>75</v>
      </c>
      <c r="L114" s="152" t="str">
        <f t="shared" si="114"/>
        <v>#DIV/0!</v>
      </c>
      <c r="M114" s="126">
        <v>18070.0</v>
      </c>
      <c r="N114" s="131">
        <f t="shared" si="115"/>
        <v>1355250</v>
      </c>
      <c r="R114" s="80" t="str">
        <f t="shared" si="51"/>
        <v/>
      </c>
    </row>
    <row r="115">
      <c r="A115" s="154">
        <v>45894.0</v>
      </c>
      <c r="B115" s="156" t="s">
        <v>41</v>
      </c>
      <c r="C115" s="89">
        <v>160970.0</v>
      </c>
      <c r="D115" s="89">
        <v>161533.0</v>
      </c>
      <c r="E115" s="12">
        <f t="shared" si="110"/>
        <v>563</v>
      </c>
      <c r="F115" s="157">
        <v>63.0</v>
      </c>
      <c r="G115" s="14">
        <f t="shared" si="111"/>
        <v>11.19005329</v>
      </c>
      <c r="H115" s="89"/>
      <c r="I115" s="137"/>
      <c r="J115" s="89">
        <f t="shared" si="112"/>
        <v>0</v>
      </c>
      <c r="K115" s="41">
        <f t="shared" si="113"/>
        <v>63</v>
      </c>
      <c r="L115" s="152" t="str">
        <f t="shared" si="114"/>
        <v>#DIV/0!</v>
      </c>
      <c r="M115" s="126">
        <v>17900.0</v>
      </c>
      <c r="N115" s="131">
        <f t="shared" si="115"/>
        <v>1127700</v>
      </c>
      <c r="R115" s="80" t="str">
        <f t="shared" si="51"/>
        <v/>
      </c>
    </row>
    <row r="116">
      <c r="A116" s="332"/>
      <c r="B116" s="156" t="s">
        <v>41</v>
      </c>
      <c r="C116" s="89"/>
      <c r="D116" s="89"/>
      <c r="E116" s="12">
        <f t="shared" si="110"/>
        <v>0</v>
      </c>
      <c r="F116" s="157"/>
      <c r="G116" s="14" t="str">
        <f t="shared" si="111"/>
        <v>#DIV/0!</v>
      </c>
      <c r="H116" s="89"/>
      <c r="I116" s="137"/>
      <c r="J116" s="89">
        <f t="shared" si="112"/>
        <v>0</v>
      </c>
      <c r="K116" s="41" t="str">
        <f t="shared" si="113"/>
        <v/>
      </c>
      <c r="L116" s="152" t="str">
        <f t="shared" si="114"/>
        <v>#DIV/0!</v>
      </c>
      <c r="M116" s="126"/>
      <c r="N116" s="131">
        <f t="shared" si="115"/>
        <v>0</v>
      </c>
      <c r="R116" s="80" t="str">
        <f t="shared" si="51"/>
        <v/>
      </c>
    </row>
    <row r="117">
      <c r="A117" s="332"/>
      <c r="B117" s="156" t="s">
        <v>41</v>
      </c>
      <c r="C117" s="89"/>
      <c r="D117" s="158"/>
      <c r="E117" s="12">
        <f t="shared" si="110"/>
        <v>0</v>
      </c>
      <c r="F117" s="321"/>
      <c r="G117" s="14" t="str">
        <f t="shared" si="111"/>
        <v>#DIV/0!</v>
      </c>
      <c r="H117" s="89"/>
      <c r="I117" s="137"/>
      <c r="J117" s="89">
        <f t="shared" si="112"/>
        <v>0</v>
      </c>
      <c r="K117" s="41" t="str">
        <f t="shared" si="113"/>
        <v/>
      </c>
      <c r="L117" s="152" t="str">
        <f t="shared" si="114"/>
        <v>#DIV/0!</v>
      </c>
      <c r="M117" s="322"/>
      <c r="N117" s="131">
        <f t="shared" si="115"/>
        <v>0</v>
      </c>
      <c r="R117" s="80" t="str">
        <f t="shared" si="51"/>
        <v/>
      </c>
    </row>
    <row r="118">
      <c r="A118" s="305"/>
      <c r="B118" s="323"/>
      <c r="C118" s="149"/>
      <c r="D118" s="150"/>
      <c r="E118" s="25">
        <f t="shared" si="110"/>
        <v>0</v>
      </c>
      <c r="F118" s="307"/>
      <c r="G118" s="56" t="str">
        <f t="shared" si="111"/>
        <v>#DIV/0!</v>
      </c>
      <c r="H118" s="149"/>
      <c r="I118" s="151"/>
      <c r="J118" s="149">
        <f t="shared" si="112"/>
        <v>0</v>
      </c>
      <c r="K118" s="41" t="str">
        <f t="shared" si="113"/>
        <v/>
      </c>
      <c r="L118" s="152" t="str">
        <f t="shared" si="114"/>
        <v>#DIV/0!</v>
      </c>
      <c r="M118" s="308"/>
      <c r="N118" s="135">
        <f t="shared" si="115"/>
        <v>0</v>
      </c>
      <c r="R118" s="80" t="str">
        <f t="shared" si="51"/>
        <v/>
      </c>
    </row>
    <row r="119">
      <c r="A119" s="62"/>
      <c r="B119" s="63"/>
      <c r="C119" s="62"/>
      <c r="D119" s="64" t="s">
        <v>19</v>
      </c>
      <c r="E119" s="64">
        <f t="shared" ref="E119:F119" si="116">sum(E112:E118)</f>
        <v>2376</v>
      </c>
      <c r="F119" s="64">
        <f t="shared" si="116"/>
        <v>280</v>
      </c>
      <c r="G119" s="65" t="str">
        <f>average(G112:G118)</f>
        <v>#DIV/0!</v>
      </c>
      <c r="H119" s="62"/>
      <c r="I119" s="66"/>
      <c r="J119" s="64">
        <f t="shared" ref="J119:K119" si="117">sum(J112:J118)</f>
        <v>0</v>
      </c>
      <c r="K119" s="64">
        <f t="shared" si="117"/>
        <v>280</v>
      </c>
      <c r="L119" s="65" t="str">
        <f>average(L112:L118)</f>
        <v>#DIV/0!</v>
      </c>
      <c r="M119" s="68"/>
      <c r="N119" s="69">
        <f>sum(N112:N118)</f>
        <v>5172050</v>
      </c>
      <c r="R119" s="80" t="str">
        <f t="shared" si="51"/>
        <v/>
      </c>
    </row>
    <row r="120">
      <c r="A120" s="70">
        <v>45873.0</v>
      </c>
      <c r="B120" s="156" t="s">
        <v>27</v>
      </c>
      <c r="C120" s="89"/>
      <c r="D120" s="13"/>
      <c r="E120" s="38">
        <f t="shared" ref="E120:E127" si="118">D120-C120</f>
        <v>0</v>
      </c>
      <c r="F120" s="39">
        <v>62.0</v>
      </c>
      <c r="G120" s="14" t="str">
        <f t="shared" ref="G120:G127" si="119">(F120/E120)*100</f>
        <v>#DIV/0!</v>
      </c>
      <c r="H120" s="137"/>
      <c r="I120" s="138"/>
      <c r="J120" s="41">
        <f t="shared" ref="J120:J127" si="120">I120-H120</f>
        <v>0</v>
      </c>
      <c r="K120" s="41">
        <f t="shared" ref="K120:K126" si="121">F120</f>
        <v>62</v>
      </c>
      <c r="L120" s="152" t="str">
        <f t="shared" ref="L120:L127" si="122">(K120/J120)*100</f>
        <v>#DIV/0!</v>
      </c>
      <c r="M120" s="72">
        <v>19060.0</v>
      </c>
      <c r="N120" s="44">
        <f t="shared" ref="N120:N126" si="123">F120*M120</f>
        <v>1181720</v>
      </c>
      <c r="R120" s="80" t="str">
        <f t="shared" si="51"/>
        <v/>
      </c>
    </row>
    <row r="121">
      <c r="A121" s="70">
        <v>45878.0</v>
      </c>
      <c r="B121" s="156" t="s">
        <v>27</v>
      </c>
      <c r="C121" s="89"/>
      <c r="D121" s="13"/>
      <c r="E121" s="38">
        <f t="shared" si="118"/>
        <v>0</v>
      </c>
      <c r="F121" s="47">
        <v>68.0</v>
      </c>
      <c r="G121" s="14" t="str">
        <f t="shared" si="119"/>
        <v>#DIV/0!</v>
      </c>
      <c r="H121" s="40"/>
      <c r="I121" s="40"/>
      <c r="J121" s="37">
        <f t="shared" si="120"/>
        <v>0</v>
      </c>
      <c r="K121" s="41">
        <f t="shared" si="121"/>
        <v>68</v>
      </c>
      <c r="L121" s="152" t="str">
        <f t="shared" si="122"/>
        <v>#DIV/0!</v>
      </c>
      <c r="M121" s="126">
        <v>18800.0</v>
      </c>
      <c r="N121" s="49">
        <f t="shared" si="123"/>
        <v>1278400</v>
      </c>
      <c r="R121" s="80" t="str">
        <f t="shared" si="51"/>
        <v/>
      </c>
    </row>
    <row r="122">
      <c r="A122" s="154">
        <v>45884.0</v>
      </c>
      <c r="B122" s="156" t="s">
        <v>27</v>
      </c>
      <c r="C122" s="89"/>
      <c r="D122" s="89"/>
      <c r="E122" s="12">
        <f t="shared" si="118"/>
        <v>0</v>
      </c>
      <c r="F122" s="47">
        <v>67.0</v>
      </c>
      <c r="G122" s="14" t="str">
        <f t="shared" si="119"/>
        <v>#DIV/0!</v>
      </c>
      <c r="H122" s="37"/>
      <c r="I122" s="40"/>
      <c r="J122" s="37">
        <f t="shared" si="120"/>
        <v>0</v>
      </c>
      <c r="K122" s="41">
        <f t="shared" si="121"/>
        <v>67</v>
      </c>
      <c r="L122" s="152" t="str">
        <f t="shared" si="122"/>
        <v>#DIV/0!</v>
      </c>
      <c r="M122" s="126">
        <v>18070.0</v>
      </c>
      <c r="N122" s="49">
        <f t="shared" si="123"/>
        <v>1210690</v>
      </c>
      <c r="R122" s="80" t="str">
        <f t="shared" si="51"/>
        <v/>
      </c>
    </row>
    <row r="123">
      <c r="A123" s="154">
        <v>45888.0</v>
      </c>
      <c r="B123" s="156" t="s">
        <v>27</v>
      </c>
      <c r="C123" s="89"/>
      <c r="D123" s="89"/>
      <c r="E123" s="12">
        <f t="shared" si="118"/>
        <v>0</v>
      </c>
      <c r="F123" s="47">
        <v>62.0</v>
      </c>
      <c r="G123" s="14" t="str">
        <f t="shared" si="119"/>
        <v>#DIV/0!</v>
      </c>
      <c r="H123" s="37"/>
      <c r="I123" s="40"/>
      <c r="J123" s="37">
        <f t="shared" si="120"/>
        <v>0</v>
      </c>
      <c r="K123" s="41">
        <f t="shared" si="121"/>
        <v>62</v>
      </c>
      <c r="L123" s="152" t="str">
        <f t="shared" si="122"/>
        <v>#DIV/0!</v>
      </c>
      <c r="M123" s="126">
        <v>18070.0</v>
      </c>
      <c r="N123" s="49">
        <f t="shared" si="123"/>
        <v>1120340</v>
      </c>
      <c r="R123" s="80" t="str">
        <f t="shared" si="51"/>
        <v/>
      </c>
    </row>
    <row r="124">
      <c r="A124" s="154">
        <v>45894.0</v>
      </c>
      <c r="B124" s="156" t="s">
        <v>27</v>
      </c>
      <c r="C124" s="89"/>
      <c r="D124" s="89"/>
      <c r="E124" s="12">
        <f t="shared" si="118"/>
        <v>0</v>
      </c>
      <c r="F124" s="47">
        <v>60.0</v>
      </c>
      <c r="G124" s="14" t="str">
        <f t="shared" si="119"/>
        <v>#DIV/0!</v>
      </c>
      <c r="H124" s="37"/>
      <c r="I124" s="40"/>
      <c r="J124" s="37">
        <f t="shared" si="120"/>
        <v>0</v>
      </c>
      <c r="K124" s="41">
        <f t="shared" si="121"/>
        <v>60</v>
      </c>
      <c r="L124" s="152" t="str">
        <f t="shared" si="122"/>
        <v>#DIV/0!</v>
      </c>
      <c r="M124" s="126">
        <v>17900.0</v>
      </c>
      <c r="N124" s="49">
        <f t="shared" si="123"/>
        <v>1074000</v>
      </c>
      <c r="R124" s="80" t="str">
        <f t="shared" si="51"/>
        <v/>
      </c>
    </row>
    <row r="125">
      <c r="A125" s="154">
        <v>45898.0</v>
      </c>
      <c r="B125" s="156" t="s">
        <v>27</v>
      </c>
      <c r="C125" s="89"/>
      <c r="D125" s="158"/>
      <c r="E125" s="12">
        <f t="shared" si="118"/>
        <v>0</v>
      </c>
      <c r="F125" s="47">
        <v>67.0</v>
      </c>
      <c r="G125" s="14" t="str">
        <f t="shared" si="119"/>
        <v>#DIV/0!</v>
      </c>
      <c r="H125" s="37"/>
      <c r="I125" s="93"/>
      <c r="J125" s="37">
        <f t="shared" si="120"/>
        <v>0</v>
      </c>
      <c r="K125" s="41">
        <f t="shared" si="121"/>
        <v>67</v>
      </c>
      <c r="L125" s="152" t="str">
        <f t="shared" si="122"/>
        <v>#DIV/0!</v>
      </c>
      <c r="M125" s="126">
        <v>18350.0</v>
      </c>
      <c r="N125" s="49">
        <f t="shared" si="123"/>
        <v>1229450</v>
      </c>
      <c r="R125" s="80" t="str">
        <f t="shared" si="51"/>
        <v/>
      </c>
    </row>
    <row r="126">
      <c r="A126" s="154"/>
      <c r="B126" s="156" t="s">
        <v>27</v>
      </c>
      <c r="C126" s="89"/>
      <c r="D126" s="158"/>
      <c r="E126" s="12">
        <f t="shared" si="118"/>
        <v>0</v>
      </c>
      <c r="F126" s="157"/>
      <c r="G126" s="14" t="str">
        <f t="shared" si="119"/>
        <v>#DIV/0!</v>
      </c>
      <c r="H126" s="89"/>
      <c r="I126" s="159"/>
      <c r="J126" s="89">
        <f t="shared" si="120"/>
        <v>0</v>
      </c>
      <c r="K126" s="41" t="str">
        <f t="shared" si="121"/>
        <v/>
      </c>
      <c r="L126" s="152" t="str">
        <f t="shared" si="122"/>
        <v>#DIV/0!</v>
      </c>
      <c r="M126" s="126"/>
      <c r="N126" s="49">
        <f t="shared" si="123"/>
        <v>0</v>
      </c>
      <c r="R126" s="80" t="str">
        <f t="shared" si="51"/>
        <v/>
      </c>
    </row>
    <row r="127">
      <c r="A127" s="333"/>
      <c r="B127" s="156" t="s">
        <v>27</v>
      </c>
      <c r="C127" s="149"/>
      <c r="D127" s="150"/>
      <c r="E127" s="25">
        <f t="shared" si="118"/>
        <v>0</v>
      </c>
      <c r="F127" s="161"/>
      <c r="G127" s="56" t="str">
        <f t="shared" si="119"/>
        <v>#DIV/0!</v>
      </c>
      <c r="H127" s="149"/>
      <c r="I127" s="151"/>
      <c r="J127" s="149">
        <f t="shared" si="120"/>
        <v>0</v>
      </c>
      <c r="K127" s="149"/>
      <c r="L127" s="152" t="str">
        <f t="shared" si="122"/>
        <v>#DIV/0!</v>
      </c>
      <c r="M127" s="153"/>
      <c r="N127" s="49">
        <f>M127*K127</f>
        <v>0</v>
      </c>
      <c r="R127" s="80" t="str">
        <f t="shared" si="51"/>
        <v/>
      </c>
    </row>
    <row r="128">
      <c r="A128" s="62"/>
      <c r="B128" s="63"/>
      <c r="C128" s="62"/>
      <c r="D128" s="64" t="s">
        <v>19</v>
      </c>
      <c r="E128" s="64">
        <f t="shared" ref="E128:F128" si="124">sum(E120:E127)</f>
        <v>0</v>
      </c>
      <c r="F128" s="64">
        <f t="shared" si="124"/>
        <v>386</v>
      </c>
      <c r="G128" s="65" t="str">
        <f>average(G120:G127)</f>
        <v>#DIV/0!</v>
      </c>
      <c r="H128" s="62"/>
      <c r="I128" s="66"/>
      <c r="J128" s="64">
        <f t="shared" ref="J128:K128" si="125">sum(J120:J127)</f>
        <v>0</v>
      </c>
      <c r="K128" s="64">
        <f t="shared" si="125"/>
        <v>386</v>
      </c>
      <c r="L128" s="65" t="str">
        <f>average(L120:L127)</f>
        <v>#DIV/0!</v>
      </c>
      <c r="M128" s="68"/>
      <c r="N128" s="147">
        <f>sum(N120:N127)</f>
        <v>7094600</v>
      </c>
      <c r="R128" s="80" t="str">
        <f t="shared" si="51"/>
        <v/>
      </c>
    </row>
    <row r="129">
      <c r="A129" s="70">
        <v>45873.0</v>
      </c>
      <c r="B129" s="156" t="s">
        <v>80</v>
      </c>
      <c r="C129" s="89"/>
      <c r="D129" s="13"/>
      <c r="E129" s="38">
        <f t="shared" ref="E129:E136" si="126">D129-C129</f>
        <v>0</v>
      </c>
      <c r="F129" s="39">
        <v>65.0</v>
      </c>
      <c r="G129" s="14" t="str">
        <f t="shared" ref="G129:G136" si="127">(F129/E129)*100</f>
        <v>#DIV/0!</v>
      </c>
      <c r="H129" s="137"/>
      <c r="I129" s="138"/>
      <c r="J129" s="41">
        <f t="shared" ref="J129:J136" si="128">I129-H129</f>
        <v>0</v>
      </c>
      <c r="K129" s="41">
        <f t="shared" ref="K129:K135" si="129">F129</f>
        <v>65</v>
      </c>
      <c r="L129" s="152" t="str">
        <f t="shared" ref="L129:L136" si="130">(K129/J129)*100</f>
        <v>#DIV/0!</v>
      </c>
      <c r="M129" s="72">
        <v>19060.0</v>
      </c>
      <c r="N129" s="49">
        <f t="shared" ref="N129:N135" si="131">F129*M129</f>
        <v>1238900</v>
      </c>
      <c r="R129" s="80" t="str">
        <f t="shared" si="51"/>
        <v/>
      </c>
    </row>
    <row r="130">
      <c r="A130" s="70">
        <v>45877.0</v>
      </c>
      <c r="B130" s="156" t="s">
        <v>80</v>
      </c>
      <c r="C130" s="89"/>
      <c r="D130" s="13"/>
      <c r="E130" s="38">
        <f t="shared" si="126"/>
        <v>0</v>
      </c>
      <c r="F130" s="47">
        <v>70.0</v>
      </c>
      <c r="G130" s="14" t="str">
        <f t="shared" si="127"/>
        <v>#DIV/0!</v>
      </c>
      <c r="H130" s="40"/>
      <c r="I130" s="40"/>
      <c r="J130" s="37">
        <f t="shared" si="128"/>
        <v>0</v>
      </c>
      <c r="K130" s="37">
        <f t="shared" si="129"/>
        <v>70</v>
      </c>
      <c r="L130" s="152" t="str">
        <f t="shared" si="130"/>
        <v>#DIV/0!</v>
      </c>
      <c r="M130" s="126">
        <v>18800.0</v>
      </c>
      <c r="N130" s="49">
        <f t="shared" si="131"/>
        <v>1316000</v>
      </c>
      <c r="R130" s="80" t="str">
        <f t="shared" si="51"/>
        <v/>
      </c>
    </row>
    <row r="131">
      <c r="A131" s="154">
        <v>45881.0</v>
      </c>
      <c r="B131" s="156" t="s">
        <v>80</v>
      </c>
      <c r="C131" s="89"/>
      <c r="D131" s="89"/>
      <c r="E131" s="12">
        <f t="shared" si="126"/>
        <v>0</v>
      </c>
      <c r="F131" s="157">
        <v>70.0</v>
      </c>
      <c r="G131" s="14" t="str">
        <f t="shared" si="127"/>
        <v>#DIV/0!</v>
      </c>
      <c r="H131" s="37"/>
      <c r="I131" s="40"/>
      <c r="J131" s="37">
        <f t="shared" si="128"/>
        <v>0</v>
      </c>
      <c r="K131" s="37">
        <f t="shared" si="129"/>
        <v>70</v>
      </c>
      <c r="L131" s="152" t="str">
        <f t="shared" si="130"/>
        <v>#DIV/0!</v>
      </c>
      <c r="M131" s="126">
        <v>18800.0</v>
      </c>
      <c r="N131" s="49">
        <f t="shared" si="131"/>
        <v>1316000</v>
      </c>
      <c r="R131" s="80" t="str">
        <f t="shared" si="51"/>
        <v/>
      </c>
    </row>
    <row r="132">
      <c r="A132" s="154">
        <v>45889.0</v>
      </c>
      <c r="B132" s="156" t="s">
        <v>80</v>
      </c>
      <c r="C132" s="89"/>
      <c r="D132" s="89"/>
      <c r="E132" s="12">
        <f t="shared" si="126"/>
        <v>0</v>
      </c>
      <c r="F132" s="157">
        <v>70.0</v>
      </c>
      <c r="G132" s="14" t="str">
        <f t="shared" si="127"/>
        <v>#DIV/0!</v>
      </c>
      <c r="H132" s="37"/>
      <c r="I132" s="40"/>
      <c r="J132" s="37">
        <f t="shared" si="128"/>
        <v>0</v>
      </c>
      <c r="K132" s="37">
        <f t="shared" si="129"/>
        <v>70</v>
      </c>
      <c r="L132" s="152" t="str">
        <f t="shared" si="130"/>
        <v>#DIV/0!</v>
      </c>
      <c r="M132" s="126">
        <v>18070.0</v>
      </c>
      <c r="N132" s="49">
        <f t="shared" si="131"/>
        <v>1264900</v>
      </c>
      <c r="R132" s="80" t="str">
        <f t="shared" si="51"/>
        <v/>
      </c>
    </row>
    <row r="133">
      <c r="A133" s="154">
        <v>45893.0</v>
      </c>
      <c r="B133" s="156" t="s">
        <v>80</v>
      </c>
      <c r="C133" s="89"/>
      <c r="D133" s="89"/>
      <c r="E133" s="12">
        <f t="shared" si="126"/>
        <v>0</v>
      </c>
      <c r="F133" s="157">
        <v>70.0</v>
      </c>
      <c r="G133" s="14" t="str">
        <f t="shared" si="127"/>
        <v>#DIV/0!</v>
      </c>
      <c r="H133" s="37"/>
      <c r="I133" s="40"/>
      <c r="J133" s="37">
        <f t="shared" si="128"/>
        <v>0</v>
      </c>
      <c r="K133" s="37">
        <f t="shared" si="129"/>
        <v>70</v>
      </c>
      <c r="L133" s="152" t="str">
        <f t="shared" si="130"/>
        <v>#DIV/0!</v>
      </c>
      <c r="M133" s="126">
        <v>17900.0</v>
      </c>
      <c r="N133" s="49">
        <f t="shared" si="131"/>
        <v>1253000</v>
      </c>
      <c r="R133" s="80" t="str">
        <f t="shared" si="51"/>
        <v/>
      </c>
    </row>
    <row r="134">
      <c r="A134" s="154">
        <v>45898.0</v>
      </c>
      <c r="B134" s="156" t="s">
        <v>80</v>
      </c>
      <c r="C134" s="89"/>
      <c r="D134" s="158"/>
      <c r="E134" s="12">
        <f t="shared" si="126"/>
        <v>0</v>
      </c>
      <c r="F134" s="157">
        <v>70.0</v>
      </c>
      <c r="G134" s="14" t="str">
        <f t="shared" si="127"/>
        <v>#DIV/0!</v>
      </c>
      <c r="H134" s="37"/>
      <c r="I134" s="93"/>
      <c r="J134" s="37">
        <f t="shared" si="128"/>
        <v>0</v>
      </c>
      <c r="K134" s="37">
        <f t="shared" si="129"/>
        <v>70</v>
      </c>
      <c r="L134" s="152" t="str">
        <f t="shared" si="130"/>
        <v>#DIV/0!</v>
      </c>
      <c r="M134" s="126">
        <v>18350.0</v>
      </c>
      <c r="N134" s="49">
        <f t="shared" si="131"/>
        <v>1284500</v>
      </c>
      <c r="R134" s="80" t="str">
        <f t="shared" si="51"/>
        <v/>
      </c>
    </row>
    <row r="135">
      <c r="A135" s="154"/>
      <c r="B135" s="156"/>
      <c r="C135" s="89"/>
      <c r="D135" s="158"/>
      <c r="E135" s="12">
        <f t="shared" si="126"/>
        <v>0</v>
      </c>
      <c r="F135" s="157"/>
      <c r="G135" s="14" t="str">
        <f t="shared" si="127"/>
        <v>#DIV/0!</v>
      </c>
      <c r="H135" s="89"/>
      <c r="I135" s="159"/>
      <c r="J135" s="89">
        <f t="shared" si="128"/>
        <v>0</v>
      </c>
      <c r="K135" s="37" t="str">
        <f t="shared" si="129"/>
        <v/>
      </c>
      <c r="L135" s="152" t="str">
        <f t="shared" si="130"/>
        <v>#DIV/0!</v>
      </c>
      <c r="M135" s="126"/>
      <c r="N135" s="49">
        <f t="shared" si="131"/>
        <v>0</v>
      </c>
      <c r="R135" s="80" t="str">
        <f t="shared" si="51"/>
        <v/>
      </c>
    </row>
    <row r="136">
      <c r="A136" s="148"/>
      <c r="B136" s="156"/>
      <c r="C136" s="149"/>
      <c r="D136" s="150"/>
      <c r="E136" s="25">
        <f t="shared" si="126"/>
        <v>0</v>
      </c>
      <c r="F136" s="161"/>
      <c r="G136" s="56" t="str">
        <f t="shared" si="127"/>
        <v>#DIV/0!</v>
      </c>
      <c r="H136" s="149"/>
      <c r="I136" s="151"/>
      <c r="J136" s="149">
        <f t="shared" si="128"/>
        <v>0</v>
      </c>
      <c r="K136" s="149"/>
      <c r="L136" s="152" t="str">
        <f t="shared" si="130"/>
        <v>#DIV/0!</v>
      </c>
      <c r="M136" s="153"/>
      <c r="N136" s="49">
        <f>M136*K136</f>
        <v>0</v>
      </c>
      <c r="R136" s="80" t="str">
        <f t="shared" si="51"/>
        <v/>
      </c>
    </row>
    <row r="137">
      <c r="A137" s="62"/>
      <c r="B137" s="63"/>
      <c r="C137" s="62"/>
      <c r="D137" s="64" t="s">
        <v>19</v>
      </c>
      <c r="E137" s="64">
        <f t="shared" ref="E137:F137" si="132">sum(E129:E136)</f>
        <v>0</v>
      </c>
      <c r="F137" s="64">
        <f t="shared" si="132"/>
        <v>415</v>
      </c>
      <c r="G137" s="65" t="str">
        <f>average(G129:G136)</f>
        <v>#DIV/0!</v>
      </c>
      <c r="H137" s="62"/>
      <c r="I137" s="66"/>
      <c r="J137" s="64">
        <f t="shared" ref="J137:K137" si="133">sum(J129:J136)</f>
        <v>0</v>
      </c>
      <c r="K137" s="64">
        <f t="shared" si="133"/>
        <v>415</v>
      </c>
      <c r="L137" s="65" t="str">
        <f>average(L129:L136)</f>
        <v>#DIV/0!</v>
      </c>
      <c r="M137" s="68"/>
      <c r="N137" s="147">
        <f>sum(N129:N136)</f>
        <v>7673300</v>
      </c>
      <c r="R137" s="80" t="str">
        <f t="shared" si="51"/>
        <v/>
      </c>
    </row>
    <row r="138">
      <c r="A138" s="70">
        <v>45874.0</v>
      </c>
      <c r="B138" s="156" t="s">
        <v>43</v>
      </c>
      <c r="C138" s="89"/>
      <c r="D138" s="13"/>
      <c r="E138" s="38">
        <f t="shared" ref="E138:E145" si="134">D138-C138</f>
        <v>0</v>
      </c>
      <c r="F138" s="39">
        <v>60.0</v>
      </c>
      <c r="G138" s="14" t="str">
        <f t="shared" ref="G138:G145" si="135">(F138/E138)*100</f>
        <v>#DIV/0!</v>
      </c>
      <c r="H138" s="137"/>
      <c r="I138" s="138"/>
      <c r="J138" s="41">
        <f t="shared" ref="J138:J145" si="136">I138-H138</f>
        <v>0</v>
      </c>
      <c r="K138" s="41">
        <f t="shared" ref="K138:K144" si="137">F138</f>
        <v>60</v>
      </c>
      <c r="L138" s="152" t="str">
        <f t="shared" ref="L138:L145" si="138">(K138/J138)*100</f>
        <v>#DIV/0!</v>
      </c>
      <c r="M138" s="72">
        <v>19060.0</v>
      </c>
      <c r="N138" s="49">
        <f t="shared" ref="N138:N144" si="139">F138*M138</f>
        <v>1143600</v>
      </c>
      <c r="R138" s="80" t="str">
        <f t="shared" si="51"/>
        <v/>
      </c>
    </row>
    <row r="139">
      <c r="A139" s="70">
        <v>45880.0</v>
      </c>
      <c r="B139" s="156" t="s">
        <v>43</v>
      </c>
      <c r="C139" s="89"/>
      <c r="D139" s="13"/>
      <c r="E139" s="38">
        <f t="shared" si="134"/>
        <v>0</v>
      </c>
      <c r="F139" s="47">
        <v>50.0</v>
      </c>
      <c r="G139" s="14" t="str">
        <f t="shared" si="135"/>
        <v>#DIV/0!</v>
      </c>
      <c r="H139" s="40"/>
      <c r="I139" s="40"/>
      <c r="J139" s="37">
        <f t="shared" si="136"/>
        <v>0</v>
      </c>
      <c r="K139" s="41">
        <f t="shared" si="137"/>
        <v>50</v>
      </c>
      <c r="L139" s="152" t="str">
        <f t="shared" si="138"/>
        <v>#DIV/0!</v>
      </c>
      <c r="M139" s="126">
        <v>18800.0</v>
      </c>
      <c r="N139" s="49">
        <f t="shared" si="139"/>
        <v>940000</v>
      </c>
      <c r="R139" s="80" t="str">
        <f t="shared" si="51"/>
        <v/>
      </c>
    </row>
    <row r="140">
      <c r="A140" s="154">
        <v>45884.0</v>
      </c>
      <c r="B140" s="156" t="s">
        <v>43</v>
      </c>
      <c r="C140" s="89"/>
      <c r="D140" s="89"/>
      <c r="E140" s="12">
        <f t="shared" si="134"/>
        <v>0</v>
      </c>
      <c r="F140" s="157">
        <v>50.0</v>
      </c>
      <c r="G140" s="14" t="str">
        <f t="shared" si="135"/>
        <v>#DIV/0!</v>
      </c>
      <c r="H140" s="37"/>
      <c r="I140" s="40"/>
      <c r="J140" s="37">
        <f t="shared" si="136"/>
        <v>0</v>
      </c>
      <c r="K140" s="41">
        <f t="shared" si="137"/>
        <v>50</v>
      </c>
      <c r="L140" s="152" t="str">
        <f t="shared" si="138"/>
        <v>#DIV/0!</v>
      </c>
      <c r="M140" s="126">
        <v>18070.0</v>
      </c>
      <c r="N140" s="49">
        <f t="shared" si="139"/>
        <v>903500</v>
      </c>
      <c r="R140" s="80" t="str">
        <f t="shared" si="51"/>
        <v/>
      </c>
    </row>
    <row r="141">
      <c r="A141" s="154">
        <v>45888.0</v>
      </c>
      <c r="B141" s="156" t="s">
        <v>43</v>
      </c>
      <c r="C141" s="89"/>
      <c r="D141" s="89"/>
      <c r="E141" s="12">
        <f t="shared" si="134"/>
        <v>0</v>
      </c>
      <c r="F141" s="157">
        <v>60.0</v>
      </c>
      <c r="G141" s="14" t="str">
        <f t="shared" si="135"/>
        <v>#DIV/0!</v>
      </c>
      <c r="H141" s="37"/>
      <c r="I141" s="40"/>
      <c r="J141" s="37">
        <f t="shared" si="136"/>
        <v>0</v>
      </c>
      <c r="K141" s="41">
        <f t="shared" si="137"/>
        <v>60</v>
      </c>
      <c r="L141" s="152" t="str">
        <f t="shared" si="138"/>
        <v>#DIV/0!</v>
      </c>
      <c r="M141" s="126">
        <v>18070.0</v>
      </c>
      <c r="N141" s="49">
        <f t="shared" si="139"/>
        <v>1084200</v>
      </c>
      <c r="R141" s="80" t="str">
        <f t="shared" si="51"/>
        <v/>
      </c>
    </row>
    <row r="142">
      <c r="A142" s="154">
        <v>45892.0</v>
      </c>
      <c r="B142" s="156" t="s">
        <v>43</v>
      </c>
      <c r="C142" s="89"/>
      <c r="D142" s="89"/>
      <c r="E142" s="12">
        <f t="shared" si="134"/>
        <v>0</v>
      </c>
      <c r="F142" s="157">
        <v>60.0</v>
      </c>
      <c r="G142" s="14" t="str">
        <f t="shared" si="135"/>
        <v>#DIV/0!</v>
      </c>
      <c r="H142" s="37"/>
      <c r="I142" s="40"/>
      <c r="J142" s="37">
        <f t="shared" si="136"/>
        <v>0</v>
      </c>
      <c r="K142" s="41">
        <f t="shared" si="137"/>
        <v>60</v>
      </c>
      <c r="L142" s="152" t="str">
        <f t="shared" si="138"/>
        <v>#DIV/0!</v>
      </c>
      <c r="M142" s="126">
        <v>17900.0</v>
      </c>
      <c r="N142" s="49">
        <f t="shared" si="139"/>
        <v>1074000</v>
      </c>
      <c r="R142" s="80" t="str">
        <f t="shared" si="51"/>
        <v/>
      </c>
    </row>
    <row r="143">
      <c r="A143" s="154">
        <v>45896.0</v>
      </c>
      <c r="B143" s="156" t="s">
        <v>43</v>
      </c>
      <c r="C143" s="89"/>
      <c r="D143" s="158"/>
      <c r="E143" s="12">
        <f t="shared" si="134"/>
        <v>0</v>
      </c>
      <c r="F143" s="157">
        <v>60.0</v>
      </c>
      <c r="G143" s="14" t="str">
        <f t="shared" si="135"/>
        <v>#DIV/0!</v>
      </c>
      <c r="H143" s="37"/>
      <c r="I143" s="93"/>
      <c r="J143" s="37">
        <f t="shared" si="136"/>
        <v>0</v>
      </c>
      <c r="K143" s="41">
        <f t="shared" si="137"/>
        <v>60</v>
      </c>
      <c r="L143" s="152" t="str">
        <f t="shared" si="138"/>
        <v>#DIV/0!</v>
      </c>
      <c r="M143" s="126">
        <v>17900.0</v>
      </c>
      <c r="N143" s="49">
        <f t="shared" si="139"/>
        <v>1074000</v>
      </c>
      <c r="R143" s="80" t="str">
        <f t="shared" si="51"/>
        <v/>
      </c>
    </row>
    <row r="144">
      <c r="A144" s="154"/>
      <c r="B144" s="156" t="s">
        <v>43</v>
      </c>
      <c r="C144" s="89"/>
      <c r="D144" s="158"/>
      <c r="E144" s="12">
        <f t="shared" si="134"/>
        <v>0</v>
      </c>
      <c r="F144" s="157"/>
      <c r="G144" s="14" t="str">
        <f t="shared" si="135"/>
        <v>#DIV/0!</v>
      </c>
      <c r="H144" s="89"/>
      <c r="I144" s="159"/>
      <c r="J144" s="89">
        <f t="shared" si="136"/>
        <v>0</v>
      </c>
      <c r="K144" s="41" t="str">
        <f t="shared" si="137"/>
        <v/>
      </c>
      <c r="L144" s="152" t="str">
        <f t="shared" si="138"/>
        <v>#DIV/0!</v>
      </c>
      <c r="M144" s="126"/>
      <c r="N144" s="49">
        <f t="shared" si="139"/>
        <v>0</v>
      </c>
      <c r="R144" s="80" t="str">
        <f t="shared" si="51"/>
        <v/>
      </c>
    </row>
    <row r="145">
      <c r="A145" s="148"/>
      <c r="B145" s="156"/>
      <c r="C145" s="149"/>
      <c r="D145" s="150"/>
      <c r="E145" s="25">
        <f t="shared" si="134"/>
        <v>0</v>
      </c>
      <c r="F145" s="161"/>
      <c r="G145" s="56" t="str">
        <f t="shared" si="135"/>
        <v>#DIV/0!</v>
      </c>
      <c r="H145" s="149"/>
      <c r="I145" s="151"/>
      <c r="J145" s="149">
        <f t="shared" si="136"/>
        <v>0</v>
      </c>
      <c r="K145" s="149"/>
      <c r="L145" s="152" t="str">
        <f t="shared" si="138"/>
        <v>#DIV/0!</v>
      </c>
      <c r="M145" s="153"/>
      <c r="N145" s="49">
        <f>M145*K145</f>
        <v>0</v>
      </c>
      <c r="R145" s="80" t="str">
        <f t="shared" si="51"/>
        <v/>
      </c>
    </row>
    <row r="146">
      <c r="A146" s="62"/>
      <c r="B146" s="63"/>
      <c r="C146" s="62"/>
      <c r="D146" s="64" t="s">
        <v>19</v>
      </c>
      <c r="E146" s="64">
        <f t="shared" ref="E146:F146" si="140">sum(E138:E145)</f>
        <v>0</v>
      </c>
      <c r="F146" s="64">
        <f t="shared" si="140"/>
        <v>340</v>
      </c>
      <c r="G146" s="65" t="str">
        <f>average(G138:G145)</f>
        <v>#DIV/0!</v>
      </c>
      <c r="H146" s="62"/>
      <c r="I146" s="66"/>
      <c r="J146" s="64">
        <f t="shared" ref="J146:K146" si="141">sum(J138:J145)</f>
        <v>0</v>
      </c>
      <c r="K146" s="64">
        <f t="shared" si="141"/>
        <v>340</v>
      </c>
      <c r="L146" s="65" t="str">
        <f>average(L138:L145)</f>
        <v>#DIV/0!</v>
      </c>
      <c r="M146" s="68"/>
      <c r="N146" s="147">
        <f>sum(N138:N145)</f>
        <v>6219300</v>
      </c>
      <c r="R146" s="80" t="str">
        <f t="shared" si="51"/>
        <v/>
      </c>
    </row>
    <row r="147">
      <c r="A147" s="70">
        <v>45873.0</v>
      </c>
      <c r="B147" s="156" t="s">
        <v>30</v>
      </c>
      <c r="C147" s="89"/>
      <c r="D147" s="13"/>
      <c r="E147" s="38">
        <f t="shared" ref="E147:E154" si="142">D147-C147</f>
        <v>0</v>
      </c>
      <c r="F147" s="39">
        <v>70.0</v>
      </c>
      <c r="G147" s="14" t="str">
        <f t="shared" ref="G147:G154" si="143">(F147/E147)*100</f>
        <v>#DIV/0!</v>
      </c>
      <c r="H147" s="137"/>
      <c r="I147" s="138"/>
      <c r="J147" s="41">
        <f t="shared" ref="J147:J154" si="144">I147-H147</f>
        <v>0</v>
      </c>
      <c r="K147" s="41">
        <f t="shared" ref="K147:K153" si="145">F147</f>
        <v>70</v>
      </c>
      <c r="L147" s="152" t="str">
        <f t="shared" ref="L147:L154" si="146">(K147/J147)*100</f>
        <v>#DIV/0!</v>
      </c>
      <c r="M147" s="72">
        <v>19060.0</v>
      </c>
      <c r="N147" s="49">
        <f t="shared" ref="N147:N153" si="147">F147*M147</f>
        <v>1334200</v>
      </c>
      <c r="R147" s="80" t="str">
        <f t="shared" si="51"/>
        <v/>
      </c>
    </row>
    <row r="148">
      <c r="A148" s="70">
        <v>45878.0</v>
      </c>
      <c r="B148" s="156" t="s">
        <v>30</v>
      </c>
      <c r="C148" s="89"/>
      <c r="D148" s="13"/>
      <c r="E148" s="38">
        <f t="shared" si="142"/>
        <v>0</v>
      </c>
      <c r="F148" s="47">
        <v>77.0</v>
      </c>
      <c r="G148" s="14" t="str">
        <f t="shared" si="143"/>
        <v>#DIV/0!</v>
      </c>
      <c r="H148" s="40"/>
      <c r="I148" s="40"/>
      <c r="J148" s="37">
        <f t="shared" si="144"/>
        <v>0</v>
      </c>
      <c r="K148" s="41">
        <f t="shared" si="145"/>
        <v>77</v>
      </c>
      <c r="L148" s="152" t="str">
        <f t="shared" si="146"/>
        <v>#DIV/0!</v>
      </c>
      <c r="M148" s="126">
        <v>18800.0</v>
      </c>
      <c r="N148" s="49">
        <f t="shared" si="147"/>
        <v>1447600</v>
      </c>
      <c r="R148" s="80" t="str">
        <f t="shared" si="51"/>
        <v/>
      </c>
    </row>
    <row r="149">
      <c r="A149" s="154">
        <v>45884.0</v>
      </c>
      <c r="B149" s="156" t="s">
        <v>30</v>
      </c>
      <c r="C149" s="89"/>
      <c r="D149" s="89"/>
      <c r="E149" s="12">
        <f t="shared" si="142"/>
        <v>0</v>
      </c>
      <c r="F149" s="157">
        <v>67.0</v>
      </c>
      <c r="G149" s="14" t="str">
        <f t="shared" si="143"/>
        <v>#DIV/0!</v>
      </c>
      <c r="H149" s="37"/>
      <c r="I149" s="40"/>
      <c r="J149" s="37">
        <f t="shared" si="144"/>
        <v>0</v>
      </c>
      <c r="K149" s="41">
        <f t="shared" si="145"/>
        <v>67</v>
      </c>
      <c r="L149" s="152" t="str">
        <f t="shared" si="146"/>
        <v>#DIV/0!</v>
      </c>
      <c r="M149" s="126">
        <v>18070.0</v>
      </c>
      <c r="N149" s="49">
        <f t="shared" si="147"/>
        <v>1210690</v>
      </c>
      <c r="R149" s="80" t="str">
        <f t="shared" si="51"/>
        <v/>
      </c>
    </row>
    <row r="150">
      <c r="A150" s="154">
        <v>45896.0</v>
      </c>
      <c r="B150" s="156" t="s">
        <v>30</v>
      </c>
      <c r="C150" s="89"/>
      <c r="D150" s="89"/>
      <c r="E150" s="12">
        <f t="shared" si="142"/>
        <v>0</v>
      </c>
      <c r="F150" s="157">
        <v>68.0</v>
      </c>
      <c r="G150" s="14" t="str">
        <f t="shared" si="143"/>
        <v>#DIV/0!</v>
      </c>
      <c r="H150" s="37"/>
      <c r="I150" s="40"/>
      <c r="J150" s="37">
        <f t="shared" si="144"/>
        <v>0</v>
      </c>
      <c r="K150" s="41">
        <f t="shared" si="145"/>
        <v>68</v>
      </c>
      <c r="L150" s="152" t="str">
        <f t="shared" si="146"/>
        <v>#DIV/0!</v>
      </c>
      <c r="M150" s="126">
        <v>17900.0</v>
      </c>
      <c r="N150" s="49">
        <f t="shared" si="147"/>
        <v>1217200</v>
      </c>
      <c r="R150" s="80" t="str">
        <f t="shared" si="51"/>
        <v/>
      </c>
    </row>
    <row r="151">
      <c r="A151" s="154"/>
      <c r="B151" s="156" t="s">
        <v>30</v>
      </c>
      <c r="C151" s="89"/>
      <c r="D151" s="89"/>
      <c r="E151" s="12">
        <f t="shared" si="142"/>
        <v>0</v>
      </c>
      <c r="F151" s="157"/>
      <c r="G151" s="14" t="str">
        <f t="shared" si="143"/>
        <v>#DIV/0!</v>
      </c>
      <c r="H151" s="37"/>
      <c r="I151" s="40"/>
      <c r="J151" s="37">
        <f t="shared" si="144"/>
        <v>0</v>
      </c>
      <c r="K151" s="41" t="str">
        <f t="shared" si="145"/>
        <v/>
      </c>
      <c r="L151" s="152" t="str">
        <f t="shared" si="146"/>
        <v>#DIV/0!</v>
      </c>
      <c r="M151" s="126"/>
      <c r="N151" s="49">
        <f t="shared" si="147"/>
        <v>0</v>
      </c>
      <c r="R151" s="80" t="str">
        <f t="shared" si="51"/>
        <v/>
      </c>
    </row>
    <row r="152">
      <c r="A152" s="154"/>
      <c r="B152" s="156" t="s">
        <v>30</v>
      </c>
      <c r="C152" s="89"/>
      <c r="D152" s="158"/>
      <c r="E152" s="12">
        <f t="shared" si="142"/>
        <v>0</v>
      </c>
      <c r="F152" s="157"/>
      <c r="G152" s="14" t="str">
        <f t="shared" si="143"/>
        <v>#DIV/0!</v>
      </c>
      <c r="H152" s="37"/>
      <c r="I152" s="93"/>
      <c r="J152" s="37">
        <f t="shared" si="144"/>
        <v>0</v>
      </c>
      <c r="K152" s="41" t="str">
        <f t="shared" si="145"/>
        <v/>
      </c>
      <c r="L152" s="152" t="str">
        <f t="shared" si="146"/>
        <v>#DIV/0!</v>
      </c>
      <c r="M152" s="126"/>
      <c r="N152" s="49">
        <f t="shared" si="147"/>
        <v>0</v>
      </c>
      <c r="R152" s="80" t="str">
        <f t="shared" si="51"/>
        <v/>
      </c>
    </row>
    <row r="153">
      <c r="A153" s="154"/>
      <c r="B153" s="156"/>
      <c r="C153" s="89"/>
      <c r="D153" s="158"/>
      <c r="E153" s="12">
        <f t="shared" si="142"/>
        <v>0</v>
      </c>
      <c r="F153" s="157"/>
      <c r="G153" s="14" t="str">
        <f t="shared" si="143"/>
        <v>#DIV/0!</v>
      </c>
      <c r="H153" s="89"/>
      <c r="I153" s="159"/>
      <c r="J153" s="89">
        <f t="shared" si="144"/>
        <v>0</v>
      </c>
      <c r="K153" s="41" t="str">
        <f t="shared" si="145"/>
        <v/>
      </c>
      <c r="L153" s="152" t="str">
        <f t="shared" si="146"/>
        <v>#DIV/0!</v>
      </c>
      <c r="M153" s="126"/>
      <c r="N153" s="49">
        <f t="shared" si="147"/>
        <v>0</v>
      </c>
      <c r="R153" s="80" t="str">
        <f t="shared" si="51"/>
        <v/>
      </c>
    </row>
    <row r="154">
      <c r="A154" s="148"/>
      <c r="B154" s="156"/>
      <c r="C154" s="149"/>
      <c r="D154" s="150"/>
      <c r="E154" s="25">
        <f t="shared" si="142"/>
        <v>0</v>
      </c>
      <c r="F154" s="161"/>
      <c r="G154" s="56" t="str">
        <f t="shared" si="143"/>
        <v>#DIV/0!</v>
      </c>
      <c r="H154" s="149"/>
      <c r="I154" s="151"/>
      <c r="J154" s="149">
        <f t="shared" si="144"/>
        <v>0</v>
      </c>
      <c r="K154" s="149"/>
      <c r="L154" s="152" t="str">
        <f t="shared" si="146"/>
        <v>#DIV/0!</v>
      </c>
      <c r="M154" s="153"/>
      <c r="N154" s="49">
        <f>M154*K154</f>
        <v>0</v>
      </c>
      <c r="R154" s="80" t="str">
        <f t="shared" si="51"/>
        <v/>
      </c>
    </row>
    <row r="155">
      <c r="A155" s="62"/>
      <c r="B155" s="63"/>
      <c r="C155" s="62"/>
      <c r="D155" s="64" t="s">
        <v>19</v>
      </c>
      <c r="E155" s="64">
        <f t="shared" ref="E155:F155" si="148">sum(E147:E154)</f>
        <v>0</v>
      </c>
      <c r="F155" s="64">
        <f t="shared" si="148"/>
        <v>282</v>
      </c>
      <c r="G155" s="65" t="str">
        <f>average(G147:G154)</f>
        <v>#DIV/0!</v>
      </c>
      <c r="H155" s="62"/>
      <c r="I155" s="66"/>
      <c r="J155" s="64">
        <f t="shared" ref="J155:K155" si="149">sum(J147:J154)</f>
        <v>0</v>
      </c>
      <c r="K155" s="64">
        <f t="shared" si="149"/>
        <v>282</v>
      </c>
      <c r="L155" s="65" t="str">
        <f>average(L147:L154)</f>
        <v>#DIV/0!</v>
      </c>
      <c r="M155" s="68"/>
      <c r="N155" s="69">
        <f>sum(N147:N154)</f>
        <v>5209690</v>
      </c>
      <c r="R155" s="80" t="str">
        <f t="shared" si="51"/>
        <v/>
      </c>
    </row>
    <row r="156">
      <c r="A156" s="154">
        <v>45888.0</v>
      </c>
      <c r="B156" s="156" t="s">
        <v>83</v>
      </c>
      <c r="C156" s="89"/>
      <c r="D156" s="13"/>
      <c r="E156" s="38">
        <f t="shared" ref="E156:E163" si="150">D156-C156</f>
        <v>0</v>
      </c>
      <c r="F156" s="39">
        <v>56.0</v>
      </c>
      <c r="G156" s="14" t="str">
        <f t="shared" ref="G156:G163" si="151">(F156/E156)*100</f>
        <v>#DIV/0!</v>
      </c>
      <c r="H156" s="137"/>
      <c r="I156" s="138"/>
      <c r="J156" s="41">
        <f t="shared" ref="J156:J163" si="152">I156-H156</f>
        <v>0</v>
      </c>
      <c r="K156" s="41">
        <f t="shared" ref="K156:K162" si="153">F156</f>
        <v>56</v>
      </c>
      <c r="L156" s="152" t="str">
        <f t="shared" ref="L156:L163" si="154">(K156/J156)*100</f>
        <v>#DIV/0!</v>
      </c>
      <c r="M156" s="72">
        <v>18070.0</v>
      </c>
      <c r="N156" s="131">
        <f t="shared" ref="N156:N162" si="155">F156*M156</f>
        <v>1011920</v>
      </c>
    </row>
    <row r="157">
      <c r="A157" s="154">
        <v>45889.0</v>
      </c>
      <c r="B157" s="156" t="s">
        <v>83</v>
      </c>
      <c r="C157" s="89"/>
      <c r="D157" s="13"/>
      <c r="E157" s="38">
        <f t="shared" si="150"/>
        <v>0</v>
      </c>
      <c r="F157" s="47">
        <v>65.0</v>
      </c>
      <c r="G157" s="14" t="str">
        <f t="shared" si="151"/>
        <v>#DIV/0!</v>
      </c>
      <c r="H157" s="40"/>
      <c r="I157" s="40"/>
      <c r="J157" s="37">
        <f t="shared" si="152"/>
        <v>0</v>
      </c>
      <c r="K157" s="37">
        <f t="shared" si="153"/>
        <v>65</v>
      </c>
      <c r="L157" s="152" t="str">
        <f t="shared" si="154"/>
        <v>#DIV/0!</v>
      </c>
      <c r="M157" s="126">
        <v>18070.0</v>
      </c>
      <c r="N157" s="49">
        <f t="shared" si="155"/>
        <v>1174550</v>
      </c>
    </row>
    <row r="158">
      <c r="A158" s="154">
        <v>45895.0</v>
      </c>
      <c r="B158" s="156" t="s">
        <v>83</v>
      </c>
      <c r="C158" s="89"/>
      <c r="D158" s="89"/>
      <c r="E158" s="12">
        <f t="shared" si="150"/>
        <v>0</v>
      </c>
      <c r="F158" s="157">
        <v>80.0</v>
      </c>
      <c r="G158" s="14" t="str">
        <f t="shared" si="151"/>
        <v>#DIV/0!</v>
      </c>
      <c r="H158" s="37"/>
      <c r="I158" s="40"/>
      <c r="J158" s="37">
        <f t="shared" si="152"/>
        <v>0</v>
      </c>
      <c r="K158" s="37">
        <f t="shared" si="153"/>
        <v>80</v>
      </c>
      <c r="L158" s="152" t="str">
        <f t="shared" si="154"/>
        <v>#DIV/0!</v>
      </c>
      <c r="M158" s="126">
        <v>17900.0</v>
      </c>
      <c r="N158" s="49">
        <f t="shared" si="155"/>
        <v>1432000</v>
      </c>
    </row>
    <row r="159">
      <c r="A159" s="154">
        <v>45898.0</v>
      </c>
      <c r="B159" s="156" t="s">
        <v>83</v>
      </c>
      <c r="C159" s="89"/>
      <c r="D159" s="89"/>
      <c r="E159" s="12">
        <f t="shared" si="150"/>
        <v>0</v>
      </c>
      <c r="F159" s="157">
        <v>70.0</v>
      </c>
      <c r="G159" s="14" t="str">
        <f t="shared" si="151"/>
        <v>#DIV/0!</v>
      </c>
      <c r="H159" s="37"/>
      <c r="I159" s="40"/>
      <c r="J159" s="37">
        <f t="shared" si="152"/>
        <v>0</v>
      </c>
      <c r="K159" s="37">
        <f t="shared" si="153"/>
        <v>70</v>
      </c>
      <c r="L159" s="152" t="str">
        <f t="shared" si="154"/>
        <v>#DIV/0!</v>
      </c>
      <c r="M159" s="126">
        <v>18350.0</v>
      </c>
      <c r="N159" s="49">
        <f t="shared" si="155"/>
        <v>1284500</v>
      </c>
    </row>
    <row r="160">
      <c r="A160" s="154"/>
      <c r="B160" s="156" t="s">
        <v>83</v>
      </c>
      <c r="C160" s="89"/>
      <c r="D160" s="89"/>
      <c r="E160" s="12">
        <f t="shared" si="150"/>
        <v>0</v>
      </c>
      <c r="F160" s="157"/>
      <c r="G160" s="14" t="str">
        <f t="shared" si="151"/>
        <v>#DIV/0!</v>
      </c>
      <c r="H160" s="37"/>
      <c r="I160" s="40"/>
      <c r="J160" s="37">
        <f t="shared" si="152"/>
        <v>0</v>
      </c>
      <c r="K160" s="37" t="str">
        <f t="shared" si="153"/>
        <v/>
      </c>
      <c r="L160" s="152" t="str">
        <f t="shared" si="154"/>
        <v>#DIV/0!</v>
      </c>
      <c r="M160" s="126"/>
      <c r="N160" s="49">
        <f t="shared" si="155"/>
        <v>0</v>
      </c>
    </row>
    <row r="161">
      <c r="A161" s="154"/>
      <c r="B161" s="156" t="s">
        <v>83</v>
      </c>
      <c r="C161" s="89"/>
      <c r="D161" s="158"/>
      <c r="E161" s="12">
        <f t="shared" si="150"/>
        <v>0</v>
      </c>
      <c r="F161" s="157"/>
      <c r="G161" s="14" t="str">
        <f t="shared" si="151"/>
        <v>#DIV/0!</v>
      </c>
      <c r="H161" s="37"/>
      <c r="I161" s="93"/>
      <c r="J161" s="37">
        <f t="shared" si="152"/>
        <v>0</v>
      </c>
      <c r="K161" s="37" t="str">
        <f t="shared" si="153"/>
        <v/>
      </c>
      <c r="L161" s="152" t="str">
        <f t="shared" si="154"/>
        <v>#DIV/0!</v>
      </c>
      <c r="M161" s="126"/>
      <c r="N161" s="49">
        <f t="shared" si="155"/>
        <v>0</v>
      </c>
    </row>
    <row r="162">
      <c r="A162" s="154"/>
      <c r="B162" s="156" t="s">
        <v>83</v>
      </c>
      <c r="C162" s="89"/>
      <c r="D162" s="158"/>
      <c r="E162" s="12">
        <f t="shared" si="150"/>
        <v>0</v>
      </c>
      <c r="F162" s="157"/>
      <c r="G162" s="14" t="str">
        <f t="shared" si="151"/>
        <v>#DIV/0!</v>
      </c>
      <c r="H162" s="89"/>
      <c r="I162" s="159"/>
      <c r="J162" s="89">
        <f t="shared" si="152"/>
        <v>0</v>
      </c>
      <c r="K162" s="37" t="str">
        <f t="shared" si="153"/>
        <v/>
      </c>
      <c r="L162" s="152" t="str">
        <f t="shared" si="154"/>
        <v>#DIV/0!</v>
      </c>
      <c r="M162" s="126"/>
      <c r="N162" s="49">
        <f t="shared" si="155"/>
        <v>0</v>
      </c>
    </row>
    <row r="163">
      <c r="A163" s="148"/>
      <c r="B163" s="156"/>
      <c r="C163" s="149"/>
      <c r="D163" s="150"/>
      <c r="E163" s="25">
        <f t="shared" si="150"/>
        <v>0</v>
      </c>
      <c r="F163" s="161"/>
      <c r="G163" s="56" t="str">
        <f t="shared" si="151"/>
        <v>#DIV/0!</v>
      </c>
      <c r="H163" s="149"/>
      <c r="I163" s="151"/>
      <c r="J163" s="149">
        <f t="shared" si="152"/>
        <v>0</v>
      </c>
      <c r="K163" s="149"/>
      <c r="L163" s="152" t="str">
        <f t="shared" si="154"/>
        <v>#DIV/0!</v>
      </c>
      <c r="M163" s="153"/>
      <c r="N163" s="49">
        <f>M163*K163</f>
        <v>0</v>
      </c>
    </row>
    <row r="164">
      <c r="A164" s="62"/>
      <c r="B164" s="63"/>
      <c r="C164" s="62"/>
      <c r="D164" s="64" t="s">
        <v>19</v>
      </c>
      <c r="E164" s="64">
        <f t="shared" ref="E164:F164" si="156">sum(E156:E163)</f>
        <v>0</v>
      </c>
      <c r="F164" s="64">
        <f t="shared" si="156"/>
        <v>271</v>
      </c>
      <c r="G164" s="65" t="str">
        <f>average(G156:G163)</f>
        <v>#DIV/0!</v>
      </c>
      <c r="H164" s="62"/>
      <c r="I164" s="66"/>
      <c r="J164" s="64">
        <f t="shared" ref="J164:K164" si="157">sum(J156:J163)</f>
        <v>0</v>
      </c>
      <c r="K164" s="64">
        <f t="shared" si="157"/>
        <v>271</v>
      </c>
      <c r="L164" s="65" t="str">
        <f>average(L156:L163)</f>
        <v>#DIV/0!</v>
      </c>
      <c r="M164" s="68"/>
      <c r="N164" s="69">
        <f>sum(N156:N163)</f>
        <v>4902970</v>
      </c>
    </row>
    <row r="165">
      <c r="A165" s="154">
        <v>45874.0</v>
      </c>
      <c r="B165" s="156" t="s">
        <v>32</v>
      </c>
      <c r="C165" s="89"/>
      <c r="D165" s="13"/>
      <c r="E165" s="38">
        <f t="shared" ref="E165:E172" si="158">D165-C165</f>
        <v>0</v>
      </c>
      <c r="F165" s="39">
        <v>80.0</v>
      </c>
      <c r="G165" s="14" t="str">
        <f t="shared" ref="G165:G172" si="159">(F165/E165)*100</f>
        <v>#DIV/0!</v>
      </c>
      <c r="H165" s="137"/>
      <c r="I165" s="138"/>
      <c r="J165" s="41">
        <f t="shared" ref="J165:J172" si="160">I165-H165</f>
        <v>0</v>
      </c>
      <c r="K165" s="41">
        <f t="shared" ref="K165:K171" si="161">F165</f>
        <v>80</v>
      </c>
      <c r="L165" s="152" t="str">
        <f t="shared" ref="L165:L172" si="162">(K165/J165)*100</f>
        <v>#DIV/0!</v>
      </c>
      <c r="M165" s="72">
        <v>19060.0</v>
      </c>
      <c r="N165" s="131">
        <f t="shared" ref="N165:N171" si="163">F165*M165</f>
        <v>1524800</v>
      </c>
      <c r="R165" s="80" t="str">
        <f t="shared" ref="R165:R174" si="164">Q165</f>
        <v/>
      </c>
    </row>
    <row r="166">
      <c r="A166" s="154">
        <v>45882.0</v>
      </c>
      <c r="B166" s="156" t="s">
        <v>32</v>
      </c>
      <c r="C166" s="89"/>
      <c r="D166" s="13"/>
      <c r="E166" s="38">
        <f t="shared" si="158"/>
        <v>0</v>
      </c>
      <c r="F166" s="47">
        <v>90.0</v>
      </c>
      <c r="G166" s="14" t="str">
        <f t="shared" si="159"/>
        <v>#DIV/0!</v>
      </c>
      <c r="H166" s="40"/>
      <c r="I166" s="40"/>
      <c r="J166" s="37">
        <f t="shared" si="160"/>
        <v>0</v>
      </c>
      <c r="K166" s="37">
        <f t="shared" si="161"/>
        <v>90</v>
      </c>
      <c r="L166" s="152" t="str">
        <f t="shared" si="162"/>
        <v>#DIV/0!</v>
      </c>
      <c r="M166" s="126">
        <v>18800.0</v>
      </c>
      <c r="N166" s="49">
        <f t="shared" si="163"/>
        <v>1692000</v>
      </c>
      <c r="R166" s="80" t="str">
        <f t="shared" si="164"/>
        <v/>
      </c>
    </row>
    <row r="167">
      <c r="A167" s="154">
        <v>45892.0</v>
      </c>
      <c r="B167" s="156" t="s">
        <v>32</v>
      </c>
      <c r="C167" s="89"/>
      <c r="D167" s="89"/>
      <c r="E167" s="12">
        <f t="shared" si="158"/>
        <v>0</v>
      </c>
      <c r="F167" s="157">
        <v>70.0</v>
      </c>
      <c r="G167" s="14" t="str">
        <f t="shared" si="159"/>
        <v>#DIV/0!</v>
      </c>
      <c r="H167" s="37"/>
      <c r="I167" s="40"/>
      <c r="J167" s="37">
        <f t="shared" si="160"/>
        <v>0</v>
      </c>
      <c r="K167" s="37">
        <f t="shared" si="161"/>
        <v>70</v>
      </c>
      <c r="L167" s="152" t="str">
        <f t="shared" si="162"/>
        <v>#DIV/0!</v>
      </c>
      <c r="M167" s="126">
        <v>17900.0</v>
      </c>
      <c r="N167" s="49">
        <f t="shared" si="163"/>
        <v>1253000</v>
      </c>
      <c r="R167" s="80" t="str">
        <f t="shared" si="164"/>
        <v/>
      </c>
    </row>
    <row r="168">
      <c r="A168" s="154">
        <v>45899.0</v>
      </c>
      <c r="B168" s="156" t="s">
        <v>32</v>
      </c>
      <c r="C168" s="89"/>
      <c r="D168" s="89"/>
      <c r="E168" s="12">
        <f t="shared" si="158"/>
        <v>0</v>
      </c>
      <c r="F168" s="157">
        <v>84.0</v>
      </c>
      <c r="G168" s="14" t="str">
        <f t="shared" si="159"/>
        <v>#DIV/0!</v>
      </c>
      <c r="H168" s="37"/>
      <c r="I168" s="40"/>
      <c r="J168" s="37">
        <f t="shared" si="160"/>
        <v>0</v>
      </c>
      <c r="K168" s="37">
        <f t="shared" si="161"/>
        <v>84</v>
      </c>
      <c r="L168" s="152" t="str">
        <f t="shared" si="162"/>
        <v>#DIV/0!</v>
      </c>
      <c r="M168" s="126">
        <v>18350.0</v>
      </c>
      <c r="N168" s="49">
        <f t="shared" si="163"/>
        <v>1541400</v>
      </c>
      <c r="R168" s="80" t="str">
        <f t="shared" si="164"/>
        <v/>
      </c>
    </row>
    <row r="169">
      <c r="A169" s="154"/>
      <c r="B169" s="156" t="s">
        <v>32</v>
      </c>
      <c r="C169" s="89"/>
      <c r="D169" s="89"/>
      <c r="E169" s="12">
        <f t="shared" si="158"/>
        <v>0</v>
      </c>
      <c r="F169" s="157"/>
      <c r="G169" s="14" t="str">
        <f t="shared" si="159"/>
        <v>#DIV/0!</v>
      </c>
      <c r="H169" s="37"/>
      <c r="I169" s="40"/>
      <c r="J169" s="37">
        <f t="shared" si="160"/>
        <v>0</v>
      </c>
      <c r="K169" s="37" t="str">
        <f t="shared" si="161"/>
        <v/>
      </c>
      <c r="L169" s="152" t="str">
        <f t="shared" si="162"/>
        <v>#DIV/0!</v>
      </c>
      <c r="M169" s="126"/>
      <c r="N169" s="49">
        <f t="shared" si="163"/>
        <v>0</v>
      </c>
      <c r="R169" s="80" t="str">
        <f t="shared" si="164"/>
        <v/>
      </c>
    </row>
    <row r="170">
      <c r="A170" s="154"/>
      <c r="B170" s="156" t="s">
        <v>32</v>
      </c>
      <c r="C170" s="89"/>
      <c r="D170" s="158"/>
      <c r="E170" s="12">
        <f t="shared" si="158"/>
        <v>0</v>
      </c>
      <c r="F170" s="157"/>
      <c r="G170" s="14" t="str">
        <f t="shared" si="159"/>
        <v>#DIV/0!</v>
      </c>
      <c r="H170" s="37"/>
      <c r="I170" s="93"/>
      <c r="J170" s="37">
        <f t="shared" si="160"/>
        <v>0</v>
      </c>
      <c r="K170" s="37" t="str">
        <f t="shared" si="161"/>
        <v/>
      </c>
      <c r="L170" s="152" t="str">
        <f t="shared" si="162"/>
        <v>#DIV/0!</v>
      </c>
      <c r="M170" s="126"/>
      <c r="N170" s="49">
        <f t="shared" si="163"/>
        <v>0</v>
      </c>
      <c r="R170" s="80" t="str">
        <f t="shared" si="164"/>
        <v/>
      </c>
    </row>
    <row r="171">
      <c r="A171" s="154"/>
      <c r="B171" s="156"/>
      <c r="C171" s="89"/>
      <c r="D171" s="158"/>
      <c r="E171" s="12">
        <f t="shared" si="158"/>
        <v>0</v>
      </c>
      <c r="F171" s="157"/>
      <c r="G171" s="14" t="str">
        <f t="shared" si="159"/>
        <v>#DIV/0!</v>
      </c>
      <c r="H171" s="89"/>
      <c r="I171" s="159"/>
      <c r="J171" s="89">
        <f t="shared" si="160"/>
        <v>0</v>
      </c>
      <c r="K171" s="37" t="str">
        <f t="shared" si="161"/>
        <v/>
      </c>
      <c r="L171" s="152" t="str">
        <f t="shared" si="162"/>
        <v>#DIV/0!</v>
      </c>
      <c r="M171" s="126"/>
      <c r="N171" s="49">
        <f t="shared" si="163"/>
        <v>0</v>
      </c>
      <c r="R171" s="80" t="str">
        <f t="shared" si="164"/>
        <v/>
      </c>
    </row>
    <row r="172">
      <c r="A172" s="148"/>
      <c r="B172" s="156"/>
      <c r="C172" s="149"/>
      <c r="D172" s="150"/>
      <c r="E172" s="25">
        <f t="shared" si="158"/>
        <v>0</v>
      </c>
      <c r="F172" s="161"/>
      <c r="G172" s="56" t="str">
        <f t="shared" si="159"/>
        <v>#DIV/0!</v>
      </c>
      <c r="H172" s="149"/>
      <c r="I172" s="151"/>
      <c r="J172" s="149">
        <f t="shared" si="160"/>
        <v>0</v>
      </c>
      <c r="K172" s="149"/>
      <c r="L172" s="152" t="str">
        <f t="shared" si="162"/>
        <v>#DIV/0!</v>
      </c>
      <c r="M172" s="153"/>
      <c r="N172" s="49">
        <f>M172*K172</f>
        <v>0</v>
      </c>
      <c r="R172" s="80" t="str">
        <f t="shared" si="164"/>
        <v/>
      </c>
    </row>
    <row r="173">
      <c r="A173" s="62"/>
      <c r="B173" s="63"/>
      <c r="C173" s="62"/>
      <c r="D173" s="64" t="s">
        <v>19</v>
      </c>
      <c r="E173" s="64">
        <f t="shared" ref="E173:F173" si="165">sum(E165:E172)</f>
        <v>0</v>
      </c>
      <c r="F173" s="64">
        <f t="shared" si="165"/>
        <v>324</v>
      </c>
      <c r="G173" s="65" t="str">
        <f>average(G165:G172)</f>
        <v>#DIV/0!</v>
      </c>
      <c r="H173" s="62"/>
      <c r="I173" s="66"/>
      <c r="J173" s="64">
        <f t="shared" ref="J173:K173" si="166">sum(J165:J172)</f>
        <v>0</v>
      </c>
      <c r="K173" s="64">
        <f t="shared" si="166"/>
        <v>324</v>
      </c>
      <c r="L173" s="65" t="str">
        <f>average(L165:L172)</f>
        <v>#DIV/0!</v>
      </c>
      <c r="M173" s="68"/>
      <c r="N173" s="147">
        <f>sum(N165:N172)</f>
        <v>6011200</v>
      </c>
      <c r="R173" s="80" t="str">
        <f t="shared" si="164"/>
        <v/>
      </c>
    </row>
    <row r="174">
      <c r="A174" s="198" t="s">
        <v>64</v>
      </c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334"/>
      <c r="N174" s="335">
        <f>N10+N18+N27+N35+N44+N55+N64+N72+N80+N88+N95+N103+N111+N128+N137+N146+N173+N119+N155+N164</f>
        <v>115341997.6</v>
      </c>
      <c r="P174" s="80">
        <f>31969600+28581263+24887064+26245620</f>
        <v>111683547</v>
      </c>
      <c r="R174" s="80" t="str">
        <f t="shared" si="164"/>
        <v/>
      </c>
    </row>
    <row r="175">
      <c r="G175" s="168"/>
      <c r="L175" s="168"/>
      <c r="N175" s="169"/>
    </row>
    <row r="176" ht="31.5" customHeight="1">
      <c r="D176" s="170" t="s">
        <v>45</v>
      </c>
      <c r="E176" s="171"/>
      <c r="G176" s="168"/>
      <c r="L176" s="168"/>
      <c r="N176" s="169"/>
    </row>
    <row r="177">
      <c r="A177" s="248" t="s">
        <v>1</v>
      </c>
      <c r="B177" s="172" t="s">
        <v>2</v>
      </c>
      <c r="C177" s="166" t="s">
        <v>3</v>
      </c>
      <c r="D177" s="166" t="s">
        <v>4</v>
      </c>
      <c r="E177" s="166" t="s">
        <v>5</v>
      </c>
      <c r="F177" s="166" t="s">
        <v>6</v>
      </c>
      <c r="G177" s="173" t="s">
        <v>7</v>
      </c>
      <c r="H177" s="174" t="s">
        <v>8</v>
      </c>
      <c r="I177" s="175" t="s">
        <v>8</v>
      </c>
      <c r="J177" s="166" t="s">
        <v>5</v>
      </c>
      <c r="K177" s="166" t="s">
        <v>6</v>
      </c>
      <c r="L177" s="173" t="s">
        <v>7</v>
      </c>
      <c r="M177" s="166" t="s">
        <v>9</v>
      </c>
      <c r="N177" s="176" t="s">
        <v>10</v>
      </c>
      <c r="O177" s="197">
        <v>1.0</v>
      </c>
      <c r="P177" s="197" t="s">
        <v>46</v>
      </c>
      <c r="Q177" s="251">
        <f>N183</f>
        <v>13650000</v>
      </c>
    </row>
    <row r="178">
      <c r="A178" s="70">
        <v>45878.0</v>
      </c>
      <c r="B178" s="99" t="s">
        <v>46</v>
      </c>
      <c r="C178" s="13"/>
      <c r="D178" s="13"/>
      <c r="E178" s="12">
        <f t="shared" ref="E178:E182" si="167">D178-C178</f>
        <v>0</v>
      </c>
      <c r="F178" s="39"/>
      <c r="G178" s="14" t="str">
        <f t="shared" ref="G178:G182" si="168">(F178/E178)*100</f>
        <v>#DIV/0!</v>
      </c>
      <c r="H178" s="89"/>
      <c r="I178" s="138"/>
      <c r="J178" s="41">
        <f t="shared" ref="J178:J182" si="169">I178-H178</f>
        <v>0</v>
      </c>
      <c r="K178" s="41" t="str">
        <f t="shared" ref="K178:K182" si="170">F178</f>
        <v/>
      </c>
      <c r="L178" s="71" t="str">
        <f t="shared" ref="L178:L182" si="171">(K178/J178)*100</f>
        <v>#DIV/0!</v>
      </c>
      <c r="M178" s="72"/>
      <c r="N178" s="44">
        <v>7000000.0</v>
      </c>
      <c r="O178" s="197">
        <v>2.0</v>
      </c>
      <c r="P178" s="197" t="s">
        <v>47</v>
      </c>
      <c r="Q178" s="251">
        <f>N189</f>
        <v>15299977.8</v>
      </c>
    </row>
    <row r="179">
      <c r="A179" s="35">
        <v>45888.0</v>
      </c>
      <c r="B179" s="46" t="s">
        <v>46</v>
      </c>
      <c r="C179" s="13"/>
      <c r="D179" s="13"/>
      <c r="E179" s="12">
        <f t="shared" si="167"/>
        <v>0</v>
      </c>
      <c r="F179" s="47"/>
      <c r="G179" s="14" t="str">
        <f t="shared" si="168"/>
        <v>#DIV/0!</v>
      </c>
      <c r="H179" s="37"/>
      <c r="I179" s="40"/>
      <c r="J179" s="37">
        <f t="shared" si="169"/>
        <v>0</v>
      </c>
      <c r="K179" s="37" t="str">
        <f t="shared" si="170"/>
        <v/>
      </c>
      <c r="L179" s="48" t="str">
        <f t="shared" si="171"/>
        <v>#DIV/0!</v>
      </c>
      <c r="M179" s="50"/>
      <c r="N179" s="49">
        <v>6650000.0</v>
      </c>
      <c r="O179" s="197">
        <v>3.0</v>
      </c>
      <c r="P179" s="197" t="s">
        <v>48</v>
      </c>
      <c r="Q179" s="251">
        <f>N195</f>
        <v>10240000</v>
      </c>
    </row>
    <row r="180">
      <c r="A180" s="35"/>
      <c r="B180" s="46" t="s">
        <v>46</v>
      </c>
      <c r="C180" s="37"/>
      <c r="D180" s="37"/>
      <c r="E180" s="12">
        <f t="shared" si="167"/>
        <v>0</v>
      </c>
      <c r="F180" s="47"/>
      <c r="G180" s="14" t="str">
        <f t="shared" si="168"/>
        <v>#DIV/0!</v>
      </c>
      <c r="H180" s="37"/>
      <c r="I180" s="40"/>
      <c r="J180" s="37">
        <f t="shared" si="169"/>
        <v>0</v>
      </c>
      <c r="K180" s="37" t="str">
        <f t="shared" si="170"/>
        <v/>
      </c>
      <c r="L180" s="48" t="str">
        <f t="shared" si="171"/>
        <v>#DIV/0!</v>
      </c>
      <c r="M180" s="50"/>
      <c r="N180" s="49">
        <f t="shared" ref="N180:N182" si="172">F180*M180</f>
        <v>0</v>
      </c>
      <c r="O180" s="197">
        <v>4.0</v>
      </c>
      <c r="P180" s="197" t="s">
        <v>49</v>
      </c>
      <c r="Q180" s="251">
        <f>N201</f>
        <v>8600000</v>
      </c>
    </row>
    <row r="181">
      <c r="A181" s="35"/>
      <c r="B181" s="46" t="s">
        <v>46</v>
      </c>
      <c r="C181" s="37"/>
      <c r="D181" s="37"/>
      <c r="E181" s="12">
        <f t="shared" si="167"/>
        <v>0</v>
      </c>
      <c r="F181" s="47"/>
      <c r="G181" s="14" t="str">
        <f t="shared" si="168"/>
        <v>#DIV/0!</v>
      </c>
      <c r="H181" s="37"/>
      <c r="I181" s="40"/>
      <c r="J181" s="37">
        <f t="shared" si="169"/>
        <v>0</v>
      </c>
      <c r="K181" s="37" t="str">
        <f t="shared" si="170"/>
        <v/>
      </c>
      <c r="L181" s="48" t="str">
        <f t="shared" si="171"/>
        <v>#DIV/0!</v>
      </c>
      <c r="M181" s="50"/>
      <c r="N181" s="49">
        <f t="shared" si="172"/>
        <v>0</v>
      </c>
      <c r="O181" s="197">
        <v>5.0</v>
      </c>
      <c r="P181" s="197" t="s">
        <v>50</v>
      </c>
      <c r="Q181" s="251">
        <f>N207</f>
        <v>12000000</v>
      </c>
    </row>
    <row r="182">
      <c r="A182" s="35"/>
      <c r="B182" s="83"/>
      <c r="C182" s="37"/>
      <c r="D182" s="37"/>
      <c r="E182" s="12">
        <f t="shared" si="167"/>
        <v>0</v>
      </c>
      <c r="F182" s="47"/>
      <c r="G182" s="14" t="str">
        <f t="shared" si="168"/>
        <v>#DIV/0!</v>
      </c>
      <c r="H182" s="37"/>
      <c r="I182" s="40"/>
      <c r="J182" s="37">
        <f t="shared" si="169"/>
        <v>0</v>
      </c>
      <c r="K182" s="37" t="str">
        <f t="shared" si="170"/>
        <v/>
      </c>
      <c r="L182" s="77" t="str">
        <f t="shared" si="171"/>
        <v>#DIV/0!</v>
      </c>
      <c r="M182" s="50"/>
      <c r="N182" s="49">
        <f t="shared" si="172"/>
        <v>0</v>
      </c>
      <c r="O182" s="197">
        <v>6.0</v>
      </c>
      <c r="P182" s="197" t="s">
        <v>51</v>
      </c>
      <c r="Q182" s="251">
        <f>N213</f>
        <v>10900000</v>
      </c>
    </row>
    <row r="183">
      <c r="A183" s="62"/>
      <c r="B183" s="63"/>
      <c r="C183" s="62"/>
      <c r="D183" s="64" t="s">
        <v>19</v>
      </c>
      <c r="E183" s="64">
        <f t="shared" ref="E183:F183" si="173">sum(E178:E182)</f>
        <v>0</v>
      </c>
      <c r="F183" s="64">
        <f t="shared" si="173"/>
        <v>0</v>
      </c>
      <c r="G183" s="65" t="str">
        <f>average(G178:G182)</f>
        <v>#DIV/0!</v>
      </c>
      <c r="H183" s="62"/>
      <c r="I183" s="66"/>
      <c r="J183" s="64">
        <f t="shared" ref="J183:K183" si="174">sum(J178:J182)</f>
        <v>0</v>
      </c>
      <c r="K183" s="64">
        <f t="shared" si="174"/>
        <v>0</v>
      </c>
      <c r="L183" s="65" t="str">
        <f>average(L178:L182)</f>
        <v>#DIV/0!</v>
      </c>
      <c r="M183" s="68"/>
      <c r="N183" s="69">
        <f>sum(N178:N182)</f>
        <v>13650000</v>
      </c>
      <c r="O183" s="197">
        <v>7.0</v>
      </c>
      <c r="P183" s="197" t="s">
        <v>81</v>
      </c>
      <c r="Q183" s="251">
        <f>N219</f>
        <v>18500000</v>
      </c>
    </row>
    <row r="184">
      <c r="A184" s="154"/>
      <c r="B184" s="156" t="s">
        <v>53</v>
      </c>
      <c r="C184" s="89"/>
      <c r="D184" s="89"/>
      <c r="E184" s="12">
        <f t="shared" ref="E184:E188" si="175">D184-C184</f>
        <v>0</v>
      </c>
      <c r="F184" s="157"/>
      <c r="G184" s="14" t="str">
        <f t="shared" ref="G184:G188" si="176">(F184/E184)*100</f>
        <v>#DIV/0!</v>
      </c>
      <c r="H184" s="89"/>
      <c r="I184" s="137"/>
      <c r="J184" s="89">
        <f t="shared" ref="J184:J188" si="177">I184-H184</f>
        <v>0</v>
      </c>
      <c r="K184" s="89" t="str">
        <f t="shared" ref="K184:K188" si="178">F184</f>
        <v/>
      </c>
      <c r="L184" s="152" t="str">
        <f t="shared" ref="L184:L188" si="179">(K184/J184)*100</f>
        <v>#DIV/0!</v>
      </c>
      <c r="M184" s="126"/>
      <c r="N184" s="44">
        <f t="shared" ref="N184:N188" si="180">F184*M184</f>
        <v>0</v>
      </c>
      <c r="O184" s="197">
        <v>8.0</v>
      </c>
      <c r="P184" s="197" t="s">
        <v>54</v>
      </c>
      <c r="Q184" s="251">
        <f>N228</f>
        <v>29000000</v>
      </c>
    </row>
    <row r="185">
      <c r="A185" s="154">
        <v>45877.0</v>
      </c>
      <c r="B185" s="156" t="s">
        <v>53</v>
      </c>
      <c r="C185" s="89"/>
      <c r="D185" s="89">
        <v>491800.0</v>
      </c>
      <c r="E185" s="12">
        <f t="shared" si="175"/>
        <v>491800</v>
      </c>
      <c r="F185" s="157">
        <v>292.55</v>
      </c>
      <c r="G185" s="14">
        <f t="shared" si="176"/>
        <v>0.05948556324</v>
      </c>
      <c r="H185" s="89"/>
      <c r="I185" s="137"/>
      <c r="J185" s="89">
        <f t="shared" si="177"/>
        <v>0</v>
      </c>
      <c r="K185" s="89">
        <f t="shared" si="178"/>
        <v>292.55</v>
      </c>
      <c r="L185" s="152" t="str">
        <f t="shared" si="179"/>
        <v>#DIV/0!</v>
      </c>
      <c r="M185" s="126">
        <v>18800.0</v>
      </c>
      <c r="N185" s="49">
        <f t="shared" si="180"/>
        <v>5499940</v>
      </c>
      <c r="O185" s="197">
        <v>9.0</v>
      </c>
      <c r="P185" s="197" t="s">
        <v>69</v>
      </c>
      <c r="Q185" s="251">
        <f>N235</f>
        <v>19000000</v>
      </c>
    </row>
    <row r="186">
      <c r="A186" s="154">
        <v>45887.0</v>
      </c>
      <c r="B186" s="156" t="s">
        <v>53</v>
      </c>
      <c r="C186" s="89">
        <v>491800.0</v>
      </c>
      <c r="D186" s="89">
        <v>492660.0</v>
      </c>
      <c r="E186" s="12">
        <f t="shared" si="175"/>
        <v>860</v>
      </c>
      <c r="F186" s="157">
        <v>298.84</v>
      </c>
      <c r="G186" s="14">
        <f t="shared" si="176"/>
        <v>34.74883721</v>
      </c>
      <c r="H186" s="89"/>
      <c r="I186" s="137"/>
      <c r="J186" s="89">
        <f t="shared" si="177"/>
        <v>0</v>
      </c>
      <c r="K186" s="89">
        <f t="shared" si="178"/>
        <v>298.84</v>
      </c>
      <c r="L186" s="152" t="str">
        <f t="shared" si="179"/>
        <v>#DIV/0!</v>
      </c>
      <c r="M186" s="126">
        <v>18070.0</v>
      </c>
      <c r="N186" s="49">
        <f t="shared" si="180"/>
        <v>5400038.8</v>
      </c>
    </row>
    <row r="187">
      <c r="A187" s="154">
        <v>45897.0</v>
      </c>
      <c r="B187" s="156" t="s">
        <v>53</v>
      </c>
      <c r="C187" s="89">
        <v>492660.0</v>
      </c>
      <c r="D187" s="89">
        <v>493300.0</v>
      </c>
      <c r="E187" s="12">
        <f t="shared" si="175"/>
        <v>640</v>
      </c>
      <c r="F187" s="157">
        <v>245.81</v>
      </c>
      <c r="G187" s="14">
        <f t="shared" si="176"/>
        <v>38.4078125</v>
      </c>
      <c r="H187" s="89"/>
      <c r="I187" s="137">
        <v>21470.0</v>
      </c>
      <c r="J187" s="89">
        <f t="shared" si="177"/>
        <v>21470</v>
      </c>
      <c r="K187" s="89">
        <f t="shared" si="178"/>
        <v>245.81</v>
      </c>
      <c r="L187" s="152">
        <f t="shared" si="179"/>
        <v>1.14489986</v>
      </c>
      <c r="M187" s="126">
        <v>17900.0</v>
      </c>
      <c r="N187" s="49">
        <f t="shared" si="180"/>
        <v>4399999</v>
      </c>
    </row>
    <row r="188">
      <c r="A188" s="154"/>
      <c r="B188" s="156" t="s">
        <v>53</v>
      </c>
      <c r="C188" s="89"/>
      <c r="D188" s="89"/>
      <c r="E188" s="12">
        <f t="shared" si="175"/>
        <v>0</v>
      </c>
      <c r="F188" s="157"/>
      <c r="G188" s="14" t="str">
        <f t="shared" si="176"/>
        <v>#DIV/0!</v>
      </c>
      <c r="H188" s="89"/>
      <c r="I188" s="137"/>
      <c r="J188" s="89">
        <f t="shared" si="177"/>
        <v>0</v>
      </c>
      <c r="K188" s="89" t="str">
        <f t="shared" si="178"/>
        <v/>
      </c>
      <c r="L188" s="152" t="str">
        <f t="shared" si="179"/>
        <v>#DIV/0!</v>
      </c>
      <c r="M188" s="126"/>
      <c r="N188" s="49">
        <f t="shared" si="180"/>
        <v>0</v>
      </c>
    </row>
    <row r="189">
      <c r="A189" s="62"/>
      <c r="B189" s="63"/>
      <c r="C189" s="62"/>
      <c r="D189" s="64" t="s">
        <v>19</v>
      </c>
      <c r="E189" s="64">
        <f t="shared" ref="E189:F189" si="181">sum(E184:E188)</f>
        <v>493300</v>
      </c>
      <c r="F189" s="64">
        <f t="shared" si="181"/>
        <v>837.2</v>
      </c>
      <c r="G189" s="65" t="str">
        <f>average(G184:G188)</f>
        <v>#DIV/0!</v>
      </c>
      <c r="H189" s="62"/>
      <c r="I189" s="66"/>
      <c r="J189" s="64">
        <f t="shared" ref="J189:K189" si="182">sum(J184:J188)</f>
        <v>21470</v>
      </c>
      <c r="K189" s="64">
        <f t="shared" si="182"/>
        <v>837.2</v>
      </c>
      <c r="L189" s="65" t="str">
        <f>average(L184:L188)</f>
        <v>#DIV/0!</v>
      </c>
      <c r="M189" s="68"/>
      <c r="N189" s="69">
        <f>sum(N184:N188)</f>
        <v>15299977.8</v>
      </c>
    </row>
    <row r="190">
      <c r="A190" s="70">
        <v>45883.0</v>
      </c>
      <c r="B190" s="156" t="s">
        <v>48</v>
      </c>
      <c r="C190" s="89"/>
      <c r="D190" s="13"/>
      <c r="E190" s="38">
        <f t="shared" ref="E190:E194" si="183">D190-C190</f>
        <v>0</v>
      </c>
      <c r="F190" s="157"/>
      <c r="G190" s="14" t="str">
        <f t="shared" ref="G190:G194" si="184">(F190/E190)*100</f>
        <v>#DIV/0!</v>
      </c>
      <c r="H190" s="89"/>
      <c r="I190" s="138"/>
      <c r="J190" s="41">
        <f t="shared" ref="J190:J194" si="185">I190-H190</f>
        <v>0</v>
      </c>
      <c r="K190" s="41" t="str">
        <f t="shared" ref="K190:K194" si="186">F190</f>
        <v/>
      </c>
      <c r="L190" s="152" t="str">
        <f t="shared" ref="L190:L194" si="187">(K190/J190)*100</f>
        <v>#DIV/0!</v>
      </c>
      <c r="M190" s="72"/>
      <c r="N190" s="44">
        <v>5390000.0</v>
      </c>
    </row>
    <row r="191">
      <c r="A191" s="154">
        <v>45898.0</v>
      </c>
      <c r="B191" s="156" t="s">
        <v>48</v>
      </c>
      <c r="C191" s="89"/>
      <c r="D191" s="89"/>
      <c r="E191" s="12">
        <f t="shared" si="183"/>
        <v>0</v>
      </c>
      <c r="F191" s="157"/>
      <c r="G191" s="14" t="str">
        <f t="shared" si="184"/>
        <v>#DIV/0!</v>
      </c>
      <c r="H191" s="89"/>
      <c r="I191" s="137"/>
      <c r="J191" s="89">
        <f t="shared" si="185"/>
        <v>0</v>
      </c>
      <c r="K191" s="37" t="str">
        <f t="shared" si="186"/>
        <v/>
      </c>
      <c r="L191" s="152" t="str">
        <f t="shared" si="187"/>
        <v>#DIV/0!</v>
      </c>
      <c r="M191" s="126"/>
      <c r="N191" s="131">
        <v>4850000.0</v>
      </c>
    </row>
    <row r="192">
      <c r="A192" s="154"/>
      <c r="B192" s="156" t="s">
        <v>48</v>
      </c>
      <c r="C192" s="89"/>
      <c r="D192" s="89"/>
      <c r="E192" s="12">
        <f t="shared" si="183"/>
        <v>0</v>
      </c>
      <c r="F192" s="157"/>
      <c r="G192" s="14" t="str">
        <f t="shared" si="184"/>
        <v>#DIV/0!</v>
      </c>
      <c r="H192" s="89"/>
      <c r="I192" s="137"/>
      <c r="J192" s="89">
        <f t="shared" si="185"/>
        <v>0</v>
      </c>
      <c r="K192" s="37" t="str">
        <f t="shared" si="186"/>
        <v/>
      </c>
      <c r="L192" s="152" t="str">
        <f t="shared" si="187"/>
        <v>#DIV/0!</v>
      </c>
      <c r="M192" s="126"/>
      <c r="N192" s="131">
        <f t="shared" ref="N192:N194" si="188">F192*M192</f>
        <v>0</v>
      </c>
    </row>
    <row r="193">
      <c r="A193" s="154"/>
      <c r="B193" s="156" t="s">
        <v>48</v>
      </c>
      <c r="C193" s="89"/>
      <c r="D193" s="89"/>
      <c r="E193" s="12">
        <f t="shared" si="183"/>
        <v>0</v>
      </c>
      <c r="F193" s="157"/>
      <c r="G193" s="14" t="str">
        <f t="shared" si="184"/>
        <v>#DIV/0!</v>
      </c>
      <c r="H193" s="89"/>
      <c r="I193" s="137"/>
      <c r="J193" s="89">
        <f t="shared" si="185"/>
        <v>0</v>
      </c>
      <c r="K193" s="41" t="str">
        <f t="shared" si="186"/>
        <v/>
      </c>
      <c r="L193" s="152" t="str">
        <f t="shared" si="187"/>
        <v>#DIV/0!</v>
      </c>
      <c r="M193" s="126"/>
      <c r="N193" s="131">
        <f t="shared" si="188"/>
        <v>0</v>
      </c>
    </row>
    <row r="194">
      <c r="A194" s="154"/>
      <c r="B194" s="156"/>
      <c r="C194" s="89"/>
      <c r="D194" s="89"/>
      <c r="E194" s="12">
        <f t="shared" si="183"/>
        <v>0</v>
      </c>
      <c r="F194" s="157"/>
      <c r="G194" s="14" t="str">
        <f t="shared" si="184"/>
        <v>#DIV/0!</v>
      </c>
      <c r="H194" s="89"/>
      <c r="I194" s="137"/>
      <c r="J194" s="89">
        <f t="shared" si="185"/>
        <v>0</v>
      </c>
      <c r="K194" s="89" t="str">
        <f t="shared" si="186"/>
        <v/>
      </c>
      <c r="L194" s="152" t="str">
        <f t="shared" si="187"/>
        <v>#DIV/0!</v>
      </c>
      <c r="M194" s="126"/>
      <c r="N194" s="131">
        <f t="shared" si="188"/>
        <v>0</v>
      </c>
    </row>
    <row r="195">
      <c r="A195" s="62"/>
      <c r="B195" s="63"/>
      <c r="C195" s="62"/>
      <c r="D195" s="64" t="s">
        <v>19</v>
      </c>
      <c r="E195" s="64">
        <f t="shared" ref="E195:F195" si="189">sum(E190:E194)</f>
        <v>0</v>
      </c>
      <c r="F195" s="64">
        <f t="shared" si="189"/>
        <v>0</v>
      </c>
      <c r="G195" s="65" t="str">
        <f>average(G190:G194)</f>
        <v>#DIV/0!</v>
      </c>
      <c r="H195" s="62"/>
      <c r="I195" s="66"/>
      <c r="J195" s="64">
        <f t="shared" ref="J195:K195" si="190">sum(J190:J194)</f>
        <v>0</v>
      </c>
      <c r="K195" s="64">
        <f t="shared" si="190"/>
        <v>0</v>
      </c>
      <c r="L195" s="65" t="str">
        <f>average(L190:L194)</f>
        <v>#DIV/0!</v>
      </c>
      <c r="M195" s="68"/>
      <c r="N195" s="69">
        <f>sum(N190:N194)</f>
        <v>10240000</v>
      </c>
    </row>
    <row r="196">
      <c r="A196" s="70">
        <v>45870.0</v>
      </c>
      <c r="B196" s="156" t="s">
        <v>49</v>
      </c>
      <c r="C196" s="89"/>
      <c r="D196" s="13"/>
      <c r="E196" s="38">
        <f t="shared" ref="E196:E200" si="191">D196-C196</f>
        <v>0</v>
      </c>
      <c r="F196" s="39"/>
      <c r="G196" s="14" t="str">
        <f t="shared" ref="G196:G200" si="192">(F196/E196)*100</f>
        <v>#DIV/0!</v>
      </c>
      <c r="H196" s="89"/>
      <c r="I196" s="138"/>
      <c r="J196" s="41">
        <f t="shared" ref="J196:J200" si="193">I196-H196</f>
        <v>0</v>
      </c>
      <c r="K196" s="41" t="str">
        <f t="shared" ref="K196:K200" si="194">F196</f>
        <v/>
      </c>
      <c r="L196" s="152" t="str">
        <f t="shared" ref="L196:L200" si="195">(K196/J196)*100</f>
        <v>#DIV/0!</v>
      </c>
      <c r="M196" s="72"/>
      <c r="N196" s="49">
        <v>4200000.0</v>
      </c>
    </row>
    <row r="197">
      <c r="A197" s="154">
        <v>45886.0</v>
      </c>
      <c r="B197" s="156" t="s">
        <v>49</v>
      </c>
      <c r="C197" s="89"/>
      <c r="D197" s="89"/>
      <c r="E197" s="12">
        <f t="shared" si="191"/>
        <v>0</v>
      </c>
      <c r="F197" s="157"/>
      <c r="G197" s="14" t="str">
        <f t="shared" si="192"/>
        <v>#DIV/0!</v>
      </c>
      <c r="H197" s="89"/>
      <c r="I197" s="137"/>
      <c r="J197" s="89">
        <f t="shared" si="193"/>
        <v>0</v>
      </c>
      <c r="K197" s="89" t="str">
        <f t="shared" si="194"/>
        <v/>
      </c>
      <c r="L197" s="152" t="str">
        <f t="shared" si="195"/>
        <v>#DIV/0!</v>
      </c>
      <c r="M197" s="126"/>
      <c r="N197" s="131">
        <v>4400000.0</v>
      </c>
    </row>
    <row r="198">
      <c r="A198" s="154"/>
      <c r="B198" s="156" t="s">
        <v>49</v>
      </c>
      <c r="C198" s="89"/>
      <c r="D198" s="89"/>
      <c r="E198" s="12">
        <f t="shared" si="191"/>
        <v>0</v>
      </c>
      <c r="F198" s="157"/>
      <c r="G198" s="14" t="str">
        <f t="shared" si="192"/>
        <v>#DIV/0!</v>
      </c>
      <c r="H198" s="89"/>
      <c r="I198" s="137"/>
      <c r="J198" s="89">
        <f t="shared" si="193"/>
        <v>0</v>
      </c>
      <c r="K198" s="89" t="str">
        <f t="shared" si="194"/>
        <v/>
      </c>
      <c r="L198" s="152" t="str">
        <f t="shared" si="195"/>
        <v>#DIV/0!</v>
      </c>
      <c r="M198" s="126"/>
      <c r="N198" s="131">
        <f t="shared" ref="N198:N200" si="196">F198*M198</f>
        <v>0</v>
      </c>
    </row>
    <row r="199">
      <c r="A199" s="154"/>
      <c r="B199" s="156" t="s">
        <v>49</v>
      </c>
      <c r="C199" s="89"/>
      <c r="D199" s="89"/>
      <c r="E199" s="12">
        <f t="shared" si="191"/>
        <v>0</v>
      </c>
      <c r="F199" s="157"/>
      <c r="G199" s="14" t="str">
        <f t="shared" si="192"/>
        <v>#DIV/0!</v>
      </c>
      <c r="H199" s="89"/>
      <c r="I199" s="137"/>
      <c r="J199" s="89">
        <f t="shared" si="193"/>
        <v>0</v>
      </c>
      <c r="K199" s="89" t="str">
        <f t="shared" si="194"/>
        <v/>
      </c>
      <c r="L199" s="152" t="str">
        <f t="shared" si="195"/>
        <v>#DIV/0!</v>
      </c>
      <c r="M199" s="126"/>
      <c r="N199" s="131">
        <f t="shared" si="196"/>
        <v>0</v>
      </c>
    </row>
    <row r="200">
      <c r="A200" s="154"/>
      <c r="B200" s="156"/>
      <c r="C200" s="89"/>
      <c r="D200" s="89"/>
      <c r="E200" s="12">
        <f t="shared" si="191"/>
        <v>0</v>
      </c>
      <c r="F200" s="157"/>
      <c r="G200" s="14" t="str">
        <f t="shared" si="192"/>
        <v>#DIV/0!</v>
      </c>
      <c r="H200" s="89"/>
      <c r="I200" s="137"/>
      <c r="J200" s="89">
        <f t="shared" si="193"/>
        <v>0</v>
      </c>
      <c r="K200" s="89" t="str">
        <f t="shared" si="194"/>
        <v/>
      </c>
      <c r="L200" s="152" t="str">
        <f t="shared" si="195"/>
        <v>#DIV/0!</v>
      </c>
      <c r="M200" s="126"/>
      <c r="N200" s="131">
        <f t="shared" si="196"/>
        <v>0</v>
      </c>
    </row>
    <row r="201">
      <c r="A201" s="62"/>
      <c r="B201" s="63"/>
      <c r="C201" s="62"/>
      <c r="D201" s="64" t="s">
        <v>19</v>
      </c>
      <c r="E201" s="64">
        <f t="shared" ref="E201:F201" si="197">sum(E196:E200)</f>
        <v>0</v>
      </c>
      <c r="F201" s="64">
        <f t="shared" si="197"/>
        <v>0</v>
      </c>
      <c r="G201" s="65" t="str">
        <f>average(G196:G200)</f>
        <v>#DIV/0!</v>
      </c>
      <c r="H201" s="62"/>
      <c r="I201" s="66"/>
      <c r="J201" s="64">
        <f t="shared" ref="J201:K201" si="198">sum(J196:J200)</f>
        <v>0</v>
      </c>
      <c r="K201" s="64">
        <f t="shared" si="198"/>
        <v>0</v>
      </c>
      <c r="L201" s="65" t="str">
        <f>average(L196:L200)</f>
        <v>#DIV/0!</v>
      </c>
      <c r="M201" s="68"/>
      <c r="N201" s="69">
        <f>sum(N196:N200)</f>
        <v>8600000</v>
      </c>
    </row>
    <row r="202">
      <c r="A202" s="70">
        <v>45870.0</v>
      </c>
      <c r="B202" s="156" t="s">
        <v>50</v>
      </c>
      <c r="C202" s="89"/>
      <c r="D202" s="13"/>
      <c r="E202" s="38"/>
      <c r="F202" s="39"/>
      <c r="G202" s="14" t="str">
        <f t="shared" ref="G202:G206" si="199">(F202/E202)*100</f>
        <v>#DIV/0!</v>
      </c>
      <c r="H202" s="89"/>
      <c r="I202" s="138"/>
      <c r="J202" s="41">
        <f t="shared" ref="J202:J206" si="200">I202-H202</f>
        <v>0</v>
      </c>
      <c r="K202" s="41" t="str">
        <f t="shared" ref="K202:K206" si="201">F202</f>
        <v/>
      </c>
      <c r="L202" s="152" t="str">
        <f t="shared" ref="L202:L206" si="202">(K202/J202)*100</f>
        <v>#DIV/0!</v>
      </c>
      <c r="M202" s="72"/>
      <c r="N202" s="49">
        <v>4000000.0</v>
      </c>
    </row>
    <row r="203">
      <c r="A203" s="154">
        <v>45883.0</v>
      </c>
      <c r="B203" s="156" t="s">
        <v>50</v>
      </c>
      <c r="C203" s="89"/>
      <c r="D203" s="89"/>
      <c r="E203" s="12">
        <f t="shared" ref="E203:E206" si="203">D203-C203</f>
        <v>0</v>
      </c>
      <c r="F203" s="157"/>
      <c r="G203" s="14" t="str">
        <f t="shared" si="199"/>
        <v>#DIV/0!</v>
      </c>
      <c r="H203" s="89"/>
      <c r="I203" s="137"/>
      <c r="J203" s="89">
        <f t="shared" si="200"/>
        <v>0</v>
      </c>
      <c r="K203" s="41" t="str">
        <f t="shared" si="201"/>
        <v/>
      </c>
      <c r="L203" s="152" t="str">
        <f t="shared" si="202"/>
        <v>#DIV/0!</v>
      </c>
      <c r="M203" s="126"/>
      <c r="N203" s="49">
        <v>4000000.0</v>
      </c>
    </row>
    <row r="204">
      <c r="A204" s="154">
        <v>45899.0</v>
      </c>
      <c r="B204" s="156" t="s">
        <v>50</v>
      </c>
      <c r="C204" s="89"/>
      <c r="D204" s="89"/>
      <c r="E204" s="12">
        <f t="shared" si="203"/>
        <v>0</v>
      </c>
      <c r="F204" s="157"/>
      <c r="G204" s="14" t="str">
        <f t="shared" si="199"/>
        <v>#DIV/0!</v>
      </c>
      <c r="H204" s="89"/>
      <c r="I204" s="137"/>
      <c r="J204" s="89">
        <f t="shared" si="200"/>
        <v>0</v>
      </c>
      <c r="K204" s="41" t="str">
        <f t="shared" si="201"/>
        <v/>
      </c>
      <c r="L204" s="152" t="str">
        <f t="shared" si="202"/>
        <v>#DIV/0!</v>
      </c>
      <c r="M204" s="126"/>
      <c r="N204" s="49">
        <v>4000000.0</v>
      </c>
    </row>
    <row r="205">
      <c r="A205" s="154"/>
      <c r="B205" s="156" t="s">
        <v>50</v>
      </c>
      <c r="C205" s="89"/>
      <c r="D205" s="89"/>
      <c r="E205" s="12">
        <f t="shared" si="203"/>
        <v>0</v>
      </c>
      <c r="F205" s="157"/>
      <c r="G205" s="14" t="str">
        <f t="shared" si="199"/>
        <v>#DIV/0!</v>
      </c>
      <c r="H205" s="89"/>
      <c r="I205" s="137"/>
      <c r="J205" s="89">
        <f t="shared" si="200"/>
        <v>0</v>
      </c>
      <c r="K205" s="41" t="str">
        <f t="shared" si="201"/>
        <v/>
      </c>
      <c r="L205" s="152" t="str">
        <f t="shared" si="202"/>
        <v>#DIV/0!</v>
      </c>
      <c r="M205" s="126"/>
      <c r="N205" s="49">
        <f t="shared" ref="N205:N206" si="204">F205*M205</f>
        <v>0</v>
      </c>
    </row>
    <row r="206">
      <c r="A206" s="154"/>
      <c r="B206" s="156" t="s">
        <v>50</v>
      </c>
      <c r="C206" s="89"/>
      <c r="D206" s="89"/>
      <c r="E206" s="12">
        <f t="shared" si="203"/>
        <v>0</v>
      </c>
      <c r="F206" s="157"/>
      <c r="G206" s="14" t="str">
        <f t="shared" si="199"/>
        <v>#DIV/0!</v>
      </c>
      <c r="H206" s="89"/>
      <c r="I206" s="137"/>
      <c r="J206" s="89">
        <f t="shared" si="200"/>
        <v>0</v>
      </c>
      <c r="K206" s="89" t="str">
        <f t="shared" si="201"/>
        <v/>
      </c>
      <c r="L206" s="152" t="str">
        <f t="shared" si="202"/>
        <v>#DIV/0!</v>
      </c>
      <c r="M206" s="126"/>
      <c r="N206" s="49">
        <f t="shared" si="204"/>
        <v>0</v>
      </c>
    </row>
    <row r="207">
      <c r="A207" s="62"/>
      <c r="B207" s="63"/>
      <c r="C207" s="62"/>
      <c r="D207" s="64" t="s">
        <v>19</v>
      </c>
      <c r="E207" s="64">
        <f t="shared" ref="E207:F207" si="205">sum(E202:E206)</f>
        <v>0</v>
      </c>
      <c r="F207" s="64">
        <f t="shared" si="205"/>
        <v>0</v>
      </c>
      <c r="G207" s="65" t="str">
        <f>average(G202:G206)</f>
        <v>#DIV/0!</v>
      </c>
      <c r="H207" s="62"/>
      <c r="I207" s="66"/>
      <c r="J207" s="64">
        <f t="shared" ref="J207:K207" si="206">sum(J202:J206)</f>
        <v>0</v>
      </c>
      <c r="K207" s="64">
        <f t="shared" si="206"/>
        <v>0</v>
      </c>
      <c r="L207" s="65" t="str">
        <f>average(L202:L206)</f>
        <v>#DIV/0!</v>
      </c>
      <c r="M207" s="68"/>
      <c r="N207" s="69">
        <f>sum(N202:N206)</f>
        <v>12000000</v>
      </c>
    </row>
    <row r="208">
      <c r="A208" s="70">
        <v>45874.0</v>
      </c>
      <c r="B208" s="156" t="s">
        <v>51</v>
      </c>
      <c r="C208" s="89"/>
      <c r="D208" s="13"/>
      <c r="E208" s="12">
        <f t="shared" ref="E208:E212" si="207">D208-C208</f>
        <v>0</v>
      </c>
      <c r="F208" s="39"/>
      <c r="G208" s="14" t="str">
        <f t="shared" ref="G208:G212" si="208">(F208/E208)*100</f>
        <v>#DIV/0!</v>
      </c>
      <c r="H208" s="89"/>
      <c r="I208" s="138"/>
      <c r="J208" s="41">
        <f t="shared" ref="J208:J212" si="209">I208-H208</f>
        <v>0</v>
      </c>
      <c r="K208" s="41" t="str">
        <f t="shared" ref="K208:K212" si="210">F208</f>
        <v/>
      </c>
      <c r="L208" s="152" t="str">
        <f t="shared" ref="L208:L212" si="211">(K208/J208)*100</f>
        <v>#DIV/0!</v>
      </c>
      <c r="M208" s="72"/>
      <c r="N208" s="44">
        <v>2900000.0</v>
      </c>
    </row>
    <row r="209">
      <c r="A209" s="154">
        <v>45882.0</v>
      </c>
      <c r="B209" s="156" t="s">
        <v>51</v>
      </c>
      <c r="C209" s="89"/>
      <c r="D209" s="89"/>
      <c r="E209" s="12">
        <f t="shared" si="207"/>
        <v>0</v>
      </c>
      <c r="F209" s="157"/>
      <c r="G209" s="14" t="str">
        <f t="shared" si="208"/>
        <v>#DIV/0!</v>
      </c>
      <c r="H209" s="89"/>
      <c r="I209" s="137"/>
      <c r="J209" s="89">
        <f t="shared" si="209"/>
        <v>0</v>
      </c>
      <c r="K209" s="89" t="str">
        <f t="shared" si="210"/>
        <v/>
      </c>
      <c r="L209" s="152" t="str">
        <f t="shared" si="211"/>
        <v>#DIV/0!</v>
      </c>
      <c r="M209" s="126"/>
      <c r="N209" s="49">
        <v>2600000.0</v>
      </c>
    </row>
    <row r="210">
      <c r="A210" s="154">
        <v>45889.0</v>
      </c>
      <c r="B210" s="156" t="s">
        <v>51</v>
      </c>
      <c r="C210" s="89"/>
      <c r="D210" s="89"/>
      <c r="E210" s="12">
        <f t="shared" si="207"/>
        <v>0</v>
      </c>
      <c r="F210" s="157"/>
      <c r="G210" s="14" t="str">
        <f t="shared" si="208"/>
        <v>#DIV/0!</v>
      </c>
      <c r="H210" s="89"/>
      <c r="I210" s="137"/>
      <c r="J210" s="89">
        <f t="shared" si="209"/>
        <v>0</v>
      </c>
      <c r="K210" s="89" t="str">
        <f t="shared" si="210"/>
        <v/>
      </c>
      <c r="L210" s="152" t="str">
        <f t="shared" si="211"/>
        <v>#DIV/0!</v>
      </c>
      <c r="M210" s="126"/>
      <c r="N210" s="49">
        <v>2700000.0</v>
      </c>
    </row>
    <row r="211">
      <c r="A211" s="154">
        <v>45898.0</v>
      </c>
      <c r="B211" s="156" t="s">
        <v>51</v>
      </c>
      <c r="C211" s="89"/>
      <c r="D211" s="89"/>
      <c r="E211" s="12">
        <f t="shared" si="207"/>
        <v>0</v>
      </c>
      <c r="F211" s="157"/>
      <c r="G211" s="14" t="str">
        <f t="shared" si="208"/>
        <v>#DIV/0!</v>
      </c>
      <c r="H211" s="89"/>
      <c r="I211" s="137"/>
      <c r="J211" s="89">
        <f t="shared" si="209"/>
        <v>0</v>
      </c>
      <c r="K211" s="89" t="str">
        <f t="shared" si="210"/>
        <v/>
      </c>
      <c r="L211" s="152" t="str">
        <f t="shared" si="211"/>
        <v>#DIV/0!</v>
      </c>
      <c r="M211" s="126"/>
      <c r="N211" s="49">
        <v>2700000.0</v>
      </c>
    </row>
    <row r="212">
      <c r="A212" s="154"/>
      <c r="B212" s="156"/>
      <c r="C212" s="89"/>
      <c r="D212" s="89"/>
      <c r="E212" s="12">
        <f t="shared" si="207"/>
        <v>0</v>
      </c>
      <c r="F212" s="157"/>
      <c r="G212" s="14" t="str">
        <f t="shared" si="208"/>
        <v>#DIV/0!</v>
      </c>
      <c r="H212" s="89"/>
      <c r="I212" s="137"/>
      <c r="J212" s="89">
        <f t="shared" si="209"/>
        <v>0</v>
      </c>
      <c r="K212" s="89" t="str">
        <f t="shared" si="210"/>
        <v/>
      </c>
      <c r="L212" s="152" t="str">
        <f t="shared" si="211"/>
        <v>#DIV/0!</v>
      </c>
      <c r="M212" s="126"/>
      <c r="N212" s="49">
        <f>M212*K212</f>
        <v>0</v>
      </c>
    </row>
    <row r="213">
      <c r="A213" s="62"/>
      <c r="B213" s="63"/>
      <c r="C213" s="62"/>
      <c r="D213" s="64" t="s">
        <v>19</v>
      </c>
      <c r="E213" s="64">
        <f t="shared" ref="E213:F213" si="212">sum(E208:E212)</f>
        <v>0</v>
      </c>
      <c r="F213" s="64">
        <f t="shared" si="212"/>
        <v>0</v>
      </c>
      <c r="G213" s="65" t="str">
        <f>average(G208:G212)</f>
        <v>#DIV/0!</v>
      </c>
      <c r="H213" s="62"/>
      <c r="I213" s="66"/>
      <c r="J213" s="64">
        <f t="shared" ref="J213:K213" si="213">sum(J208:J212)</f>
        <v>0</v>
      </c>
      <c r="K213" s="64">
        <f t="shared" si="213"/>
        <v>0</v>
      </c>
      <c r="L213" s="65" t="str">
        <f>average(L208:L212)</f>
        <v>#DIV/0!</v>
      </c>
      <c r="M213" s="68"/>
      <c r="N213" s="69">
        <f>sum(N208:N212)</f>
        <v>10900000</v>
      </c>
    </row>
    <row r="214">
      <c r="A214" s="70">
        <v>45873.0</v>
      </c>
      <c r="B214" s="156" t="s">
        <v>91</v>
      </c>
      <c r="C214" s="89"/>
      <c r="D214" s="13"/>
      <c r="E214" s="38">
        <f t="shared" ref="E214:E218" si="214">D214-C214</f>
        <v>0</v>
      </c>
      <c r="F214" s="39"/>
      <c r="G214" s="14" t="str">
        <f t="shared" ref="G214:G218" si="215">(F214/E214)*100</f>
        <v>#DIV/0!</v>
      </c>
      <c r="H214" s="89"/>
      <c r="I214" s="138"/>
      <c r="J214" s="41">
        <f t="shared" ref="J214:J218" si="216">I214-H214</f>
        <v>0</v>
      </c>
      <c r="K214" s="41" t="str">
        <f t="shared" ref="K214:K218" si="217">F214</f>
        <v/>
      </c>
      <c r="L214" s="152" t="str">
        <f t="shared" ref="L214:L218" si="218">(K214/J214)*100</f>
        <v>#DIV/0!</v>
      </c>
      <c r="M214" s="72"/>
      <c r="N214" s="131">
        <v>9500000.0</v>
      </c>
    </row>
    <row r="215">
      <c r="A215" s="154">
        <v>45888.0</v>
      </c>
      <c r="B215" s="156" t="s">
        <v>91</v>
      </c>
      <c r="C215" s="89"/>
      <c r="D215" s="89"/>
      <c r="E215" s="12">
        <f t="shared" si="214"/>
        <v>0</v>
      </c>
      <c r="F215" s="157"/>
      <c r="G215" s="14" t="str">
        <f t="shared" si="215"/>
        <v>#DIV/0!</v>
      </c>
      <c r="H215" s="89"/>
      <c r="I215" s="137"/>
      <c r="J215" s="89">
        <f t="shared" si="216"/>
        <v>0</v>
      </c>
      <c r="K215" s="89" t="str">
        <f t="shared" si="217"/>
        <v/>
      </c>
      <c r="L215" s="152" t="str">
        <f t="shared" si="218"/>
        <v>#DIV/0!</v>
      </c>
      <c r="M215" s="126"/>
      <c r="N215" s="131">
        <v>9000000.0</v>
      </c>
    </row>
    <row r="216">
      <c r="A216" s="154"/>
      <c r="B216" s="156" t="s">
        <v>91</v>
      </c>
      <c r="C216" s="89"/>
      <c r="D216" s="89"/>
      <c r="E216" s="12">
        <f t="shared" si="214"/>
        <v>0</v>
      </c>
      <c r="F216" s="157"/>
      <c r="G216" s="14" t="str">
        <f t="shared" si="215"/>
        <v>#DIV/0!</v>
      </c>
      <c r="H216" s="89"/>
      <c r="I216" s="137"/>
      <c r="J216" s="89">
        <f t="shared" si="216"/>
        <v>0</v>
      </c>
      <c r="K216" s="89" t="str">
        <f t="shared" si="217"/>
        <v/>
      </c>
      <c r="L216" s="152" t="str">
        <f t="shared" si="218"/>
        <v>#DIV/0!</v>
      </c>
      <c r="M216" s="126"/>
      <c r="N216" s="131">
        <f t="shared" ref="N216:N218" si="219">F216*M216</f>
        <v>0</v>
      </c>
    </row>
    <row r="217">
      <c r="A217" s="154"/>
      <c r="B217" s="156" t="s">
        <v>91</v>
      </c>
      <c r="C217" s="89"/>
      <c r="D217" s="89"/>
      <c r="E217" s="12">
        <f t="shared" si="214"/>
        <v>0</v>
      </c>
      <c r="F217" s="157"/>
      <c r="G217" s="14" t="str">
        <f t="shared" si="215"/>
        <v>#DIV/0!</v>
      </c>
      <c r="H217" s="89"/>
      <c r="I217" s="137"/>
      <c r="J217" s="89">
        <f t="shared" si="216"/>
        <v>0</v>
      </c>
      <c r="K217" s="89" t="str">
        <f t="shared" si="217"/>
        <v/>
      </c>
      <c r="L217" s="152" t="str">
        <f t="shared" si="218"/>
        <v>#DIV/0!</v>
      </c>
      <c r="M217" s="126"/>
      <c r="N217" s="131">
        <f t="shared" si="219"/>
        <v>0</v>
      </c>
    </row>
    <row r="218">
      <c r="A218" s="154"/>
      <c r="B218" s="156"/>
      <c r="C218" s="89"/>
      <c r="D218" s="89"/>
      <c r="E218" s="12">
        <f t="shared" si="214"/>
        <v>0</v>
      </c>
      <c r="F218" s="157"/>
      <c r="G218" s="14" t="str">
        <f t="shared" si="215"/>
        <v>#DIV/0!</v>
      </c>
      <c r="H218" s="89"/>
      <c r="I218" s="137"/>
      <c r="J218" s="89">
        <f t="shared" si="216"/>
        <v>0</v>
      </c>
      <c r="K218" s="89" t="str">
        <f t="shared" si="217"/>
        <v/>
      </c>
      <c r="L218" s="152" t="str">
        <f t="shared" si="218"/>
        <v>#DIV/0!</v>
      </c>
      <c r="M218" s="126"/>
      <c r="N218" s="131">
        <f t="shared" si="219"/>
        <v>0</v>
      </c>
    </row>
    <row r="219">
      <c r="A219" s="62"/>
      <c r="B219" s="63"/>
      <c r="C219" s="62"/>
      <c r="D219" s="64"/>
      <c r="E219" s="64">
        <f t="shared" ref="E219:F219" si="220">sum(E214:E218)</f>
        <v>0</v>
      </c>
      <c r="F219" s="64">
        <f t="shared" si="220"/>
        <v>0</v>
      </c>
      <c r="G219" s="65" t="str">
        <f>average(G214:G218)</f>
        <v>#DIV/0!</v>
      </c>
      <c r="H219" s="62"/>
      <c r="I219" s="66"/>
      <c r="J219" s="64">
        <f t="shared" ref="J219:K219" si="221">sum(J214:J218)</f>
        <v>0</v>
      </c>
      <c r="K219" s="64">
        <f t="shared" si="221"/>
        <v>0</v>
      </c>
      <c r="L219" s="65" t="str">
        <f>average(L214:L218)</f>
        <v>#DIV/0!</v>
      </c>
      <c r="M219" s="68"/>
      <c r="N219" s="69">
        <f>sum(N214:N218)</f>
        <v>18500000</v>
      </c>
    </row>
    <row r="220">
      <c r="A220" s="70">
        <v>45875.0</v>
      </c>
      <c r="B220" s="156" t="s">
        <v>54</v>
      </c>
      <c r="C220" s="89"/>
      <c r="D220" s="13"/>
      <c r="E220" s="38">
        <f t="shared" ref="E220:E225" si="222">D220-C220</f>
        <v>0</v>
      </c>
      <c r="F220" s="39"/>
      <c r="G220" s="14" t="str">
        <f t="shared" ref="G220:G225" si="223">(F220/E220)*100</f>
        <v>#DIV/0!</v>
      </c>
      <c r="H220" s="89"/>
      <c r="I220" s="138"/>
      <c r="J220" s="41">
        <f t="shared" ref="J220:J227" si="224">I220-H220</f>
        <v>0</v>
      </c>
      <c r="K220" s="41"/>
      <c r="L220" s="152" t="str">
        <f t="shared" ref="L220:L227" si="225">(K220/J220)*100</f>
        <v>#DIV/0!</v>
      </c>
      <c r="M220" s="72"/>
      <c r="N220" s="44">
        <v>5000000.0</v>
      </c>
    </row>
    <row r="221">
      <c r="A221" s="70">
        <v>45880.0</v>
      </c>
      <c r="B221" s="156" t="s">
        <v>54</v>
      </c>
      <c r="C221" s="89"/>
      <c r="D221" s="89"/>
      <c r="E221" s="12">
        <f t="shared" si="222"/>
        <v>0</v>
      </c>
      <c r="F221" s="157"/>
      <c r="G221" s="14" t="str">
        <f t="shared" si="223"/>
        <v>#DIV/0!</v>
      </c>
      <c r="H221" s="89"/>
      <c r="I221" s="137"/>
      <c r="J221" s="89">
        <f t="shared" si="224"/>
        <v>0</v>
      </c>
      <c r="K221" s="89" t="str">
        <f t="shared" ref="K221:K227" si="226">F221</f>
        <v/>
      </c>
      <c r="L221" s="152" t="str">
        <f t="shared" si="225"/>
        <v>#DIV/0!</v>
      </c>
      <c r="M221" s="126"/>
      <c r="N221" s="49">
        <v>2000000.0</v>
      </c>
    </row>
    <row r="222">
      <c r="A222" s="154">
        <v>45881.0</v>
      </c>
      <c r="B222" s="156" t="s">
        <v>54</v>
      </c>
      <c r="C222" s="89"/>
      <c r="D222" s="89"/>
      <c r="E222" s="12">
        <f t="shared" si="222"/>
        <v>0</v>
      </c>
      <c r="F222" s="157"/>
      <c r="G222" s="14" t="str">
        <f t="shared" si="223"/>
        <v>#DIV/0!</v>
      </c>
      <c r="H222" s="89"/>
      <c r="I222" s="137"/>
      <c r="J222" s="89">
        <f t="shared" si="224"/>
        <v>0</v>
      </c>
      <c r="K222" s="89" t="str">
        <f t="shared" si="226"/>
        <v/>
      </c>
      <c r="L222" s="152" t="str">
        <f t="shared" si="225"/>
        <v>#DIV/0!</v>
      </c>
      <c r="M222" s="126"/>
      <c r="N222" s="49">
        <v>4000000.0</v>
      </c>
    </row>
    <row r="223">
      <c r="A223" s="154">
        <v>45883.0</v>
      </c>
      <c r="B223" s="156" t="s">
        <v>54</v>
      </c>
      <c r="C223" s="89"/>
      <c r="D223" s="89"/>
      <c r="E223" s="12">
        <f t="shared" si="222"/>
        <v>0</v>
      </c>
      <c r="F223" s="157"/>
      <c r="G223" s="14" t="str">
        <f t="shared" si="223"/>
        <v>#DIV/0!</v>
      </c>
      <c r="H223" s="89"/>
      <c r="I223" s="137"/>
      <c r="J223" s="89">
        <f t="shared" si="224"/>
        <v>0</v>
      </c>
      <c r="K223" s="89" t="str">
        <f t="shared" si="226"/>
        <v/>
      </c>
      <c r="L223" s="152" t="str">
        <f t="shared" si="225"/>
        <v>#DIV/0!</v>
      </c>
      <c r="M223" s="126"/>
      <c r="N223" s="49">
        <v>4000000.0</v>
      </c>
    </row>
    <row r="224">
      <c r="A224" s="154">
        <v>45888.0</v>
      </c>
      <c r="B224" s="156" t="s">
        <v>54</v>
      </c>
      <c r="C224" s="89"/>
      <c r="D224" s="89"/>
      <c r="E224" s="12">
        <f t="shared" si="222"/>
        <v>0</v>
      </c>
      <c r="F224" s="157"/>
      <c r="G224" s="14" t="str">
        <f t="shared" si="223"/>
        <v>#DIV/0!</v>
      </c>
      <c r="H224" s="89"/>
      <c r="I224" s="137"/>
      <c r="J224" s="89">
        <f t="shared" si="224"/>
        <v>0</v>
      </c>
      <c r="K224" s="89" t="str">
        <f t="shared" si="226"/>
        <v/>
      </c>
      <c r="L224" s="152" t="str">
        <f t="shared" si="225"/>
        <v>#DIV/0!</v>
      </c>
      <c r="M224" s="126"/>
      <c r="N224" s="49">
        <v>5000000.0</v>
      </c>
    </row>
    <row r="225">
      <c r="A225" s="154">
        <v>45891.0</v>
      </c>
      <c r="B225" s="156" t="s">
        <v>54</v>
      </c>
      <c r="C225" s="89"/>
      <c r="D225" s="89"/>
      <c r="E225" s="12">
        <f t="shared" si="222"/>
        <v>0</v>
      </c>
      <c r="F225" s="157"/>
      <c r="G225" s="14" t="str">
        <f t="shared" si="223"/>
        <v>#DIV/0!</v>
      </c>
      <c r="H225" s="89"/>
      <c r="I225" s="137"/>
      <c r="J225" s="89">
        <f t="shared" si="224"/>
        <v>0</v>
      </c>
      <c r="K225" s="89" t="str">
        <f t="shared" si="226"/>
        <v/>
      </c>
      <c r="L225" s="152" t="str">
        <f t="shared" si="225"/>
        <v>#DIV/0!</v>
      </c>
      <c r="M225" s="126"/>
      <c r="N225" s="49">
        <v>4000000.0</v>
      </c>
    </row>
    <row r="226">
      <c r="A226" s="155">
        <v>45897.0</v>
      </c>
      <c r="B226" s="156" t="s">
        <v>54</v>
      </c>
      <c r="C226" s="89"/>
      <c r="D226" s="89"/>
      <c r="E226" s="12"/>
      <c r="F226" s="157"/>
      <c r="G226" s="14"/>
      <c r="H226" s="89"/>
      <c r="I226" s="137"/>
      <c r="J226" s="89">
        <f t="shared" si="224"/>
        <v>0</v>
      </c>
      <c r="K226" s="89" t="str">
        <f t="shared" si="226"/>
        <v/>
      </c>
      <c r="L226" s="152" t="str">
        <f t="shared" si="225"/>
        <v>#DIV/0!</v>
      </c>
      <c r="M226" s="126"/>
      <c r="N226" s="49">
        <v>5000000.0</v>
      </c>
    </row>
    <row r="227">
      <c r="A227" s="154"/>
      <c r="B227" s="156" t="s">
        <v>54</v>
      </c>
      <c r="C227" s="89"/>
      <c r="D227" s="89"/>
      <c r="E227" s="12">
        <f>D227-C227</f>
        <v>0</v>
      </c>
      <c r="F227" s="157"/>
      <c r="G227" s="14" t="str">
        <f>(F227/E227)*100</f>
        <v>#DIV/0!</v>
      </c>
      <c r="H227" s="89"/>
      <c r="I227" s="137"/>
      <c r="J227" s="89">
        <f t="shared" si="224"/>
        <v>0</v>
      </c>
      <c r="K227" s="89" t="str">
        <f t="shared" si="226"/>
        <v/>
      </c>
      <c r="L227" s="152" t="str">
        <f t="shared" si="225"/>
        <v>#DIV/0!</v>
      </c>
      <c r="M227" s="126"/>
      <c r="N227" s="49">
        <f>M227*F227</f>
        <v>0</v>
      </c>
    </row>
    <row r="228">
      <c r="A228" s="62"/>
      <c r="B228" s="63"/>
      <c r="C228" s="62"/>
      <c r="D228" s="64" t="s">
        <v>19</v>
      </c>
      <c r="E228" s="64">
        <f t="shared" ref="E228:F228" si="227">sum(E220:E227)</f>
        <v>0</v>
      </c>
      <c r="F228" s="64">
        <f t="shared" si="227"/>
        <v>0</v>
      </c>
      <c r="G228" s="65" t="str">
        <f>average(G220:G227)</f>
        <v>#DIV/0!</v>
      </c>
      <c r="H228" s="62"/>
      <c r="I228" s="66"/>
      <c r="J228" s="64">
        <f t="shared" ref="J228:K228" si="228">sum(J220:J227)</f>
        <v>0</v>
      </c>
      <c r="K228" s="64">
        <f t="shared" si="228"/>
        <v>0</v>
      </c>
      <c r="L228" s="65" t="str">
        <f>average(L220:L227)</f>
        <v>#DIV/0!</v>
      </c>
      <c r="M228" s="68"/>
      <c r="N228" s="69">
        <f>sum(N220:N227)</f>
        <v>29000000</v>
      </c>
    </row>
    <row r="229">
      <c r="A229" s="70">
        <v>45870.0</v>
      </c>
      <c r="B229" s="156" t="s">
        <v>69</v>
      </c>
      <c r="C229" s="89"/>
      <c r="D229" s="13"/>
      <c r="E229" s="38">
        <f t="shared" ref="E229:E234" si="229">D229-C229</f>
        <v>0</v>
      </c>
      <c r="F229" s="39"/>
      <c r="G229" s="14" t="str">
        <f t="shared" ref="G229:G234" si="230">(F229/E229)*100</f>
        <v>#DIV/0!</v>
      </c>
      <c r="H229" s="89"/>
      <c r="I229" s="138"/>
      <c r="J229" s="41">
        <f t="shared" ref="J229:J234" si="231">I229-H229</f>
        <v>0</v>
      </c>
      <c r="K229" s="41" t="str">
        <f t="shared" ref="K229:K234" si="232">F229</f>
        <v/>
      </c>
      <c r="L229" s="152" t="str">
        <f t="shared" ref="L229:L234" si="233">(K229/J229)*100</f>
        <v>#DIV/0!</v>
      </c>
      <c r="M229" s="72"/>
      <c r="N229" s="44">
        <v>6500000.0</v>
      </c>
    </row>
    <row r="230">
      <c r="A230" s="154">
        <v>45875.0</v>
      </c>
      <c r="B230" s="156" t="s">
        <v>69</v>
      </c>
      <c r="C230" s="89"/>
      <c r="D230" s="89"/>
      <c r="E230" s="12">
        <f t="shared" si="229"/>
        <v>0</v>
      </c>
      <c r="F230" s="157"/>
      <c r="G230" s="14" t="str">
        <f t="shared" si="230"/>
        <v>#DIV/0!</v>
      </c>
      <c r="H230" s="89"/>
      <c r="I230" s="137"/>
      <c r="J230" s="89">
        <f t="shared" si="231"/>
        <v>0</v>
      </c>
      <c r="K230" s="41" t="str">
        <f t="shared" si="232"/>
        <v/>
      </c>
      <c r="L230" s="152" t="str">
        <f t="shared" si="233"/>
        <v>#DIV/0!</v>
      </c>
      <c r="M230" s="126"/>
      <c r="N230" s="49">
        <v>4500000.0</v>
      </c>
    </row>
    <row r="231">
      <c r="A231" s="154">
        <v>45883.0</v>
      </c>
      <c r="B231" s="156" t="s">
        <v>69</v>
      </c>
      <c r="C231" s="89"/>
      <c r="D231" s="89"/>
      <c r="E231" s="12">
        <f t="shared" si="229"/>
        <v>0</v>
      </c>
      <c r="F231" s="157"/>
      <c r="G231" s="14" t="str">
        <f t="shared" si="230"/>
        <v>#DIV/0!</v>
      </c>
      <c r="H231" s="89"/>
      <c r="I231" s="137"/>
      <c r="J231" s="89">
        <f t="shared" si="231"/>
        <v>0</v>
      </c>
      <c r="K231" s="41" t="str">
        <f t="shared" si="232"/>
        <v/>
      </c>
      <c r="L231" s="152" t="str">
        <f t="shared" si="233"/>
        <v>#DIV/0!</v>
      </c>
      <c r="M231" s="126"/>
      <c r="N231" s="49">
        <v>5000000.0</v>
      </c>
    </row>
    <row r="232">
      <c r="A232" s="154">
        <v>45885.0</v>
      </c>
      <c r="B232" s="156" t="s">
        <v>69</v>
      </c>
      <c r="C232" s="89"/>
      <c r="D232" s="89"/>
      <c r="E232" s="12">
        <f t="shared" si="229"/>
        <v>0</v>
      </c>
      <c r="F232" s="157"/>
      <c r="G232" s="14" t="str">
        <f t="shared" si="230"/>
        <v>#DIV/0!</v>
      </c>
      <c r="H232" s="89"/>
      <c r="I232" s="137"/>
      <c r="J232" s="89">
        <f t="shared" si="231"/>
        <v>0</v>
      </c>
      <c r="K232" s="41" t="str">
        <f t="shared" si="232"/>
        <v/>
      </c>
      <c r="L232" s="152" t="str">
        <f t="shared" si="233"/>
        <v>#DIV/0!</v>
      </c>
      <c r="M232" s="126"/>
      <c r="N232" s="49">
        <v>1000000.0</v>
      </c>
    </row>
    <row r="233">
      <c r="A233" s="154">
        <v>45898.0</v>
      </c>
      <c r="B233" s="156" t="s">
        <v>69</v>
      </c>
      <c r="C233" s="89"/>
      <c r="D233" s="89"/>
      <c r="E233" s="12">
        <f t="shared" si="229"/>
        <v>0</v>
      </c>
      <c r="F233" s="157"/>
      <c r="G233" s="14" t="str">
        <f t="shared" si="230"/>
        <v>#DIV/0!</v>
      </c>
      <c r="H233" s="89"/>
      <c r="I233" s="137"/>
      <c r="J233" s="89">
        <f t="shared" si="231"/>
        <v>0</v>
      </c>
      <c r="K233" s="41" t="str">
        <f t="shared" si="232"/>
        <v/>
      </c>
      <c r="L233" s="152" t="str">
        <f t="shared" si="233"/>
        <v>#DIV/0!</v>
      </c>
      <c r="M233" s="126"/>
      <c r="N233" s="49">
        <v>1000000.0</v>
      </c>
    </row>
    <row r="234">
      <c r="A234" s="154">
        <v>45930.0</v>
      </c>
      <c r="B234" s="156" t="s">
        <v>69</v>
      </c>
      <c r="C234" s="89"/>
      <c r="D234" s="89"/>
      <c r="E234" s="12">
        <f t="shared" si="229"/>
        <v>0</v>
      </c>
      <c r="F234" s="157"/>
      <c r="G234" s="14" t="str">
        <f t="shared" si="230"/>
        <v>#DIV/0!</v>
      </c>
      <c r="H234" s="89"/>
      <c r="I234" s="137"/>
      <c r="J234" s="89">
        <f t="shared" si="231"/>
        <v>0</v>
      </c>
      <c r="K234" s="89" t="str">
        <f t="shared" si="232"/>
        <v/>
      </c>
      <c r="L234" s="152" t="str">
        <f t="shared" si="233"/>
        <v>#DIV/0!</v>
      </c>
      <c r="M234" s="126"/>
      <c r="N234" s="49">
        <v>1000000.0</v>
      </c>
    </row>
    <row r="235">
      <c r="A235" s="62"/>
      <c r="B235" s="63"/>
      <c r="C235" s="62"/>
      <c r="D235" s="64" t="s">
        <v>19</v>
      </c>
      <c r="E235" s="64">
        <f t="shared" ref="E235:F235" si="234">sum(E229:E234)</f>
        <v>0</v>
      </c>
      <c r="F235" s="64">
        <f t="shared" si="234"/>
        <v>0</v>
      </c>
      <c r="G235" s="65" t="str">
        <f>average(G229:G234)</f>
        <v>#DIV/0!</v>
      </c>
      <c r="H235" s="62"/>
      <c r="I235" s="66"/>
      <c r="J235" s="64">
        <f t="shared" ref="J235:K235" si="235">sum(J229:J234)</f>
        <v>0</v>
      </c>
      <c r="K235" s="64">
        <f t="shared" si="235"/>
        <v>0</v>
      </c>
      <c r="L235" s="65" t="str">
        <f>average(L229:L234)</f>
        <v>#DIV/0!</v>
      </c>
      <c r="M235" s="68"/>
      <c r="N235" s="69">
        <f>sum(N229:N234)</f>
        <v>19000000</v>
      </c>
    </row>
    <row r="236">
      <c r="A236" s="70">
        <v>45897.0</v>
      </c>
      <c r="B236" s="234" t="s">
        <v>63</v>
      </c>
      <c r="C236" s="89">
        <v>133770.0</v>
      </c>
      <c r="D236" s="13"/>
      <c r="E236" s="38">
        <f t="shared" ref="E236:E241" si="236">D236-C236</f>
        <v>-133770</v>
      </c>
      <c r="F236" s="39">
        <v>240.22</v>
      </c>
      <c r="G236" s="14">
        <f t="shared" ref="G236:G241" si="237">(F236/E236)*100</f>
        <v>-0.1795768857</v>
      </c>
      <c r="H236" s="89">
        <v>123.0</v>
      </c>
      <c r="I236" s="138"/>
      <c r="J236" s="41">
        <f t="shared" ref="J236:J241" si="238">I236-H236</f>
        <v>-123</v>
      </c>
      <c r="K236" s="41">
        <f t="shared" ref="K236:K241" si="239">F236</f>
        <v>240.22</v>
      </c>
      <c r="L236" s="152">
        <f t="shared" ref="L236:L241" si="240">(K236/J236)*100</f>
        <v>-195.300813</v>
      </c>
      <c r="M236" s="72">
        <v>17900.0</v>
      </c>
      <c r="N236" s="44">
        <f t="shared" ref="N236:N241" si="241">M236*F236</f>
        <v>4299938</v>
      </c>
    </row>
    <row r="237">
      <c r="A237" s="35"/>
      <c r="B237" s="46"/>
      <c r="C237" s="37"/>
      <c r="D237" s="89"/>
      <c r="E237" s="12">
        <f t="shared" si="236"/>
        <v>0</v>
      </c>
      <c r="F237" s="157"/>
      <c r="G237" s="14" t="str">
        <f t="shared" si="237"/>
        <v>#DIV/0!</v>
      </c>
      <c r="H237" s="89"/>
      <c r="I237" s="137"/>
      <c r="J237" s="89">
        <f t="shared" si="238"/>
        <v>0</v>
      </c>
      <c r="K237" s="37" t="str">
        <f t="shared" si="239"/>
        <v/>
      </c>
      <c r="L237" s="152" t="str">
        <f t="shared" si="240"/>
        <v>#DIV/0!</v>
      </c>
      <c r="M237" s="126"/>
      <c r="N237" s="49">
        <f t="shared" si="241"/>
        <v>0</v>
      </c>
    </row>
    <row r="238">
      <c r="A238" s="35"/>
      <c r="B238" s="46"/>
      <c r="C238" s="37"/>
      <c r="D238" s="89"/>
      <c r="E238" s="12">
        <f t="shared" si="236"/>
        <v>0</v>
      </c>
      <c r="F238" s="157"/>
      <c r="G238" s="14" t="str">
        <f t="shared" si="237"/>
        <v>#DIV/0!</v>
      </c>
      <c r="H238" s="89"/>
      <c r="I238" s="137"/>
      <c r="J238" s="89">
        <f t="shared" si="238"/>
        <v>0</v>
      </c>
      <c r="K238" s="37" t="str">
        <f t="shared" si="239"/>
        <v/>
      </c>
      <c r="L238" s="152" t="str">
        <f t="shared" si="240"/>
        <v>#DIV/0!</v>
      </c>
      <c r="M238" s="126"/>
      <c r="N238" s="49">
        <f t="shared" si="241"/>
        <v>0</v>
      </c>
    </row>
    <row r="239">
      <c r="A239" s="35"/>
      <c r="B239" s="46"/>
      <c r="C239" s="37"/>
      <c r="D239" s="89"/>
      <c r="E239" s="12">
        <f t="shared" si="236"/>
        <v>0</v>
      </c>
      <c r="F239" s="157"/>
      <c r="G239" s="14" t="str">
        <f t="shared" si="237"/>
        <v>#DIV/0!</v>
      </c>
      <c r="H239" s="89"/>
      <c r="I239" s="137"/>
      <c r="J239" s="89">
        <f t="shared" si="238"/>
        <v>0</v>
      </c>
      <c r="K239" s="37" t="str">
        <f t="shared" si="239"/>
        <v/>
      </c>
      <c r="L239" s="152" t="str">
        <f t="shared" si="240"/>
        <v>#DIV/0!</v>
      </c>
      <c r="M239" s="126"/>
      <c r="N239" s="49">
        <f t="shared" si="241"/>
        <v>0</v>
      </c>
    </row>
    <row r="240">
      <c r="A240" s="35"/>
      <c r="B240" s="83"/>
      <c r="C240" s="37"/>
      <c r="D240" s="89"/>
      <c r="E240" s="12">
        <f t="shared" si="236"/>
        <v>0</v>
      </c>
      <c r="F240" s="157"/>
      <c r="G240" s="14" t="str">
        <f t="shared" si="237"/>
        <v>#DIV/0!</v>
      </c>
      <c r="H240" s="89"/>
      <c r="I240" s="137"/>
      <c r="J240" s="89">
        <f t="shared" si="238"/>
        <v>0</v>
      </c>
      <c r="K240" s="37" t="str">
        <f t="shared" si="239"/>
        <v/>
      </c>
      <c r="L240" s="152" t="str">
        <f t="shared" si="240"/>
        <v>#DIV/0!</v>
      </c>
      <c r="M240" s="126"/>
      <c r="N240" s="49">
        <f t="shared" si="241"/>
        <v>0</v>
      </c>
    </row>
    <row r="241">
      <c r="A241" s="154"/>
      <c r="B241" s="156"/>
      <c r="C241" s="89"/>
      <c r="D241" s="89"/>
      <c r="E241" s="12">
        <f t="shared" si="236"/>
        <v>0</v>
      </c>
      <c r="F241" s="157"/>
      <c r="G241" s="14" t="str">
        <f t="shared" si="237"/>
        <v>#DIV/0!</v>
      </c>
      <c r="H241" s="89"/>
      <c r="I241" s="137"/>
      <c r="J241" s="89">
        <f t="shared" si="238"/>
        <v>0</v>
      </c>
      <c r="K241" s="89" t="str">
        <f t="shared" si="239"/>
        <v/>
      </c>
      <c r="L241" s="152" t="str">
        <f t="shared" si="240"/>
        <v>#DIV/0!</v>
      </c>
      <c r="M241" s="126"/>
      <c r="N241" s="49">
        <f t="shared" si="241"/>
        <v>0</v>
      </c>
    </row>
    <row r="242">
      <c r="A242" s="62"/>
      <c r="B242" s="63"/>
      <c r="C242" s="62"/>
      <c r="D242" s="64" t="s">
        <v>19</v>
      </c>
      <c r="E242" s="64">
        <f t="shared" ref="E242:F242" si="242">sum(E236:E241)</f>
        <v>-133770</v>
      </c>
      <c r="F242" s="64">
        <f t="shared" si="242"/>
        <v>240.22</v>
      </c>
      <c r="G242" s="65" t="str">
        <f>average(G236:G241)</f>
        <v>#DIV/0!</v>
      </c>
      <c r="H242" s="62"/>
      <c r="I242" s="66"/>
      <c r="J242" s="64">
        <f t="shared" ref="J242:K242" si="243">sum(J236:J241)</f>
        <v>-123</v>
      </c>
      <c r="K242" s="64">
        <f t="shared" si="243"/>
        <v>240.22</v>
      </c>
      <c r="L242" s="65" t="str">
        <f>average(L236:L241)</f>
        <v>#DIV/0!</v>
      </c>
      <c r="M242" s="68"/>
      <c r="N242" s="69">
        <f>sum(N236:N241)</f>
        <v>4299938</v>
      </c>
    </row>
    <row r="243">
      <c r="A243" s="198" t="s">
        <v>64</v>
      </c>
      <c r="B243" s="199"/>
      <c r="C243" s="199"/>
      <c r="D243" s="199"/>
      <c r="E243" s="199"/>
      <c r="F243" s="199"/>
      <c r="G243" s="199"/>
      <c r="H243" s="199"/>
      <c r="I243" s="199"/>
      <c r="J243" s="199"/>
      <c r="K243" s="199"/>
      <c r="L243" s="200"/>
      <c r="M243" s="68"/>
      <c r="N243" s="69">
        <f>SUM(N178:N242)/2</f>
        <v>141489915.8</v>
      </c>
    </row>
    <row r="244">
      <c r="G244" s="168"/>
      <c r="L244" s="168"/>
      <c r="N244" s="169"/>
    </row>
    <row r="245">
      <c r="G245" s="168"/>
      <c r="L245" s="168"/>
      <c r="N245" s="274">
        <v>1.24719013E8</v>
      </c>
    </row>
    <row r="246">
      <c r="G246" s="168"/>
      <c r="L246" s="168"/>
      <c r="N246" s="169"/>
    </row>
    <row r="247">
      <c r="G247" s="168"/>
      <c r="L247" s="168"/>
      <c r="N247" s="169"/>
    </row>
    <row r="248">
      <c r="G248" s="168"/>
      <c r="L248" s="168"/>
      <c r="N248" s="169"/>
    </row>
    <row r="249">
      <c r="G249" s="168"/>
      <c r="L249" s="168"/>
      <c r="N249" s="169"/>
    </row>
    <row r="250">
      <c r="G250" s="168"/>
      <c r="L250" s="168"/>
      <c r="N250" s="169"/>
    </row>
    <row r="251">
      <c r="G251" s="168"/>
      <c r="L251" s="168"/>
      <c r="N251" s="169"/>
    </row>
    <row r="252">
      <c r="G252" s="168"/>
      <c r="L252" s="168"/>
      <c r="N252" s="169"/>
    </row>
    <row r="253">
      <c r="G253" s="168"/>
      <c r="L253" s="168"/>
      <c r="N253" s="169"/>
    </row>
    <row r="254">
      <c r="G254" s="168"/>
      <c r="L254" s="168"/>
      <c r="N254" s="169"/>
    </row>
    <row r="255">
      <c r="G255" s="168"/>
      <c r="L255" s="168"/>
      <c r="N255" s="169"/>
    </row>
    <row r="256">
      <c r="G256" s="168"/>
      <c r="L256" s="168"/>
      <c r="N256" s="169"/>
    </row>
    <row r="257">
      <c r="G257" s="168"/>
      <c r="L257" s="168"/>
      <c r="N257" s="169"/>
    </row>
    <row r="258">
      <c r="G258" s="168"/>
      <c r="L258" s="168"/>
      <c r="N258" s="169"/>
    </row>
    <row r="259">
      <c r="G259" s="168"/>
      <c r="L259" s="168"/>
      <c r="N259" s="169"/>
    </row>
    <row r="260">
      <c r="G260" s="168"/>
      <c r="L260" s="168"/>
      <c r="N260" s="169"/>
    </row>
    <row r="261">
      <c r="G261" s="168"/>
      <c r="L261" s="168"/>
      <c r="N261" s="169"/>
    </row>
    <row r="262">
      <c r="G262" s="168"/>
      <c r="L262" s="168"/>
      <c r="N262" s="169"/>
    </row>
    <row r="263">
      <c r="G263" s="168"/>
      <c r="L263" s="168"/>
      <c r="N263" s="169"/>
    </row>
    <row r="264">
      <c r="G264" s="168"/>
      <c r="L264" s="168"/>
      <c r="N264" s="169"/>
    </row>
    <row r="265">
      <c r="G265" s="168"/>
      <c r="L265" s="168"/>
      <c r="N265" s="169"/>
    </row>
    <row r="266">
      <c r="G266" s="168"/>
      <c r="L266" s="168"/>
      <c r="N266" s="169"/>
    </row>
    <row r="267">
      <c r="G267" s="168"/>
      <c r="L267" s="168"/>
      <c r="N267" s="169"/>
    </row>
    <row r="268">
      <c r="G268" s="168"/>
      <c r="L268" s="168"/>
      <c r="N268" s="169"/>
    </row>
    <row r="269">
      <c r="G269" s="168"/>
      <c r="L269" s="168"/>
      <c r="N269" s="169"/>
    </row>
    <row r="270">
      <c r="G270" s="168"/>
      <c r="L270" s="168"/>
      <c r="N270" s="169"/>
    </row>
    <row r="271">
      <c r="G271" s="168"/>
      <c r="L271" s="168"/>
      <c r="N271" s="169"/>
    </row>
    <row r="272">
      <c r="G272" s="168"/>
      <c r="L272" s="168"/>
      <c r="N272" s="169"/>
    </row>
    <row r="273">
      <c r="G273" s="168"/>
      <c r="L273" s="168"/>
      <c r="N273" s="169"/>
    </row>
    <row r="274">
      <c r="G274" s="168"/>
      <c r="L274" s="168"/>
      <c r="N274" s="169"/>
    </row>
    <row r="275">
      <c r="G275" s="168"/>
      <c r="L275" s="168"/>
      <c r="N275" s="169"/>
    </row>
    <row r="276">
      <c r="G276" s="168"/>
      <c r="L276" s="168"/>
      <c r="N276" s="169"/>
    </row>
    <row r="277">
      <c r="G277" s="168"/>
      <c r="L277" s="168"/>
      <c r="N277" s="169"/>
    </row>
    <row r="278">
      <c r="G278" s="168"/>
      <c r="L278" s="168"/>
      <c r="N278" s="169"/>
    </row>
    <row r="279">
      <c r="G279" s="168"/>
      <c r="L279" s="168"/>
      <c r="N279" s="169"/>
    </row>
    <row r="280">
      <c r="G280" s="168"/>
      <c r="L280" s="168"/>
      <c r="N280" s="169"/>
    </row>
    <row r="281">
      <c r="G281" s="168"/>
      <c r="L281" s="168"/>
      <c r="N281" s="169"/>
    </row>
    <row r="282">
      <c r="G282" s="168"/>
      <c r="L282" s="168"/>
      <c r="N282" s="169"/>
    </row>
    <row r="283">
      <c r="G283" s="168"/>
      <c r="L283" s="168"/>
      <c r="N283" s="169"/>
    </row>
    <row r="284">
      <c r="G284" s="168"/>
      <c r="L284" s="168"/>
      <c r="N284" s="169"/>
    </row>
    <row r="285">
      <c r="G285" s="168"/>
      <c r="L285" s="168"/>
      <c r="N285" s="169"/>
    </row>
    <row r="286">
      <c r="G286" s="168"/>
      <c r="L286" s="168"/>
      <c r="N286" s="169"/>
    </row>
    <row r="287">
      <c r="G287" s="168"/>
      <c r="L287" s="168"/>
      <c r="N287" s="169"/>
    </row>
    <row r="288">
      <c r="G288" s="168"/>
      <c r="L288" s="168"/>
      <c r="N288" s="169"/>
    </row>
    <row r="289">
      <c r="G289" s="168"/>
      <c r="L289" s="168"/>
      <c r="N289" s="169"/>
    </row>
    <row r="290">
      <c r="G290" s="168"/>
      <c r="L290" s="168"/>
      <c r="N290" s="169"/>
    </row>
    <row r="291">
      <c r="G291" s="168"/>
      <c r="L291" s="168"/>
      <c r="N291" s="169"/>
    </row>
    <row r="292">
      <c r="G292" s="168"/>
      <c r="L292" s="168"/>
      <c r="N292" s="169"/>
    </row>
    <row r="293">
      <c r="G293" s="168"/>
      <c r="L293" s="168"/>
      <c r="N293" s="169"/>
    </row>
    <row r="294">
      <c r="G294" s="168"/>
      <c r="L294" s="168"/>
      <c r="N294" s="169"/>
    </row>
    <row r="295">
      <c r="G295" s="168"/>
      <c r="L295" s="168"/>
      <c r="N295" s="169"/>
    </row>
    <row r="296">
      <c r="G296" s="168"/>
      <c r="L296" s="168"/>
      <c r="N296" s="169"/>
    </row>
    <row r="297">
      <c r="G297" s="168"/>
      <c r="L297" s="168"/>
      <c r="N297" s="169"/>
    </row>
    <row r="298">
      <c r="G298" s="168"/>
      <c r="L298" s="168"/>
      <c r="N298" s="169"/>
    </row>
    <row r="299">
      <c r="G299" s="168"/>
      <c r="L299" s="168"/>
      <c r="N299" s="169"/>
    </row>
    <row r="300">
      <c r="G300" s="168"/>
      <c r="L300" s="168"/>
      <c r="N300" s="169"/>
    </row>
    <row r="301">
      <c r="G301" s="168"/>
      <c r="L301" s="168"/>
      <c r="N301" s="169"/>
    </row>
    <row r="302">
      <c r="G302" s="168"/>
      <c r="L302" s="168"/>
      <c r="N302" s="169"/>
    </row>
    <row r="303">
      <c r="G303" s="168"/>
      <c r="L303" s="168"/>
      <c r="N303" s="169"/>
    </row>
    <row r="304">
      <c r="G304" s="168"/>
      <c r="L304" s="168"/>
      <c r="N304" s="169"/>
    </row>
    <row r="305">
      <c r="G305" s="168"/>
      <c r="L305" s="168"/>
      <c r="N305" s="169"/>
    </row>
    <row r="306">
      <c r="G306" s="168"/>
      <c r="L306" s="168"/>
      <c r="N306" s="169"/>
    </row>
    <row r="307">
      <c r="G307" s="168"/>
      <c r="L307" s="168"/>
      <c r="N307" s="169"/>
    </row>
    <row r="308">
      <c r="G308" s="168"/>
      <c r="L308" s="168"/>
      <c r="N308" s="169"/>
    </row>
    <row r="309">
      <c r="G309" s="168"/>
      <c r="L309" s="168"/>
      <c r="N309" s="169"/>
    </row>
    <row r="310">
      <c r="G310" s="168"/>
      <c r="L310" s="168"/>
      <c r="N310" s="169"/>
    </row>
    <row r="311">
      <c r="G311" s="168"/>
      <c r="L311" s="168"/>
      <c r="N311" s="169"/>
    </row>
    <row r="312">
      <c r="G312" s="168"/>
      <c r="L312" s="168"/>
      <c r="N312" s="169"/>
    </row>
    <row r="313">
      <c r="G313" s="168"/>
      <c r="L313" s="168"/>
      <c r="N313" s="169"/>
    </row>
    <row r="314">
      <c r="G314" s="168"/>
      <c r="L314" s="168"/>
      <c r="N314" s="169"/>
    </row>
    <row r="315">
      <c r="G315" s="168"/>
      <c r="L315" s="168"/>
      <c r="N315" s="169"/>
    </row>
    <row r="316">
      <c r="G316" s="168"/>
      <c r="L316" s="168"/>
      <c r="N316" s="169"/>
    </row>
    <row r="317">
      <c r="G317" s="168"/>
      <c r="L317" s="168"/>
      <c r="N317" s="169"/>
    </row>
    <row r="318">
      <c r="G318" s="168"/>
      <c r="L318" s="168"/>
      <c r="N318" s="169"/>
    </row>
    <row r="319">
      <c r="G319" s="168"/>
      <c r="L319" s="168"/>
      <c r="N319" s="169"/>
    </row>
    <row r="320">
      <c r="G320" s="168"/>
      <c r="L320" s="168"/>
      <c r="N320" s="169"/>
    </row>
    <row r="321">
      <c r="G321" s="168"/>
      <c r="L321" s="168"/>
      <c r="N321" s="169"/>
    </row>
    <row r="322">
      <c r="G322" s="168"/>
      <c r="L322" s="168"/>
      <c r="N322" s="169"/>
    </row>
    <row r="323">
      <c r="G323" s="168"/>
      <c r="L323" s="168"/>
      <c r="N323" s="169"/>
    </row>
    <row r="324">
      <c r="G324" s="168"/>
      <c r="L324" s="168"/>
      <c r="N324" s="169"/>
    </row>
    <row r="325">
      <c r="G325" s="168"/>
      <c r="L325" s="168"/>
      <c r="N325" s="169"/>
    </row>
    <row r="326">
      <c r="G326" s="168"/>
      <c r="L326" s="168"/>
      <c r="N326" s="169"/>
    </row>
    <row r="327">
      <c r="G327" s="168"/>
      <c r="L327" s="168"/>
      <c r="N327" s="169"/>
    </row>
    <row r="328">
      <c r="G328" s="168"/>
      <c r="L328" s="168"/>
      <c r="N328" s="169"/>
    </row>
    <row r="329">
      <c r="G329" s="168"/>
      <c r="L329" s="168"/>
      <c r="N329" s="169"/>
    </row>
    <row r="330">
      <c r="G330" s="168"/>
      <c r="L330" s="168"/>
      <c r="N330" s="169"/>
    </row>
    <row r="331">
      <c r="G331" s="168"/>
      <c r="L331" s="168"/>
      <c r="N331" s="169"/>
    </row>
    <row r="332">
      <c r="G332" s="168"/>
      <c r="L332" s="168"/>
      <c r="N332" s="169"/>
    </row>
    <row r="333">
      <c r="G333" s="168"/>
      <c r="L333" s="168"/>
      <c r="N333" s="169"/>
    </row>
    <row r="334">
      <c r="G334" s="168"/>
      <c r="L334" s="168"/>
      <c r="N334" s="169"/>
    </row>
    <row r="335">
      <c r="G335" s="168"/>
      <c r="L335" s="168"/>
      <c r="N335" s="169"/>
    </row>
    <row r="336">
      <c r="G336" s="168"/>
      <c r="L336" s="168"/>
      <c r="N336" s="169"/>
    </row>
    <row r="337">
      <c r="G337" s="168"/>
      <c r="L337" s="168"/>
      <c r="N337" s="169"/>
    </row>
    <row r="338">
      <c r="G338" s="168"/>
      <c r="L338" s="168"/>
      <c r="N338" s="169"/>
    </row>
    <row r="339">
      <c r="G339" s="168"/>
      <c r="L339" s="168"/>
      <c r="N339" s="169"/>
    </row>
    <row r="340">
      <c r="G340" s="168"/>
      <c r="L340" s="168"/>
      <c r="N340" s="169"/>
    </row>
    <row r="341">
      <c r="G341" s="168"/>
      <c r="L341" s="168"/>
      <c r="N341" s="169"/>
    </row>
    <row r="342">
      <c r="G342" s="168"/>
      <c r="L342" s="168"/>
      <c r="N342" s="169"/>
    </row>
    <row r="343">
      <c r="G343" s="168"/>
      <c r="L343" s="168"/>
      <c r="N343" s="169"/>
    </row>
    <row r="344">
      <c r="G344" s="168"/>
      <c r="L344" s="168"/>
      <c r="N344" s="169"/>
    </row>
    <row r="345">
      <c r="G345" s="168"/>
      <c r="L345" s="168"/>
      <c r="N345" s="169"/>
    </row>
    <row r="346">
      <c r="G346" s="168"/>
      <c r="L346" s="168"/>
      <c r="N346" s="169"/>
    </row>
    <row r="347">
      <c r="G347" s="168"/>
      <c r="L347" s="168"/>
      <c r="N347" s="169"/>
    </row>
    <row r="348">
      <c r="G348" s="168"/>
      <c r="L348" s="168"/>
      <c r="N348" s="169"/>
    </row>
    <row r="349">
      <c r="G349" s="168"/>
      <c r="L349" s="168"/>
      <c r="N349" s="169"/>
    </row>
    <row r="350">
      <c r="G350" s="168"/>
      <c r="L350" s="168"/>
      <c r="N350" s="169"/>
    </row>
    <row r="351">
      <c r="G351" s="168"/>
      <c r="L351" s="168"/>
      <c r="N351" s="169"/>
    </row>
    <row r="352">
      <c r="G352" s="168"/>
      <c r="L352" s="168"/>
      <c r="N352" s="169"/>
    </row>
    <row r="353">
      <c r="G353" s="168"/>
      <c r="L353" s="168"/>
      <c r="N353" s="169"/>
    </row>
    <row r="354">
      <c r="G354" s="168"/>
      <c r="L354" s="168"/>
      <c r="N354" s="169"/>
    </row>
    <row r="355">
      <c r="G355" s="168"/>
      <c r="L355" s="168"/>
      <c r="N355" s="169"/>
    </row>
    <row r="356">
      <c r="G356" s="168"/>
      <c r="L356" s="168"/>
      <c r="N356" s="169"/>
    </row>
    <row r="357">
      <c r="G357" s="168"/>
      <c r="L357" s="168"/>
      <c r="N357" s="169"/>
    </row>
    <row r="358">
      <c r="G358" s="168"/>
      <c r="L358" s="168"/>
      <c r="N358" s="169"/>
    </row>
    <row r="359">
      <c r="G359" s="168"/>
      <c r="L359" s="168"/>
      <c r="N359" s="169"/>
    </row>
    <row r="360">
      <c r="G360" s="168"/>
      <c r="L360" s="168"/>
      <c r="N360" s="169"/>
    </row>
    <row r="361">
      <c r="G361" s="168"/>
      <c r="L361" s="168"/>
      <c r="N361" s="169"/>
    </row>
    <row r="362">
      <c r="G362" s="168"/>
      <c r="L362" s="168"/>
      <c r="N362" s="169"/>
    </row>
    <row r="363">
      <c r="G363" s="168"/>
      <c r="L363" s="168"/>
      <c r="N363" s="169"/>
    </row>
    <row r="364">
      <c r="G364" s="168"/>
      <c r="L364" s="168"/>
      <c r="N364" s="169"/>
    </row>
    <row r="365">
      <c r="G365" s="168"/>
      <c r="L365" s="168"/>
      <c r="N365" s="169"/>
    </row>
    <row r="366">
      <c r="G366" s="168"/>
      <c r="L366" s="168"/>
      <c r="N366" s="169"/>
    </row>
    <row r="367">
      <c r="G367" s="168"/>
      <c r="L367" s="168"/>
      <c r="N367" s="169"/>
    </row>
    <row r="368">
      <c r="G368" s="168"/>
      <c r="L368" s="168"/>
      <c r="N368" s="169"/>
    </row>
    <row r="369">
      <c r="G369" s="168"/>
      <c r="L369" s="168"/>
      <c r="N369" s="169"/>
    </row>
    <row r="370">
      <c r="G370" s="168"/>
      <c r="L370" s="168"/>
      <c r="N370" s="169"/>
    </row>
    <row r="371">
      <c r="G371" s="168"/>
      <c r="L371" s="168"/>
      <c r="N371" s="169"/>
    </row>
    <row r="372">
      <c r="G372" s="168"/>
      <c r="L372" s="168"/>
      <c r="N372" s="169"/>
    </row>
    <row r="373">
      <c r="G373" s="168"/>
      <c r="L373" s="168"/>
      <c r="N373" s="169"/>
    </row>
    <row r="374">
      <c r="G374" s="168"/>
      <c r="L374" s="168"/>
      <c r="N374" s="169"/>
    </row>
    <row r="375">
      <c r="G375" s="168"/>
      <c r="L375" s="168"/>
      <c r="N375" s="169"/>
    </row>
    <row r="376">
      <c r="G376" s="168"/>
      <c r="L376" s="168"/>
      <c r="N376" s="169"/>
    </row>
    <row r="377">
      <c r="G377" s="168"/>
      <c r="L377" s="168"/>
      <c r="N377" s="169"/>
    </row>
    <row r="378">
      <c r="G378" s="168"/>
      <c r="L378" s="168"/>
      <c r="N378" s="169"/>
    </row>
    <row r="379">
      <c r="G379" s="168"/>
      <c r="L379" s="168"/>
      <c r="N379" s="169"/>
    </row>
    <row r="380">
      <c r="G380" s="168"/>
      <c r="L380" s="168"/>
      <c r="N380" s="169"/>
    </row>
    <row r="381">
      <c r="G381" s="168"/>
      <c r="L381" s="168"/>
      <c r="N381" s="169"/>
    </row>
    <row r="382">
      <c r="G382" s="168"/>
      <c r="L382" s="168"/>
      <c r="N382" s="169"/>
    </row>
    <row r="383">
      <c r="G383" s="168"/>
      <c r="L383" s="168"/>
      <c r="N383" s="169"/>
    </row>
    <row r="384">
      <c r="G384" s="168"/>
      <c r="L384" s="168"/>
      <c r="N384" s="169"/>
    </row>
    <row r="385">
      <c r="G385" s="168"/>
      <c r="L385" s="168"/>
      <c r="N385" s="169"/>
    </row>
    <row r="386">
      <c r="G386" s="168"/>
      <c r="L386" s="168"/>
      <c r="N386" s="169"/>
    </row>
    <row r="387">
      <c r="G387" s="168"/>
      <c r="L387" s="168"/>
      <c r="N387" s="169"/>
    </row>
    <row r="388">
      <c r="G388" s="168"/>
      <c r="L388" s="168"/>
      <c r="N388" s="169"/>
    </row>
    <row r="389">
      <c r="G389" s="168"/>
      <c r="L389" s="168"/>
      <c r="N389" s="169"/>
    </row>
    <row r="390">
      <c r="G390" s="168"/>
      <c r="L390" s="168"/>
      <c r="N390" s="169"/>
    </row>
    <row r="391">
      <c r="G391" s="168"/>
      <c r="L391" s="168"/>
      <c r="N391" s="169"/>
    </row>
    <row r="392">
      <c r="G392" s="168"/>
      <c r="L392" s="168"/>
      <c r="N392" s="169"/>
    </row>
    <row r="393">
      <c r="G393" s="168"/>
      <c r="L393" s="168"/>
      <c r="N393" s="169"/>
    </row>
    <row r="394">
      <c r="G394" s="168"/>
      <c r="L394" s="168"/>
      <c r="N394" s="169"/>
    </row>
    <row r="395">
      <c r="G395" s="168"/>
      <c r="L395" s="168"/>
      <c r="N395" s="169"/>
    </row>
    <row r="396">
      <c r="G396" s="168"/>
      <c r="L396" s="168"/>
      <c r="N396" s="169"/>
    </row>
    <row r="397">
      <c r="G397" s="168"/>
      <c r="L397" s="168"/>
      <c r="N397" s="169"/>
    </row>
    <row r="398">
      <c r="G398" s="168"/>
      <c r="L398" s="168"/>
      <c r="N398" s="169"/>
    </row>
    <row r="399">
      <c r="G399" s="168"/>
      <c r="L399" s="168"/>
      <c r="N399" s="169"/>
    </row>
    <row r="400">
      <c r="G400" s="168"/>
      <c r="L400" s="168"/>
      <c r="N400" s="169"/>
    </row>
    <row r="401">
      <c r="G401" s="168"/>
      <c r="L401" s="168"/>
      <c r="N401" s="169"/>
    </row>
    <row r="402">
      <c r="G402" s="168"/>
      <c r="L402" s="168"/>
      <c r="N402" s="169"/>
    </row>
    <row r="403">
      <c r="G403" s="168"/>
      <c r="L403" s="168"/>
      <c r="N403" s="169"/>
    </row>
    <row r="404">
      <c r="G404" s="168"/>
      <c r="L404" s="168"/>
      <c r="N404" s="169"/>
    </row>
    <row r="405">
      <c r="G405" s="168"/>
      <c r="L405" s="168"/>
      <c r="N405" s="169"/>
    </row>
    <row r="406">
      <c r="G406" s="168"/>
      <c r="L406" s="168"/>
      <c r="N406" s="169"/>
    </row>
    <row r="407">
      <c r="G407" s="168"/>
      <c r="L407" s="168"/>
      <c r="N407" s="169"/>
    </row>
    <row r="408">
      <c r="G408" s="168"/>
      <c r="L408" s="168"/>
      <c r="N408" s="169"/>
    </row>
    <row r="409">
      <c r="G409" s="168"/>
      <c r="L409" s="168"/>
      <c r="N409" s="169"/>
    </row>
    <row r="410">
      <c r="G410" s="168"/>
      <c r="L410" s="168"/>
      <c r="N410" s="169"/>
    </row>
    <row r="411">
      <c r="G411" s="168"/>
      <c r="L411" s="168"/>
      <c r="N411" s="169"/>
    </row>
    <row r="412">
      <c r="G412" s="168"/>
      <c r="L412" s="168"/>
      <c r="N412" s="169"/>
    </row>
    <row r="413">
      <c r="G413" s="168"/>
      <c r="L413" s="168"/>
      <c r="N413" s="169"/>
    </row>
    <row r="414">
      <c r="G414" s="168"/>
      <c r="L414" s="168"/>
      <c r="N414" s="169"/>
    </row>
    <row r="415">
      <c r="G415" s="168"/>
      <c r="L415" s="168"/>
      <c r="N415" s="169"/>
    </row>
    <row r="416">
      <c r="G416" s="168"/>
      <c r="L416" s="168"/>
      <c r="N416" s="169"/>
    </row>
    <row r="417">
      <c r="G417" s="168"/>
      <c r="L417" s="168"/>
      <c r="N417" s="169"/>
    </row>
    <row r="418">
      <c r="G418" s="168"/>
      <c r="L418" s="168"/>
      <c r="N418" s="169"/>
    </row>
    <row r="419">
      <c r="G419" s="168"/>
      <c r="L419" s="168"/>
      <c r="N419" s="169"/>
    </row>
    <row r="420">
      <c r="G420" s="168"/>
      <c r="L420" s="168"/>
      <c r="N420" s="169"/>
    </row>
    <row r="421">
      <c r="G421" s="168"/>
      <c r="L421" s="168"/>
      <c r="N421" s="169"/>
    </row>
    <row r="422">
      <c r="G422" s="168"/>
      <c r="L422" s="168"/>
      <c r="N422" s="169"/>
    </row>
    <row r="423">
      <c r="G423" s="168"/>
      <c r="L423" s="168"/>
      <c r="N423" s="169"/>
    </row>
    <row r="424">
      <c r="G424" s="168"/>
      <c r="L424" s="168"/>
      <c r="N424" s="169"/>
    </row>
    <row r="425">
      <c r="G425" s="168"/>
      <c r="L425" s="168"/>
      <c r="N425" s="169"/>
    </row>
    <row r="426">
      <c r="G426" s="168"/>
      <c r="L426" s="168"/>
      <c r="N426" s="169"/>
    </row>
    <row r="427">
      <c r="G427" s="168"/>
      <c r="L427" s="168"/>
      <c r="N427" s="169"/>
    </row>
    <row r="428">
      <c r="G428" s="168"/>
      <c r="L428" s="168"/>
      <c r="N428" s="169"/>
    </row>
    <row r="429">
      <c r="G429" s="168"/>
      <c r="L429" s="168"/>
      <c r="N429" s="169"/>
    </row>
    <row r="430">
      <c r="G430" s="168"/>
      <c r="L430" s="168"/>
      <c r="N430" s="169"/>
    </row>
    <row r="431">
      <c r="G431" s="168"/>
      <c r="L431" s="168"/>
      <c r="N431" s="169"/>
    </row>
    <row r="432">
      <c r="G432" s="168"/>
      <c r="L432" s="168"/>
      <c r="N432" s="169"/>
    </row>
    <row r="433">
      <c r="G433" s="168"/>
      <c r="L433" s="168"/>
      <c r="N433" s="169"/>
    </row>
    <row r="434">
      <c r="G434" s="168"/>
      <c r="L434" s="168"/>
      <c r="N434" s="169"/>
    </row>
    <row r="435">
      <c r="G435" s="168"/>
      <c r="L435" s="168"/>
      <c r="N435" s="169"/>
    </row>
    <row r="436">
      <c r="G436" s="168"/>
      <c r="L436" s="168"/>
      <c r="N436" s="169"/>
    </row>
    <row r="437">
      <c r="G437" s="168"/>
      <c r="L437" s="168"/>
      <c r="N437" s="169"/>
    </row>
    <row r="438">
      <c r="G438" s="168"/>
      <c r="L438" s="168"/>
      <c r="N438" s="169"/>
    </row>
    <row r="439">
      <c r="G439" s="168"/>
      <c r="L439" s="168"/>
      <c r="N439" s="169"/>
    </row>
    <row r="440">
      <c r="G440" s="168"/>
      <c r="L440" s="168"/>
      <c r="N440" s="169"/>
    </row>
    <row r="441">
      <c r="G441" s="168"/>
      <c r="L441" s="168"/>
      <c r="N441" s="169"/>
    </row>
    <row r="442">
      <c r="G442" s="168"/>
      <c r="L442" s="168"/>
      <c r="N442" s="169"/>
    </row>
    <row r="443">
      <c r="G443" s="168"/>
      <c r="L443" s="168"/>
      <c r="N443" s="169"/>
    </row>
    <row r="444">
      <c r="G444" s="168"/>
      <c r="L444" s="168"/>
      <c r="N444" s="169"/>
    </row>
    <row r="445">
      <c r="G445" s="168"/>
      <c r="L445" s="168"/>
      <c r="N445" s="169"/>
    </row>
    <row r="446">
      <c r="G446" s="168"/>
      <c r="L446" s="168"/>
      <c r="N446" s="169"/>
    </row>
    <row r="447">
      <c r="G447" s="168"/>
      <c r="L447" s="168"/>
      <c r="N447" s="169"/>
    </row>
    <row r="448">
      <c r="G448" s="168"/>
      <c r="L448" s="168"/>
      <c r="N448" s="169"/>
    </row>
    <row r="449">
      <c r="G449" s="168"/>
      <c r="L449" s="168"/>
      <c r="N449" s="169"/>
    </row>
    <row r="450">
      <c r="G450" s="168"/>
      <c r="L450" s="168"/>
      <c r="N450" s="169"/>
    </row>
    <row r="451">
      <c r="G451" s="168"/>
      <c r="L451" s="168"/>
      <c r="N451" s="169"/>
    </row>
    <row r="452">
      <c r="G452" s="168"/>
      <c r="L452" s="168"/>
      <c r="N452" s="169"/>
    </row>
    <row r="453">
      <c r="G453" s="168"/>
      <c r="L453" s="168"/>
      <c r="N453" s="169"/>
    </row>
    <row r="454">
      <c r="G454" s="168"/>
      <c r="L454" s="168"/>
      <c r="N454" s="169"/>
    </row>
    <row r="455">
      <c r="G455" s="168"/>
      <c r="L455" s="168"/>
      <c r="N455" s="169"/>
    </row>
    <row r="456">
      <c r="G456" s="168"/>
      <c r="L456" s="168"/>
      <c r="N456" s="169"/>
    </row>
    <row r="457">
      <c r="G457" s="168"/>
      <c r="L457" s="168"/>
      <c r="N457" s="169"/>
    </row>
    <row r="458">
      <c r="G458" s="168"/>
      <c r="L458" s="168"/>
      <c r="N458" s="169"/>
    </row>
    <row r="459">
      <c r="G459" s="168"/>
      <c r="L459" s="168"/>
      <c r="N459" s="169"/>
    </row>
    <row r="460">
      <c r="G460" s="168"/>
      <c r="L460" s="168"/>
      <c r="N460" s="169"/>
    </row>
    <row r="461">
      <c r="G461" s="168"/>
      <c r="L461" s="168"/>
      <c r="N461" s="169"/>
    </row>
    <row r="462">
      <c r="G462" s="168"/>
      <c r="L462" s="168"/>
      <c r="N462" s="169"/>
    </row>
    <row r="463">
      <c r="G463" s="168"/>
      <c r="L463" s="168"/>
      <c r="N463" s="169"/>
    </row>
    <row r="464">
      <c r="G464" s="168"/>
      <c r="L464" s="168"/>
      <c r="N464" s="169"/>
    </row>
    <row r="465">
      <c r="G465" s="168"/>
      <c r="L465" s="168"/>
      <c r="N465" s="169"/>
    </row>
    <row r="466">
      <c r="G466" s="168"/>
      <c r="L466" s="168"/>
      <c r="N466" s="169"/>
    </row>
    <row r="467">
      <c r="G467" s="168"/>
      <c r="L467" s="168"/>
      <c r="N467" s="169"/>
    </row>
    <row r="468">
      <c r="G468" s="168"/>
      <c r="L468" s="168"/>
      <c r="N468" s="169"/>
    </row>
    <row r="469">
      <c r="G469" s="168"/>
      <c r="L469" s="168"/>
      <c r="N469" s="169"/>
    </row>
    <row r="470">
      <c r="G470" s="168"/>
      <c r="L470" s="168"/>
      <c r="N470" s="169"/>
    </row>
    <row r="471">
      <c r="G471" s="168"/>
      <c r="L471" s="168"/>
      <c r="N471" s="169"/>
    </row>
    <row r="472">
      <c r="G472" s="168"/>
      <c r="L472" s="168"/>
      <c r="N472" s="169"/>
    </row>
    <row r="473">
      <c r="G473" s="168"/>
      <c r="L473" s="168"/>
      <c r="N473" s="169"/>
    </row>
    <row r="474">
      <c r="G474" s="168"/>
      <c r="L474" s="168"/>
      <c r="N474" s="169"/>
    </row>
    <row r="475">
      <c r="G475" s="168"/>
      <c r="L475" s="168"/>
      <c r="N475" s="169"/>
    </row>
    <row r="476">
      <c r="G476" s="168"/>
      <c r="L476" s="168"/>
      <c r="N476" s="169"/>
    </row>
    <row r="477">
      <c r="G477" s="168"/>
      <c r="L477" s="168"/>
      <c r="N477" s="169"/>
    </row>
    <row r="478">
      <c r="G478" s="168"/>
      <c r="L478" s="168"/>
      <c r="N478" s="169"/>
    </row>
    <row r="479">
      <c r="G479" s="168"/>
      <c r="L479" s="168"/>
      <c r="N479" s="169"/>
    </row>
    <row r="480">
      <c r="G480" s="168"/>
      <c r="L480" s="168"/>
      <c r="N480" s="169"/>
    </row>
    <row r="481">
      <c r="G481" s="168"/>
      <c r="L481" s="168"/>
      <c r="N481" s="169"/>
    </row>
    <row r="482">
      <c r="G482" s="168"/>
      <c r="L482" s="168"/>
      <c r="N482" s="169"/>
    </row>
    <row r="483">
      <c r="G483" s="168"/>
      <c r="L483" s="168"/>
      <c r="N483" s="169"/>
    </row>
    <row r="484">
      <c r="G484" s="168"/>
      <c r="L484" s="168"/>
      <c r="N484" s="169"/>
    </row>
    <row r="485">
      <c r="G485" s="168"/>
      <c r="L485" s="168"/>
      <c r="N485" s="169"/>
    </row>
    <row r="486">
      <c r="G486" s="168"/>
      <c r="L486" s="168"/>
      <c r="N486" s="169"/>
    </row>
    <row r="487">
      <c r="G487" s="168"/>
      <c r="L487" s="168"/>
      <c r="N487" s="169"/>
    </row>
    <row r="488">
      <c r="G488" s="168"/>
      <c r="L488" s="168"/>
      <c r="N488" s="169"/>
    </row>
    <row r="489">
      <c r="G489" s="168"/>
      <c r="L489" s="168"/>
      <c r="N489" s="169"/>
    </row>
    <row r="490">
      <c r="G490" s="168"/>
      <c r="L490" s="168"/>
      <c r="N490" s="169"/>
    </row>
    <row r="491">
      <c r="G491" s="168"/>
      <c r="L491" s="168"/>
      <c r="N491" s="169"/>
    </row>
    <row r="492">
      <c r="G492" s="168"/>
      <c r="L492" s="168"/>
      <c r="N492" s="169"/>
    </row>
    <row r="493">
      <c r="G493" s="168"/>
      <c r="L493" s="168"/>
      <c r="N493" s="169"/>
    </row>
    <row r="494">
      <c r="G494" s="168"/>
      <c r="L494" s="168"/>
      <c r="N494" s="169"/>
    </row>
    <row r="495">
      <c r="G495" s="168"/>
      <c r="L495" s="168"/>
      <c r="N495" s="169"/>
    </row>
    <row r="496">
      <c r="G496" s="168"/>
      <c r="L496" s="168"/>
      <c r="N496" s="169"/>
    </row>
    <row r="497">
      <c r="G497" s="168"/>
      <c r="L497" s="168"/>
      <c r="N497" s="169"/>
    </row>
    <row r="498">
      <c r="G498" s="168"/>
      <c r="L498" s="168"/>
      <c r="N498" s="169"/>
    </row>
    <row r="499">
      <c r="G499" s="168"/>
      <c r="L499" s="168"/>
      <c r="N499" s="169"/>
    </row>
    <row r="500">
      <c r="G500" s="168"/>
      <c r="L500" s="168"/>
      <c r="N500" s="169"/>
    </row>
    <row r="501">
      <c r="G501" s="168"/>
      <c r="L501" s="168"/>
      <c r="N501" s="169"/>
    </row>
    <row r="502">
      <c r="G502" s="168"/>
      <c r="L502" s="168"/>
      <c r="N502" s="169"/>
    </row>
    <row r="503">
      <c r="G503" s="168"/>
      <c r="L503" s="168"/>
      <c r="N503" s="169"/>
    </row>
    <row r="504">
      <c r="G504" s="168"/>
      <c r="L504" s="168"/>
      <c r="N504" s="169"/>
    </row>
    <row r="505">
      <c r="G505" s="168"/>
      <c r="L505" s="168"/>
      <c r="N505" s="169"/>
    </row>
    <row r="506">
      <c r="G506" s="168"/>
      <c r="L506" s="168"/>
      <c r="N506" s="169"/>
    </row>
    <row r="507">
      <c r="G507" s="168"/>
      <c r="L507" s="168"/>
      <c r="N507" s="169"/>
    </row>
    <row r="508">
      <c r="G508" s="168"/>
      <c r="L508" s="168"/>
      <c r="N508" s="169"/>
    </row>
    <row r="509">
      <c r="G509" s="168"/>
      <c r="L509" s="168"/>
      <c r="N509" s="169"/>
    </row>
    <row r="510">
      <c r="G510" s="168"/>
      <c r="L510" s="168"/>
      <c r="N510" s="169"/>
    </row>
    <row r="511">
      <c r="G511" s="168"/>
      <c r="L511" s="168"/>
      <c r="N511" s="169"/>
    </row>
    <row r="512">
      <c r="G512" s="168"/>
      <c r="L512" s="168"/>
      <c r="N512" s="169"/>
    </row>
    <row r="513">
      <c r="G513" s="168"/>
      <c r="L513" s="168"/>
      <c r="N513" s="169"/>
    </row>
    <row r="514">
      <c r="G514" s="168"/>
      <c r="L514" s="168"/>
      <c r="N514" s="169"/>
    </row>
    <row r="515">
      <c r="G515" s="168"/>
      <c r="L515" s="168"/>
      <c r="N515" s="169"/>
    </row>
    <row r="516">
      <c r="G516" s="168"/>
      <c r="L516" s="168"/>
      <c r="N516" s="169"/>
    </row>
    <row r="517">
      <c r="G517" s="168"/>
      <c r="L517" s="168"/>
      <c r="N517" s="169"/>
    </row>
    <row r="518">
      <c r="G518" s="168"/>
      <c r="L518" s="168"/>
      <c r="N518" s="169"/>
    </row>
    <row r="519">
      <c r="G519" s="168"/>
      <c r="L519" s="168"/>
      <c r="N519" s="169"/>
    </row>
    <row r="520">
      <c r="G520" s="168"/>
      <c r="L520" s="168"/>
      <c r="N520" s="169"/>
    </row>
    <row r="521">
      <c r="G521" s="168"/>
      <c r="L521" s="168"/>
      <c r="N521" s="169"/>
    </row>
    <row r="522">
      <c r="G522" s="168"/>
      <c r="L522" s="168"/>
      <c r="N522" s="169"/>
    </row>
    <row r="523">
      <c r="G523" s="168"/>
      <c r="L523" s="168"/>
      <c r="N523" s="169"/>
    </row>
    <row r="524">
      <c r="G524" s="168"/>
      <c r="L524" s="168"/>
      <c r="N524" s="169"/>
    </row>
    <row r="525">
      <c r="G525" s="168"/>
      <c r="L525" s="168"/>
      <c r="N525" s="169"/>
    </row>
    <row r="526">
      <c r="G526" s="168"/>
      <c r="L526" s="168"/>
      <c r="N526" s="169"/>
    </row>
    <row r="527">
      <c r="G527" s="168"/>
      <c r="L527" s="168"/>
      <c r="N527" s="169"/>
    </row>
    <row r="528">
      <c r="G528" s="168"/>
      <c r="L528" s="168"/>
      <c r="N528" s="169"/>
    </row>
    <row r="529">
      <c r="G529" s="168"/>
      <c r="L529" s="168"/>
      <c r="N529" s="169"/>
    </row>
    <row r="530">
      <c r="G530" s="168"/>
      <c r="L530" s="168"/>
      <c r="N530" s="169"/>
    </row>
    <row r="531">
      <c r="G531" s="168"/>
      <c r="L531" s="168"/>
      <c r="N531" s="169"/>
    </row>
    <row r="532">
      <c r="G532" s="168"/>
      <c r="L532" s="168"/>
      <c r="N532" s="169"/>
    </row>
    <row r="533">
      <c r="G533" s="168"/>
      <c r="L533" s="168"/>
      <c r="N533" s="169"/>
    </row>
    <row r="534">
      <c r="G534" s="168"/>
      <c r="L534" s="168"/>
      <c r="N534" s="169"/>
    </row>
    <row r="535">
      <c r="G535" s="168"/>
      <c r="L535" s="168"/>
      <c r="N535" s="169"/>
    </row>
    <row r="536">
      <c r="G536" s="168"/>
      <c r="L536" s="168"/>
      <c r="N536" s="169"/>
    </row>
    <row r="537">
      <c r="G537" s="168"/>
      <c r="L537" s="168"/>
      <c r="N537" s="169"/>
    </row>
    <row r="538">
      <c r="G538" s="168"/>
      <c r="L538" s="168"/>
      <c r="N538" s="169"/>
    </row>
    <row r="539">
      <c r="G539" s="168"/>
      <c r="L539" s="168"/>
      <c r="N539" s="169"/>
    </row>
    <row r="540">
      <c r="G540" s="168"/>
      <c r="L540" s="168"/>
      <c r="N540" s="169"/>
    </row>
    <row r="541">
      <c r="G541" s="168"/>
      <c r="L541" s="168"/>
      <c r="N541" s="169"/>
    </row>
    <row r="542">
      <c r="G542" s="168"/>
      <c r="L542" s="168"/>
      <c r="N542" s="169"/>
    </row>
    <row r="543">
      <c r="G543" s="168"/>
      <c r="L543" s="168"/>
      <c r="N543" s="169"/>
    </row>
    <row r="544">
      <c r="G544" s="168"/>
      <c r="L544" s="168"/>
      <c r="N544" s="169"/>
    </row>
    <row r="545">
      <c r="G545" s="168"/>
      <c r="L545" s="168"/>
      <c r="N545" s="169"/>
    </row>
    <row r="546">
      <c r="G546" s="168"/>
      <c r="L546" s="168"/>
      <c r="N546" s="169"/>
    </row>
    <row r="547">
      <c r="G547" s="168"/>
      <c r="L547" s="168"/>
      <c r="N547" s="169"/>
    </row>
    <row r="548">
      <c r="G548" s="168"/>
      <c r="L548" s="168"/>
      <c r="N548" s="169"/>
    </row>
    <row r="549">
      <c r="G549" s="168"/>
      <c r="L549" s="168"/>
      <c r="N549" s="169"/>
    </row>
    <row r="550">
      <c r="G550" s="168"/>
      <c r="L550" s="168"/>
      <c r="N550" s="169"/>
    </row>
    <row r="551">
      <c r="G551" s="168"/>
      <c r="L551" s="168"/>
      <c r="N551" s="169"/>
    </row>
    <row r="552">
      <c r="G552" s="168"/>
      <c r="L552" s="168"/>
      <c r="N552" s="169"/>
    </row>
    <row r="553">
      <c r="G553" s="168"/>
      <c r="L553" s="168"/>
      <c r="N553" s="169"/>
    </row>
    <row r="554">
      <c r="G554" s="168"/>
      <c r="L554" s="168"/>
      <c r="N554" s="169"/>
    </row>
    <row r="555">
      <c r="G555" s="168"/>
      <c r="L555" s="168"/>
      <c r="N555" s="169"/>
    </row>
    <row r="556">
      <c r="G556" s="168"/>
      <c r="L556" s="168"/>
      <c r="N556" s="169"/>
    </row>
    <row r="557">
      <c r="G557" s="168"/>
      <c r="L557" s="168"/>
      <c r="N557" s="169"/>
    </row>
    <row r="558">
      <c r="G558" s="168"/>
      <c r="L558" s="168"/>
      <c r="N558" s="169"/>
    </row>
    <row r="559">
      <c r="G559" s="168"/>
      <c r="L559" s="168"/>
      <c r="N559" s="169"/>
    </row>
    <row r="560">
      <c r="G560" s="168"/>
      <c r="L560" s="168"/>
      <c r="N560" s="169"/>
    </row>
    <row r="561">
      <c r="G561" s="168"/>
      <c r="L561" s="168"/>
      <c r="N561" s="169"/>
    </row>
    <row r="562">
      <c r="G562" s="168"/>
      <c r="L562" s="168"/>
      <c r="N562" s="169"/>
    </row>
    <row r="563">
      <c r="G563" s="168"/>
      <c r="L563" s="168"/>
      <c r="N563" s="169"/>
    </row>
    <row r="564">
      <c r="G564" s="168"/>
      <c r="L564" s="168"/>
      <c r="N564" s="169"/>
    </row>
    <row r="565">
      <c r="G565" s="168"/>
      <c r="L565" s="168"/>
      <c r="N565" s="169"/>
    </row>
    <row r="566">
      <c r="G566" s="168"/>
      <c r="L566" s="168"/>
      <c r="N566" s="169"/>
    </row>
    <row r="567">
      <c r="G567" s="168"/>
      <c r="L567" s="168"/>
      <c r="N567" s="169"/>
    </row>
    <row r="568">
      <c r="G568" s="168"/>
      <c r="L568" s="168"/>
      <c r="N568" s="169"/>
    </row>
    <row r="569">
      <c r="G569" s="168"/>
      <c r="L569" s="168"/>
      <c r="N569" s="169"/>
    </row>
    <row r="570">
      <c r="G570" s="168"/>
      <c r="L570" s="168"/>
      <c r="N570" s="169"/>
    </row>
    <row r="571">
      <c r="G571" s="168"/>
      <c r="L571" s="168"/>
      <c r="N571" s="169"/>
    </row>
    <row r="572">
      <c r="G572" s="168"/>
      <c r="L572" s="168"/>
      <c r="N572" s="169"/>
    </row>
    <row r="573">
      <c r="G573" s="168"/>
      <c r="L573" s="168"/>
      <c r="N573" s="169"/>
    </row>
    <row r="574">
      <c r="G574" s="168"/>
      <c r="L574" s="168"/>
      <c r="N574" s="169"/>
    </row>
    <row r="575">
      <c r="G575" s="168"/>
      <c r="L575" s="168"/>
      <c r="N575" s="169"/>
    </row>
    <row r="576">
      <c r="G576" s="168"/>
      <c r="L576" s="168"/>
      <c r="N576" s="169"/>
    </row>
    <row r="577">
      <c r="G577" s="168"/>
      <c r="L577" s="168"/>
      <c r="N577" s="169"/>
    </row>
    <row r="578">
      <c r="G578" s="168"/>
      <c r="L578" s="168"/>
      <c r="N578" s="169"/>
    </row>
    <row r="579">
      <c r="G579" s="168"/>
      <c r="L579" s="168"/>
      <c r="N579" s="169"/>
    </row>
    <row r="580">
      <c r="G580" s="168"/>
      <c r="L580" s="168"/>
      <c r="N580" s="169"/>
    </row>
    <row r="581">
      <c r="G581" s="168"/>
      <c r="L581" s="168"/>
      <c r="N581" s="169"/>
    </row>
    <row r="582">
      <c r="G582" s="168"/>
      <c r="L582" s="168"/>
      <c r="N582" s="169"/>
    </row>
    <row r="583">
      <c r="G583" s="168"/>
      <c r="L583" s="168"/>
      <c r="N583" s="169"/>
    </row>
    <row r="584">
      <c r="G584" s="168"/>
      <c r="L584" s="168"/>
      <c r="N584" s="169"/>
    </row>
    <row r="585">
      <c r="G585" s="168"/>
      <c r="L585" s="168"/>
      <c r="N585" s="169"/>
    </row>
    <row r="586">
      <c r="G586" s="168"/>
      <c r="L586" s="168"/>
      <c r="N586" s="169"/>
    </row>
    <row r="587">
      <c r="G587" s="168"/>
      <c r="L587" s="168"/>
      <c r="N587" s="169"/>
    </row>
    <row r="588">
      <c r="G588" s="168"/>
      <c r="L588" s="168"/>
      <c r="N588" s="169"/>
    </row>
    <row r="589">
      <c r="G589" s="168"/>
      <c r="L589" s="168"/>
      <c r="N589" s="169"/>
    </row>
    <row r="590">
      <c r="G590" s="168"/>
      <c r="L590" s="168"/>
      <c r="N590" s="169"/>
    </row>
    <row r="591">
      <c r="G591" s="168"/>
      <c r="L591" s="168"/>
      <c r="N591" s="169"/>
    </row>
    <row r="592">
      <c r="G592" s="168"/>
      <c r="L592" s="168"/>
      <c r="N592" s="169"/>
    </row>
    <row r="593">
      <c r="G593" s="168"/>
      <c r="L593" s="168"/>
      <c r="N593" s="169"/>
    </row>
    <row r="594">
      <c r="G594" s="168"/>
      <c r="L594" s="168"/>
      <c r="N594" s="169"/>
    </row>
    <row r="595">
      <c r="G595" s="168"/>
      <c r="L595" s="168"/>
      <c r="N595" s="169"/>
    </row>
    <row r="596">
      <c r="G596" s="168"/>
      <c r="L596" s="168"/>
      <c r="N596" s="169"/>
    </row>
    <row r="597">
      <c r="G597" s="168"/>
      <c r="L597" s="168"/>
      <c r="N597" s="169"/>
    </row>
    <row r="598">
      <c r="G598" s="168"/>
      <c r="L598" s="168"/>
      <c r="N598" s="169"/>
    </row>
    <row r="599">
      <c r="G599" s="168"/>
      <c r="L599" s="168"/>
      <c r="N599" s="169"/>
    </row>
    <row r="600">
      <c r="G600" s="168"/>
      <c r="L600" s="168"/>
      <c r="N600" s="169"/>
    </row>
    <row r="601">
      <c r="G601" s="168"/>
      <c r="L601" s="168"/>
      <c r="N601" s="169"/>
    </row>
    <row r="602">
      <c r="G602" s="168"/>
      <c r="L602" s="168"/>
      <c r="N602" s="169"/>
    </row>
    <row r="603">
      <c r="G603" s="168"/>
      <c r="L603" s="168"/>
      <c r="N603" s="169"/>
    </row>
    <row r="604">
      <c r="G604" s="168"/>
      <c r="L604" s="168"/>
      <c r="N604" s="169"/>
    </row>
    <row r="605">
      <c r="G605" s="168"/>
      <c r="L605" s="168"/>
      <c r="N605" s="169"/>
    </row>
    <row r="606">
      <c r="G606" s="168"/>
      <c r="L606" s="168"/>
      <c r="N606" s="169"/>
    </row>
    <row r="607">
      <c r="G607" s="168"/>
      <c r="L607" s="168"/>
      <c r="N607" s="169"/>
    </row>
    <row r="608">
      <c r="G608" s="168"/>
      <c r="L608" s="168"/>
      <c r="N608" s="169"/>
    </row>
    <row r="609">
      <c r="G609" s="168"/>
      <c r="L609" s="168"/>
      <c r="N609" s="169"/>
    </row>
    <row r="610">
      <c r="G610" s="168"/>
      <c r="L610" s="168"/>
      <c r="N610" s="169"/>
    </row>
    <row r="611">
      <c r="G611" s="168"/>
      <c r="L611" s="168"/>
      <c r="N611" s="169"/>
    </row>
    <row r="612">
      <c r="G612" s="168"/>
      <c r="L612" s="168"/>
      <c r="N612" s="169"/>
    </row>
    <row r="613">
      <c r="G613" s="168"/>
      <c r="L613" s="168"/>
      <c r="N613" s="169"/>
    </row>
    <row r="614">
      <c r="G614" s="168"/>
      <c r="L614" s="168"/>
      <c r="N614" s="169"/>
    </row>
    <row r="615">
      <c r="G615" s="168"/>
      <c r="L615" s="168"/>
      <c r="N615" s="169"/>
    </row>
    <row r="616">
      <c r="G616" s="168"/>
      <c r="L616" s="168"/>
      <c r="N616" s="169"/>
    </row>
    <row r="617">
      <c r="G617" s="168"/>
      <c r="L617" s="168"/>
      <c r="N617" s="169"/>
    </row>
    <row r="618">
      <c r="G618" s="168"/>
      <c r="L618" s="168"/>
      <c r="N618" s="169"/>
    </row>
    <row r="619">
      <c r="G619" s="168"/>
      <c r="L619" s="168"/>
      <c r="N619" s="169"/>
    </row>
    <row r="620">
      <c r="G620" s="168"/>
      <c r="L620" s="168"/>
      <c r="N620" s="169"/>
    </row>
    <row r="621">
      <c r="G621" s="168"/>
      <c r="L621" s="168"/>
      <c r="N621" s="169"/>
    </row>
    <row r="622">
      <c r="G622" s="168"/>
      <c r="L622" s="168"/>
      <c r="N622" s="169"/>
    </row>
    <row r="623">
      <c r="G623" s="168"/>
      <c r="L623" s="168"/>
      <c r="N623" s="169"/>
    </row>
    <row r="624">
      <c r="G624" s="168"/>
      <c r="L624" s="168"/>
      <c r="N624" s="169"/>
    </row>
    <row r="625">
      <c r="G625" s="168"/>
      <c r="L625" s="168"/>
      <c r="N625" s="169"/>
    </row>
    <row r="626">
      <c r="G626" s="168"/>
      <c r="L626" s="168"/>
      <c r="N626" s="169"/>
    </row>
    <row r="627">
      <c r="G627" s="168"/>
      <c r="L627" s="168"/>
      <c r="N627" s="169"/>
    </row>
    <row r="628">
      <c r="G628" s="168"/>
      <c r="L628" s="168"/>
      <c r="N628" s="169"/>
    </row>
    <row r="629">
      <c r="G629" s="168"/>
      <c r="L629" s="168"/>
      <c r="N629" s="169"/>
    </row>
    <row r="630">
      <c r="G630" s="168"/>
      <c r="L630" s="168"/>
      <c r="N630" s="169"/>
    </row>
    <row r="631">
      <c r="G631" s="168"/>
      <c r="L631" s="168"/>
      <c r="N631" s="169"/>
    </row>
    <row r="632">
      <c r="G632" s="168"/>
      <c r="L632" s="168"/>
      <c r="N632" s="169"/>
    </row>
    <row r="633">
      <c r="G633" s="168"/>
      <c r="L633" s="168"/>
      <c r="N633" s="169"/>
    </row>
    <row r="634">
      <c r="G634" s="168"/>
      <c r="L634" s="168"/>
      <c r="N634" s="169"/>
    </row>
    <row r="635">
      <c r="G635" s="168"/>
      <c r="L635" s="168"/>
      <c r="N635" s="169"/>
    </row>
    <row r="636">
      <c r="G636" s="168"/>
      <c r="L636" s="168"/>
      <c r="N636" s="169"/>
    </row>
    <row r="637">
      <c r="G637" s="168"/>
      <c r="L637" s="168"/>
      <c r="N637" s="169"/>
    </row>
    <row r="638">
      <c r="G638" s="168"/>
      <c r="L638" s="168"/>
      <c r="N638" s="169"/>
    </row>
    <row r="639">
      <c r="G639" s="168"/>
      <c r="L639" s="168"/>
      <c r="N639" s="169"/>
    </row>
    <row r="640">
      <c r="G640" s="168"/>
      <c r="L640" s="168"/>
      <c r="N640" s="169"/>
    </row>
    <row r="641">
      <c r="G641" s="168"/>
      <c r="L641" s="168"/>
      <c r="N641" s="169"/>
    </row>
    <row r="642">
      <c r="G642" s="168"/>
      <c r="L642" s="168"/>
      <c r="N642" s="169"/>
    </row>
    <row r="643">
      <c r="G643" s="168"/>
      <c r="L643" s="168"/>
      <c r="N643" s="169"/>
    </row>
    <row r="644">
      <c r="G644" s="168"/>
      <c r="L644" s="168"/>
      <c r="N644" s="169"/>
    </row>
    <row r="645">
      <c r="G645" s="168"/>
      <c r="L645" s="168"/>
      <c r="N645" s="169"/>
    </row>
    <row r="646">
      <c r="G646" s="168"/>
      <c r="L646" s="168"/>
      <c r="N646" s="169"/>
    </row>
    <row r="647">
      <c r="G647" s="168"/>
      <c r="L647" s="168"/>
      <c r="N647" s="169"/>
    </row>
    <row r="648">
      <c r="G648" s="168"/>
      <c r="L648" s="168"/>
      <c r="N648" s="169"/>
    </row>
    <row r="649">
      <c r="G649" s="168"/>
      <c r="L649" s="168"/>
      <c r="N649" s="169"/>
    </row>
    <row r="650">
      <c r="G650" s="168"/>
      <c r="L650" s="168"/>
      <c r="N650" s="169"/>
    </row>
    <row r="651">
      <c r="G651" s="168"/>
      <c r="L651" s="168"/>
      <c r="N651" s="169"/>
    </row>
    <row r="652">
      <c r="G652" s="168"/>
      <c r="L652" s="168"/>
      <c r="N652" s="169"/>
    </row>
    <row r="653">
      <c r="G653" s="168"/>
      <c r="L653" s="168"/>
      <c r="N653" s="169"/>
    </row>
    <row r="654">
      <c r="G654" s="168"/>
      <c r="L654" s="168"/>
      <c r="N654" s="169"/>
    </row>
    <row r="655">
      <c r="G655" s="168"/>
      <c r="L655" s="168"/>
      <c r="N655" s="169"/>
    </row>
    <row r="656">
      <c r="G656" s="168"/>
      <c r="L656" s="168"/>
      <c r="N656" s="169"/>
    </row>
    <row r="657">
      <c r="G657" s="168"/>
      <c r="L657" s="168"/>
      <c r="N657" s="169"/>
    </row>
    <row r="658">
      <c r="G658" s="168"/>
      <c r="L658" s="168"/>
      <c r="N658" s="169"/>
    </row>
    <row r="659">
      <c r="G659" s="168"/>
      <c r="L659" s="168"/>
      <c r="N659" s="169"/>
    </row>
    <row r="660">
      <c r="G660" s="168"/>
      <c r="L660" s="168"/>
      <c r="N660" s="169"/>
    </row>
    <row r="661">
      <c r="G661" s="168"/>
      <c r="L661" s="168"/>
      <c r="N661" s="169"/>
    </row>
    <row r="662">
      <c r="G662" s="168"/>
      <c r="L662" s="168"/>
      <c r="N662" s="169"/>
    </row>
    <row r="663">
      <c r="G663" s="168"/>
      <c r="L663" s="168"/>
      <c r="N663" s="169"/>
    </row>
    <row r="664">
      <c r="G664" s="168"/>
      <c r="L664" s="168"/>
      <c r="N664" s="169"/>
    </row>
    <row r="665">
      <c r="G665" s="168"/>
      <c r="L665" s="168"/>
      <c r="N665" s="169"/>
    </row>
    <row r="666">
      <c r="G666" s="168"/>
      <c r="L666" s="168"/>
      <c r="N666" s="169"/>
    </row>
    <row r="667">
      <c r="G667" s="168"/>
      <c r="L667" s="168"/>
      <c r="N667" s="169"/>
    </row>
    <row r="668">
      <c r="G668" s="168"/>
      <c r="L668" s="168"/>
      <c r="N668" s="169"/>
    </row>
    <row r="669">
      <c r="G669" s="168"/>
      <c r="L669" s="168"/>
      <c r="N669" s="169"/>
    </row>
    <row r="670">
      <c r="G670" s="168"/>
      <c r="L670" s="168"/>
      <c r="N670" s="169"/>
    </row>
    <row r="671">
      <c r="G671" s="168"/>
      <c r="L671" s="168"/>
      <c r="N671" s="169"/>
    </row>
    <row r="672">
      <c r="G672" s="168"/>
      <c r="L672" s="168"/>
      <c r="N672" s="169"/>
    </row>
    <row r="673">
      <c r="G673" s="168"/>
      <c r="L673" s="168"/>
      <c r="N673" s="169"/>
    </row>
    <row r="674">
      <c r="G674" s="168"/>
      <c r="L674" s="168"/>
      <c r="N674" s="169"/>
    </row>
    <row r="675">
      <c r="G675" s="168"/>
      <c r="L675" s="168"/>
      <c r="N675" s="169"/>
    </row>
    <row r="676">
      <c r="G676" s="168"/>
      <c r="L676" s="168"/>
      <c r="N676" s="169"/>
    </row>
    <row r="677">
      <c r="G677" s="168"/>
      <c r="L677" s="168"/>
      <c r="N677" s="169"/>
    </row>
    <row r="678">
      <c r="G678" s="168"/>
      <c r="L678" s="168"/>
      <c r="N678" s="169"/>
    </row>
    <row r="679">
      <c r="G679" s="168"/>
      <c r="L679" s="168"/>
      <c r="N679" s="169"/>
    </row>
    <row r="680">
      <c r="G680" s="168"/>
      <c r="L680" s="168"/>
      <c r="N680" s="169"/>
    </row>
    <row r="681">
      <c r="G681" s="168"/>
      <c r="L681" s="168"/>
      <c r="N681" s="169"/>
    </row>
    <row r="682">
      <c r="G682" s="168"/>
      <c r="L682" s="168"/>
      <c r="N682" s="169"/>
    </row>
    <row r="683">
      <c r="G683" s="168"/>
      <c r="L683" s="168"/>
      <c r="N683" s="169"/>
    </row>
    <row r="684">
      <c r="G684" s="168"/>
      <c r="L684" s="168"/>
      <c r="N684" s="169"/>
    </row>
    <row r="685">
      <c r="G685" s="168"/>
      <c r="L685" s="168"/>
      <c r="N685" s="169"/>
    </row>
    <row r="686">
      <c r="G686" s="168"/>
      <c r="L686" s="168"/>
      <c r="N686" s="169"/>
    </row>
    <row r="687">
      <c r="G687" s="168"/>
      <c r="L687" s="168"/>
      <c r="N687" s="169"/>
    </row>
    <row r="688">
      <c r="G688" s="168"/>
      <c r="L688" s="168"/>
      <c r="N688" s="169"/>
    </row>
    <row r="689">
      <c r="G689" s="168"/>
      <c r="L689" s="168"/>
      <c r="N689" s="169"/>
    </row>
    <row r="690">
      <c r="G690" s="168"/>
      <c r="L690" s="168"/>
      <c r="N690" s="169"/>
    </row>
    <row r="691">
      <c r="G691" s="168"/>
      <c r="L691" s="168"/>
      <c r="N691" s="169"/>
    </row>
    <row r="692">
      <c r="G692" s="168"/>
      <c r="L692" s="168"/>
      <c r="N692" s="169"/>
    </row>
    <row r="693">
      <c r="G693" s="168"/>
      <c r="L693" s="168"/>
      <c r="N693" s="169"/>
    </row>
    <row r="694">
      <c r="G694" s="168"/>
      <c r="L694" s="168"/>
      <c r="N694" s="169"/>
    </row>
    <row r="695">
      <c r="G695" s="168"/>
      <c r="L695" s="168"/>
      <c r="N695" s="169"/>
    </row>
    <row r="696">
      <c r="G696" s="168"/>
      <c r="L696" s="168"/>
      <c r="N696" s="169"/>
    </row>
    <row r="697">
      <c r="G697" s="168"/>
      <c r="L697" s="168"/>
      <c r="N697" s="169"/>
    </row>
    <row r="698">
      <c r="G698" s="168"/>
      <c r="L698" s="168"/>
      <c r="N698" s="169"/>
    </row>
    <row r="699">
      <c r="G699" s="168"/>
      <c r="L699" s="168"/>
      <c r="N699" s="169"/>
    </row>
    <row r="700">
      <c r="G700" s="168"/>
      <c r="L700" s="168"/>
      <c r="N700" s="169"/>
    </row>
    <row r="701">
      <c r="G701" s="168"/>
      <c r="L701" s="168"/>
      <c r="N701" s="169"/>
    </row>
    <row r="702">
      <c r="G702" s="168"/>
      <c r="L702" s="168"/>
      <c r="N702" s="169"/>
    </row>
    <row r="703">
      <c r="G703" s="168"/>
      <c r="L703" s="168"/>
      <c r="N703" s="169"/>
    </row>
    <row r="704">
      <c r="G704" s="168"/>
      <c r="L704" s="168"/>
      <c r="N704" s="169"/>
    </row>
    <row r="705">
      <c r="G705" s="168"/>
      <c r="L705" s="168"/>
      <c r="N705" s="169"/>
    </row>
    <row r="706">
      <c r="G706" s="168"/>
      <c r="L706" s="168"/>
      <c r="N706" s="169"/>
    </row>
    <row r="707">
      <c r="G707" s="168"/>
      <c r="L707" s="168"/>
      <c r="N707" s="169"/>
    </row>
    <row r="708">
      <c r="G708" s="168"/>
      <c r="L708" s="168"/>
      <c r="N708" s="169"/>
    </row>
    <row r="709">
      <c r="G709" s="168"/>
      <c r="L709" s="168"/>
      <c r="N709" s="169"/>
    </row>
    <row r="710">
      <c r="G710" s="168"/>
      <c r="L710" s="168"/>
      <c r="N710" s="169"/>
    </row>
    <row r="711">
      <c r="G711" s="168"/>
      <c r="L711" s="168"/>
      <c r="N711" s="169"/>
    </row>
    <row r="712">
      <c r="G712" s="168"/>
      <c r="L712" s="168"/>
      <c r="N712" s="169"/>
    </row>
    <row r="713">
      <c r="G713" s="168"/>
      <c r="L713" s="168"/>
      <c r="N713" s="169"/>
    </row>
    <row r="714">
      <c r="G714" s="168"/>
      <c r="L714" s="168"/>
      <c r="N714" s="169"/>
    </row>
    <row r="715">
      <c r="G715" s="168"/>
      <c r="L715" s="168"/>
      <c r="N715" s="169"/>
    </row>
    <row r="716">
      <c r="G716" s="168"/>
      <c r="L716" s="168"/>
      <c r="N716" s="169"/>
    </row>
    <row r="717">
      <c r="G717" s="168"/>
      <c r="L717" s="168"/>
      <c r="N717" s="169"/>
    </row>
    <row r="718">
      <c r="G718" s="168"/>
      <c r="L718" s="168"/>
      <c r="N718" s="169"/>
    </row>
    <row r="719">
      <c r="G719" s="168"/>
      <c r="L719" s="168"/>
      <c r="N719" s="169"/>
    </row>
    <row r="720">
      <c r="G720" s="168"/>
      <c r="L720" s="168"/>
      <c r="N720" s="169"/>
    </row>
    <row r="721">
      <c r="G721" s="168"/>
      <c r="L721" s="168"/>
      <c r="N721" s="169"/>
    </row>
    <row r="722">
      <c r="G722" s="168"/>
      <c r="L722" s="168"/>
      <c r="N722" s="169"/>
    </row>
    <row r="723">
      <c r="G723" s="168"/>
      <c r="L723" s="168"/>
      <c r="N723" s="169"/>
    </row>
    <row r="724">
      <c r="G724" s="168"/>
      <c r="L724" s="168"/>
      <c r="N724" s="169"/>
    </row>
    <row r="725">
      <c r="G725" s="168"/>
      <c r="L725" s="168"/>
      <c r="N725" s="169"/>
    </row>
    <row r="726">
      <c r="G726" s="168"/>
      <c r="L726" s="168"/>
      <c r="N726" s="169"/>
    </row>
    <row r="727">
      <c r="G727" s="168"/>
      <c r="L727" s="168"/>
      <c r="N727" s="169"/>
    </row>
    <row r="728">
      <c r="G728" s="168"/>
      <c r="L728" s="168"/>
      <c r="N728" s="169"/>
    </row>
    <row r="729">
      <c r="G729" s="168"/>
      <c r="L729" s="168"/>
      <c r="N729" s="169"/>
    </row>
    <row r="730">
      <c r="G730" s="168"/>
      <c r="L730" s="168"/>
      <c r="N730" s="169"/>
    </row>
    <row r="731">
      <c r="G731" s="168"/>
      <c r="L731" s="168"/>
      <c r="N731" s="169"/>
    </row>
    <row r="732">
      <c r="G732" s="168"/>
      <c r="L732" s="168"/>
      <c r="N732" s="169"/>
    </row>
    <row r="733">
      <c r="G733" s="168"/>
      <c r="L733" s="168"/>
      <c r="N733" s="169"/>
    </row>
    <row r="734">
      <c r="G734" s="168"/>
      <c r="L734" s="168"/>
      <c r="N734" s="169"/>
    </row>
    <row r="735">
      <c r="G735" s="168"/>
      <c r="L735" s="168"/>
      <c r="N735" s="169"/>
    </row>
    <row r="736">
      <c r="G736" s="168"/>
      <c r="L736" s="168"/>
      <c r="N736" s="169"/>
    </row>
    <row r="737">
      <c r="G737" s="168"/>
      <c r="L737" s="168"/>
      <c r="N737" s="169"/>
    </row>
    <row r="738">
      <c r="G738" s="168"/>
      <c r="L738" s="168"/>
      <c r="N738" s="169"/>
    </row>
    <row r="739">
      <c r="G739" s="168"/>
      <c r="L739" s="168"/>
      <c r="N739" s="169"/>
    </row>
    <row r="740">
      <c r="G740" s="168"/>
      <c r="L740" s="168"/>
      <c r="N740" s="169"/>
    </row>
    <row r="741">
      <c r="G741" s="168"/>
      <c r="L741" s="168"/>
      <c r="N741" s="169"/>
    </row>
    <row r="742">
      <c r="G742" s="168"/>
      <c r="L742" s="168"/>
      <c r="N742" s="169"/>
    </row>
    <row r="743">
      <c r="G743" s="168"/>
      <c r="L743" s="168"/>
      <c r="N743" s="169"/>
    </row>
    <row r="744">
      <c r="G744" s="168"/>
      <c r="L744" s="168"/>
      <c r="N744" s="169"/>
    </row>
    <row r="745">
      <c r="G745" s="168"/>
      <c r="L745" s="168"/>
      <c r="N745" s="169"/>
    </row>
    <row r="746">
      <c r="G746" s="168"/>
      <c r="L746" s="168"/>
      <c r="N746" s="169"/>
    </row>
    <row r="747">
      <c r="G747" s="168"/>
      <c r="L747" s="168"/>
      <c r="N747" s="169"/>
    </row>
    <row r="748">
      <c r="G748" s="168"/>
      <c r="L748" s="168"/>
      <c r="N748" s="169"/>
    </row>
    <row r="749">
      <c r="G749" s="168"/>
      <c r="L749" s="168"/>
      <c r="N749" s="169"/>
    </row>
    <row r="750">
      <c r="G750" s="168"/>
      <c r="L750" s="168"/>
      <c r="N750" s="169"/>
    </row>
    <row r="751">
      <c r="G751" s="168"/>
      <c r="L751" s="168"/>
      <c r="N751" s="169"/>
    </row>
    <row r="752">
      <c r="G752" s="168"/>
      <c r="L752" s="168"/>
      <c r="N752" s="169"/>
    </row>
    <row r="753">
      <c r="G753" s="168"/>
      <c r="L753" s="168"/>
      <c r="N753" s="169"/>
    </row>
    <row r="754">
      <c r="G754" s="168"/>
      <c r="L754" s="168"/>
      <c r="N754" s="169"/>
    </row>
    <row r="755">
      <c r="G755" s="168"/>
      <c r="L755" s="168"/>
      <c r="N755" s="169"/>
    </row>
    <row r="756">
      <c r="G756" s="168"/>
      <c r="L756" s="168"/>
      <c r="N756" s="169"/>
    </row>
    <row r="757">
      <c r="G757" s="168"/>
      <c r="L757" s="168"/>
      <c r="N757" s="169"/>
    </row>
    <row r="758">
      <c r="G758" s="168"/>
      <c r="L758" s="168"/>
      <c r="N758" s="169"/>
    </row>
    <row r="759">
      <c r="G759" s="168"/>
      <c r="L759" s="168"/>
      <c r="N759" s="169"/>
    </row>
    <row r="760">
      <c r="G760" s="168"/>
      <c r="L760" s="168"/>
      <c r="N760" s="169"/>
    </row>
    <row r="761">
      <c r="G761" s="168"/>
      <c r="L761" s="168"/>
      <c r="N761" s="169"/>
    </row>
    <row r="762">
      <c r="G762" s="168"/>
      <c r="L762" s="168"/>
      <c r="N762" s="169"/>
    </row>
    <row r="763">
      <c r="G763" s="168"/>
      <c r="L763" s="168"/>
      <c r="N763" s="169"/>
    </row>
    <row r="764">
      <c r="G764" s="168"/>
      <c r="L764" s="168"/>
      <c r="N764" s="169"/>
    </row>
    <row r="765">
      <c r="G765" s="168"/>
      <c r="L765" s="168"/>
      <c r="N765" s="169"/>
    </row>
    <row r="766">
      <c r="G766" s="168"/>
      <c r="L766" s="168"/>
      <c r="N766" s="169"/>
    </row>
    <row r="767">
      <c r="G767" s="168"/>
      <c r="L767" s="168"/>
      <c r="N767" s="169"/>
    </row>
    <row r="768">
      <c r="G768" s="168"/>
      <c r="L768" s="168"/>
      <c r="N768" s="169"/>
    </row>
    <row r="769">
      <c r="G769" s="168"/>
      <c r="L769" s="168"/>
      <c r="N769" s="169"/>
    </row>
    <row r="770">
      <c r="G770" s="168"/>
      <c r="L770" s="168"/>
      <c r="N770" s="169"/>
    </row>
    <row r="771">
      <c r="G771" s="168"/>
      <c r="L771" s="168"/>
      <c r="N771" s="169"/>
    </row>
    <row r="772">
      <c r="G772" s="168"/>
      <c r="L772" s="168"/>
      <c r="N772" s="169"/>
    </row>
    <row r="773">
      <c r="G773" s="168"/>
      <c r="L773" s="168"/>
      <c r="N773" s="169"/>
    </row>
    <row r="774">
      <c r="G774" s="168"/>
      <c r="L774" s="168"/>
      <c r="N774" s="169"/>
    </row>
    <row r="775">
      <c r="G775" s="168"/>
      <c r="L775" s="168"/>
      <c r="N775" s="169"/>
    </row>
    <row r="776">
      <c r="G776" s="168"/>
      <c r="L776" s="168"/>
      <c r="N776" s="169"/>
    </row>
    <row r="777">
      <c r="G777" s="168"/>
      <c r="L777" s="168"/>
      <c r="N777" s="169"/>
    </row>
    <row r="778">
      <c r="G778" s="168"/>
      <c r="L778" s="168"/>
      <c r="N778" s="169"/>
    </row>
    <row r="779">
      <c r="G779" s="168"/>
      <c r="L779" s="168"/>
      <c r="N779" s="169"/>
    </row>
    <row r="780">
      <c r="G780" s="168"/>
      <c r="L780" s="168"/>
      <c r="N780" s="169"/>
    </row>
    <row r="781">
      <c r="G781" s="168"/>
      <c r="L781" s="168"/>
      <c r="N781" s="169"/>
    </row>
    <row r="782">
      <c r="G782" s="168"/>
      <c r="L782" s="168"/>
      <c r="N782" s="169"/>
    </row>
    <row r="783">
      <c r="G783" s="168"/>
      <c r="L783" s="168"/>
      <c r="N783" s="169"/>
    </row>
    <row r="784">
      <c r="G784" s="168"/>
      <c r="L784" s="168"/>
      <c r="N784" s="169"/>
    </row>
    <row r="785">
      <c r="G785" s="168"/>
      <c r="L785" s="168"/>
      <c r="N785" s="169"/>
    </row>
    <row r="786">
      <c r="G786" s="168"/>
      <c r="L786" s="168"/>
      <c r="N786" s="169"/>
    </row>
    <row r="787">
      <c r="G787" s="168"/>
      <c r="L787" s="168"/>
      <c r="N787" s="169"/>
    </row>
    <row r="788">
      <c r="G788" s="168"/>
      <c r="L788" s="168"/>
      <c r="N788" s="169"/>
    </row>
    <row r="789">
      <c r="G789" s="168"/>
      <c r="L789" s="168"/>
      <c r="N789" s="169"/>
    </row>
    <row r="790">
      <c r="G790" s="168"/>
      <c r="L790" s="168"/>
      <c r="N790" s="169"/>
    </row>
    <row r="791">
      <c r="G791" s="168"/>
      <c r="L791" s="168"/>
      <c r="N791" s="169"/>
    </row>
    <row r="792">
      <c r="G792" s="168"/>
      <c r="L792" s="168"/>
      <c r="N792" s="169"/>
    </row>
    <row r="793">
      <c r="G793" s="168"/>
      <c r="L793" s="168"/>
      <c r="N793" s="169"/>
    </row>
    <row r="794">
      <c r="G794" s="168"/>
      <c r="L794" s="168"/>
      <c r="N794" s="169"/>
    </row>
    <row r="795">
      <c r="G795" s="168"/>
      <c r="L795" s="168"/>
      <c r="N795" s="169"/>
    </row>
    <row r="796">
      <c r="G796" s="168"/>
      <c r="L796" s="168"/>
      <c r="N796" s="169"/>
    </row>
    <row r="797">
      <c r="G797" s="168"/>
      <c r="L797" s="168"/>
      <c r="N797" s="169"/>
    </row>
    <row r="798">
      <c r="G798" s="168"/>
      <c r="L798" s="168"/>
      <c r="N798" s="169"/>
    </row>
    <row r="799">
      <c r="G799" s="168"/>
      <c r="L799" s="168"/>
      <c r="N799" s="169"/>
    </row>
    <row r="800">
      <c r="G800" s="168"/>
      <c r="L800" s="168"/>
      <c r="N800" s="169"/>
    </row>
    <row r="801">
      <c r="G801" s="168"/>
      <c r="L801" s="168"/>
      <c r="N801" s="169"/>
    </row>
    <row r="802">
      <c r="G802" s="168"/>
      <c r="L802" s="168"/>
      <c r="N802" s="169"/>
    </row>
    <row r="803">
      <c r="G803" s="168"/>
      <c r="L803" s="168"/>
      <c r="N803" s="169"/>
    </row>
    <row r="804">
      <c r="G804" s="168"/>
      <c r="L804" s="168"/>
      <c r="N804" s="169"/>
    </row>
    <row r="805">
      <c r="G805" s="168"/>
      <c r="L805" s="168"/>
      <c r="N805" s="169"/>
    </row>
    <row r="806">
      <c r="G806" s="168"/>
      <c r="L806" s="168"/>
      <c r="N806" s="169"/>
    </row>
    <row r="807">
      <c r="G807" s="168"/>
      <c r="L807" s="168"/>
      <c r="N807" s="169"/>
    </row>
    <row r="808">
      <c r="G808" s="168"/>
      <c r="L808" s="168"/>
      <c r="N808" s="169"/>
    </row>
    <row r="809">
      <c r="G809" s="168"/>
      <c r="L809" s="168"/>
      <c r="N809" s="169"/>
    </row>
    <row r="810">
      <c r="G810" s="168"/>
      <c r="L810" s="168"/>
      <c r="N810" s="169"/>
    </row>
    <row r="811">
      <c r="G811" s="168"/>
      <c r="L811" s="168"/>
      <c r="N811" s="169"/>
    </row>
    <row r="812">
      <c r="G812" s="168"/>
      <c r="L812" s="168"/>
      <c r="N812" s="169"/>
    </row>
    <row r="813">
      <c r="G813" s="168"/>
      <c r="L813" s="168"/>
      <c r="N813" s="169"/>
    </row>
    <row r="814">
      <c r="G814" s="168"/>
      <c r="L814" s="168"/>
      <c r="N814" s="169"/>
    </row>
    <row r="815">
      <c r="G815" s="168"/>
      <c r="L815" s="168"/>
      <c r="N815" s="169"/>
    </row>
    <row r="816">
      <c r="G816" s="168"/>
      <c r="L816" s="168"/>
      <c r="N816" s="169"/>
    </row>
    <row r="817">
      <c r="G817" s="168"/>
      <c r="L817" s="168"/>
      <c r="N817" s="169"/>
    </row>
    <row r="818">
      <c r="G818" s="168"/>
      <c r="L818" s="168"/>
      <c r="N818" s="169"/>
    </row>
    <row r="819">
      <c r="G819" s="168"/>
      <c r="L819" s="168"/>
      <c r="N819" s="169"/>
    </row>
    <row r="820">
      <c r="G820" s="168"/>
      <c r="L820" s="168"/>
      <c r="N820" s="169"/>
    </row>
    <row r="821">
      <c r="G821" s="168"/>
      <c r="L821" s="168"/>
      <c r="N821" s="169"/>
    </row>
    <row r="822">
      <c r="G822" s="168"/>
      <c r="L822" s="168"/>
      <c r="N822" s="169"/>
    </row>
    <row r="823">
      <c r="G823" s="168"/>
      <c r="L823" s="168"/>
      <c r="N823" s="169"/>
    </row>
    <row r="824">
      <c r="G824" s="168"/>
      <c r="L824" s="168"/>
      <c r="N824" s="169"/>
    </row>
    <row r="825">
      <c r="G825" s="168"/>
      <c r="L825" s="168"/>
      <c r="N825" s="169"/>
    </row>
    <row r="826">
      <c r="G826" s="168"/>
      <c r="L826" s="168"/>
      <c r="N826" s="169"/>
    </row>
    <row r="827">
      <c r="G827" s="168"/>
      <c r="L827" s="168"/>
      <c r="N827" s="169"/>
    </row>
    <row r="828">
      <c r="G828" s="168"/>
      <c r="L828" s="168"/>
      <c r="N828" s="169"/>
    </row>
    <row r="829">
      <c r="G829" s="168"/>
      <c r="L829" s="168"/>
      <c r="N829" s="169"/>
    </row>
    <row r="830">
      <c r="G830" s="168"/>
      <c r="L830" s="168"/>
      <c r="N830" s="169"/>
    </row>
    <row r="831">
      <c r="G831" s="168"/>
      <c r="L831" s="168"/>
      <c r="N831" s="169"/>
    </row>
    <row r="832">
      <c r="G832" s="168"/>
      <c r="L832" s="168"/>
      <c r="N832" s="169"/>
    </row>
    <row r="833">
      <c r="G833" s="168"/>
      <c r="L833" s="168"/>
      <c r="N833" s="169"/>
    </row>
    <row r="834">
      <c r="G834" s="168"/>
      <c r="L834" s="168"/>
      <c r="N834" s="169"/>
    </row>
    <row r="835">
      <c r="G835" s="168"/>
      <c r="L835" s="168"/>
      <c r="N835" s="169"/>
    </row>
    <row r="836">
      <c r="G836" s="168"/>
      <c r="L836" s="168"/>
      <c r="N836" s="169"/>
    </row>
    <row r="837">
      <c r="G837" s="168"/>
      <c r="L837" s="168"/>
      <c r="N837" s="169"/>
    </row>
    <row r="838">
      <c r="G838" s="168"/>
      <c r="L838" s="168"/>
      <c r="N838" s="169"/>
    </row>
    <row r="839">
      <c r="G839" s="168"/>
      <c r="L839" s="168"/>
      <c r="N839" s="169"/>
    </row>
    <row r="840">
      <c r="G840" s="168"/>
      <c r="L840" s="168"/>
      <c r="N840" s="169"/>
    </row>
    <row r="841">
      <c r="G841" s="168"/>
      <c r="L841" s="168"/>
      <c r="N841" s="169"/>
    </row>
    <row r="842">
      <c r="G842" s="168"/>
      <c r="L842" s="168"/>
      <c r="N842" s="169"/>
    </row>
    <row r="843">
      <c r="G843" s="168"/>
      <c r="L843" s="168"/>
      <c r="N843" s="169"/>
    </row>
    <row r="844">
      <c r="G844" s="168"/>
      <c r="L844" s="168"/>
      <c r="N844" s="169"/>
    </row>
    <row r="845">
      <c r="G845" s="168"/>
      <c r="L845" s="168"/>
      <c r="N845" s="169"/>
    </row>
    <row r="846">
      <c r="G846" s="168"/>
      <c r="L846" s="168"/>
      <c r="N846" s="169"/>
    </row>
    <row r="847">
      <c r="G847" s="168"/>
      <c r="L847" s="168"/>
      <c r="N847" s="169"/>
    </row>
    <row r="848">
      <c r="G848" s="168"/>
      <c r="L848" s="168"/>
      <c r="N848" s="169"/>
    </row>
    <row r="849">
      <c r="G849" s="168"/>
      <c r="L849" s="168"/>
      <c r="N849" s="169"/>
    </row>
    <row r="850">
      <c r="G850" s="168"/>
      <c r="L850" s="168"/>
      <c r="N850" s="169"/>
    </row>
    <row r="851">
      <c r="G851" s="168"/>
      <c r="L851" s="168"/>
      <c r="N851" s="169"/>
    </row>
    <row r="852">
      <c r="G852" s="168"/>
      <c r="L852" s="168"/>
      <c r="N852" s="169"/>
    </row>
    <row r="853">
      <c r="G853" s="168"/>
      <c r="L853" s="168"/>
      <c r="N853" s="169"/>
    </row>
    <row r="854">
      <c r="G854" s="168"/>
      <c r="L854" s="168"/>
      <c r="N854" s="169"/>
    </row>
    <row r="855">
      <c r="G855" s="168"/>
      <c r="L855" s="168"/>
      <c r="N855" s="169"/>
    </row>
    <row r="856">
      <c r="G856" s="168"/>
      <c r="L856" s="168"/>
      <c r="N856" s="169"/>
    </row>
    <row r="857">
      <c r="G857" s="168"/>
      <c r="L857" s="168"/>
      <c r="N857" s="169"/>
    </row>
    <row r="858">
      <c r="G858" s="168"/>
      <c r="L858" s="168"/>
      <c r="N858" s="169"/>
    </row>
    <row r="859">
      <c r="G859" s="168"/>
      <c r="L859" s="168"/>
      <c r="N859" s="169"/>
    </row>
    <row r="860">
      <c r="G860" s="168"/>
      <c r="L860" s="168"/>
      <c r="N860" s="169"/>
    </row>
    <row r="861">
      <c r="G861" s="168"/>
      <c r="L861" s="168"/>
      <c r="N861" s="169"/>
    </row>
    <row r="862">
      <c r="G862" s="168"/>
      <c r="L862" s="168"/>
      <c r="N862" s="169"/>
    </row>
    <row r="863">
      <c r="G863" s="168"/>
      <c r="L863" s="168"/>
      <c r="N863" s="169"/>
    </row>
    <row r="864">
      <c r="G864" s="168"/>
      <c r="L864" s="168"/>
      <c r="N864" s="169"/>
    </row>
    <row r="865">
      <c r="G865" s="168"/>
      <c r="L865" s="168"/>
      <c r="N865" s="169"/>
    </row>
    <row r="866">
      <c r="G866" s="168"/>
      <c r="L866" s="168"/>
      <c r="N866" s="169"/>
    </row>
    <row r="867">
      <c r="G867" s="168"/>
      <c r="L867" s="168"/>
      <c r="N867" s="169"/>
    </row>
    <row r="868">
      <c r="G868" s="168"/>
      <c r="L868" s="168"/>
      <c r="N868" s="169"/>
    </row>
    <row r="869">
      <c r="G869" s="168"/>
      <c r="L869" s="168"/>
      <c r="N869" s="169"/>
    </row>
    <row r="870">
      <c r="G870" s="168"/>
      <c r="L870" s="168"/>
      <c r="N870" s="169"/>
    </row>
    <row r="871">
      <c r="G871" s="168"/>
      <c r="L871" s="168"/>
      <c r="N871" s="169"/>
    </row>
    <row r="872">
      <c r="G872" s="168"/>
      <c r="L872" s="168"/>
      <c r="N872" s="169"/>
    </row>
    <row r="873">
      <c r="G873" s="168"/>
      <c r="L873" s="168"/>
      <c r="N873" s="169"/>
    </row>
    <row r="874">
      <c r="G874" s="168"/>
      <c r="L874" s="168"/>
      <c r="N874" s="169"/>
    </row>
    <row r="875">
      <c r="G875" s="168"/>
      <c r="L875" s="168"/>
      <c r="N875" s="169"/>
    </row>
    <row r="876">
      <c r="G876" s="168"/>
      <c r="L876" s="168"/>
      <c r="N876" s="169"/>
    </row>
    <row r="877">
      <c r="G877" s="168"/>
      <c r="L877" s="168"/>
      <c r="N877" s="169"/>
    </row>
    <row r="878">
      <c r="G878" s="168"/>
      <c r="L878" s="168"/>
      <c r="N878" s="169"/>
    </row>
    <row r="879">
      <c r="G879" s="168"/>
      <c r="L879" s="168"/>
      <c r="N879" s="169"/>
    </row>
    <row r="880">
      <c r="G880" s="168"/>
      <c r="L880" s="168"/>
      <c r="N880" s="169"/>
    </row>
    <row r="881">
      <c r="G881" s="168"/>
      <c r="L881" s="168"/>
      <c r="N881" s="169"/>
    </row>
    <row r="882">
      <c r="G882" s="168"/>
      <c r="L882" s="168"/>
      <c r="N882" s="169"/>
    </row>
    <row r="883">
      <c r="G883" s="168"/>
      <c r="L883" s="168"/>
      <c r="N883" s="169"/>
    </row>
    <row r="884">
      <c r="G884" s="168"/>
      <c r="L884" s="168"/>
      <c r="N884" s="169"/>
    </row>
    <row r="885">
      <c r="G885" s="168"/>
      <c r="L885" s="168"/>
      <c r="N885" s="169"/>
    </row>
    <row r="886">
      <c r="G886" s="168"/>
      <c r="L886" s="168"/>
      <c r="N886" s="169"/>
    </row>
    <row r="887">
      <c r="G887" s="168"/>
      <c r="L887" s="168"/>
      <c r="N887" s="169"/>
    </row>
    <row r="888">
      <c r="G888" s="168"/>
      <c r="L888" s="168"/>
      <c r="N888" s="169"/>
    </row>
    <row r="889">
      <c r="G889" s="168"/>
      <c r="L889" s="168"/>
      <c r="N889" s="169"/>
    </row>
    <row r="890">
      <c r="G890" s="168"/>
      <c r="L890" s="168"/>
      <c r="N890" s="169"/>
    </row>
    <row r="891">
      <c r="G891" s="168"/>
      <c r="L891" s="168"/>
      <c r="N891" s="169"/>
    </row>
    <row r="892">
      <c r="G892" s="168"/>
      <c r="L892" s="168"/>
      <c r="N892" s="169"/>
    </row>
    <row r="893">
      <c r="G893" s="168"/>
      <c r="L893" s="168"/>
      <c r="N893" s="169"/>
    </row>
    <row r="894">
      <c r="G894" s="168"/>
      <c r="L894" s="168"/>
      <c r="N894" s="169"/>
    </row>
    <row r="895">
      <c r="G895" s="168"/>
      <c r="L895" s="168"/>
      <c r="N895" s="169"/>
    </row>
    <row r="896">
      <c r="G896" s="168"/>
      <c r="L896" s="168"/>
      <c r="N896" s="169"/>
    </row>
    <row r="897">
      <c r="G897" s="168"/>
      <c r="L897" s="168"/>
      <c r="N897" s="169"/>
    </row>
    <row r="898">
      <c r="G898" s="168"/>
      <c r="L898" s="168"/>
      <c r="N898" s="169"/>
    </row>
    <row r="899">
      <c r="G899" s="168"/>
      <c r="L899" s="168"/>
      <c r="N899" s="169"/>
    </row>
    <row r="900">
      <c r="G900" s="168"/>
      <c r="L900" s="168"/>
      <c r="N900" s="169"/>
    </row>
    <row r="901">
      <c r="G901" s="168"/>
      <c r="L901" s="168"/>
      <c r="N901" s="169"/>
    </row>
    <row r="902">
      <c r="G902" s="168"/>
      <c r="L902" s="168"/>
      <c r="N902" s="169"/>
    </row>
    <row r="903">
      <c r="G903" s="168"/>
      <c r="L903" s="168"/>
      <c r="N903" s="169"/>
    </row>
    <row r="904">
      <c r="G904" s="168"/>
      <c r="L904" s="168"/>
      <c r="N904" s="169"/>
    </row>
    <row r="905">
      <c r="G905" s="168"/>
      <c r="L905" s="168"/>
      <c r="N905" s="169"/>
    </row>
    <row r="906">
      <c r="G906" s="168"/>
      <c r="L906" s="168"/>
      <c r="N906" s="169"/>
    </row>
    <row r="907">
      <c r="G907" s="168"/>
      <c r="L907" s="168"/>
      <c r="N907" s="169"/>
    </row>
    <row r="908">
      <c r="G908" s="168"/>
      <c r="L908" s="168"/>
      <c r="N908" s="169"/>
    </row>
    <row r="909">
      <c r="G909" s="168"/>
      <c r="L909" s="168"/>
      <c r="N909" s="169"/>
    </row>
    <row r="910">
      <c r="G910" s="168"/>
      <c r="L910" s="168"/>
      <c r="N910" s="169"/>
    </row>
    <row r="911">
      <c r="G911" s="168"/>
      <c r="L911" s="168"/>
      <c r="N911" s="169"/>
    </row>
    <row r="912">
      <c r="G912" s="168"/>
      <c r="L912" s="168"/>
      <c r="N912" s="169"/>
    </row>
    <row r="913">
      <c r="G913" s="168"/>
      <c r="L913" s="168"/>
      <c r="N913" s="169"/>
    </row>
    <row r="914">
      <c r="G914" s="168"/>
      <c r="L914" s="168"/>
      <c r="N914" s="169"/>
    </row>
    <row r="915">
      <c r="G915" s="168"/>
      <c r="L915" s="168"/>
      <c r="N915" s="169"/>
    </row>
    <row r="916">
      <c r="G916" s="168"/>
      <c r="L916" s="168"/>
      <c r="N916" s="169"/>
    </row>
    <row r="917">
      <c r="G917" s="168"/>
      <c r="L917" s="168"/>
      <c r="N917" s="169"/>
    </row>
    <row r="918">
      <c r="G918" s="168"/>
      <c r="L918" s="168"/>
      <c r="N918" s="169"/>
    </row>
    <row r="919">
      <c r="G919" s="168"/>
      <c r="L919" s="168"/>
      <c r="N919" s="169"/>
    </row>
    <row r="920">
      <c r="G920" s="168"/>
      <c r="L920" s="168"/>
      <c r="N920" s="169"/>
    </row>
    <row r="921">
      <c r="G921" s="168"/>
      <c r="L921" s="168"/>
      <c r="N921" s="169"/>
    </row>
    <row r="922">
      <c r="G922" s="168"/>
      <c r="L922" s="168"/>
      <c r="N922" s="169"/>
    </row>
    <row r="923">
      <c r="G923" s="168"/>
      <c r="L923" s="168"/>
      <c r="N923" s="169"/>
    </row>
    <row r="924">
      <c r="G924" s="168"/>
      <c r="L924" s="168"/>
      <c r="N924" s="169"/>
    </row>
    <row r="925">
      <c r="G925" s="168"/>
      <c r="L925" s="168"/>
      <c r="N925" s="169"/>
    </row>
    <row r="926">
      <c r="G926" s="168"/>
      <c r="L926" s="168"/>
      <c r="N926" s="169"/>
    </row>
    <row r="927">
      <c r="G927" s="168"/>
      <c r="L927" s="168"/>
      <c r="N927" s="169"/>
    </row>
    <row r="928">
      <c r="G928" s="168"/>
      <c r="L928" s="168"/>
      <c r="N928" s="169"/>
    </row>
    <row r="929">
      <c r="G929" s="168"/>
      <c r="L929" s="168"/>
      <c r="N929" s="169"/>
    </row>
    <row r="930">
      <c r="G930" s="168"/>
      <c r="L930" s="168"/>
      <c r="N930" s="169"/>
    </row>
    <row r="931">
      <c r="G931" s="168"/>
      <c r="L931" s="168"/>
      <c r="N931" s="169"/>
    </row>
    <row r="932">
      <c r="G932" s="168"/>
      <c r="L932" s="168"/>
      <c r="N932" s="169"/>
    </row>
    <row r="933">
      <c r="G933" s="168"/>
      <c r="L933" s="168"/>
      <c r="N933" s="169"/>
    </row>
    <row r="934">
      <c r="G934" s="168"/>
      <c r="L934" s="168"/>
      <c r="N934" s="169"/>
    </row>
    <row r="935">
      <c r="G935" s="168"/>
      <c r="L935" s="168"/>
      <c r="N935" s="169"/>
    </row>
    <row r="936">
      <c r="G936" s="168"/>
      <c r="L936" s="168"/>
      <c r="N936" s="169"/>
    </row>
    <row r="937">
      <c r="G937" s="168"/>
      <c r="L937" s="168"/>
      <c r="N937" s="169"/>
    </row>
    <row r="938">
      <c r="G938" s="168"/>
      <c r="L938" s="168"/>
      <c r="N938" s="169"/>
    </row>
    <row r="939">
      <c r="G939" s="168"/>
      <c r="L939" s="168"/>
      <c r="N939" s="169"/>
    </row>
    <row r="940">
      <c r="G940" s="168"/>
      <c r="L940" s="168"/>
      <c r="N940" s="169"/>
    </row>
    <row r="941">
      <c r="G941" s="168"/>
      <c r="L941" s="168"/>
      <c r="N941" s="169"/>
    </row>
    <row r="942">
      <c r="G942" s="168"/>
      <c r="L942" s="168"/>
      <c r="N942" s="169"/>
    </row>
    <row r="943">
      <c r="G943" s="168"/>
      <c r="L943" s="168"/>
      <c r="N943" s="169"/>
    </row>
    <row r="944">
      <c r="G944" s="168"/>
      <c r="L944" s="168"/>
      <c r="N944" s="169"/>
    </row>
    <row r="945">
      <c r="G945" s="168"/>
      <c r="L945" s="168"/>
      <c r="N945" s="169"/>
    </row>
    <row r="946">
      <c r="G946" s="168"/>
      <c r="L946" s="168"/>
      <c r="N946" s="169"/>
    </row>
    <row r="947">
      <c r="G947" s="168"/>
      <c r="L947" s="168"/>
      <c r="N947" s="169"/>
    </row>
    <row r="948">
      <c r="G948" s="168"/>
      <c r="L948" s="168"/>
      <c r="N948" s="169"/>
    </row>
    <row r="949">
      <c r="G949" s="168"/>
      <c r="L949" s="168"/>
      <c r="N949" s="169"/>
    </row>
    <row r="950">
      <c r="G950" s="168"/>
      <c r="L950" s="168"/>
      <c r="N950" s="169"/>
    </row>
    <row r="951">
      <c r="G951" s="168"/>
      <c r="L951" s="168"/>
      <c r="N951" s="169"/>
    </row>
    <row r="952">
      <c r="G952" s="168"/>
      <c r="L952" s="168"/>
      <c r="N952" s="169"/>
    </row>
    <row r="953">
      <c r="G953" s="168"/>
      <c r="L953" s="168"/>
      <c r="N953" s="169"/>
    </row>
    <row r="954">
      <c r="G954" s="168"/>
      <c r="L954" s="168"/>
      <c r="N954" s="169"/>
    </row>
    <row r="955">
      <c r="G955" s="168"/>
      <c r="L955" s="168"/>
      <c r="N955" s="169"/>
    </row>
    <row r="956">
      <c r="G956" s="168"/>
      <c r="L956" s="168"/>
      <c r="N956" s="169"/>
    </row>
    <row r="957">
      <c r="G957" s="168"/>
      <c r="L957" s="168"/>
      <c r="N957" s="169"/>
    </row>
    <row r="958">
      <c r="G958" s="168"/>
      <c r="L958" s="168"/>
      <c r="N958" s="169"/>
    </row>
    <row r="959">
      <c r="G959" s="168"/>
      <c r="L959" s="168"/>
      <c r="N959" s="169"/>
    </row>
    <row r="960">
      <c r="G960" s="168"/>
      <c r="L960" s="168"/>
      <c r="N960" s="169"/>
    </row>
    <row r="961">
      <c r="G961" s="168"/>
      <c r="L961" s="168"/>
      <c r="N961" s="169"/>
    </row>
    <row r="962">
      <c r="G962" s="168"/>
      <c r="L962" s="168"/>
      <c r="N962" s="169"/>
    </row>
    <row r="963">
      <c r="G963" s="168"/>
      <c r="L963" s="168"/>
      <c r="N963" s="169"/>
    </row>
    <row r="964">
      <c r="G964" s="168"/>
      <c r="L964" s="168"/>
      <c r="N964" s="169"/>
    </row>
    <row r="965">
      <c r="G965" s="168"/>
      <c r="L965" s="168"/>
      <c r="N965" s="169"/>
    </row>
    <row r="966">
      <c r="G966" s="168"/>
      <c r="L966" s="168"/>
      <c r="N966" s="169"/>
    </row>
    <row r="967">
      <c r="G967" s="168"/>
      <c r="L967" s="168"/>
      <c r="N967" s="169"/>
    </row>
    <row r="968">
      <c r="G968" s="168"/>
      <c r="L968" s="168"/>
      <c r="N968" s="169"/>
    </row>
    <row r="969">
      <c r="G969" s="168"/>
      <c r="L969" s="168"/>
      <c r="N969" s="169"/>
    </row>
    <row r="970">
      <c r="G970" s="168"/>
      <c r="L970" s="168"/>
      <c r="N970" s="169"/>
    </row>
    <row r="971">
      <c r="G971" s="168"/>
      <c r="L971" s="168"/>
      <c r="N971" s="169"/>
    </row>
    <row r="972">
      <c r="G972" s="168"/>
      <c r="L972" s="168"/>
      <c r="N972" s="169"/>
    </row>
    <row r="973">
      <c r="G973" s="168"/>
      <c r="L973" s="168"/>
      <c r="N973" s="169"/>
    </row>
    <row r="974">
      <c r="G974" s="168"/>
      <c r="L974" s="168"/>
      <c r="N974" s="169"/>
    </row>
    <row r="975">
      <c r="G975" s="168"/>
      <c r="L975" s="168"/>
      <c r="N975" s="169"/>
    </row>
    <row r="976">
      <c r="G976" s="168"/>
      <c r="L976" s="168"/>
      <c r="N976" s="169"/>
    </row>
    <row r="977">
      <c r="G977" s="168"/>
      <c r="L977" s="168"/>
      <c r="N977" s="169"/>
    </row>
    <row r="978">
      <c r="G978" s="168"/>
      <c r="L978" s="168"/>
      <c r="N978" s="169"/>
    </row>
    <row r="979">
      <c r="G979" s="168"/>
      <c r="L979" s="168"/>
      <c r="N979" s="169"/>
    </row>
    <row r="980">
      <c r="G980" s="168"/>
      <c r="L980" s="168"/>
      <c r="N980" s="169"/>
    </row>
    <row r="981">
      <c r="G981" s="168"/>
      <c r="L981" s="168"/>
      <c r="N981" s="169"/>
    </row>
    <row r="982">
      <c r="G982" s="168"/>
      <c r="L982" s="168"/>
      <c r="N982" s="169"/>
    </row>
    <row r="983">
      <c r="G983" s="168"/>
      <c r="L983" s="168"/>
      <c r="N983" s="169"/>
    </row>
    <row r="984">
      <c r="G984" s="168"/>
      <c r="L984" s="168"/>
      <c r="N984" s="169"/>
    </row>
    <row r="985">
      <c r="G985" s="168"/>
      <c r="L985" s="168"/>
      <c r="N985" s="169"/>
    </row>
    <row r="986">
      <c r="G986" s="168"/>
      <c r="L986" s="168"/>
      <c r="N986" s="169"/>
    </row>
    <row r="987">
      <c r="G987" s="168"/>
      <c r="L987" s="168"/>
      <c r="N987" s="169"/>
    </row>
    <row r="988">
      <c r="G988" s="168"/>
      <c r="L988" s="168"/>
      <c r="N988" s="169"/>
    </row>
    <row r="989">
      <c r="G989" s="168"/>
      <c r="L989" s="168"/>
      <c r="N989" s="169"/>
    </row>
    <row r="990">
      <c r="G990" s="168"/>
      <c r="L990" s="168"/>
      <c r="N990" s="169"/>
    </row>
    <row r="991">
      <c r="G991" s="168"/>
      <c r="L991" s="168"/>
      <c r="N991" s="169"/>
    </row>
    <row r="992">
      <c r="G992" s="168"/>
      <c r="L992" s="168"/>
      <c r="N992" s="169"/>
    </row>
    <row r="993">
      <c r="G993" s="168"/>
      <c r="L993" s="168"/>
      <c r="N993" s="169"/>
    </row>
    <row r="994">
      <c r="G994" s="168"/>
      <c r="L994" s="168"/>
      <c r="N994" s="169"/>
    </row>
    <row r="995">
      <c r="G995" s="168"/>
      <c r="L995" s="168"/>
      <c r="N995" s="169"/>
    </row>
    <row r="996">
      <c r="G996" s="168"/>
      <c r="L996" s="168"/>
      <c r="N996" s="169"/>
    </row>
    <row r="997">
      <c r="G997" s="168"/>
      <c r="L997" s="168"/>
      <c r="N997" s="169"/>
    </row>
    <row r="998">
      <c r="G998" s="168"/>
      <c r="L998" s="168"/>
      <c r="N998" s="169"/>
    </row>
    <row r="999">
      <c r="G999" s="168"/>
      <c r="L999" s="168"/>
      <c r="N999" s="169"/>
    </row>
    <row r="1000">
      <c r="G1000" s="168"/>
      <c r="L1000" s="168"/>
      <c r="N1000" s="169"/>
    </row>
    <row r="1001">
      <c r="G1001" s="168"/>
      <c r="L1001" s="168"/>
      <c r="N1001" s="169"/>
    </row>
    <row r="1002">
      <c r="G1002" s="168"/>
      <c r="L1002" s="168"/>
      <c r="N1002" s="169"/>
    </row>
    <row r="1003">
      <c r="G1003" s="168"/>
      <c r="L1003" s="168"/>
      <c r="N1003" s="169"/>
    </row>
    <row r="1004">
      <c r="G1004" s="168"/>
      <c r="L1004" s="168"/>
      <c r="N1004" s="169"/>
    </row>
    <row r="1005">
      <c r="G1005" s="168"/>
      <c r="L1005" s="168"/>
      <c r="N1005" s="169"/>
    </row>
    <row r="1006">
      <c r="G1006" s="168"/>
      <c r="L1006" s="168"/>
      <c r="N1006" s="169"/>
    </row>
    <row r="1007">
      <c r="G1007" s="168"/>
      <c r="L1007" s="168"/>
      <c r="N1007" s="169"/>
    </row>
    <row r="1008">
      <c r="G1008" s="168"/>
      <c r="L1008" s="168"/>
      <c r="N1008" s="169"/>
    </row>
    <row r="1009">
      <c r="G1009" s="168"/>
      <c r="L1009" s="168"/>
      <c r="N1009" s="169"/>
    </row>
    <row r="1010">
      <c r="G1010" s="168"/>
      <c r="L1010" s="168"/>
      <c r="N1010" s="169"/>
    </row>
    <row r="1011">
      <c r="G1011" s="168"/>
      <c r="L1011" s="168"/>
      <c r="N1011" s="169"/>
    </row>
    <row r="1012">
      <c r="G1012" s="168"/>
      <c r="L1012" s="168"/>
      <c r="N1012" s="169"/>
    </row>
    <row r="1013">
      <c r="G1013" s="168"/>
      <c r="L1013" s="168"/>
      <c r="N1013" s="169"/>
    </row>
    <row r="1014">
      <c r="G1014" s="168"/>
      <c r="L1014" s="168"/>
      <c r="N1014" s="169"/>
    </row>
    <row r="1015">
      <c r="G1015" s="168"/>
      <c r="L1015" s="168"/>
      <c r="N1015" s="169"/>
    </row>
    <row r="1016">
      <c r="G1016" s="168"/>
      <c r="L1016" s="168"/>
      <c r="N1016" s="169"/>
    </row>
    <row r="1017">
      <c r="G1017" s="168"/>
      <c r="L1017" s="168"/>
      <c r="N1017" s="169"/>
    </row>
    <row r="1018">
      <c r="G1018" s="168"/>
      <c r="L1018" s="168"/>
      <c r="N1018" s="169"/>
    </row>
    <row r="1019">
      <c r="G1019" s="168"/>
      <c r="L1019" s="168"/>
      <c r="N1019" s="169"/>
    </row>
    <row r="1020">
      <c r="G1020" s="168"/>
      <c r="L1020" s="168"/>
      <c r="N1020" s="169"/>
    </row>
    <row r="1021">
      <c r="G1021" s="168"/>
      <c r="L1021" s="168"/>
      <c r="N1021" s="169"/>
    </row>
    <row r="1022">
      <c r="G1022" s="168"/>
      <c r="L1022" s="168"/>
      <c r="N1022" s="169"/>
    </row>
    <row r="1023">
      <c r="G1023" s="168"/>
      <c r="L1023" s="168"/>
      <c r="N1023" s="169"/>
    </row>
    <row r="1024">
      <c r="G1024" s="168"/>
      <c r="L1024" s="168"/>
      <c r="N1024" s="169"/>
    </row>
    <row r="1025">
      <c r="G1025" s="168"/>
      <c r="L1025" s="168"/>
      <c r="N1025" s="169"/>
    </row>
    <row r="1026">
      <c r="G1026" s="168"/>
      <c r="L1026" s="168"/>
      <c r="N1026" s="169"/>
    </row>
    <row r="1027">
      <c r="G1027" s="168"/>
      <c r="L1027" s="168"/>
      <c r="N1027" s="169"/>
    </row>
    <row r="1028">
      <c r="G1028" s="168"/>
      <c r="L1028" s="168"/>
      <c r="N1028" s="169"/>
    </row>
    <row r="1029">
      <c r="G1029" s="168"/>
      <c r="L1029" s="168"/>
      <c r="N1029" s="169"/>
    </row>
    <row r="1030">
      <c r="G1030" s="168"/>
      <c r="L1030" s="168"/>
      <c r="N1030" s="169"/>
    </row>
    <row r="1031">
      <c r="G1031" s="168"/>
      <c r="L1031" s="168"/>
      <c r="N1031" s="169"/>
    </row>
    <row r="1032">
      <c r="G1032" s="168"/>
      <c r="L1032" s="168"/>
      <c r="N1032" s="169"/>
    </row>
    <row r="1033">
      <c r="G1033" s="168"/>
      <c r="L1033" s="168"/>
      <c r="N1033" s="169"/>
    </row>
    <row r="1034">
      <c r="G1034" s="168"/>
      <c r="L1034" s="168"/>
      <c r="N1034" s="169"/>
    </row>
    <row r="1035">
      <c r="G1035" s="168"/>
      <c r="L1035" s="168"/>
      <c r="N1035" s="169"/>
    </row>
    <row r="1036">
      <c r="G1036" s="168"/>
      <c r="L1036" s="168"/>
      <c r="N1036" s="169"/>
    </row>
    <row r="1037">
      <c r="G1037" s="168"/>
      <c r="L1037" s="168"/>
      <c r="N1037" s="169"/>
    </row>
    <row r="1038">
      <c r="G1038" s="168"/>
      <c r="L1038" s="168"/>
      <c r="N1038" s="169"/>
    </row>
    <row r="1039">
      <c r="G1039" s="168"/>
      <c r="L1039" s="168"/>
      <c r="N1039" s="169"/>
    </row>
    <row r="1040">
      <c r="G1040" s="168"/>
      <c r="L1040" s="168"/>
      <c r="N1040" s="169"/>
    </row>
    <row r="1041">
      <c r="G1041" s="168"/>
      <c r="L1041" s="168"/>
      <c r="N1041" s="169"/>
    </row>
    <row r="1042">
      <c r="G1042" s="168"/>
      <c r="L1042" s="168"/>
      <c r="N1042" s="169"/>
    </row>
    <row r="1043">
      <c r="G1043" s="168"/>
      <c r="L1043" s="168"/>
      <c r="N1043" s="169"/>
    </row>
    <row r="1044">
      <c r="G1044" s="168"/>
      <c r="L1044" s="168"/>
      <c r="N1044" s="169"/>
    </row>
    <row r="1045">
      <c r="G1045" s="168"/>
      <c r="L1045" s="168"/>
      <c r="N1045" s="169"/>
    </row>
    <row r="1046">
      <c r="G1046" s="168"/>
      <c r="L1046" s="168"/>
      <c r="N1046" s="169"/>
    </row>
    <row r="1047">
      <c r="G1047" s="168"/>
      <c r="L1047" s="168"/>
      <c r="N1047" s="169"/>
    </row>
    <row r="1048">
      <c r="G1048" s="168"/>
      <c r="L1048" s="168"/>
      <c r="N1048" s="169"/>
    </row>
    <row r="1049">
      <c r="G1049" s="168"/>
      <c r="L1049" s="168"/>
      <c r="N1049" s="169"/>
    </row>
    <row r="1050">
      <c r="G1050" s="168"/>
      <c r="L1050" s="168"/>
      <c r="N1050" s="169"/>
    </row>
    <row r="1051">
      <c r="G1051" s="168"/>
      <c r="L1051" s="168"/>
      <c r="N1051" s="169"/>
    </row>
    <row r="1052">
      <c r="G1052" s="168"/>
      <c r="L1052" s="168"/>
      <c r="N1052" s="169"/>
    </row>
    <row r="1053">
      <c r="G1053" s="168"/>
      <c r="L1053" s="168"/>
      <c r="N1053" s="169"/>
    </row>
    <row r="1054">
      <c r="G1054" s="168"/>
      <c r="L1054" s="168"/>
      <c r="N1054" s="169"/>
    </row>
    <row r="1055">
      <c r="G1055" s="168"/>
      <c r="L1055" s="168"/>
      <c r="N1055" s="169"/>
    </row>
    <row r="1056">
      <c r="G1056" s="168"/>
      <c r="L1056" s="168"/>
      <c r="N1056" s="169"/>
    </row>
    <row r="1057">
      <c r="G1057" s="168"/>
      <c r="L1057" s="168"/>
      <c r="N1057" s="169"/>
    </row>
    <row r="1058">
      <c r="G1058" s="168"/>
      <c r="L1058" s="168"/>
      <c r="N1058" s="169"/>
    </row>
    <row r="1059">
      <c r="G1059" s="168"/>
      <c r="L1059" s="168"/>
      <c r="N1059" s="169"/>
    </row>
    <row r="1060">
      <c r="G1060" s="168"/>
      <c r="L1060" s="168"/>
      <c r="N1060" s="169"/>
    </row>
    <row r="1061">
      <c r="G1061" s="168"/>
      <c r="L1061" s="168"/>
      <c r="N1061" s="169"/>
    </row>
    <row r="1062">
      <c r="G1062" s="168"/>
      <c r="L1062" s="168"/>
      <c r="N1062" s="169"/>
    </row>
    <row r="1063">
      <c r="G1063" s="168"/>
      <c r="L1063" s="168"/>
      <c r="N1063" s="169"/>
    </row>
    <row r="1064">
      <c r="G1064" s="168"/>
      <c r="L1064" s="168"/>
      <c r="N1064" s="169"/>
    </row>
    <row r="1065">
      <c r="G1065" s="168"/>
      <c r="L1065" s="168"/>
      <c r="N1065" s="169"/>
    </row>
    <row r="1066">
      <c r="G1066" s="168"/>
      <c r="L1066" s="168"/>
      <c r="N1066" s="169"/>
    </row>
    <row r="1067">
      <c r="G1067" s="168"/>
      <c r="L1067" s="168"/>
      <c r="N1067" s="169"/>
    </row>
    <row r="1068">
      <c r="G1068" s="168"/>
      <c r="L1068" s="168"/>
      <c r="N1068" s="169"/>
    </row>
    <row r="1069">
      <c r="G1069" s="168"/>
      <c r="L1069" s="168"/>
      <c r="N1069" s="169"/>
    </row>
    <row r="1070">
      <c r="G1070" s="168"/>
      <c r="L1070" s="168"/>
      <c r="N1070" s="169"/>
    </row>
    <row r="1071">
      <c r="G1071" s="168"/>
      <c r="L1071" s="168"/>
      <c r="N1071" s="169"/>
    </row>
    <row r="1072">
      <c r="G1072" s="168"/>
      <c r="L1072" s="168"/>
      <c r="N1072" s="169"/>
    </row>
    <row r="1073">
      <c r="G1073" s="168"/>
      <c r="L1073" s="168"/>
      <c r="N1073" s="169"/>
    </row>
    <row r="1074">
      <c r="G1074" s="168"/>
      <c r="L1074" s="168"/>
      <c r="N1074" s="169"/>
    </row>
    <row r="1075">
      <c r="G1075" s="168"/>
      <c r="L1075" s="168"/>
      <c r="N1075" s="169"/>
    </row>
    <row r="1076">
      <c r="G1076" s="168"/>
      <c r="L1076" s="168"/>
      <c r="N1076" s="169"/>
    </row>
    <row r="1077">
      <c r="G1077" s="168"/>
      <c r="L1077" s="168"/>
      <c r="N1077" s="169"/>
    </row>
    <row r="1078">
      <c r="G1078" s="168"/>
      <c r="L1078" s="168"/>
      <c r="N1078" s="169"/>
    </row>
    <row r="1079">
      <c r="G1079" s="168"/>
      <c r="L1079" s="168"/>
      <c r="N1079" s="169"/>
    </row>
    <row r="1080">
      <c r="G1080" s="168"/>
      <c r="L1080" s="168"/>
      <c r="N1080" s="169"/>
    </row>
    <row r="1081">
      <c r="G1081" s="168"/>
      <c r="L1081" s="168"/>
      <c r="N1081" s="169"/>
    </row>
    <row r="1082">
      <c r="G1082" s="168"/>
      <c r="L1082" s="168"/>
      <c r="N1082" s="169"/>
    </row>
    <row r="1083">
      <c r="G1083" s="168"/>
      <c r="L1083" s="168"/>
      <c r="N1083" s="169"/>
    </row>
    <row r="1084">
      <c r="G1084" s="168"/>
      <c r="L1084" s="168"/>
      <c r="N1084" s="169"/>
    </row>
    <row r="1085">
      <c r="G1085" s="168"/>
      <c r="L1085" s="168"/>
      <c r="N1085" s="169"/>
    </row>
    <row r="1086">
      <c r="G1086" s="168"/>
      <c r="L1086" s="168"/>
      <c r="N1086" s="169"/>
    </row>
    <row r="1087">
      <c r="G1087" s="168"/>
      <c r="L1087" s="168"/>
      <c r="N1087" s="169"/>
    </row>
    <row r="1088">
      <c r="G1088" s="168"/>
      <c r="L1088" s="168"/>
      <c r="N1088" s="169"/>
    </row>
    <row r="1089">
      <c r="G1089" s="168"/>
      <c r="L1089" s="168"/>
      <c r="N1089" s="169"/>
    </row>
    <row r="1090">
      <c r="G1090" s="168"/>
      <c r="L1090" s="168"/>
      <c r="N1090" s="169"/>
    </row>
    <row r="1091">
      <c r="G1091" s="168"/>
      <c r="L1091" s="168"/>
      <c r="N1091" s="169"/>
    </row>
    <row r="1092">
      <c r="G1092" s="168"/>
      <c r="L1092" s="168"/>
      <c r="N1092" s="169"/>
    </row>
    <row r="1093">
      <c r="G1093" s="168"/>
      <c r="L1093" s="168"/>
      <c r="N1093" s="169"/>
    </row>
    <row r="1094">
      <c r="G1094" s="168"/>
      <c r="L1094" s="168"/>
      <c r="N1094" s="169"/>
    </row>
    <row r="1095">
      <c r="G1095" s="168"/>
      <c r="L1095" s="168"/>
      <c r="N1095" s="169"/>
    </row>
    <row r="1096">
      <c r="G1096" s="168"/>
      <c r="L1096" s="168"/>
      <c r="N1096" s="169"/>
    </row>
  </sheetData>
  <mergeCells count="3">
    <mergeCell ref="A1:N1"/>
    <mergeCell ref="A174:M174"/>
    <mergeCell ref="A243:L243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94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  <c r="P2" s="80">
        <f>185231+340</f>
        <v>185571</v>
      </c>
    </row>
    <row r="3">
      <c r="A3" s="70">
        <v>45840.0</v>
      </c>
      <c r="B3" s="302" t="s">
        <v>11</v>
      </c>
      <c r="C3" s="149">
        <v>185231.0</v>
      </c>
      <c r="D3" s="89">
        <v>185571.0</v>
      </c>
      <c r="E3" s="38">
        <f t="shared" ref="E3:E9" si="1">D3-C3</f>
        <v>340</v>
      </c>
      <c r="F3" s="39">
        <v>40.0</v>
      </c>
      <c r="G3" s="14">
        <f t="shared" ref="G3:G9" si="2">(F3/E3)*100</f>
        <v>11.76470588</v>
      </c>
      <c r="H3" s="137"/>
      <c r="I3" s="138"/>
      <c r="J3" s="41">
        <f t="shared" ref="J3:J9" si="3">I3-H3</f>
        <v>0</v>
      </c>
      <c r="K3" s="41">
        <f t="shared" ref="K3:K9" si="4">F3</f>
        <v>40</v>
      </c>
      <c r="L3" s="303" t="str">
        <f t="shared" ref="L3:L9" si="5">(K3/J3)*100</f>
        <v>#DIV/0!</v>
      </c>
      <c r="M3" s="72">
        <v>19340.0</v>
      </c>
      <c r="N3" s="336">
        <f t="shared" ref="N3:N9" si="6">F3*M3</f>
        <v>773600</v>
      </c>
      <c r="O3" s="197">
        <v>1.0</v>
      </c>
      <c r="P3" s="197" t="s">
        <v>11</v>
      </c>
      <c r="Q3" s="337">
        <f>N10</f>
        <v>3823940</v>
      </c>
    </row>
    <row r="4">
      <c r="A4" s="154">
        <v>45845.0</v>
      </c>
      <c r="B4" s="156" t="s">
        <v>11</v>
      </c>
      <c r="C4" s="89">
        <v>185571.0</v>
      </c>
      <c r="D4" s="89">
        <v>185911.0</v>
      </c>
      <c r="E4" s="12">
        <f t="shared" si="1"/>
        <v>340</v>
      </c>
      <c r="F4" s="157">
        <v>50.0</v>
      </c>
      <c r="G4" s="14">
        <f t="shared" si="2"/>
        <v>14.70588235</v>
      </c>
      <c r="H4" s="137"/>
      <c r="I4" s="138"/>
      <c r="J4" s="41">
        <f t="shared" si="3"/>
        <v>0</v>
      </c>
      <c r="K4" s="89">
        <f t="shared" si="4"/>
        <v>50</v>
      </c>
      <c r="L4" s="152" t="str">
        <f t="shared" si="5"/>
        <v>#DIV/0!</v>
      </c>
      <c r="M4" s="126">
        <v>18400.0</v>
      </c>
      <c r="N4" s="338">
        <f t="shared" si="6"/>
        <v>920000</v>
      </c>
      <c r="O4" s="80">
        <f t="shared" ref="O4:O26" si="7">O3+1</f>
        <v>2</v>
      </c>
      <c r="P4" s="197" t="s">
        <v>12</v>
      </c>
      <c r="Q4" s="337">
        <f>N18</f>
        <v>5603080</v>
      </c>
    </row>
    <row r="5">
      <c r="A5" s="154">
        <v>45852.0</v>
      </c>
      <c r="B5" s="156" t="s">
        <v>11</v>
      </c>
      <c r="C5" s="89">
        <v>185911.0</v>
      </c>
      <c r="D5" s="89">
        <v>186302.0</v>
      </c>
      <c r="E5" s="12">
        <f t="shared" si="1"/>
        <v>391</v>
      </c>
      <c r="F5" s="157">
        <v>30.0</v>
      </c>
      <c r="G5" s="14">
        <f t="shared" si="2"/>
        <v>7.672634271</v>
      </c>
      <c r="H5" s="137"/>
      <c r="I5" s="137"/>
      <c r="J5" s="89">
        <f t="shared" si="3"/>
        <v>0</v>
      </c>
      <c r="K5" s="89">
        <f t="shared" si="4"/>
        <v>30</v>
      </c>
      <c r="L5" s="152" t="str">
        <f t="shared" si="5"/>
        <v>#DIV/0!</v>
      </c>
      <c r="M5" s="126">
        <v>18830.0</v>
      </c>
      <c r="N5" s="338">
        <f t="shared" si="6"/>
        <v>564900</v>
      </c>
      <c r="O5" s="80">
        <f t="shared" si="7"/>
        <v>3</v>
      </c>
      <c r="P5" s="197" t="s">
        <v>13</v>
      </c>
      <c r="Q5" s="337">
        <f>N27</f>
        <v>6656260</v>
      </c>
    </row>
    <row r="6">
      <c r="A6" s="154">
        <v>45866.0</v>
      </c>
      <c r="B6" s="156" t="s">
        <v>11</v>
      </c>
      <c r="C6" s="89">
        <v>186302.0</v>
      </c>
      <c r="D6" s="89">
        <v>186566.0</v>
      </c>
      <c r="E6" s="12">
        <f t="shared" si="1"/>
        <v>264</v>
      </c>
      <c r="F6" s="157">
        <v>42.0</v>
      </c>
      <c r="G6" s="14">
        <f t="shared" si="2"/>
        <v>15.90909091</v>
      </c>
      <c r="H6" s="89"/>
      <c r="I6" s="137"/>
      <c r="J6" s="89">
        <f t="shared" si="3"/>
        <v>0</v>
      </c>
      <c r="K6" s="89">
        <f t="shared" si="4"/>
        <v>42</v>
      </c>
      <c r="L6" s="152" t="str">
        <f t="shared" si="5"/>
        <v>#DIV/0!</v>
      </c>
      <c r="M6" s="126">
        <v>19120.0</v>
      </c>
      <c r="N6" s="338">
        <f t="shared" si="6"/>
        <v>803040</v>
      </c>
      <c r="O6" s="80">
        <f t="shared" si="7"/>
        <v>4</v>
      </c>
      <c r="P6" s="197" t="s">
        <v>14</v>
      </c>
      <c r="Q6" s="337">
        <f>N35</f>
        <v>5381100</v>
      </c>
    </row>
    <row r="7">
      <c r="A7" s="154">
        <v>45869.0</v>
      </c>
      <c r="B7" s="156" t="s">
        <v>11</v>
      </c>
      <c r="C7" s="89">
        <v>186566.0</v>
      </c>
      <c r="D7" s="89">
        <v>186900.0</v>
      </c>
      <c r="E7" s="12">
        <f t="shared" si="1"/>
        <v>334</v>
      </c>
      <c r="F7" s="157">
        <v>40.0</v>
      </c>
      <c r="G7" s="14">
        <f t="shared" si="2"/>
        <v>11.9760479</v>
      </c>
      <c r="H7" s="89"/>
      <c r="I7" s="137"/>
      <c r="J7" s="89">
        <f t="shared" si="3"/>
        <v>0</v>
      </c>
      <c r="K7" s="89">
        <f t="shared" si="4"/>
        <v>40</v>
      </c>
      <c r="L7" s="152" t="str">
        <f t="shared" si="5"/>
        <v>#DIV/0!</v>
      </c>
      <c r="M7" s="126">
        <v>19060.0</v>
      </c>
      <c r="N7" s="339">
        <f t="shared" si="6"/>
        <v>762400</v>
      </c>
      <c r="O7" s="80">
        <f t="shared" si="7"/>
        <v>5</v>
      </c>
      <c r="P7" s="197" t="s">
        <v>15</v>
      </c>
      <c r="Q7" s="337">
        <f>N43</f>
        <v>4918600</v>
      </c>
    </row>
    <row r="8">
      <c r="A8" s="154"/>
      <c r="B8" s="99" t="s">
        <v>11</v>
      </c>
      <c r="C8" s="89"/>
      <c r="D8" s="89"/>
      <c r="E8" s="12">
        <f t="shared" si="1"/>
        <v>0</v>
      </c>
      <c r="F8" s="157"/>
      <c r="G8" s="14" t="str">
        <f t="shared" si="2"/>
        <v>#DIV/0!</v>
      </c>
      <c r="H8" s="89"/>
      <c r="I8" s="137"/>
      <c r="J8" s="89">
        <f t="shared" si="3"/>
        <v>0</v>
      </c>
      <c r="K8" s="89" t="str">
        <f t="shared" si="4"/>
        <v/>
      </c>
      <c r="L8" s="152" t="str">
        <f t="shared" si="5"/>
        <v>#DIV/0!</v>
      </c>
      <c r="M8" s="126"/>
      <c r="N8" s="339">
        <f t="shared" si="6"/>
        <v>0</v>
      </c>
      <c r="O8" s="80">
        <f t="shared" si="7"/>
        <v>6</v>
      </c>
      <c r="P8" s="197" t="s">
        <v>16</v>
      </c>
      <c r="Q8" s="337">
        <f>N53</f>
        <v>6397930</v>
      </c>
    </row>
    <row r="9">
      <c r="A9" s="304"/>
      <c r="B9" s="156" t="s">
        <v>11</v>
      </c>
      <c r="C9" s="89"/>
      <c r="D9" s="149"/>
      <c r="E9" s="25">
        <f t="shared" si="1"/>
        <v>0</v>
      </c>
      <c r="F9" s="161"/>
      <c r="G9" s="56" t="str">
        <f t="shared" si="2"/>
        <v>#DIV/0!</v>
      </c>
      <c r="H9" s="149"/>
      <c r="I9" s="151"/>
      <c r="J9" s="149">
        <f t="shared" si="3"/>
        <v>0</v>
      </c>
      <c r="K9" s="149" t="str">
        <f t="shared" si="4"/>
        <v/>
      </c>
      <c r="L9" s="71" t="str">
        <f t="shared" si="5"/>
        <v>#DIV/0!</v>
      </c>
      <c r="M9" s="153"/>
      <c r="N9" s="340">
        <f t="shared" si="6"/>
        <v>0</v>
      </c>
      <c r="O9" s="80">
        <f t="shared" si="7"/>
        <v>7</v>
      </c>
      <c r="P9" s="197" t="s">
        <v>18</v>
      </c>
      <c r="Q9" s="337">
        <f>N62</f>
        <v>6497870</v>
      </c>
    </row>
    <row r="10">
      <c r="A10" s="62"/>
      <c r="B10" s="63"/>
      <c r="C10" s="62"/>
      <c r="D10" s="64" t="s">
        <v>19</v>
      </c>
      <c r="E10" s="64">
        <f t="shared" ref="E10:F10" si="8">sum(E3:E9)</f>
        <v>1669</v>
      </c>
      <c r="F10" s="64">
        <f t="shared" si="8"/>
        <v>202</v>
      </c>
      <c r="G10" s="65" t="str">
        <f>average(G3:G9)</f>
        <v>#DIV/0!</v>
      </c>
      <c r="H10" s="62"/>
      <c r="I10" s="66"/>
      <c r="J10" s="64">
        <f t="shared" ref="J10:K10" si="9">sum(J3:J9)</f>
        <v>0</v>
      </c>
      <c r="K10" s="64">
        <f t="shared" si="9"/>
        <v>202</v>
      </c>
      <c r="L10" s="65" t="str">
        <f>average(L3:L9)</f>
        <v>#DIV/0!</v>
      </c>
      <c r="M10" s="68"/>
      <c r="N10" s="341">
        <f>sum(N3:N9)</f>
        <v>3823940</v>
      </c>
      <c r="O10" s="80">
        <f t="shared" si="7"/>
        <v>8</v>
      </c>
      <c r="P10" s="197" t="s">
        <v>20</v>
      </c>
      <c r="Q10" s="337">
        <f>N70</f>
        <v>4385500</v>
      </c>
    </row>
    <row r="11">
      <c r="A11" s="70">
        <v>45840.0</v>
      </c>
      <c r="B11" s="302" t="s">
        <v>12</v>
      </c>
      <c r="C11" s="89">
        <v>147761.0</v>
      </c>
      <c r="D11" s="89">
        <v>148091.0</v>
      </c>
      <c r="E11" s="38">
        <f t="shared" ref="E11:E17" si="10">D11-C11</f>
        <v>330</v>
      </c>
      <c r="F11" s="39">
        <v>48.0</v>
      </c>
      <c r="G11" s="14">
        <f t="shared" ref="G11:G17" si="11">(F11/E11)*100</f>
        <v>14.54545455</v>
      </c>
      <c r="H11" s="137"/>
      <c r="I11" s="138"/>
      <c r="J11" s="41">
        <f t="shared" ref="J11:J17" si="12">I11-H11</f>
        <v>0</v>
      </c>
      <c r="K11" s="41">
        <f t="shared" ref="K11:K17" si="13">F11</f>
        <v>48</v>
      </c>
      <c r="L11" s="303" t="str">
        <f t="shared" ref="L11:L17" si="14">(K11/J11)*100</f>
        <v>#DIV/0!</v>
      </c>
      <c r="M11" s="72">
        <v>19340.0</v>
      </c>
      <c r="N11" s="336">
        <f t="shared" ref="N11:N17" si="15">F11*M11</f>
        <v>928320</v>
      </c>
      <c r="O11" s="80">
        <f t="shared" si="7"/>
        <v>9</v>
      </c>
      <c r="P11" s="197" t="s">
        <v>21</v>
      </c>
      <c r="Q11" s="337">
        <f>N78</f>
        <v>5429520</v>
      </c>
    </row>
    <row r="12">
      <c r="A12" s="154">
        <v>45846.0</v>
      </c>
      <c r="B12" s="156" t="s">
        <v>12</v>
      </c>
      <c r="C12" s="89">
        <v>148091.0</v>
      </c>
      <c r="D12" s="89">
        <v>148466.0</v>
      </c>
      <c r="E12" s="12">
        <f t="shared" si="10"/>
        <v>375</v>
      </c>
      <c r="F12" s="157">
        <v>50.0</v>
      </c>
      <c r="G12" s="14">
        <f t="shared" si="11"/>
        <v>13.33333333</v>
      </c>
      <c r="H12" s="89"/>
      <c r="I12" s="137"/>
      <c r="J12" s="89">
        <f t="shared" si="12"/>
        <v>0</v>
      </c>
      <c r="K12" s="89">
        <f t="shared" si="13"/>
        <v>50</v>
      </c>
      <c r="L12" s="152" t="str">
        <f t="shared" si="14"/>
        <v>#DIV/0!</v>
      </c>
      <c r="M12" s="126">
        <v>18400.0</v>
      </c>
      <c r="N12" s="338">
        <f t="shared" si="15"/>
        <v>920000</v>
      </c>
      <c r="O12" s="80">
        <f t="shared" si="7"/>
        <v>10</v>
      </c>
      <c r="P12" s="276" t="s">
        <v>22</v>
      </c>
      <c r="Q12" s="337">
        <f>N86</f>
        <v>5447340</v>
      </c>
    </row>
    <row r="13">
      <c r="A13" s="154">
        <v>45853.0</v>
      </c>
      <c r="B13" s="156" t="s">
        <v>12</v>
      </c>
      <c r="C13" s="89">
        <v>148466.0</v>
      </c>
      <c r="D13" s="89">
        <v>148858.0</v>
      </c>
      <c r="E13" s="12">
        <f t="shared" si="10"/>
        <v>392</v>
      </c>
      <c r="F13" s="157">
        <v>50.0</v>
      </c>
      <c r="G13" s="14">
        <f t="shared" si="11"/>
        <v>12.75510204</v>
      </c>
      <c r="H13" s="89"/>
      <c r="I13" s="137"/>
      <c r="J13" s="89">
        <f t="shared" si="12"/>
        <v>0</v>
      </c>
      <c r="K13" s="89">
        <f t="shared" si="13"/>
        <v>50</v>
      </c>
      <c r="L13" s="152" t="str">
        <f t="shared" si="14"/>
        <v>#DIV/0!</v>
      </c>
      <c r="M13" s="126">
        <v>18830.0</v>
      </c>
      <c r="N13" s="338">
        <f t="shared" si="15"/>
        <v>941500</v>
      </c>
      <c r="O13" s="80">
        <f t="shared" si="7"/>
        <v>11</v>
      </c>
      <c r="P13" s="197" t="s">
        <v>23</v>
      </c>
      <c r="Q13" s="337">
        <f>N93</f>
        <v>8155920</v>
      </c>
    </row>
    <row r="14">
      <c r="A14" s="155">
        <v>45859.0</v>
      </c>
      <c r="B14" s="156" t="s">
        <v>12</v>
      </c>
      <c r="C14" s="89">
        <v>148858.0</v>
      </c>
      <c r="D14" s="89">
        <v>149246.0</v>
      </c>
      <c r="E14" s="12">
        <f t="shared" si="10"/>
        <v>388</v>
      </c>
      <c r="F14" s="157">
        <v>50.0</v>
      </c>
      <c r="G14" s="14">
        <f t="shared" si="11"/>
        <v>12.88659794</v>
      </c>
      <c r="H14" s="89"/>
      <c r="I14" s="137"/>
      <c r="J14" s="89">
        <f t="shared" si="12"/>
        <v>0</v>
      </c>
      <c r="K14" s="89">
        <f t="shared" si="13"/>
        <v>50</v>
      </c>
      <c r="L14" s="152" t="str">
        <f t="shared" si="14"/>
        <v>#DIV/0!</v>
      </c>
      <c r="M14" s="126">
        <v>18790.0</v>
      </c>
      <c r="N14" s="339">
        <f t="shared" si="15"/>
        <v>939500</v>
      </c>
      <c r="O14" s="80">
        <f t="shared" si="7"/>
        <v>12</v>
      </c>
      <c r="P14" s="276" t="s">
        <v>24</v>
      </c>
      <c r="Q14" s="337">
        <f>N101</f>
        <v>6232190</v>
      </c>
    </row>
    <row r="15">
      <c r="A15" s="154">
        <v>45862.0</v>
      </c>
      <c r="B15" s="156" t="s">
        <v>12</v>
      </c>
      <c r="C15" s="89">
        <v>149246.0</v>
      </c>
      <c r="D15" s="89">
        <v>149649.0</v>
      </c>
      <c r="E15" s="12">
        <f t="shared" si="10"/>
        <v>403</v>
      </c>
      <c r="F15" s="157">
        <v>51.0</v>
      </c>
      <c r="G15" s="14">
        <f t="shared" si="11"/>
        <v>12.65508685</v>
      </c>
      <c r="H15" s="137"/>
      <c r="I15" s="137"/>
      <c r="J15" s="89">
        <f t="shared" si="12"/>
        <v>0</v>
      </c>
      <c r="K15" s="89">
        <f t="shared" si="13"/>
        <v>51</v>
      </c>
      <c r="L15" s="152" t="str">
        <f t="shared" si="14"/>
        <v>#DIV/0!</v>
      </c>
      <c r="M15" s="126">
        <v>19120.0</v>
      </c>
      <c r="N15" s="339">
        <f t="shared" si="15"/>
        <v>975120</v>
      </c>
      <c r="O15" s="80">
        <f t="shared" si="7"/>
        <v>13</v>
      </c>
      <c r="P15" s="197" t="s">
        <v>25</v>
      </c>
      <c r="Q15" s="337">
        <f>N109</f>
        <v>6918180</v>
      </c>
    </row>
    <row r="16">
      <c r="A16" s="155">
        <v>45868.0</v>
      </c>
      <c r="B16" s="156" t="s">
        <v>12</v>
      </c>
      <c r="C16" s="89">
        <v>149649.0</v>
      </c>
      <c r="D16" s="89">
        <v>150015.0</v>
      </c>
      <c r="E16" s="12">
        <f t="shared" si="10"/>
        <v>366</v>
      </c>
      <c r="F16" s="157">
        <v>47.0</v>
      </c>
      <c r="G16" s="14">
        <f t="shared" si="11"/>
        <v>12.84153005</v>
      </c>
      <c r="H16" s="89"/>
      <c r="I16" s="159"/>
      <c r="J16" s="89">
        <f t="shared" si="12"/>
        <v>0</v>
      </c>
      <c r="K16" s="89">
        <f t="shared" si="13"/>
        <v>47</v>
      </c>
      <c r="L16" s="152" t="str">
        <f t="shared" si="14"/>
        <v>#DIV/0!</v>
      </c>
      <c r="M16" s="126">
        <v>19120.0</v>
      </c>
      <c r="N16" s="342">
        <f t="shared" si="15"/>
        <v>898640</v>
      </c>
      <c r="O16" s="80">
        <f t="shared" si="7"/>
        <v>14</v>
      </c>
      <c r="P16" s="276" t="s">
        <v>26</v>
      </c>
      <c r="Q16" s="337">
        <f>N117</f>
        <v>5542120</v>
      </c>
    </row>
    <row r="17">
      <c r="A17" s="305"/>
      <c r="B17" s="306"/>
      <c r="C17" s="149"/>
      <c r="D17" s="150"/>
      <c r="E17" s="25">
        <f t="shared" si="10"/>
        <v>0</v>
      </c>
      <c r="F17" s="307"/>
      <c r="G17" s="56" t="str">
        <f t="shared" si="11"/>
        <v>#DIV/0!</v>
      </c>
      <c r="H17" s="149"/>
      <c r="I17" s="151"/>
      <c r="J17" s="149">
        <f t="shared" si="12"/>
        <v>0</v>
      </c>
      <c r="K17" s="149" t="str">
        <f t="shared" si="13"/>
        <v/>
      </c>
      <c r="L17" s="71" t="str">
        <f t="shared" si="14"/>
        <v>#DIV/0!</v>
      </c>
      <c r="M17" s="308"/>
      <c r="N17" s="340">
        <f t="shared" si="15"/>
        <v>0</v>
      </c>
      <c r="O17" s="80">
        <f t="shared" si="7"/>
        <v>15</v>
      </c>
      <c r="P17" s="197" t="s">
        <v>27</v>
      </c>
      <c r="Q17" s="337">
        <f>N126</f>
        <v>9554640</v>
      </c>
    </row>
    <row r="18">
      <c r="A18" s="62"/>
      <c r="B18" s="63"/>
      <c r="C18" s="62"/>
      <c r="D18" s="64" t="s">
        <v>19</v>
      </c>
      <c r="E18" s="64">
        <f t="shared" ref="E18:F18" si="16">sum(E11:E17)</f>
        <v>2254</v>
      </c>
      <c r="F18" s="64">
        <f t="shared" si="16"/>
        <v>296</v>
      </c>
      <c r="G18" s="65" t="str">
        <f>average(G11:G17)</f>
        <v>#DIV/0!</v>
      </c>
      <c r="H18" s="62"/>
      <c r="I18" s="66"/>
      <c r="J18" s="64">
        <f t="shared" ref="J18:K18" si="17">sum(J11:J17)</f>
        <v>0</v>
      </c>
      <c r="K18" s="64">
        <f t="shared" si="17"/>
        <v>296</v>
      </c>
      <c r="L18" s="65" t="str">
        <f>average(L11:L17)</f>
        <v>#DIV/0!</v>
      </c>
      <c r="M18" s="68"/>
      <c r="N18" s="341">
        <f>sum(N11:N17)</f>
        <v>5603080</v>
      </c>
      <c r="O18" s="80">
        <f t="shared" si="7"/>
        <v>16</v>
      </c>
      <c r="P18" s="197" t="s">
        <v>80</v>
      </c>
      <c r="Q18" s="337">
        <f>N135</f>
        <v>5232500</v>
      </c>
    </row>
    <row r="19">
      <c r="A19" s="70">
        <v>45839.0</v>
      </c>
      <c r="B19" s="302" t="s">
        <v>13</v>
      </c>
      <c r="C19" s="89">
        <v>166484.0</v>
      </c>
      <c r="D19" s="41">
        <v>166862.0</v>
      </c>
      <c r="E19" s="38">
        <f t="shared" ref="E19:E26" si="18">D19-C19</f>
        <v>378</v>
      </c>
      <c r="F19" s="39">
        <v>54.0</v>
      </c>
      <c r="G19" s="14">
        <f t="shared" ref="G19:G26" si="19">(F19/E19)*100</f>
        <v>14.28571429</v>
      </c>
      <c r="H19" s="137"/>
      <c r="I19" s="138"/>
      <c r="J19" s="41">
        <f t="shared" ref="J19:J26" si="20">I19-H19</f>
        <v>0</v>
      </c>
      <c r="K19" s="41">
        <f t="shared" ref="K19:K26" si="21">F19</f>
        <v>54</v>
      </c>
      <c r="L19" s="152" t="str">
        <f t="shared" ref="L19:L26" si="22">(K19/J19)*100</f>
        <v>#DIV/0!</v>
      </c>
      <c r="M19" s="72">
        <v>19340.0</v>
      </c>
      <c r="N19" s="336">
        <f t="shared" ref="N19:N26" si="23">F19*M19</f>
        <v>1044360</v>
      </c>
      <c r="O19" s="80">
        <f t="shared" si="7"/>
        <v>17</v>
      </c>
      <c r="P19" s="197" t="s">
        <v>29</v>
      </c>
      <c r="Q19" s="337">
        <f>N144</f>
        <v>5655600</v>
      </c>
    </row>
    <row r="20">
      <c r="A20" s="154">
        <v>45845.0</v>
      </c>
      <c r="B20" s="156" t="s">
        <v>13</v>
      </c>
      <c r="C20" s="41">
        <v>166862.0</v>
      </c>
      <c r="D20" s="41">
        <v>167191.0</v>
      </c>
      <c r="E20" s="12">
        <f t="shared" si="18"/>
        <v>329</v>
      </c>
      <c r="F20" s="157">
        <v>45.0</v>
      </c>
      <c r="G20" s="14">
        <f t="shared" si="19"/>
        <v>13.67781155</v>
      </c>
      <c r="H20" s="89"/>
      <c r="I20" s="137"/>
      <c r="J20" s="89">
        <f t="shared" si="20"/>
        <v>0</v>
      </c>
      <c r="K20" s="89">
        <f t="shared" si="21"/>
        <v>45</v>
      </c>
      <c r="L20" s="152" t="str">
        <f t="shared" si="22"/>
        <v>#DIV/0!</v>
      </c>
      <c r="M20" s="126">
        <v>18400.0</v>
      </c>
      <c r="N20" s="338">
        <f t="shared" si="23"/>
        <v>828000</v>
      </c>
      <c r="O20" s="80">
        <f t="shared" si="7"/>
        <v>18</v>
      </c>
      <c r="P20" s="197" t="s">
        <v>30</v>
      </c>
      <c r="Q20" s="337">
        <f>N153</f>
        <v>7190580</v>
      </c>
    </row>
    <row r="21">
      <c r="A21" s="154">
        <v>45848.0</v>
      </c>
      <c r="B21" s="156" t="s">
        <v>13</v>
      </c>
      <c r="C21" s="89">
        <v>167191.0</v>
      </c>
      <c r="D21" s="89">
        <v>167507.0</v>
      </c>
      <c r="E21" s="12">
        <f t="shared" si="18"/>
        <v>316</v>
      </c>
      <c r="F21" s="157">
        <v>44.0</v>
      </c>
      <c r="G21" s="14">
        <f t="shared" si="19"/>
        <v>13.92405063</v>
      </c>
      <c r="H21" s="89"/>
      <c r="I21" s="137"/>
      <c r="J21" s="89">
        <f t="shared" si="20"/>
        <v>0</v>
      </c>
      <c r="K21" s="89">
        <f t="shared" si="21"/>
        <v>44</v>
      </c>
      <c r="L21" s="152" t="str">
        <f t="shared" si="22"/>
        <v>#DIV/0!</v>
      </c>
      <c r="M21" s="126">
        <v>18400.0</v>
      </c>
      <c r="N21" s="343">
        <f t="shared" si="23"/>
        <v>809600</v>
      </c>
      <c r="O21" s="80">
        <f t="shared" si="7"/>
        <v>19</v>
      </c>
    </row>
    <row r="22">
      <c r="A22" s="155">
        <v>45853.0</v>
      </c>
      <c r="B22" s="156" t="s">
        <v>13</v>
      </c>
      <c r="C22" s="89">
        <v>167507.0</v>
      </c>
      <c r="D22" s="89">
        <v>167870.0</v>
      </c>
      <c r="E22" s="12">
        <f t="shared" si="18"/>
        <v>363</v>
      </c>
      <c r="F22" s="157">
        <v>50.0</v>
      </c>
      <c r="G22" s="14">
        <f t="shared" si="19"/>
        <v>13.77410468</v>
      </c>
      <c r="H22" s="89"/>
      <c r="I22" s="137"/>
      <c r="J22" s="89">
        <f t="shared" si="20"/>
        <v>0</v>
      </c>
      <c r="K22" s="89">
        <f t="shared" si="21"/>
        <v>50</v>
      </c>
      <c r="L22" s="152" t="str">
        <f t="shared" si="22"/>
        <v>#DIV/0!</v>
      </c>
      <c r="M22" s="126">
        <v>18830.0</v>
      </c>
      <c r="N22" s="339">
        <f t="shared" si="23"/>
        <v>941500</v>
      </c>
      <c r="O22" s="80">
        <f t="shared" si="7"/>
        <v>20</v>
      </c>
    </row>
    <row r="23">
      <c r="A23" s="154">
        <v>45856.0</v>
      </c>
      <c r="B23" s="156" t="s">
        <v>13</v>
      </c>
      <c r="C23" s="89">
        <v>167870.0</v>
      </c>
      <c r="D23" s="89">
        <v>168201.0</v>
      </c>
      <c r="E23" s="12">
        <f t="shared" si="18"/>
        <v>331</v>
      </c>
      <c r="F23" s="157">
        <v>42.0</v>
      </c>
      <c r="G23" s="14">
        <f t="shared" si="19"/>
        <v>12.68882175</v>
      </c>
      <c r="H23" s="89"/>
      <c r="I23" s="137"/>
      <c r="J23" s="89">
        <f t="shared" si="20"/>
        <v>0</v>
      </c>
      <c r="K23" s="89">
        <f t="shared" si="21"/>
        <v>42</v>
      </c>
      <c r="L23" s="152" t="str">
        <f t="shared" si="22"/>
        <v>#DIV/0!</v>
      </c>
      <c r="M23" s="126">
        <v>18790.0</v>
      </c>
      <c r="N23" s="339">
        <f t="shared" si="23"/>
        <v>789180</v>
      </c>
      <c r="O23" s="80">
        <f t="shared" si="7"/>
        <v>21</v>
      </c>
    </row>
    <row r="24">
      <c r="A24" s="154">
        <v>45860.0</v>
      </c>
      <c r="B24" s="99" t="s">
        <v>13</v>
      </c>
      <c r="C24" s="89">
        <v>168201.0</v>
      </c>
      <c r="D24" s="89">
        <v>168485.0</v>
      </c>
      <c r="E24" s="12">
        <f t="shared" si="18"/>
        <v>284</v>
      </c>
      <c r="F24" s="157">
        <v>38.0</v>
      </c>
      <c r="G24" s="14">
        <f t="shared" si="19"/>
        <v>13.38028169</v>
      </c>
      <c r="H24" s="89"/>
      <c r="I24" s="137"/>
      <c r="J24" s="89">
        <f t="shared" si="20"/>
        <v>0</v>
      </c>
      <c r="K24" s="89">
        <f t="shared" si="21"/>
        <v>38</v>
      </c>
      <c r="L24" s="152" t="str">
        <f t="shared" si="22"/>
        <v>#DIV/0!</v>
      </c>
      <c r="M24" s="126">
        <v>18790.0</v>
      </c>
      <c r="N24" s="339">
        <f t="shared" si="23"/>
        <v>714020</v>
      </c>
      <c r="O24" s="80">
        <f t="shared" si="7"/>
        <v>22</v>
      </c>
    </row>
    <row r="25">
      <c r="A25" s="304">
        <v>45863.0</v>
      </c>
      <c r="B25" s="36" t="s">
        <v>13</v>
      </c>
      <c r="C25" s="149">
        <v>168485.0</v>
      </c>
      <c r="D25" s="149">
        <v>168787.0</v>
      </c>
      <c r="E25" s="25">
        <f t="shared" si="18"/>
        <v>302</v>
      </c>
      <c r="F25" s="161">
        <v>39.0</v>
      </c>
      <c r="G25" s="56">
        <f t="shared" si="19"/>
        <v>12.91390728</v>
      </c>
      <c r="H25" s="149"/>
      <c r="I25" s="315"/>
      <c r="J25" s="149">
        <f t="shared" si="20"/>
        <v>0</v>
      </c>
      <c r="K25" s="149">
        <f t="shared" si="21"/>
        <v>39</v>
      </c>
      <c r="L25" s="152" t="str">
        <f t="shared" si="22"/>
        <v>#DIV/0!</v>
      </c>
      <c r="M25" s="153">
        <v>19120.0</v>
      </c>
      <c r="N25" s="344">
        <f t="shared" si="23"/>
        <v>745680</v>
      </c>
      <c r="O25" s="80">
        <f t="shared" si="7"/>
        <v>23</v>
      </c>
    </row>
    <row r="26">
      <c r="A26" s="345">
        <v>46598.0</v>
      </c>
      <c r="B26" s="36" t="s">
        <v>13</v>
      </c>
      <c r="C26" s="309">
        <v>168787.0</v>
      </c>
      <c r="D26" s="309">
        <v>169071.0</v>
      </c>
      <c r="E26" s="25">
        <f t="shared" si="18"/>
        <v>284</v>
      </c>
      <c r="F26" s="309">
        <v>41.0</v>
      </c>
      <c r="G26" s="56">
        <f t="shared" si="19"/>
        <v>14.43661972</v>
      </c>
      <c r="H26" s="309"/>
      <c r="I26" s="346"/>
      <c r="J26" s="149">
        <f t="shared" si="20"/>
        <v>0</v>
      </c>
      <c r="K26" s="149">
        <f t="shared" si="21"/>
        <v>41</v>
      </c>
      <c r="L26" s="152" t="str">
        <f t="shared" si="22"/>
        <v>#DIV/0!</v>
      </c>
      <c r="M26" s="161">
        <v>19120.0</v>
      </c>
      <c r="N26" s="344">
        <f t="shared" si="23"/>
        <v>783920</v>
      </c>
      <c r="O26" s="80">
        <f t="shared" si="7"/>
        <v>24</v>
      </c>
    </row>
    <row r="27">
      <c r="A27" s="62"/>
      <c r="B27" s="63"/>
      <c r="C27" s="62"/>
      <c r="D27" s="64" t="s">
        <v>19</v>
      </c>
      <c r="E27" s="64">
        <f>sum(E19:E25)</f>
        <v>2303</v>
      </c>
      <c r="F27" s="64">
        <f>sum(F19:F26)</f>
        <v>353</v>
      </c>
      <c r="G27" s="65">
        <f>average(G19:G25)</f>
        <v>13.52067027</v>
      </c>
      <c r="H27" s="62"/>
      <c r="I27" s="66"/>
      <c r="J27" s="64">
        <f t="shared" ref="J27:K27" si="24">sum(J19:J25)</f>
        <v>0</v>
      </c>
      <c r="K27" s="64">
        <f t="shared" si="24"/>
        <v>312</v>
      </c>
      <c r="L27" s="65" t="str">
        <f>average(L19:L25)</f>
        <v>#DIV/0!</v>
      </c>
      <c r="M27" s="68"/>
      <c r="N27" s="341">
        <f>sum(N19:N26)</f>
        <v>6656260</v>
      </c>
    </row>
    <row r="28">
      <c r="A28" s="70">
        <v>45839.0</v>
      </c>
      <c r="B28" s="302" t="s">
        <v>14</v>
      </c>
      <c r="C28" s="89">
        <v>168289.0</v>
      </c>
      <c r="D28" s="41">
        <v>168705.0</v>
      </c>
      <c r="E28" s="38">
        <f t="shared" ref="E28:E34" si="25">D28-C28</f>
        <v>416</v>
      </c>
      <c r="F28" s="39">
        <v>55.0</v>
      </c>
      <c r="G28" s="14">
        <f t="shared" ref="G28:G34" si="26">(F28/E28)*100</f>
        <v>13.22115385</v>
      </c>
      <c r="H28" s="137"/>
      <c r="I28" s="138"/>
      <c r="J28" s="41">
        <f t="shared" ref="J28:J34" si="27">I28-H28</f>
        <v>0</v>
      </c>
      <c r="K28" s="41">
        <f t="shared" ref="K28:K34" si="28">F28</f>
        <v>55</v>
      </c>
      <c r="L28" s="152" t="str">
        <f t="shared" ref="L28:L34" si="29">(K28/J28)*100</f>
        <v>#DIV/0!</v>
      </c>
      <c r="M28" s="72">
        <v>19340.0</v>
      </c>
      <c r="N28" s="336">
        <f t="shared" ref="N28:N34" si="30">F28*M28</f>
        <v>1063700</v>
      </c>
    </row>
    <row r="29">
      <c r="A29" s="154">
        <v>45845.0</v>
      </c>
      <c r="B29" s="156" t="s">
        <v>14</v>
      </c>
      <c r="C29" s="89">
        <v>168705.0</v>
      </c>
      <c r="D29" s="89">
        <v>169165.0</v>
      </c>
      <c r="E29" s="12">
        <f t="shared" si="25"/>
        <v>460</v>
      </c>
      <c r="F29" s="157">
        <v>50.0</v>
      </c>
      <c r="G29" s="14">
        <f t="shared" si="26"/>
        <v>10.86956522</v>
      </c>
      <c r="H29" s="89"/>
      <c r="I29" s="137"/>
      <c r="J29" s="89">
        <f t="shared" si="27"/>
        <v>0</v>
      </c>
      <c r="K29" s="89">
        <f t="shared" si="28"/>
        <v>50</v>
      </c>
      <c r="L29" s="152" t="str">
        <f t="shared" si="29"/>
        <v>#DIV/0!</v>
      </c>
      <c r="M29" s="126">
        <v>18400.0</v>
      </c>
      <c r="N29" s="343">
        <f t="shared" si="30"/>
        <v>920000</v>
      </c>
    </row>
    <row r="30">
      <c r="A30" s="154">
        <v>45852.0</v>
      </c>
      <c r="B30" s="156" t="s">
        <v>14</v>
      </c>
      <c r="C30" s="89">
        <v>169165.0</v>
      </c>
      <c r="D30" s="89">
        <v>169165.0</v>
      </c>
      <c r="E30" s="12">
        <f t="shared" si="25"/>
        <v>0</v>
      </c>
      <c r="F30" s="157">
        <v>50.0</v>
      </c>
      <c r="G30" s="14" t="str">
        <f t="shared" si="26"/>
        <v>#DIV/0!</v>
      </c>
      <c r="H30" s="89"/>
      <c r="I30" s="137"/>
      <c r="J30" s="89">
        <f t="shared" si="27"/>
        <v>0</v>
      </c>
      <c r="K30" s="89">
        <f t="shared" si="28"/>
        <v>50</v>
      </c>
      <c r="L30" s="152" t="str">
        <f t="shared" si="29"/>
        <v>#DIV/0!</v>
      </c>
      <c r="M30" s="126">
        <v>18830.0</v>
      </c>
      <c r="N30" s="339">
        <f t="shared" si="30"/>
        <v>941500</v>
      </c>
    </row>
    <row r="31">
      <c r="A31" s="155">
        <v>45856.0</v>
      </c>
      <c r="B31" s="156" t="s">
        <v>14</v>
      </c>
      <c r="C31" s="89">
        <v>169165.0</v>
      </c>
      <c r="D31" s="89">
        <v>169964.0</v>
      </c>
      <c r="E31" s="12">
        <f t="shared" si="25"/>
        <v>799</v>
      </c>
      <c r="F31" s="157">
        <v>40.0</v>
      </c>
      <c r="G31" s="14">
        <f t="shared" si="26"/>
        <v>5.006257822</v>
      </c>
      <c r="H31" s="89"/>
      <c r="I31" s="137"/>
      <c r="J31" s="89">
        <f t="shared" si="27"/>
        <v>0</v>
      </c>
      <c r="K31" s="89">
        <f t="shared" si="28"/>
        <v>40</v>
      </c>
      <c r="L31" s="152" t="str">
        <f t="shared" si="29"/>
        <v>#DIV/0!</v>
      </c>
      <c r="M31" s="126">
        <v>18790.0</v>
      </c>
      <c r="N31" s="339">
        <f t="shared" si="30"/>
        <v>751600</v>
      </c>
    </row>
    <row r="32">
      <c r="A32" s="154">
        <v>45861.0</v>
      </c>
      <c r="B32" s="156" t="s">
        <v>14</v>
      </c>
      <c r="C32" s="89">
        <v>169964.0</v>
      </c>
      <c r="D32" s="89">
        <v>170344.0</v>
      </c>
      <c r="E32" s="12">
        <f t="shared" si="25"/>
        <v>380</v>
      </c>
      <c r="F32" s="157">
        <v>50.0</v>
      </c>
      <c r="G32" s="14">
        <f t="shared" si="26"/>
        <v>13.15789474</v>
      </c>
      <c r="H32" s="89"/>
      <c r="I32" s="137"/>
      <c r="J32" s="89">
        <f t="shared" si="27"/>
        <v>0</v>
      </c>
      <c r="K32" s="89">
        <f t="shared" si="28"/>
        <v>50</v>
      </c>
      <c r="L32" s="152" t="str">
        <f t="shared" si="29"/>
        <v>#DIV/0!</v>
      </c>
      <c r="M32" s="126">
        <v>18790.0</v>
      </c>
      <c r="N32" s="339">
        <f t="shared" si="30"/>
        <v>939500</v>
      </c>
    </row>
    <row r="33">
      <c r="A33" s="154">
        <v>45866.0</v>
      </c>
      <c r="B33" s="156" t="s">
        <v>14</v>
      </c>
      <c r="C33" s="89">
        <v>170344.0</v>
      </c>
      <c r="D33" s="89">
        <v>170717.0</v>
      </c>
      <c r="E33" s="12">
        <f t="shared" si="25"/>
        <v>373</v>
      </c>
      <c r="F33" s="157">
        <v>40.0</v>
      </c>
      <c r="G33" s="14">
        <f t="shared" si="26"/>
        <v>10.72386059</v>
      </c>
      <c r="H33" s="89"/>
      <c r="I33" s="137"/>
      <c r="J33" s="89">
        <f t="shared" si="27"/>
        <v>0</v>
      </c>
      <c r="K33" s="89">
        <f t="shared" si="28"/>
        <v>40</v>
      </c>
      <c r="L33" s="152" t="str">
        <f t="shared" si="29"/>
        <v>#DIV/0!</v>
      </c>
      <c r="M33" s="126">
        <v>19120.0</v>
      </c>
      <c r="N33" s="339">
        <f t="shared" si="30"/>
        <v>764800</v>
      </c>
    </row>
    <row r="34">
      <c r="A34" s="305"/>
      <c r="B34" s="306"/>
      <c r="C34" s="149"/>
      <c r="D34" s="150"/>
      <c r="E34" s="25">
        <f t="shared" si="25"/>
        <v>0</v>
      </c>
      <c r="F34" s="307"/>
      <c r="G34" s="56" t="str">
        <f t="shared" si="26"/>
        <v>#DIV/0!</v>
      </c>
      <c r="H34" s="149"/>
      <c r="I34" s="151"/>
      <c r="J34" s="149">
        <f t="shared" si="27"/>
        <v>0</v>
      </c>
      <c r="K34" s="149" t="str">
        <f t="shared" si="28"/>
        <v/>
      </c>
      <c r="L34" s="152" t="str">
        <f t="shared" si="29"/>
        <v>#DIV/0!</v>
      </c>
      <c r="M34" s="308"/>
      <c r="N34" s="340">
        <f t="shared" si="30"/>
        <v>0</v>
      </c>
    </row>
    <row r="35">
      <c r="A35" s="62"/>
      <c r="B35" s="63"/>
      <c r="C35" s="62"/>
      <c r="D35" s="64" t="s">
        <v>19</v>
      </c>
      <c r="E35" s="64">
        <f t="shared" ref="E35:F35" si="31">sum(E28:E34)</f>
        <v>2428</v>
      </c>
      <c r="F35" s="64">
        <f t="shared" si="31"/>
        <v>285</v>
      </c>
      <c r="G35" s="65" t="str">
        <f>average(G28:G34)</f>
        <v>#DIV/0!</v>
      </c>
      <c r="H35" s="62"/>
      <c r="I35" s="66"/>
      <c r="J35" s="64">
        <f t="shared" ref="J35:K35" si="32">sum(J28:J34)</f>
        <v>0</v>
      </c>
      <c r="K35" s="64">
        <f t="shared" si="32"/>
        <v>285</v>
      </c>
      <c r="L35" s="65" t="str">
        <f>average(L28:L34)</f>
        <v>#DIV/0!</v>
      </c>
      <c r="M35" s="68"/>
      <c r="N35" s="341">
        <f>sum(N28:N34)</f>
        <v>5381100</v>
      </c>
    </row>
    <row r="36">
      <c r="A36" s="70">
        <v>45840.0</v>
      </c>
      <c r="B36" s="302" t="s">
        <v>15</v>
      </c>
      <c r="C36" s="89">
        <v>154475.0</v>
      </c>
      <c r="D36" s="41">
        <v>154744.0</v>
      </c>
      <c r="E36" s="38">
        <f t="shared" ref="E36:E42" si="33">D36-C36</f>
        <v>269</v>
      </c>
      <c r="F36" s="39">
        <v>37.0</v>
      </c>
      <c r="G36" s="14">
        <f t="shared" ref="G36:G42" si="34">(F36/E36)*100</f>
        <v>13.75464684</v>
      </c>
      <c r="H36" s="89"/>
      <c r="I36" s="137"/>
      <c r="J36" s="41">
        <f t="shared" ref="J36:J42" si="35">I36-H36</f>
        <v>0</v>
      </c>
      <c r="K36" s="41">
        <f t="shared" ref="K36:K42" si="36">F36</f>
        <v>37</v>
      </c>
      <c r="L36" s="152" t="str">
        <f t="shared" ref="L36:L42" si="37">(K36/J36)*100</f>
        <v>#DIV/0!</v>
      </c>
      <c r="M36" s="72">
        <v>19340.0</v>
      </c>
      <c r="N36" s="336">
        <f t="shared" ref="N36:N42" si="38">F36*M36</f>
        <v>715580</v>
      </c>
    </row>
    <row r="37">
      <c r="A37" s="279">
        <v>45846.0</v>
      </c>
      <c r="B37" s="156" t="s">
        <v>15</v>
      </c>
      <c r="C37" s="89">
        <v>154744.0</v>
      </c>
      <c r="D37" s="89">
        <v>155044.0</v>
      </c>
      <c r="E37" s="12">
        <f t="shared" si="33"/>
        <v>300</v>
      </c>
      <c r="F37" s="157">
        <v>35.0</v>
      </c>
      <c r="G37" s="14">
        <f t="shared" si="34"/>
        <v>11.66666667</v>
      </c>
      <c r="H37" s="137"/>
      <c r="I37" s="137"/>
      <c r="J37" s="89">
        <f t="shared" si="35"/>
        <v>0</v>
      </c>
      <c r="K37" s="89">
        <f t="shared" si="36"/>
        <v>35</v>
      </c>
      <c r="L37" s="152" t="str">
        <f t="shared" si="37"/>
        <v>#DIV/0!</v>
      </c>
      <c r="M37" s="126">
        <v>18400.0</v>
      </c>
      <c r="N37" s="338">
        <f t="shared" si="38"/>
        <v>644000</v>
      </c>
      <c r="P37" s="82"/>
    </row>
    <row r="38">
      <c r="A38" s="154">
        <v>45852.0</v>
      </c>
      <c r="B38" s="156" t="s">
        <v>15</v>
      </c>
      <c r="C38" s="89">
        <v>155044.0</v>
      </c>
      <c r="D38" s="89">
        <v>155307.0</v>
      </c>
      <c r="E38" s="12">
        <f t="shared" si="33"/>
        <v>263</v>
      </c>
      <c r="F38" s="157">
        <v>40.0</v>
      </c>
      <c r="G38" s="14">
        <f t="shared" si="34"/>
        <v>15.20912548</v>
      </c>
      <c r="H38" s="89">
        <v>17505.0</v>
      </c>
      <c r="I38" s="137"/>
      <c r="J38" s="89">
        <f t="shared" si="35"/>
        <v>-17505</v>
      </c>
      <c r="K38" s="89">
        <f t="shared" si="36"/>
        <v>40</v>
      </c>
      <c r="L38" s="152">
        <f t="shared" si="37"/>
        <v>-0.2285061411</v>
      </c>
      <c r="M38" s="311">
        <v>18830.0</v>
      </c>
      <c r="N38" s="338">
        <f t="shared" si="38"/>
        <v>753200</v>
      </c>
    </row>
    <row r="39">
      <c r="A39" s="154">
        <v>45855.0</v>
      </c>
      <c r="B39" s="156" t="s">
        <v>15</v>
      </c>
      <c r="C39" s="89">
        <v>155307.0</v>
      </c>
      <c r="D39" s="89">
        <v>155668.0</v>
      </c>
      <c r="E39" s="12">
        <f t="shared" si="33"/>
        <v>361</v>
      </c>
      <c r="F39" s="157">
        <v>45.0</v>
      </c>
      <c r="G39" s="14">
        <f t="shared" si="34"/>
        <v>12.46537396</v>
      </c>
      <c r="H39" s="89"/>
      <c r="I39" s="137"/>
      <c r="J39" s="89">
        <f t="shared" si="35"/>
        <v>0</v>
      </c>
      <c r="K39" s="89">
        <f t="shared" si="36"/>
        <v>45</v>
      </c>
      <c r="L39" s="152" t="str">
        <f t="shared" si="37"/>
        <v>#DIV/0!</v>
      </c>
      <c r="M39" s="126">
        <v>18830.0</v>
      </c>
      <c r="N39" s="338">
        <f t="shared" si="38"/>
        <v>847350</v>
      </c>
    </row>
    <row r="40">
      <c r="A40" s="154">
        <v>45860.0</v>
      </c>
      <c r="B40" s="156" t="s">
        <v>15</v>
      </c>
      <c r="C40" s="89">
        <v>155668.0</v>
      </c>
      <c r="D40" s="89">
        <v>155952.0</v>
      </c>
      <c r="E40" s="12">
        <f t="shared" si="33"/>
        <v>284</v>
      </c>
      <c r="F40" s="157">
        <v>33.0</v>
      </c>
      <c r="G40" s="14">
        <f t="shared" si="34"/>
        <v>11.61971831</v>
      </c>
      <c r="H40" s="89"/>
      <c r="I40" s="137"/>
      <c r="J40" s="89">
        <f t="shared" si="35"/>
        <v>0</v>
      </c>
      <c r="K40" s="89">
        <f t="shared" si="36"/>
        <v>33</v>
      </c>
      <c r="L40" s="152" t="str">
        <f t="shared" si="37"/>
        <v>#DIV/0!</v>
      </c>
      <c r="M40" s="126">
        <v>18790.0</v>
      </c>
      <c r="N40" s="339">
        <f t="shared" si="38"/>
        <v>620070</v>
      </c>
    </row>
    <row r="41">
      <c r="A41" s="312">
        <v>45864.0</v>
      </c>
      <c r="B41" s="156" t="s">
        <v>15</v>
      </c>
      <c r="C41" s="89">
        <v>155952.0</v>
      </c>
      <c r="D41" s="89">
        <v>156321.0</v>
      </c>
      <c r="E41" s="12">
        <f t="shared" si="33"/>
        <v>369</v>
      </c>
      <c r="F41" s="157">
        <v>42.0</v>
      </c>
      <c r="G41" s="14">
        <f t="shared" si="34"/>
        <v>11.38211382</v>
      </c>
      <c r="H41" s="89"/>
      <c r="I41" s="137"/>
      <c r="J41" s="89">
        <f t="shared" si="35"/>
        <v>0</v>
      </c>
      <c r="K41" s="89">
        <f t="shared" si="36"/>
        <v>42</v>
      </c>
      <c r="L41" s="152" t="str">
        <f t="shared" si="37"/>
        <v>#DIV/0!</v>
      </c>
      <c r="M41" s="126">
        <v>19120.0</v>
      </c>
      <c r="N41" s="339">
        <f t="shared" si="38"/>
        <v>803040</v>
      </c>
    </row>
    <row r="42">
      <c r="A42" s="304">
        <v>45868.0</v>
      </c>
      <c r="B42" s="156" t="s">
        <v>15</v>
      </c>
      <c r="C42" s="89">
        <v>156321.0</v>
      </c>
      <c r="D42" s="149">
        <v>156570.0</v>
      </c>
      <c r="E42" s="25">
        <f t="shared" si="33"/>
        <v>249</v>
      </c>
      <c r="F42" s="161">
        <v>28.0</v>
      </c>
      <c r="G42" s="56">
        <f t="shared" si="34"/>
        <v>11.24497992</v>
      </c>
      <c r="H42" s="149"/>
      <c r="I42" s="151"/>
      <c r="J42" s="149">
        <f t="shared" si="35"/>
        <v>0</v>
      </c>
      <c r="K42" s="149">
        <f t="shared" si="36"/>
        <v>28</v>
      </c>
      <c r="L42" s="152" t="str">
        <f t="shared" si="37"/>
        <v>#DIV/0!</v>
      </c>
      <c r="M42" s="153">
        <v>19120.0</v>
      </c>
      <c r="N42" s="344">
        <f t="shared" si="38"/>
        <v>535360</v>
      </c>
    </row>
    <row r="43">
      <c r="A43" s="62"/>
      <c r="B43" s="63"/>
      <c r="C43" s="62"/>
      <c r="D43" s="64" t="s">
        <v>19</v>
      </c>
      <c r="E43" s="64">
        <f t="shared" ref="E43:F43" si="39">sum(E36:E42)</f>
        <v>2095</v>
      </c>
      <c r="F43" s="64">
        <f t="shared" si="39"/>
        <v>260</v>
      </c>
      <c r="G43" s="65">
        <f>average(G36:G42)</f>
        <v>12.47751786</v>
      </c>
      <c r="H43" s="62"/>
      <c r="I43" s="66"/>
      <c r="J43" s="64">
        <f t="shared" ref="J43:K43" si="40">sum(J36:J42)</f>
        <v>-17505</v>
      </c>
      <c r="K43" s="64">
        <f t="shared" si="40"/>
        <v>260</v>
      </c>
      <c r="L43" s="65" t="str">
        <f>average(L36:L42)</f>
        <v>#DIV/0!</v>
      </c>
      <c r="M43" s="68"/>
      <c r="N43" s="341">
        <f>sum(N36:N42)</f>
        <v>4918600</v>
      </c>
    </row>
    <row r="44">
      <c r="A44" s="293">
        <v>45841.0</v>
      </c>
      <c r="B44" s="302" t="s">
        <v>16</v>
      </c>
      <c r="C44" s="149">
        <v>130963.0</v>
      </c>
      <c r="D44" s="41">
        <v>131282.0</v>
      </c>
      <c r="E44" s="38">
        <f t="shared" ref="E44:E52" si="41">D44-C44</f>
        <v>319</v>
      </c>
      <c r="F44" s="39">
        <v>45.0</v>
      </c>
      <c r="G44" s="14">
        <f t="shared" ref="G44:G52" si="42">(F44/E44)*100</f>
        <v>14.10658307</v>
      </c>
      <c r="H44" s="137"/>
      <c r="I44" s="138"/>
      <c r="J44" s="41">
        <f t="shared" ref="J44:J49" si="43">I44-H44</f>
        <v>0</v>
      </c>
      <c r="K44" s="41">
        <f t="shared" ref="K44:K52" si="44">F44</f>
        <v>45</v>
      </c>
      <c r="L44" s="152" t="str">
        <f t="shared" ref="L44:L52" si="45">(K44/J44)*100</f>
        <v>#DIV/0!</v>
      </c>
      <c r="M44" s="72">
        <v>19340.0</v>
      </c>
      <c r="N44" s="336">
        <f t="shared" ref="N44:N52" si="46">F44*M44</f>
        <v>870300</v>
      </c>
    </row>
    <row r="45">
      <c r="A45" s="154">
        <v>45846.0</v>
      </c>
      <c r="B45" s="156" t="s">
        <v>16</v>
      </c>
      <c r="C45" s="89">
        <v>131282.0</v>
      </c>
      <c r="D45" s="89">
        <v>131573.0</v>
      </c>
      <c r="E45" s="12">
        <f t="shared" si="41"/>
        <v>291</v>
      </c>
      <c r="F45" s="313">
        <v>39.0</v>
      </c>
      <c r="G45" s="14">
        <f t="shared" si="42"/>
        <v>13.40206186</v>
      </c>
      <c r="H45" s="89"/>
      <c r="I45" s="138"/>
      <c r="J45" s="89">
        <f t="shared" si="43"/>
        <v>0</v>
      </c>
      <c r="K45" s="41">
        <f t="shared" si="44"/>
        <v>39</v>
      </c>
      <c r="L45" s="152" t="str">
        <f t="shared" si="45"/>
        <v>#DIV/0!</v>
      </c>
      <c r="M45" s="126">
        <v>18400.0</v>
      </c>
      <c r="N45" s="338">
        <f t="shared" si="46"/>
        <v>717600</v>
      </c>
    </row>
    <row r="46">
      <c r="A46" s="154">
        <v>45852.0</v>
      </c>
      <c r="B46" s="156" t="s">
        <v>16</v>
      </c>
      <c r="C46" s="89">
        <v>131573.0</v>
      </c>
      <c r="D46" s="89">
        <v>131852.0</v>
      </c>
      <c r="E46" s="12">
        <f t="shared" si="41"/>
        <v>279</v>
      </c>
      <c r="F46" s="157">
        <v>38.0</v>
      </c>
      <c r="G46" s="14">
        <f t="shared" si="42"/>
        <v>13.62007168</v>
      </c>
      <c r="H46" s="89"/>
      <c r="I46" s="137"/>
      <c r="J46" s="89">
        <f t="shared" si="43"/>
        <v>0</v>
      </c>
      <c r="K46" s="41">
        <f t="shared" si="44"/>
        <v>38</v>
      </c>
      <c r="L46" s="152" t="str">
        <f t="shared" si="45"/>
        <v>#DIV/0!</v>
      </c>
      <c r="M46" s="126">
        <v>18830.0</v>
      </c>
      <c r="N46" s="338">
        <f t="shared" si="46"/>
        <v>715540</v>
      </c>
    </row>
    <row r="47">
      <c r="A47" s="154">
        <v>45854.0</v>
      </c>
      <c r="B47" s="156" t="s">
        <v>16</v>
      </c>
      <c r="C47" s="89">
        <v>131852.0</v>
      </c>
      <c r="D47" s="89">
        <v>132130.0</v>
      </c>
      <c r="E47" s="12">
        <f t="shared" si="41"/>
        <v>278</v>
      </c>
      <c r="F47" s="157">
        <v>30.0</v>
      </c>
      <c r="G47" s="14">
        <f t="shared" si="42"/>
        <v>10.79136691</v>
      </c>
      <c r="H47" s="89"/>
      <c r="I47" s="137"/>
      <c r="J47" s="89">
        <f t="shared" si="43"/>
        <v>0</v>
      </c>
      <c r="K47" s="41">
        <f t="shared" si="44"/>
        <v>30</v>
      </c>
      <c r="L47" s="152" t="str">
        <f t="shared" si="45"/>
        <v>#DIV/0!</v>
      </c>
      <c r="M47" s="126">
        <v>18830.0</v>
      </c>
      <c r="N47" s="338">
        <f t="shared" si="46"/>
        <v>564900</v>
      </c>
      <c r="P47" s="82"/>
    </row>
    <row r="48">
      <c r="A48" s="154">
        <v>45857.0</v>
      </c>
      <c r="B48" s="156" t="s">
        <v>16</v>
      </c>
      <c r="C48" s="89">
        <v>132130.0</v>
      </c>
      <c r="D48" s="89">
        <v>132359.0</v>
      </c>
      <c r="E48" s="12">
        <f t="shared" si="41"/>
        <v>229</v>
      </c>
      <c r="F48" s="157">
        <v>40.0</v>
      </c>
      <c r="G48" s="14">
        <f t="shared" si="42"/>
        <v>17.46724891</v>
      </c>
      <c r="H48" s="89"/>
      <c r="I48" s="137"/>
      <c r="J48" s="89">
        <f t="shared" si="43"/>
        <v>0</v>
      </c>
      <c r="K48" s="41">
        <f t="shared" si="44"/>
        <v>40</v>
      </c>
      <c r="L48" s="152" t="str">
        <f t="shared" si="45"/>
        <v>#DIV/0!</v>
      </c>
      <c r="M48" s="126">
        <v>18790.0</v>
      </c>
      <c r="N48" s="339">
        <f t="shared" si="46"/>
        <v>751600</v>
      </c>
    </row>
    <row r="49">
      <c r="A49" s="155">
        <v>45861.0</v>
      </c>
      <c r="B49" s="99" t="s">
        <v>16</v>
      </c>
      <c r="C49" s="89">
        <v>132359.0</v>
      </c>
      <c r="D49" s="89">
        <v>132665.0</v>
      </c>
      <c r="E49" s="12">
        <f t="shared" si="41"/>
        <v>306</v>
      </c>
      <c r="F49" s="157">
        <v>41.0</v>
      </c>
      <c r="G49" s="14">
        <f t="shared" si="42"/>
        <v>13.39869281</v>
      </c>
      <c r="H49" s="89"/>
      <c r="I49" s="137"/>
      <c r="J49" s="89">
        <f t="shared" si="43"/>
        <v>0</v>
      </c>
      <c r="K49" s="41">
        <f t="shared" si="44"/>
        <v>41</v>
      </c>
      <c r="L49" s="152" t="str">
        <f t="shared" si="45"/>
        <v>#DIV/0!</v>
      </c>
      <c r="M49" s="126">
        <v>18790.0</v>
      </c>
      <c r="N49" s="339">
        <f t="shared" si="46"/>
        <v>770390</v>
      </c>
    </row>
    <row r="50">
      <c r="A50" s="304">
        <v>45863.0</v>
      </c>
      <c r="B50" s="156" t="s">
        <v>16</v>
      </c>
      <c r="C50" s="149">
        <v>132665.0</v>
      </c>
      <c r="D50" s="149">
        <v>132920.0</v>
      </c>
      <c r="E50" s="12">
        <f t="shared" si="41"/>
        <v>255</v>
      </c>
      <c r="F50" s="161">
        <v>37.0</v>
      </c>
      <c r="G50" s="14">
        <f t="shared" si="42"/>
        <v>14.50980392</v>
      </c>
      <c r="H50" s="149"/>
      <c r="I50" s="151"/>
      <c r="J50" s="149"/>
      <c r="K50" s="41">
        <f t="shared" si="44"/>
        <v>37</v>
      </c>
      <c r="L50" s="152" t="str">
        <f t="shared" si="45"/>
        <v>#DIV/0!</v>
      </c>
      <c r="M50" s="126">
        <v>19120.0</v>
      </c>
      <c r="N50" s="339">
        <f t="shared" si="46"/>
        <v>707440</v>
      </c>
    </row>
    <row r="51">
      <c r="A51" s="304">
        <v>45866.0</v>
      </c>
      <c r="B51" s="156" t="s">
        <v>16</v>
      </c>
      <c r="C51" s="149">
        <v>132920.0</v>
      </c>
      <c r="D51" s="149">
        <v>133203.0</v>
      </c>
      <c r="E51" s="12">
        <f t="shared" si="41"/>
        <v>283</v>
      </c>
      <c r="F51" s="161">
        <v>33.0</v>
      </c>
      <c r="G51" s="14">
        <f t="shared" si="42"/>
        <v>11.66077739</v>
      </c>
      <c r="H51" s="149"/>
      <c r="I51" s="151"/>
      <c r="J51" s="149"/>
      <c r="K51" s="41">
        <f t="shared" si="44"/>
        <v>33</v>
      </c>
      <c r="L51" s="152" t="str">
        <f t="shared" si="45"/>
        <v>#DIV/0!</v>
      </c>
      <c r="M51" s="153">
        <v>19120.0</v>
      </c>
      <c r="N51" s="339">
        <f t="shared" si="46"/>
        <v>630960</v>
      </c>
    </row>
    <row r="52">
      <c r="A52" s="304">
        <v>45869.0</v>
      </c>
      <c r="B52" s="99" t="s">
        <v>16</v>
      </c>
      <c r="C52" s="149">
        <v>133203.0</v>
      </c>
      <c r="D52" s="149">
        <v>133458.0</v>
      </c>
      <c r="E52" s="25">
        <f t="shared" si="41"/>
        <v>255</v>
      </c>
      <c r="F52" s="161">
        <v>35.0</v>
      </c>
      <c r="G52" s="56">
        <f t="shared" si="42"/>
        <v>13.7254902</v>
      </c>
      <c r="H52" s="149"/>
      <c r="I52" s="151"/>
      <c r="J52" s="149">
        <f>I52-H52</f>
        <v>0</v>
      </c>
      <c r="K52" s="149">
        <f t="shared" si="44"/>
        <v>35</v>
      </c>
      <c r="L52" s="152" t="str">
        <f t="shared" si="45"/>
        <v>#DIV/0!</v>
      </c>
      <c r="M52" s="153">
        <v>19120.0</v>
      </c>
      <c r="N52" s="340">
        <f t="shared" si="46"/>
        <v>669200</v>
      </c>
    </row>
    <row r="53">
      <c r="A53" s="62"/>
      <c r="B53" s="63"/>
      <c r="C53" s="62"/>
      <c r="D53" s="64" t="s">
        <v>19</v>
      </c>
      <c r="E53" s="64">
        <f t="shared" ref="E53:F53" si="47">sum(E44:E52)</f>
        <v>2495</v>
      </c>
      <c r="F53" s="64">
        <f t="shared" si="47"/>
        <v>338</v>
      </c>
      <c r="G53" s="65">
        <f>average(G44:G52)</f>
        <v>13.63134408</v>
      </c>
      <c r="H53" s="62"/>
      <c r="I53" s="66"/>
      <c r="J53" s="64">
        <f t="shared" ref="J53:K53" si="48">sum(J44:J52)</f>
        <v>0</v>
      </c>
      <c r="K53" s="64">
        <f t="shared" si="48"/>
        <v>338</v>
      </c>
      <c r="L53" s="65" t="str">
        <f>average(L44:L52)</f>
        <v>#DIV/0!</v>
      </c>
      <c r="M53" s="68"/>
      <c r="N53" s="341">
        <f>sum(N44:N52)</f>
        <v>6397930</v>
      </c>
    </row>
    <row r="54">
      <c r="A54" s="70">
        <v>45839.0</v>
      </c>
      <c r="B54" s="314" t="s">
        <v>18</v>
      </c>
      <c r="C54" s="149">
        <v>135663.0</v>
      </c>
      <c r="D54" s="41">
        <v>136015.0</v>
      </c>
      <c r="E54" s="38">
        <f t="shared" ref="E54:E61" si="49">D54-C54</f>
        <v>352</v>
      </c>
      <c r="F54" s="39">
        <v>50.0</v>
      </c>
      <c r="G54" s="14">
        <f t="shared" ref="G54:G61" si="50">(F54/E54)*100</f>
        <v>14.20454545</v>
      </c>
      <c r="H54" s="315"/>
      <c r="I54" s="138">
        <v>9269.0</v>
      </c>
      <c r="J54" s="41">
        <f t="shared" ref="J54:J59" si="51">I54-H54</f>
        <v>9269</v>
      </c>
      <c r="K54" s="41">
        <f t="shared" ref="K54:K61" si="52">F54</f>
        <v>50</v>
      </c>
      <c r="L54" s="152">
        <f t="shared" ref="L54:L59" si="53">(K54/J54)*100</f>
        <v>0.539432517</v>
      </c>
      <c r="M54" s="72">
        <v>19340.0</v>
      </c>
      <c r="N54" s="336">
        <f t="shared" ref="N54:N61" si="54">F54*M54</f>
        <v>967000</v>
      </c>
    </row>
    <row r="55">
      <c r="A55" s="154">
        <v>45843.0</v>
      </c>
      <c r="B55" s="156" t="s">
        <v>18</v>
      </c>
      <c r="C55" s="89">
        <v>136015.0</v>
      </c>
      <c r="D55" s="89">
        <v>136321.0</v>
      </c>
      <c r="E55" s="12">
        <f t="shared" si="49"/>
        <v>306</v>
      </c>
      <c r="F55" s="157">
        <v>38.0</v>
      </c>
      <c r="G55" s="14">
        <f t="shared" si="50"/>
        <v>12.41830065</v>
      </c>
      <c r="H55" s="89"/>
      <c r="I55" s="137"/>
      <c r="J55" s="89">
        <f t="shared" si="51"/>
        <v>0</v>
      </c>
      <c r="K55" s="89">
        <f t="shared" si="52"/>
        <v>38</v>
      </c>
      <c r="L55" s="152" t="str">
        <f t="shared" si="53"/>
        <v>#DIV/0!</v>
      </c>
      <c r="M55" s="126">
        <v>18400.0</v>
      </c>
      <c r="N55" s="338">
        <f t="shared" si="54"/>
        <v>699200</v>
      </c>
    </row>
    <row r="56">
      <c r="A56" s="279">
        <v>45849.0</v>
      </c>
      <c r="B56" s="156" t="s">
        <v>18</v>
      </c>
      <c r="C56" s="89">
        <v>136321.0</v>
      </c>
      <c r="D56" s="89">
        <v>136706.0</v>
      </c>
      <c r="E56" s="12">
        <f t="shared" si="49"/>
        <v>385</v>
      </c>
      <c r="F56" s="157">
        <v>52.0</v>
      </c>
      <c r="G56" s="14">
        <f t="shared" si="50"/>
        <v>13.50649351</v>
      </c>
      <c r="H56" s="89"/>
      <c r="I56" s="137"/>
      <c r="J56" s="89">
        <f t="shared" si="51"/>
        <v>0</v>
      </c>
      <c r="K56" s="89">
        <f t="shared" si="52"/>
        <v>52</v>
      </c>
      <c r="L56" s="152" t="str">
        <f t="shared" si="53"/>
        <v>#DIV/0!</v>
      </c>
      <c r="M56" s="126">
        <v>18830.0</v>
      </c>
      <c r="N56" s="338">
        <f t="shared" si="54"/>
        <v>979160</v>
      </c>
    </row>
    <row r="57">
      <c r="A57" s="154">
        <v>45855.0</v>
      </c>
      <c r="B57" s="156" t="s">
        <v>18</v>
      </c>
      <c r="C57" s="89">
        <v>136706.0</v>
      </c>
      <c r="D57" s="89">
        <v>137061.0</v>
      </c>
      <c r="E57" s="12">
        <f t="shared" si="49"/>
        <v>355</v>
      </c>
      <c r="F57" s="157">
        <v>46.0</v>
      </c>
      <c r="G57" s="14">
        <f t="shared" si="50"/>
        <v>12.95774648</v>
      </c>
      <c r="H57" s="89"/>
      <c r="I57" s="137"/>
      <c r="J57" s="89">
        <f t="shared" si="51"/>
        <v>0</v>
      </c>
      <c r="K57" s="89">
        <f t="shared" si="52"/>
        <v>46</v>
      </c>
      <c r="L57" s="152" t="str">
        <f t="shared" si="53"/>
        <v>#DIV/0!</v>
      </c>
      <c r="M57" s="126">
        <v>18830.0</v>
      </c>
      <c r="N57" s="339">
        <f t="shared" si="54"/>
        <v>866180</v>
      </c>
    </row>
    <row r="58">
      <c r="A58" s="154">
        <v>45859.0</v>
      </c>
      <c r="B58" s="156" t="s">
        <v>18</v>
      </c>
      <c r="C58" s="89">
        <v>137061.0</v>
      </c>
      <c r="D58" s="89">
        <v>137383.0</v>
      </c>
      <c r="E58" s="12">
        <f t="shared" si="49"/>
        <v>322</v>
      </c>
      <c r="F58" s="157">
        <v>39.0</v>
      </c>
      <c r="G58" s="14">
        <f t="shared" si="50"/>
        <v>12.11180124</v>
      </c>
      <c r="H58" s="89"/>
      <c r="I58" s="137"/>
      <c r="J58" s="89">
        <f t="shared" si="51"/>
        <v>0</v>
      </c>
      <c r="K58" s="89">
        <f t="shared" si="52"/>
        <v>39</v>
      </c>
      <c r="L58" s="152" t="str">
        <f t="shared" si="53"/>
        <v>#DIV/0!</v>
      </c>
      <c r="M58" s="126">
        <v>18790.0</v>
      </c>
      <c r="N58" s="342">
        <f t="shared" si="54"/>
        <v>732810</v>
      </c>
    </row>
    <row r="59">
      <c r="A59" s="154">
        <v>45862.0</v>
      </c>
      <c r="B59" s="156" t="s">
        <v>18</v>
      </c>
      <c r="C59" s="89">
        <v>137383.0</v>
      </c>
      <c r="D59" s="89">
        <v>137677.0</v>
      </c>
      <c r="E59" s="53">
        <f t="shared" si="49"/>
        <v>294</v>
      </c>
      <c r="F59" s="157">
        <v>38.0</v>
      </c>
      <c r="G59" s="14">
        <f t="shared" si="50"/>
        <v>12.92517007</v>
      </c>
      <c r="H59" s="89"/>
      <c r="I59" s="137"/>
      <c r="J59" s="89">
        <f t="shared" si="51"/>
        <v>0</v>
      </c>
      <c r="K59" s="89">
        <f t="shared" si="52"/>
        <v>38</v>
      </c>
      <c r="L59" s="152" t="str">
        <f t="shared" si="53"/>
        <v>#DIV/0!</v>
      </c>
      <c r="M59" s="126">
        <v>19120.0</v>
      </c>
      <c r="N59" s="342">
        <f t="shared" si="54"/>
        <v>726560</v>
      </c>
    </row>
    <row r="60">
      <c r="A60" s="316">
        <v>45869.0</v>
      </c>
      <c r="B60" s="156" t="s">
        <v>18</v>
      </c>
      <c r="C60" s="149">
        <v>137966.0</v>
      </c>
      <c r="D60" s="149">
        <v>138328.0</v>
      </c>
      <c r="E60" s="53">
        <f t="shared" si="49"/>
        <v>362</v>
      </c>
      <c r="F60" s="161">
        <v>44.0</v>
      </c>
      <c r="G60" s="14">
        <f t="shared" si="50"/>
        <v>12.15469613</v>
      </c>
      <c r="H60" s="149"/>
      <c r="I60" s="315"/>
      <c r="J60" s="149"/>
      <c r="K60" s="89">
        <f t="shared" si="52"/>
        <v>44</v>
      </c>
      <c r="L60" s="152"/>
      <c r="M60" s="153">
        <v>19060.0</v>
      </c>
      <c r="N60" s="342">
        <f t="shared" si="54"/>
        <v>838640</v>
      </c>
    </row>
    <row r="61">
      <c r="A61" s="316">
        <v>45866.0</v>
      </c>
      <c r="B61" s="99" t="s">
        <v>18</v>
      </c>
      <c r="C61" s="149">
        <v>137677.0</v>
      </c>
      <c r="D61" s="149">
        <v>137966.0</v>
      </c>
      <c r="E61" s="25">
        <f t="shared" si="49"/>
        <v>289</v>
      </c>
      <c r="F61" s="161">
        <v>36.0</v>
      </c>
      <c r="G61" s="56">
        <f t="shared" si="50"/>
        <v>12.4567474</v>
      </c>
      <c r="H61" s="149"/>
      <c r="I61" s="315"/>
      <c r="J61" s="149">
        <f>I61-H61</f>
        <v>0</v>
      </c>
      <c r="K61" s="149">
        <f t="shared" si="52"/>
        <v>36</v>
      </c>
      <c r="L61" s="152" t="str">
        <f>(K61/J61)*100</f>
        <v>#DIV/0!</v>
      </c>
      <c r="M61" s="153">
        <v>19120.0</v>
      </c>
      <c r="N61" s="340">
        <f t="shared" si="54"/>
        <v>688320</v>
      </c>
    </row>
    <row r="62">
      <c r="A62" s="62"/>
      <c r="B62" s="63"/>
      <c r="C62" s="62"/>
      <c r="D62" s="64" t="s">
        <v>19</v>
      </c>
      <c r="E62" s="64">
        <f t="shared" ref="E62:F62" si="55">sum(E54:E61)</f>
        <v>2665</v>
      </c>
      <c r="F62" s="64">
        <f t="shared" si="55"/>
        <v>343</v>
      </c>
      <c r="G62" s="65">
        <f>average(G54:G61)</f>
        <v>12.84193762</v>
      </c>
      <c r="H62" s="62"/>
      <c r="I62" s="66"/>
      <c r="J62" s="64">
        <f t="shared" ref="J62:K62" si="56">sum(J54:J61)</f>
        <v>9269</v>
      </c>
      <c r="K62" s="64">
        <f t="shared" si="56"/>
        <v>343</v>
      </c>
      <c r="L62" s="65" t="str">
        <f>average(L54:L61)</f>
        <v>#DIV/0!</v>
      </c>
      <c r="M62" s="68"/>
      <c r="N62" s="341">
        <f>sum(N54:N61)</f>
        <v>6497870</v>
      </c>
    </row>
    <row r="63">
      <c r="A63" s="70">
        <v>45843.0</v>
      </c>
      <c r="B63" s="302" t="s">
        <v>20</v>
      </c>
      <c r="C63" s="89">
        <v>381978.0</v>
      </c>
      <c r="D63" s="41">
        <v>382701.0</v>
      </c>
      <c r="E63" s="38">
        <f t="shared" ref="E63:E69" si="57">D63-C63</f>
        <v>723</v>
      </c>
      <c r="F63" s="39">
        <v>85.0</v>
      </c>
      <c r="G63" s="14">
        <f t="shared" ref="G63:G69" si="58">(F63/E63)*100</f>
        <v>11.75656985</v>
      </c>
      <c r="H63" s="137"/>
      <c r="I63" s="138">
        <v>18582.0</v>
      </c>
      <c r="J63" s="41">
        <f t="shared" ref="J63:J69" si="59">I63-H63</f>
        <v>18582</v>
      </c>
      <c r="K63" s="41">
        <f t="shared" ref="K63:K69" si="60">F63</f>
        <v>85</v>
      </c>
      <c r="L63" s="152">
        <f t="shared" ref="L63:L69" si="61">(K63/J63)*100</f>
        <v>0.4574319234</v>
      </c>
      <c r="M63" s="72">
        <v>18400.0</v>
      </c>
      <c r="N63" s="347">
        <f t="shared" ref="N63:N69" si="62">F63*M63</f>
        <v>1564000</v>
      </c>
    </row>
    <row r="64">
      <c r="A64" s="154">
        <v>45853.0</v>
      </c>
      <c r="B64" s="156" t="s">
        <v>20</v>
      </c>
      <c r="C64" s="89">
        <v>382701.0</v>
      </c>
      <c r="D64" s="89">
        <v>383274.0</v>
      </c>
      <c r="E64" s="12">
        <f t="shared" si="57"/>
        <v>573</v>
      </c>
      <c r="F64" s="157">
        <v>75.0</v>
      </c>
      <c r="G64" s="14">
        <f t="shared" si="58"/>
        <v>13.08900524</v>
      </c>
      <c r="H64" s="89"/>
      <c r="I64" s="137"/>
      <c r="J64" s="89">
        <f t="shared" si="59"/>
        <v>0</v>
      </c>
      <c r="K64" s="41">
        <f t="shared" si="60"/>
        <v>75</v>
      </c>
      <c r="L64" s="152" t="str">
        <f t="shared" si="61"/>
        <v>#DIV/0!</v>
      </c>
      <c r="M64" s="126">
        <v>18830.0</v>
      </c>
      <c r="N64" s="338">
        <f t="shared" si="62"/>
        <v>1412250</v>
      </c>
    </row>
    <row r="65">
      <c r="A65" s="154">
        <v>45860.0</v>
      </c>
      <c r="B65" s="156" t="s">
        <v>20</v>
      </c>
      <c r="C65" s="89">
        <v>383274.0</v>
      </c>
      <c r="D65" s="89">
        <v>383938.0</v>
      </c>
      <c r="E65" s="12">
        <f t="shared" si="57"/>
        <v>664</v>
      </c>
      <c r="F65" s="157">
        <v>75.0</v>
      </c>
      <c r="G65" s="14">
        <f t="shared" si="58"/>
        <v>11.29518072</v>
      </c>
      <c r="H65" s="89"/>
      <c r="I65" s="137"/>
      <c r="J65" s="89">
        <f t="shared" si="59"/>
        <v>0</v>
      </c>
      <c r="K65" s="268">
        <f t="shared" si="60"/>
        <v>75</v>
      </c>
      <c r="L65" s="152" t="str">
        <f t="shared" si="61"/>
        <v>#DIV/0!</v>
      </c>
      <c r="M65" s="126">
        <v>18790.0</v>
      </c>
      <c r="N65" s="339">
        <f t="shared" si="62"/>
        <v>1409250</v>
      </c>
    </row>
    <row r="66">
      <c r="A66" s="154"/>
      <c r="B66" s="156" t="s">
        <v>20</v>
      </c>
      <c r="C66" s="89"/>
      <c r="D66" s="89"/>
      <c r="E66" s="12">
        <f t="shared" si="57"/>
        <v>0</v>
      </c>
      <c r="F66" s="157"/>
      <c r="G66" s="14" t="str">
        <f t="shared" si="58"/>
        <v>#DIV/0!</v>
      </c>
      <c r="H66" s="89"/>
      <c r="I66" s="137"/>
      <c r="J66" s="89">
        <f t="shared" si="59"/>
        <v>0</v>
      </c>
      <c r="K66" s="89" t="str">
        <f t="shared" si="60"/>
        <v/>
      </c>
      <c r="L66" s="152" t="str">
        <f t="shared" si="61"/>
        <v>#DIV/0!</v>
      </c>
      <c r="M66" s="126"/>
      <c r="N66" s="342">
        <f t="shared" si="62"/>
        <v>0</v>
      </c>
    </row>
    <row r="67">
      <c r="A67" s="154"/>
      <c r="B67" s="156" t="s">
        <v>20</v>
      </c>
      <c r="C67" s="89"/>
      <c r="D67" s="89"/>
      <c r="E67" s="12">
        <f t="shared" si="57"/>
        <v>0</v>
      </c>
      <c r="F67" s="157"/>
      <c r="G67" s="14" t="str">
        <f t="shared" si="58"/>
        <v>#DIV/0!</v>
      </c>
      <c r="H67" s="89"/>
      <c r="I67" s="137"/>
      <c r="J67" s="89">
        <f t="shared" si="59"/>
        <v>0</v>
      </c>
      <c r="K67" s="89" t="str">
        <f t="shared" si="60"/>
        <v/>
      </c>
      <c r="L67" s="152" t="str">
        <f t="shared" si="61"/>
        <v>#DIV/0!</v>
      </c>
      <c r="M67" s="126"/>
      <c r="N67" s="342">
        <f t="shared" si="62"/>
        <v>0</v>
      </c>
    </row>
    <row r="68">
      <c r="A68" s="320"/>
      <c r="B68" s="99" t="s">
        <v>20</v>
      </c>
      <c r="C68" s="89"/>
      <c r="D68" s="158"/>
      <c r="E68" s="12">
        <f t="shared" si="57"/>
        <v>0</v>
      </c>
      <c r="F68" s="321"/>
      <c r="G68" s="14" t="str">
        <f t="shared" si="58"/>
        <v>#DIV/0!</v>
      </c>
      <c r="H68" s="89"/>
      <c r="I68" s="159"/>
      <c r="J68" s="89">
        <f t="shared" si="59"/>
        <v>0</v>
      </c>
      <c r="K68" s="89" t="str">
        <f t="shared" si="60"/>
        <v/>
      </c>
      <c r="L68" s="152" t="str">
        <f t="shared" si="61"/>
        <v>#DIV/0!</v>
      </c>
      <c r="M68" s="322"/>
      <c r="N68" s="342">
        <f t="shared" si="62"/>
        <v>0</v>
      </c>
    </row>
    <row r="69">
      <c r="A69" s="305"/>
      <c r="B69" s="323"/>
      <c r="C69" s="149"/>
      <c r="D69" s="150"/>
      <c r="E69" s="25">
        <f t="shared" si="57"/>
        <v>0</v>
      </c>
      <c r="F69" s="307"/>
      <c r="G69" s="56" t="str">
        <f t="shared" si="58"/>
        <v>#DIV/0!</v>
      </c>
      <c r="H69" s="149"/>
      <c r="I69" s="151"/>
      <c r="J69" s="149">
        <f t="shared" si="59"/>
        <v>0</v>
      </c>
      <c r="K69" s="149" t="str">
        <f t="shared" si="60"/>
        <v/>
      </c>
      <c r="L69" s="152" t="str">
        <f t="shared" si="61"/>
        <v>#DIV/0!</v>
      </c>
      <c r="M69" s="308"/>
      <c r="N69" s="340">
        <f t="shared" si="62"/>
        <v>0</v>
      </c>
    </row>
    <row r="70">
      <c r="A70" s="62"/>
      <c r="B70" s="63"/>
      <c r="C70" s="62"/>
      <c r="D70" s="64" t="s">
        <v>19</v>
      </c>
      <c r="E70" s="64">
        <f t="shared" ref="E70:F70" si="63">sum(E63:E69)</f>
        <v>1960</v>
      </c>
      <c r="F70" s="64">
        <f t="shared" si="63"/>
        <v>235</v>
      </c>
      <c r="G70" s="65" t="str">
        <f>average(G63:G69)</f>
        <v>#DIV/0!</v>
      </c>
      <c r="H70" s="62"/>
      <c r="I70" s="66"/>
      <c r="J70" s="64">
        <f t="shared" ref="J70:K70" si="64">sum(J63:J69)</f>
        <v>18582</v>
      </c>
      <c r="K70" s="64">
        <f t="shared" si="64"/>
        <v>235</v>
      </c>
      <c r="L70" s="65" t="str">
        <f>average(L63:L69)</f>
        <v>#DIV/0!</v>
      </c>
      <c r="M70" s="68"/>
      <c r="N70" s="341">
        <f>sum(N63:N69)</f>
        <v>4385500</v>
      </c>
    </row>
    <row r="71">
      <c r="A71" s="91">
        <v>45843.0</v>
      </c>
      <c r="B71" s="302" t="s">
        <v>21</v>
      </c>
      <c r="C71" s="89">
        <v>363984.0</v>
      </c>
      <c r="D71" s="41">
        <v>364500.0</v>
      </c>
      <c r="E71" s="38">
        <f t="shared" ref="E71:E77" si="65">D71-C71</f>
        <v>516</v>
      </c>
      <c r="F71" s="39">
        <v>73.0</v>
      </c>
      <c r="G71" s="14">
        <f t="shared" ref="G71:G77" si="66">(F71/E71)*100</f>
        <v>14.14728682</v>
      </c>
      <c r="H71" s="137"/>
      <c r="I71" s="137"/>
      <c r="J71" s="41">
        <f t="shared" ref="J71:J77" si="67">I71-H71</f>
        <v>0</v>
      </c>
      <c r="K71" s="41">
        <f t="shared" ref="K71:K77" si="68">F71</f>
        <v>73</v>
      </c>
      <c r="L71" s="152" t="str">
        <f t="shared" ref="L71:L77" si="69">(K71/J71)*100</f>
        <v>#DIV/0!</v>
      </c>
      <c r="M71" s="72">
        <v>18400.0</v>
      </c>
      <c r="N71" s="336">
        <f t="shared" ref="N71:N77" si="70">F71*M71</f>
        <v>1343200</v>
      </c>
    </row>
    <row r="72">
      <c r="A72" s="154">
        <v>45853.0</v>
      </c>
      <c r="B72" s="156" t="s">
        <v>21</v>
      </c>
      <c r="C72" s="41">
        <v>364500.0</v>
      </c>
      <c r="D72" s="89">
        <v>365009.0</v>
      </c>
      <c r="E72" s="12">
        <f t="shared" si="65"/>
        <v>509</v>
      </c>
      <c r="F72" s="157">
        <v>65.0</v>
      </c>
      <c r="G72" s="14">
        <f t="shared" si="66"/>
        <v>12.77013752</v>
      </c>
      <c r="H72" s="89"/>
      <c r="I72" s="137"/>
      <c r="J72" s="89">
        <f t="shared" si="67"/>
        <v>0</v>
      </c>
      <c r="K72" s="41">
        <f t="shared" si="68"/>
        <v>65</v>
      </c>
      <c r="L72" s="152" t="str">
        <f t="shared" si="69"/>
        <v>#DIV/0!</v>
      </c>
      <c r="M72" s="126">
        <v>18830.0</v>
      </c>
      <c r="N72" s="338">
        <f t="shared" si="70"/>
        <v>1223950</v>
      </c>
    </row>
    <row r="73">
      <c r="A73" s="154">
        <v>45861.0</v>
      </c>
      <c r="B73" s="156" t="s">
        <v>21</v>
      </c>
      <c r="C73" s="89">
        <v>365009.0</v>
      </c>
      <c r="D73" s="89">
        <v>365498.0</v>
      </c>
      <c r="E73" s="12">
        <f t="shared" si="65"/>
        <v>489</v>
      </c>
      <c r="F73" s="157">
        <v>75.0</v>
      </c>
      <c r="G73" s="14">
        <f t="shared" si="66"/>
        <v>15.33742331</v>
      </c>
      <c r="H73" s="89"/>
      <c r="I73" s="137"/>
      <c r="J73" s="89">
        <f t="shared" si="67"/>
        <v>0</v>
      </c>
      <c r="K73" s="41">
        <f t="shared" si="68"/>
        <v>75</v>
      </c>
      <c r="L73" s="152" t="str">
        <f t="shared" si="69"/>
        <v>#DIV/0!</v>
      </c>
      <c r="M73" s="126">
        <v>18790.0</v>
      </c>
      <c r="N73" s="338">
        <f t="shared" si="70"/>
        <v>1409250</v>
      </c>
    </row>
    <row r="74">
      <c r="A74" s="324">
        <v>45869.0</v>
      </c>
      <c r="B74" s="156" t="s">
        <v>21</v>
      </c>
      <c r="C74" s="89">
        <v>365498.0</v>
      </c>
      <c r="D74" s="89">
        <v>366021.0</v>
      </c>
      <c r="E74" s="12">
        <f t="shared" si="65"/>
        <v>523</v>
      </c>
      <c r="F74" s="157">
        <v>76.0</v>
      </c>
      <c r="G74" s="14">
        <f t="shared" si="66"/>
        <v>14.53154876</v>
      </c>
      <c r="H74" s="89"/>
      <c r="I74" s="137"/>
      <c r="J74" s="89">
        <f t="shared" si="67"/>
        <v>0</v>
      </c>
      <c r="K74" s="41">
        <f t="shared" si="68"/>
        <v>76</v>
      </c>
      <c r="L74" s="152" t="str">
        <f t="shared" si="69"/>
        <v>#DIV/0!</v>
      </c>
      <c r="M74" s="126">
        <v>19120.0</v>
      </c>
      <c r="N74" s="348">
        <f t="shared" si="70"/>
        <v>1453120</v>
      </c>
    </row>
    <row r="75">
      <c r="A75" s="154"/>
      <c r="B75" s="156" t="s">
        <v>21</v>
      </c>
      <c r="C75" s="89"/>
      <c r="D75" s="89"/>
      <c r="E75" s="12">
        <f t="shared" si="65"/>
        <v>0</v>
      </c>
      <c r="F75" s="157"/>
      <c r="G75" s="14" t="str">
        <f t="shared" si="66"/>
        <v>#DIV/0!</v>
      </c>
      <c r="H75" s="89"/>
      <c r="I75" s="137"/>
      <c r="J75" s="89">
        <f t="shared" si="67"/>
        <v>0</v>
      </c>
      <c r="K75" s="89" t="str">
        <f t="shared" si="68"/>
        <v/>
      </c>
      <c r="L75" s="152" t="str">
        <f t="shared" si="69"/>
        <v>#DIV/0!</v>
      </c>
      <c r="M75" s="126"/>
      <c r="N75" s="342">
        <f t="shared" si="70"/>
        <v>0</v>
      </c>
    </row>
    <row r="76">
      <c r="A76" s="155"/>
      <c r="B76" s="99" t="s">
        <v>37</v>
      </c>
      <c r="C76" s="89"/>
      <c r="D76" s="89"/>
      <c r="E76" s="12">
        <f t="shared" si="65"/>
        <v>0</v>
      </c>
      <c r="F76" s="157"/>
      <c r="G76" s="14" t="str">
        <f t="shared" si="66"/>
        <v>#DIV/0!</v>
      </c>
      <c r="H76" s="89"/>
      <c r="I76" s="159"/>
      <c r="J76" s="89">
        <f t="shared" si="67"/>
        <v>0</v>
      </c>
      <c r="K76" s="89" t="str">
        <f t="shared" si="68"/>
        <v/>
      </c>
      <c r="L76" s="152" t="str">
        <f t="shared" si="69"/>
        <v>#DIV/0!</v>
      </c>
      <c r="M76" s="126"/>
      <c r="N76" s="342">
        <f t="shared" si="70"/>
        <v>0</v>
      </c>
    </row>
    <row r="77">
      <c r="A77" s="305"/>
      <c r="B77" s="323"/>
      <c r="C77" s="149"/>
      <c r="D77" s="150"/>
      <c r="E77" s="25">
        <f t="shared" si="65"/>
        <v>0</v>
      </c>
      <c r="F77" s="307"/>
      <c r="G77" s="56" t="str">
        <f t="shared" si="66"/>
        <v>#DIV/0!</v>
      </c>
      <c r="H77" s="149"/>
      <c r="I77" s="151"/>
      <c r="J77" s="149">
        <f t="shared" si="67"/>
        <v>0</v>
      </c>
      <c r="K77" s="149" t="str">
        <f t="shared" si="68"/>
        <v/>
      </c>
      <c r="L77" s="152" t="str">
        <f t="shared" si="69"/>
        <v>#DIV/0!</v>
      </c>
      <c r="M77" s="308"/>
      <c r="N77" s="340">
        <f t="shared" si="70"/>
        <v>0</v>
      </c>
    </row>
    <row r="78">
      <c r="A78" s="62"/>
      <c r="B78" s="63"/>
      <c r="C78" s="62"/>
      <c r="D78" s="64" t="s">
        <v>19</v>
      </c>
      <c r="E78" s="64">
        <f t="shared" ref="E78:F78" si="71">sum(E71:E77)</f>
        <v>2037</v>
      </c>
      <c r="F78" s="64">
        <f t="shared" si="71"/>
        <v>289</v>
      </c>
      <c r="G78" s="65" t="str">
        <f>average(G71:G77)</f>
        <v>#DIV/0!</v>
      </c>
      <c r="H78" s="62"/>
      <c r="I78" s="66"/>
      <c r="J78" s="64">
        <f t="shared" ref="J78:K78" si="72">sum(J71:J77)</f>
        <v>0</v>
      </c>
      <c r="K78" s="64">
        <f t="shared" si="72"/>
        <v>289</v>
      </c>
      <c r="L78" s="65" t="str">
        <f>average(L71:L77)</f>
        <v>#DIV/0!</v>
      </c>
      <c r="M78" s="68"/>
      <c r="N78" s="341">
        <f>sum(N71:N77)</f>
        <v>5429520</v>
      </c>
    </row>
    <row r="79">
      <c r="A79" s="70">
        <v>45845.0</v>
      </c>
      <c r="B79" s="314" t="s">
        <v>22</v>
      </c>
      <c r="C79" s="89">
        <v>199823.0</v>
      </c>
      <c r="D79" s="41">
        <v>200393.0</v>
      </c>
      <c r="E79" s="38">
        <f t="shared" ref="E79:E85" si="73">D79-C79</f>
        <v>570</v>
      </c>
      <c r="F79" s="39">
        <v>74.0</v>
      </c>
      <c r="G79" s="14">
        <f t="shared" ref="G79:G85" si="74">(F79/E79)*100</f>
        <v>12.98245614</v>
      </c>
      <c r="H79" s="315"/>
      <c r="I79" s="138"/>
      <c r="J79" s="41">
        <f t="shared" ref="J79:J85" si="75">I79-H79</f>
        <v>0</v>
      </c>
      <c r="K79" s="41">
        <f t="shared" ref="K79:K85" si="76">F79</f>
        <v>74</v>
      </c>
      <c r="L79" s="152" t="str">
        <f t="shared" ref="L79:L85" si="77">(K79/J79)*100</f>
        <v>#DIV/0!</v>
      </c>
      <c r="M79" s="72">
        <v>18400.0</v>
      </c>
      <c r="N79" s="336">
        <f t="shared" ref="N79:N85" si="78">F79*M79</f>
        <v>1361600</v>
      </c>
    </row>
    <row r="80">
      <c r="A80" s="154">
        <v>45849.0</v>
      </c>
      <c r="B80" s="156" t="s">
        <v>22</v>
      </c>
      <c r="C80" s="89">
        <v>200393.0</v>
      </c>
      <c r="D80" s="89">
        <v>200943.0</v>
      </c>
      <c r="E80" s="12">
        <f t="shared" si="73"/>
        <v>550</v>
      </c>
      <c r="F80" s="157">
        <v>67.0</v>
      </c>
      <c r="G80" s="14">
        <f t="shared" si="74"/>
        <v>12.18181818</v>
      </c>
      <c r="H80" s="138"/>
      <c r="I80" s="138"/>
      <c r="J80" s="89">
        <f t="shared" si="75"/>
        <v>0</v>
      </c>
      <c r="K80" s="89">
        <f t="shared" si="76"/>
        <v>67</v>
      </c>
      <c r="L80" s="152" t="str">
        <f t="shared" si="77"/>
        <v>#DIV/0!</v>
      </c>
      <c r="M80" s="126">
        <v>18830.0</v>
      </c>
      <c r="N80" s="338">
        <f t="shared" si="78"/>
        <v>1261610</v>
      </c>
    </row>
    <row r="81">
      <c r="A81" s="155">
        <v>45857.0</v>
      </c>
      <c r="B81" s="156" t="s">
        <v>22</v>
      </c>
      <c r="C81" s="89">
        <v>200943.0</v>
      </c>
      <c r="D81" s="89">
        <v>201517.0</v>
      </c>
      <c r="E81" s="12">
        <f t="shared" si="73"/>
        <v>574</v>
      </c>
      <c r="F81" s="157">
        <v>75.0</v>
      </c>
      <c r="G81" s="14">
        <f t="shared" si="74"/>
        <v>13.06620209</v>
      </c>
      <c r="H81" s="89"/>
      <c r="I81" s="137"/>
      <c r="J81" s="89">
        <f t="shared" si="75"/>
        <v>0</v>
      </c>
      <c r="K81" s="89">
        <f t="shared" si="76"/>
        <v>75</v>
      </c>
      <c r="L81" s="152" t="str">
        <f t="shared" si="77"/>
        <v>#DIV/0!</v>
      </c>
      <c r="M81" s="126">
        <v>18790.0</v>
      </c>
      <c r="N81" s="339">
        <f t="shared" si="78"/>
        <v>1409250</v>
      </c>
    </row>
    <row r="82">
      <c r="A82" s="154">
        <v>45863.0</v>
      </c>
      <c r="B82" s="156" t="s">
        <v>22</v>
      </c>
      <c r="C82" s="89">
        <v>201517.0</v>
      </c>
      <c r="D82" s="89">
        <v>202122.0</v>
      </c>
      <c r="E82" s="12">
        <f t="shared" si="73"/>
        <v>605</v>
      </c>
      <c r="F82" s="157">
        <v>74.0</v>
      </c>
      <c r="G82" s="14">
        <f t="shared" si="74"/>
        <v>12.23140496</v>
      </c>
      <c r="H82" s="89"/>
      <c r="I82" s="137"/>
      <c r="J82" s="89">
        <f t="shared" si="75"/>
        <v>0</v>
      </c>
      <c r="K82" s="89">
        <f t="shared" si="76"/>
        <v>74</v>
      </c>
      <c r="L82" s="152" t="str">
        <f t="shared" si="77"/>
        <v>#DIV/0!</v>
      </c>
      <c r="M82" s="126">
        <v>19120.0</v>
      </c>
      <c r="N82" s="339">
        <f t="shared" si="78"/>
        <v>1414880</v>
      </c>
    </row>
    <row r="83">
      <c r="A83" s="154"/>
      <c r="B83" s="156" t="s">
        <v>22</v>
      </c>
      <c r="C83" s="89"/>
      <c r="D83" s="89"/>
      <c r="E83" s="12">
        <f t="shared" si="73"/>
        <v>0</v>
      </c>
      <c r="F83" s="157"/>
      <c r="G83" s="14" t="str">
        <f t="shared" si="74"/>
        <v>#DIV/0!</v>
      </c>
      <c r="H83" s="89"/>
      <c r="I83" s="137"/>
      <c r="J83" s="89">
        <f t="shared" si="75"/>
        <v>0</v>
      </c>
      <c r="K83" s="89" t="str">
        <f t="shared" si="76"/>
        <v/>
      </c>
      <c r="L83" s="152" t="str">
        <f t="shared" si="77"/>
        <v>#DIV/0!</v>
      </c>
      <c r="M83" s="126"/>
      <c r="N83" s="339">
        <f t="shared" si="78"/>
        <v>0</v>
      </c>
    </row>
    <row r="84">
      <c r="A84" s="304"/>
      <c r="B84" s="156" t="s">
        <v>22</v>
      </c>
      <c r="C84" s="89"/>
      <c r="D84" s="89"/>
      <c r="E84" s="12">
        <f t="shared" si="73"/>
        <v>0</v>
      </c>
      <c r="F84" s="157"/>
      <c r="G84" s="14" t="str">
        <f t="shared" si="74"/>
        <v>#DIV/0!</v>
      </c>
      <c r="H84" s="89"/>
      <c r="I84" s="159"/>
      <c r="J84" s="89">
        <f t="shared" si="75"/>
        <v>0</v>
      </c>
      <c r="K84" s="89" t="str">
        <f t="shared" si="76"/>
        <v/>
      </c>
      <c r="L84" s="152" t="str">
        <f t="shared" si="77"/>
        <v>#DIV/0!</v>
      </c>
      <c r="M84" s="126"/>
      <c r="N84" s="342">
        <f t="shared" si="78"/>
        <v>0</v>
      </c>
    </row>
    <row r="85">
      <c r="A85" s="304"/>
      <c r="B85" s="306"/>
      <c r="C85" s="149"/>
      <c r="D85" s="150"/>
      <c r="E85" s="25">
        <f t="shared" si="73"/>
        <v>0</v>
      </c>
      <c r="F85" s="307"/>
      <c r="G85" s="56" t="str">
        <f t="shared" si="74"/>
        <v>#DIV/0!</v>
      </c>
      <c r="H85" s="149"/>
      <c r="I85" s="315"/>
      <c r="J85" s="149">
        <f t="shared" si="75"/>
        <v>0</v>
      </c>
      <c r="K85" s="149" t="str">
        <f t="shared" si="76"/>
        <v/>
      </c>
      <c r="L85" s="152" t="str">
        <f t="shared" si="77"/>
        <v>#DIV/0!</v>
      </c>
      <c r="M85" s="308"/>
      <c r="N85" s="340">
        <f t="shared" si="78"/>
        <v>0</v>
      </c>
    </row>
    <row r="86">
      <c r="A86" s="62"/>
      <c r="B86" s="63"/>
      <c r="C86" s="62"/>
      <c r="D86" s="64" t="s">
        <v>19</v>
      </c>
      <c r="E86" s="64">
        <f t="shared" ref="E86:F86" si="79">sum(E79:E85)</f>
        <v>2299</v>
      </c>
      <c r="F86" s="64">
        <f t="shared" si="79"/>
        <v>290</v>
      </c>
      <c r="G86" s="65" t="str">
        <f>average(G79:G85)</f>
        <v>#DIV/0!</v>
      </c>
      <c r="H86" s="62"/>
      <c r="I86" s="66"/>
      <c r="J86" s="64">
        <f t="shared" ref="J86:K86" si="80">sum(J79:J85)</f>
        <v>0</v>
      </c>
      <c r="K86" s="64">
        <f t="shared" si="80"/>
        <v>290</v>
      </c>
      <c r="L86" s="65" t="str">
        <f>average(L79:L85)</f>
        <v>#DIV/0!</v>
      </c>
      <c r="M86" s="68"/>
      <c r="N86" s="341">
        <f>sum(N79:N85)</f>
        <v>5447340</v>
      </c>
    </row>
    <row r="87">
      <c r="A87" s="98">
        <v>45840.0</v>
      </c>
      <c r="B87" s="156" t="s">
        <v>38</v>
      </c>
      <c r="C87" s="105">
        <v>152491.0</v>
      </c>
      <c r="D87" s="41">
        <v>153049.0</v>
      </c>
      <c r="E87" s="38">
        <f t="shared" ref="E87:E92" si="81">D87-C87</f>
        <v>558</v>
      </c>
      <c r="F87" s="39">
        <v>75.0</v>
      </c>
      <c r="G87" s="14">
        <f t="shared" ref="G87:G92" si="82">(F87/E87)*100</f>
        <v>13.44086022</v>
      </c>
      <c r="H87" s="137"/>
      <c r="I87" s="138"/>
      <c r="J87" s="41">
        <f t="shared" ref="J87:J90" si="83">I87-H87</f>
        <v>0</v>
      </c>
      <c r="K87" s="41">
        <f t="shared" ref="K87:K92" si="84">F87</f>
        <v>75</v>
      </c>
      <c r="L87" s="152" t="str">
        <f t="shared" ref="L87:L92" si="85">(K87/J87)*100</f>
        <v>#DIV/0!</v>
      </c>
      <c r="M87" s="72">
        <v>19340.0</v>
      </c>
      <c r="N87" s="336">
        <f t="shared" ref="N87:N92" si="86">F87*M87</f>
        <v>1450500</v>
      </c>
    </row>
    <row r="88">
      <c r="A88" s="155">
        <v>45848.0</v>
      </c>
      <c r="B88" s="156" t="s">
        <v>38</v>
      </c>
      <c r="C88" s="41">
        <v>153049.0</v>
      </c>
      <c r="D88" s="41">
        <v>153670.0</v>
      </c>
      <c r="E88" s="38">
        <f t="shared" si="81"/>
        <v>621</v>
      </c>
      <c r="F88" s="157">
        <v>78.0</v>
      </c>
      <c r="G88" s="14">
        <f t="shared" si="82"/>
        <v>12.56038647</v>
      </c>
      <c r="H88" s="89"/>
      <c r="I88" s="137"/>
      <c r="J88" s="89">
        <f t="shared" si="83"/>
        <v>0</v>
      </c>
      <c r="K88" s="89">
        <f t="shared" si="84"/>
        <v>78</v>
      </c>
      <c r="L88" s="152" t="str">
        <f t="shared" si="85"/>
        <v>#DIV/0!</v>
      </c>
      <c r="M88" s="126">
        <v>18400.0</v>
      </c>
      <c r="N88" s="336">
        <f t="shared" si="86"/>
        <v>1435200</v>
      </c>
    </row>
    <row r="89">
      <c r="A89" s="155">
        <v>45854.0</v>
      </c>
      <c r="B89" s="306" t="s">
        <v>38</v>
      </c>
      <c r="C89" s="89">
        <v>153670.0</v>
      </c>
      <c r="D89" s="89">
        <v>154239.0</v>
      </c>
      <c r="E89" s="38">
        <f t="shared" si="81"/>
        <v>569</v>
      </c>
      <c r="F89" s="157">
        <v>76.0</v>
      </c>
      <c r="G89" s="14">
        <f t="shared" si="82"/>
        <v>13.35676626</v>
      </c>
      <c r="H89" s="89"/>
      <c r="I89" s="137"/>
      <c r="J89" s="89">
        <f t="shared" si="83"/>
        <v>0</v>
      </c>
      <c r="K89" s="89">
        <f t="shared" si="84"/>
        <v>76</v>
      </c>
      <c r="L89" s="152" t="str">
        <f t="shared" si="85"/>
        <v>#DIV/0!</v>
      </c>
      <c r="M89" s="126">
        <v>18830.0</v>
      </c>
      <c r="N89" s="349">
        <f t="shared" si="86"/>
        <v>1431080</v>
      </c>
    </row>
    <row r="90">
      <c r="A90" s="8">
        <v>45859.0</v>
      </c>
      <c r="B90" s="156" t="s">
        <v>38</v>
      </c>
      <c r="C90" s="13">
        <v>154239.0</v>
      </c>
      <c r="D90" s="105">
        <v>154799.0</v>
      </c>
      <c r="E90" s="38">
        <f t="shared" si="81"/>
        <v>560</v>
      </c>
      <c r="F90" s="157">
        <v>70.0</v>
      </c>
      <c r="G90" s="14">
        <f t="shared" si="82"/>
        <v>12.5</v>
      </c>
      <c r="H90" s="89"/>
      <c r="I90" s="137"/>
      <c r="J90" s="89">
        <f t="shared" si="83"/>
        <v>0</v>
      </c>
      <c r="K90" s="89">
        <f t="shared" si="84"/>
        <v>70</v>
      </c>
      <c r="L90" s="152" t="str">
        <f t="shared" si="85"/>
        <v>#DIV/0!</v>
      </c>
      <c r="M90" s="126">
        <v>18790.0</v>
      </c>
      <c r="N90" s="349">
        <f t="shared" si="86"/>
        <v>1315300</v>
      </c>
    </row>
    <row r="91">
      <c r="A91" s="8">
        <v>45863.0</v>
      </c>
      <c r="B91" s="306" t="s">
        <v>38</v>
      </c>
      <c r="C91" s="105">
        <v>154799.0</v>
      </c>
      <c r="D91" s="105">
        <v>155274.0</v>
      </c>
      <c r="E91" s="38">
        <f t="shared" si="81"/>
        <v>475</v>
      </c>
      <c r="F91" s="157">
        <v>60.0</v>
      </c>
      <c r="G91" s="14">
        <f t="shared" si="82"/>
        <v>12.63157895</v>
      </c>
      <c r="H91" s="137"/>
      <c r="I91" s="137"/>
      <c r="J91" s="89"/>
      <c r="K91" s="89">
        <f t="shared" si="84"/>
        <v>60</v>
      </c>
      <c r="L91" s="152" t="str">
        <f t="shared" si="85"/>
        <v>#DIV/0!</v>
      </c>
      <c r="M91" s="126">
        <v>19120.0</v>
      </c>
      <c r="N91" s="350">
        <f t="shared" si="86"/>
        <v>1147200</v>
      </c>
    </row>
    <row r="92">
      <c r="A92" s="154">
        <v>46598.0</v>
      </c>
      <c r="B92" s="306" t="s">
        <v>38</v>
      </c>
      <c r="C92" s="105">
        <v>155274.0</v>
      </c>
      <c r="D92" s="89">
        <v>155845.0</v>
      </c>
      <c r="E92" s="38">
        <f t="shared" si="81"/>
        <v>571</v>
      </c>
      <c r="F92" s="157">
        <v>72.0</v>
      </c>
      <c r="G92" s="14">
        <f t="shared" si="82"/>
        <v>12.60945709</v>
      </c>
      <c r="H92" s="89"/>
      <c r="I92" s="137"/>
      <c r="J92" s="89"/>
      <c r="K92" s="89">
        <f t="shared" si="84"/>
        <v>72</v>
      </c>
      <c r="L92" s="351" t="str">
        <f t="shared" si="85"/>
        <v>#DIV/0!</v>
      </c>
      <c r="M92" s="126">
        <v>19120.0</v>
      </c>
      <c r="N92" s="350">
        <f t="shared" si="86"/>
        <v>1376640</v>
      </c>
    </row>
    <row r="93">
      <c r="A93" s="352"/>
      <c r="B93" s="9" t="s">
        <v>38</v>
      </c>
      <c r="C93" s="353"/>
      <c r="D93" s="354" t="s">
        <v>19</v>
      </c>
      <c r="E93" s="355">
        <f t="shared" ref="E93:F93" si="87">SUM(E87:E92)</f>
        <v>3354</v>
      </c>
      <c r="F93" s="355">
        <f t="shared" si="87"/>
        <v>431</v>
      </c>
      <c r="G93" s="356">
        <f>average(G87:G92)</f>
        <v>12.8498415</v>
      </c>
      <c r="H93" s="353"/>
      <c r="I93" s="357"/>
      <c r="J93" s="354">
        <f t="shared" ref="J93:K93" si="88">sum(J87:J92)</f>
        <v>0</v>
      </c>
      <c r="K93" s="354">
        <f t="shared" si="88"/>
        <v>431</v>
      </c>
      <c r="L93" s="358" t="str">
        <f>average(L87:L92)</f>
        <v>#DIV/0!</v>
      </c>
      <c r="M93" s="359"/>
      <c r="N93" s="360">
        <f>sum(N87:N92)</f>
        <v>8155920</v>
      </c>
    </row>
    <row r="94">
      <c r="A94" s="122">
        <v>45845.0</v>
      </c>
      <c r="B94" s="323" t="s">
        <v>39</v>
      </c>
      <c r="C94" s="89">
        <v>102935.0</v>
      </c>
      <c r="D94" s="89">
        <v>103716.0</v>
      </c>
      <c r="E94" s="38">
        <f t="shared" ref="E94:E100" si="89">D94-C94</f>
        <v>781</v>
      </c>
      <c r="F94" s="157">
        <v>88.0</v>
      </c>
      <c r="G94" s="124">
        <f t="shared" ref="G94:G100" si="90">(F94/E94)*100</f>
        <v>11.26760563</v>
      </c>
      <c r="H94" s="137"/>
      <c r="I94" s="137">
        <v>11955.0</v>
      </c>
      <c r="J94" s="89">
        <f t="shared" ref="J94:J100" si="91">I94-H94</f>
        <v>11955</v>
      </c>
      <c r="K94" s="89">
        <f t="shared" ref="K94:K100" si="92">F94</f>
        <v>88</v>
      </c>
      <c r="L94" s="330">
        <f t="shared" ref="L94:L100" si="93">(K94/J94)*100</f>
        <v>0.7360936847</v>
      </c>
      <c r="M94" s="126">
        <v>18400.0</v>
      </c>
      <c r="N94" s="361">
        <f>M94*K94</f>
        <v>1619200</v>
      </c>
    </row>
    <row r="95">
      <c r="A95" s="8">
        <v>45853.0</v>
      </c>
      <c r="B95" s="323" t="s">
        <v>39</v>
      </c>
      <c r="C95" s="13">
        <v>103716.0</v>
      </c>
      <c r="D95" s="13">
        <v>104493.0</v>
      </c>
      <c r="E95" s="12">
        <f t="shared" si="89"/>
        <v>777</v>
      </c>
      <c r="F95" s="13">
        <v>87.0</v>
      </c>
      <c r="G95" s="14">
        <f t="shared" si="90"/>
        <v>11.1969112</v>
      </c>
      <c r="H95" s="13"/>
      <c r="I95" s="16"/>
      <c r="J95" s="89">
        <f t="shared" si="91"/>
        <v>0</v>
      </c>
      <c r="K95" s="89">
        <f t="shared" si="92"/>
        <v>87</v>
      </c>
      <c r="L95" s="330" t="str">
        <f t="shared" si="93"/>
        <v>#DIV/0!</v>
      </c>
      <c r="M95" s="18">
        <v>18830.0</v>
      </c>
      <c r="N95" s="362">
        <f t="shared" ref="N95:N100" si="94">F95*M95</f>
        <v>1638210</v>
      </c>
      <c r="S95" s="257"/>
      <c r="T95" s="257"/>
      <c r="U95" s="257"/>
      <c r="V95" s="257"/>
      <c r="W95" s="257"/>
      <c r="X95" s="257"/>
      <c r="Y95" s="257"/>
      <c r="Z95" s="257"/>
    </row>
    <row r="96">
      <c r="A96" s="154">
        <v>45860.0</v>
      </c>
      <c r="B96" s="323" t="s">
        <v>39</v>
      </c>
      <c r="C96" s="89">
        <v>104493.0</v>
      </c>
      <c r="D96" s="89">
        <v>105231.0</v>
      </c>
      <c r="E96" s="12">
        <f t="shared" si="89"/>
        <v>738</v>
      </c>
      <c r="F96" s="157">
        <v>82.0</v>
      </c>
      <c r="G96" s="14">
        <f t="shared" si="90"/>
        <v>11.11111111</v>
      </c>
      <c r="H96" s="89"/>
      <c r="I96" s="137"/>
      <c r="J96" s="89">
        <f t="shared" si="91"/>
        <v>0</v>
      </c>
      <c r="K96" s="89">
        <f t="shared" si="92"/>
        <v>82</v>
      </c>
      <c r="L96" s="330" t="str">
        <f t="shared" si="93"/>
        <v>#DIV/0!</v>
      </c>
      <c r="M96" s="126">
        <v>18790.0</v>
      </c>
      <c r="N96" s="362">
        <f t="shared" si="94"/>
        <v>1540780</v>
      </c>
      <c r="P96" s="82"/>
    </row>
    <row r="97">
      <c r="A97" s="154">
        <v>45867.0</v>
      </c>
      <c r="B97" s="323" t="s">
        <v>39</v>
      </c>
      <c r="C97" s="89">
        <v>105231.0</v>
      </c>
      <c r="D97" s="89">
        <v>105924.0</v>
      </c>
      <c r="E97" s="12">
        <f t="shared" si="89"/>
        <v>693</v>
      </c>
      <c r="F97" s="157">
        <v>75.0</v>
      </c>
      <c r="G97" s="14">
        <f t="shared" si="90"/>
        <v>10.82251082</v>
      </c>
      <c r="H97" s="89"/>
      <c r="I97" s="137"/>
      <c r="J97" s="89">
        <f t="shared" si="91"/>
        <v>0</v>
      </c>
      <c r="K97" s="89">
        <f t="shared" si="92"/>
        <v>75</v>
      </c>
      <c r="L97" s="152" t="str">
        <f t="shared" si="93"/>
        <v>#DIV/0!</v>
      </c>
      <c r="M97" s="126">
        <v>19120.0</v>
      </c>
      <c r="N97" s="339">
        <f t="shared" si="94"/>
        <v>1434000</v>
      </c>
    </row>
    <row r="98">
      <c r="A98" s="154"/>
      <c r="B98" s="156"/>
      <c r="C98" s="89"/>
      <c r="D98" s="89"/>
      <c r="E98" s="12">
        <f t="shared" si="89"/>
        <v>0</v>
      </c>
      <c r="F98" s="157"/>
      <c r="G98" s="14" t="str">
        <f t="shared" si="90"/>
        <v>#DIV/0!</v>
      </c>
      <c r="H98" s="89"/>
      <c r="I98" s="137"/>
      <c r="J98" s="89">
        <f t="shared" si="91"/>
        <v>0</v>
      </c>
      <c r="K98" s="89" t="str">
        <f t="shared" si="92"/>
        <v/>
      </c>
      <c r="L98" s="152" t="str">
        <f t="shared" si="93"/>
        <v>#DIV/0!</v>
      </c>
      <c r="M98" s="126"/>
      <c r="N98" s="342">
        <f t="shared" si="94"/>
        <v>0</v>
      </c>
    </row>
    <row r="99">
      <c r="A99" s="320"/>
      <c r="B99" s="99"/>
      <c r="C99" s="89"/>
      <c r="D99" s="158"/>
      <c r="E99" s="12">
        <f t="shared" si="89"/>
        <v>0</v>
      </c>
      <c r="F99" s="321"/>
      <c r="G99" s="14" t="str">
        <f t="shared" si="90"/>
        <v>#DIV/0!</v>
      </c>
      <c r="H99" s="89"/>
      <c r="I99" s="159"/>
      <c r="J99" s="89">
        <f t="shared" si="91"/>
        <v>0</v>
      </c>
      <c r="K99" s="89" t="str">
        <f t="shared" si="92"/>
        <v/>
      </c>
      <c r="L99" s="152" t="str">
        <f t="shared" si="93"/>
        <v>#DIV/0!</v>
      </c>
      <c r="M99" s="322"/>
      <c r="N99" s="342">
        <f t="shared" si="94"/>
        <v>0</v>
      </c>
    </row>
    <row r="100">
      <c r="A100" s="305"/>
      <c r="B100" s="323"/>
      <c r="C100" s="149"/>
      <c r="D100" s="150"/>
      <c r="E100" s="25">
        <f t="shared" si="89"/>
        <v>0</v>
      </c>
      <c r="F100" s="307"/>
      <c r="G100" s="56" t="str">
        <f t="shared" si="90"/>
        <v>#DIV/0!</v>
      </c>
      <c r="H100" s="149"/>
      <c r="I100" s="151"/>
      <c r="J100" s="149">
        <f t="shared" si="91"/>
        <v>0</v>
      </c>
      <c r="K100" s="149" t="str">
        <f t="shared" si="92"/>
        <v/>
      </c>
      <c r="L100" s="152" t="str">
        <f t="shared" si="93"/>
        <v>#DIV/0!</v>
      </c>
      <c r="M100" s="308"/>
      <c r="N100" s="340">
        <f t="shared" si="94"/>
        <v>0</v>
      </c>
    </row>
    <row r="101">
      <c r="A101" s="62"/>
      <c r="B101" s="63"/>
      <c r="C101" s="62"/>
      <c r="D101" s="64" t="s">
        <v>19</v>
      </c>
      <c r="E101" s="64">
        <f t="shared" ref="E101:F101" si="95">sum(E87:E100)</f>
        <v>9697</v>
      </c>
      <c r="F101" s="64">
        <f t="shared" si="95"/>
        <v>1194</v>
      </c>
      <c r="G101" s="65" t="str">
        <f>average(G87:G100)</f>
        <v>#DIV/0!</v>
      </c>
      <c r="H101" s="62"/>
      <c r="I101" s="66"/>
      <c r="J101" s="64">
        <f t="shared" ref="J101:K101" si="96">sum(J87:J100)</f>
        <v>11955</v>
      </c>
      <c r="K101" s="64">
        <f t="shared" si="96"/>
        <v>1194</v>
      </c>
      <c r="L101" s="65" t="str">
        <f>average(L87:L100)</f>
        <v>#DIV/0!</v>
      </c>
      <c r="M101" s="68"/>
      <c r="N101" s="341">
        <f>sum(N94:N100)</f>
        <v>6232190</v>
      </c>
    </row>
    <row r="102">
      <c r="A102" s="70">
        <v>45841.0</v>
      </c>
      <c r="B102" s="156" t="s">
        <v>40</v>
      </c>
      <c r="C102" s="89">
        <v>98283.0</v>
      </c>
      <c r="D102" s="13">
        <v>98958.0</v>
      </c>
      <c r="E102" s="38">
        <f t="shared" ref="E102:E108" si="97">D102-C102</f>
        <v>675</v>
      </c>
      <c r="F102" s="39">
        <v>73.0</v>
      </c>
      <c r="G102" s="14">
        <f t="shared" ref="G102:G108" si="98">(F102/E102)*100</f>
        <v>10.81481481</v>
      </c>
      <c r="H102" s="137"/>
      <c r="I102" s="138"/>
      <c r="J102" s="41">
        <f t="shared" ref="J102:J108" si="99">I102-H102</f>
        <v>0</v>
      </c>
      <c r="K102" s="41">
        <f t="shared" ref="K102:K108" si="100">F102</f>
        <v>73</v>
      </c>
      <c r="L102" s="152" t="str">
        <f t="shared" ref="L102:L108" si="101">(K102/J102)*100</f>
        <v>#DIV/0!</v>
      </c>
      <c r="M102" s="72">
        <v>18400.0</v>
      </c>
      <c r="N102" s="336">
        <f t="shared" ref="N102:N108" si="102">F102*M102</f>
        <v>1343200</v>
      </c>
    </row>
    <row r="103">
      <c r="A103" s="154">
        <v>45850.0</v>
      </c>
      <c r="B103" s="156" t="s">
        <v>40</v>
      </c>
      <c r="C103" s="89">
        <v>98958.0</v>
      </c>
      <c r="D103" s="89">
        <v>99636.0</v>
      </c>
      <c r="E103" s="12">
        <f t="shared" si="97"/>
        <v>678</v>
      </c>
      <c r="F103" s="157">
        <v>80.0</v>
      </c>
      <c r="G103" s="14">
        <f t="shared" si="98"/>
        <v>11.79941003</v>
      </c>
      <c r="H103" s="89"/>
      <c r="I103" s="137">
        <v>95972.0</v>
      </c>
      <c r="J103" s="89">
        <f t="shared" si="99"/>
        <v>95972</v>
      </c>
      <c r="K103" s="41">
        <f t="shared" si="100"/>
        <v>80</v>
      </c>
      <c r="L103" s="152">
        <f t="shared" si="101"/>
        <v>0.08335764598</v>
      </c>
      <c r="M103" s="126">
        <v>18830.0</v>
      </c>
      <c r="N103" s="338">
        <f t="shared" si="102"/>
        <v>1506400</v>
      </c>
    </row>
    <row r="104">
      <c r="A104" s="154">
        <v>45856.0</v>
      </c>
      <c r="B104" s="156" t="s">
        <v>40</v>
      </c>
      <c r="C104" s="89">
        <v>99636.0</v>
      </c>
      <c r="D104" s="89">
        <v>100261.0</v>
      </c>
      <c r="E104" s="12">
        <f t="shared" si="97"/>
        <v>625</v>
      </c>
      <c r="F104" s="157">
        <v>70.0</v>
      </c>
      <c r="G104" s="14">
        <f t="shared" si="98"/>
        <v>11.2</v>
      </c>
      <c r="H104" s="89"/>
      <c r="I104" s="137"/>
      <c r="J104" s="89">
        <f t="shared" si="99"/>
        <v>0</v>
      </c>
      <c r="K104" s="41">
        <f t="shared" si="100"/>
        <v>70</v>
      </c>
      <c r="L104" s="152" t="str">
        <f t="shared" si="101"/>
        <v>#DIV/0!</v>
      </c>
      <c r="M104" s="126">
        <v>18790.0</v>
      </c>
      <c r="N104" s="339">
        <f t="shared" si="102"/>
        <v>1315300</v>
      </c>
    </row>
    <row r="105">
      <c r="A105" s="154">
        <v>45862.0</v>
      </c>
      <c r="B105" s="156" t="s">
        <v>40</v>
      </c>
      <c r="C105" s="89">
        <v>100261.0</v>
      </c>
      <c r="D105" s="89">
        <v>100866.0</v>
      </c>
      <c r="E105" s="12">
        <f t="shared" si="97"/>
        <v>605</v>
      </c>
      <c r="F105" s="157">
        <v>68.0</v>
      </c>
      <c r="G105" s="14">
        <f t="shared" si="98"/>
        <v>11.23966942</v>
      </c>
      <c r="H105" s="89"/>
      <c r="I105" s="137"/>
      <c r="J105" s="89">
        <f t="shared" si="99"/>
        <v>0</v>
      </c>
      <c r="K105" s="41">
        <f t="shared" si="100"/>
        <v>68</v>
      </c>
      <c r="L105" s="152" t="str">
        <f t="shared" si="101"/>
        <v>#DIV/0!</v>
      </c>
      <c r="M105" s="126">
        <v>19120.0</v>
      </c>
      <c r="N105" s="339">
        <f t="shared" si="102"/>
        <v>1300160</v>
      </c>
    </row>
    <row r="106">
      <c r="A106" s="332">
        <v>45868.0</v>
      </c>
      <c r="B106" s="156" t="s">
        <v>40</v>
      </c>
      <c r="C106" s="89">
        <v>100866.0</v>
      </c>
      <c r="D106" s="89">
        <v>101527.0</v>
      </c>
      <c r="E106" s="12">
        <f t="shared" si="97"/>
        <v>661</v>
      </c>
      <c r="F106" s="157">
        <v>76.0</v>
      </c>
      <c r="G106" s="14">
        <f t="shared" si="98"/>
        <v>11.49773071</v>
      </c>
      <c r="H106" s="89"/>
      <c r="I106" s="137"/>
      <c r="J106" s="89">
        <f t="shared" si="99"/>
        <v>0</v>
      </c>
      <c r="K106" s="41">
        <f t="shared" si="100"/>
        <v>76</v>
      </c>
      <c r="L106" s="152" t="str">
        <f t="shared" si="101"/>
        <v>#DIV/0!</v>
      </c>
      <c r="M106" s="126">
        <v>19120.0</v>
      </c>
      <c r="N106" s="339">
        <f t="shared" si="102"/>
        <v>1453120</v>
      </c>
    </row>
    <row r="107">
      <c r="A107" s="332"/>
      <c r="B107" s="123"/>
      <c r="C107" s="89"/>
      <c r="D107" s="158"/>
      <c r="E107" s="12">
        <f t="shared" si="97"/>
        <v>0</v>
      </c>
      <c r="F107" s="321"/>
      <c r="G107" s="14" t="str">
        <f t="shared" si="98"/>
        <v>#DIV/0!</v>
      </c>
      <c r="H107" s="89"/>
      <c r="I107" s="137"/>
      <c r="J107" s="89">
        <f t="shared" si="99"/>
        <v>0</v>
      </c>
      <c r="K107" s="41" t="str">
        <f t="shared" si="100"/>
        <v/>
      </c>
      <c r="L107" s="152" t="str">
        <f t="shared" si="101"/>
        <v>#DIV/0!</v>
      </c>
      <c r="M107" s="322"/>
      <c r="N107" s="342">
        <f t="shared" si="102"/>
        <v>0</v>
      </c>
    </row>
    <row r="108">
      <c r="A108" s="305"/>
      <c r="B108" s="323"/>
      <c r="C108" s="149"/>
      <c r="D108" s="150"/>
      <c r="E108" s="25">
        <f t="shared" si="97"/>
        <v>0</v>
      </c>
      <c r="F108" s="307"/>
      <c r="G108" s="56" t="str">
        <f t="shared" si="98"/>
        <v>#DIV/0!</v>
      </c>
      <c r="H108" s="149"/>
      <c r="I108" s="151"/>
      <c r="J108" s="149">
        <f t="shared" si="99"/>
        <v>0</v>
      </c>
      <c r="K108" s="149" t="str">
        <f t="shared" si="100"/>
        <v/>
      </c>
      <c r="L108" s="152" t="str">
        <f t="shared" si="101"/>
        <v>#DIV/0!</v>
      </c>
      <c r="M108" s="308"/>
      <c r="N108" s="340">
        <f t="shared" si="102"/>
        <v>0</v>
      </c>
    </row>
    <row r="109">
      <c r="A109" s="62"/>
      <c r="B109" s="63"/>
      <c r="C109" s="62"/>
      <c r="D109" s="64" t="s">
        <v>19</v>
      </c>
      <c r="E109" s="64">
        <f t="shared" ref="E109:F109" si="103">sum(E102:E108)</f>
        <v>3244</v>
      </c>
      <c r="F109" s="64">
        <f t="shared" si="103"/>
        <v>367</v>
      </c>
      <c r="G109" s="65" t="str">
        <f>average(G102:G108)</f>
        <v>#DIV/0!</v>
      </c>
      <c r="H109" s="62"/>
      <c r="I109" s="66"/>
      <c r="J109" s="64">
        <f t="shared" ref="J109:K109" si="104">sum(J102:J108)</f>
        <v>95972</v>
      </c>
      <c r="K109" s="64">
        <f t="shared" si="104"/>
        <v>367</v>
      </c>
      <c r="L109" s="65" t="str">
        <f>average(L102:L108)</f>
        <v>#DIV/0!</v>
      </c>
      <c r="M109" s="68"/>
      <c r="N109" s="341">
        <f>sum(N102:N108)</f>
        <v>6918180</v>
      </c>
    </row>
    <row r="110">
      <c r="A110" s="70">
        <v>45842.0</v>
      </c>
      <c r="B110" s="156" t="s">
        <v>41</v>
      </c>
      <c r="C110" s="89">
        <v>156714.0</v>
      </c>
      <c r="D110" s="13">
        <v>157338.0</v>
      </c>
      <c r="E110" s="38">
        <f t="shared" ref="E110:E116" si="105">D110-C110</f>
        <v>624</v>
      </c>
      <c r="F110" s="39">
        <v>71.0</v>
      </c>
      <c r="G110" s="14">
        <f t="shared" ref="G110:G116" si="106">(F110/E110)*100</f>
        <v>11.37820513</v>
      </c>
      <c r="H110" s="137"/>
      <c r="I110" s="138"/>
      <c r="J110" s="41">
        <f t="shared" ref="J110:J116" si="107">I110-H110</f>
        <v>0</v>
      </c>
      <c r="K110" s="41">
        <f t="shared" ref="K110:K116" si="108">F110</f>
        <v>71</v>
      </c>
      <c r="L110" s="152" t="str">
        <f t="shared" ref="L110:L116" si="109">(K110/J110)*100</f>
        <v>#DIV/0!</v>
      </c>
      <c r="M110" s="72">
        <v>18400.0</v>
      </c>
      <c r="N110" s="336">
        <f t="shared" ref="N110:N116" si="110">F110*M110</f>
        <v>1306400</v>
      </c>
    </row>
    <row r="111">
      <c r="A111" s="154">
        <v>45849.0</v>
      </c>
      <c r="B111" s="156" t="s">
        <v>41</v>
      </c>
      <c r="C111" s="13">
        <v>157338.0</v>
      </c>
      <c r="D111" s="89">
        <v>157897.0</v>
      </c>
      <c r="E111" s="12">
        <f t="shared" si="105"/>
        <v>559</v>
      </c>
      <c r="F111" s="157">
        <v>75.0</v>
      </c>
      <c r="G111" s="14">
        <f t="shared" si="106"/>
        <v>13.41681574</v>
      </c>
      <c r="H111" s="89"/>
      <c r="I111" s="137"/>
      <c r="J111" s="89">
        <f t="shared" si="107"/>
        <v>0</v>
      </c>
      <c r="K111" s="41">
        <f t="shared" si="108"/>
        <v>75</v>
      </c>
      <c r="L111" s="152" t="str">
        <f t="shared" si="109"/>
        <v>#DIV/0!</v>
      </c>
      <c r="M111" s="126">
        <v>18830.0</v>
      </c>
      <c r="N111" s="338">
        <f t="shared" si="110"/>
        <v>1412250</v>
      </c>
    </row>
    <row r="112">
      <c r="A112" s="154">
        <v>45860.0</v>
      </c>
      <c r="B112" s="156" t="s">
        <v>41</v>
      </c>
      <c r="C112" s="89">
        <v>157897.0</v>
      </c>
      <c r="D112" s="89">
        <v>158529.0</v>
      </c>
      <c r="E112" s="12">
        <f t="shared" si="105"/>
        <v>632</v>
      </c>
      <c r="F112" s="157">
        <v>77.0</v>
      </c>
      <c r="G112" s="14">
        <f t="shared" si="106"/>
        <v>12.1835443</v>
      </c>
      <c r="H112" s="89"/>
      <c r="I112" s="137"/>
      <c r="J112" s="89">
        <f t="shared" si="107"/>
        <v>0</v>
      </c>
      <c r="K112" s="41">
        <f t="shared" si="108"/>
        <v>77</v>
      </c>
      <c r="L112" s="152" t="str">
        <f t="shared" si="109"/>
        <v>#DIV/0!</v>
      </c>
      <c r="M112" s="126">
        <v>18790.0</v>
      </c>
      <c r="N112" s="339">
        <f t="shared" si="110"/>
        <v>1446830</v>
      </c>
    </row>
    <row r="113">
      <c r="A113" s="154">
        <v>45867.0</v>
      </c>
      <c r="B113" s="156" t="s">
        <v>41</v>
      </c>
      <c r="C113" s="89">
        <v>158529.0</v>
      </c>
      <c r="D113" s="89">
        <v>159157.0</v>
      </c>
      <c r="E113" s="12">
        <f t="shared" si="105"/>
        <v>628</v>
      </c>
      <c r="F113" s="157">
        <v>72.0</v>
      </c>
      <c r="G113" s="14">
        <f t="shared" si="106"/>
        <v>11.46496815</v>
      </c>
      <c r="H113" s="89"/>
      <c r="I113" s="137"/>
      <c r="J113" s="89">
        <f t="shared" si="107"/>
        <v>0</v>
      </c>
      <c r="K113" s="41">
        <f t="shared" si="108"/>
        <v>72</v>
      </c>
      <c r="L113" s="152" t="str">
        <f t="shared" si="109"/>
        <v>#DIV/0!</v>
      </c>
      <c r="M113" s="126">
        <v>19120.0</v>
      </c>
      <c r="N113" s="339">
        <f t="shared" si="110"/>
        <v>1376640</v>
      </c>
    </row>
    <row r="114">
      <c r="A114" s="332"/>
      <c r="B114" s="156" t="s">
        <v>41</v>
      </c>
      <c r="C114" s="89"/>
      <c r="D114" s="89"/>
      <c r="E114" s="12">
        <f t="shared" si="105"/>
        <v>0</v>
      </c>
      <c r="F114" s="157"/>
      <c r="G114" s="14" t="str">
        <f t="shared" si="106"/>
        <v>#DIV/0!</v>
      </c>
      <c r="H114" s="89"/>
      <c r="I114" s="137"/>
      <c r="J114" s="89">
        <f t="shared" si="107"/>
        <v>0</v>
      </c>
      <c r="K114" s="41" t="str">
        <f t="shared" si="108"/>
        <v/>
      </c>
      <c r="L114" s="152" t="str">
        <f t="shared" si="109"/>
        <v>#DIV/0!</v>
      </c>
      <c r="M114" s="126"/>
      <c r="N114" s="339">
        <f t="shared" si="110"/>
        <v>0</v>
      </c>
    </row>
    <row r="115">
      <c r="A115" s="332"/>
      <c r="B115" s="156" t="s">
        <v>41</v>
      </c>
      <c r="C115" s="89"/>
      <c r="D115" s="158"/>
      <c r="E115" s="12">
        <f t="shared" si="105"/>
        <v>0</v>
      </c>
      <c r="F115" s="321"/>
      <c r="G115" s="14" t="str">
        <f t="shared" si="106"/>
        <v>#DIV/0!</v>
      </c>
      <c r="H115" s="89"/>
      <c r="I115" s="137"/>
      <c r="J115" s="89">
        <f t="shared" si="107"/>
        <v>0</v>
      </c>
      <c r="K115" s="41" t="str">
        <f t="shared" si="108"/>
        <v/>
      </c>
      <c r="L115" s="152" t="str">
        <f t="shared" si="109"/>
        <v>#DIV/0!</v>
      </c>
      <c r="M115" s="322"/>
      <c r="N115" s="342">
        <f t="shared" si="110"/>
        <v>0</v>
      </c>
    </row>
    <row r="116">
      <c r="A116" s="305"/>
      <c r="B116" s="323"/>
      <c r="C116" s="149"/>
      <c r="D116" s="150"/>
      <c r="E116" s="25">
        <f t="shared" si="105"/>
        <v>0</v>
      </c>
      <c r="F116" s="307"/>
      <c r="G116" s="56" t="str">
        <f t="shared" si="106"/>
        <v>#DIV/0!</v>
      </c>
      <c r="H116" s="149"/>
      <c r="I116" s="151"/>
      <c r="J116" s="149">
        <f t="shared" si="107"/>
        <v>0</v>
      </c>
      <c r="K116" s="41" t="str">
        <f t="shared" si="108"/>
        <v/>
      </c>
      <c r="L116" s="152" t="str">
        <f t="shared" si="109"/>
        <v>#DIV/0!</v>
      </c>
      <c r="M116" s="308"/>
      <c r="N116" s="340">
        <f t="shared" si="110"/>
        <v>0</v>
      </c>
    </row>
    <row r="117">
      <c r="A117" s="62"/>
      <c r="B117" s="63"/>
      <c r="C117" s="62"/>
      <c r="D117" s="64" t="s">
        <v>19</v>
      </c>
      <c r="E117" s="64">
        <f t="shared" ref="E117:F117" si="111">sum(E110:E116)</f>
        <v>2443</v>
      </c>
      <c r="F117" s="64">
        <f t="shared" si="111"/>
        <v>295</v>
      </c>
      <c r="G117" s="65" t="str">
        <f>average(G110:G116)</f>
        <v>#DIV/0!</v>
      </c>
      <c r="H117" s="62"/>
      <c r="I117" s="66"/>
      <c r="J117" s="64">
        <f t="shared" ref="J117:K117" si="112">sum(J110:J116)</f>
        <v>0</v>
      </c>
      <c r="K117" s="64">
        <f t="shared" si="112"/>
        <v>295</v>
      </c>
      <c r="L117" s="65" t="str">
        <f>average(L110:L116)</f>
        <v>#DIV/0!</v>
      </c>
      <c r="M117" s="68"/>
      <c r="N117" s="341">
        <f>sum(N110:N116)</f>
        <v>5542120</v>
      </c>
    </row>
    <row r="118">
      <c r="A118" s="70">
        <v>45840.0</v>
      </c>
      <c r="B118" s="156" t="s">
        <v>27</v>
      </c>
      <c r="C118" s="89"/>
      <c r="D118" s="13"/>
      <c r="E118" s="38">
        <f t="shared" ref="E118:E125" si="113">D118-C118</f>
        <v>0</v>
      </c>
      <c r="F118" s="39">
        <v>66.0</v>
      </c>
      <c r="G118" s="14" t="str">
        <f t="shared" ref="G118:G125" si="114">(F118/E118)*100</f>
        <v>#DIV/0!</v>
      </c>
      <c r="H118" s="137"/>
      <c r="I118" s="138"/>
      <c r="J118" s="41">
        <f t="shared" ref="J118:J125" si="115">I118-H118</f>
        <v>0</v>
      </c>
      <c r="K118" s="41">
        <f t="shared" ref="K118:K124" si="116">F118</f>
        <v>66</v>
      </c>
      <c r="L118" s="152" t="str">
        <f t="shared" ref="L118:L125" si="117">(K118/J118)*100</f>
        <v>#DIV/0!</v>
      </c>
      <c r="M118" s="72">
        <v>19340.0</v>
      </c>
      <c r="N118" s="336">
        <f t="shared" ref="N118:N124" si="118">F118*M118</f>
        <v>1276440</v>
      </c>
    </row>
    <row r="119">
      <c r="A119" s="70">
        <v>45845.0</v>
      </c>
      <c r="B119" s="156" t="s">
        <v>27</v>
      </c>
      <c r="C119" s="89"/>
      <c r="D119" s="13"/>
      <c r="E119" s="38">
        <f t="shared" si="113"/>
        <v>0</v>
      </c>
      <c r="F119" s="47">
        <v>65.0</v>
      </c>
      <c r="G119" s="14" t="str">
        <f t="shared" si="114"/>
        <v>#DIV/0!</v>
      </c>
      <c r="H119" s="40"/>
      <c r="I119" s="40"/>
      <c r="J119" s="37">
        <f t="shared" si="115"/>
        <v>0</v>
      </c>
      <c r="K119" s="41">
        <f t="shared" si="116"/>
        <v>65</v>
      </c>
      <c r="L119" s="152" t="str">
        <f t="shared" si="117"/>
        <v>#DIV/0!</v>
      </c>
      <c r="M119" s="126">
        <v>18400.0</v>
      </c>
      <c r="N119" s="363">
        <f t="shared" si="118"/>
        <v>1196000</v>
      </c>
    </row>
    <row r="120">
      <c r="A120" s="154">
        <v>45848.0</v>
      </c>
      <c r="B120" s="156" t="s">
        <v>27</v>
      </c>
      <c r="C120" s="89"/>
      <c r="D120" s="89"/>
      <c r="E120" s="12">
        <f t="shared" si="113"/>
        <v>0</v>
      </c>
      <c r="F120" s="47">
        <v>66.0</v>
      </c>
      <c r="G120" s="14" t="str">
        <f t="shared" si="114"/>
        <v>#DIV/0!</v>
      </c>
      <c r="H120" s="37"/>
      <c r="I120" s="40"/>
      <c r="J120" s="37">
        <f t="shared" si="115"/>
        <v>0</v>
      </c>
      <c r="K120" s="41">
        <f t="shared" si="116"/>
        <v>66</v>
      </c>
      <c r="L120" s="152" t="str">
        <f t="shared" si="117"/>
        <v>#DIV/0!</v>
      </c>
      <c r="M120" s="126">
        <v>18400.0</v>
      </c>
      <c r="N120" s="363">
        <f t="shared" si="118"/>
        <v>1214400</v>
      </c>
    </row>
    <row r="121">
      <c r="A121" s="154">
        <v>45853.0</v>
      </c>
      <c r="B121" s="156" t="s">
        <v>27</v>
      </c>
      <c r="C121" s="89"/>
      <c r="D121" s="89"/>
      <c r="E121" s="12">
        <f t="shared" si="113"/>
        <v>0</v>
      </c>
      <c r="F121" s="47">
        <v>66.0</v>
      </c>
      <c r="G121" s="14" t="str">
        <f t="shared" si="114"/>
        <v>#DIV/0!</v>
      </c>
      <c r="H121" s="37"/>
      <c r="I121" s="40"/>
      <c r="J121" s="37">
        <f t="shared" si="115"/>
        <v>0</v>
      </c>
      <c r="K121" s="41">
        <f t="shared" si="116"/>
        <v>66</v>
      </c>
      <c r="L121" s="152" t="str">
        <f t="shared" si="117"/>
        <v>#DIV/0!</v>
      </c>
      <c r="M121" s="126">
        <v>18830.0</v>
      </c>
      <c r="N121" s="363">
        <f t="shared" si="118"/>
        <v>1242780</v>
      </c>
    </row>
    <row r="122">
      <c r="A122" s="154">
        <v>45858.0</v>
      </c>
      <c r="B122" s="156" t="s">
        <v>27</v>
      </c>
      <c r="C122" s="89"/>
      <c r="D122" s="89"/>
      <c r="E122" s="12">
        <f t="shared" si="113"/>
        <v>0</v>
      </c>
      <c r="F122" s="47">
        <v>64.0</v>
      </c>
      <c r="G122" s="14" t="str">
        <f t="shared" si="114"/>
        <v>#DIV/0!</v>
      </c>
      <c r="H122" s="37"/>
      <c r="I122" s="40"/>
      <c r="J122" s="37">
        <f t="shared" si="115"/>
        <v>0</v>
      </c>
      <c r="K122" s="41">
        <f t="shared" si="116"/>
        <v>64</v>
      </c>
      <c r="L122" s="152" t="str">
        <f t="shared" si="117"/>
        <v>#DIV/0!</v>
      </c>
      <c r="M122" s="126">
        <v>18790.0</v>
      </c>
      <c r="N122" s="363">
        <f t="shared" si="118"/>
        <v>1202560</v>
      </c>
    </row>
    <row r="123">
      <c r="A123" s="154">
        <v>45861.0</v>
      </c>
      <c r="B123" s="156" t="s">
        <v>27</v>
      </c>
      <c r="C123" s="89"/>
      <c r="D123" s="158"/>
      <c r="E123" s="12">
        <f t="shared" si="113"/>
        <v>0</v>
      </c>
      <c r="F123" s="47">
        <v>58.0</v>
      </c>
      <c r="G123" s="14" t="str">
        <f t="shared" si="114"/>
        <v>#DIV/0!</v>
      </c>
      <c r="H123" s="37"/>
      <c r="I123" s="93"/>
      <c r="J123" s="37">
        <f t="shared" si="115"/>
        <v>0</v>
      </c>
      <c r="K123" s="41">
        <f t="shared" si="116"/>
        <v>58</v>
      </c>
      <c r="L123" s="152" t="str">
        <f t="shared" si="117"/>
        <v>#DIV/0!</v>
      </c>
      <c r="M123" s="126">
        <v>18790.0</v>
      </c>
      <c r="N123" s="363">
        <f t="shared" si="118"/>
        <v>1089820</v>
      </c>
    </row>
    <row r="124">
      <c r="A124" s="154">
        <v>45864.0</v>
      </c>
      <c r="B124" s="156" t="s">
        <v>27</v>
      </c>
      <c r="C124" s="89"/>
      <c r="D124" s="158"/>
      <c r="E124" s="12">
        <f t="shared" si="113"/>
        <v>0</v>
      </c>
      <c r="F124" s="157">
        <v>60.0</v>
      </c>
      <c r="G124" s="14" t="str">
        <f t="shared" si="114"/>
        <v>#DIV/0!</v>
      </c>
      <c r="H124" s="89"/>
      <c r="I124" s="159"/>
      <c r="J124" s="89">
        <f t="shared" si="115"/>
        <v>0</v>
      </c>
      <c r="K124" s="41">
        <f t="shared" si="116"/>
        <v>60</v>
      </c>
      <c r="L124" s="152" t="str">
        <f t="shared" si="117"/>
        <v>#DIV/0!</v>
      </c>
      <c r="M124" s="126">
        <v>19120.0</v>
      </c>
      <c r="N124" s="363">
        <f t="shared" si="118"/>
        <v>1147200</v>
      </c>
    </row>
    <row r="125">
      <c r="A125" s="333" t="s">
        <v>95</v>
      </c>
      <c r="B125" s="156" t="s">
        <v>27</v>
      </c>
      <c r="C125" s="149"/>
      <c r="D125" s="150"/>
      <c r="E125" s="25">
        <f t="shared" si="113"/>
        <v>0</v>
      </c>
      <c r="F125" s="161">
        <v>62.0</v>
      </c>
      <c r="G125" s="56" t="str">
        <f t="shared" si="114"/>
        <v>#DIV/0!</v>
      </c>
      <c r="H125" s="149"/>
      <c r="I125" s="151"/>
      <c r="J125" s="149">
        <f t="shared" si="115"/>
        <v>0</v>
      </c>
      <c r="K125" s="149">
        <v>62.0</v>
      </c>
      <c r="L125" s="152" t="str">
        <f t="shared" si="117"/>
        <v>#DIV/0!</v>
      </c>
      <c r="M125" s="153">
        <v>19120.0</v>
      </c>
      <c r="N125" s="363">
        <f>M125*K125</f>
        <v>1185440</v>
      </c>
    </row>
    <row r="126">
      <c r="A126" s="62"/>
      <c r="B126" s="63"/>
      <c r="C126" s="62"/>
      <c r="D126" s="64" t="s">
        <v>19</v>
      </c>
      <c r="E126" s="64">
        <f t="shared" ref="E126:F126" si="119">sum(E118:E125)</f>
        <v>0</v>
      </c>
      <c r="F126" s="64">
        <f t="shared" si="119"/>
        <v>507</v>
      </c>
      <c r="G126" s="65" t="str">
        <f>average(G118:G125)</f>
        <v>#DIV/0!</v>
      </c>
      <c r="H126" s="62"/>
      <c r="I126" s="66"/>
      <c r="J126" s="64">
        <f t="shared" ref="J126:K126" si="120">sum(J118:J125)</f>
        <v>0</v>
      </c>
      <c r="K126" s="64">
        <f t="shared" si="120"/>
        <v>507</v>
      </c>
      <c r="L126" s="65" t="str">
        <f>average(L118:L125)</f>
        <v>#DIV/0!</v>
      </c>
      <c r="M126" s="68"/>
      <c r="N126" s="364">
        <f>sum(N118:N125)</f>
        <v>9554640</v>
      </c>
    </row>
    <row r="127">
      <c r="A127" s="70">
        <v>45842.0</v>
      </c>
      <c r="B127" s="156" t="s">
        <v>80</v>
      </c>
      <c r="C127" s="89"/>
      <c r="D127" s="13"/>
      <c r="E127" s="38">
        <f t="shared" ref="E127:E134" si="121">D127-C127</f>
        <v>0</v>
      </c>
      <c r="F127" s="39">
        <v>70.0</v>
      </c>
      <c r="G127" s="14" t="str">
        <f t="shared" ref="G127:G134" si="122">(F127/E127)*100</f>
        <v>#DIV/0!</v>
      </c>
      <c r="H127" s="137"/>
      <c r="I127" s="138"/>
      <c r="J127" s="41">
        <f t="shared" ref="J127:J134" si="123">I127-H127</f>
        <v>0</v>
      </c>
      <c r="K127" s="41">
        <f t="shared" ref="K127:K133" si="124">F127</f>
        <v>70</v>
      </c>
      <c r="L127" s="152" t="str">
        <f t="shared" ref="L127:L134" si="125">(K127/J127)*100</f>
        <v>#DIV/0!</v>
      </c>
      <c r="M127" s="72">
        <v>18400.0</v>
      </c>
      <c r="N127" s="363">
        <f t="shared" ref="N127:N133" si="126">F127*M127</f>
        <v>1288000</v>
      </c>
    </row>
    <row r="128">
      <c r="A128" s="70">
        <v>45847.0</v>
      </c>
      <c r="B128" s="156" t="s">
        <v>80</v>
      </c>
      <c r="C128" s="89"/>
      <c r="D128" s="13"/>
      <c r="E128" s="38">
        <f t="shared" si="121"/>
        <v>0</v>
      </c>
      <c r="F128" s="47">
        <v>70.0</v>
      </c>
      <c r="G128" s="14" t="str">
        <f t="shared" si="122"/>
        <v>#DIV/0!</v>
      </c>
      <c r="H128" s="40"/>
      <c r="I128" s="40"/>
      <c r="J128" s="37">
        <f t="shared" si="123"/>
        <v>0</v>
      </c>
      <c r="K128" s="41">
        <f t="shared" si="124"/>
        <v>70</v>
      </c>
      <c r="L128" s="152" t="str">
        <f t="shared" si="125"/>
        <v>#DIV/0!</v>
      </c>
      <c r="M128" s="126">
        <v>18400.0</v>
      </c>
      <c r="N128" s="363">
        <f t="shared" si="126"/>
        <v>1288000</v>
      </c>
    </row>
    <row r="129">
      <c r="A129" s="154">
        <v>45852.0</v>
      </c>
      <c r="B129" s="156" t="s">
        <v>80</v>
      </c>
      <c r="C129" s="89"/>
      <c r="D129" s="89"/>
      <c r="E129" s="12">
        <f t="shared" si="121"/>
        <v>0</v>
      </c>
      <c r="F129" s="157">
        <v>70.0</v>
      </c>
      <c r="G129" s="14" t="str">
        <f t="shared" si="122"/>
        <v>#DIV/0!</v>
      </c>
      <c r="H129" s="37"/>
      <c r="I129" s="40"/>
      <c r="J129" s="37">
        <f t="shared" si="123"/>
        <v>0</v>
      </c>
      <c r="K129" s="41">
        <f t="shared" si="124"/>
        <v>70</v>
      </c>
      <c r="L129" s="152" t="str">
        <f t="shared" si="125"/>
        <v>#DIV/0!</v>
      </c>
      <c r="M129" s="126">
        <v>18830.0</v>
      </c>
      <c r="N129" s="363">
        <f t="shared" si="126"/>
        <v>1318100</v>
      </c>
    </row>
    <row r="130">
      <c r="A130" s="154">
        <v>45867.0</v>
      </c>
      <c r="B130" s="156" t="s">
        <v>80</v>
      </c>
      <c r="C130" s="89"/>
      <c r="D130" s="89"/>
      <c r="E130" s="12">
        <f t="shared" si="121"/>
        <v>0</v>
      </c>
      <c r="F130" s="157">
        <v>70.0</v>
      </c>
      <c r="G130" s="14" t="str">
        <f t="shared" si="122"/>
        <v>#DIV/0!</v>
      </c>
      <c r="H130" s="37"/>
      <c r="I130" s="40"/>
      <c r="J130" s="37">
        <f t="shared" si="123"/>
        <v>0</v>
      </c>
      <c r="K130" s="41">
        <f t="shared" si="124"/>
        <v>70</v>
      </c>
      <c r="L130" s="152" t="str">
        <f t="shared" si="125"/>
        <v>#DIV/0!</v>
      </c>
      <c r="M130" s="126">
        <v>19120.0</v>
      </c>
      <c r="N130" s="363">
        <f t="shared" si="126"/>
        <v>1338400</v>
      </c>
    </row>
    <row r="131">
      <c r="A131" s="154"/>
      <c r="B131" s="156" t="s">
        <v>80</v>
      </c>
      <c r="C131" s="89"/>
      <c r="D131" s="89"/>
      <c r="E131" s="12">
        <f t="shared" si="121"/>
        <v>0</v>
      </c>
      <c r="F131" s="157"/>
      <c r="G131" s="14" t="str">
        <f t="shared" si="122"/>
        <v>#DIV/0!</v>
      </c>
      <c r="H131" s="37"/>
      <c r="I131" s="40"/>
      <c r="J131" s="37">
        <f t="shared" si="123"/>
        <v>0</v>
      </c>
      <c r="K131" s="41" t="str">
        <f t="shared" si="124"/>
        <v/>
      </c>
      <c r="L131" s="152" t="str">
        <f t="shared" si="125"/>
        <v>#DIV/0!</v>
      </c>
      <c r="M131" s="126"/>
      <c r="N131" s="363">
        <f t="shared" si="126"/>
        <v>0</v>
      </c>
    </row>
    <row r="132">
      <c r="A132" s="154"/>
      <c r="B132" s="156" t="s">
        <v>80</v>
      </c>
      <c r="C132" s="89"/>
      <c r="D132" s="158"/>
      <c r="E132" s="12">
        <f t="shared" si="121"/>
        <v>0</v>
      </c>
      <c r="F132" s="157"/>
      <c r="G132" s="14" t="str">
        <f t="shared" si="122"/>
        <v>#DIV/0!</v>
      </c>
      <c r="H132" s="37"/>
      <c r="I132" s="93"/>
      <c r="J132" s="37">
        <f t="shared" si="123"/>
        <v>0</v>
      </c>
      <c r="K132" s="41" t="str">
        <f t="shared" si="124"/>
        <v/>
      </c>
      <c r="L132" s="152" t="str">
        <f t="shared" si="125"/>
        <v>#DIV/0!</v>
      </c>
      <c r="M132" s="126"/>
      <c r="N132" s="363">
        <f t="shared" si="126"/>
        <v>0</v>
      </c>
    </row>
    <row r="133">
      <c r="A133" s="154"/>
      <c r="B133" s="156"/>
      <c r="C133" s="89"/>
      <c r="D133" s="158"/>
      <c r="E133" s="12">
        <f t="shared" si="121"/>
        <v>0</v>
      </c>
      <c r="F133" s="157"/>
      <c r="G133" s="14" t="str">
        <f t="shared" si="122"/>
        <v>#DIV/0!</v>
      </c>
      <c r="H133" s="89"/>
      <c r="I133" s="159"/>
      <c r="J133" s="89">
        <f t="shared" si="123"/>
        <v>0</v>
      </c>
      <c r="K133" s="41" t="str">
        <f t="shared" si="124"/>
        <v/>
      </c>
      <c r="L133" s="152" t="str">
        <f t="shared" si="125"/>
        <v>#DIV/0!</v>
      </c>
      <c r="M133" s="126"/>
      <c r="N133" s="363">
        <f t="shared" si="126"/>
        <v>0</v>
      </c>
    </row>
    <row r="134">
      <c r="A134" s="148"/>
      <c r="B134" s="156"/>
      <c r="C134" s="149"/>
      <c r="D134" s="150"/>
      <c r="E134" s="25">
        <f t="shared" si="121"/>
        <v>0</v>
      </c>
      <c r="F134" s="161"/>
      <c r="G134" s="56" t="str">
        <f t="shared" si="122"/>
        <v>#DIV/0!</v>
      </c>
      <c r="H134" s="149"/>
      <c r="I134" s="151"/>
      <c r="J134" s="149">
        <f t="shared" si="123"/>
        <v>0</v>
      </c>
      <c r="K134" s="149"/>
      <c r="L134" s="152" t="str">
        <f t="shared" si="125"/>
        <v>#DIV/0!</v>
      </c>
      <c r="M134" s="153"/>
      <c r="N134" s="363">
        <f>M134*K134</f>
        <v>0</v>
      </c>
    </row>
    <row r="135">
      <c r="A135" s="62"/>
      <c r="B135" s="63"/>
      <c r="C135" s="62"/>
      <c r="D135" s="64" t="s">
        <v>19</v>
      </c>
      <c r="E135" s="64">
        <f t="shared" ref="E135:F135" si="127">sum(E127:E134)</f>
        <v>0</v>
      </c>
      <c r="F135" s="64">
        <f t="shared" si="127"/>
        <v>280</v>
      </c>
      <c r="G135" s="65" t="str">
        <f>average(G127:G134)</f>
        <v>#DIV/0!</v>
      </c>
      <c r="H135" s="62"/>
      <c r="I135" s="66"/>
      <c r="J135" s="64">
        <f t="shared" ref="J135:K135" si="128">sum(J127:J134)</f>
        <v>0</v>
      </c>
      <c r="K135" s="64">
        <f t="shared" si="128"/>
        <v>280</v>
      </c>
      <c r="L135" s="65" t="str">
        <f>average(L127:L134)</f>
        <v>#DIV/0!</v>
      </c>
      <c r="M135" s="68"/>
      <c r="N135" s="364">
        <f>sum(N127:N134)</f>
        <v>5232500</v>
      </c>
    </row>
    <row r="136">
      <c r="A136" s="70">
        <v>45845.0</v>
      </c>
      <c r="B136" s="156" t="s">
        <v>43</v>
      </c>
      <c r="C136" s="89"/>
      <c r="D136" s="13"/>
      <c r="E136" s="38">
        <f t="shared" ref="E136:E143" si="129">D136-C136</f>
        <v>0</v>
      </c>
      <c r="F136" s="39">
        <v>60.0</v>
      </c>
      <c r="G136" s="14" t="str">
        <f t="shared" ref="G136:G143" si="130">(F136/E136)*100</f>
        <v>#DIV/0!</v>
      </c>
      <c r="H136" s="137"/>
      <c r="I136" s="138"/>
      <c r="J136" s="41">
        <f t="shared" ref="J136:J143" si="131">I136-H136</f>
        <v>0</v>
      </c>
      <c r="K136" s="41">
        <f t="shared" ref="K136:K142" si="132">F136</f>
        <v>60</v>
      </c>
      <c r="L136" s="152" t="str">
        <f t="shared" ref="L136:L143" si="133">(K136/J136)*100</f>
        <v>#DIV/0!</v>
      </c>
      <c r="M136" s="72">
        <v>18400.0</v>
      </c>
      <c r="N136" s="363">
        <f t="shared" ref="N136:N142" si="134">F136*M136</f>
        <v>1104000</v>
      </c>
    </row>
    <row r="137">
      <c r="A137" s="70">
        <v>45849.0</v>
      </c>
      <c r="B137" s="156" t="s">
        <v>43</v>
      </c>
      <c r="C137" s="89"/>
      <c r="D137" s="13"/>
      <c r="E137" s="38">
        <f t="shared" si="129"/>
        <v>0</v>
      </c>
      <c r="F137" s="47">
        <v>60.0</v>
      </c>
      <c r="G137" s="14" t="str">
        <f t="shared" si="130"/>
        <v>#DIV/0!</v>
      </c>
      <c r="H137" s="40"/>
      <c r="I137" s="40"/>
      <c r="J137" s="37">
        <f t="shared" si="131"/>
        <v>0</v>
      </c>
      <c r="K137" s="41">
        <f t="shared" si="132"/>
        <v>60</v>
      </c>
      <c r="L137" s="152" t="str">
        <f t="shared" si="133"/>
        <v>#DIV/0!</v>
      </c>
      <c r="M137" s="126">
        <v>18830.0</v>
      </c>
      <c r="N137" s="363">
        <f t="shared" si="134"/>
        <v>1129800</v>
      </c>
    </row>
    <row r="138">
      <c r="A138" s="154">
        <v>45859.0</v>
      </c>
      <c r="B138" s="156" t="s">
        <v>43</v>
      </c>
      <c r="C138" s="89"/>
      <c r="D138" s="89"/>
      <c r="E138" s="12">
        <f t="shared" si="129"/>
        <v>0</v>
      </c>
      <c r="F138" s="157">
        <v>60.0</v>
      </c>
      <c r="G138" s="14" t="str">
        <f t="shared" si="130"/>
        <v>#DIV/0!</v>
      </c>
      <c r="H138" s="37"/>
      <c r="I138" s="40"/>
      <c r="J138" s="37">
        <f t="shared" si="131"/>
        <v>0</v>
      </c>
      <c r="K138" s="41">
        <f t="shared" si="132"/>
        <v>60</v>
      </c>
      <c r="L138" s="152" t="str">
        <f t="shared" si="133"/>
        <v>#DIV/0!</v>
      </c>
      <c r="M138" s="126">
        <v>18790.0</v>
      </c>
      <c r="N138" s="363">
        <f t="shared" si="134"/>
        <v>1127400</v>
      </c>
    </row>
    <row r="139">
      <c r="A139" s="154">
        <v>45863.0</v>
      </c>
      <c r="B139" s="156" t="s">
        <v>43</v>
      </c>
      <c r="C139" s="89"/>
      <c r="D139" s="89"/>
      <c r="E139" s="12">
        <f t="shared" si="129"/>
        <v>0</v>
      </c>
      <c r="F139" s="157">
        <v>60.0</v>
      </c>
      <c r="G139" s="14" t="str">
        <f t="shared" si="130"/>
        <v>#DIV/0!</v>
      </c>
      <c r="H139" s="37"/>
      <c r="I139" s="40"/>
      <c r="J139" s="37">
        <f t="shared" si="131"/>
        <v>0</v>
      </c>
      <c r="K139" s="41">
        <f t="shared" si="132"/>
        <v>60</v>
      </c>
      <c r="L139" s="152" t="str">
        <f t="shared" si="133"/>
        <v>#DIV/0!</v>
      </c>
      <c r="M139" s="126">
        <v>19120.0</v>
      </c>
      <c r="N139" s="363">
        <f t="shared" si="134"/>
        <v>1147200</v>
      </c>
    </row>
    <row r="140">
      <c r="A140" s="154">
        <v>45867.0</v>
      </c>
      <c r="B140" s="156" t="s">
        <v>43</v>
      </c>
      <c r="C140" s="89"/>
      <c r="D140" s="89"/>
      <c r="E140" s="12">
        <f t="shared" si="129"/>
        <v>0</v>
      </c>
      <c r="F140" s="157">
        <v>60.0</v>
      </c>
      <c r="G140" s="14" t="str">
        <f t="shared" si="130"/>
        <v>#DIV/0!</v>
      </c>
      <c r="H140" s="37"/>
      <c r="I140" s="40"/>
      <c r="J140" s="37">
        <f t="shared" si="131"/>
        <v>0</v>
      </c>
      <c r="K140" s="41">
        <f t="shared" si="132"/>
        <v>60</v>
      </c>
      <c r="L140" s="152" t="str">
        <f t="shared" si="133"/>
        <v>#DIV/0!</v>
      </c>
      <c r="M140" s="126">
        <v>19120.0</v>
      </c>
      <c r="N140" s="363">
        <f t="shared" si="134"/>
        <v>1147200</v>
      </c>
    </row>
    <row r="141">
      <c r="A141" s="154"/>
      <c r="B141" s="156" t="s">
        <v>43</v>
      </c>
      <c r="C141" s="89"/>
      <c r="D141" s="158"/>
      <c r="E141" s="12">
        <f t="shared" si="129"/>
        <v>0</v>
      </c>
      <c r="F141" s="157"/>
      <c r="G141" s="14" t="str">
        <f t="shared" si="130"/>
        <v>#DIV/0!</v>
      </c>
      <c r="H141" s="37"/>
      <c r="I141" s="93"/>
      <c r="J141" s="37">
        <f t="shared" si="131"/>
        <v>0</v>
      </c>
      <c r="K141" s="41" t="str">
        <f t="shared" si="132"/>
        <v/>
      </c>
      <c r="L141" s="152" t="str">
        <f t="shared" si="133"/>
        <v>#DIV/0!</v>
      </c>
      <c r="M141" s="126"/>
      <c r="N141" s="363">
        <f t="shared" si="134"/>
        <v>0</v>
      </c>
    </row>
    <row r="142">
      <c r="A142" s="154"/>
      <c r="B142" s="156" t="s">
        <v>43</v>
      </c>
      <c r="C142" s="89"/>
      <c r="D142" s="158"/>
      <c r="E142" s="12">
        <f t="shared" si="129"/>
        <v>0</v>
      </c>
      <c r="F142" s="157"/>
      <c r="G142" s="14" t="str">
        <f t="shared" si="130"/>
        <v>#DIV/0!</v>
      </c>
      <c r="H142" s="89"/>
      <c r="I142" s="159"/>
      <c r="J142" s="89">
        <f t="shared" si="131"/>
        <v>0</v>
      </c>
      <c r="K142" s="41" t="str">
        <f t="shared" si="132"/>
        <v/>
      </c>
      <c r="L142" s="152" t="str">
        <f t="shared" si="133"/>
        <v>#DIV/0!</v>
      </c>
      <c r="M142" s="126"/>
      <c r="N142" s="363">
        <f t="shared" si="134"/>
        <v>0</v>
      </c>
    </row>
    <row r="143">
      <c r="A143" s="148"/>
      <c r="B143" s="156"/>
      <c r="C143" s="149"/>
      <c r="D143" s="150"/>
      <c r="E143" s="25">
        <f t="shared" si="129"/>
        <v>0</v>
      </c>
      <c r="F143" s="161"/>
      <c r="G143" s="56" t="str">
        <f t="shared" si="130"/>
        <v>#DIV/0!</v>
      </c>
      <c r="H143" s="149"/>
      <c r="I143" s="151"/>
      <c r="J143" s="149">
        <f t="shared" si="131"/>
        <v>0</v>
      </c>
      <c r="K143" s="149"/>
      <c r="L143" s="152" t="str">
        <f t="shared" si="133"/>
        <v>#DIV/0!</v>
      </c>
      <c r="M143" s="153"/>
      <c r="N143" s="363">
        <f>M143*K143</f>
        <v>0</v>
      </c>
    </row>
    <row r="144">
      <c r="A144" s="62"/>
      <c r="B144" s="63"/>
      <c r="C144" s="62"/>
      <c r="D144" s="64" t="s">
        <v>19</v>
      </c>
      <c r="E144" s="64">
        <f t="shared" ref="E144:F144" si="135">sum(E136:E143)</f>
        <v>0</v>
      </c>
      <c r="F144" s="64">
        <f t="shared" si="135"/>
        <v>300</v>
      </c>
      <c r="G144" s="65" t="str">
        <f>average(G136:G143)</f>
        <v>#DIV/0!</v>
      </c>
      <c r="H144" s="62"/>
      <c r="I144" s="66"/>
      <c r="J144" s="64">
        <f t="shared" ref="J144:K144" si="136">sum(J136:J143)</f>
        <v>0</v>
      </c>
      <c r="K144" s="64">
        <f t="shared" si="136"/>
        <v>300</v>
      </c>
      <c r="L144" s="65" t="str">
        <f>average(L136:L143)</f>
        <v>#DIV/0!</v>
      </c>
      <c r="M144" s="68"/>
      <c r="N144" s="364">
        <f>sum(N136:N143)</f>
        <v>5655600</v>
      </c>
    </row>
    <row r="145">
      <c r="A145" s="70">
        <v>45843.0</v>
      </c>
      <c r="B145" s="156" t="s">
        <v>30</v>
      </c>
      <c r="C145" s="89"/>
      <c r="D145" s="13"/>
      <c r="E145" s="38">
        <f t="shared" ref="E145:E152" si="137">D145-C145</f>
        <v>0</v>
      </c>
      <c r="F145" s="39">
        <v>81.0</v>
      </c>
      <c r="G145" s="14" t="str">
        <f t="shared" ref="G145:G152" si="138">(F145/E145)*100</f>
        <v>#DIV/0!</v>
      </c>
      <c r="H145" s="137"/>
      <c r="I145" s="138"/>
      <c r="J145" s="41">
        <f t="shared" ref="J145:J152" si="139">I145-H145</f>
        <v>0</v>
      </c>
      <c r="K145" s="41">
        <f t="shared" ref="K145:K151" si="140">F145</f>
        <v>81</v>
      </c>
      <c r="L145" s="152" t="str">
        <f t="shared" ref="L145:L152" si="141">(K145/J145)*100</f>
        <v>#DIV/0!</v>
      </c>
      <c r="M145" s="72">
        <v>18400.0</v>
      </c>
      <c r="N145" s="363">
        <f t="shared" ref="N145:N151" si="142">F145*M145</f>
        <v>1490400</v>
      </c>
    </row>
    <row r="146">
      <c r="A146" s="70">
        <v>45849.0</v>
      </c>
      <c r="B146" s="156" t="s">
        <v>30</v>
      </c>
      <c r="C146" s="89"/>
      <c r="D146" s="13"/>
      <c r="E146" s="38">
        <f t="shared" si="137"/>
        <v>0</v>
      </c>
      <c r="F146" s="47">
        <v>79.0</v>
      </c>
      <c r="G146" s="14" t="str">
        <f t="shared" si="138"/>
        <v>#DIV/0!</v>
      </c>
      <c r="H146" s="40"/>
      <c r="I146" s="40"/>
      <c r="J146" s="37">
        <f t="shared" si="139"/>
        <v>0</v>
      </c>
      <c r="K146" s="41">
        <f t="shared" si="140"/>
        <v>79</v>
      </c>
      <c r="L146" s="152" t="str">
        <f t="shared" si="141"/>
        <v>#DIV/0!</v>
      </c>
      <c r="M146" s="126">
        <v>18830.0</v>
      </c>
      <c r="N146" s="363">
        <f t="shared" si="142"/>
        <v>1487570</v>
      </c>
    </row>
    <row r="147">
      <c r="A147" s="154">
        <v>45855.0</v>
      </c>
      <c r="B147" s="156" t="s">
        <v>30</v>
      </c>
      <c r="C147" s="89"/>
      <c r="D147" s="89"/>
      <c r="E147" s="12">
        <f t="shared" si="137"/>
        <v>0</v>
      </c>
      <c r="F147" s="157">
        <v>81.0</v>
      </c>
      <c r="G147" s="14" t="str">
        <f t="shared" si="138"/>
        <v>#DIV/0!</v>
      </c>
      <c r="H147" s="37"/>
      <c r="I147" s="40"/>
      <c r="J147" s="37">
        <f t="shared" si="139"/>
        <v>0</v>
      </c>
      <c r="K147" s="41">
        <f t="shared" si="140"/>
        <v>81</v>
      </c>
      <c r="L147" s="152" t="str">
        <f t="shared" si="141"/>
        <v>#DIV/0!</v>
      </c>
      <c r="M147" s="126">
        <v>18790.0</v>
      </c>
      <c r="N147" s="363">
        <f t="shared" si="142"/>
        <v>1521990</v>
      </c>
    </row>
    <row r="148">
      <c r="A148" s="154">
        <v>45861.0</v>
      </c>
      <c r="B148" s="156" t="s">
        <v>30</v>
      </c>
      <c r="C148" s="89"/>
      <c r="D148" s="89"/>
      <c r="E148" s="12">
        <f t="shared" si="137"/>
        <v>0</v>
      </c>
      <c r="F148" s="157">
        <v>74.0</v>
      </c>
      <c r="G148" s="14" t="str">
        <f t="shared" si="138"/>
        <v>#DIV/0!</v>
      </c>
      <c r="H148" s="37"/>
      <c r="I148" s="40"/>
      <c r="J148" s="37">
        <f t="shared" si="139"/>
        <v>0</v>
      </c>
      <c r="K148" s="41">
        <f t="shared" si="140"/>
        <v>74</v>
      </c>
      <c r="L148" s="152" t="str">
        <f t="shared" si="141"/>
        <v>#DIV/0!</v>
      </c>
      <c r="M148" s="126">
        <v>18790.0</v>
      </c>
      <c r="N148" s="363">
        <f t="shared" si="142"/>
        <v>1390460</v>
      </c>
    </row>
    <row r="149">
      <c r="A149" s="154">
        <v>45868.0</v>
      </c>
      <c r="B149" s="156" t="s">
        <v>30</v>
      </c>
      <c r="C149" s="89"/>
      <c r="D149" s="89"/>
      <c r="E149" s="12">
        <f t="shared" si="137"/>
        <v>0</v>
      </c>
      <c r="F149" s="157">
        <v>68.0</v>
      </c>
      <c r="G149" s="14" t="str">
        <f t="shared" si="138"/>
        <v>#DIV/0!</v>
      </c>
      <c r="H149" s="37"/>
      <c r="I149" s="40"/>
      <c r="J149" s="37">
        <f t="shared" si="139"/>
        <v>0</v>
      </c>
      <c r="K149" s="41">
        <f t="shared" si="140"/>
        <v>68</v>
      </c>
      <c r="L149" s="152" t="str">
        <f t="shared" si="141"/>
        <v>#DIV/0!</v>
      </c>
      <c r="M149" s="126">
        <v>19120.0</v>
      </c>
      <c r="N149" s="363">
        <f t="shared" si="142"/>
        <v>1300160</v>
      </c>
    </row>
    <row r="150">
      <c r="A150" s="154"/>
      <c r="B150" s="156" t="s">
        <v>30</v>
      </c>
      <c r="C150" s="89"/>
      <c r="D150" s="158"/>
      <c r="E150" s="12">
        <f t="shared" si="137"/>
        <v>0</v>
      </c>
      <c r="F150" s="157"/>
      <c r="G150" s="14" t="str">
        <f t="shared" si="138"/>
        <v>#DIV/0!</v>
      </c>
      <c r="H150" s="37"/>
      <c r="I150" s="93"/>
      <c r="J150" s="37">
        <f t="shared" si="139"/>
        <v>0</v>
      </c>
      <c r="K150" s="41" t="str">
        <f t="shared" si="140"/>
        <v/>
      </c>
      <c r="L150" s="152" t="str">
        <f t="shared" si="141"/>
        <v>#DIV/0!</v>
      </c>
      <c r="M150" s="126"/>
      <c r="N150" s="363">
        <f t="shared" si="142"/>
        <v>0</v>
      </c>
    </row>
    <row r="151">
      <c r="A151" s="154"/>
      <c r="B151" s="156"/>
      <c r="C151" s="89"/>
      <c r="D151" s="158"/>
      <c r="E151" s="12">
        <f t="shared" si="137"/>
        <v>0</v>
      </c>
      <c r="F151" s="157"/>
      <c r="G151" s="14" t="str">
        <f t="shared" si="138"/>
        <v>#DIV/0!</v>
      </c>
      <c r="H151" s="89"/>
      <c r="I151" s="159"/>
      <c r="J151" s="89">
        <f t="shared" si="139"/>
        <v>0</v>
      </c>
      <c r="K151" s="41" t="str">
        <f t="shared" si="140"/>
        <v/>
      </c>
      <c r="L151" s="152" t="str">
        <f t="shared" si="141"/>
        <v>#DIV/0!</v>
      </c>
      <c r="M151" s="126"/>
      <c r="N151" s="363">
        <f t="shared" si="142"/>
        <v>0</v>
      </c>
    </row>
    <row r="152">
      <c r="A152" s="148"/>
      <c r="B152" s="156"/>
      <c r="C152" s="149"/>
      <c r="D152" s="150"/>
      <c r="E152" s="25">
        <f t="shared" si="137"/>
        <v>0</v>
      </c>
      <c r="F152" s="161"/>
      <c r="G152" s="56" t="str">
        <f t="shared" si="138"/>
        <v>#DIV/0!</v>
      </c>
      <c r="H152" s="149"/>
      <c r="I152" s="151"/>
      <c r="J152" s="149">
        <f t="shared" si="139"/>
        <v>0</v>
      </c>
      <c r="K152" s="149"/>
      <c r="L152" s="152" t="str">
        <f t="shared" si="141"/>
        <v>#DIV/0!</v>
      </c>
      <c r="M152" s="153"/>
      <c r="N152" s="363">
        <f>M152*K152</f>
        <v>0</v>
      </c>
    </row>
    <row r="153">
      <c r="A153" s="62"/>
      <c r="B153" s="63"/>
      <c r="C153" s="62"/>
      <c r="D153" s="64" t="s">
        <v>19</v>
      </c>
      <c r="E153" s="64">
        <f t="shared" ref="E153:F153" si="143">sum(E145:E152)</f>
        <v>0</v>
      </c>
      <c r="F153" s="64">
        <f t="shared" si="143"/>
        <v>383</v>
      </c>
      <c r="G153" s="65" t="str">
        <f>average(G145:G152)</f>
        <v>#DIV/0!</v>
      </c>
      <c r="H153" s="62"/>
      <c r="I153" s="66"/>
      <c r="J153" s="64">
        <f t="shared" ref="J153:K153" si="144">sum(J145:J152)</f>
        <v>0</v>
      </c>
      <c r="K153" s="64">
        <f t="shared" si="144"/>
        <v>383</v>
      </c>
      <c r="L153" s="65" t="str">
        <f>average(L145:L152)</f>
        <v>#DIV/0!</v>
      </c>
      <c r="M153" s="68"/>
      <c r="N153" s="364">
        <f>sum(N145:N152)</f>
        <v>7190580</v>
      </c>
    </row>
    <row r="154">
      <c r="A154" s="198" t="s">
        <v>64</v>
      </c>
      <c r="B154" s="199"/>
      <c r="C154" s="199"/>
      <c r="D154" s="199"/>
      <c r="E154" s="199"/>
      <c r="F154" s="199"/>
      <c r="G154" s="199"/>
      <c r="H154" s="199"/>
      <c r="I154" s="199"/>
      <c r="J154" s="199"/>
      <c r="K154" s="199"/>
      <c r="L154" s="199"/>
      <c r="M154" s="334"/>
      <c r="N154" s="365">
        <f>N10+N18+N27+N35+N43+N53+N62+N70+N78+N86+N93+N101+N109+N126+N135+N144+N153+N117</f>
        <v>109022870</v>
      </c>
    </row>
    <row r="155">
      <c r="G155" s="168"/>
      <c r="L155" s="168"/>
    </row>
    <row r="156" ht="31.5" customHeight="1">
      <c r="D156" s="170" t="s">
        <v>45</v>
      </c>
      <c r="E156" s="171"/>
      <c r="G156" s="168"/>
      <c r="L156" s="168"/>
    </row>
    <row r="157">
      <c r="A157" s="248" t="s">
        <v>1</v>
      </c>
      <c r="B157" s="172" t="s">
        <v>2</v>
      </c>
      <c r="C157" s="166" t="s">
        <v>3</v>
      </c>
      <c r="D157" s="166" t="s">
        <v>4</v>
      </c>
      <c r="E157" s="166" t="s">
        <v>5</v>
      </c>
      <c r="F157" s="166" t="s">
        <v>6</v>
      </c>
      <c r="G157" s="173" t="s">
        <v>7</v>
      </c>
      <c r="H157" s="174" t="s">
        <v>8</v>
      </c>
      <c r="I157" s="175" t="s">
        <v>8</v>
      </c>
      <c r="J157" s="166" t="s">
        <v>5</v>
      </c>
      <c r="K157" s="166" t="s">
        <v>6</v>
      </c>
      <c r="L157" s="173" t="s">
        <v>7</v>
      </c>
      <c r="M157" s="166" t="s">
        <v>9</v>
      </c>
      <c r="N157" s="176" t="s">
        <v>10</v>
      </c>
      <c r="O157" s="197">
        <v>1.0</v>
      </c>
      <c r="P157" s="197" t="s">
        <v>46</v>
      </c>
    </row>
    <row r="158">
      <c r="A158" s="70">
        <v>45840.0</v>
      </c>
      <c r="B158" s="156" t="s">
        <v>46</v>
      </c>
      <c r="C158" s="13"/>
      <c r="D158" s="13"/>
      <c r="E158" s="12"/>
      <c r="F158" s="39"/>
      <c r="G158" s="14"/>
      <c r="H158" s="89"/>
      <c r="I158" s="138"/>
      <c r="J158" s="41"/>
      <c r="K158" s="41" t="str">
        <f t="shared" ref="K158:K162" si="145">F158</f>
        <v/>
      </c>
      <c r="L158" s="152" t="str">
        <f t="shared" ref="L158:L162" si="146">(K158/J158)*100</f>
        <v>#DIV/0!</v>
      </c>
      <c r="M158" s="72"/>
      <c r="N158" s="366">
        <v>7270000.0</v>
      </c>
      <c r="O158" s="197">
        <v>2.0</v>
      </c>
      <c r="P158" s="197" t="s">
        <v>47</v>
      </c>
    </row>
    <row r="159">
      <c r="A159" s="70">
        <v>45852.0</v>
      </c>
      <c r="B159" s="156" t="s">
        <v>46</v>
      </c>
      <c r="C159" s="13"/>
      <c r="D159" s="13"/>
      <c r="E159" s="12">
        <f t="shared" ref="E159:E162" si="147">D159-C159</f>
        <v>0</v>
      </c>
      <c r="F159" s="39">
        <v>339.88</v>
      </c>
      <c r="G159" s="14" t="str">
        <f t="shared" ref="G159:G162" si="148">(F159/E159)*100</f>
        <v>#DIV/0!</v>
      </c>
      <c r="H159" s="89"/>
      <c r="I159" s="138"/>
      <c r="J159" s="41">
        <f t="shared" ref="J159:J162" si="149">I159-H159</f>
        <v>0</v>
      </c>
      <c r="K159" s="41">
        <f t="shared" si="145"/>
        <v>339.88</v>
      </c>
      <c r="L159" s="152" t="str">
        <f t="shared" si="146"/>
        <v>#DIV/0!</v>
      </c>
      <c r="M159" s="72">
        <v>18830.0</v>
      </c>
      <c r="N159" s="366">
        <f>M159*K159</f>
        <v>6399940.4</v>
      </c>
      <c r="O159" s="197">
        <v>3.0</v>
      </c>
      <c r="P159" s="197" t="s">
        <v>48</v>
      </c>
    </row>
    <row r="160">
      <c r="A160" s="154">
        <v>45862.0</v>
      </c>
      <c r="B160" s="156" t="s">
        <v>46</v>
      </c>
      <c r="C160" s="89"/>
      <c r="D160" s="89"/>
      <c r="E160" s="12">
        <f t="shared" si="147"/>
        <v>0</v>
      </c>
      <c r="F160" s="157"/>
      <c r="G160" s="14" t="str">
        <f t="shared" si="148"/>
        <v>#DIV/0!</v>
      </c>
      <c r="H160" s="89"/>
      <c r="I160" s="137"/>
      <c r="J160" s="89">
        <f t="shared" si="149"/>
        <v>0</v>
      </c>
      <c r="K160" s="41" t="str">
        <f t="shared" si="145"/>
        <v/>
      </c>
      <c r="L160" s="152" t="str">
        <f t="shared" si="146"/>
        <v>#DIV/0!</v>
      </c>
      <c r="M160" s="126"/>
      <c r="N160" s="367">
        <v>6900000.0</v>
      </c>
      <c r="O160" s="197">
        <v>4.0</v>
      </c>
      <c r="P160" s="197" t="s">
        <v>49</v>
      </c>
    </row>
    <row r="161">
      <c r="A161" s="154"/>
      <c r="B161" s="156" t="s">
        <v>46</v>
      </c>
      <c r="C161" s="89"/>
      <c r="D161" s="89"/>
      <c r="E161" s="12">
        <f t="shared" si="147"/>
        <v>0</v>
      </c>
      <c r="F161" s="157"/>
      <c r="G161" s="14" t="str">
        <f t="shared" si="148"/>
        <v>#DIV/0!</v>
      </c>
      <c r="H161" s="89"/>
      <c r="I161" s="137"/>
      <c r="J161" s="89">
        <f t="shared" si="149"/>
        <v>0</v>
      </c>
      <c r="K161" s="41" t="str">
        <f t="shared" si="145"/>
        <v/>
      </c>
      <c r="L161" s="152" t="str">
        <f t="shared" si="146"/>
        <v>#DIV/0!</v>
      </c>
      <c r="M161" s="126"/>
      <c r="N161" s="367">
        <f t="shared" ref="N161:N162" si="150">F161*M161</f>
        <v>0</v>
      </c>
      <c r="O161" s="197">
        <v>5.0</v>
      </c>
      <c r="P161" s="197" t="s">
        <v>50</v>
      </c>
    </row>
    <row r="162">
      <c r="A162" s="154"/>
      <c r="B162" s="156"/>
      <c r="C162" s="89"/>
      <c r="D162" s="89"/>
      <c r="E162" s="12">
        <f t="shared" si="147"/>
        <v>0</v>
      </c>
      <c r="F162" s="157"/>
      <c r="G162" s="14" t="str">
        <f t="shared" si="148"/>
        <v>#DIV/0!</v>
      </c>
      <c r="H162" s="89"/>
      <c r="I162" s="137"/>
      <c r="J162" s="89">
        <f t="shared" si="149"/>
        <v>0</v>
      </c>
      <c r="K162" s="89" t="str">
        <f t="shared" si="145"/>
        <v/>
      </c>
      <c r="L162" s="152" t="str">
        <f t="shared" si="146"/>
        <v>#DIV/0!</v>
      </c>
      <c r="M162" s="126"/>
      <c r="N162" s="367">
        <f t="shared" si="150"/>
        <v>0</v>
      </c>
      <c r="O162" s="197">
        <v>6.0</v>
      </c>
      <c r="P162" s="197" t="s">
        <v>51</v>
      </c>
    </row>
    <row r="163">
      <c r="A163" s="62"/>
      <c r="B163" s="63"/>
      <c r="C163" s="62"/>
      <c r="D163" s="64" t="s">
        <v>19</v>
      </c>
      <c r="E163" s="64">
        <f t="shared" ref="E163:F163" si="151">sum(E158:E162)</f>
        <v>0</v>
      </c>
      <c r="F163" s="64">
        <f t="shared" si="151"/>
        <v>339.88</v>
      </c>
      <c r="G163" s="65" t="str">
        <f>average(G158:G162)</f>
        <v>#DIV/0!</v>
      </c>
      <c r="H163" s="62"/>
      <c r="I163" s="66"/>
      <c r="J163" s="64">
        <f t="shared" ref="J163:K163" si="152">sum(J158:J162)</f>
        <v>0</v>
      </c>
      <c r="K163" s="64">
        <f t="shared" si="152"/>
        <v>339.88</v>
      </c>
      <c r="L163" s="65" t="str">
        <f>average(L158:L162)</f>
        <v>#DIV/0!</v>
      </c>
      <c r="M163" s="68"/>
      <c r="N163" s="368">
        <f>sum(N158:N162)</f>
        <v>20569940.4</v>
      </c>
      <c r="O163" s="197">
        <v>7.0</v>
      </c>
      <c r="P163" s="197" t="s">
        <v>81</v>
      </c>
    </row>
    <row r="164">
      <c r="A164" s="154">
        <v>45841.0</v>
      </c>
      <c r="B164" s="156" t="s">
        <v>53</v>
      </c>
      <c r="C164" s="89"/>
      <c r="D164" s="89"/>
      <c r="E164" s="12">
        <f t="shared" ref="E164:E166" si="153">D164-C164</f>
        <v>0</v>
      </c>
      <c r="F164" s="157"/>
      <c r="G164" s="14" t="str">
        <f t="shared" ref="G164:G166" si="154">(F164/E164)*100</f>
        <v>#DIV/0!</v>
      </c>
      <c r="H164" s="89"/>
      <c r="I164" s="137"/>
      <c r="J164" s="89">
        <f t="shared" ref="J164:J166" si="155">I164-H164</f>
        <v>0</v>
      </c>
      <c r="K164" s="89" t="str">
        <f t="shared" ref="K164:K166" si="156">F164</f>
        <v/>
      </c>
      <c r="L164" s="152" t="str">
        <f t="shared" ref="L164:L166" si="157">(K164/J164)*100</f>
        <v>#DIV/0!</v>
      </c>
      <c r="M164" s="126"/>
      <c r="N164" s="367">
        <v>2100000.0</v>
      </c>
      <c r="O164" s="197">
        <v>8.0</v>
      </c>
      <c r="P164" s="197" t="s">
        <v>54</v>
      </c>
    </row>
    <row r="165">
      <c r="A165" s="154">
        <v>45848.0</v>
      </c>
      <c r="B165" s="156" t="s">
        <v>53</v>
      </c>
      <c r="C165" s="89"/>
      <c r="D165" s="89"/>
      <c r="E165" s="12">
        <f t="shared" si="153"/>
        <v>0</v>
      </c>
      <c r="F165" s="157"/>
      <c r="G165" s="14" t="str">
        <f t="shared" si="154"/>
        <v>#DIV/0!</v>
      </c>
      <c r="H165" s="89"/>
      <c r="I165" s="137"/>
      <c r="J165" s="89">
        <f t="shared" si="155"/>
        <v>0</v>
      </c>
      <c r="K165" s="89" t="str">
        <f t="shared" si="156"/>
        <v/>
      </c>
      <c r="L165" s="152" t="str">
        <f t="shared" si="157"/>
        <v>#DIV/0!</v>
      </c>
      <c r="M165" s="126"/>
      <c r="N165" s="369">
        <v>4300000.0</v>
      </c>
      <c r="O165" s="197">
        <v>9.0</v>
      </c>
      <c r="P165" s="197" t="s">
        <v>69</v>
      </c>
    </row>
    <row r="166">
      <c r="A166" s="154">
        <v>45855.0</v>
      </c>
      <c r="B166" s="156" t="s">
        <v>53</v>
      </c>
      <c r="C166" s="89"/>
      <c r="D166" s="89"/>
      <c r="E166" s="12">
        <f t="shared" si="153"/>
        <v>0</v>
      </c>
      <c r="F166" s="157"/>
      <c r="G166" s="14" t="str">
        <f t="shared" si="154"/>
        <v>#DIV/0!</v>
      </c>
      <c r="H166" s="89"/>
      <c r="I166" s="137"/>
      <c r="J166" s="89">
        <f t="shared" si="155"/>
        <v>0</v>
      </c>
      <c r="K166" s="89" t="str">
        <f t="shared" si="156"/>
        <v/>
      </c>
      <c r="L166" s="152" t="str">
        <f t="shared" si="157"/>
        <v>#DIV/0!</v>
      </c>
      <c r="M166" s="126"/>
      <c r="N166" s="367">
        <v>4450000.0</v>
      </c>
    </row>
    <row r="167">
      <c r="A167" s="154">
        <v>45861.0</v>
      </c>
      <c r="B167" s="156" t="s">
        <v>53</v>
      </c>
      <c r="C167" s="89"/>
      <c r="D167" s="89"/>
      <c r="E167" s="12"/>
      <c r="F167" s="157"/>
      <c r="G167" s="14"/>
      <c r="H167" s="89"/>
      <c r="I167" s="137"/>
      <c r="J167" s="89"/>
      <c r="K167" s="89"/>
      <c r="L167" s="152"/>
      <c r="M167" s="126"/>
      <c r="N167" s="370">
        <v>4700000.0</v>
      </c>
    </row>
    <row r="168">
      <c r="A168" s="154">
        <v>45869.0</v>
      </c>
      <c r="B168" s="156" t="s">
        <v>53</v>
      </c>
      <c r="C168" s="89"/>
      <c r="D168" s="89"/>
      <c r="E168" s="12">
        <f>D168-C168</f>
        <v>0</v>
      </c>
      <c r="F168" s="157"/>
      <c r="G168" s="14" t="str">
        <f>(F168/E168)*100</f>
        <v>#DIV/0!</v>
      </c>
      <c r="H168" s="89"/>
      <c r="I168" s="137"/>
      <c r="J168" s="89">
        <f>I168-H168</f>
        <v>0</v>
      </c>
      <c r="K168" s="89" t="str">
        <f>F168</f>
        <v/>
      </c>
      <c r="L168" s="152" t="str">
        <f>(K168/J168)*100</f>
        <v>#DIV/0!</v>
      </c>
      <c r="M168" s="126"/>
      <c r="N168" s="370">
        <v>5650000.0</v>
      </c>
    </row>
    <row r="169">
      <c r="A169" s="62"/>
      <c r="B169" s="63"/>
      <c r="C169" s="62"/>
      <c r="D169" s="64" t="s">
        <v>19</v>
      </c>
      <c r="E169" s="64">
        <f t="shared" ref="E169:F169" si="158">sum(E164:E168)</f>
        <v>0</v>
      </c>
      <c r="F169" s="64">
        <f t="shared" si="158"/>
        <v>0</v>
      </c>
      <c r="G169" s="65" t="str">
        <f>average(G164:G168)</f>
        <v>#DIV/0!</v>
      </c>
      <c r="H169" s="62"/>
      <c r="I169" s="66"/>
      <c r="J169" s="64">
        <f t="shared" ref="J169:K169" si="159">sum(J164:J168)</f>
        <v>0</v>
      </c>
      <c r="K169" s="64">
        <f t="shared" si="159"/>
        <v>0</v>
      </c>
      <c r="L169" s="65" t="str">
        <f>average(L164:L168)</f>
        <v>#DIV/0!</v>
      </c>
      <c r="M169" s="68"/>
      <c r="N169" s="368">
        <f>sum(N164:N168)</f>
        <v>21200000</v>
      </c>
    </row>
    <row r="170">
      <c r="A170" s="70">
        <v>45847.0</v>
      </c>
      <c r="B170" s="156" t="s">
        <v>48</v>
      </c>
      <c r="C170" s="89"/>
      <c r="D170" s="13"/>
      <c r="E170" s="38">
        <f t="shared" ref="E170:E174" si="160">D170-C170</f>
        <v>0</v>
      </c>
      <c r="F170" s="157">
        <v>271.74</v>
      </c>
      <c r="G170" s="14" t="str">
        <f t="shared" ref="G170:G174" si="161">(F170/E170)*100</f>
        <v>#DIV/0!</v>
      </c>
      <c r="H170" s="89"/>
      <c r="I170" s="138"/>
      <c r="J170" s="41">
        <f t="shared" ref="J170:J174" si="162">I170-H170</f>
        <v>0</v>
      </c>
      <c r="K170" s="41">
        <f t="shared" ref="K170:K174" si="163">F170</f>
        <v>271.74</v>
      </c>
      <c r="L170" s="152" t="str">
        <f t="shared" ref="L170:L174" si="164">(K170/J170)*100</f>
        <v>#DIV/0!</v>
      </c>
      <c r="M170" s="72">
        <v>18400.0</v>
      </c>
      <c r="N170" s="371">
        <f>K170*M170</f>
        <v>5000016</v>
      </c>
    </row>
    <row r="171">
      <c r="A171" s="154">
        <v>45865.0</v>
      </c>
      <c r="B171" s="156" t="s">
        <v>48</v>
      </c>
      <c r="C171" s="89"/>
      <c r="D171" s="89"/>
      <c r="E171" s="12">
        <f t="shared" si="160"/>
        <v>0</v>
      </c>
      <c r="F171" s="157"/>
      <c r="G171" s="14" t="str">
        <f t="shared" si="161"/>
        <v>#DIV/0!</v>
      </c>
      <c r="H171" s="89"/>
      <c r="I171" s="137"/>
      <c r="J171" s="89">
        <f t="shared" si="162"/>
        <v>0</v>
      </c>
      <c r="K171" s="41" t="str">
        <f t="shared" si="163"/>
        <v/>
      </c>
      <c r="L171" s="152" t="str">
        <f t="shared" si="164"/>
        <v>#DIV/0!</v>
      </c>
      <c r="M171" s="126"/>
      <c r="N171" s="372">
        <v>5700000.0</v>
      </c>
    </row>
    <row r="172">
      <c r="A172" s="154"/>
      <c r="B172" s="156" t="s">
        <v>48</v>
      </c>
      <c r="C172" s="89"/>
      <c r="D172" s="89"/>
      <c r="E172" s="12">
        <f t="shared" si="160"/>
        <v>0</v>
      </c>
      <c r="F172" s="157"/>
      <c r="G172" s="14" t="str">
        <f t="shared" si="161"/>
        <v>#DIV/0!</v>
      </c>
      <c r="H172" s="89"/>
      <c r="I172" s="137"/>
      <c r="J172" s="89">
        <f t="shared" si="162"/>
        <v>0</v>
      </c>
      <c r="K172" s="41" t="str">
        <f t="shared" si="163"/>
        <v/>
      </c>
      <c r="L172" s="152" t="str">
        <f t="shared" si="164"/>
        <v>#DIV/0!</v>
      </c>
      <c r="M172" s="126"/>
      <c r="N172" s="367">
        <f t="shared" ref="N172:N174" si="165">F172*M172</f>
        <v>0</v>
      </c>
    </row>
    <row r="173">
      <c r="A173" s="154"/>
      <c r="B173" s="156" t="s">
        <v>48</v>
      </c>
      <c r="C173" s="89"/>
      <c r="D173" s="89"/>
      <c r="E173" s="12">
        <f t="shared" si="160"/>
        <v>0</v>
      </c>
      <c r="F173" s="157"/>
      <c r="G173" s="14" t="str">
        <f t="shared" si="161"/>
        <v>#DIV/0!</v>
      </c>
      <c r="H173" s="89"/>
      <c r="I173" s="137"/>
      <c r="J173" s="89">
        <f t="shared" si="162"/>
        <v>0</v>
      </c>
      <c r="K173" s="41" t="str">
        <f t="shared" si="163"/>
        <v/>
      </c>
      <c r="L173" s="152" t="str">
        <f t="shared" si="164"/>
        <v>#DIV/0!</v>
      </c>
      <c r="M173" s="126"/>
      <c r="N173" s="367">
        <f t="shared" si="165"/>
        <v>0</v>
      </c>
    </row>
    <row r="174">
      <c r="A174" s="154"/>
      <c r="B174" s="156"/>
      <c r="C174" s="89"/>
      <c r="D174" s="89"/>
      <c r="E174" s="12">
        <f t="shared" si="160"/>
        <v>0</v>
      </c>
      <c r="F174" s="157"/>
      <c r="G174" s="14" t="str">
        <f t="shared" si="161"/>
        <v>#DIV/0!</v>
      </c>
      <c r="H174" s="89"/>
      <c r="I174" s="137"/>
      <c r="J174" s="89">
        <f t="shared" si="162"/>
        <v>0</v>
      </c>
      <c r="K174" s="89" t="str">
        <f t="shared" si="163"/>
        <v/>
      </c>
      <c r="L174" s="152" t="str">
        <f t="shared" si="164"/>
        <v>#DIV/0!</v>
      </c>
      <c r="M174" s="126"/>
      <c r="N174" s="367">
        <f t="shared" si="165"/>
        <v>0</v>
      </c>
    </row>
    <row r="175">
      <c r="A175" s="62"/>
      <c r="B175" s="63"/>
      <c r="C175" s="62"/>
      <c r="D175" s="64" t="s">
        <v>19</v>
      </c>
      <c r="E175" s="64">
        <f t="shared" ref="E175:F175" si="166">sum(E170:E174)</f>
        <v>0</v>
      </c>
      <c r="F175" s="64">
        <f t="shared" si="166"/>
        <v>271.74</v>
      </c>
      <c r="G175" s="65" t="str">
        <f>average(G170:G174)</f>
        <v>#DIV/0!</v>
      </c>
      <c r="H175" s="62"/>
      <c r="I175" s="66"/>
      <c r="J175" s="64">
        <f t="shared" ref="J175:K175" si="167">sum(J170:J174)</f>
        <v>0</v>
      </c>
      <c r="K175" s="64">
        <f t="shared" si="167"/>
        <v>271.74</v>
      </c>
      <c r="L175" s="65" t="str">
        <f>average(L170:L174)</f>
        <v>#DIV/0!</v>
      </c>
      <c r="M175" s="68"/>
      <c r="N175" s="368">
        <f>sum(N170:N174)</f>
        <v>10700016</v>
      </c>
    </row>
    <row r="176">
      <c r="A176" s="70">
        <v>45852.0</v>
      </c>
      <c r="B176" s="156" t="s">
        <v>49</v>
      </c>
      <c r="C176" s="89"/>
      <c r="D176" s="13"/>
      <c r="E176" s="38">
        <f t="shared" ref="E176:E180" si="168">D176-C176</f>
        <v>0</v>
      </c>
      <c r="F176" s="39"/>
      <c r="G176" s="14" t="str">
        <f t="shared" ref="G176:G180" si="169">(F176/E176)*100</f>
        <v>#DIV/0!</v>
      </c>
      <c r="H176" s="89"/>
      <c r="I176" s="138"/>
      <c r="J176" s="41">
        <f t="shared" ref="J176:J180" si="170">I176-H176</f>
        <v>0</v>
      </c>
      <c r="K176" s="41" t="str">
        <f t="shared" ref="K176:K180" si="171">F176</f>
        <v/>
      </c>
      <c r="L176" s="152" t="str">
        <f t="shared" ref="L176:L180" si="172">(K176/J176)*100</f>
        <v>#DIV/0!</v>
      </c>
      <c r="M176" s="72"/>
      <c r="N176" s="366">
        <v>4500000.0</v>
      </c>
    </row>
    <row r="177">
      <c r="A177" s="154"/>
      <c r="B177" s="156" t="s">
        <v>49</v>
      </c>
      <c r="C177" s="89"/>
      <c r="D177" s="89"/>
      <c r="E177" s="12">
        <f t="shared" si="168"/>
        <v>0</v>
      </c>
      <c r="F177" s="157"/>
      <c r="G177" s="14" t="str">
        <f t="shared" si="169"/>
        <v>#DIV/0!</v>
      </c>
      <c r="H177" s="89"/>
      <c r="I177" s="137"/>
      <c r="J177" s="89">
        <f t="shared" si="170"/>
        <v>0</v>
      </c>
      <c r="K177" s="89" t="str">
        <f t="shared" si="171"/>
        <v/>
      </c>
      <c r="L177" s="152" t="str">
        <f t="shared" si="172"/>
        <v>#DIV/0!</v>
      </c>
      <c r="M177" s="126"/>
      <c r="N177" s="372"/>
    </row>
    <row r="178">
      <c r="A178" s="154"/>
      <c r="B178" s="156" t="s">
        <v>49</v>
      </c>
      <c r="C178" s="89"/>
      <c r="D178" s="89"/>
      <c r="E178" s="12">
        <f t="shared" si="168"/>
        <v>0</v>
      </c>
      <c r="F178" s="157"/>
      <c r="G178" s="14" t="str">
        <f t="shared" si="169"/>
        <v>#DIV/0!</v>
      </c>
      <c r="H178" s="89"/>
      <c r="I178" s="137"/>
      <c r="J178" s="89">
        <f t="shared" si="170"/>
        <v>0</v>
      </c>
      <c r="K178" s="89" t="str">
        <f t="shared" si="171"/>
        <v/>
      </c>
      <c r="L178" s="152" t="str">
        <f t="shared" si="172"/>
        <v>#DIV/0!</v>
      </c>
      <c r="M178" s="126"/>
      <c r="N178" s="367">
        <f t="shared" ref="N178:N180" si="173">F178*M178</f>
        <v>0</v>
      </c>
    </row>
    <row r="179">
      <c r="A179" s="154"/>
      <c r="B179" s="156" t="s">
        <v>49</v>
      </c>
      <c r="C179" s="89"/>
      <c r="D179" s="89"/>
      <c r="E179" s="12">
        <f t="shared" si="168"/>
        <v>0</v>
      </c>
      <c r="F179" s="157"/>
      <c r="G179" s="14" t="str">
        <f t="shared" si="169"/>
        <v>#DIV/0!</v>
      </c>
      <c r="H179" s="89"/>
      <c r="I179" s="137"/>
      <c r="J179" s="89">
        <f t="shared" si="170"/>
        <v>0</v>
      </c>
      <c r="K179" s="89" t="str">
        <f t="shared" si="171"/>
        <v/>
      </c>
      <c r="L179" s="152" t="str">
        <f t="shared" si="172"/>
        <v>#DIV/0!</v>
      </c>
      <c r="M179" s="126"/>
      <c r="N179" s="367">
        <f t="shared" si="173"/>
        <v>0</v>
      </c>
    </row>
    <row r="180">
      <c r="A180" s="154"/>
      <c r="B180" s="156"/>
      <c r="C180" s="89"/>
      <c r="D180" s="89"/>
      <c r="E180" s="12">
        <f t="shared" si="168"/>
        <v>0</v>
      </c>
      <c r="F180" s="157"/>
      <c r="G180" s="14" t="str">
        <f t="shared" si="169"/>
        <v>#DIV/0!</v>
      </c>
      <c r="H180" s="89"/>
      <c r="I180" s="137"/>
      <c r="J180" s="89">
        <f t="shared" si="170"/>
        <v>0</v>
      </c>
      <c r="K180" s="89" t="str">
        <f t="shared" si="171"/>
        <v/>
      </c>
      <c r="L180" s="152" t="str">
        <f t="shared" si="172"/>
        <v>#DIV/0!</v>
      </c>
      <c r="M180" s="126"/>
      <c r="N180" s="367">
        <f t="shared" si="173"/>
        <v>0</v>
      </c>
    </row>
    <row r="181">
      <c r="A181" s="62"/>
      <c r="B181" s="63"/>
      <c r="C181" s="62"/>
      <c r="D181" s="64" t="s">
        <v>19</v>
      </c>
      <c r="E181" s="64">
        <f t="shared" ref="E181:F181" si="174">sum(E176:E180)</f>
        <v>0</v>
      </c>
      <c r="F181" s="64">
        <f t="shared" si="174"/>
        <v>0</v>
      </c>
      <c r="G181" s="65" t="str">
        <f>average(G176:G180)</f>
        <v>#DIV/0!</v>
      </c>
      <c r="H181" s="62"/>
      <c r="I181" s="66"/>
      <c r="J181" s="64">
        <f t="shared" ref="J181:K181" si="175">sum(J176:J180)</f>
        <v>0</v>
      </c>
      <c r="K181" s="64">
        <f t="shared" si="175"/>
        <v>0</v>
      </c>
      <c r="L181" s="65" t="str">
        <f>average(L176:L180)</f>
        <v>#DIV/0!</v>
      </c>
      <c r="M181" s="68"/>
      <c r="N181" s="368">
        <f>sum(N176:N180)</f>
        <v>4500000</v>
      </c>
    </row>
    <row r="182">
      <c r="A182" s="70">
        <v>45842.0</v>
      </c>
      <c r="B182" s="156" t="s">
        <v>50</v>
      </c>
      <c r="C182" s="89"/>
      <c r="D182" s="13"/>
      <c r="E182" s="38"/>
      <c r="F182" s="39">
        <v>195.65</v>
      </c>
      <c r="G182" s="14" t="str">
        <f t="shared" ref="G182:G186" si="176">(F182/E182)*100</f>
        <v>#DIV/0!</v>
      </c>
      <c r="H182" s="89"/>
      <c r="I182" s="138"/>
      <c r="J182" s="41">
        <f t="shared" ref="J182:J186" si="177">I182-H182</f>
        <v>0</v>
      </c>
      <c r="K182" s="41">
        <f t="shared" ref="K182:K186" si="178">F182</f>
        <v>195.65</v>
      </c>
      <c r="L182" s="152" t="str">
        <f t="shared" ref="L182:L186" si="179">(K182/J182)*100</f>
        <v>#DIV/0!</v>
      </c>
      <c r="M182" s="72">
        <v>18400.0</v>
      </c>
      <c r="N182" s="366">
        <f>M182*K182</f>
        <v>3599960</v>
      </c>
    </row>
    <row r="183">
      <c r="A183" s="154">
        <v>45857.0</v>
      </c>
      <c r="B183" s="156" t="s">
        <v>50</v>
      </c>
      <c r="C183" s="89"/>
      <c r="D183" s="89"/>
      <c r="E183" s="12">
        <f t="shared" ref="E183:E186" si="180">D183-C183</f>
        <v>0</v>
      </c>
      <c r="F183" s="157"/>
      <c r="G183" s="14" t="str">
        <f t="shared" si="176"/>
        <v>#DIV/0!</v>
      </c>
      <c r="H183" s="89"/>
      <c r="I183" s="137"/>
      <c r="J183" s="89">
        <f t="shared" si="177"/>
        <v>0</v>
      </c>
      <c r="K183" s="41" t="str">
        <f t="shared" si="178"/>
        <v/>
      </c>
      <c r="L183" s="152" t="str">
        <f t="shared" si="179"/>
        <v>#DIV/0!</v>
      </c>
      <c r="M183" s="126"/>
      <c r="N183" s="366">
        <v>3800000.0</v>
      </c>
    </row>
    <row r="184">
      <c r="A184" s="154"/>
      <c r="B184" s="156" t="s">
        <v>50</v>
      </c>
      <c r="C184" s="89"/>
      <c r="D184" s="89"/>
      <c r="E184" s="12">
        <f t="shared" si="180"/>
        <v>0</v>
      </c>
      <c r="F184" s="157"/>
      <c r="G184" s="14" t="str">
        <f t="shared" si="176"/>
        <v>#DIV/0!</v>
      </c>
      <c r="H184" s="89"/>
      <c r="I184" s="137"/>
      <c r="J184" s="89">
        <f t="shared" si="177"/>
        <v>0</v>
      </c>
      <c r="K184" s="41" t="str">
        <f t="shared" si="178"/>
        <v/>
      </c>
      <c r="L184" s="152" t="str">
        <f t="shared" si="179"/>
        <v>#DIV/0!</v>
      </c>
      <c r="M184" s="126"/>
      <c r="N184" s="367">
        <f t="shared" ref="N184:N186" si="181">F184*M184</f>
        <v>0</v>
      </c>
    </row>
    <row r="185">
      <c r="A185" s="154"/>
      <c r="B185" s="156" t="s">
        <v>50</v>
      </c>
      <c r="C185" s="89"/>
      <c r="D185" s="89"/>
      <c r="E185" s="12">
        <f t="shared" si="180"/>
        <v>0</v>
      </c>
      <c r="F185" s="157"/>
      <c r="G185" s="14" t="str">
        <f t="shared" si="176"/>
        <v>#DIV/0!</v>
      </c>
      <c r="H185" s="89"/>
      <c r="I185" s="137"/>
      <c r="J185" s="89">
        <f t="shared" si="177"/>
        <v>0</v>
      </c>
      <c r="K185" s="41" t="str">
        <f t="shared" si="178"/>
        <v/>
      </c>
      <c r="L185" s="152" t="str">
        <f t="shared" si="179"/>
        <v>#DIV/0!</v>
      </c>
      <c r="M185" s="126"/>
      <c r="N185" s="367">
        <f t="shared" si="181"/>
        <v>0</v>
      </c>
    </row>
    <row r="186">
      <c r="A186" s="154"/>
      <c r="B186" s="156" t="s">
        <v>50</v>
      </c>
      <c r="C186" s="89"/>
      <c r="D186" s="89"/>
      <c r="E186" s="12">
        <f t="shared" si="180"/>
        <v>0</v>
      </c>
      <c r="F186" s="157"/>
      <c r="G186" s="14" t="str">
        <f t="shared" si="176"/>
        <v>#DIV/0!</v>
      </c>
      <c r="H186" s="89"/>
      <c r="I186" s="137"/>
      <c r="J186" s="89">
        <f t="shared" si="177"/>
        <v>0</v>
      </c>
      <c r="K186" s="89" t="str">
        <f t="shared" si="178"/>
        <v/>
      </c>
      <c r="L186" s="152" t="str">
        <f t="shared" si="179"/>
        <v>#DIV/0!</v>
      </c>
      <c r="M186" s="126"/>
      <c r="N186" s="367">
        <f t="shared" si="181"/>
        <v>0</v>
      </c>
    </row>
    <row r="187">
      <c r="A187" s="62"/>
      <c r="B187" s="63"/>
      <c r="C187" s="62"/>
      <c r="D187" s="64" t="s">
        <v>19</v>
      </c>
      <c r="E187" s="64">
        <f t="shared" ref="E187:F187" si="182">sum(E182:E186)</f>
        <v>0</v>
      </c>
      <c r="F187" s="64">
        <f t="shared" si="182"/>
        <v>195.65</v>
      </c>
      <c r="G187" s="65" t="str">
        <f>average(G182:G186)</f>
        <v>#DIV/0!</v>
      </c>
      <c r="H187" s="62"/>
      <c r="I187" s="66"/>
      <c r="J187" s="64">
        <f t="shared" ref="J187:K187" si="183">sum(J182:J186)</f>
        <v>0</v>
      </c>
      <c r="K187" s="64">
        <f t="shared" si="183"/>
        <v>195.65</v>
      </c>
      <c r="L187" s="65" t="str">
        <f>average(L182:L186)</f>
        <v>#DIV/0!</v>
      </c>
      <c r="M187" s="68"/>
      <c r="N187" s="368">
        <f>sum(N182:N186)</f>
        <v>7399960</v>
      </c>
    </row>
    <row r="188">
      <c r="A188" s="70">
        <v>45842.0</v>
      </c>
      <c r="B188" s="156" t="s">
        <v>51</v>
      </c>
      <c r="C188" s="89">
        <v>297955.0</v>
      </c>
      <c r="D188" s="13"/>
      <c r="E188" s="38"/>
      <c r="F188" s="39">
        <v>156.52</v>
      </c>
      <c r="G188" s="14" t="str">
        <f t="shared" ref="G188:G192" si="184">(F188/E188)*100</f>
        <v>#DIV/0!</v>
      </c>
      <c r="H188" s="89"/>
      <c r="I188" s="138"/>
      <c r="J188" s="41">
        <f t="shared" ref="J188:J192" si="185">I188-H188</f>
        <v>0</v>
      </c>
      <c r="K188" s="41">
        <f t="shared" ref="K188:K192" si="186">F188</f>
        <v>156.52</v>
      </c>
      <c r="L188" s="152" t="str">
        <f t="shared" ref="L188:L192" si="187">(K188/J188)*100</f>
        <v>#DIV/0!</v>
      </c>
      <c r="M188" s="72">
        <v>18400.0</v>
      </c>
      <c r="N188" s="366">
        <f t="shared" ref="N188:N189" si="188">M188*K188</f>
        <v>2879968</v>
      </c>
    </row>
    <row r="189">
      <c r="A189" s="154">
        <v>45853.0</v>
      </c>
      <c r="B189" s="156" t="s">
        <v>51</v>
      </c>
      <c r="C189" s="89">
        <v>297955.0</v>
      </c>
      <c r="D189" s="89"/>
      <c r="E189" s="12">
        <f t="shared" ref="E189:E192" si="189">D189-C189</f>
        <v>-297955</v>
      </c>
      <c r="F189" s="157">
        <v>159.62</v>
      </c>
      <c r="G189" s="14">
        <f t="shared" si="184"/>
        <v>-0.0535718481</v>
      </c>
      <c r="H189" s="89"/>
      <c r="I189" s="137"/>
      <c r="J189" s="89">
        <f t="shared" si="185"/>
        <v>0</v>
      </c>
      <c r="K189" s="89">
        <f t="shared" si="186"/>
        <v>159.62</v>
      </c>
      <c r="L189" s="152" t="str">
        <f t="shared" si="187"/>
        <v>#DIV/0!</v>
      </c>
      <c r="M189" s="126">
        <v>18830.0</v>
      </c>
      <c r="N189" s="366">
        <f t="shared" si="188"/>
        <v>3005644.6</v>
      </c>
    </row>
    <row r="190">
      <c r="A190" s="154">
        <v>45863.0</v>
      </c>
      <c r="B190" s="156" t="s">
        <v>51</v>
      </c>
      <c r="C190" s="89"/>
      <c r="D190" s="89"/>
      <c r="E190" s="12">
        <f t="shared" si="189"/>
        <v>0</v>
      </c>
      <c r="F190" s="157"/>
      <c r="G190" s="14" t="str">
        <f t="shared" si="184"/>
        <v>#DIV/0!</v>
      </c>
      <c r="H190" s="89"/>
      <c r="I190" s="137"/>
      <c r="J190" s="89">
        <f t="shared" si="185"/>
        <v>0</v>
      </c>
      <c r="K190" s="89" t="str">
        <f t="shared" si="186"/>
        <v/>
      </c>
      <c r="L190" s="152" t="str">
        <f t="shared" si="187"/>
        <v>#DIV/0!</v>
      </c>
      <c r="M190" s="126"/>
      <c r="N190" s="366">
        <v>2800000.0</v>
      </c>
    </row>
    <row r="191">
      <c r="A191" s="154"/>
      <c r="B191" s="156" t="s">
        <v>51</v>
      </c>
      <c r="C191" s="89"/>
      <c r="D191" s="89"/>
      <c r="E191" s="12">
        <f t="shared" si="189"/>
        <v>0</v>
      </c>
      <c r="F191" s="157"/>
      <c r="G191" s="14" t="str">
        <f t="shared" si="184"/>
        <v>#DIV/0!</v>
      </c>
      <c r="H191" s="89"/>
      <c r="I191" s="137"/>
      <c r="J191" s="89">
        <f t="shared" si="185"/>
        <v>0</v>
      </c>
      <c r="K191" s="89" t="str">
        <f t="shared" si="186"/>
        <v/>
      </c>
      <c r="L191" s="152" t="str">
        <f t="shared" si="187"/>
        <v>#DIV/0!</v>
      </c>
      <c r="M191" s="126"/>
      <c r="N191" s="366">
        <f>M191*K191</f>
        <v>0</v>
      </c>
    </row>
    <row r="192">
      <c r="A192" s="154"/>
      <c r="B192" s="156"/>
      <c r="C192" s="89"/>
      <c r="D192" s="89"/>
      <c r="E192" s="12">
        <f t="shared" si="189"/>
        <v>0</v>
      </c>
      <c r="F192" s="157"/>
      <c r="G192" s="14" t="str">
        <f t="shared" si="184"/>
        <v>#DIV/0!</v>
      </c>
      <c r="H192" s="89"/>
      <c r="I192" s="137"/>
      <c r="J192" s="89">
        <f t="shared" si="185"/>
        <v>0</v>
      </c>
      <c r="K192" s="89" t="str">
        <f t="shared" si="186"/>
        <v/>
      </c>
      <c r="L192" s="152" t="str">
        <f t="shared" si="187"/>
        <v>#DIV/0!</v>
      </c>
      <c r="M192" s="126"/>
      <c r="N192" s="367">
        <f>F192*M192</f>
        <v>0</v>
      </c>
    </row>
    <row r="193">
      <c r="A193" s="62"/>
      <c r="B193" s="63"/>
      <c r="C193" s="62"/>
      <c r="D193" s="64" t="s">
        <v>19</v>
      </c>
      <c r="E193" s="64">
        <f t="shared" ref="E193:F193" si="190">sum(E188:E192)</f>
        <v>-297955</v>
      </c>
      <c r="F193" s="64">
        <f t="shared" si="190"/>
        <v>316.14</v>
      </c>
      <c r="G193" s="65" t="str">
        <f>average(G188:G192)</f>
        <v>#DIV/0!</v>
      </c>
      <c r="H193" s="62"/>
      <c r="I193" s="66"/>
      <c r="J193" s="64">
        <f t="shared" ref="J193:K193" si="191">sum(J188:J192)</f>
        <v>0</v>
      </c>
      <c r="K193" s="64">
        <f t="shared" si="191"/>
        <v>316.14</v>
      </c>
      <c r="L193" s="65" t="str">
        <f>average(L188:L192)</f>
        <v>#DIV/0!</v>
      </c>
      <c r="M193" s="68"/>
      <c r="N193" s="368">
        <f>sum(N188:N192)</f>
        <v>8685612.6</v>
      </c>
    </row>
    <row r="194">
      <c r="A194" s="70">
        <v>45839.0</v>
      </c>
      <c r="B194" s="156" t="s">
        <v>91</v>
      </c>
      <c r="C194" s="89"/>
      <c r="D194" s="13"/>
      <c r="E194" s="38">
        <f t="shared" ref="E194:E198" si="192">D194-C194</f>
        <v>0</v>
      </c>
      <c r="F194" s="39"/>
      <c r="G194" s="14" t="str">
        <f t="shared" ref="G194:G198" si="193">(F194/E194)*100</f>
        <v>#DIV/0!</v>
      </c>
      <c r="H194" s="89"/>
      <c r="I194" s="138"/>
      <c r="J194" s="41">
        <f t="shared" ref="J194:J198" si="194">I194-H194</f>
        <v>0</v>
      </c>
      <c r="K194" s="41" t="str">
        <f t="shared" ref="K194:K198" si="195">F194</f>
        <v/>
      </c>
      <c r="L194" s="152" t="str">
        <f t="shared" ref="L194:L198" si="196">(K194/J194)*100</f>
        <v>#DIV/0!</v>
      </c>
      <c r="M194" s="72"/>
      <c r="N194" s="366">
        <v>9900000.0</v>
      </c>
    </row>
    <row r="195">
      <c r="A195" s="154">
        <v>45853.0</v>
      </c>
      <c r="B195" s="156" t="s">
        <v>91</v>
      </c>
      <c r="C195" s="89"/>
      <c r="D195" s="89"/>
      <c r="E195" s="12">
        <f t="shared" si="192"/>
        <v>0</v>
      </c>
      <c r="F195" s="157"/>
      <c r="G195" s="14" t="str">
        <f t="shared" si="193"/>
        <v>#DIV/0!</v>
      </c>
      <c r="H195" s="89"/>
      <c r="I195" s="137"/>
      <c r="J195" s="89">
        <f t="shared" si="194"/>
        <v>0</v>
      </c>
      <c r="K195" s="89" t="str">
        <f t="shared" si="195"/>
        <v/>
      </c>
      <c r="L195" s="152" t="str">
        <f t="shared" si="196"/>
        <v>#DIV/0!</v>
      </c>
      <c r="M195" s="126"/>
      <c r="N195" s="372">
        <v>8000000.0</v>
      </c>
    </row>
    <row r="196">
      <c r="A196" s="154">
        <v>45868.0</v>
      </c>
      <c r="B196" s="156" t="s">
        <v>91</v>
      </c>
      <c r="C196" s="89"/>
      <c r="D196" s="89"/>
      <c r="E196" s="12">
        <f t="shared" si="192"/>
        <v>0</v>
      </c>
      <c r="F196" s="157"/>
      <c r="G196" s="14" t="str">
        <f t="shared" si="193"/>
        <v>#DIV/0!</v>
      </c>
      <c r="H196" s="89"/>
      <c r="I196" s="137"/>
      <c r="J196" s="89">
        <f t="shared" si="194"/>
        <v>0</v>
      </c>
      <c r="K196" s="89" t="str">
        <f t="shared" si="195"/>
        <v/>
      </c>
      <c r="L196" s="152" t="str">
        <f t="shared" si="196"/>
        <v>#DIV/0!</v>
      </c>
      <c r="M196" s="126"/>
      <c r="N196" s="367">
        <v>2000000.0</v>
      </c>
    </row>
    <row r="197">
      <c r="A197" s="154"/>
      <c r="B197" s="156" t="s">
        <v>91</v>
      </c>
      <c r="C197" s="89"/>
      <c r="D197" s="89"/>
      <c r="E197" s="12">
        <f t="shared" si="192"/>
        <v>0</v>
      </c>
      <c r="F197" s="157"/>
      <c r="G197" s="14" t="str">
        <f t="shared" si="193"/>
        <v>#DIV/0!</v>
      </c>
      <c r="H197" s="89"/>
      <c r="I197" s="137"/>
      <c r="J197" s="89">
        <f t="shared" si="194"/>
        <v>0</v>
      </c>
      <c r="K197" s="89" t="str">
        <f t="shared" si="195"/>
        <v/>
      </c>
      <c r="L197" s="152" t="str">
        <f t="shared" si="196"/>
        <v>#DIV/0!</v>
      </c>
      <c r="M197" s="126"/>
      <c r="N197" s="367">
        <f t="shared" ref="N197:N198" si="197">F197*M197</f>
        <v>0</v>
      </c>
    </row>
    <row r="198">
      <c r="A198" s="154"/>
      <c r="B198" s="156"/>
      <c r="C198" s="89"/>
      <c r="D198" s="89"/>
      <c r="E198" s="12">
        <f t="shared" si="192"/>
        <v>0</v>
      </c>
      <c r="F198" s="157"/>
      <c r="G198" s="14" t="str">
        <f t="shared" si="193"/>
        <v>#DIV/0!</v>
      </c>
      <c r="H198" s="89"/>
      <c r="I198" s="137"/>
      <c r="J198" s="89">
        <f t="shared" si="194"/>
        <v>0</v>
      </c>
      <c r="K198" s="89" t="str">
        <f t="shared" si="195"/>
        <v/>
      </c>
      <c r="L198" s="152" t="str">
        <f t="shared" si="196"/>
        <v>#DIV/0!</v>
      </c>
      <c r="M198" s="126"/>
      <c r="N198" s="367">
        <f t="shared" si="197"/>
        <v>0</v>
      </c>
    </row>
    <row r="199">
      <c r="A199" s="62"/>
      <c r="B199" s="63"/>
      <c r="C199" s="62"/>
      <c r="D199" s="64"/>
      <c r="E199" s="64">
        <f t="shared" ref="E199:F199" si="198">sum(E194:E198)</f>
        <v>0</v>
      </c>
      <c r="F199" s="64">
        <f t="shared" si="198"/>
        <v>0</v>
      </c>
      <c r="G199" s="65" t="str">
        <f>average(G194:G198)</f>
        <v>#DIV/0!</v>
      </c>
      <c r="H199" s="62"/>
      <c r="I199" s="66"/>
      <c r="J199" s="64">
        <f t="shared" ref="J199:K199" si="199">sum(J194:J198)</f>
        <v>0</v>
      </c>
      <c r="K199" s="64">
        <f t="shared" si="199"/>
        <v>0</v>
      </c>
      <c r="L199" s="65" t="str">
        <f>average(L194:L198)</f>
        <v>#DIV/0!</v>
      </c>
      <c r="M199" s="68"/>
      <c r="N199" s="368">
        <f>sum(N194:N198)</f>
        <v>19900000</v>
      </c>
    </row>
    <row r="200">
      <c r="A200" s="70">
        <v>45840.0</v>
      </c>
      <c r="B200" s="156" t="s">
        <v>54</v>
      </c>
      <c r="C200" s="89"/>
      <c r="D200" s="13"/>
      <c r="E200" s="38">
        <f t="shared" ref="E200:E205" si="200">D200-C200</f>
        <v>0</v>
      </c>
      <c r="F200" s="39"/>
      <c r="G200" s="14" t="str">
        <f t="shared" ref="G200:G205" si="201">(F200/E200)*100</f>
        <v>#DIV/0!</v>
      </c>
      <c r="H200" s="89"/>
      <c r="I200" s="138"/>
      <c r="J200" s="41">
        <f t="shared" ref="J200:J205" si="202">I200-H200</f>
        <v>0</v>
      </c>
      <c r="K200" s="41"/>
      <c r="L200" s="152" t="str">
        <f t="shared" ref="L200:L205" si="203">(K200/J200)*100</f>
        <v>#DIV/0!</v>
      </c>
      <c r="M200" s="72"/>
      <c r="N200" s="366">
        <v>5000000.0</v>
      </c>
    </row>
    <row r="201">
      <c r="A201" s="70">
        <v>45845.0</v>
      </c>
      <c r="B201" s="156" t="s">
        <v>54</v>
      </c>
      <c r="C201" s="89"/>
      <c r="D201" s="89"/>
      <c r="E201" s="12">
        <f t="shared" si="200"/>
        <v>0</v>
      </c>
      <c r="F201" s="157"/>
      <c r="G201" s="14" t="str">
        <f t="shared" si="201"/>
        <v>#DIV/0!</v>
      </c>
      <c r="H201" s="89"/>
      <c r="I201" s="137"/>
      <c r="J201" s="89">
        <f t="shared" si="202"/>
        <v>0</v>
      </c>
      <c r="K201" s="89" t="str">
        <f t="shared" ref="K201:K205" si="204">F201</f>
        <v/>
      </c>
      <c r="L201" s="152" t="str">
        <f t="shared" si="203"/>
        <v>#DIV/0!</v>
      </c>
      <c r="M201" s="126"/>
      <c r="N201" s="366">
        <v>5000000.0</v>
      </c>
    </row>
    <row r="202">
      <c r="A202" s="154">
        <v>45848.0</v>
      </c>
      <c r="B202" s="156" t="s">
        <v>54</v>
      </c>
      <c r="C202" s="89"/>
      <c r="D202" s="89"/>
      <c r="E202" s="12">
        <f t="shared" si="200"/>
        <v>0</v>
      </c>
      <c r="F202" s="157"/>
      <c r="G202" s="14" t="str">
        <f t="shared" si="201"/>
        <v>#DIV/0!</v>
      </c>
      <c r="H202" s="89"/>
      <c r="I202" s="137"/>
      <c r="J202" s="89">
        <f t="shared" si="202"/>
        <v>0</v>
      </c>
      <c r="K202" s="89" t="str">
        <f t="shared" si="204"/>
        <v/>
      </c>
      <c r="L202" s="152" t="str">
        <f t="shared" si="203"/>
        <v>#DIV/0!</v>
      </c>
      <c r="M202" s="126"/>
      <c r="N202" s="367">
        <v>6000000.0</v>
      </c>
    </row>
    <row r="203">
      <c r="A203" s="154">
        <v>45852.0</v>
      </c>
      <c r="B203" s="156" t="s">
        <v>54</v>
      </c>
      <c r="C203" s="89"/>
      <c r="D203" s="89"/>
      <c r="E203" s="12">
        <f t="shared" si="200"/>
        <v>0</v>
      </c>
      <c r="F203" s="157"/>
      <c r="G203" s="14" t="str">
        <f t="shared" si="201"/>
        <v>#DIV/0!</v>
      </c>
      <c r="H203" s="89"/>
      <c r="I203" s="137"/>
      <c r="J203" s="89">
        <f t="shared" si="202"/>
        <v>0</v>
      </c>
      <c r="K203" s="89" t="str">
        <f t="shared" si="204"/>
        <v/>
      </c>
      <c r="L203" s="152" t="str">
        <f t="shared" si="203"/>
        <v>#DIV/0!</v>
      </c>
      <c r="M203" s="126"/>
      <c r="N203" s="367">
        <v>5000000.0</v>
      </c>
    </row>
    <row r="204">
      <c r="A204" s="154">
        <v>45856.0</v>
      </c>
      <c r="B204" s="156" t="s">
        <v>54</v>
      </c>
      <c r="C204" s="89"/>
      <c r="D204" s="89"/>
      <c r="E204" s="12">
        <f t="shared" si="200"/>
        <v>0</v>
      </c>
      <c r="F204" s="157"/>
      <c r="G204" s="14" t="str">
        <f t="shared" si="201"/>
        <v>#DIV/0!</v>
      </c>
      <c r="H204" s="89"/>
      <c r="I204" s="137"/>
      <c r="J204" s="89">
        <f t="shared" si="202"/>
        <v>0</v>
      </c>
      <c r="K204" s="89" t="str">
        <f t="shared" si="204"/>
        <v/>
      </c>
      <c r="L204" s="152" t="str">
        <f t="shared" si="203"/>
        <v>#DIV/0!</v>
      </c>
      <c r="M204" s="126"/>
      <c r="N204" s="367">
        <v>6000000.0</v>
      </c>
    </row>
    <row r="205">
      <c r="A205" s="154">
        <v>45859.0</v>
      </c>
      <c r="B205" s="156" t="s">
        <v>54</v>
      </c>
      <c r="C205" s="89"/>
      <c r="D205" s="89"/>
      <c r="E205" s="12">
        <f t="shared" si="200"/>
        <v>0</v>
      </c>
      <c r="F205" s="157"/>
      <c r="G205" s="14" t="str">
        <f t="shared" si="201"/>
        <v>#DIV/0!</v>
      </c>
      <c r="H205" s="89"/>
      <c r="I205" s="137"/>
      <c r="J205" s="89">
        <f t="shared" si="202"/>
        <v>0</v>
      </c>
      <c r="K205" s="89" t="str">
        <f t="shared" si="204"/>
        <v/>
      </c>
      <c r="L205" s="152" t="str">
        <f t="shared" si="203"/>
        <v>#DIV/0!</v>
      </c>
      <c r="M205" s="126"/>
      <c r="N205" s="367">
        <v>7000000.0</v>
      </c>
    </row>
    <row r="206">
      <c r="A206" s="154">
        <v>45866.0</v>
      </c>
      <c r="B206" s="156" t="s">
        <v>54</v>
      </c>
      <c r="C206" s="89"/>
      <c r="D206" s="89"/>
      <c r="E206" s="12"/>
      <c r="F206" s="157"/>
      <c r="G206" s="14"/>
      <c r="H206" s="89"/>
      <c r="I206" s="137"/>
      <c r="J206" s="89"/>
      <c r="K206" s="89"/>
      <c r="L206" s="152"/>
      <c r="M206" s="126"/>
      <c r="N206" s="367">
        <v>2000000.0</v>
      </c>
    </row>
    <row r="207">
      <c r="A207" s="154">
        <v>45868.0</v>
      </c>
      <c r="B207" s="156" t="s">
        <v>54</v>
      </c>
      <c r="C207" s="89"/>
      <c r="D207" s="89"/>
      <c r="E207" s="12">
        <f>D207-C207</f>
        <v>0</v>
      </c>
      <c r="F207" s="157"/>
      <c r="G207" s="14" t="str">
        <f>(F207/E207)*100</f>
        <v>#DIV/0!</v>
      </c>
      <c r="H207" s="89"/>
      <c r="I207" s="137"/>
      <c r="J207" s="89">
        <f>I207-H207</f>
        <v>0</v>
      </c>
      <c r="K207" s="89" t="str">
        <f>F207</f>
        <v/>
      </c>
      <c r="L207" s="152" t="str">
        <f>(K207/J207)*100</f>
        <v>#DIV/0!</v>
      </c>
      <c r="M207" s="126"/>
      <c r="N207" s="367">
        <v>5000000.0</v>
      </c>
    </row>
    <row r="208">
      <c r="A208" s="62"/>
      <c r="B208" s="63"/>
      <c r="C208" s="62"/>
      <c r="D208" s="64" t="s">
        <v>19</v>
      </c>
      <c r="E208" s="64">
        <f t="shared" ref="E208:F208" si="205">sum(E200:E207)</f>
        <v>0</v>
      </c>
      <c r="F208" s="64">
        <f t="shared" si="205"/>
        <v>0</v>
      </c>
      <c r="G208" s="65" t="str">
        <f>average(G200:G207)</f>
        <v>#DIV/0!</v>
      </c>
      <c r="H208" s="62"/>
      <c r="I208" s="66"/>
      <c r="J208" s="64">
        <f t="shared" ref="J208:K208" si="206">sum(J200:J207)</f>
        <v>0</v>
      </c>
      <c r="K208" s="64">
        <f t="shared" si="206"/>
        <v>0</v>
      </c>
      <c r="L208" s="65" t="str">
        <f>average(L200:L207)</f>
        <v>#DIV/0!</v>
      </c>
      <c r="M208" s="68"/>
      <c r="N208" s="368">
        <f>sum(N200:N207)</f>
        <v>41000000</v>
      </c>
    </row>
    <row r="209">
      <c r="A209" s="70">
        <v>45840.0</v>
      </c>
      <c r="B209" s="156" t="s">
        <v>69</v>
      </c>
      <c r="C209" s="89"/>
      <c r="D209" s="13"/>
      <c r="E209" s="38">
        <f t="shared" ref="E209:E212" si="207">D209-C209</f>
        <v>0</v>
      </c>
      <c r="F209" s="39">
        <v>258.53</v>
      </c>
      <c r="G209" s="14" t="str">
        <f t="shared" ref="G209:G212" si="208">(F209/E209)*100</f>
        <v>#DIV/0!</v>
      </c>
      <c r="H209" s="89"/>
      <c r="I209" s="138"/>
      <c r="J209" s="41">
        <f t="shared" ref="J209:J212" si="209">I209-H209</f>
        <v>0</v>
      </c>
      <c r="K209" s="41">
        <f t="shared" ref="K209:K214" si="210">F209</f>
        <v>258.53</v>
      </c>
      <c r="L209" s="152" t="str">
        <f t="shared" ref="L209:L212" si="211">(K209/J209)*100</f>
        <v>#DIV/0!</v>
      </c>
      <c r="M209" s="72">
        <v>19340.0</v>
      </c>
      <c r="N209" s="366">
        <f t="shared" ref="N209:N210" si="212">M209*F209</f>
        <v>4999970.2</v>
      </c>
    </row>
    <row r="210">
      <c r="A210" s="154">
        <v>45846.0</v>
      </c>
      <c r="B210" s="156" t="s">
        <v>69</v>
      </c>
      <c r="C210" s="89"/>
      <c r="D210" s="89"/>
      <c r="E210" s="12">
        <f t="shared" si="207"/>
        <v>0</v>
      </c>
      <c r="F210" s="157">
        <v>271.74</v>
      </c>
      <c r="G210" s="14" t="str">
        <f t="shared" si="208"/>
        <v>#DIV/0!</v>
      </c>
      <c r="H210" s="89"/>
      <c r="I210" s="137"/>
      <c r="J210" s="89">
        <f t="shared" si="209"/>
        <v>0</v>
      </c>
      <c r="K210" s="41">
        <f t="shared" si="210"/>
        <v>271.74</v>
      </c>
      <c r="L210" s="152" t="str">
        <f t="shared" si="211"/>
        <v>#DIV/0!</v>
      </c>
      <c r="M210" s="126">
        <v>18400.0</v>
      </c>
      <c r="N210" s="366">
        <f t="shared" si="212"/>
        <v>5000016</v>
      </c>
    </row>
    <row r="211">
      <c r="A211" s="154">
        <v>45855.0</v>
      </c>
      <c r="B211" s="156" t="s">
        <v>69</v>
      </c>
      <c r="C211" s="89"/>
      <c r="D211" s="89"/>
      <c r="E211" s="12">
        <f t="shared" si="207"/>
        <v>0</v>
      </c>
      <c r="F211" s="157"/>
      <c r="G211" s="14" t="str">
        <f t="shared" si="208"/>
        <v>#DIV/0!</v>
      </c>
      <c r="H211" s="89"/>
      <c r="I211" s="137"/>
      <c r="J211" s="89">
        <f t="shared" si="209"/>
        <v>0</v>
      </c>
      <c r="K211" s="41" t="str">
        <f t="shared" si="210"/>
        <v/>
      </c>
      <c r="L211" s="152" t="str">
        <f t="shared" si="211"/>
        <v>#DIV/0!</v>
      </c>
      <c r="M211" s="126"/>
      <c r="N211" s="366">
        <v>5000000.0</v>
      </c>
    </row>
    <row r="212">
      <c r="A212" s="154">
        <v>45867.0</v>
      </c>
      <c r="B212" s="156" t="s">
        <v>69</v>
      </c>
      <c r="C212" s="89"/>
      <c r="D212" s="89"/>
      <c r="E212" s="12">
        <f t="shared" si="207"/>
        <v>0</v>
      </c>
      <c r="F212" s="157"/>
      <c r="G212" s="14" t="str">
        <f t="shared" si="208"/>
        <v>#DIV/0!</v>
      </c>
      <c r="H212" s="89"/>
      <c r="I212" s="137"/>
      <c r="J212" s="89">
        <f t="shared" si="209"/>
        <v>0</v>
      </c>
      <c r="K212" s="41" t="str">
        <f t="shared" si="210"/>
        <v/>
      </c>
      <c r="L212" s="152" t="str">
        <f t="shared" si="211"/>
        <v>#DIV/0!</v>
      </c>
      <c r="M212" s="126"/>
      <c r="N212" s="366">
        <v>1500000.0</v>
      </c>
    </row>
    <row r="213">
      <c r="A213" s="154"/>
      <c r="B213" s="156" t="s">
        <v>69</v>
      </c>
      <c r="C213" s="89"/>
      <c r="D213" s="89"/>
      <c r="E213" s="12"/>
      <c r="F213" s="157"/>
      <c r="G213" s="14"/>
      <c r="H213" s="89"/>
      <c r="I213" s="137"/>
      <c r="J213" s="89"/>
      <c r="K213" s="41" t="str">
        <f t="shared" si="210"/>
        <v/>
      </c>
      <c r="L213" s="152"/>
      <c r="M213" s="126"/>
      <c r="N213" s="366">
        <f t="shared" ref="N213:N214" si="213">M213*F213</f>
        <v>0</v>
      </c>
    </row>
    <row r="214">
      <c r="A214" s="154"/>
      <c r="B214" s="156" t="s">
        <v>69</v>
      </c>
      <c r="C214" s="89"/>
      <c r="D214" s="89"/>
      <c r="E214" s="12">
        <f>D214-C214</f>
        <v>0</v>
      </c>
      <c r="F214" s="157"/>
      <c r="G214" s="14" t="str">
        <f>(F214/E214)*100</f>
        <v>#DIV/0!</v>
      </c>
      <c r="H214" s="89"/>
      <c r="I214" s="137"/>
      <c r="J214" s="89">
        <f>I214-H214</f>
        <v>0</v>
      </c>
      <c r="K214" s="89" t="str">
        <f t="shared" si="210"/>
        <v/>
      </c>
      <c r="L214" s="152" t="str">
        <f>(K214/J214)*100</f>
        <v>#DIV/0!</v>
      </c>
      <c r="M214" s="126"/>
      <c r="N214" s="366">
        <f t="shared" si="213"/>
        <v>0</v>
      </c>
    </row>
    <row r="215">
      <c r="A215" s="62"/>
      <c r="B215" s="63"/>
      <c r="C215" s="62"/>
      <c r="D215" s="64" t="s">
        <v>19</v>
      </c>
      <c r="E215" s="64">
        <f t="shared" ref="E215:F215" si="214">sum(E209:E214)</f>
        <v>0</v>
      </c>
      <c r="F215" s="64">
        <f t="shared" si="214"/>
        <v>530.27</v>
      </c>
      <c r="G215" s="65" t="str">
        <f>average(G209:G214)</f>
        <v>#DIV/0!</v>
      </c>
      <c r="H215" s="62"/>
      <c r="I215" s="66"/>
      <c r="J215" s="64">
        <f t="shared" ref="J215:K215" si="215">sum(J209:J214)</f>
        <v>0</v>
      </c>
      <c r="K215" s="64">
        <f t="shared" si="215"/>
        <v>530.27</v>
      </c>
      <c r="L215" s="65" t="str">
        <f>average(L209:L214)</f>
        <v>#DIV/0!</v>
      </c>
      <c r="M215" s="68"/>
      <c r="N215" s="368">
        <f>sum(N209:N214)</f>
        <v>16499986.2</v>
      </c>
    </row>
    <row r="216">
      <c r="A216" s="198" t="s">
        <v>64</v>
      </c>
      <c r="B216" s="199"/>
      <c r="C216" s="199"/>
      <c r="D216" s="199"/>
      <c r="E216" s="199"/>
      <c r="F216" s="199"/>
      <c r="G216" s="199"/>
      <c r="H216" s="199"/>
      <c r="I216" s="199"/>
      <c r="J216" s="199"/>
      <c r="K216" s="199"/>
      <c r="L216" s="200"/>
      <c r="M216" s="68"/>
      <c r="N216" s="368">
        <f>SUM(N158:N215)/2</f>
        <v>150455515.2</v>
      </c>
    </row>
    <row r="217">
      <c r="G217" s="168"/>
      <c r="L217" s="168"/>
    </row>
    <row r="218">
      <c r="G218" s="168"/>
      <c r="L218" s="168"/>
      <c r="N218" s="197">
        <v>1.24719013E8</v>
      </c>
    </row>
    <row r="219">
      <c r="G219" s="168"/>
      <c r="L219" s="168"/>
    </row>
    <row r="220">
      <c r="G220" s="168"/>
      <c r="L220" s="168"/>
    </row>
    <row r="221">
      <c r="G221" s="168"/>
      <c r="L221" s="168"/>
    </row>
    <row r="222">
      <c r="G222" s="168"/>
      <c r="L222" s="168"/>
    </row>
    <row r="223">
      <c r="G223" s="168"/>
      <c r="L223" s="168"/>
    </row>
    <row r="224">
      <c r="G224" s="168"/>
      <c r="L224" s="168"/>
    </row>
    <row r="225">
      <c r="G225" s="168"/>
      <c r="L225" s="168"/>
    </row>
    <row r="226">
      <c r="G226" s="168"/>
      <c r="L226" s="168"/>
    </row>
    <row r="227">
      <c r="G227" s="168"/>
      <c r="L227" s="168"/>
    </row>
    <row r="228">
      <c r="G228" s="168"/>
      <c r="L228" s="168"/>
    </row>
    <row r="229">
      <c r="G229" s="168"/>
      <c r="L229" s="168"/>
    </row>
    <row r="230">
      <c r="G230" s="168"/>
      <c r="L230" s="168"/>
    </row>
    <row r="231">
      <c r="G231" s="168"/>
      <c r="L231" s="168"/>
    </row>
    <row r="232">
      <c r="G232" s="168"/>
      <c r="L232" s="168"/>
    </row>
    <row r="233">
      <c r="G233" s="168"/>
      <c r="L233" s="168"/>
    </row>
    <row r="234">
      <c r="G234" s="168"/>
      <c r="L234" s="168"/>
    </row>
    <row r="235">
      <c r="G235" s="168"/>
      <c r="L235" s="168"/>
    </row>
    <row r="236">
      <c r="G236" s="168"/>
      <c r="L236" s="168"/>
    </row>
    <row r="237">
      <c r="G237" s="168"/>
      <c r="L237" s="168"/>
    </row>
    <row r="238">
      <c r="G238" s="168"/>
      <c r="L238" s="168"/>
    </row>
    <row r="239">
      <c r="G239" s="168"/>
      <c r="L239" s="168"/>
    </row>
    <row r="240">
      <c r="G240" s="168"/>
      <c r="L240" s="168"/>
    </row>
    <row r="241">
      <c r="G241" s="168"/>
      <c r="L241" s="168"/>
    </row>
    <row r="242">
      <c r="G242" s="168"/>
      <c r="L242" s="168"/>
    </row>
    <row r="243">
      <c r="G243" s="168"/>
      <c r="L243" s="168"/>
    </row>
    <row r="244">
      <c r="G244" s="168"/>
      <c r="L244" s="168"/>
    </row>
    <row r="245">
      <c r="G245" s="168"/>
      <c r="L245" s="168"/>
    </row>
    <row r="246">
      <c r="G246" s="168"/>
      <c r="L246" s="168"/>
    </row>
    <row r="247">
      <c r="G247" s="168"/>
      <c r="L247" s="168"/>
    </row>
    <row r="248">
      <c r="G248" s="168"/>
      <c r="L248" s="168"/>
    </row>
    <row r="249">
      <c r="G249" s="168"/>
      <c r="L249" s="168"/>
    </row>
    <row r="250">
      <c r="G250" s="168"/>
      <c r="L250" s="168"/>
    </row>
    <row r="251">
      <c r="G251" s="168"/>
      <c r="L251" s="168"/>
    </row>
    <row r="252">
      <c r="G252" s="168"/>
      <c r="L252" s="168"/>
    </row>
    <row r="253">
      <c r="G253" s="168"/>
      <c r="L253" s="168"/>
    </row>
    <row r="254">
      <c r="G254" s="168"/>
      <c r="L254" s="168"/>
    </row>
    <row r="255">
      <c r="G255" s="168"/>
      <c r="L255" s="168"/>
    </row>
    <row r="256">
      <c r="G256" s="168"/>
      <c r="L256" s="168"/>
    </row>
    <row r="257">
      <c r="G257" s="168"/>
      <c r="L257" s="168"/>
    </row>
    <row r="258">
      <c r="G258" s="168"/>
      <c r="L258" s="168"/>
    </row>
    <row r="259">
      <c r="G259" s="168"/>
      <c r="L259" s="168"/>
    </row>
    <row r="260">
      <c r="G260" s="168"/>
      <c r="L260" s="168"/>
    </row>
    <row r="261">
      <c r="G261" s="168"/>
      <c r="L261" s="168"/>
    </row>
    <row r="262">
      <c r="G262" s="168"/>
      <c r="L262" s="168"/>
    </row>
    <row r="263">
      <c r="G263" s="168"/>
      <c r="L263" s="168"/>
    </row>
    <row r="264">
      <c r="G264" s="168"/>
      <c r="L264" s="168"/>
    </row>
    <row r="265">
      <c r="G265" s="168"/>
      <c r="L265" s="168"/>
    </row>
    <row r="266">
      <c r="G266" s="168"/>
      <c r="L266" s="168"/>
    </row>
    <row r="267">
      <c r="G267" s="168"/>
      <c r="L267" s="168"/>
    </row>
    <row r="268">
      <c r="G268" s="168"/>
      <c r="L268" s="168"/>
    </row>
    <row r="269">
      <c r="G269" s="168"/>
      <c r="L269" s="168"/>
    </row>
    <row r="270">
      <c r="G270" s="168"/>
      <c r="L270" s="168"/>
    </row>
    <row r="271">
      <c r="G271" s="168"/>
      <c r="L271" s="168"/>
    </row>
    <row r="272">
      <c r="G272" s="168"/>
      <c r="L272" s="168"/>
    </row>
    <row r="273">
      <c r="G273" s="168"/>
      <c r="L273" s="168"/>
    </row>
    <row r="274">
      <c r="G274" s="168"/>
      <c r="L274" s="168"/>
    </row>
    <row r="275">
      <c r="G275" s="168"/>
      <c r="L275" s="168"/>
    </row>
    <row r="276">
      <c r="G276" s="168"/>
      <c r="L276" s="168"/>
    </row>
    <row r="277">
      <c r="G277" s="168"/>
      <c r="L277" s="168"/>
    </row>
    <row r="278">
      <c r="G278" s="168"/>
      <c r="L278" s="168"/>
    </row>
    <row r="279">
      <c r="G279" s="168"/>
      <c r="L279" s="168"/>
    </row>
    <row r="280">
      <c r="G280" s="168"/>
      <c r="L280" s="168"/>
    </row>
    <row r="281">
      <c r="G281" s="168"/>
      <c r="L281" s="168"/>
    </row>
    <row r="282">
      <c r="G282" s="168"/>
      <c r="L282" s="168"/>
    </row>
    <row r="283">
      <c r="G283" s="168"/>
      <c r="L283" s="168"/>
    </row>
    <row r="284">
      <c r="G284" s="168"/>
      <c r="L284" s="168"/>
    </row>
    <row r="285">
      <c r="G285" s="168"/>
      <c r="L285" s="168"/>
    </row>
    <row r="286">
      <c r="G286" s="168"/>
      <c r="L286" s="168"/>
    </row>
    <row r="287">
      <c r="G287" s="168"/>
      <c r="L287" s="168"/>
    </row>
    <row r="288">
      <c r="G288" s="168"/>
      <c r="L288" s="168"/>
    </row>
    <row r="289">
      <c r="G289" s="168"/>
      <c r="L289" s="168"/>
    </row>
    <row r="290">
      <c r="G290" s="168"/>
      <c r="L290" s="168"/>
    </row>
    <row r="291">
      <c r="G291" s="168"/>
      <c r="L291" s="168"/>
    </row>
    <row r="292">
      <c r="G292" s="168"/>
      <c r="L292" s="168"/>
    </row>
    <row r="293">
      <c r="G293" s="168"/>
      <c r="L293" s="168"/>
    </row>
    <row r="294">
      <c r="G294" s="168"/>
      <c r="L294" s="168"/>
    </row>
    <row r="295">
      <c r="G295" s="168"/>
      <c r="L295" s="168"/>
    </row>
    <row r="296">
      <c r="G296" s="168"/>
      <c r="L296" s="168"/>
    </row>
    <row r="297">
      <c r="G297" s="168"/>
      <c r="L297" s="168"/>
    </row>
    <row r="298">
      <c r="G298" s="168"/>
      <c r="L298" s="168"/>
    </row>
    <row r="299">
      <c r="G299" s="168"/>
      <c r="L299" s="168"/>
    </row>
    <row r="300">
      <c r="G300" s="168"/>
      <c r="L300" s="168"/>
    </row>
    <row r="301">
      <c r="G301" s="168"/>
      <c r="L301" s="168"/>
    </row>
    <row r="302">
      <c r="G302" s="168"/>
      <c r="L302" s="168"/>
    </row>
    <row r="303">
      <c r="G303" s="168"/>
      <c r="L303" s="168"/>
    </row>
    <row r="304">
      <c r="G304" s="168"/>
      <c r="L304" s="168"/>
    </row>
    <row r="305">
      <c r="G305" s="168"/>
      <c r="L305" s="168"/>
    </row>
    <row r="306">
      <c r="G306" s="168"/>
      <c r="L306" s="168"/>
    </row>
    <row r="307">
      <c r="G307" s="168"/>
      <c r="L307" s="168"/>
    </row>
    <row r="308">
      <c r="G308" s="168"/>
      <c r="L308" s="168"/>
    </row>
    <row r="309">
      <c r="G309" s="168"/>
      <c r="L309" s="168"/>
    </row>
    <row r="310">
      <c r="G310" s="168"/>
      <c r="L310" s="168"/>
    </row>
    <row r="311">
      <c r="G311" s="168"/>
      <c r="L311" s="168"/>
    </row>
    <row r="312">
      <c r="G312" s="168"/>
      <c r="L312" s="168"/>
    </row>
    <row r="313">
      <c r="G313" s="168"/>
      <c r="L313" s="168"/>
    </row>
    <row r="314">
      <c r="G314" s="168"/>
      <c r="L314" s="168"/>
    </row>
    <row r="315">
      <c r="G315" s="168"/>
      <c r="L315" s="168"/>
    </row>
    <row r="316">
      <c r="G316" s="168"/>
      <c r="L316" s="168"/>
    </row>
    <row r="317">
      <c r="G317" s="168"/>
      <c r="L317" s="168"/>
    </row>
    <row r="318">
      <c r="G318" s="168"/>
      <c r="L318" s="168"/>
    </row>
    <row r="319">
      <c r="G319" s="168"/>
      <c r="L319" s="168"/>
    </row>
    <row r="320">
      <c r="G320" s="168"/>
      <c r="L320" s="168"/>
    </row>
    <row r="321">
      <c r="G321" s="168"/>
      <c r="L321" s="168"/>
    </row>
    <row r="322">
      <c r="G322" s="168"/>
      <c r="L322" s="168"/>
    </row>
    <row r="323">
      <c r="G323" s="168"/>
      <c r="L323" s="168"/>
    </row>
    <row r="324">
      <c r="G324" s="168"/>
      <c r="L324" s="168"/>
    </row>
    <row r="325">
      <c r="G325" s="168"/>
      <c r="L325" s="168"/>
    </row>
    <row r="326">
      <c r="G326" s="168"/>
      <c r="L326" s="168"/>
    </row>
    <row r="327">
      <c r="G327" s="168"/>
      <c r="L327" s="168"/>
    </row>
    <row r="328">
      <c r="G328" s="168"/>
      <c r="L328" s="168"/>
    </row>
    <row r="329">
      <c r="G329" s="168"/>
      <c r="L329" s="168"/>
    </row>
    <row r="330">
      <c r="G330" s="168"/>
      <c r="L330" s="168"/>
    </row>
    <row r="331">
      <c r="G331" s="168"/>
      <c r="L331" s="168"/>
    </row>
    <row r="332">
      <c r="G332" s="168"/>
      <c r="L332" s="168"/>
    </row>
    <row r="333">
      <c r="G333" s="168"/>
      <c r="L333" s="168"/>
    </row>
    <row r="334">
      <c r="G334" s="168"/>
      <c r="L334" s="168"/>
    </row>
    <row r="335">
      <c r="G335" s="168"/>
      <c r="L335" s="168"/>
    </row>
    <row r="336">
      <c r="G336" s="168"/>
      <c r="L336" s="168"/>
    </row>
    <row r="337">
      <c r="G337" s="168"/>
      <c r="L337" s="168"/>
    </row>
    <row r="338">
      <c r="G338" s="168"/>
      <c r="L338" s="168"/>
    </row>
    <row r="339">
      <c r="G339" s="168"/>
      <c r="L339" s="168"/>
    </row>
    <row r="340">
      <c r="G340" s="168"/>
      <c r="L340" s="168"/>
    </row>
    <row r="341">
      <c r="G341" s="168"/>
      <c r="L341" s="168"/>
    </row>
    <row r="342">
      <c r="G342" s="168"/>
      <c r="L342" s="168"/>
    </row>
    <row r="343">
      <c r="G343" s="168"/>
      <c r="L343" s="168"/>
    </row>
    <row r="344">
      <c r="G344" s="168"/>
      <c r="L344" s="168"/>
    </row>
    <row r="345">
      <c r="G345" s="168"/>
      <c r="L345" s="168"/>
    </row>
    <row r="346">
      <c r="G346" s="168"/>
      <c r="L346" s="168"/>
    </row>
    <row r="347">
      <c r="G347" s="168"/>
      <c r="L347" s="168"/>
    </row>
    <row r="348">
      <c r="G348" s="168"/>
      <c r="L348" s="168"/>
    </row>
    <row r="349">
      <c r="G349" s="168"/>
      <c r="L349" s="168"/>
    </row>
    <row r="350">
      <c r="G350" s="168"/>
      <c r="L350" s="168"/>
    </row>
    <row r="351">
      <c r="G351" s="168"/>
      <c r="L351" s="168"/>
    </row>
    <row r="352">
      <c r="G352" s="168"/>
      <c r="L352" s="168"/>
    </row>
    <row r="353">
      <c r="G353" s="168"/>
      <c r="L353" s="168"/>
    </row>
    <row r="354">
      <c r="G354" s="168"/>
      <c r="L354" s="168"/>
    </row>
    <row r="355">
      <c r="G355" s="168"/>
      <c r="L355" s="168"/>
    </row>
    <row r="356">
      <c r="G356" s="168"/>
      <c r="L356" s="168"/>
    </row>
    <row r="357">
      <c r="G357" s="168"/>
      <c r="L357" s="168"/>
    </row>
    <row r="358">
      <c r="G358" s="168"/>
      <c r="L358" s="168"/>
    </row>
    <row r="359">
      <c r="G359" s="168"/>
      <c r="L359" s="168"/>
    </row>
    <row r="360">
      <c r="G360" s="168"/>
      <c r="L360" s="168"/>
    </row>
    <row r="361">
      <c r="G361" s="168"/>
      <c r="L361" s="168"/>
    </row>
    <row r="362">
      <c r="G362" s="168"/>
      <c r="L362" s="168"/>
    </row>
    <row r="363">
      <c r="G363" s="168"/>
      <c r="L363" s="168"/>
    </row>
    <row r="364">
      <c r="G364" s="168"/>
      <c r="L364" s="168"/>
    </row>
    <row r="365">
      <c r="G365" s="168"/>
      <c r="L365" s="168"/>
    </row>
    <row r="366">
      <c r="G366" s="168"/>
      <c r="L366" s="168"/>
    </row>
    <row r="367">
      <c r="G367" s="168"/>
      <c r="L367" s="168"/>
    </row>
    <row r="368">
      <c r="G368" s="168"/>
      <c r="L368" s="168"/>
    </row>
    <row r="369">
      <c r="G369" s="168"/>
      <c r="L369" s="168"/>
    </row>
    <row r="370">
      <c r="G370" s="168"/>
      <c r="L370" s="168"/>
    </row>
    <row r="371">
      <c r="G371" s="168"/>
      <c r="L371" s="168"/>
    </row>
    <row r="372">
      <c r="G372" s="168"/>
      <c r="L372" s="168"/>
    </row>
    <row r="373">
      <c r="G373" s="168"/>
      <c r="L373" s="168"/>
    </row>
    <row r="374">
      <c r="G374" s="168"/>
      <c r="L374" s="168"/>
    </row>
    <row r="375">
      <c r="G375" s="168"/>
      <c r="L375" s="168"/>
    </row>
    <row r="376">
      <c r="G376" s="168"/>
      <c r="L376" s="168"/>
    </row>
    <row r="377">
      <c r="G377" s="168"/>
      <c r="L377" s="168"/>
    </row>
    <row r="378">
      <c r="G378" s="168"/>
      <c r="L378" s="168"/>
    </row>
    <row r="379">
      <c r="G379" s="168"/>
      <c r="L379" s="168"/>
    </row>
    <row r="380">
      <c r="G380" s="168"/>
      <c r="L380" s="168"/>
    </row>
    <row r="381">
      <c r="G381" s="168"/>
      <c r="L381" s="168"/>
    </row>
    <row r="382">
      <c r="G382" s="168"/>
      <c r="L382" s="168"/>
    </row>
    <row r="383">
      <c r="G383" s="168"/>
      <c r="L383" s="168"/>
    </row>
    <row r="384">
      <c r="G384" s="168"/>
      <c r="L384" s="168"/>
    </row>
    <row r="385">
      <c r="G385" s="168"/>
      <c r="L385" s="168"/>
    </row>
    <row r="386">
      <c r="G386" s="168"/>
      <c r="L386" s="168"/>
    </row>
    <row r="387">
      <c r="G387" s="168"/>
      <c r="L387" s="168"/>
    </row>
    <row r="388">
      <c r="G388" s="168"/>
      <c r="L388" s="168"/>
    </row>
    <row r="389">
      <c r="G389" s="168"/>
      <c r="L389" s="168"/>
    </row>
    <row r="390">
      <c r="G390" s="168"/>
      <c r="L390" s="168"/>
    </row>
    <row r="391">
      <c r="G391" s="168"/>
      <c r="L391" s="168"/>
    </row>
    <row r="392">
      <c r="G392" s="168"/>
      <c r="L392" s="168"/>
    </row>
    <row r="393">
      <c r="G393" s="168"/>
      <c r="L393" s="168"/>
    </row>
    <row r="394">
      <c r="G394" s="168"/>
      <c r="L394" s="168"/>
    </row>
    <row r="395">
      <c r="G395" s="168"/>
      <c r="L395" s="168"/>
    </row>
    <row r="396">
      <c r="G396" s="168"/>
      <c r="L396" s="168"/>
    </row>
    <row r="397">
      <c r="G397" s="168"/>
      <c r="L397" s="168"/>
    </row>
    <row r="398">
      <c r="G398" s="168"/>
      <c r="L398" s="168"/>
    </row>
    <row r="399">
      <c r="G399" s="168"/>
      <c r="L399" s="168"/>
    </row>
    <row r="400">
      <c r="G400" s="168"/>
      <c r="L400" s="168"/>
    </row>
    <row r="401">
      <c r="G401" s="168"/>
      <c r="L401" s="168"/>
    </row>
    <row r="402">
      <c r="G402" s="168"/>
      <c r="L402" s="168"/>
    </row>
    <row r="403">
      <c r="G403" s="168"/>
      <c r="L403" s="168"/>
    </row>
    <row r="404">
      <c r="G404" s="168"/>
      <c r="L404" s="168"/>
    </row>
    <row r="405">
      <c r="G405" s="168"/>
      <c r="L405" s="168"/>
    </row>
    <row r="406">
      <c r="G406" s="168"/>
      <c r="L406" s="168"/>
    </row>
    <row r="407">
      <c r="G407" s="168"/>
      <c r="L407" s="168"/>
    </row>
    <row r="408">
      <c r="G408" s="168"/>
      <c r="L408" s="168"/>
    </row>
    <row r="409">
      <c r="G409" s="168"/>
      <c r="L409" s="168"/>
    </row>
    <row r="410">
      <c r="G410" s="168"/>
      <c r="L410" s="168"/>
    </row>
    <row r="411">
      <c r="G411" s="168"/>
      <c r="L411" s="168"/>
    </row>
    <row r="412">
      <c r="G412" s="168"/>
      <c r="L412" s="168"/>
    </row>
    <row r="413">
      <c r="G413" s="168"/>
      <c r="L413" s="168"/>
    </row>
    <row r="414">
      <c r="G414" s="168"/>
      <c r="L414" s="168"/>
    </row>
    <row r="415">
      <c r="G415" s="168"/>
      <c r="L415" s="168"/>
    </row>
    <row r="416">
      <c r="G416" s="168"/>
      <c r="L416" s="168"/>
    </row>
    <row r="417">
      <c r="G417" s="168"/>
      <c r="L417" s="168"/>
    </row>
    <row r="418">
      <c r="G418" s="168"/>
      <c r="L418" s="168"/>
    </row>
    <row r="419">
      <c r="G419" s="168"/>
      <c r="L419" s="168"/>
    </row>
    <row r="420">
      <c r="G420" s="168"/>
      <c r="L420" s="168"/>
    </row>
    <row r="421">
      <c r="G421" s="168"/>
      <c r="L421" s="168"/>
    </row>
    <row r="422">
      <c r="G422" s="168"/>
      <c r="L422" s="168"/>
    </row>
    <row r="423">
      <c r="G423" s="168"/>
      <c r="L423" s="168"/>
    </row>
    <row r="424">
      <c r="G424" s="168"/>
      <c r="L424" s="168"/>
    </row>
    <row r="425">
      <c r="G425" s="168"/>
      <c r="L425" s="168"/>
    </row>
    <row r="426">
      <c r="G426" s="168"/>
      <c r="L426" s="168"/>
    </row>
    <row r="427">
      <c r="G427" s="168"/>
      <c r="L427" s="168"/>
    </row>
    <row r="428">
      <c r="G428" s="168"/>
      <c r="L428" s="168"/>
    </row>
    <row r="429">
      <c r="G429" s="168"/>
      <c r="L429" s="168"/>
    </row>
    <row r="430">
      <c r="G430" s="168"/>
      <c r="L430" s="168"/>
    </row>
    <row r="431">
      <c r="G431" s="168"/>
      <c r="L431" s="168"/>
    </row>
    <row r="432">
      <c r="G432" s="168"/>
      <c r="L432" s="168"/>
    </row>
    <row r="433">
      <c r="G433" s="168"/>
      <c r="L433" s="168"/>
    </row>
    <row r="434">
      <c r="G434" s="168"/>
      <c r="L434" s="168"/>
    </row>
    <row r="435">
      <c r="G435" s="168"/>
      <c r="L435" s="168"/>
    </row>
    <row r="436">
      <c r="G436" s="168"/>
      <c r="L436" s="168"/>
    </row>
    <row r="437">
      <c r="G437" s="168"/>
      <c r="L437" s="168"/>
    </row>
    <row r="438">
      <c r="G438" s="168"/>
      <c r="L438" s="168"/>
    </row>
    <row r="439">
      <c r="G439" s="168"/>
      <c r="L439" s="168"/>
    </row>
    <row r="440">
      <c r="G440" s="168"/>
      <c r="L440" s="168"/>
    </row>
    <row r="441">
      <c r="G441" s="168"/>
      <c r="L441" s="168"/>
    </row>
    <row r="442">
      <c r="G442" s="168"/>
      <c r="L442" s="168"/>
    </row>
    <row r="443">
      <c r="G443" s="168"/>
      <c r="L443" s="168"/>
    </row>
    <row r="444">
      <c r="G444" s="168"/>
      <c r="L444" s="168"/>
    </row>
    <row r="445">
      <c r="G445" s="168"/>
      <c r="L445" s="168"/>
    </row>
    <row r="446">
      <c r="G446" s="168"/>
      <c r="L446" s="168"/>
    </row>
    <row r="447">
      <c r="G447" s="168"/>
      <c r="L447" s="168"/>
    </row>
    <row r="448">
      <c r="G448" s="168"/>
      <c r="L448" s="168"/>
    </row>
    <row r="449">
      <c r="G449" s="168"/>
      <c r="L449" s="168"/>
    </row>
    <row r="450">
      <c r="G450" s="168"/>
      <c r="L450" s="168"/>
    </row>
    <row r="451">
      <c r="G451" s="168"/>
      <c r="L451" s="168"/>
    </row>
    <row r="452">
      <c r="G452" s="168"/>
      <c r="L452" s="168"/>
    </row>
    <row r="453">
      <c r="G453" s="168"/>
      <c r="L453" s="168"/>
    </row>
    <row r="454">
      <c r="G454" s="168"/>
      <c r="L454" s="168"/>
    </row>
    <row r="455">
      <c r="G455" s="168"/>
      <c r="L455" s="168"/>
    </row>
    <row r="456">
      <c r="G456" s="168"/>
      <c r="L456" s="168"/>
    </row>
    <row r="457">
      <c r="G457" s="168"/>
      <c r="L457" s="168"/>
    </row>
    <row r="458">
      <c r="G458" s="168"/>
      <c r="L458" s="168"/>
    </row>
    <row r="459">
      <c r="G459" s="168"/>
      <c r="L459" s="168"/>
    </row>
    <row r="460">
      <c r="G460" s="168"/>
      <c r="L460" s="168"/>
    </row>
    <row r="461">
      <c r="G461" s="168"/>
      <c r="L461" s="168"/>
    </row>
    <row r="462">
      <c r="G462" s="168"/>
      <c r="L462" s="168"/>
    </row>
    <row r="463">
      <c r="G463" s="168"/>
      <c r="L463" s="168"/>
    </row>
    <row r="464">
      <c r="G464" s="168"/>
      <c r="L464" s="168"/>
    </row>
    <row r="465">
      <c r="G465" s="168"/>
      <c r="L465" s="168"/>
    </row>
    <row r="466">
      <c r="G466" s="168"/>
      <c r="L466" s="168"/>
    </row>
    <row r="467">
      <c r="G467" s="168"/>
      <c r="L467" s="168"/>
    </row>
    <row r="468">
      <c r="G468" s="168"/>
      <c r="L468" s="168"/>
    </row>
    <row r="469">
      <c r="G469" s="168"/>
      <c r="L469" s="168"/>
    </row>
    <row r="470">
      <c r="G470" s="168"/>
      <c r="L470" s="168"/>
    </row>
    <row r="471">
      <c r="G471" s="168"/>
      <c r="L471" s="168"/>
    </row>
    <row r="472">
      <c r="G472" s="168"/>
      <c r="L472" s="168"/>
    </row>
    <row r="473">
      <c r="G473" s="168"/>
      <c r="L473" s="168"/>
    </row>
    <row r="474">
      <c r="G474" s="168"/>
      <c r="L474" s="168"/>
    </row>
    <row r="475">
      <c r="G475" s="168"/>
      <c r="L475" s="168"/>
    </row>
    <row r="476">
      <c r="G476" s="168"/>
      <c r="L476" s="168"/>
    </row>
    <row r="477">
      <c r="G477" s="168"/>
      <c r="L477" s="168"/>
    </row>
    <row r="478">
      <c r="G478" s="168"/>
      <c r="L478" s="168"/>
    </row>
    <row r="479">
      <c r="G479" s="168"/>
      <c r="L479" s="168"/>
    </row>
    <row r="480">
      <c r="G480" s="168"/>
      <c r="L480" s="168"/>
    </row>
    <row r="481">
      <c r="G481" s="168"/>
      <c r="L481" s="168"/>
    </row>
    <row r="482">
      <c r="G482" s="168"/>
      <c r="L482" s="168"/>
    </row>
    <row r="483">
      <c r="G483" s="168"/>
      <c r="L483" s="168"/>
    </row>
    <row r="484">
      <c r="G484" s="168"/>
      <c r="L484" s="168"/>
    </row>
    <row r="485">
      <c r="G485" s="168"/>
      <c r="L485" s="168"/>
    </row>
    <row r="486">
      <c r="G486" s="168"/>
      <c r="L486" s="168"/>
    </row>
    <row r="487">
      <c r="G487" s="168"/>
      <c r="L487" s="168"/>
    </row>
    <row r="488">
      <c r="G488" s="168"/>
      <c r="L488" s="168"/>
    </row>
    <row r="489">
      <c r="G489" s="168"/>
      <c r="L489" s="168"/>
    </row>
    <row r="490">
      <c r="G490" s="168"/>
      <c r="L490" s="168"/>
    </row>
    <row r="491">
      <c r="G491" s="168"/>
      <c r="L491" s="168"/>
    </row>
    <row r="492">
      <c r="G492" s="168"/>
      <c r="L492" s="168"/>
    </row>
    <row r="493">
      <c r="G493" s="168"/>
      <c r="L493" s="168"/>
    </row>
    <row r="494">
      <c r="G494" s="168"/>
      <c r="L494" s="168"/>
    </row>
    <row r="495">
      <c r="G495" s="168"/>
      <c r="L495" s="168"/>
    </row>
    <row r="496">
      <c r="G496" s="168"/>
      <c r="L496" s="168"/>
    </row>
    <row r="497">
      <c r="G497" s="168"/>
      <c r="L497" s="168"/>
    </row>
    <row r="498">
      <c r="G498" s="168"/>
      <c r="L498" s="168"/>
    </row>
    <row r="499">
      <c r="G499" s="168"/>
      <c r="L499" s="168"/>
    </row>
    <row r="500">
      <c r="G500" s="168"/>
      <c r="L500" s="168"/>
    </row>
    <row r="501">
      <c r="G501" s="168"/>
      <c r="L501" s="168"/>
    </row>
    <row r="502">
      <c r="G502" s="168"/>
      <c r="L502" s="168"/>
    </row>
    <row r="503">
      <c r="G503" s="168"/>
      <c r="L503" s="168"/>
    </row>
    <row r="504">
      <c r="G504" s="168"/>
      <c r="L504" s="168"/>
    </row>
    <row r="505">
      <c r="G505" s="168"/>
      <c r="L505" s="168"/>
    </row>
    <row r="506">
      <c r="G506" s="168"/>
      <c r="L506" s="168"/>
    </row>
    <row r="507">
      <c r="G507" s="168"/>
      <c r="L507" s="168"/>
    </row>
    <row r="508">
      <c r="G508" s="168"/>
      <c r="L508" s="168"/>
    </row>
    <row r="509">
      <c r="G509" s="168"/>
      <c r="L509" s="168"/>
    </row>
    <row r="510">
      <c r="G510" s="168"/>
      <c r="L510" s="168"/>
    </row>
    <row r="511">
      <c r="G511" s="168"/>
      <c r="L511" s="168"/>
    </row>
    <row r="512">
      <c r="G512" s="168"/>
      <c r="L512" s="168"/>
    </row>
    <row r="513">
      <c r="G513" s="168"/>
      <c r="L513" s="168"/>
    </row>
    <row r="514">
      <c r="G514" s="168"/>
      <c r="L514" s="168"/>
    </row>
    <row r="515">
      <c r="G515" s="168"/>
      <c r="L515" s="168"/>
    </row>
    <row r="516">
      <c r="G516" s="168"/>
      <c r="L516" s="168"/>
    </row>
    <row r="517">
      <c r="G517" s="168"/>
      <c r="L517" s="168"/>
    </row>
    <row r="518">
      <c r="G518" s="168"/>
      <c r="L518" s="168"/>
    </row>
    <row r="519">
      <c r="G519" s="168"/>
      <c r="L519" s="168"/>
    </row>
    <row r="520">
      <c r="G520" s="168"/>
      <c r="L520" s="168"/>
    </row>
    <row r="521">
      <c r="G521" s="168"/>
      <c r="L521" s="168"/>
    </row>
    <row r="522">
      <c r="G522" s="168"/>
      <c r="L522" s="168"/>
    </row>
    <row r="523">
      <c r="G523" s="168"/>
      <c r="L523" s="168"/>
    </row>
    <row r="524">
      <c r="G524" s="168"/>
      <c r="L524" s="168"/>
    </row>
    <row r="525">
      <c r="G525" s="168"/>
      <c r="L525" s="168"/>
    </row>
    <row r="526">
      <c r="G526" s="168"/>
      <c r="L526" s="168"/>
    </row>
    <row r="527">
      <c r="G527" s="168"/>
      <c r="L527" s="168"/>
    </row>
    <row r="528">
      <c r="G528" s="168"/>
      <c r="L528" s="168"/>
    </row>
    <row r="529">
      <c r="G529" s="168"/>
      <c r="L529" s="168"/>
    </row>
    <row r="530">
      <c r="G530" s="168"/>
      <c r="L530" s="168"/>
    </row>
    <row r="531">
      <c r="G531" s="168"/>
      <c r="L531" s="168"/>
    </row>
    <row r="532">
      <c r="G532" s="168"/>
      <c r="L532" s="168"/>
    </row>
    <row r="533">
      <c r="G533" s="168"/>
      <c r="L533" s="168"/>
    </row>
    <row r="534">
      <c r="G534" s="168"/>
      <c r="L534" s="168"/>
    </row>
    <row r="535">
      <c r="G535" s="168"/>
      <c r="L535" s="168"/>
    </row>
    <row r="536">
      <c r="G536" s="168"/>
      <c r="L536" s="168"/>
    </row>
    <row r="537">
      <c r="G537" s="168"/>
      <c r="L537" s="168"/>
    </row>
    <row r="538">
      <c r="G538" s="168"/>
      <c r="L538" s="168"/>
    </row>
    <row r="539">
      <c r="G539" s="168"/>
      <c r="L539" s="168"/>
    </row>
    <row r="540">
      <c r="G540" s="168"/>
      <c r="L540" s="168"/>
    </row>
    <row r="541">
      <c r="G541" s="168"/>
      <c r="L541" s="168"/>
    </row>
    <row r="542">
      <c r="G542" s="168"/>
      <c r="L542" s="168"/>
    </row>
    <row r="543">
      <c r="G543" s="168"/>
      <c r="L543" s="168"/>
    </row>
    <row r="544">
      <c r="G544" s="168"/>
      <c r="L544" s="168"/>
    </row>
    <row r="545">
      <c r="G545" s="168"/>
      <c r="L545" s="168"/>
    </row>
    <row r="546">
      <c r="G546" s="168"/>
      <c r="L546" s="168"/>
    </row>
    <row r="547">
      <c r="G547" s="168"/>
      <c r="L547" s="168"/>
    </row>
    <row r="548">
      <c r="G548" s="168"/>
      <c r="L548" s="168"/>
    </row>
    <row r="549">
      <c r="G549" s="168"/>
      <c r="L549" s="168"/>
    </row>
    <row r="550">
      <c r="G550" s="168"/>
      <c r="L550" s="168"/>
    </row>
    <row r="551">
      <c r="G551" s="168"/>
      <c r="L551" s="168"/>
    </row>
    <row r="552">
      <c r="G552" s="168"/>
      <c r="L552" s="168"/>
    </row>
    <row r="553">
      <c r="G553" s="168"/>
      <c r="L553" s="168"/>
    </row>
    <row r="554">
      <c r="G554" s="168"/>
      <c r="L554" s="168"/>
    </row>
    <row r="555">
      <c r="G555" s="168"/>
      <c r="L555" s="168"/>
    </row>
    <row r="556">
      <c r="G556" s="168"/>
      <c r="L556" s="168"/>
    </row>
    <row r="557">
      <c r="G557" s="168"/>
      <c r="L557" s="168"/>
    </row>
    <row r="558">
      <c r="G558" s="168"/>
      <c r="L558" s="168"/>
    </row>
    <row r="559">
      <c r="G559" s="168"/>
      <c r="L559" s="168"/>
    </row>
    <row r="560">
      <c r="G560" s="168"/>
      <c r="L560" s="168"/>
    </row>
    <row r="561">
      <c r="G561" s="168"/>
      <c r="L561" s="168"/>
    </row>
    <row r="562">
      <c r="G562" s="168"/>
      <c r="L562" s="168"/>
    </row>
    <row r="563">
      <c r="G563" s="168"/>
      <c r="L563" s="168"/>
    </row>
    <row r="564">
      <c r="G564" s="168"/>
      <c r="L564" s="168"/>
    </row>
    <row r="565">
      <c r="G565" s="168"/>
      <c r="L565" s="168"/>
    </row>
    <row r="566">
      <c r="G566" s="168"/>
      <c r="L566" s="168"/>
    </row>
    <row r="567">
      <c r="G567" s="168"/>
      <c r="L567" s="168"/>
    </row>
    <row r="568">
      <c r="G568" s="168"/>
      <c r="L568" s="168"/>
    </row>
    <row r="569">
      <c r="G569" s="168"/>
      <c r="L569" s="168"/>
    </row>
    <row r="570">
      <c r="G570" s="168"/>
      <c r="L570" s="168"/>
    </row>
    <row r="571">
      <c r="G571" s="168"/>
      <c r="L571" s="168"/>
    </row>
    <row r="572">
      <c r="G572" s="168"/>
      <c r="L572" s="168"/>
    </row>
    <row r="573">
      <c r="G573" s="168"/>
      <c r="L573" s="168"/>
    </row>
    <row r="574">
      <c r="G574" s="168"/>
      <c r="L574" s="168"/>
    </row>
    <row r="575">
      <c r="G575" s="168"/>
      <c r="L575" s="168"/>
    </row>
    <row r="576">
      <c r="G576" s="168"/>
      <c r="L576" s="168"/>
    </row>
    <row r="577">
      <c r="G577" s="168"/>
      <c r="L577" s="168"/>
    </row>
    <row r="578">
      <c r="G578" s="168"/>
      <c r="L578" s="168"/>
    </row>
    <row r="579">
      <c r="G579" s="168"/>
      <c r="L579" s="168"/>
    </row>
    <row r="580">
      <c r="G580" s="168"/>
      <c r="L580" s="168"/>
    </row>
    <row r="581">
      <c r="G581" s="168"/>
      <c r="L581" s="168"/>
    </row>
    <row r="582">
      <c r="G582" s="168"/>
      <c r="L582" s="168"/>
    </row>
    <row r="583">
      <c r="G583" s="168"/>
      <c r="L583" s="168"/>
    </row>
    <row r="584">
      <c r="G584" s="168"/>
      <c r="L584" s="168"/>
    </row>
    <row r="585">
      <c r="G585" s="168"/>
      <c r="L585" s="168"/>
    </row>
    <row r="586">
      <c r="G586" s="168"/>
      <c r="L586" s="168"/>
    </row>
    <row r="587">
      <c r="G587" s="168"/>
      <c r="L587" s="168"/>
    </row>
    <row r="588">
      <c r="G588" s="168"/>
      <c r="L588" s="168"/>
    </row>
    <row r="589">
      <c r="G589" s="168"/>
      <c r="L589" s="168"/>
    </row>
    <row r="590">
      <c r="G590" s="168"/>
      <c r="L590" s="168"/>
    </row>
    <row r="591">
      <c r="G591" s="168"/>
      <c r="L591" s="168"/>
    </row>
    <row r="592">
      <c r="G592" s="168"/>
      <c r="L592" s="168"/>
    </row>
    <row r="593">
      <c r="G593" s="168"/>
      <c r="L593" s="168"/>
    </row>
    <row r="594">
      <c r="G594" s="168"/>
      <c r="L594" s="168"/>
    </row>
    <row r="595">
      <c r="G595" s="168"/>
      <c r="L595" s="168"/>
    </row>
    <row r="596">
      <c r="G596" s="168"/>
      <c r="L596" s="168"/>
    </row>
    <row r="597">
      <c r="G597" s="168"/>
      <c r="L597" s="168"/>
    </row>
    <row r="598">
      <c r="G598" s="168"/>
      <c r="L598" s="168"/>
    </row>
    <row r="599">
      <c r="G599" s="168"/>
      <c r="L599" s="168"/>
    </row>
    <row r="600">
      <c r="G600" s="168"/>
      <c r="L600" s="168"/>
    </row>
    <row r="601">
      <c r="G601" s="168"/>
      <c r="L601" s="168"/>
    </row>
    <row r="602">
      <c r="G602" s="168"/>
      <c r="L602" s="168"/>
    </row>
    <row r="603">
      <c r="G603" s="168"/>
      <c r="L603" s="168"/>
    </row>
    <row r="604">
      <c r="G604" s="168"/>
      <c r="L604" s="168"/>
    </row>
    <row r="605">
      <c r="G605" s="168"/>
      <c r="L605" s="168"/>
    </row>
    <row r="606">
      <c r="G606" s="168"/>
      <c r="L606" s="168"/>
    </row>
    <row r="607">
      <c r="G607" s="168"/>
      <c r="L607" s="168"/>
    </row>
    <row r="608">
      <c r="G608" s="168"/>
      <c r="L608" s="168"/>
    </row>
    <row r="609">
      <c r="G609" s="168"/>
      <c r="L609" s="168"/>
    </row>
    <row r="610">
      <c r="G610" s="168"/>
      <c r="L610" s="168"/>
    </row>
    <row r="611">
      <c r="G611" s="168"/>
      <c r="L611" s="168"/>
    </row>
    <row r="612">
      <c r="G612" s="168"/>
      <c r="L612" s="168"/>
    </row>
    <row r="613">
      <c r="G613" s="168"/>
      <c r="L613" s="168"/>
    </row>
    <row r="614">
      <c r="G614" s="168"/>
      <c r="L614" s="168"/>
    </row>
    <row r="615">
      <c r="G615" s="168"/>
      <c r="L615" s="168"/>
    </row>
    <row r="616">
      <c r="G616" s="168"/>
      <c r="L616" s="168"/>
    </row>
    <row r="617">
      <c r="G617" s="168"/>
      <c r="L617" s="168"/>
    </row>
    <row r="618">
      <c r="G618" s="168"/>
      <c r="L618" s="168"/>
    </row>
    <row r="619">
      <c r="G619" s="168"/>
      <c r="L619" s="168"/>
    </row>
    <row r="620">
      <c r="G620" s="168"/>
      <c r="L620" s="168"/>
    </row>
    <row r="621">
      <c r="G621" s="168"/>
      <c r="L621" s="168"/>
    </row>
    <row r="622">
      <c r="G622" s="168"/>
      <c r="L622" s="168"/>
    </row>
    <row r="623">
      <c r="G623" s="168"/>
      <c r="L623" s="168"/>
    </row>
    <row r="624">
      <c r="G624" s="168"/>
      <c r="L624" s="168"/>
    </row>
    <row r="625">
      <c r="G625" s="168"/>
      <c r="L625" s="168"/>
    </row>
    <row r="626">
      <c r="G626" s="168"/>
      <c r="L626" s="168"/>
    </row>
    <row r="627">
      <c r="G627" s="168"/>
      <c r="L627" s="168"/>
    </row>
    <row r="628">
      <c r="G628" s="168"/>
      <c r="L628" s="168"/>
    </row>
    <row r="629">
      <c r="G629" s="168"/>
      <c r="L629" s="168"/>
    </row>
    <row r="630">
      <c r="G630" s="168"/>
      <c r="L630" s="168"/>
    </row>
    <row r="631">
      <c r="G631" s="168"/>
      <c r="L631" s="168"/>
    </row>
    <row r="632">
      <c r="G632" s="168"/>
      <c r="L632" s="168"/>
    </row>
    <row r="633">
      <c r="G633" s="168"/>
      <c r="L633" s="168"/>
    </row>
    <row r="634">
      <c r="G634" s="168"/>
      <c r="L634" s="168"/>
    </row>
    <row r="635">
      <c r="G635" s="168"/>
      <c r="L635" s="168"/>
    </row>
    <row r="636">
      <c r="G636" s="168"/>
      <c r="L636" s="168"/>
    </row>
    <row r="637">
      <c r="G637" s="168"/>
      <c r="L637" s="168"/>
    </row>
    <row r="638">
      <c r="G638" s="168"/>
      <c r="L638" s="168"/>
    </row>
    <row r="639">
      <c r="G639" s="168"/>
      <c r="L639" s="168"/>
    </row>
    <row r="640">
      <c r="G640" s="168"/>
      <c r="L640" s="168"/>
    </row>
    <row r="641">
      <c r="G641" s="168"/>
      <c r="L641" s="168"/>
    </row>
    <row r="642">
      <c r="G642" s="168"/>
      <c r="L642" s="168"/>
    </row>
    <row r="643">
      <c r="G643" s="168"/>
      <c r="L643" s="168"/>
    </row>
    <row r="644">
      <c r="G644" s="168"/>
      <c r="L644" s="168"/>
    </row>
    <row r="645">
      <c r="G645" s="168"/>
      <c r="L645" s="168"/>
    </row>
    <row r="646">
      <c r="G646" s="168"/>
      <c r="L646" s="168"/>
    </row>
    <row r="647">
      <c r="G647" s="168"/>
      <c r="L647" s="168"/>
    </row>
    <row r="648">
      <c r="G648" s="168"/>
      <c r="L648" s="168"/>
    </row>
    <row r="649">
      <c r="G649" s="168"/>
      <c r="L649" s="168"/>
    </row>
    <row r="650">
      <c r="G650" s="168"/>
      <c r="L650" s="168"/>
    </row>
    <row r="651">
      <c r="G651" s="168"/>
      <c r="L651" s="168"/>
    </row>
    <row r="652">
      <c r="G652" s="168"/>
      <c r="L652" s="168"/>
    </row>
    <row r="653">
      <c r="G653" s="168"/>
      <c r="L653" s="168"/>
    </row>
    <row r="654">
      <c r="G654" s="168"/>
      <c r="L654" s="168"/>
    </row>
    <row r="655">
      <c r="G655" s="168"/>
      <c r="L655" s="168"/>
    </row>
    <row r="656">
      <c r="G656" s="168"/>
      <c r="L656" s="168"/>
    </row>
    <row r="657">
      <c r="G657" s="168"/>
      <c r="L657" s="168"/>
    </row>
    <row r="658">
      <c r="G658" s="168"/>
      <c r="L658" s="168"/>
    </row>
    <row r="659">
      <c r="G659" s="168"/>
      <c r="L659" s="168"/>
    </row>
    <row r="660">
      <c r="G660" s="168"/>
      <c r="L660" s="168"/>
    </row>
    <row r="661">
      <c r="G661" s="168"/>
      <c r="L661" s="168"/>
    </row>
    <row r="662">
      <c r="G662" s="168"/>
      <c r="L662" s="168"/>
    </row>
    <row r="663">
      <c r="G663" s="168"/>
      <c r="L663" s="168"/>
    </row>
    <row r="664">
      <c r="G664" s="168"/>
      <c r="L664" s="168"/>
    </row>
    <row r="665">
      <c r="G665" s="168"/>
      <c r="L665" s="168"/>
    </row>
    <row r="666">
      <c r="G666" s="168"/>
      <c r="L666" s="168"/>
    </row>
    <row r="667">
      <c r="G667" s="168"/>
      <c r="L667" s="168"/>
    </row>
    <row r="668">
      <c r="G668" s="168"/>
      <c r="L668" s="168"/>
    </row>
    <row r="669">
      <c r="G669" s="168"/>
      <c r="L669" s="168"/>
    </row>
    <row r="670">
      <c r="G670" s="168"/>
      <c r="L670" s="168"/>
    </row>
    <row r="671">
      <c r="G671" s="168"/>
      <c r="L671" s="168"/>
    </row>
    <row r="672">
      <c r="G672" s="168"/>
      <c r="L672" s="168"/>
    </row>
    <row r="673">
      <c r="G673" s="168"/>
      <c r="L673" s="168"/>
    </row>
    <row r="674">
      <c r="G674" s="168"/>
      <c r="L674" s="168"/>
    </row>
    <row r="675">
      <c r="G675" s="168"/>
      <c r="L675" s="168"/>
    </row>
    <row r="676">
      <c r="G676" s="168"/>
      <c r="L676" s="168"/>
    </row>
    <row r="677">
      <c r="G677" s="168"/>
      <c r="L677" s="168"/>
    </row>
    <row r="678">
      <c r="G678" s="168"/>
      <c r="L678" s="168"/>
    </row>
    <row r="679">
      <c r="G679" s="168"/>
      <c r="L679" s="168"/>
    </row>
    <row r="680">
      <c r="G680" s="168"/>
      <c r="L680" s="168"/>
    </row>
    <row r="681">
      <c r="G681" s="168"/>
      <c r="L681" s="168"/>
    </row>
    <row r="682">
      <c r="G682" s="168"/>
      <c r="L682" s="168"/>
    </row>
    <row r="683">
      <c r="G683" s="168"/>
      <c r="L683" s="168"/>
    </row>
    <row r="684">
      <c r="G684" s="168"/>
      <c r="L684" s="168"/>
    </row>
    <row r="685">
      <c r="G685" s="168"/>
      <c r="L685" s="168"/>
    </row>
    <row r="686">
      <c r="G686" s="168"/>
      <c r="L686" s="168"/>
    </row>
    <row r="687">
      <c r="G687" s="168"/>
      <c r="L687" s="168"/>
    </row>
    <row r="688">
      <c r="G688" s="168"/>
      <c r="L688" s="168"/>
    </row>
    <row r="689">
      <c r="G689" s="168"/>
      <c r="L689" s="168"/>
    </row>
    <row r="690">
      <c r="G690" s="168"/>
      <c r="L690" s="168"/>
    </row>
    <row r="691">
      <c r="G691" s="168"/>
      <c r="L691" s="168"/>
    </row>
    <row r="692">
      <c r="G692" s="168"/>
      <c r="L692" s="168"/>
    </row>
    <row r="693">
      <c r="G693" s="168"/>
      <c r="L693" s="168"/>
    </row>
    <row r="694">
      <c r="G694" s="168"/>
      <c r="L694" s="168"/>
    </row>
    <row r="695">
      <c r="G695" s="168"/>
      <c r="L695" s="168"/>
    </row>
    <row r="696">
      <c r="G696" s="168"/>
      <c r="L696" s="168"/>
    </row>
    <row r="697">
      <c r="G697" s="168"/>
      <c r="L697" s="168"/>
    </row>
    <row r="698">
      <c r="G698" s="168"/>
      <c r="L698" s="168"/>
    </row>
    <row r="699">
      <c r="G699" s="168"/>
      <c r="L699" s="168"/>
    </row>
    <row r="700">
      <c r="G700" s="168"/>
      <c r="L700" s="168"/>
    </row>
    <row r="701">
      <c r="G701" s="168"/>
      <c r="L701" s="168"/>
    </row>
    <row r="702">
      <c r="G702" s="168"/>
      <c r="L702" s="168"/>
    </row>
    <row r="703">
      <c r="G703" s="168"/>
      <c r="L703" s="168"/>
    </row>
    <row r="704">
      <c r="G704" s="168"/>
      <c r="L704" s="168"/>
    </row>
    <row r="705">
      <c r="G705" s="168"/>
      <c r="L705" s="168"/>
    </row>
    <row r="706">
      <c r="G706" s="168"/>
      <c r="L706" s="168"/>
    </row>
    <row r="707">
      <c r="G707" s="168"/>
      <c r="L707" s="168"/>
    </row>
    <row r="708">
      <c r="G708" s="168"/>
      <c r="L708" s="168"/>
    </row>
    <row r="709">
      <c r="G709" s="168"/>
      <c r="L709" s="168"/>
    </row>
    <row r="710">
      <c r="G710" s="168"/>
      <c r="L710" s="168"/>
    </row>
    <row r="711">
      <c r="G711" s="168"/>
      <c r="L711" s="168"/>
    </row>
    <row r="712">
      <c r="G712" s="168"/>
      <c r="L712" s="168"/>
    </row>
    <row r="713">
      <c r="G713" s="168"/>
      <c r="L713" s="168"/>
    </row>
    <row r="714">
      <c r="G714" s="168"/>
      <c r="L714" s="168"/>
    </row>
    <row r="715">
      <c r="G715" s="168"/>
      <c r="L715" s="168"/>
    </row>
    <row r="716">
      <c r="G716" s="168"/>
      <c r="L716" s="168"/>
    </row>
    <row r="717">
      <c r="G717" s="168"/>
      <c r="L717" s="168"/>
    </row>
    <row r="718">
      <c r="G718" s="168"/>
      <c r="L718" s="168"/>
    </row>
    <row r="719">
      <c r="G719" s="168"/>
      <c r="L719" s="168"/>
    </row>
    <row r="720">
      <c r="G720" s="168"/>
      <c r="L720" s="168"/>
    </row>
    <row r="721">
      <c r="G721" s="168"/>
      <c r="L721" s="168"/>
    </row>
    <row r="722">
      <c r="G722" s="168"/>
      <c r="L722" s="168"/>
    </row>
    <row r="723">
      <c r="G723" s="168"/>
      <c r="L723" s="168"/>
    </row>
    <row r="724">
      <c r="G724" s="168"/>
      <c r="L724" s="168"/>
    </row>
    <row r="725">
      <c r="G725" s="168"/>
      <c r="L725" s="168"/>
    </row>
    <row r="726">
      <c r="G726" s="168"/>
      <c r="L726" s="168"/>
    </row>
    <row r="727">
      <c r="G727" s="168"/>
      <c r="L727" s="168"/>
    </row>
    <row r="728">
      <c r="G728" s="168"/>
      <c r="L728" s="168"/>
    </row>
    <row r="729">
      <c r="G729" s="168"/>
      <c r="L729" s="168"/>
    </row>
    <row r="730">
      <c r="G730" s="168"/>
      <c r="L730" s="168"/>
    </row>
    <row r="731">
      <c r="G731" s="168"/>
      <c r="L731" s="168"/>
    </row>
    <row r="732">
      <c r="G732" s="168"/>
      <c r="L732" s="168"/>
    </row>
    <row r="733">
      <c r="G733" s="168"/>
      <c r="L733" s="168"/>
    </row>
    <row r="734">
      <c r="G734" s="168"/>
      <c r="L734" s="168"/>
    </row>
    <row r="735">
      <c r="G735" s="168"/>
      <c r="L735" s="168"/>
    </row>
    <row r="736">
      <c r="G736" s="168"/>
      <c r="L736" s="168"/>
    </row>
    <row r="737">
      <c r="G737" s="168"/>
      <c r="L737" s="168"/>
    </row>
    <row r="738">
      <c r="G738" s="168"/>
      <c r="L738" s="168"/>
    </row>
    <row r="739">
      <c r="G739" s="168"/>
      <c r="L739" s="168"/>
    </row>
    <row r="740">
      <c r="G740" s="168"/>
      <c r="L740" s="168"/>
    </row>
    <row r="741">
      <c r="G741" s="168"/>
      <c r="L741" s="168"/>
    </row>
    <row r="742">
      <c r="G742" s="168"/>
      <c r="L742" s="168"/>
    </row>
    <row r="743">
      <c r="G743" s="168"/>
      <c r="L743" s="168"/>
    </row>
    <row r="744">
      <c r="G744" s="168"/>
      <c r="L744" s="168"/>
    </row>
    <row r="745">
      <c r="G745" s="168"/>
      <c r="L745" s="168"/>
    </row>
    <row r="746">
      <c r="G746" s="168"/>
      <c r="L746" s="168"/>
    </row>
    <row r="747">
      <c r="G747" s="168"/>
      <c r="L747" s="168"/>
    </row>
    <row r="748">
      <c r="G748" s="168"/>
      <c r="L748" s="168"/>
    </row>
    <row r="749">
      <c r="G749" s="168"/>
      <c r="L749" s="168"/>
    </row>
    <row r="750">
      <c r="G750" s="168"/>
      <c r="L750" s="168"/>
    </row>
    <row r="751">
      <c r="G751" s="168"/>
      <c r="L751" s="168"/>
    </row>
    <row r="752">
      <c r="G752" s="168"/>
      <c r="L752" s="168"/>
    </row>
    <row r="753">
      <c r="G753" s="168"/>
      <c r="L753" s="168"/>
    </row>
    <row r="754">
      <c r="G754" s="168"/>
      <c r="L754" s="168"/>
    </row>
    <row r="755">
      <c r="G755" s="168"/>
      <c r="L755" s="168"/>
    </row>
    <row r="756">
      <c r="G756" s="168"/>
      <c r="L756" s="168"/>
    </row>
    <row r="757">
      <c r="G757" s="168"/>
      <c r="L757" s="168"/>
    </row>
    <row r="758">
      <c r="G758" s="168"/>
      <c r="L758" s="168"/>
    </row>
    <row r="759">
      <c r="G759" s="168"/>
      <c r="L759" s="168"/>
    </row>
    <row r="760">
      <c r="G760" s="168"/>
      <c r="L760" s="168"/>
    </row>
    <row r="761">
      <c r="G761" s="168"/>
      <c r="L761" s="168"/>
    </row>
    <row r="762">
      <c r="G762" s="168"/>
      <c r="L762" s="168"/>
    </row>
    <row r="763">
      <c r="G763" s="168"/>
      <c r="L763" s="168"/>
    </row>
    <row r="764">
      <c r="G764" s="168"/>
      <c r="L764" s="168"/>
    </row>
    <row r="765">
      <c r="G765" s="168"/>
      <c r="L765" s="168"/>
    </row>
    <row r="766">
      <c r="G766" s="168"/>
      <c r="L766" s="168"/>
    </row>
    <row r="767">
      <c r="G767" s="168"/>
      <c r="L767" s="168"/>
    </row>
    <row r="768">
      <c r="G768" s="168"/>
      <c r="L768" s="168"/>
    </row>
    <row r="769">
      <c r="G769" s="168"/>
      <c r="L769" s="168"/>
    </row>
    <row r="770">
      <c r="G770" s="168"/>
      <c r="L770" s="168"/>
    </row>
    <row r="771">
      <c r="G771" s="168"/>
      <c r="L771" s="168"/>
    </row>
    <row r="772">
      <c r="G772" s="168"/>
      <c r="L772" s="168"/>
    </row>
    <row r="773">
      <c r="G773" s="168"/>
      <c r="L773" s="168"/>
    </row>
    <row r="774">
      <c r="G774" s="168"/>
      <c r="L774" s="168"/>
    </row>
    <row r="775">
      <c r="G775" s="168"/>
      <c r="L775" s="168"/>
    </row>
    <row r="776">
      <c r="G776" s="168"/>
      <c r="L776" s="168"/>
    </row>
    <row r="777">
      <c r="G777" s="168"/>
      <c r="L777" s="168"/>
    </row>
    <row r="778">
      <c r="G778" s="168"/>
      <c r="L778" s="168"/>
    </row>
    <row r="779">
      <c r="G779" s="168"/>
      <c r="L779" s="168"/>
    </row>
    <row r="780">
      <c r="G780" s="168"/>
      <c r="L780" s="168"/>
    </row>
    <row r="781">
      <c r="G781" s="168"/>
      <c r="L781" s="168"/>
    </row>
    <row r="782">
      <c r="G782" s="168"/>
      <c r="L782" s="168"/>
    </row>
    <row r="783">
      <c r="G783" s="168"/>
      <c r="L783" s="168"/>
    </row>
    <row r="784">
      <c r="G784" s="168"/>
      <c r="L784" s="168"/>
    </row>
    <row r="785">
      <c r="G785" s="168"/>
      <c r="L785" s="168"/>
    </row>
    <row r="786">
      <c r="G786" s="168"/>
      <c r="L786" s="168"/>
    </row>
    <row r="787">
      <c r="G787" s="168"/>
      <c r="L787" s="168"/>
    </row>
    <row r="788">
      <c r="G788" s="168"/>
      <c r="L788" s="168"/>
    </row>
    <row r="789">
      <c r="G789" s="168"/>
      <c r="L789" s="168"/>
    </row>
    <row r="790">
      <c r="G790" s="168"/>
      <c r="L790" s="168"/>
    </row>
    <row r="791">
      <c r="G791" s="168"/>
      <c r="L791" s="168"/>
    </row>
    <row r="792">
      <c r="G792" s="168"/>
      <c r="L792" s="168"/>
    </row>
    <row r="793">
      <c r="G793" s="168"/>
      <c r="L793" s="168"/>
    </row>
    <row r="794">
      <c r="G794" s="168"/>
      <c r="L794" s="168"/>
    </row>
    <row r="795">
      <c r="G795" s="168"/>
      <c r="L795" s="168"/>
    </row>
    <row r="796">
      <c r="G796" s="168"/>
      <c r="L796" s="168"/>
    </row>
    <row r="797">
      <c r="G797" s="168"/>
      <c r="L797" s="168"/>
    </row>
    <row r="798">
      <c r="G798" s="168"/>
      <c r="L798" s="168"/>
    </row>
    <row r="799">
      <c r="G799" s="168"/>
      <c r="L799" s="168"/>
    </row>
    <row r="800">
      <c r="G800" s="168"/>
      <c r="L800" s="168"/>
    </row>
    <row r="801">
      <c r="G801" s="168"/>
      <c r="L801" s="168"/>
    </row>
    <row r="802">
      <c r="G802" s="168"/>
      <c r="L802" s="168"/>
    </row>
    <row r="803">
      <c r="G803" s="168"/>
      <c r="L803" s="168"/>
    </row>
    <row r="804">
      <c r="G804" s="168"/>
      <c r="L804" s="168"/>
    </row>
    <row r="805">
      <c r="G805" s="168"/>
      <c r="L805" s="168"/>
    </row>
    <row r="806">
      <c r="G806" s="168"/>
      <c r="L806" s="168"/>
    </row>
    <row r="807">
      <c r="G807" s="168"/>
      <c r="L807" s="168"/>
    </row>
    <row r="808">
      <c r="G808" s="168"/>
      <c r="L808" s="168"/>
    </row>
    <row r="809">
      <c r="G809" s="168"/>
      <c r="L809" s="168"/>
    </row>
    <row r="810">
      <c r="G810" s="168"/>
      <c r="L810" s="168"/>
    </row>
    <row r="811">
      <c r="G811" s="168"/>
      <c r="L811" s="168"/>
    </row>
    <row r="812">
      <c r="G812" s="168"/>
      <c r="L812" s="168"/>
    </row>
    <row r="813">
      <c r="G813" s="168"/>
      <c r="L813" s="168"/>
    </row>
    <row r="814">
      <c r="G814" s="168"/>
      <c r="L814" s="168"/>
    </row>
    <row r="815">
      <c r="G815" s="168"/>
      <c r="L815" s="168"/>
    </row>
    <row r="816">
      <c r="G816" s="168"/>
      <c r="L816" s="168"/>
    </row>
    <row r="817">
      <c r="G817" s="168"/>
      <c r="L817" s="168"/>
    </row>
    <row r="818">
      <c r="G818" s="168"/>
      <c r="L818" s="168"/>
    </row>
    <row r="819">
      <c r="G819" s="168"/>
      <c r="L819" s="168"/>
    </row>
    <row r="820">
      <c r="G820" s="168"/>
      <c r="L820" s="168"/>
    </row>
    <row r="821">
      <c r="G821" s="168"/>
      <c r="L821" s="168"/>
    </row>
    <row r="822">
      <c r="G822" s="168"/>
      <c r="L822" s="168"/>
    </row>
    <row r="823">
      <c r="G823" s="168"/>
      <c r="L823" s="168"/>
    </row>
    <row r="824">
      <c r="G824" s="168"/>
      <c r="L824" s="168"/>
    </row>
    <row r="825">
      <c r="G825" s="168"/>
      <c r="L825" s="168"/>
    </row>
    <row r="826">
      <c r="G826" s="168"/>
      <c r="L826" s="168"/>
    </row>
    <row r="827">
      <c r="G827" s="168"/>
      <c r="L827" s="168"/>
    </row>
    <row r="828">
      <c r="G828" s="168"/>
      <c r="L828" s="168"/>
    </row>
    <row r="829">
      <c r="G829" s="168"/>
      <c r="L829" s="168"/>
    </row>
    <row r="830">
      <c r="G830" s="168"/>
      <c r="L830" s="168"/>
    </row>
    <row r="831">
      <c r="G831" s="168"/>
      <c r="L831" s="168"/>
    </row>
    <row r="832">
      <c r="G832" s="168"/>
      <c r="L832" s="168"/>
    </row>
    <row r="833">
      <c r="G833" s="168"/>
      <c r="L833" s="168"/>
    </row>
    <row r="834">
      <c r="G834" s="168"/>
      <c r="L834" s="168"/>
    </row>
    <row r="835">
      <c r="G835" s="168"/>
      <c r="L835" s="168"/>
    </row>
    <row r="836">
      <c r="G836" s="168"/>
      <c r="L836" s="168"/>
    </row>
    <row r="837">
      <c r="G837" s="168"/>
      <c r="L837" s="168"/>
    </row>
    <row r="838">
      <c r="G838" s="168"/>
      <c r="L838" s="168"/>
    </row>
    <row r="839">
      <c r="G839" s="168"/>
      <c r="L839" s="168"/>
    </row>
    <row r="840">
      <c r="G840" s="168"/>
      <c r="L840" s="168"/>
    </row>
    <row r="841">
      <c r="G841" s="168"/>
      <c r="L841" s="168"/>
    </row>
    <row r="842">
      <c r="G842" s="168"/>
      <c r="L842" s="168"/>
    </row>
    <row r="843">
      <c r="G843" s="168"/>
      <c r="L843" s="168"/>
    </row>
    <row r="844">
      <c r="G844" s="168"/>
      <c r="L844" s="168"/>
    </row>
    <row r="845">
      <c r="G845" s="168"/>
      <c r="L845" s="168"/>
    </row>
    <row r="846">
      <c r="G846" s="168"/>
      <c r="L846" s="168"/>
    </row>
    <row r="847">
      <c r="G847" s="168"/>
      <c r="L847" s="168"/>
    </row>
    <row r="848">
      <c r="G848" s="168"/>
      <c r="L848" s="168"/>
    </row>
    <row r="849">
      <c r="G849" s="168"/>
      <c r="L849" s="168"/>
    </row>
    <row r="850">
      <c r="G850" s="168"/>
      <c r="L850" s="168"/>
    </row>
    <row r="851">
      <c r="G851" s="168"/>
      <c r="L851" s="168"/>
    </row>
    <row r="852">
      <c r="G852" s="168"/>
      <c r="L852" s="168"/>
    </row>
    <row r="853">
      <c r="G853" s="168"/>
      <c r="L853" s="168"/>
    </row>
    <row r="854">
      <c r="G854" s="168"/>
      <c r="L854" s="168"/>
    </row>
    <row r="855">
      <c r="G855" s="168"/>
      <c r="L855" s="168"/>
    </row>
    <row r="856">
      <c r="G856" s="168"/>
      <c r="L856" s="168"/>
    </row>
    <row r="857">
      <c r="G857" s="168"/>
      <c r="L857" s="168"/>
    </row>
    <row r="858">
      <c r="G858" s="168"/>
      <c r="L858" s="168"/>
    </row>
    <row r="859">
      <c r="G859" s="168"/>
      <c r="L859" s="168"/>
    </row>
    <row r="860">
      <c r="G860" s="168"/>
      <c r="L860" s="168"/>
    </row>
    <row r="861">
      <c r="G861" s="168"/>
      <c r="L861" s="168"/>
    </row>
    <row r="862">
      <c r="G862" s="168"/>
      <c r="L862" s="168"/>
    </row>
    <row r="863">
      <c r="G863" s="168"/>
      <c r="L863" s="168"/>
    </row>
    <row r="864">
      <c r="G864" s="168"/>
      <c r="L864" s="168"/>
    </row>
    <row r="865">
      <c r="G865" s="168"/>
      <c r="L865" s="168"/>
    </row>
    <row r="866">
      <c r="G866" s="168"/>
      <c r="L866" s="168"/>
    </row>
    <row r="867">
      <c r="G867" s="168"/>
      <c r="L867" s="168"/>
    </row>
    <row r="868">
      <c r="G868" s="168"/>
      <c r="L868" s="168"/>
    </row>
    <row r="869">
      <c r="G869" s="168"/>
      <c r="L869" s="168"/>
    </row>
    <row r="870">
      <c r="G870" s="168"/>
      <c r="L870" s="168"/>
    </row>
    <row r="871">
      <c r="G871" s="168"/>
      <c r="L871" s="168"/>
    </row>
    <row r="872">
      <c r="G872" s="168"/>
      <c r="L872" s="168"/>
    </row>
    <row r="873">
      <c r="G873" s="168"/>
      <c r="L873" s="168"/>
    </row>
    <row r="874">
      <c r="G874" s="168"/>
      <c r="L874" s="168"/>
    </row>
    <row r="875">
      <c r="G875" s="168"/>
      <c r="L875" s="168"/>
    </row>
    <row r="876">
      <c r="G876" s="168"/>
      <c r="L876" s="168"/>
    </row>
    <row r="877">
      <c r="G877" s="168"/>
      <c r="L877" s="168"/>
    </row>
    <row r="878">
      <c r="G878" s="168"/>
      <c r="L878" s="168"/>
    </row>
    <row r="879">
      <c r="G879" s="168"/>
      <c r="L879" s="168"/>
    </row>
    <row r="880">
      <c r="G880" s="168"/>
      <c r="L880" s="168"/>
    </row>
    <row r="881">
      <c r="G881" s="168"/>
      <c r="L881" s="168"/>
    </row>
    <row r="882">
      <c r="G882" s="168"/>
      <c r="L882" s="168"/>
    </row>
    <row r="883">
      <c r="G883" s="168"/>
      <c r="L883" s="168"/>
    </row>
    <row r="884">
      <c r="G884" s="168"/>
      <c r="L884" s="168"/>
    </row>
    <row r="885">
      <c r="G885" s="168"/>
      <c r="L885" s="168"/>
    </row>
    <row r="886">
      <c r="G886" s="168"/>
      <c r="L886" s="168"/>
    </row>
    <row r="887">
      <c r="G887" s="168"/>
      <c r="L887" s="168"/>
    </row>
    <row r="888">
      <c r="G888" s="168"/>
      <c r="L888" s="168"/>
    </row>
    <row r="889">
      <c r="G889" s="168"/>
      <c r="L889" s="168"/>
    </row>
    <row r="890">
      <c r="G890" s="168"/>
      <c r="L890" s="168"/>
    </row>
    <row r="891">
      <c r="G891" s="168"/>
      <c r="L891" s="168"/>
    </row>
    <row r="892">
      <c r="G892" s="168"/>
      <c r="L892" s="168"/>
    </row>
    <row r="893">
      <c r="G893" s="168"/>
      <c r="L893" s="168"/>
    </row>
    <row r="894">
      <c r="G894" s="168"/>
      <c r="L894" s="168"/>
    </row>
    <row r="895">
      <c r="G895" s="168"/>
      <c r="L895" s="168"/>
    </row>
    <row r="896">
      <c r="G896" s="168"/>
      <c r="L896" s="168"/>
    </row>
    <row r="897">
      <c r="G897" s="168"/>
      <c r="L897" s="168"/>
    </row>
    <row r="898">
      <c r="G898" s="168"/>
      <c r="L898" s="168"/>
    </row>
    <row r="899">
      <c r="G899" s="168"/>
      <c r="L899" s="168"/>
    </row>
    <row r="900">
      <c r="G900" s="168"/>
      <c r="L900" s="168"/>
    </row>
    <row r="901">
      <c r="G901" s="168"/>
      <c r="L901" s="168"/>
    </row>
    <row r="902">
      <c r="G902" s="168"/>
      <c r="L902" s="168"/>
    </row>
    <row r="903">
      <c r="G903" s="168"/>
      <c r="L903" s="168"/>
    </row>
    <row r="904">
      <c r="G904" s="168"/>
      <c r="L904" s="168"/>
    </row>
    <row r="905">
      <c r="G905" s="168"/>
      <c r="L905" s="168"/>
    </row>
    <row r="906">
      <c r="G906" s="168"/>
      <c r="L906" s="168"/>
    </row>
    <row r="907">
      <c r="G907" s="168"/>
      <c r="L907" s="168"/>
    </row>
    <row r="908">
      <c r="G908" s="168"/>
      <c r="L908" s="168"/>
    </row>
    <row r="909">
      <c r="G909" s="168"/>
      <c r="L909" s="168"/>
    </row>
    <row r="910">
      <c r="G910" s="168"/>
      <c r="L910" s="168"/>
    </row>
    <row r="911">
      <c r="G911" s="168"/>
      <c r="L911" s="168"/>
    </row>
    <row r="912">
      <c r="G912" s="168"/>
      <c r="L912" s="168"/>
    </row>
    <row r="913">
      <c r="G913" s="168"/>
      <c r="L913" s="168"/>
    </row>
    <row r="914">
      <c r="G914" s="168"/>
      <c r="L914" s="168"/>
    </row>
    <row r="915">
      <c r="G915" s="168"/>
      <c r="L915" s="168"/>
    </row>
    <row r="916">
      <c r="G916" s="168"/>
      <c r="L916" s="168"/>
    </row>
    <row r="917">
      <c r="G917" s="168"/>
      <c r="L917" s="168"/>
    </row>
    <row r="918">
      <c r="G918" s="168"/>
      <c r="L918" s="168"/>
    </row>
    <row r="919">
      <c r="G919" s="168"/>
      <c r="L919" s="168"/>
    </row>
    <row r="920">
      <c r="G920" s="168"/>
      <c r="L920" s="168"/>
    </row>
    <row r="921">
      <c r="G921" s="168"/>
      <c r="L921" s="168"/>
    </row>
    <row r="922">
      <c r="G922" s="168"/>
      <c r="L922" s="168"/>
    </row>
    <row r="923">
      <c r="G923" s="168"/>
      <c r="L923" s="168"/>
    </row>
    <row r="924">
      <c r="G924" s="168"/>
      <c r="L924" s="168"/>
    </row>
    <row r="925">
      <c r="G925" s="168"/>
      <c r="L925" s="168"/>
    </row>
    <row r="926">
      <c r="G926" s="168"/>
      <c r="L926" s="168"/>
    </row>
    <row r="927">
      <c r="G927" s="168"/>
      <c r="L927" s="168"/>
    </row>
    <row r="928">
      <c r="G928" s="168"/>
      <c r="L928" s="168"/>
    </row>
    <row r="929">
      <c r="G929" s="168"/>
      <c r="L929" s="168"/>
    </row>
    <row r="930">
      <c r="G930" s="168"/>
      <c r="L930" s="168"/>
    </row>
    <row r="931">
      <c r="G931" s="168"/>
      <c r="L931" s="168"/>
    </row>
    <row r="932">
      <c r="G932" s="168"/>
      <c r="L932" s="168"/>
    </row>
    <row r="933">
      <c r="G933" s="168"/>
      <c r="L933" s="168"/>
    </row>
    <row r="934">
      <c r="G934" s="168"/>
      <c r="L934" s="168"/>
    </row>
    <row r="935">
      <c r="G935" s="168"/>
      <c r="L935" s="168"/>
    </row>
    <row r="936">
      <c r="G936" s="168"/>
      <c r="L936" s="168"/>
    </row>
    <row r="937">
      <c r="G937" s="168"/>
      <c r="L937" s="168"/>
    </row>
    <row r="938">
      <c r="G938" s="168"/>
      <c r="L938" s="168"/>
    </row>
    <row r="939">
      <c r="G939" s="168"/>
      <c r="L939" s="168"/>
    </row>
    <row r="940">
      <c r="G940" s="168"/>
      <c r="L940" s="168"/>
    </row>
    <row r="941">
      <c r="G941" s="168"/>
      <c r="L941" s="168"/>
    </row>
    <row r="942">
      <c r="G942" s="168"/>
      <c r="L942" s="168"/>
    </row>
    <row r="943">
      <c r="G943" s="168"/>
      <c r="L943" s="168"/>
    </row>
    <row r="944">
      <c r="G944" s="168"/>
      <c r="L944" s="168"/>
    </row>
    <row r="945">
      <c r="G945" s="168"/>
      <c r="L945" s="168"/>
    </row>
    <row r="946">
      <c r="G946" s="168"/>
      <c r="L946" s="168"/>
    </row>
    <row r="947">
      <c r="G947" s="168"/>
      <c r="L947" s="168"/>
    </row>
    <row r="948">
      <c r="G948" s="168"/>
      <c r="L948" s="168"/>
    </row>
    <row r="949">
      <c r="G949" s="168"/>
      <c r="L949" s="168"/>
    </row>
    <row r="950">
      <c r="G950" s="168"/>
      <c r="L950" s="168"/>
    </row>
    <row r="951">
      <c r="G951" s="168"/>
      <c r="L951" s="168"/>
    </row>
    <row r="952">
      <c r="G952" s="168"/>
      <c r="L952" s="168"/>
    </row>
    <row r="953">
      <c r="G953" s="168"/>
      <c r="L953" s="168"/>
    </row>
    <row r="954">
      <c r="G954" s="168"/>
      <c r="L954" s="168"/>
    </row>
    <row r="955">
      <c r="G955" s="168"/>
      <c r="L955" s="168"/>
    </row>
    <row r="956">
      <c r="G956" s="168"/>
      <c r="L956" s="168"/>
    </row>
    <row r="957">
      <c r="G957" s="168"/>
      <c r="L957" s="168"/>
    </row>
    <row r="958">
      <c r="G958" s="168"/>
      <c r="L958" s="168"/>
    </row>
    <row r="959">
      <c r="G959" s="168"/>
      <c r="L959" s="168"/>
    </row>
    <row r="960">
      <c r="G960" s="168"/>
      <c r="L960" s="168"/>
    </row>
    <row r="961">
      <c r="G961" s="168"/>
      <c r="L961" s="168"/>
    </row>
    <row r="962">
      <c r="G962" s="168"/>
      <c r="L962" s="168"/>
    </row>
    <row r="963">
      <c r="G963" s="168"/>
      <c r="L963" s="168"/>
    </row>
    <row r="964">
      <c r="G964" s="168"/>
      <c r="L964" s="168"/>
    </row>
    <row r="965">
      <c r="G965" s="168"/>
      <c r="L965" s="168"/>
    </row>
    <row r="966">
      <c r="G966" s="168"/>
      <c r="L966" s="168"/>
    </row>
    <row r="967">
      <c r="G967" s="168"/>
      <c r="L967" s="168"/>
    </row>
    <row r="968">
      <c r="G968" s="168"/>
      <c r="L968" s="168"/>
    </row>
    <row r="969">
      <c r="G969" s="168"/>
      <c r="L969" s="168"/>
    </row>
    <row r="970">
      <c r="G970" s="168"/>
      <c r="L970" s="168"/>
    </row>
    <row r="971">
      <c r="G971" s="168"/>
      <c r="L971" s="168"/>
    </row>
    <row r="972">
      <c r="G972" s="168"/>
      <c r="L972" s="168"/>
    </row>
    <row r="973">
      <c r="G973" s="168"/>
      <c r="L973" s="168"/>
    </row>
    <row r="974">
      <c r="G974" s="168"/>
      <c r="L974" s="168"/>
    </row>
    <row r="975">
      <c r="G975" s="168"/>
      <c r="L975" s="168"/>
    </row>
    <row r="976">
      <c r="G976" s="168"/>
      <c r="L976" s="168"/>
    </row>
    <row r="977">
      <c r="G977" s="168"/>
      <c r="L977" s="168"/>
    </row>
    <row r="978">
      <c r="G978" s="168"/>
      <c r="L978" s="168"/>
    </row>
    <row r="979">
      <c r="G979" s="168"/>
      <c r="L979" s="168"/>
    </row>
    <row r="980">
      <c r="G980" s="168"/>
      <c r="L980" s="168"/>
    </row>
    <row r="981">
      <c r="G981" s="168"/>
      <c r="L981" s="168"/>
    </row>
    <row r="982">
      <c r="G982" s="168"/>
      <c r="L982" s="168"/>
    </row>
    <row r="983">
      <c r="G983" s="168"/>
      <c r="L983" s="168"/>
    </row>
    <row r="984">
      <c r="G984" s="168"/>
      <c r="L984" s="168"/>
    </row>
    <row r="985">
      <c r="G985" s="168"/>
      <c r="L985" s="168"/>
    </row>
    <row r="986">
      <c r="G986" s="168"/>
      <c r="L986" s="168"/>
    </row>
    <row r="987">
      <c r="G987" s="168"/>
      <c r="L987" s="168"/>
    </row>
    <row r="988">
      <c r="G988" s="168"/>
      <c r="L988" s="168"/>
    </row>
    <row r="989">
      <c r="G989" s="168"/>
      <c r="L989" s="168"/>
    </row>
    <row r="990">
      <c r="G990" s="168"/>
      <c r="L990" s="168"/>
    </row>
    <row r="991">
      <c r="G991" s="168"/>
      <c r="L991" s="168"/>
    </row>
    <row r="992">
      <c r="G992" s="168"/>
      <c r="L992" s="168"/>
    </row>
    <row r="993">
      <c r="G993" s="168"/>
      <c r="L993" s="168"/>
    </row>
    <row r="994">
      <c r="G994" s="168"/>
      <c r="L994" s="168"/>
    </row>
    <row r="995">
      <c r="G995" s="168"/>
      <c r="L995" s="168"/>
    </row>
    <row r="996">
      <c r="G996" s="168"/>
      <c r="L996" s="168"/>
    </row>
    <row r="997">
      <c r="G997" s="168"/>
      <c r="L997" s="168"/>
    </row>
    <row r="998">
      <c r="G998" s="168"/>
      <c r="L998" s="168"/>
    </row>
    <row r="999">
      <c r="G999" s="168"/>
      <c r="L999" s="168"/>
    </row>
    <row r="1000">
      <c r="G1000" s="168"/>
      <c r="L1000" s="168"/>
    </row>
    <row r="1001">
      <c r="G1001" s="168"/>
      <c r="L1001" s="168"/>
    </row>
    <row r="1002">
      <c r="G1002" s="168"/>
      <c r="L1002" s="168"/>
    </row>
    <row r="1003">
      <c r="G1003" s="168"/>
      <c r="L1003" s="168"/>
    </row>
    <row r="1004">
      <c r="G1004" s="168"/>
      <c r="L1004" s="168"/>
    </row>
    <row r="1005">
      <c r="G1005" s="168"/>
      <c r="L1005" s="168"/>
    </row>
    <row r="1006">
      <c r="G1006" s="168"/>
      <c r="L1006" s="168"/>
    </row>
    <row r="1007">
      <c r="G1007" s="168"/>
      <c r="L1007" s="168"/>
    </row>
    <row r="1008">
      <c r="G1008" s="168"/>
      <c r="L1008" s="168"/>
    </row>
    <row r="1009">
      <c r="G1009" s="168"/>
      <c r="L1009" s="168"/>
    </row>
    <row r="1010">
      <c r="G1010" s="168"/>
      <c r="L1010" s="168"/>
    </row>
    <row r="1011">
      <c r="G1011" s="168"/>
      <c r="L1011" s="168"/>
    </row>
    <row r="1012">
      <c r="G1012" s="168"/>
      <c r="L1012" s="168"/>
    </row>
    <row r="1013">
      <c r="G1013" s="168"/>
      <c r="L1013" s="168"/>
    </row>
    <row r="1014">
      <c r="G1014" s="168"/>
      <c r="L1014" s="168"/>
    </row>
    <row r="1015">
      <c r="G1015" s="168"/>
      <c r="L1015" s="168"/>
    </row>
    <row r="1016">
      <c r="G1016" s="168"/>
      <c r="L1016" s="168"/>
    </row>
    <row r="1017">
      <c r="G1017" s="168"/>
      <c r="L1017" s="168"/>
    </row>
    <row r="1018">
      <c r="G1018" s="168"/>
      <c r="L1018" s="168"/>
    </row>
    <row r="1019">
      <c r="G1019" s="168"/>
      <c r="L1019" s="168"/>
    </row>
    <row r="1020">
      <c r="G1020" s="168"/>
      <c r="L1020" s="168"/>
    </row>
    <row r="1021">
      <c r="G1021" s="168"/>
      <c r="L1021" s="168"/>
    </row>
    <row r="1022">
      <c r="G1022" s="168"/>
      <c r="L1022" s="168"/>
    </row>
    <row r="1023">
      <c r="G1023" s="168"/>
      <c r="L1023" s="168"/>
    </row>
    <row r="1024">
      <c r="G1024" s="168"/>
      <c r="L1024" s="168"/>
    </row>
    <row r="1025">
      <c r="G1025" s="168"/>
      <c r="L1025" s="168"/>
    </row>
    <row r="1026">
      <c r="G1026" s="168"/>
      <c r="L1026" s="168"/>
    </row>
    <row r="1027">
      <c r="G1027" s="168"/>
      <c r="L1027" s="168"/>
    </row>
    <row r="1028">
      <c r="G1028" s="168"/>
      <c r="L1028" s="168"/>
    </row>
    <row r="1029">
      <c r="G1029" s="168"/>
      <c r="L1029" s="168"/>
    </row>
    <row r="1030">
      <c r="G1030" s="168"/>
      <c r="L1030" s="168"/>
    </row>
    <row r="1031">
      <c r="G1031" s="168"/>
      <c r="L1031" s="168"/>
    </row>
    <row r="1032">
      <c r="G1032" s="168"/>
      <c r="L1032" s="168"/>
    </row>
    <row r="1033">
      <c r="G1033" s="168"/>
      <c r="L1033" s="168"/>
    </row>
    <row r="1034">
      <c r="G1034" s="168"/>
      <c r="L1034" s="168"/>
    </row>
    <row r="1035">
      <c r="G1035" s="168"/>
      <c r="L1035" s="168"/>
    </row>
    <row r="1036">
      <c r="G1036" s="168"/>
      <c r="L1036" s="168"/>
    </row>
    <row r="1037">
      <c r="G1037" s="168"/>
      <c r="L1037" s="168"/>
    </row>
    <row r="1038">
      <c r="G1038" s="168"/>
      <c r="L1038" s="168"/>
    </row>
    <row r="1039">
      <c r="G1039" s="168"/>
      <c r="L1039" s="168"/>
    </row>
    <row r="1040">
      <c r="G1040" s="168"/>
      <c r="L1040" s="168"/>
    </row>
    <row r="1041">
      <c r="G1041" s="168"/>
      <c r="L1041" s="168"/>
    </row>
    <row r="1042">
      <c r="G1042" s="168"/>
      <c r="L1042" s="168"/>
    </row>
    <row r="1043">
      <c r="G1043" s="168"/>
      <c r="L1043" s="168"/>
    </row>
    <row r="1044">
      <c r="G1044" s="168"/>
      <c r="L1044" s="168"/>
    </row>
    <row r="1045">
      <c r="G1045" s="168"/>
      <c r="L1045" s="168"/>
    </row>
    <row r="1046">
      <c r="G1046" s="168"/>
      <c r="L1046" s="168"/>
    </row>
    <row r="1047">
      <c r="G1047" s="168"/>
      <c r="L1047" s="168"/>
    </row>
    <row r="1048">
      <c r="G1048" s="168"/>
      <c r="L1048" s="168"/>
    </row>
    <row r="1049">
      <c r="G1049" s="168"/>
      <c r="L1049" s="168"/>
    </row>
    <row r="1050">
      <c r="G1050" s="168"/>
      <c r="L1050" s="168"/>
    </row>
    <row r="1051">
      <c r="G1051" s="168"/>
      <c r="L1051" s="168"/>
    </row>
    <row r="1052">
      <c r="G1052" s="168"/>
      <c r="L1052" s="168"/>
    </row>
    <row r="1053">
      <c r="G1053" s="168"/>
      <c r="L1053" s="168"/>
    </row>
    <row r="1054">
      <c r="G1054" s="168"/>
      <c r="L1054" s="168"/>
    </row>
    <row r="1055">
      <c r="G1055" s="168"/>
      <c r="L1055" s="168"/>
    </row>
    <row r="1056">
      <c r="G1056" s="168"/>
      <c r="L1056" s="168"/>
    </row>
    <row r="1057">
      <c r="G1057" s="168"/>
      <c r="L1057" s="168"/>
    </row>
    <row r="1058">
      <c r="G1058" s="168"/>
      <c r="L1058" s="168"/>
    </row>
    <row r="1059">
      <c r="G1059" s="168"/>
      <c r="L1059" s="168"/>
    </row>
    <row r="1060">
      <c r="G1060" s="168"/>
      <c r="L1060" s="168"/>
    </row>
    <row r="1061">
      <c r="G1061" s="168"/>
      <c r="L1061" s="168"/>
    </row>
    <row r="1062">
      <c r="G1062" s="168"/>
      <c r="L1062" s="168"/>
    </row>
    <row r="1063">
      <c r="G1063" s="168"/>
      <c r="L1063" s="168"/>
    </row>
    <row r="1064">
      <c r="G1064" s="168"/>
      <c r="L1064" s="168"/>
    </row>
    <row r="1065">
      <c r="G1065" s="168"/>
      <c r="L1065" s="168"/>
    </row>
    <row r="1066">
      <c r="G1066" s="168"/>
      <c r="L1066" s="168"/>
    </row>
    <row r="1067">
      <c r="G1067" s="168"/>
      <c r="L1067" s="168"/>
    </row>
    <row r="1068">
      <c r="G1068" s="168"/>
      <c r="L1068" s="168"/>
    </row>
    <row r="1069">
      <c r="G1069" s="168"/>
      <c r="L1069" s="168"/>
    </row>
  </sheetData>
  <mergeCells count="3">
    <mergeCell ref="A1:N1"/>
    <mergeCell ref="A154:M154"/>
    <mergeCell ref="A216:L216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4" max="14" width="14.75"/>
  </cols>
  <sheetData>
    <row r="1">
      <c r="A1" s="1" t="s">
        <v>96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</row>
    <row r="3">
      <c r="A3" s="70">
        <v>45812.0</v>
      </c>
      <c r="B3" s="302" t="s">
        <v>11</v>
      </c>
      <c r="C3" s="149">
        <v>183030.0</v>
      </c>
      <c r="D3" s="89">
        <v>183323.0</v>
      </c>
      <c r="E3" s="38">
        <f t="shared" ref="E3:E9" si="1">D3-C3</f>
        <v>293</v>
      </c>
      <c r="F3" s="39">
        <v>30.0</v>
      </c>
      <c r="G3" s="14">
        <f t="shared" ref="G3:G9" si="2">(F3/E3)*100</f>
        <v>10.23890785</v>
      </c>
      <c r="H3" s="137">
        <v>16210.0</v>
      </c>
      <c r="I3" s="138">
        <v>16721.0</v>
      </c>
      <c r="J3" s="41">
        <f t="shared" ref="J3:J9" si="3">I3-H3</f>
        <v>511</v>
      </c>
      <c r="K3" s="41">
        <f t="shared" ref="K3:K9" si="4">F3</f>
        <v>30</v>
      </c>
      <c r="L3" s="303">
        <f t="shared" ref="L3:L9" si="5">(K3/J3)*100</f>
        <v>5.870841487</v>
      </c>
      <c r="M3" s="72">
        <v>17130.0</v>
      </c>
      <c r="N3" s="336">
        <f t="shared" ref="N3:N9" si="6">F3*M3</f>
        <v>513900</v>
      </c>
      <c r="O3" s="197">
        <v>1.0</v>
      </c>
      <c r="P3" s="197" t="s">
        <v>11</v>
      </c>
      <c r="Q3" s="251">
        <f>N10</f>
        <v>4855500</v>
      </c>
    </row>
    <row r="4">
      <c r="A4" s="154">
        <v>45814.0</v>
      </c>
      <c r="B4" s="156" t="s">
        <v>11</v>
      </c>
      <c r="C4" s="89">
        <v>183323.0</v>
      </c>
      <c r="D4" s="89">
        <v>183674.0</v>
      </c>
      <c r="E4" s="12">
        <f t="shared" si="1"/>
        <v>351</v>
      </c>
      <c r="F4" s="157">
        <v>50.0</v>
      </c>
      <c r="G4" s="14">
        <f t="shared" si="2"/>
        <v>14.24501425</v>
      </c>
      <c r="H4" s="137">
        <v>16721.0</v>
      </c>
      <c r="I4" s="138">
        <v>17232.0</v>
      </c>
      <c r="J4" s="41">
        <f t="shared" si="3"/>
        <v>511</v>
      </c>
      <c r="K4" s="89">
        <f t="shared" si="4"/>
        <v>50</v>
      </c>
      <c r="L4" s="152">
        <f t="shared" si="5"/>
        <v>9.784735812</v>
      </c>
      <c r="M4" s="126">
        <v>17420.0</v>
      </c>
      <c r="N4" s="338">
        <f t="shared" si="6"/>
        <v>871000</v>
      </c>
      <c r="O4" s="80">
        <f t="shared" ref="O4:O26" si="7">O3+1</f>
        <v>2</v>
      </c>
      <c r="P4" s="197" t="s">
        <v>12</v>
      </c>
      <c r="Q4" s="251">
        <f>N18</f>
        <v>5949100</v>
      </c>
    </row>
    <row r="5">
      <c r="A5" s="154">
        <v>45819.0</v>
      </c>
      <c r="B5" s="156" t="s">
        <v>11</v>
      </c>
      <c r="C5" s="89">
        <v>183674.0</v>
      </c>
      <c r="D5" s="89">
        <v>184002.0</v>
      </c>
      <c r="E5" s="12">
        <f t="shared" si="1"/>
        <v>328</v>
      </c>
      <c r="F5" s="157">
        <v>30.0</v>
      </c>
      <c r="G5" s="14">
        <f t="shared" si="2"/>
        <v>9.146341463</v>
      </c>
      <c r="H5" s="137"/>
      <c r="I5" s="137"/>
      <c r="J5" s="89">
        <f t="shared" si="3"/>
        <v>0</v>
      </c>
      <c r="K5" s="89">
        <f t="shared" si="4"/>
        <v>30</v>
      </c>
      <c r="L5" s="152" t="str">
        <f t="shared" si="5"/>
        <v>#DIV/0!</v>
      </c>
      <c r="M5" s="126">
        <v>17420.0</v>
      </c>
      <c r="N5" s="338">
        <f t="shared" si="6"/>
        <v>522600</v>
      </c>
      <c r="O5" s="80">
        <f t="shared" si="7"/>
        <v>3</v>
      </c>
      <c r="P5" s="197" t="s">
        <v>13</v>
      </c>
      <c r="Q5" s="251">
        <f>N27</f>
        <v>5228510</v>
      </c>
    </row>
    <row r="6">
      <c r="A6" s="154">
        <v>45821.0</v>
      </c>
      <c r="B6" s="156" t="s">
        <v>11</v>
      </c>
      <c r="C6" s="89">
        <v>184002.0</v>
      </c>
      <c r="D6" s="89">
        <v>184199.0</v>
      </c>
      <c r="E6" s="12">
        <f t="shared" si="1"/>
        <v>197</v>
      </c>
      <c r="F6" s="157">
        <v>30.0</v>
      </c>
      <c r="G6" s="14">
        <f t="shared" si="2"/>
        <v>15.2284264</v>
      </c>
      <c r="H6" s="89"/>
      <c r="I6" s="137"/>
      <c r="J6" s="89">
        <f t="shared" si="3"/>
        <v>0</v>
      </c>
      <c r="K6" s="89">
        <f t="shared" si="4"/>
        <v>30</v>
      </c>
      <c r="L6" s="152" t="str">
        <f t="shared" si="5"/>
        <v>#DIV/0!</v>
      </c>
      <c r="M6" s="126">
        <v>17700.0</v>
      </c>
      <c r="N6" s="338">
        <f t="shared" si="6"/>
        <v>531000</v>
      </c>
      <c r="O6" s="80">
        <f t="shared" si="7"/>
        <v>4</v>
      </c>
      <c r="P6" s="197" t="s">
        <v>14</v>
      </c>
      <c r="Q6" s="251">
        <f>N35</f>
        <v>4147000</v>
      </c>
    </row>
    <row r="7">
      <c r="A7" s="154">
        <v>45826.0</v>
      </c>
      <c r="B7" s="156" t="s">
        <v>11</v>
      </c>
      <c r="C7" s="89">
        <v>184199.0</v>
      </c>
      <c r="D7" s="89">
        <v>184560.0</v>
      </c>
      <c r="E7" s="12">
        <f t="shared" si="1"/>
        <v>361</v>
      </c>
      <c r="F7" s="157">
        <v>50.0</v>
      </c>
      <c r="G7" s="14">
        <f t="shared" si="2"/>
        <v>13.85041551</v>
      </c>
      <c r="H7" s="89"/>
      <c r="I7" s="137"/>
      <c r="J7" s="89">
        <f t="shared" si="3"/>
        <v>0</v>
      </c>
      <c r="K7" s="89">
        <f t="shared" si="4"/>
        <v>50</v>
      </c>
      <c r="L7" s="152" t="str">
        <f t="shared" si="5"/>
        <v>#DIV/0!</v>
      </c>
      <c r="M7" s="126">
        <v>17700.0</v>
      </c>
      <c r="N7" s="339">
        <f t="shared" si="6"/>
        <v>885000</v>
      </c>
      <c r="O7" s="80">
        <f t="shared" si="7"/>
        <v>5</v>
      </c>
      <c r="P7" s="197" t="s">
        <v>15</v>
      </c>
      <c r="Q7" s="251">
        <f>N43</f>
        <v>4676870</v>
      </c>
    </row>
    <row r="8">
      <c r="A8" s="154">
        <v>45831.0</v>
      </c>
      <c r="B8" s="99" t="s">
        <v>11</v>
      </c>
      <c r="C8" s="89">
        <v>184560.0</v>
      </c>
      <c r="D8" s="89">
        <v>184919.0</v>
      </c>
      <c r="E8" s="12">
        <f t="shared" si="1"/>
        <v>359</v>
      </c>
      <c r="F8" s="157">
        <v>40.0</v>
      </c>
      <c r="G8" s="14">
        <f t="shared" si="2"/>
        <v>11.14206128</v>
      </c>
      <c r="H8" s="89"/>
      <c r="I8" s="137"/>
      <c r="J8" s="89">
        <f t="shared" si="3"/>
        <v>0</v>
      </c>
      <c r="K8" s="89">
        <f t="shared" si="4"/>
        <v>40</v>
      </c>
      <c r="L8" s="152" t="str">
        <f t="shared" si="5"/>
        <v>#DIV/0!</v>
      </c>
      <c r="M8" s="126">
        <v>19150.0</v>
      </c>
      <c r="N8" s="339">
        <f t="shared" si="6"/>
        <v>766000</v>
      </c>
      <c r="O8" s="80">
        <f t="shared" si="7"/>
        <v>6</v>
      </c>
      <c r="P8" s="197" t="s">
        <v>16</v>
      </c>
      <c r="Q8" s="251">
        <f>N52</f>
        <v>5757150</v>
      </c>
    </row>
    <row r="9">
      <c r="A9" s="304">
        <v>45834.0</v>
      </c>
      <c r="B9" s="156" t="s">
        <v>11</v>
      </c>
      <c r="C9" s="89">
        <v>184919.0</v>
      </c>
      <c r="D9" s="149">
        <v>185231.0</v>
      </c>
      <c r="E9" s="25">
        <f t="shared" si="1"/>
        <v>312</v>
      </c>
      <c r="F9" s="161">
        <v>40.0</v>
      </c>
      <c r="G9" s="56">
        <f t="shared" si="2"/>
        <v>12.82051282</v>
      </c>
      <c r="H9" s="149"/>
      <c r="I9" s="151"/>
      <c r="J9" s="149">
        <f t="shared" si="3"/>
        <v>0</v>
      </c>
      <c r="K9" s="149">
        <f t="shared" si="4"/>
        <v>40</v>
      </c>
      <c r="L9" s="71" t="str">
        <f t="shared" si="5"/>
        <v>#DIV/0!</v>
      </c>
      <c r="M9" s="153">
        <v>19150.0</v>
      </c>
      <c r="N9" s="340">
        <f t="shared" si="6"/>
        <v>766000</v>
      </c>
      <c r="O9" s="80">
        <f t="shared" si="7"/>
        <v>7</v>
      </c>
      <c r="P9" s="197" t="s">
        <v>18</v>
      </c>
      <c r="Q9" s="251">
        <f>N60</f>
        <v>5611500</v>
      </c>
    </row>
    <row r="10">
      <c r="A10" s="62"/>
      <c r="B10" s="63"/>
      <c r="C10" s="62"/>
      <c r="D10" s="64" t="s">
        <v>19</v>
      </c>
      <c r="E10" s="64">
        <f t="shared" ref="E10:F10" si="8">sum(E3:E9)</f>
        <v>2201</v>
      </c>
      <c r="F10" s="64">
        <f t="shared" si="8"/>
        <v>270</v>
      </c>
      <c r="G10" s="65">
        <f>average(G3:G9)</f>
        <v>12.38166851</v>
      </c>
      <c r="H10" s="62"/>
      <c r="I10" s="66"/>
      <c r="J10" s="64">
        <f t="shared" ref="J10:K10" si="9">sum(J3:J9)</f>
        <v>1022</v>
      </c>
      <c r="K10" s="64">
        <f t="shared" si="9"/>
        <v>270</v>
      </c>
      <c r="L10" s="65" t="str">
        <f>average(L3:L9)</f>
        <v>#DIV/0!</v>
      </c>
      <c r="M10" s="68"/>
      <c r="N10" s="341">
        <f>sum(N3:N9)</f>
        <v>4855500</v>
      </c>
      <c r="O10" s="80">
        <f t="shared" si="7"/>
        <v>8</v>
      </c>
      <c r="P10" s="197" t="s">
        <v>20</v>
      </c>
      <c r="Q10" s="251">
        <f>N68</f>
        <v>6335540</v>
      </c>
    </row>
    <row r="11">
      <c r="A11" s="70">
        <v>46175.0</v>
      </c>
      <c r="B11" s="302" t="s">
        <v>12</v>
      </c>
      <c r="C11" s="89">
        <v>144866.0</v>
      </c>
      <c r="D11" s="89">
        <v>145726.0</v>
      </c>
      <c r="E11" s="38">
        <f t="shared" ref="E11:E17" si="10">D11-C11</f>
        <v>860</v>
      </c>
      <c r="F11" s="39">
        <v>60.0</v>
      </c>
      <c r="G11" s="14">
        <f t="shared" ref="G11:G17" si="11">(F11/E11)*100</f>
        <v>6.976744186</v>
      </c>
      <c r="H11" s="137">
        <v>14766.0</v>
      </c>
      <c r="I11" s="138">
        <v>15340.0</v>
      </c>
      <c r="J11" s="41">
        <f t="shared" ref="J11:J17" si="12">I11-H11</f>
        <v>574</v>
      </c>
      <c r="K11" s="41">
        <f t="shared" ref="K11:K17" si="13">F11</f>
        <v>60</v>
      </c>
      <c r="L11" s="303">
        <f t="shared" ref="L11:L17" si="14">(K11/J11)*100</f>
        <v>10.45296167</v>
      </c>
      <c r="M11" s="72">
        <v>17130.0</v>
      </c>
      <c r="N11" s="336">
        <f t="shared" ref="N11:N17" si="15">F11*M11</f>
        <v>1027800</v>
      </c>
      <c r="O11" s="80">
        <f t="shared" si="7"/>
        <v>9</v>
      </c>
      <c r="P11" s="197" t="s">
        <v>21</v>
      </c>
      <c r="Q11" s="251">
        <f>N76</f>
        <v>6872000</v>
      </c>
    </row>
    <row r="12">
      <c r="A12" s="154">
        <v>45817.0</v>
      </c>
      <c r="B12" s="156" t="s">
        <v>12</v>
      </c>
      <c r="C12" s="89">
        <v>145726.0</v>
      </c>
      <c r="D12" s="89">
        <v>146119.0</v>
      </c>
      <c r="E12" s="12">
        <f t="shared" si="10"/>
        <v>393</v>
      </c>
      <c r="F12" s="157">
        <v>55.0</v>
      </c>
      <c r="G12" s="14">
        <f t="shared" si="11"/>
        <v>13.99491094</v>
      </c>
      <c r="H12" s="89">
        <v>15340.0</v>
      </c>
      <c r="I12" s="137">
        <v>15909.0</v>
      </c>
      <c r="J12" s="89">
        <f t="shared" si="12"/>
        <v>569</v>
      </c>
      <c r="K12" s="89">
        <f t="shared" si="13"/>
        <v>55</v>
      </c>
      <c r="L12" s="152">
        <f t="shared" si="14"/>
        <v>9.666080844</v>
      </c>
      <c r="M12" s="126">
        <v>17420.0</v>
      </c>
      <c r="N12" s="338">
        <f t="shared" si="15"/>
        <v>958100</v>
      </c>
      <c r="O12" s="80">
        <f t="shared" si="7"/>
        <v>10</v>
      </c>
      <c r="P12" s="276" t="s">
        <v>22</v>
      </c>
      <c r="Q12" s="251">
        <f>N84</f>
        <v>3974200</v>
      </c>
    </row>
    <row r="13">
      <c r="A13" s="154">
        <v>45821.0</v>
      </c>
      <c r="B13" s="156" t="s">
        <v>12</v>
      </c>
      <c r="C13" s="89">
        <v>146119.0</v>
      </c>
      <c r="D13" s="89">
        <v>146570.0</v>
      </c>
      <c r="E13" s="12">
        <f t="shared" si="10"/>
        <v>451</v>
      </c>
      <c r="F13" s="157">
        <v>55.0</v>
      </c>
      <c r="G13" s="14">
        <f t="shared" si="11"/>
        <v>12.19512195</v>
      </c>
      <c r="H13" s="89"/>
      <c r="I13" s="137"/>
      <c r="J13" s="89">
        <f t="shared" si="12"/>
        <v>0</v>
      </c>
      <c r="K13" s="89">
        <f t="shared" si="13"/>
        <v>55</v>
      </c>
      <c r="L13" s="152" t="str">
        <f t="shared" si="14"/>
        <v>#DIV/0!</v>
      </c>
      <c r="M13" s="126">
        <v>17700.0</v>
      </c>
      <c r="N13" s="338">
        <f t="shared" si="15"/>
        <v>973500</v>
      </c>
      <c r="O13" s="80">
        <f t="shared" si="7"/>
        <v>11</v>
      </c>
      <c r="P13" s="197" t="s">
        <v>23</v>
      </c>
      <c r="Q13" s="251">
        <f>N91</f>
        <v>6770770</v>
      </c>
    </row>
    <row r="14">
      <c r="A14" s="155">
        <v>45826.0</v>
      </c>
      <c r="B14" s="156" t="s">
        <v>12</v>
      </c>
      <c r="C14" s="89">
        <v>146570.0</v>
      </c>
      <c r="D14" s="89">
        <v>146969.0</v>
      </c>
      <c r="E14" s="12">
        <f t="shared" si="10"/>
        <v>399</v>
      </c>
      <c r="F14" s="157">
        <v>57.0</v>
      </c>
      <c r="G14" s="14">
        <f t="shared" si="11"/>
        <v>14.28571429</v>
      </c>
      <c r="H14" s="89"/>
      <c r="I14" s="137"/>
      <c r="J14" s="89">
        <f t="shared" si="12"/>
        <v>0</v>
      </c>
      <c r="K14" s="89">
        <f t="shared" si="13"/>
        <v>57</v>
      </c>
      <c r="L14" s="152" t="str">
        <f t="shared" si="14"/>
        <v>#DIV/0!</v>
      </c>
      <c r="M14" s="126">
        <v>17700.0</v>
      </c>
      <c r="N14" s="339">
        <f t="shared" si="15"/>
        <v>1008900</v>
      </c>
      <c r="O14" s="80">
        <f t="shared" si="7"/>
        <v>12</v>
      </c>
      <c r="P14" s="276" t="s">
        <v>24</v>
      </c>
      <c r="Q14" s="251">
        <f>N99</f>
        <v>6269650</v>
      </c>
    </row>
    <row r="15">
      <c r="A15" s="154">
        <v>45832.0</v>
      </c>
      <c r="B15" s="156" t="s">
        <v>12</v>
      </c>
      <c r="C15" s="89">
        <v>146969.0</v>
      </c>
      <c r="D15" s="89">
        <v>147375.0</v>
      </c>
      <c r="E15" s="12">
        <f t="shared" si="10"/>
        <v>406</v>
      </c>
      <c r="F15" s="157">
        <v>52.0</v>
      </c>
      <c r="G15" s="14">
        <f t="shared" si="11"/>
        <v>12.80788177</v>
      </c>
      <c r="H15" s="137"/>
      <c r="I15" s="137"/>
      <c r="J15" s="89">
        <f t="shared" si="12"/>
        <v>0</v>
      </c>
      <c r="K15" s="89">
        <f t="shared" si="13"/>
        <v>52</v>
      </c>
      <c r="L15" s="152" t="str">
        <f t="shared" si="14"/>
        <v>#DIV/0!</v>
      </c>
      <c r="M15" s="126">
        <v>19150.0</v>
      </c>
      <c r="N15" s="339">
        <f t="shared" si="15"/>
        <v>995800</v>
      </c>
      <c r="O15" s="80">
        <f t="shared" si="7"/>
        <v>13</v>
      </c>
      <c r="P15" s="197" t="s">
        <v>25</v>
      </c>
      <c r="Q15" s="251">
        <f>N99</f>
        <v>6269650</v>
      </c>
    </row>
    <row r="16">
      <c r="A16" s="155">
        <v>45835.0</v>
      </c>
      <c r="B16" s="156" t="s">
        <v>12</v>
      </c>
      <c r="C16" s="89">
        <v>147375.0</v>
      </c>
      <c r="D16" s="89">
        <v>147761.0</v>
      </c>
      <c r="E16" s="12">
        <f t="shared" si="10"/>
        <v>386</v>
      </c>
      <c r="F16" s="157">
        <v>50.0</v>
      </c>
      <c r="G16" s="14">
        <f t="shared" si="11"/>
        <v>12.95336788</v>
      </c>
      <c r="H16" s="89"/>
      <c r="I16" s="159"/>
      <c r="J16" s="89">
        <f t="shared" si="12"/>
        <v>0</v>
      </c>
      <c r="K16" s="89">
        <f t="shared" si="13"/>
        <v>50</v>
      </c>
      <c r="L16" s="152" t="str">
        <f t="shared" si="14"/>
        <v>#DIV/0!</v>
      </c>
      <c r="M16" s="126">
        <v>19700.0</v>
      </c>
      <c r="N16" s="342">
        <f t="shared" si="15"/>
        <v>985000</v>
      </c>
      <c r="O16" s="80">
        <f t="shared" si="7"/>
        <v>14</v>
      </c>
      <c r="P16" s="276" t="s">
        <v>26</v>
      </c>
      <c r="Q16" s="251">
        <f>N115</f>
        <v>2901380</v>
      </c>
    </row>
    <row r="17">
      <c r="A17" s="305"/>
      <c r="B17" s="306"/>
      <c r="C17" s="149"/>
      <c r="D17" s="150"/>
      <c r="E17" s="25">
        <f t="shared" si="10"/>
        <v>0</v>
      </c>
      <c r="F17" s="307"/>
      <c r="G17" s="56" t="str">
        <f t="shared" si="11"/>
        <v>#DIV/0!</v>
      </c>
      <c r="H17" s="149"/>
      <c r="I17" s="151"/>
      <c r="J17" s="149">
        <f t="shared" si="12"/>
        <v>0</v>
      </c>
      <c r="K17" s="149" t="str">
        <f t="shared" si="13"/>
        <v/>
      </c>
      <c r="L17" s="71" t="str">
        <f t="shared" si="14"/>
        <v>#DIV/0!</v>
      </c>
      <c r="M17" s="308"/>
      <c r="N17" s="340">
        <f t="shared" si="15"/>
        <v>0</v>
      </c>
      <c r="O17" s="80">
        <f t="shared" si="7"/>
        <v>15</v>
      </c>
      <c r="P17" s="197" t="s">
        <v>27</v>
      </c>
      <c r="Q17" s="251">
        <f>N124</f>
        <v>8393360</v>
      </c>
    </row>
    <row r="18">
      <c r="A18" s="62"/>
      <c r="B18" s="63"/>
      <c r="C18" s="62"/>
      <c r="D18" s="64" t="s">
        <v>19</v>
      </c>
      <c r="E18" s="64">
        <f t="shared" ref="E18:F18" si="16">sum(E11:E17)</f>
        <v>2895</v>
      </c>
      <c r="F18" s="64">
        <f t="shared" si="16"/>
        <v>329</v>
      </c>
      <c r="G18" s="65" t="str">
        <f>average(G11:G17)</f>
        <v>#DIV/0!</v>
      </c>
      <c r="H18" s="62"/>
      <c r="I18" s="66"/>
      <c r="J18" s="64">
        <f t="shared" ref="J18:K18" si="17">sum(J11:J17)</f>
        <v>1143</v>
      </c>
      <c r="K18" s="64">
        <f t="shared" si="17"/>
        <v>329</v>
      </c>
      <c r="L18" s="65" t="str">
        <f>average(L11:L17)</f>
        <v>#DIV/0!</v>
      </c>
      <c r="M18" s="68"/>
      <c r="N18" s="341">
        <f>sum(N11:N17)</f>
        <v>5949100</v>
      </c>
      <c r="O18" s="80">
        <f t="shared" si="7"/>
        <v>16</v>
      </c>
      <c r="P18" s="197" t="s">
        <v>80</v>
      </c>
      <c r="Q18" s="251">
        <f>N133</f>
        <v>7547700</v>
      </c>
    </row>
    <row r="19">
      <c r="A19" s="70">
        <v>45811.0</v>
      </c>
      <c r="B19" s="302" t="s">
        <v>13</v>
      </c>
      <c r="C19" s="89">
        <v>164302.0</v>
      </c>
      <c r="D19" s="41">
        <v>164623.0</v>
      </c>
      <c r="E19" s="38">
        <f t="shared" ref="E19:E26" si="18">D19-C19</f>
        <v>321</v>
      </c>
      <c r="F19" s="39">
        <v>47.0</v>
      </c>
      <c r="G19" s="14">
        <f t="shared" ref="G19:G26" si="19">(F19/E19)*100</f>
        <v>14.64174455</v>
      </c>
      <c r="H19" s="137">
        <v>16646.0</v>
      </c>
      <c r="I19" s="138">
        <v>16873.0</v>
      </c>
      <c r="J19" s="41">
        <f t="shared" ref="J19:J26" si="20">I19-H19</f>
        <v>227</v>
      </c>
      <c r="K19" s="41">
        <f t="shared" ref="K19:K26" si="21">F19</f>
        <v>47</v>
      </c>
      <c r="L19" s="152">
        <f t="shared" ref="L19:L26" si="22">(K19/J19)*100</f>
        <v>20.70484581</v>
      </c>
      <c r="M19" s="72">
        <v>17130.0</v>
      </c>
      <c r="N19" s="336">
        <f t="shared" ref="N19:N26" si="23">F19*M19</f>
        <v>805110</v>
      </c>
      <c r="O19" s="80">
        <f t="shared" si="7"/>
        <v>17</v>
      </c>
      <c r="P19" s="197" t="s">
        <v>29</v>
      </c>
      <c r="Q19" s="251">
        <f>N142</f>
        <v>3869150</v>
      </c>
    </row>
    <row r="20">
      <c r="A20" s="154">
        <v>45820.0</v>
      </c>
      <c r="B20" s="156" t="s">
        <v>13</v>
      </c>
      <c r="C20" s="41">
        <v>164623.0</v>
      </c>
      <c r="D20" s="89">
        <v>165010.0</v>
      </c>
      <c r="E20" s="12">
        <f t="shared" si="18"/>
        <v>387</v>
      </c>
      <c r="F20" s="157">
        <v>50.0</v>
      </c>
      <c r="G20" s="14">
        <f t="shared" si="19"/>
        <v>12.91989664</v>
      </c>
      <c r="H20" s="89">
        <v>16873.0</v>
      </c>
      <c r="I20" s="137"/>
      <c r="J20" s="89">
        <f t="shared" si="20"/>
        <v>-16873</v>
      </c>
      <c r="K20" s="89">
        <f t="shared" si="21"/>
        <v>50</v>
      </c>
      <c r="L20" s="152">
        <f t="shared" si="22"/>
        <v>-0.2963314171</v>
      </c>
      <c r="M20" s="126">
        <v>17420.0</v>
      </c>
      <c r="N20" s="338">
        <f t="shared" si="23"/>
        <v>871000</v>
      </c>
      <c r="O20" s="80">
        <f t="shared" si="7"/>
        <v>18</v>
      </c>
      <c r="P20" s="197" t="s">
        <v>30</v>
      </c>
      <c r="Q20" s="251">
        <f>N151</f>
        <v>5473240</v>
      </c>
    </row>
    <row r="21">
      <c r="A21" s="154">
        <v>45820.0</v>
      </c>
      <c r="B21" s="156" t="s">
        <v>13</v>
      </c>
      <c r="C21" s="89">
        <v>165010.0</v>
      </c>
      <c r="D21" s="89">
        <v>165384.0</v>
      </c>
      <c r="E21" s="12">
        <f t="shared" si="18"/>
        <v>374</v>
      </c>
      <c r="F21" s="157">
        <v>50.0</v>
      </c>
      <c r="G21" s="14">
        <f t="shared" si="19"/>
        <v>13.36898396</v>
      </c>
      <c r="H21" s="89"/>
      <c r="I21" s="137"/>
      <c r="J21" s="89">
        <f t="shared" si="20"/>
        <v>0</v>
      </c>
      <c r="K21" s="89">
        <f t="shared" si="21"/>
        <v>50</v>
      </c>
      <c r="L21" s="152" t="str">
        <f t="shared" si="22"/>
        <v>#DIV/0!</v>
      </c>
      <c r="M21" s="126">
        <v>17700.0</v>
      </c>
      <c r="N21" s="343">
        <f t="shared" si="23"/>
        <v>885000</v>
      </c>
      <c r="O21" s="80">
        <f t="shared" si="7"/>
        <v>19</v>
      </c>
    </row>
    <row r="22">
      <c r="A22" s="155">
        <v>45825.0</v>
      </c>
      <c r="B22" s="156" t="s">
        <v>13</v>
      </c>
      <c r="C22" s="89">
        <v>165384.0</v>
      </c>
      <c r="D22" s="89">
        <v>165762.0</v>
      </c>
      <c r="E22" s="12">
        <f t="shared" si="18"/>
        <v>378</v>
      </c>
      <c r="F22" s="157">
        <v>49.0</v>
      </c>
      <c r="G22" s="14">
        <f t="shared" si="19"/>
        <v>12.96296296</v>
      </c>
      <c r="H22" s="89"/>
      <c r="I22" s="137"/>
      <c r="J22" s="89">
        <f t="shared" si="20"/>
        <v>0</v>
      </c>
      <c r="K22" s="89">
        <f t="shared" si="21"/>
        <v>49</v>
      </c>
      <c r="L22" s="152" t="str">
        <f t="shared" si="22"/>
        <v>#DIV/0!</v>
      </c>
      <c r="M22" s="126">
        <v>17700.0</v>
      </c>
      <c r="N22" s="339">
        <f t="shared" si="23"/>
        <v>867300</v>
      </c>
      <c r="O22" s="80">
        <f t="shared" si="7"/>
        <v>20</v>
      </c>
    </row>
    <row r="23">
      <c r="A23" s="154">
        <v>45829.0</v>
      </c>
      <c r="B23" s="156" t="s">
        <v>13</v>
      </c>
      <c r="C23" s="89">
        <v>165762.0</v>
      </c>
      <c r="D23" s="89">
        <v>166100.0</v>
      </c>
      <c r="E23" s="12">
        <f t="shared" si="18"/>
        <v>338</v>
      </c>
      <c r="F23" s="157">
        <v>46.0</v>
      </c>
      <c r="G23" s="14">
        <f t="shared" si="19"/>
        <v>13.60946746</v>
      </c>
      <c r="H23" s="89"/>
      <c r="I23" s="137"/>
      <c r="J23" s="89">
        <f t="shared" si="20"/>
        <v>0</v>
      </c>
      <c r="K23" s="89">
        <f t="shared" si="21"/>
        <v>46</v>
      </c>
      <c r="L23" s="152" t="str">
        <f t="shared" si="22"/>
        <v>#DIV/0!</v>
      </c>
      <c r="M23" s="126">
        <v>19150.0</v>
      </c>
      <c r="N23" s="339">
        <f t="shared" si="23"/>
        <v>880900</v>
      </c>
      <c r="O23" s="80">
        <f t="shared" si="7"/>
        <v>21</v>
      </c>
    </row>
    <row r="24">
      <c r="A24" s="154">
        <v>45834.0</v>
      </c>
      <c r="B24" s="99" t="s">
        <v>13</v>
      </c>
      <c r="C24" s="89">
        <v>166100.0</v>
      </c>
      <c r="D24" s="89">
        <v>166484.0</v>
      </c>
      <c r="E24" s="12">
        <f t="shared" si="18"/>
        <v>384</v>
      </c>
      <c r="F24" s="157">
        <v>48.0</v>
      </c>
      <c r="G24" s="14">
        <f t="shared" si="19"/>
        <v>12.5</v>
      </c>
      <c r="H24" s="89"/>
      <c r="I24" s="137"/>
      <c r="J24" s="89">
        <f t="shared" si="20"/>
        <v>0</v>
      </c>
      <c r="K24" s="89">
        <f t="shared" si="21"/>
        <v>48</v>
      </c>
      <c r="L24" s="152" t="str">
        <f t="shared" si="22"/>
        <v>#DIV/0!</v>
      </c>
      <c r="M24" s="126">
        <v>19150.0</v>
      </c>
      <c r="N24" s="339">
        <f t="shared" si="23"/>
        <v>919200</v>
      </c>
      <c r="O24" s="80">
        <f t="shared" si="7"/>
        <v>22</v>
      </c>
    </row>
    <row r="25">
      <c r="A25" s="304"/>
      <c r="B25" s="36" t="s">
        <v>13</v>
      </c>
      <c r="C25" s="149"/>
      <c r="D25" s="149"/>
      <c r="E25" s="25">
        <f t="shared" si="18"/>
        <v>0</v>
      </c>
      <c r="F25" s="161"/>
      <c r="G25" s="56" t="str">
        <f t="shared" si="19"/>
        <v>#DIV/0!</v>
      </c>
      <c r="H25" s="149"/>
      <c r="I25" s="315"/>
      <c r="J25" s="149">
        <f t="shared" si="20"/>
        <v>0</v>
      </c>
      <c r="K25" s="149" t="str">
        <f t="shared" si="21"/>
        <v/>
      </c>
      <c r="L25" s="152" t="str">
        <f t="shared" si="22"/>
        <v>#DIV/0!</v>
      </c>
      <c r="M25" s="153"/>
      <c r="N25" s="344">
        <f t="shared" si="23"/>
        <v>0</v>
      </c>
      <c r="O25" s="80">
        <f t="shared" si="7"/>
        <v>23</v>
      </c>
    </row>
    <row r="26">
      <c r="A26" s="345"/>
      <c r="B26" s="36" t="s">
        <v>13</v>
      </c>
      <c r="C26" s="309"/>
      <c r="D26" s="309"/>
      <c r="E26" s="25">
        <f t="shared" si="18"/>
        <v>0</v>
      </c>
      <c r="F26" s="309"/>
      <c r="G26" s="56" t="str">
        <f t="shared" si="19"/>
        <v>#DIV/0!</v>
      </c>
      <c r="H26" s="309"/>
      <c r="I26" s="346"/>
      <c r="J26" s="149">
        <f t="shared" si="20"/>
        <v>0</v>
      </c>
      <c r="K26" s="149" t="str">
        <f t="shared" si="21"/>
        <v/>
      </c>
      <c r="L26" s="152" t="str">
        <f t="shared" si="22"/>
        <v>#DIV/0!</v>
      </c>
      <c r="M26" s="161"/>
      <c r="N26" s="344">
        <f t="shared" si="23"/>
        <v>0</v>
      </c>
      <c r="O26" s="80">
        <f t="shared" si="7"/>
        <v>24</v>
      </c>
    </row>
    <row r="27">
      <c r="A27" s="62"/>
      <c r="B27" s="63"/>
      <c r="C27" s="62"/>
      <c r="D27" s="64" t="s">
        <v>19</v>
      </c>
      <c r="E27" s="64">
        <f>sum(E19:E25)</f>
        <v>2182</v>
      </c>
      <c r="F27" s="64">
        <f>sum(F19:F26)</f>
        <v>290</v>
      </c>
      <c r="G27" s="65" t="str">
        <f>average(G19:G25)</f>
        <v>#DIV/0!</v>
      </c>
      <c r="H27" s="62"/>
      <c r="I27" s="66"/>
      <c r="J27" s="64">
        <f t="shared" ref="J27:K27" si="24">sum(J19:J25)</f>
        <v>-16646</v>
      </c>
      <c r="K27" s="64">
        <f t="shared" si="24"/>
        <v>290</v>
      </c>
      <c r="L27" s="65" t="str">
        <f>average(L19:L25)</f>
        <v>#DIV/0!</v>
      </c>
      <c r="M27" s="68"/>
      <c r="N27" s="341">
        <f>sum(N19:N26)</f>
        <v>5228510</v>
      </c>
    </row>
    <row r="28">
      <c r="A28" s="70">
        <v>45813.0</v>
      </c>
      <c r="B28" s="302" t="s">
        <v>14</v>
      </c>
      <c r="C28" s="89">
        <v>166303.0</v>
      </c>
      <c r="D28" s="41">
        <v>166714.0</v>
      </c>
      <c r="E28" s="38">
        <f t="shared" ref="E28:E34" si="25">D28-C28</f>
        <v>411</v>
      </c>
      <c r="F28" s="39">
        <v>40.0</v>
      </c>
      <c r="G28" s="14">
        <f t="shared" ref="G28:G34" si="26">(F28/E28)*100</f>
        <v>9.732360097</v>
      </c>
      <c r="H28" s="137">
        <v>9206.0</v>
      </c>
      <c r="I28" s="138">
        <v>9848.0</v>
      </c>
      <c r="J28" s="41">
        <f t="shared" ref="J28:J34" si="27">I28-H28</f>
        <v>642</v>
      </c>
      <c r="K28" s="41">
        <f t="shared" ref="K28:K34" si="28">F28</f>
        <v>40</v>
      </c>
      <c r="L28" s="152">
        <f t="shared" ref="L28:L34" si="29">(K28/J28)*100</f>
        <v>6.230529595</v>
      </c>
      <c r="M28" s="72">
        <v>17130.0</v>
      </c>
      <c r="N28" s="336">
        <f t="shared" ref="N28:N34" si="30">F28*M28</f>
        <v>685200</v>
      </c>
    </row>
    <row r="29">
      <c r="A29" s="154">
        <v>45819.0</v>
      </c>
      <c r="B29" s="156" t="s">
        <v>14</v>
      </c>
      <c r="C29" s="89">
        <v>166714.0</v>
      </c>
      <c r="D29" s="89">
        <v>167078.0</v>
      </c>
      <c r="E29" s="12">
        <f t="shared" si="25"/>
        <v>364</v>
      </c>
      <c r="F29" s="157">
        <v>50.0</v>
      </c>
      <c r="G29" s="14">
        <f t="shared" si="26"/>
        <v>13.73626374</v>
      </c>
      <c r="H29" s="89">
        <v>9848.0</v>
      </c>
      <c r="I29" s="137"/>
      <c r="J29" s="89">
        <f t="shared" si="27"/>
        <v>-9848</v>
      </c>
      <c r="K29" s="89">
        <f t="shared" si="28"/>
        <v>50</v>
      </c>
      <c r="L29" s="152">
        <f t="shared" si="29"/>
        <v>-0.507717303</v>
      </c>
      <c r="M29" s="126">
        <v>17420.0</v>
      </c>
      <c r="N29" s="343">
        <f t="shared" si="30"/>
        <v>871000</v>
      </c>
    </row>
    <row r="30">
      <c r="A30" s="154">
        <v>45825.0</v>
      </c>
      <c r="B30" s="156" t="s">
        <v>14</v>
      </c>
      <c r="C30" s="89">
        <v>167078.0</v>
      </c>
      <c r="D30" s="89">
        <v>167508.0</v>
      </c>
      <c r="E30" s="12">
        <f t="shared" si="25"/>
        <v>430</v>
      </c>
      <c r="F30" s="157">
        <v>49.0</v>
      </c>
      <c r="G30" s="14">
        <f t="shared" si="26"/>
        <v>11.39534884</v>
      </c>
      <c r="H30" s="89"/>
      <c r="I30" s="137"/>
      <c r="J30" s="89">
        <f t="shared" si="27"/>
        <v>0</v>
      </c>
      <c r="K30" s="89">
        <f t="shared" si="28"/>
        <v>49</v>
      </c>
      <c r="L30" s="152" t="str">
        <f t="shared" si="29"/>
        <v>#DIV/0!</v>
      </c>
      <c r="M30" s="126">
        <v>17700.0</v>
      </c>
      <c r="N30" s="339">
        <f t="shared" si="30"/>
        <v>867300</v>
      </c>
    </row>
    <row r="31">
      <c r="A31" s="155">
        <v>45831.0</v>
      </c>
      <c r="B31" s="156" t="s">
        <v>14</v>
      </c>
      <c r="C31" s="89">
        <v>167508.0</v>
      </c>
      <c r="D31" s="89">
        <v>167917.0</v>
      </c>
      <c r="E31" s="12">
        <f t="shared" si="25"/>
        <v>409</v>
      </c>
      <c r="F31" s="157">
        <v>40.0</v>
      </c>
      <c r="G31" s="14">
        <f t="shared" si="26"/>
        <v>9.7799511</v>
      </c>
      <c r="H31" s="89"/>
      <c r="I31" s="137"/>
      <c r="J31" s="89">
        <f t="shared" si="27"/>
        <v>0</v>
      </c>
      <c r="K31" s="89">
        <f t="shared" si="28"/>
        <v>40</v>
      </c>
      <c r="L31" s="152" t="str">
        <f t="shared" si="29"/>
        <v>#DIV/0!</v>
      </c>
      <c r="M31" s="126">
        <v>19150.0</v>
      </c>
      <c r="N31" s="339">
        <f t="shared" si="30"/>
        <v>766000</v>
      </c>
    </row>
    <row r="32">
      <c r="A32" s="154">
        <v>45834.0</v>
      </c>
      <c r="B32" s="156" t="s">
        <v>14</v>
      </c>
      <c r="C32" s="89">
        <v>167917.0</v>
      </c>
      <c r="D32" s="89">
        <v>168289.0</v>
      </c>
      <c r="E32" s="12">
        <f t="shared" si="25"/>
        <v>372</v>
      </c>
      <c r="F32" s="157">
        <v>50.0</v>
      </c>
      <c r="G32" s="14">
        <f t="shared" si="26"/>
        <v>13.44086022</v>
      </c>
      <c r="H32" s="89"/>
      <c r="I32" s="137"/>
      <c r="J32" s="89">
        <f t="shared" si="27"/>
        <v>0</v>
      </c>
      <c r="K32" s="89">
        <f t="shared" si="28"/>
        <v>50</v>
      </c>
      <c r="L32" s="152" t="str">
        <f t="shared" si="29"/>
        <v>#DIV/0!</v>
      </c>
      <c r="M32" s="126">
        <v>19150.0</v>
      </c>
      <c r="N32" s="339">
        <f t="shared" si="30"/>
        <v>957500</v>
      </c>
    </row>
    <row r="33">
      <c r="A33" s="154"/>
      <c r="B33" s="156" t="s">
        <v>14</v>
      </c>
      <c r="C33" s="89"/>
      <c r="D33" s="89"/>
      <c r="E33" s="12">
        <f t="shared" si="25"/>
        <v>0</v>
      </c>
      <c r="F33" s="157"/>
      <c r="G33" s="14" t="str">
        <f t="shared" si="26"/>
        <v>#DIV/0!</v>
      </c>
      <c r="H33" s="89"/>
      <c r="I33" s="137"/>
      <c r="J33" s="89">
        <f t="shared" si="27"/>
        <v>0</v>
      </c>
      <c r="K33" s="89" t="str">
        <f t="shared" si="28"/>
        <v/>
      </c>
      <c r="L33" s="152" t="str">
        <f t="shared" si="29"/>
        <v>#DIV/0!</v>
      </c>
      <c r="M33" s="126"/>
      <c r="N33" s="339">
        <f t="shared" si="30"/>
        <v>0</v>
      </c>
    </row>
    <row r="34">
      <c r="A34" s="305"/>
      <c r="B34" s="306"/>
      <c r="C34" s="149"/>
      <c r="D34" s="150"/>
      <c r="E34" s="25">
        <f t="shared" si="25"/>
        <v>0</v>
      </c>
      <c r="F34" s="307"/>
      <c r="G34" s="56" t="str">
        <f t="shared" si="26"/>
        <v>#DIV/0!</v>
      </c>
      <c r="H34" s="149"/>
      <c r="I34" s="151"/>
      <c r="J34" s="149">
        <f t="shared" si="27"/>
        <v>0</v>
      </c>
      <c r="K34" s="149" t="str">
        <f t="shared" si="28"/>
        <v/>
      </c>
      <c r="L34" s="152" t="str">
        <f t="shared" si="29"/>
        <v>#DIV/0!</v>
      </c>
      <c r="M34" s="308"/>
      <c r="N34" s="340">
        <f t="shared" si="30"/>
        <v>0</v>
      </c>
    </row>
    <row r="35">
      <c r="A35" s="62"/>
      <c r="B35" s="63"/>
      <c r="C35" s="62"/>
      <c r="D35" s="64" t="s">
        <v>19</v>
      </c>
      <c r="E35" s="64">
        <f t="shared" ref="E35:F35" si="31">sum(E28:E34)</f>
        <v>1986</v>
      </c>
      <c r="F35" s="64">
        <f t="shared" si="31"/>
        <v>229</v>
      </c>
      <c r="G35" s="65" t="str">
        <f>average(G28:G34)</f>
        <v>#DIV/0!</v>
      </c>
      <c r="H35" s="62"/>
      <c r="I35" s="66"/>
      <c r="J35" s="64">
        <f t="shared" ref="J35:K35" si="32">sum(J28:J34)</f>
        <v>-9206</v>
      </c>
      <c r="K35" s="64">
        <f t="shared" si="32"/>
        <v>229</v>
      </c>
      <c r="L35" s="65" t="str">
        <f>average(L28:L34)</f>
        <v>#DIV/0!</v>
      </c>
      <c r="M35" s="68"/>
      <c r="N35" s="341">
        <f>sum(N28:N34)</f>
        <v>4147000</v>
      </c>
    </row>
    <row r="36">
      <c r="A36" s="70">
        <v>45811.0</v>
      </c>
      <c r="B36" s="302" t="s">
        <v>15</v>
      </c>
      <c r="C36" s="89">
        <v>152350.0</v>
      </c>
      <c r="D36" s="41">
        <v>152718.0</v>
      </c>
      <c r="E36" s="38">
        <f t="shared" ref="E36:E42" si="33">D36-C36</f>
        <v>368</v>
      </c>
      <c r="F36" s="39">
        <v>43.0</v>
      </c>
      <c r="G36" s="14">
        <f t="shared" ref="G36:G42" si="34">(F36/E36)*100</f>
        <v>11.68478261</v>
      </c>
      <c r="H36" s="89">
        <v>15292.0</v>
      </c>
      <c r="I36" s="137">
        <v>17022.0</v>
      </c>
      <c r="J36" s="41">
        <f t="shared" ref="J36:J42" si="35">I36-H36</f>
        <v>1730</v>
      </c>
      <c r="K36" s="41">
        <f t="shared" ref="K36:K42" si="36">F36</f>
        <v>43</v>
      </c>
      <c r="L36" s="152">
        <f t="shared" ref="L36:L42" si="37">(K36/J36)*100</f>
        <v>2.485549133</v>
      </c>
      <c r="M36" s="72">
        <v>17130.0</v>
      </c>
      <c r="N36" s="336">
        <f t="shared" ref="N36:N42" si="38">F36*M36</f>
        <v>736590</v>
      </c>
    </row>
    <row r="37">
      <c r="A37" s="279">
        <v>45818.0</v>
      </c>
      <c r="B37" s="156" t="s">
        <v>15</v>
      </c>
      <c r="C37" s="89">
        <v>152718.0</v>
      </c>
      <c r="D37" s="89">
        <v>153092.0</v>
      </c>
      <c r="E37" s="12">
        <f t="shared" si="33"/>
        <v>374</v>
      </c>
      <c r="F37" s="157">
        <v>44.0</v>
      </c>
      <c r="G37" s="14">
        <f t="shared" si="34"/>
        <v>11.76470588</v>
      </c>
      <c r="H37" s="137">
        <v>17022.0</v>
      </c>
      <c r="I37" s="137">
        <v>17505.0</v>
      </c>
      <c r="J37" s="89">
        <f t="shared" si="35"/>
        <v>483</v>
      </c>
      <c r="K37" s="89">
        <f t="shared" si="36"/>
        <v>44</v>
      </c>
      <c r="L37" s="152">
        <f t="shared" si="37"/>
        <v>9.109730849</v>
      </c>
      <c r="M37" s="126">
        <v>17420.0</v>
      </c>
      <c r="N37" s="338">
        <f t="shared" si="38"/>
        <v>766480</v>
      </c>
      <c r="P37" s="82"/>
    </row>
    <row r="38">
      <c r="A38" s="154">
        <v>45820.0</v>
      </c>
      <c r="B38" s="156" t="s">
        <v>15</v>
      </c>
      <c r="C38" s="89">
        <v>153092.0</v>
      </c>
      <c r="D38" s="89">
        <v>153441.0</v>
      </c>
      <c r="E38" s="12">
        <f t="shared" si="33"/>
        <v>349</v>
      </c>
      <c r="F38" s="157">
        <v>45.0</v>
      </c>
      <c r="G38" s="14">
        <f t="shared" si="34"/>
        <v>12.89398281</v>
      </c>
      <c r="H38" s="89">
        <v>17505.0</v>
      </c>
      <c r="I38" s="137"/>
      <c r="J38" s="89">
        <f t="shared" si="35"/>
        <v>-17505</v>
      </c>
      <c r="K38" s="89">
        <f t="shared" si="36"/>
        <v>45</v>
      </c>
      <c r="L38" s="152">
        <f t="shared" si="37"/>
        <v>-0.2570694087</v>
      </c>
      <c r="M38" s="311">
        <v>17420.0</v>
      </c>
      <c r="N38" s="338">
        <f t="shared" si="38"/>
        <v>783900</v>
      </c>
    </row>
    <row r="39">
      <c r="A39" s="154">
        <v>45826.0</v>
      </c>
      <c r="B39" s="156" t="s">
        <v>15</v>
      </c>
      <c r="C39" s="89">
        <v>153441.0</v>
      </c>
      <c r="D39" s="89">
        <v>153818.0</v>
      </c>
      <c r="E39" s="12">
        <f t="shared" si="33"/>
        <v>377</v>
      </c>
      <c r="F39" s="157">
        <v>45.0</v>
      </c>
      <c r="G39" s="14">
        <f t="shared" si="34"/>
        <v>11.93633952</v>
      </c>
      <c r="H39" s="89"/>
      <c r="I39" s="137"/>
      <c r="J39" s="89">
        <f t="shared" si="35"/>
        <v>0</v>
      </c>
      <c r="K39" s="89">
        <f t="shared" si="36"/>
        <v>45</v>
      </c>
      <c r="L39" s="152" t="str">
        <f t="shared" si="37"/>
        <v>#DIV/0!</v>
      </c>
      <c r="M39" s="126">
        <v>17700.0</v>
      </c>
      <c r="N39" s="338">
        <f t="shared" si="38"/>
        <v>796500</v>
      </c>
    </row>
    <row r="40">
      <c r="A40" s="154">
        <v>45832.0</v>
      </c>
      <c r="B40" s="156" t="s">
        <v>15</v>
      </c>
      <c r="C40" s="89">
        <v>153818.0</v>
      </c>
      <c r="D40" s="89">
        <v>154145.0</v>
      </c>
      <c r="E40" s="12">
        <f t="shared" si="33"/>
        <v>327</v>
      </c>
      <c r="F40" s="157">
        <v>40.0</v>
      </c>
      <c r="G40" s="14">
        <f t="shared" si="34"/>
        <v>12.2324159</v>
      </c>
      <c r="H40" s="89"/>
      <c r="I40" s="137"/>
      <c r="J40" s="89">
        <f t="shared" si="35"/>
        <v>0</v>
      </c>
      <c r="K40" s="89">
        <f t="shared" si="36"/>
        <v>40</v>
      </c>
      <c r="L40" s="152" t="str">
        <f t="shared" si="37"/>
        <v>#DIV/0!</v>
      </c>
      <c r="M40" s="126">
        <v>19150.0</v>
      </c>
      <c r="N40" s="339">
        <f t="shared" si="38"/>
        <v>766000</v>
      </c>
    </row>
    <row r="41">
      <c r="A41" s="312">
        <v>45836.0</v>
      </c>
      <c r="B41" s="156" t="s">
        <v>15</v>
      </c>
      <c r="C41" s="89">
        <v>154145.0</v>
      </c>
      <c r="D41" s="89">
        <v>154475.0</v>
      </c>
      <c r="E41" s="12">
        <f t="shared" si="33"/>
        <v>330</v>
      </c>
      <c r="F41" s="157">
        <v>42.0</v>
      </c>
      <c r="G41" s="14">
        <f t="shared" si="34"/>
        <v>12.72727273</v>
      </c>
      <c r="H41" s="89"/>
      <c r="I41" s="137"/>
      <c r="J41" s="89">
        <f t="shared" si="35"/>
        <v>0</v>
      </c>
      <c r="K41" s="89">
        <f t="shared" si="36"/>
        <v>42</v>
      </c>
      <c r="L41" s="152" t="str">
        <f t="shared" si="37"/>
        <v>#DIV/0!</v>
      </c>
      <c r="M41" s="126">
        <v>19700.0</v>
      </c>
      <c r="N41" s="339">
        <f t="shared" si="38"/>
        <v>827400</v>
      </c>
    </row>
    <row r="42">
      <c r="A42" s="304"/>
      <c r="B42" s="156" t="s">
        <v>15</v>
      </c>
      <c r="C42" s="149"/>
      <c r="D42" s="149"/>
      <c r="E42" s="25">
        <f t="shared" si="33"/>
        <v>0</v>
      </c>
      <c r="F42" s="161"/>
      <c r="G42" s="56" t="str">
        <f t="shared" si="34"/>
        <v>#DIV/0!</v>
      </c>
      <c r="H42" s="149"/>
      <c r="I42" s="151"/>
      <c r="J42" s="149">
        <f t="shared" si="35"/>
        <v>0</v>
      </c>
      <c r="K42" s="149" t="str">
        <f t="shared" si="36"/>
        <v/>
      </c>
      <c r="L42" s="152" t="str">
        <f t="shared" si="37"/>
        <v>#DIV/0!</v>
      </c>
      <c r="M42" s="153"/>
      <c r="N42" s="344">
        <f t="shared" si="38"/>
        <v>0</v>
      </c>
    </row>
    <row r="43">
      <c r="A43" s="62"/>
      <c r="B43" s="63"/>
      <c r="C43" s="62"/>
      <c r="D43" s="64" t="s">
        <v>19</v>
      </c>
      <c r="E43" s="64">
        <f t="shared" ref="E43:F43" si="39">sum(E36:E42)</f>
        <v>2125</v>
      </c>
      <c r="F43" s="64">
        <f t="shared" si="39"/>
        <v>259</v>
      </c>
      <c r="G43" s="65" t="str">
        <f>average(G36:G42)</f>
        <v>#DIV/0!</v>
      </c>
      <c r="H43" s="62"/>
      <c r="I43" s="66"/>
      <c r="J43" s="64">
        <f t="shared" ref="J43:K43" si="40">sum(J36:J42)</f>
        <v>-15292</v>
      </c>
      <c r="K43" s="64">
        <f t="shared" si="40"/>
        <v>259</v>
      </c>
      <c r="L43" s="65" t="str">
        <f>average(L36:L42)</f>
        <v>#DIV/0!</v>
      </c>
      <c r="M43" s="68"/>
      <c r="N43" s="341">
        <f>sum(N36:N42)</f>
        <v>4676870</v>
      </c>
    </row>
    <row r="44">
      <c r="A44" s="293">
        <v>45812.0</v>
      </c>
      <c r="B44" s="302" t="s">
        <v>16</v>
      </c>
      <c r="C44" s="89">
        <v>128236.0</v>
      </c>
      <c r="D44" s="41">
        <v>128962.0</v>
      </c>
      <c r="E44" s="38">
        <f t="shared" ref="E44:E51" si="41">D44-C44</f>
        <v>726</v>
      </c>
      <c r="F44" s="39">
        <v>40.0</v>
      </c>
      <c r="G44" s="14">
        <f t="shared" ref="G44:G49" si="42">(F44/E44)*100</f>
        <v>5.509641873</v>
      </c>
      <c r="H44" s="137">
        <v>16241.0</v>
      </c>
      <c r="I44" s="138">
        <v>16738.0</v>
      </c>
      <c r="J44" s="41">
        <f t="shared" ref="J44:J49" si="43">I44-H44</f>
        <v>497</v>
      </c>
      <c r="K44" s="41">
        <f t="shared" ref="K44:K51" si="44">F44</f>
        <v>40</v>
      </c>
      <c r="L44" s="152">
        <f t="shared" ref="L44:L51" si="45">(K44/J44)*100</f>
        <v>8.048289738</v>
      </c>
      <c r="M44" s="72">
        <v>17130.0</v>
      </c>
      <c r="N44" s="336">
        <f t="shared" ref="N44:N51" si="46">F44*M44</f>
        <v>685200</v>
      </c>
    </row>
    <row r="45">
      <c r="A45" s="154">
        <v>45817.0</v>
      </c>
      <c r="B45" s="156" t="s">
        <v>16</v>
      </c>
      <c r="C45" s="89">
        <v>128962.0</v>
      </c>
      <c r="D45" s="89">
        <v>129288.0</v>
      </c>
      <c r="E45" s="12">
        <f t="shared" si="41"/>
        <v>326</v>
      </c>
      <c r="F45" s="313">
        <v>40.0</v>
      </c>
      <c r="G45" s="14">
        <f t="shared" si="42"/>
        <v>12.26993865</v>
      </c>
      <c r="H45" s="89">
        <v>16738.0</v>
      </c>
      <c r="I45" s="138">
        <v>17236.0</v>
      </c>
      <c r="J45" s="89">
        <f t="shared" si="43"/>
        <v>498</v>
      </c>
      <c r="K45" s="41">
        <f t="shared" si="44"/>
        <v>40</v>
      </c>
      <c r="L45" s="152">
        <f t="shared" si="45"/>
        <v>8.032128514</v>
      </c>
      <c r="M45" s="126">
        <v>17420.0</v>
      </c>
      <c r="N45" s="338">
        <f t="shared" si="46"/>
        <v>696800</v>
      </c>
    </row>
    <row r="46">
      <c r="A46" s="154">
        <v>45820.0</v>
      </c>
      <c r="B46" s="156" t="s">
        <v>16</v>
      </c>
      <c r="C46" s="89">
        <v>129288.0</v>
      </c>
      <c r="D46" s="89">
        <v>129544.0</v>
      </c>
      <c r="E46" s="12">
        <f t="shared" si="41"/>
        <v>256</v>
      </c>
      <c r="F46" s="157">
        <v>40.0</v>
      </c>
      <c r="G46" s="14">
        <f t="shared" si="42"/>
        <v>15.625</v>
      </c>
      <c r="H46" s="89"/>
      <c r="I46" s="137"/>
      <c r="J46" s="89">
        <f t="shared" si="43"/>
        <v>0</v>
      </c>
      <c r="K46" s="41">
        <f t="shared" si="44"/>
        <v>40</v>
      </c>
      <c r="L46" s="152" t="str">
        <f t="shared" si="45"/>
        <v>#DIV/0!</v>
      </c>
      <c r="M46" s="126">
        <v>17420.0</v>
      </c>
      <c r="N46" s="338">
        <f t="shared" si="46"/>
        <v>696800</v>
      </c>
    </row>
    <row r="47">
      <c r="A47" s="154">
        <v>45824.0</v>
      </c>
      <c r="B47" s="156" t="s">
        <v>16</v>
      </c>
      <c r="C47" s="89">
        <v>129544.0</v>
      </c>
      <c r="D47" s="89">
        <v>129834.0</v>
      </c>
      <c r="E47" s="12">
        <f t="shared" si="41"/>
        <v>290</v>
      </c>
      <c r="F47" s="157">
        <v>42.0</v>
      </c>
      <c r="G47" s="14">
        <f t="shared" si="42"/>
        <v>14.48275862</v>
      </c>
      <c r="H47" s="89"/>
      <c r="I47" s="137"/>
      <c r="J47" s="89">
        <f t="shared" si="43"/>
        <v>0</v>
      </c>
      <c r="K47" s="41">
        <f t="shared" si="44"/>
        <v>42</v>
      </c>
      <c r="L47" s="152" t="str">
        <f t="shared" si="45"/>
        <v>#DIV/0!</v>
      </c>
      <c r="M47" s="126">
        <v>17700.0</v>
      </c>
      <c r="N47" s="338">
        <f t="shared" si="46"/>
        <v>743400</v>
      </c>
      <c r="P47" s="82"/>
    </row>
    <row r="48">
      <c r="A48" s="154">
        <v>45827.0</v>
      </c>
      <c r="B48" s="156" t="s">
        <v>16</v>
      </c>
      <c r="C48" s="89">
        <v>129834.0</v>
      </c>
      <c r="D48" s="89">
        <v>130092.0</v>
      </c>
      <c r="E48" s="12">
        <f t="shared" si="41"/>
        <v>258</v>
      </c>
      <c r="F48" s="157">
        <v>37.0</v>
      </c>
      <c r="G48" s="14">
        <f t="shared" si="42"/>
        <v>14.34108527</v>
      </c>
      <c r="H48" s="89"/>
      <c r="I48" s="137"/>
      <c r="J48" s="89">
        <f t="shared" si="43"/>
        <v>0</v>
      </c>
      <c r="K48" s="41">
        <f t="shared" si="44"/>
        <v>37</v>
      </c>
      <c r="L48" s="152" t="str">
        <f t="shared" si="45"/>
        <v>#DIV/0!</v>
      </c>
      <c r="M48" s="126">
        <v>17700.0</v>
      </c>
      <c r="N48" s="339">
        <f t="shared" si="46"/>
        <v>654900</v>
      </c>
    </row>
    <row r="49">
      <c r="A49" s="155">
        <v>45832.0</v>
      </c>
      <c r="B49" s="99" t="s">
        <v>16</v>
      </c>
      <c r="C49" s="89">
        <v>130092.0</v>
      </c>
      <c r="D49" s="89">
        <v>130402.0</v>
      </c>
      <c r="E49" s="12">
        <f t="shared" si="41"/>
        <v>310</v>
      </c>
      <c r="F49" s="157">
        <v>41.0</v>
      </c>
      <c r="G49" s="14">
        <f t="shared" si="42"/>
        <v>13.22580645</v>
      </c>
      <c r="H49" s="89"/>
      <c r="I49" s="137"/>
      <c r="J49" s="89">
        <f t="shared" si="43"/>
        <v>0</v>
      </c>
      <c r="K49" s="41">
        <f t="shared" si="44"/>
        <v>41</v>
      </c>
      <c r="L49" s="152" t="str">
        <f t="shared" si="45"/>
        <v>#DIV/0!</v>
      </c>
      <c r="M49" s="126">
        <v>19150.0</v>
      </c>
      <c r="N49" s="339">
        <f t="shared" si="46"/>
        <v>785150</v>
      </c>
    </row>
    <row r="50">
      <c r="A50" s="304">
        <v>45834.0</v>
      </c>
      <c r="B50" s="156" t="s">
        <v>16</v>
      </c>
      <c r="C50" s="149">
        <v>130402.0</v>
      </c>
      <c r="D50" s="149">
        <v>130673.0</v>
      </c>
      <c r="E50" s="12">
        <f t="shared" si="41"/>
        <v>271</v>
      </c>
      <c r="F50" s="161">
        <v>40.0</v>
      </c>
      <c r="G50" s="56"/>
      <c r="H50" s="149"/>
      <c r="I50" s="151"/>
      <c r="J50" s="149"/>
      <c r="K50" s="41">
        <f t="shared" si="44"/>
        <v>40</v>
      </c>
      <c r="L50" s="152" t="str">
        <f t="shared" si="45"/>
        <v>#DIV/0!</v>
      </c>
      <c r="M50" s="153">
        <v>19150.0</v>
      </c>
      <c r="N50" s="339">
        <f t="shared" si="46"/>
        <v>766000</v>
      </c>
    </row>
    <row r="51">
      <c r="A51" s="304">
        <v>45838.0</v>
      </c>
      <c r="B51" s="99" t="s">
        <v>16</v>
      </c>
      <c r="C51" s="149">
        <v>130673.0</v>
      </c>
      <c r="D51" s="149">
        <v>130963.0</v>
      </c>
      <c r="E51" s="25">
        <f t="shared" si="41"/>
        <v>290</v>
      </c>
      <c r="F51" s="161">
        <v>37.0</v>
      </c>
      <c r="G51" s="56">
        <f>(F51/E51)*100</f>
        <v>12.75862069</v>
      </c>
      <c r="H51" s="149"/>
      <c r="I51" s="151"/>
      <c r="J51" s="149">
        <f>I51-H51</f>
        <v>0</v>
      </c>
      <c r="K51" s="149">
        <f t="shared" si="44"/>
        <v>37</v>
      </c>
      <c r="L51" s="152" t="str">
        <f t="shared" si="45"/>
        <v>#DIV/0!</v>
      </c>
      <c r="M51" s="153">
        <v>19700.0</v>
      </c>
      <c r="N51" s="340">
        <f t="shared" si="46"/>
        <v>728900</v>
      </c>
    </row>
    <row r="52">
      <c r="A52" s="62"/>
      <c r="B52" s="63"/>
      <c r="C52" s="62"/>
      <c r="D52" s="64" t="s">
        <v>19</v>
      </c>
      <c r="E52" s="64">
        <f t="shared" ref="E52:F52" si="47">sum(E44:E51)</f>
        <v>2727</v>
      </c>
      <c r="F52" s="64">
        <f t="shared" si="47"/>
        <v>317</v>
      </c>
      <c r="G52" s="65">
        <f>average(G44:G51)</f>
        <v>12.60183594</v>
      </c>
      <c r="H52" s="62"/>
      <c r="I52" s="66"/>
      <c r="J52" s="64">
        <f t="shared" ref="J52:K52" si="48">sum(J44:J51)</f>
        <v>995</v>
      </c>
      <c r="K52" s="64">
        <f t="shared" si="48"/>
        <v>317</v>
      </c>
      <c r="L52" s="65" t="str">
        <f>average(L44:L51)</f>
        <v>#DIV/0!</v>
      </c>
      <c r="M52" s="68"/>
      <c r="N52" s="341">
        <f>sum(N44:N51)</f>
        <v>5757150</v>
      </c>
    </row>
    <row r="53">
      <c r="A53" s="70">
        <v>45812.0</v>
      </c>
      <c r="B53" s="314" t="s">
        <v>18</v>
      </c>
      <c r="C53" s="149">
        <v>133318.0</v>
      </c>
      <c r="D53" s="41">
        <v>133725.0</v>
      </c>
      <c r="E53" s="38">
        <f t="shared" ref="E53:E59" si="49">D53-C53</f>
        <v>407</v>
      </c>
      <c r="F53" s="39">
        <v>51.0</v>
      </c>
      <c r="G53" s="14">
        <f t="shared" ref="G53:G59" si="50">(F53/E53)*100</f>
        <v>12.53071253</v>
      </c>
      <c r="H53" s="315">
        <v>8851.0</v>
      </c>
      <c r="I53" s="138">
        <v>9269.0</v>
      </c>
      <c r="J53" s="41">
        <f t="shared" ref="J53:J59" si="51">I53-H53</f>
        <v>418</v>
      </c>
      <c r="K53" s="41">
        <f t="shared" ref="K53:K59" si="52">F53</f>
        <v>51</v>
      </c>
      <c r="L53" s="152">
        <f t="shared" ref="L53:L59" si="53">(K53/J53)*100</f>
        <v>12.20095694</v>
      </c>
      <c r="M53" s="72">
        <v>17130.0</v>
      </c>
      <c r="N53" s="336">
        <f t="shared" ref="N53:N59" si="54">F53*M53</f>
        <v>873630</v>
      </c>
    </row>
    <row r="54">
      <c r="A54" s="154">
        <v>45815.0</v>
      </c>
      <c r="B54" s="156" t="s">
        <v>18</v>
      </c>
      <c r="C54" s="89">
        <v>133725.0</v>
      </c>
      <c r="D54" s="89">
        <v>134025.0</v>
      </c>
      <c r="E54" s="12">
        <f t="shared" si="49"/>
        <v>300</v>
      </c>
      <c r="F54" s="157">
        <v>41.0</v>
      </c>
      <c r="G54" s="14">
        <f t="shared" si="50"/>
        <v>13.66666667</v>
      </c>
      <c r="H54" s="89"/>
      <c r="I54" s="137"/>
      <c r="J54" s="89">
        <f t="shared" si="51"/>
        <v>0</v>
      </c>
      <c r="K54" s="89">
        <f t="shared" si="52"/>
        <v>41</v>
      </c>
      <c r="L54" s="152" t="str">
        <f t="shared" si="53"/>
        <v>#DIV/0!</v>
      </c>
      <c r="M54" s="126">
        <v>17420.0</v>
      </c>
      <c r="N54" s="338">
        <f t="shared" si="54"/>
        <v>714220</v>
      </c>
    </row>
    <row r="55">
      <c r="A55" s="279">
        <v>45819.0</v>
      </c>
      <c r="B55" s="156" t="s">
        <v>18</v>
      </c>
      <c r="C55" s="89">
        <v>134025.0</v>
      </c>
      <c r="D55" s="89">
        <v>134366.0</v>
      </c>
      <c r="E55" s="12">
        <f t="shared" si="49"/>
        <v>341</v>
      </c>
      <c r="F55" s="157">
        <v>45.0</v>
      </c>
      <c r="G55" s="14">
        <f t="shared" si="50"/>
        <v>13.19648094</v>
      </c>
      <c r="H55" s="89"/>
      <c r="I55" s="137"/>
      <c r="J55" s="89">
        <f t="shared" si="51"/>
        <v>0</v>
      </c>
      <c r="K55" s="89">
        <f t="shared" si="52"/>
        <v>45</v>
      </c>
      <c r="L55" s="152" t="str">
        <f t="shared" si="53"/>
        <v>#DIV/0!</v>
      </c>
      <c r="M55" s="126">
        <v>17420.0</v>
      </c>
      <c r="N55" s="338">
        <f t="shared" si="54"/>
        <v>783900</v>
      </c>
    </row>
    <row r="56">
      <c r="A56" s="154">
        <v>45822.0</v>
      </c>
      <c r="B56" s="156" t="s">
        <v>18</v>
      </c>
      <c r="C56" s="89">
        <v>134366.0</v>
      </c>
      <c r="D56" s="89">
        <v>134652.0</v>
      </c>
      <c r="E56" s="12">
        <f t="shared" si="49"/>
        <v>286</v>
      </c>
      <c r="F56" s="157">
        <v>40.0</v>
      </c>
      <c r="G56" s="14">
        <f t="shared" si="50"/>
        <v>13.98601399</v>
      </c>
      <c r="H56" s="89"/>
      <c r="I56" s="137"/>
      <c r="J56" s="89">
        <f t="shared" si="51"/>
        <v>0</v>
      </c>
      <c r="K56" s="89">
        <f t="shared" si="52"/>
        <v>40</v>
      </c>
      <c r="L56" s="152" t="str">
        <f t="shared" si="53"/>
        <v>#DIV/0!</v>
      </c>
      <c r="M56" s="126">
        <v>17700.0</v>
      </c>
      <c r="N56" s="339">
        <f t="shared" si="54"/>
        <v>708000</v>
      </c>
    </row>
    <row r="57">
      <c r="A57" s="154">
        <v>45826.0</v>
      </c>
      <c r="B57" s="156" t="s">
        <v>18</v>
      </c>
      <c r="C57" s="89">
        <v>134652.0</v>
      </c>
      <c r="D57" s="89">
        <v>134965.0</v>
      </c>
      <c r="E57" s="12">
        <f t="shared" si="49"/>
        <v>313</v>
      </c>
      <c r="F57" s="157">
        <v>40.0</v>
      </c>
      <c r="G57" s="14">
        <f t="shared" si="50"/>
        <v>12.77955272</v>
      </c>
      <c r="H57" s="89"/>
      <c r="I57" s="137"/>
      <c r="J57" s="89">
        <f t="shared" si="51"/>
        <v>0</v>
      </c>
      <c r="K57" s="89">
        <f t="shared" si="52"/>
        <v>40</v>
      </c>
      <c r="L57" s="152" t="str">
        <f t="shared" si="53"/>
        <v>#DIV/0!</v>
      </c>
      <c r="M57" s="126">
        <v>17700.0</v>
      </c>
      <c r="N57" s="342">
        <f t="shared" si="54"/>
        <v>708000</v>
      </c>
    </row>
    <row r="58">
      <c r="A58" s="154">
        <v>45831.0</v>
      </c>
      <c r="B58" s="156" t="s">
        <v>18</v>
      </c>
      <c r="C58" s="89">
        <v>134965.0</v>
      </c>
      <c r="D58" s="89">
        <v>135334.0</v>
      </c>
      <c r="E58" s="53">
        <f t="shared" si="49"/>
        <v>369</v>
      </c>
      <c r="F58" s="157">
        <v>51.0</v>
      </c>
      <c r="G58" s="14">
        <f t="shared" si="50"/>
        <v>13.82113821</v>
      </c>
      <c r="H58" s="89"/>
      <c r="I58" s="137"/>
      <c r="J58" s="89">
        <f t="shared" si="51"/>
        <v>0</v>
      </c>
      <c r="K58" s="89">
        <f t="shared" si="52"/>
        <v>51</v>
      </c>
      <c r="L58" s="152" t="str">
        <f t="shared" si="53"/>
        <v>#DIV/0!</v>
      </c>
      <c r="M58" s="126">
        <v>19150.0</v>
      </c>
      <c r="N58" s="342">
        <f t="shared" si="54"/>
        <v>976650</v>
      </c>
    </row>
    <row r="59">
      <c r="A59" s="316">
        <v>45834.0</v>
      </c>
      <c r="B59" s="99" t="s">
        <v>18</v>
      </c>
      <c r="C59" s="149">
        <v>135334.0</v>
      </c>
      <c r="D59" s="149">
        <v>135663.0</v>
      </c>
      <c r="E59" s="25">
        <f t="shared" si="49"/>
        <v>329</v>
      </c>
      <c r="F59" s="161">
        <v>43.0</v>
      </c>
      <c r="G59" s="56">
        <f t="shared" si="50"/>
        <v>13.06990881</v>
      </c>
      <c r="H59" s="149"/>
      <c r="I59" s="315"/>
      <c r="J59" s="149">
        <f t="shared" si="51"/>
        <v>0</v>
      </c>
      <c r="K59" s="149">
        <f t="shared" si="52"/>
        <v>43</v>
      </c>
      <c r="L59" s="152" t="str">
        <f t="shared" si="53"/>
        <v>#DIV/0!</v>
      </c>
      <c r="M59" s="153">
        <v>19700.0</v>
      </c>
      <c r="N59" s="340">
        <f t="shared" si="54"/>
        <v>847100</v>
      </c>
    </row>
    <row r="60">
      <c r="A60" s="62"/>
      <c r="B60" s="63"/>
      <c r="C60" s="62"/>
      <c r="D60" s="64" t="s">
        <v>19</v>
      </c>
      <c r="E60" s="64">
        <f t="shared" ref="E60:F60" si="55">sum(E53:E59)</f>
        <v>2345</v>
      </c>
      <c r="F60" s="64">
        <f t="shared" si="55"/>
        <v>311</v>
      </c>
      <c r="G60" s="65">
        <f>average(G53:G59)</f>
        <v>13.29292484</v>
      </c>
      <c r="H60" s="62"/>
      <c r="I60" s="66"/>
      <c r="J60" s="64">
        <f t="shared" ref="J60:K60" si="56">sum(J53:J59)</f>
        <v>418</v>
      </c>
      <c r="K60" s="64">
        <f t="shared" si="56"/>
        <v>311</v>
      </c>
      <c r="L60" s="65" t="str">
        <f>average(L53:L59)</f>
        <v>#DIV/0!</v>
      </c>
      <c r="M60" s="68"/>
      <c r="N60" s="341">
        <f>sum(N53:N59)</f>
        <v>5611500</v>
      </c>
    </row>
    <row r="61">
      <c r="A61" s="70">
        <v>45813.0</v>
      </c>
      <c r="B61" s="302" t="s">
        <v>20</v>
      </c>
      <c r="C61" s="89">
        <v>379032.0</v>
      </c>
      <c r="D61" s="41">
        <v>379818.0</v>
      </c>
      <c r="E61" s="38">
        <f t="shared" ref="E61:E67" si="57">D61-C61</f>
        <v>786</v>
      </c>
      <c r="F61" s="39">
        <v>92.0</v>
      </c>
      <c r="G61" s="14">
        <f t="shared" ref="G61:G67" si="58">(F61/E61)*100</f>
        <v>11.70483461</v>
      </c>
      <c r="H61" s="137">
        <v>17454.0</v>
      </c>
      <c r="I61" s="138">
        <v>18582.0</v>
      </c>
      <c r="J61" s="41">
        <f t="shared" ref="J61:J67" si="59">I61-H61</f>
        <v>1128</v>
      </c>
      <c r="K61" s="41">
        <f t="shared" ref="K61:K67" si="60">F61</f>
        <v>92</v>
      </c>
      <c r="L61" s="152">
        <f t="shared" ref="L61:L67" si="61">(K61/J61)*100</f>
        <v>8.156028369</v>
      </c>
      <c r="M61" s="72">
        <v>17420.0</v>
      </c>
      <c r="N61" s="347">
        <f t="shared" ref="N61:N67" si="62">F61*M61</f>
        <v>1602640</v>
      </c>
    </row>
    <row r="62">
      <c r="A62" s="154">
        <v>45821.0</v>
      </c>
      <c r="B62" s="156" t="s">
        <v>20</v>
      </c>
      <c r="C62" s="89">
        <v>379818.0</v>
      </c>
      <c r="D62" s="89">
        <v>380526.0</v>
      </c>
      <c r="E62" s="12">
        <f t="shared" si="57"/>
        <v>708</v>
      </c>
      <c r="F62" s="157">
        <v>80.0</v>
      </c>
      <c r="G62" s="14">
        <f t="shared" si="58"/>
        <v>11.29943503</v>
      </c>
      <c r="H62" s="89"/>
      <c r="I62" s="137"/>
      <c r="J62" s="89">
        <f t="shared" si="59"/>
        <v>0</v>
      </c>
      <c r="K62" s="41">
        <f t="shared" si="60"/>
        <v>80</v>
      </c>
      <c r="L62" s="152" t="str">
        <f t="shared" si="61"/>
        <v>#DIV/0!</v>
      </c>
      <c r="M62" s="126">
        <v>17700.0</v>
      </c>
      <c r="N62" s="338">
        <f t="shared" si="62"/>
        <v>1416000</v>
      </c>
    </row>
    <row r="63">
      <c r="A63" s="154">
        <v>45827.0</v>
      </c>
      <c r="B63" s="156" t="s">
        <v>20</v>
      </c>
      <c r="C63" s="89">
        <v>380526.0</v>
      </c>
      <c r="D63" s="89">
        <v>381218.0</v>
      </c>
      <c r="E63" s="12">
        <f t="shared" si="57"/>
        <v>692</v>
      </c>
      <c r="F63" s="157">
        <v>85.0</v>
      </c>
      <c r="G63" s="14">
        <f t="shared" si="58"/>
        <v>12.28323699</v>
      </c>
      <c r="H63" s="89"/>
      <c r="I63" s="137"/>
      <c r="J63" s="89">
        <f t="shared" si="59"/>
        <v>0</v>
      </c>
      <c r="K63" s="268">
        <f t="shared" si="60"/>
        <v>85</v>
      </c>
      <c r="L63" s="152" t="str">
        <f t="shared" si="61"/>
        <v>#DIV/0!</v>
      </c>
      <c r="M63" s="126">
        <v>17700.0</v>
      </c>
      <c r="N63" s="339">
        <f t="shared" si="62"/>
        <v>1504500</v>
      </c>
    </row>
    <row r="64">
      <c r="A64" s="154">
        <v>45836.0</v>
      </c>
      <c r="B64" s="156" t="s">
        <v>20</v>
      </c>
      <c r="C64" s="89">
        <v>381218.0</v>
      </c>
      <c r="D64" s="89">
        <v>381978.0</v>
      </c>
      <c r="E64" s="12">
        <f t="shared" si="57"/>
        <v>760</v>
      </c>
      <c r="F64" s="157">
        <v>92.0</v>
      </c>
      <c r="G64" s="14">
        <f t="shared" si="58"/>
        <v>12.10526316</v>
      </c>
      <c r="H64" s="89"/>
      <c r="I64" s="137"/>
      <c r="J64" s="89">
        <f t="shared" si="59"/>
        <v>0</v>
      </c>
      <c r="K64" s="89">
        <f t="shared" si="60"/>
        <v>92</v>
      </c>
      <c r="L64" s="152" t="str">
        <f t="shared" si="61"/>
        <v>#DIV/0!</v>
      </c>
      <c r="M64" s="126">
        <v>19700.0</v>
      </c>
      <c r="N64" s="342">
        <f t="shared" si="62"/>
        <v>1812400</v>
      </c>
    </row>
    <row r="65">
      <c r="A65" s="154"/>
      <c r="B65" s="156" t="s">
        <v>20</v>
      </c>
      <c r="C65" s="89"/>
      <c r="D65" s="89"/>
      <c r="E65" s="12">
        <f t="shared" si="57"/>
        <v>0</v>
      </c>
      <c r="F65" s="157"/>
      <c r="G65" s="14" t="str">
        <f t="shared" si="58"/>
        <v>#DIV/0!</v>
      </c>
      <c r="H65" s="89"/>
      <c r="I65" s="137"/>
      <c r="J65" s="89">
        <f t="shared" si="59"/>
        <v>0</v>
      </c>
      <c r="K65" s="89" t="str">
        <f t="shared" si="60"/>
        <v/>
      </c>
      <c r="L65" s="152" t="str">
        <f t="shared" si="61"/>
        <v>#DIV/0!</v>
      </c>
      <c r="M65" s="126"/>
      <c r="N65" s="342">
        <f t="shared" si="62"/>
        <v>0</v>
      </c>
    </row>
    <row r="66">
      <c r="A66" s="320"/>
      <c r="B66" s="99" t="s">
        <v>20</v>
      </c>
      <c r="C66" s="89"/>
      <c r="D66" s="158"/>
      <c r="E66" s="12">
        <f t="shared" si="57"/>
        <v>0</v>
      </c>
      <c r="F66" s="321"/>
      <c r="G66" s="14" t="str">
        <f t="shared" si="58"/>
        <v>#DIV/0!</v>
      </c>
      <c r="H66" s="89"/>
      <c r="I66" s="159"/>
      <c r="J66" s="89">
        <f t="shared" si="59"/>
        <v>0</v>
      </c>
      <c r="K66" s="89" t="str">
        <f t="shared" si="60"/>
        <v/>
      </c>
      <c r="L66" s="152" t="str">
        <f t="shared" si="61"/>
        <v>#DIV/0!</v>
      </c>
      <c r="M66" s="322"/>
      <c r="N66" s="342">
        <f t="shared" si="62"/>
        <v>0</v>
      </c>
    </row>
    <row r="67">
      <c r="A67" s="305"/>
      <c r="B67" s="323"/>
      <c r="C67" s="149"/>
      <c r="D67" s="150"/>
      <c r="E67" s="25">
        <f t="shared" si="57"/>
        <v>0</v>
      </c>
      <c r="F67" s="307"/>
      <c r="G67" s="56" t="str">
        <f t="shared" si="58"/>
        <v>#DIV/0!</v>
      </c>
      <c r="H67" s="149"/>
      <c r="I67" s="151"/>
      <c r="J67" s="149">
        <f t="shared" si="59"/>
        <v>0</v>
      </c>
      <c r="K67" s="149" t="str">
        <f t="shared" si="60"/>
        <v/>
      </c>
      <c r="L67" s="152" t="str">
        <f t="shared" si="61"/>
        <v>#DIV/0!</v>
      </c>
      <c r="M67" s="308"/>
      <c r="N67" s="340">
        <f t="shared" si="62"/>
        <v>0</v>
      </c>
    </row>
    <row r="68">
      <c r="A68" s="62"/>
      <c r="B68" s="63"/>
      <c r="C68" s="62"/>
      <c r="D68" s="64" t="s">
        <v>19</v>
      </c>
      <c r="E68" s="64">
        <f t="shared" ref="E68:F68" si="63">sum(E61:E67)</f>
        <v>2946</v>
      </c>
      <c r="F68" s="64">
        <f t="shared" si="63"/>
        <v>349</v>
      </c>
      <c r="G68" s="65" t="str">
        <f>average(G61:G67)</f>
        <v>#DIV/0!</v>
      </c>
      <c r="H68" s="62"/>
      <c r="I68" s="66"/>
      <c r="J68" s="64">
        <f t="shared" ref="J68:K68" si="64">sum(J61:J67)</f>
        <v>1128</v>
      </c>
      <c r="K68" s="64">
        <f t="shared" si="64"/>
        <v>349</v>
      </c>
      <c r="L68" s="65" t="str">
        <f>average(L61:L67)</f>
        <v>#DIV/0!</v>
      </c>
      <c r="M68" s="68"/>
      <c r="N68" s="341">
        <f>sum(N61:N67)</f>
        <v>6335540</v>
      </c>
    </row>
    <row r="69">
      <c r="A69" s="91">
        <v>45810.0</v>
      </c>
      <c r="B69" s="302" t="s">
        <v>21</v>
      </c>
      <c r="C69" s="89">
        <v>361159.0</v>
      </c>
      <c r="D69" s="41">
        <v>361726.0</v>
      </c>
      <c r="E69" s="38">
        <f t="shared" ref="E69:E75" si="65">D69-C69</f>
        <v>567</v>
      </c>
      <c r="F69" s="39">
        <v>70.0</v>
      </c>
      <c r="G69" s="14">
        <f t="shared" ref="G69:G75" si="66">(F69/E69)*100</f>
        <v>12.34567901</v>
      </c>
      <c r="H69" s="137">
        <v>8715.0</v>
      </c>
      <c r="I69" s="137">
        <v>9356.0</v>
      </c>
      <c r="J69" s="41">
        <f t="shared" ref="J69:J75" si="67">I69-H69</f>
        <v>641</v>
      </c>
      <c r="K69" s="41">
        <f>F69</f>
        <v>70</v>
      </c>
      <c r="L69" s="152">
        <f t="shared" ref="L69:L75" si="68">(K69/J69)*100</f>
        <v>10.92043682</v>
      </c>
      <c r="M69" s="72">
        <v>17130.0</v>
      </c>
      <c r="N69" s="336">
        <f t="shared" ref="N69:N75" si="69">F69*M69</f>
        <v>1199100</v>
      </c>
    </row>
    <row r="70">
      <c r="A70" s="154">
        <v>45817.0</v>
      </c>
      <c r="B70" s="156" t="s">
        <v>21</v>
      </c>
      <c r="C70" s="41">
        <v>361726.0</v>
      </c>
      <c r="D70" s="89">
        <v>362259.0</v>
      </c>
      <c r="E70" s="12">
        <f t="shared" si="65"/>
        <v>533</v>
      </c>
      <c r="F70" s="157">
        <v>75.0</v>
      </c>
      <c r="G70" s="14">
        <f t="shared" si="66"/>
        <v>14.07129456</v>
      </c>
      <c r="H70" s="89">
        <v>9356.0</v>
      </c>
      <c r="I70" s="137">
        <v>9801.0</v>
      </c>
      <c r="J70" s="89">
        <f t="shared" si="67"/>
        <v>445</v>
      </c>
      <c r="K70" s="89">
        <v>75.0</v>
      </c>
      <c r="L70" s="152">
        <f t="shared" si="68"/>
        <v>16.85393258</v>
      </c>
      <c r="M70" s="126">
        <v>17420.0</v>
      </c>
      <c r="N70" s="338">
        <f t="shared" si="69"/>
        <v>1306500</v>
      </c>
    </row>
    <row r="71">
      <c r="A71" s="154">
        <v>45822.0</v>
      </c>
      <c r="B71" s="156" t="s">
        <v>21</v>
      </c>
      <c r="C71" s="89">
        <v>362259.0</v>
      </c>
      <c r="D71" s="89">
        <v>362877.0</v>
      </c>
      <c r="E71" s="12">
        <f t="shared" si="65"/>
        <v>618</v>
      </c>
      <c r="F71" s="157">
        <v>80.0</v>
      </c>
      <c r="G71" s="14">
        <f t="shared" si="66"/>
        <v>12.94498382</v>
      </c>
      <c r="H71" s="89"/>
      <c r="I71" s="137"/>
      <c r="J71" s="89">
        <f t="shared" si="67"/>
        <v>0</v>
      </c>
      <c r="K71" s="89"/>
      <c r="L71" s="152" t="str">
        <f t="shared" si="68"/>
        <v>#DIV/0!</v>
      </c>
      <c r="M71" s="126">
        <v>17700.0</v>
      </c>
      <c r="N71" s="338">
        <f t="shared" si="69"/>
        <v>1416000</v>
      </c>
    </row>
    <row r="72">
      <c r="A72" s="324">
        <v>45828.0</v>
      </c>
      <c r="B72" s="156" t="s">
        <v>21</v>
      </c>
      <c r="C72" s="89">
        <v>362877.0</v>
      </c>
      <c r="D72" s="89">
        <v>363532.0</v>
      </c>
      <c r="E72" s="12">
        <f t="shared" si="65"/>
        <v>655</v>
      </c>
      <c r="F72" s="157">
        <v>80.0</v>
      </c>
      <c r="G72" s="14">
        <f t="shared" si="66"/>
        <v>12.21374046</v>
      </c>
      <c r="H72" s="89"/>
      <c r="I72" s="137"/>
      <c r="J72" s="89">
        <f t="shared" si="67"/>
        <v>0</v>
      </c>
      <c r="K72" s="89"/>
      <c r="L72" s="152" t="str">
        <f t="shared" si="68"/>
        <v>#DIV/0!</v>
      </c>
      <c r="M72" s="126">
        <v>19150.0</v>
      </c>
      <c r="N72" s="348">
        <f t="shared" si="69"/>
        <v>1532000</v>
      </c>
    </row>
    <row r="73">
      <c r="A73" s="154">
        <v>45834.0</v>
      </c>
      <c r="B73" s="156" t="s">
        <v>21</v>
      </c>
      <c r="C73" s="89">
        <v>363532.0</v>
      </c>
      <c r="D73" s="89">
        <v>363984.0</v>
      </c>
      <c r="E73" s="12">
        <f t="shared" si="65"/>
        <v>452</v>
      </c>
      <c r="F73" s="157">
        <v>72.0</v>
      </c>
      <c r="G73" s="14">
        <f t="shared" si="66"/>
        <v>15.92920354</v>
      </c>
      <c r="H73" s="89"/>
      <c r="I73" s="137"/>
      <c r="J73" s="89">
        <f t="shared" si="67"/>
        <v>0</v>
      </c>
      <c r="K73" s="89">
        <f t="shared" ref="K73:K75" si="70">F73</f>
        <v>72</v>
      </c>
      <c r="L73" s="152" t="str">
        <f t="shared" si="68"/>
        <v>#DIV/0!</v>
      </c>
      <c r="M73" s="126">
        <v>19700.0</v>
      </c>
      <c r="N73" s="342">
        <f t="shared" si="69"/>
        <v>1418400</v>
      </c>
    </row>
    <row r="74">
      <c r="A74" s="155"/>
      <c r="B74" s="99" t="s">
        <v>37</v>
      </c>
      <c r="C74" s="89"/>
      <c r="D74" s="89"/>
      <c r="E74" s="12">
        <f t="shared" si="65"/>
        <v>0</v>
      </c>
      <c r="F74" s="157"/>
      <c r="G74" s="14" t="str">
        <f t="shared" si="66"/>
        <v>#DIV/0!</v>
      </c>
      <c r="H74" s="89"/>
      <c r="I74" s="159"/>
      <c r="J74" s="89">
        <f t="shared" si="67"/>
        <v>0</v>
      </c>
      <c r="K74" s="89" t="str">
        <f t="shared" si="70"/>
        <v/>
      </c>
      <c r="L74" s="152" t="str">
        <f t="shared" si="68"/>
        <v>#DIV/0!</v>
      </c>
      <c r="M74" s="126"/>
      <c r="N74" s="342">
        <f t="shared" si="69"/>
        <v>0</v>
      </c>
    </row>
    <row r="75">
      <c r="A75" s="305"/>
      <c r="B75" s="323"/>
      <c r="C75" s="149"/>
      <c r="D75" s="150"/>
      <c r="E75" s="25">
        <f t="shared" si="65"/>
        <v>0</v>
      </c>
      <c r="F75" s="307"/>
      <c r="G75" s="56" t="str">
        <f t="shared" si="66"/>
        <v>#DIV/0!</v>
      </c>
      <c r="H75" s="149"/>
      <c r="I75" s="151"/>
      <c r="J75" s="149">
        <f t="shared" si="67"/>
        <v>0</v>
      </c>
      <c r="K75" s="149" t="str">
        <f t="shared" si="70"/>
        <v/>
      </c>
      <c r="L75" s="152" t="str">
        <f t="shared" si="68"/>
        <v>#DIV/0!</v>
      </c>
      <c r="M75" s="308"/>
      <c r="N75" s="340">
        <f t="shared" si="69"/>
        <v>0</v>
      </c>
    </row>
    <row r="76">
      <c r="A76" s="62"/>
      <c r="B76" s="63"/>
      <c r="C76" s="62"/>
      <c r="D76" s="64" t="s">
        <v>19</v>
      </c>
      <c r="E76" s="64">
        <f t="shared" ref="E76:F76" si="71">sum(E69:E75)</f>
        <v>2825</v>
      </c>
      <c r="F76" s="64">
        <f t="shared" si="71"/>
        <v>377</v>
      </c>
      <c r="G76" s="65" t="str">
        <f>average(G69:G75)</f>
        <v>#DIV/0!</v>
      </c>
      <c r="H76" s="62"/>
      <c r="I76" s="66"/>
      <c r="J76" s="64">
        <f t="shared" ref="J76:K76" si="72">sum(J69:J75)</f>
        <v>1086</v>
      </c>
      <c r="K76" s="64">
        <f t="shared" si="72"/>
        <v>217</v>
      </c>
      <c r="L76" s="65" t="str">
        <f>average(L69:L75)</f>
        <v>#DIV/0!</v>
      </c>
      <c r="M76" s="68"/>
      <c r="N76" s="341">
        <f>sum(N69:N75)</f>
        <v>6872000</v>
      </c>
    </row>
    <row r="77">
      <c r="A77" s="70">
        <v>45824.0</v>
      </c>
      <c r="B77" s="314" t="s">
        <v>22</v>
      </c>
      <c r="C77" s="89"/>
      <c r="D77" s="41">
        <v>198738.0</v>
      </c>
      <c r="E77" s="38">
        <f t="shared" ref="E77:E83" si="73">D77-C77</f>
        <v>198738</v>
      </c>
      <c r="F77" s="39">
        <v>72.0</v>
      </c>
      <c r="G77" s="14">
        <f t="shared" ref="G77:G83" si="74">(F77/E77)*100</f>
        <v>0.03622860248</v>
      </c>
      <c r="H77" s="315"/>
      <c r="I77" s="138"/>
      <c r="J77" s="41">
        <f t="shared" ref="J77:J83" si="75">I77-H77</f>
        <v>0</v>
      </c>
      <c r="K77" s="41">
        <f t="shared" ref="K77:K83" si="76">F77</f>
        <v>72</v>
      </c>
      <c r="L77" s="152" t="str">
        <f t="shared" ref="L77:L83" si="77">(K77/J77)*100</f>
        <v>#DIV/0!</v>
      </c>
      <c r="M77" s="72">
        <v>17700.0</v>
      </c>
      <c r="N77" s="336">
        <f t="shared" ref="N77:N83" si="78">F77*M77</f>
        <v>1274400</v>
      </c>
    </row>
    <row r="78">
      <c r="A78" s="154">
        <v>45831.0</v>
      </c>
      <c r="B78" s="156" t="s">
        <v>22</v>
      </c>
      <c r="C78" s="89">
        <v>198738.0</v>
      </c>
      <c r="D78" s="89">
        <v>199258.0</v>
      </c>
      <c r="E78" s="12">
        <f t="shared" si="73"/>
        <v>520</v>
      </c>
      <c r="F78" s="157">
        <v>70.0</v>
      </c>
      <c r="G78" s="14">
        <f t="shared" si="74"/>
        <v>13.46153846</v>
      </c>
      <c r="H78" s="138"/>
      <c r="I78" s="138"/>
      <c r="J78" s="89">
        <f t="shared" si="75"/>
        <v>0</v>
      </c>
      <c r="K78" s="89">
        <f t="shared" si="76"/>
        <v>70</v>
      </c>
      <c r="L78" s="152" t="str">
        <f t="shared" si="77"/>
        <v>#DIV/0!</v>
      </c>
      <c r="M78" s="126">
        <v>19150.0</v>
      </c>
      <c r="N78" s="338">
        <f t="shared" si="78"/>
        <v>1340500</v>
      </c>
    </row>
    <row r="79">
      <c r="A79" s="155">
        <v>45838.0</v>
      </c>
      <c r="B79" s="156" t="s">
        <v>22</v>
      </c>
      <c r="C79" s="89">
        <v>199258.0</v>
      </c>
      <c r="D79" s="89">
        <v>199823.0</v>
      </c>
      <c r="E79" s="12">
        <f t="shared" si="73"/>
        <v>565</v>
      </c>
      <c r="F79" s="157">
        <v>69.0</v>
      </c>
      <c r="G79" s="14">
        <f t="shared" si="74"/>
        <v>12.21238938</v>
      </c>
      <c r="H79" s="89"/>
      <c r="I79" s="137"/>
      <c r="J79" s="89">
        <f t="shared" si="75"/>
        <v>0</v>
      </c>
      <c r="K79" s="89">
        <f t="shared" si="76"/>
        <v>69</v>
      </c>
      <c r="L79" s="152" t="str">
        <f t="shared" si="77"/>
        <v>#DIV/0!</v>
      </c>
      <c r="M79" s="126">
        <v>19700.0</v>
      </c>
      <c r="N79" s="339">
        <f t="shared" si="78"/>
        <v>1359300</v>
      </c>
    </row>
    <row r="80">
      <c r="A80" s="154"/>
      <c r="B80" s="156" t="s">
        <v>22</v>
      </c>
      <c r="C80" s="89"/>
      <c r="D80" s="89"/>
      <c r="E80" s="12">
        <f t="shared" si="73"/>
        <v>0</v>
      </c>
      <c r="F80" s="157"/>
      <c r="G80" s="14" t="str">
        <f t="shared" si="74"/>
        <v>#DIV/0!</v>
      </c>
      <c r="H80" s="89"/>
      <c r="I80" s="137"/>
      <c r="J80" s="89">
        <f t="shared" si="75"/>
        <v>0</v>
      </c>
      <c r="K80" s="89" t="str">
        <f t="shared" si="76"/>
        <v/>
      </c>
      <c r="L80" s="152" t="str">
        <f t="shared" si="77"/>
        <v>#DIV/0!</v>
      </c>
      <c r="M80" s="126"/>
      <c r="N80" s="339">
        <f t="shared" si="78"/>
        <v>0</v>
      </c>
    </row>
    <row r="81">
      <c r="A81" s="154"/>
      <c r="B81" s="156" t="s">
        <v>22</v>
      </c>
      <c r="C81" s="89"/>
      <c r="D81" s="89"/>
      <c r="E81" s="12">
        <f t="shared" si="73"/>
        <v>0</v>
      </c>
      <c r="F81" s="157"/>
      <c r="G81" s="14" t="str">
        <f t="shared" si="74"/>
        <v>#DIV/0!</v>
      </c>
      <c r="H81" s="89"/>
      <c r="I81" s="137"/>
      <c r="J81" s="89">
        <f t="shared" si="75"/>
        <v>0</v>
      </c>
      <c r="K81" s="89" t="str">
        <f t="shared" si="76"/>
        <v/>
      </c>
      <c r="L81" s="152" t="str">
        <f t="shared" si="77"/>
        <v>#DIV/0!</v>
      </c>
      <c r="M81" s="126"/>
      <c r="N81" s="339">
        <f t="shared" si="78"/>
        <v>0</v>
      </c>
    </row>
    <row r="82">
      <c r="A82" s="304"/>
      <c r="B82" s="156" t="s">
        <v>22</v>
      </c>
      <c r="C82" s="89"/>
      <c r="D82" s="89"/>
      <c r="E82" s="12">
        <f t="shared" si="73"/>
        <v>0</v>
      </c>
      <c r="F82" s="157"/>
      <c r="G82" s="14" t="str">
        <f t="shared" si="74"/>
        <v>#DIV/0!</v>
      </c>
      <c r="H82" s="89"/>
      <c r="I82" s="159"/>
      <c r="J82" s="89">
        <f t="shared" si="75"/>
        <v>0</v>
      </c>
      <c r="K82" s="89" t="str">
        <f t="shared" si="76"/>
        <v/>
      </c>
      <c r="L82" s="152" t="str">
        <f t="shared" si="77"/>
        <v>#DIV/0!</v>
      </c>
      <c r="M82" s="126"/>
      <c r="N82" s="342">
        <f t="shared" si="78"/>
        <v>0</v>
      </c>
    </row>
    <row r="83">
      <c r="A83" s="304"/>
      <c r="B83" s="306"/>
      <c r="C83" s="149"/>
      <c r="D83" s="150"/>
      <c r="E83" s="25">
        <f t="shared" si="73"/>
        <v>0</v>
      </c>
      <c r="F83" s="307"/>
      <c r="G83" s="56" t="str">
        <f t="shared" si="74"/>
        <v>#DIV/0!</v>
      </c>
      <c r="H83" s="149"/>
      <c r="I83" s="315"/>
      <c r="J83" s="149">
        <f t="shared" si="75"/>
        <v>0</v>
      </c>
      <c r="K83" s="149" t="str">
        <f t="shared" si="76"/>
        <v/>
      </c>
      <c r="L83" s="152" t="str">
        <f t="shared" si="77"/>
        <v>#DIV/0!</v>
      </c>
      <c r="M83" s="308"/>
      <c r="N83" s="340">
        <f t="shared" si="78"/>
        <v>0</v>
      </c>
    </row>
    <row r="84">
      <c r="A84" s="62"/>
      <c r="B84" s="63"/>
      <c r="C84" s="62"/>
      <c r="D84" s="64" t="s">
        <v>19</v>
      </c>
      <c r="E84" s="64">
        <f t="shared" ref="E84:F84" si="79">sum(E77:E83)</f>
        <v>199823</v>
      </c>
      <c r="F84" s="64">
        <f t="shared" si="79"/>
        <v>211</v>
      </c>
      <c r="G84" s="65" t="str">
        <f>average(G77:G83)</f>
        <v>#DIV/0!</v>
      </c>
      <c r="H84" s="62"/>
      <c r="I84" s="66"/>
      <c r="J84" s="64">
        <f t="shared" ref="J84:K84" si="80">sum(J77:J83)</f>
        <v>0</v>
      </c>
      <c r="K84" s="64">
        <f t="shared" si="80"/>
        <v>211</v>
      </c>
      <c r="L84" s="65" t="str">
        <f>average(L77:L83)</f>
        <v>#DIV/0!</v>
      </c>
      <c r="M84" s="68"/>
      <c r="N84" s="341">
        <f>sum(N77:N83)</f>
        <v>3974200</v>
      </c>
    </row>
    <row r="85">
      <c r="A85" s="98">
        <v>46176.0</v>
      </c>
      <c r="B85" s="156" t="s">
        <v>38</v>
      </c>
      <c r="C85" s="373">
        <v>149559.0</v>
      </c>
      <c r="D85" s="41">
        <v>150151.0</v>
      </c>
      <c r="E85" s="38">
        <f t="shared" ref="E85:E90" si="81">D85-C85</f>
        <v>592</v>
      </c>
      <c r="F85" s="39">
        <v>80.0</v>
      </c>
      <c r="G85" s="14">
        <f t="shared" ref="G85:G90" si="82">(F85/E85)*100</f>
        <v>13.51351351</v>
      </c>
      <c r="H85" s="137">
        <v>9994.0</v>
      </c>
      <c r="I85" s="138"/>
      <c r="J85" s="41">
        <f t="shared" ref="J85:J88" si="83">I85-H85</f>
        <v>-9994</v>
      </c>
      <c r="K85" s="41">
        <f t="shared" ref="K85:K90" si="84">F85</f>
        <v>80</v>
      </c>
      <c r="L85" s="152">
        <f t="shared" ref="L85:L90" si="85">(K85/J85)*100</f>
        <v>-0.8004802882</v>
      </c>
      <c r="M85" s="72">
        <v>17130.0</v>
      </c>
      <c r="N85" s="336">
        <f t="shared" ref="N85:N90" si="86">F85*M85</f>
        <v>1370400</v>
      </c>
    </row>
    <row r="86">
      <c r="A86" s="155">
        <v>45817.0</v>
      </c>
      <c r="B86" s="156" t="s">
        <v>38</v>
      </c>
      <c r="C86" s="89">
        <v>150151.0</v>
      </c>
      <c r="D86" s="89">
        <v>150749.0</v>
      </c>
      <c r="E86" s="38">
        <f t="shared" si="81"/>
        <v>598</v>
      </c>
      <c r="F86" s="157">
        <v>76.0</v>
      </c>
      <c r="G86" s="14">
        <f t="shared" si="82"/>
        <v>12.7090301</v>
      </c>
      <c r="H86" s="89"/>
      <c r="I86" s="137"/>
      <c r="J86" s="89">
        <f t="shared" si="83"/>
        <v>0</v>
      </c>
      <c r="K86" s="89">
        <f t="shared" si="84"/>
        <v>76</v>
      </c>
      <c r="L86" s="152" t="str">
        <f t="shared" si="85"/>
        <v>#DIV/0!</v>
      </c>
      <c r="M86" s="126">
        <v>17420.0</v>
      </c>
      <c r="N86" s="336">
        <f t="shared" si="86"/>
        <v>1323920</v>
      </c>
    </row>
    <row r="87">
      <c r="A87" s="155">
        <v>45821.0</v>
      </c>
      <c r="B87" s="306" t="s">
        <v>38</v>
      </c>
      <c r="C87" s="89">
        <v>150749.0</v>
      </c>
      <c r="D87" s="89">
        <v>151395.0</v>
      </c>
      <c r="E87" s="38">
        <f t="shared" si="81"/>
        <v>646</v>
      </c>
      <c r="F87" s="157">
        <v>75.0</v>
      </c>
      <c r="G87" s="14">
        <f t="shared" si="82"/>
        <v>11.60990712</v>
      </c>
      <c r="H87" s="89"/>
      <c r="I87" s="137"/>
      <c r="J87" s="89">
        <f t="shared" si="83"/>
        <v>0</v>
      </c>
      <c r="K87" s="89">
        <f t="shared" si="84"/>
        <v>75</v>
      </c>
      <c r="L87" s="152" t="str">
        <f t="shared" si="85"/>
        <v>#DIV/0!</v>
      </c>
      <c r="M87" s="126">
        <v>17700.0</v>
      </c>
      <c r="N87" s="349">
        <f t="shared" si="86"/>
        <v>1327500</v>
      </c>
    </row>
    <row r="88">
      <c r="A88" s="8">
        <v>45826.0</v>
      </c>
      <c r="B88" s="156" t="s">
        <v>38</v>
      </c>
      <c r="C88" s="13">
        <v>151395.0</v>
      </c>
      <c r="D88" s="105">
        <v>151897.0</v>
      </c>
      <c r="E88" s="38">
        <f t="shared" si="81"/>
        <v>502</v>
      </c>
      <c r="F88" s="157">
        <v>72.0</v>
      </c>
      <c r="G88" s="14">
        <f t="shared" si="82"/>
        <v>14.34262948</v>
      </c>
      <c r="H88" s="89"/>
      <c r="I88" s="137"/>
      <c r="J88" s="89">
        <f t="shared" si="83"/>
        <v>0</v>
      </c>
      <c r="K88" s="89">
        <f t="shared" si="84"/>
        <v>72</v>
      </c>
      <c r="L88" s="152" t="str">
        <f t="shared" si="85"/>
        <v>#DIV/0!</v>
      </c>
      <c r="M88" s="126">
        <v>17700.0</v>
      </c>
      <c r="N88" s="349">
        <f t="shared" si="86"/>
        <v>1274400</v>
      </c>
    </row>
    <row r="89">
      <c r="A89" s="8">
        <v>45832.0</v>
      </c>
      <c r="B89" s="306" t="s">
        <v>38</v>
      </c>
      <c r="C89" s="13">
        <v>151897.0</v>
      </c>
      <c r="D89" s="13"/>
      <c r="E89" s="38">
        <f t="shared" si="81"/>
        <v>-151897</v>
      </c>
      <c r="F89" s="157">
        <v>77.0</v>
      </c>
      <c r="G89" s="14">
        <f t="shared" si="82"/>
        <v>-0.0506922454</v>
      </c>
      <c r="H89" s="137"/>
      <c r="I89" s="137"/>
      <c r="J89" s="89"/>
      <c r="K89" s="89">
        <f t="shared" si="84"/>
        <v>77</v>
      </c>
      <c r="L89" s="152" t="str">
        <f t="shared" si="85"/>
        <v>#DIV/0!</v>
      </c>
      <c r="M89" s="126">
        <v>19150.0</v>
      </c>
      <c r="N89" s="350">
        <f t="shared" si="86"/>
        <v>1474550</v>
      </c>
    </row>
    <row r="90">
      <c r="A90" s="154"/>
      <c r="B90" s="306" t="s">
        <v>38</v>
      </c>
      <c r="C90" s="89"/>
      <c r="D90" s="89"/>
      <c r="E90" s="38">
        <f t="shared" si="81"/>
        <v>0</v>
      </c>
      <c r="F90" s="157"/>
      <c r="G90" s="14" t="str">
        <f t="shared" si="82"/>
        <v>#DIV/0!</v>
      </c>
      <c r="H90" s="89"/>
      <c r="I90" s="137"/>
      <c r="J90" s="89"/>
      <c r="K90" s="89" t="str">
        <f t="shared" si="84"/>
        <v/>
      </c>
      <c r="L90" s="351" t="str">
        <f t="shared" si="85"/>
        <v>#DIV/0!</v>
      </c>
      <c r="M90" s="126"/>
      <c r="N90" s="350">
        <f t="shared" si="86"/>
        <v>0</v>
      </c>
    </row>
    <row r="91">
      <c r="A91" s="352"/>
      <c r="B91" s="9" t="s">
        <v>38</v>
      </c>
      <c r="C91" s="353"/>
      <c r="D91" s="354" t="s">
        <v>19</v>
      </c>
      <c r="E91" s="355">
        <f t="shared" ref="E91:F91" si="87">SUM(E85:E90)</f>
        <v>-149559</v>
      </c>
      <c r="F91" s="355">
        <f t="shared" si="87"/>
        <v>380</v>
      </c>
      <c r="G91" s="356" t="str">
        <f>average(G85:G90)</f>
        <v>#DIV/0!</v>
      </c>
      <c r="H91" s="353"/>
      <c r="I91" s="357"/>
      <c r="J91" s="354">
        <f t="shared" ref="J91:K91" si="88">sum(J85:J90)</f>
        <v>-9994</v>
      </c>
      <c r="K91" s="354">
        <f t="shared" si="88"/>
        <v>380</v>
      </c>
      <c r="L91" s="358" t="str">
        <f>average(L85:L90)</f>
        <v>#DIV/0!</v>
      </c>
      <c r="M91" s="359"/>
      <c r="N91" s="360">
        <f>sum(N85:N90)</f>
        <v>6770770</v>
      </c>
    </row>
    <row r="92">
      <c r="A92" s="122">
        <v>45813.0</v>
      </c>
      <c r="B92" s="323" t="s">
        <v>39</v>
      </c>
      <c r="C92" s="89">
        <v>99989.0</v>
      </c>
      <c r="D92" s="89">
        <v>100662.0</v>
      </c>
      <c r="E92" s="38">
        <f t="shared" ref="E92:E98" si="89">D92-C92</f>
        <v>673</v>
      </c>
      <c r="F92" s="157">
        <v>80.0</v>
      </c>
      <c r="G92" s="124">
        <f t="shared" ref="G92:G98" si="90">(F92/E92)*100</f>
        <v>11.88707281</v>
      </c>
      <c r="H92" s="137">
        <v>8616.0</v>
      </c>
      <c r="I92" s="137">
        <v>11955.0</v>
      </c>
      <c r="J92" s="89">
        <f t="shared" ref="J92:J98" si="91">I92-H92</f>
        <v>3339</v>
      </c>
      <c r="K92" s="89">
        <f t="shared" ref="K92:K98" si="92">F92</f>
        <v>80</v>
      </c>
      <c r="L92" s="330">
        <f t="shared" ref="L92:L98" si="93">(K92/J92)*100</f>
        <v>2.395926924</v>
      </c>
      <c r="M92" s="126">
        <v>17130.0</v>
      </c>
      <c r="N92" s="361">
        <f>M92*K92</f>
        <v>1370400</v>
      </c>
    </row>
    <row r="93">
      <c r="A93" s="8">
        <v>45820.0</v>
      </c>
      <c r="B93" s="323" t="s">
        <v>39</v>
      </c>
      <c r="C93" s="13">
        <v>100662.0</v>
      </c>
      <c r="D93" s="13">
        <v>101413.0</v>
      </c>
      <c r="E93" s="12">
        <f t="shared" si="89"/>
        <v>751</v>
      </c>
      <c r="F93" s="13">
        <v>88.0</v>
      </c>
      <c r="G93" s="14">
        <f t="shared" si="90"/>
        <v>11.71770972</v>
      </c>
      <c r="H93" s="13"/>
      <c r="I93" s="16"/>
      <c r="J93" s="89">
        <f t="shared" si="91"/>
        <v>0</v>
      </c>
      <c r="K93" s="89">
        <f t="shared" si="92"/>
        <v>88</v>
      </c>
      <c r="L93" s="330" t="str">
        <f t="shared" si="93"/>
        <v>#DIV/0!</v>
      </c>
      <c r="M93" s="18">
        <v>17700.0</v>
      </c>
      <c r="N93" s="362">
        <f t="shared" ref="N93:N98" si="94">F93*M93</f>
        <v>1557600</v>
      </c>
      <c r="S93" s="257"/>
      <c r="T93" s="257"/>
      <c r="U93" s="257"/>
      <c r="V93" s="257"/>
      <c r="W93" s="257"/>
      <c r="X93" s="257"/>
      <c r="Y93" s="257"/>
      <c r="Z93" s="257"/>
    </row>
    <row r="94">
      <c r="A94" s="154">
        <v>45828.0</v>
      </c>
      <c r="B94" s="323" t="s">
        <v>39</v>
      </c>
      <c r="C94" s="89">
        <v>101413.0</v>
      </c>
      <c r="D94" s="89">
        <v>102203.0</v>
      </c>
      <c r="E94" s="12">
        <f t="shared" si="89"/>
        <v>790</v>
      </c>
      <c r="F94" s="157">
        <v>85.0</v>
      </c>
      <c r="G94" s="14">
        <f t="shared" si="90"/>
        <v>10.75949367</v>
      </c>
      <c r="H94" s="89"/>
      <c r="I94" s="137"/>
      <c r="J94" s="89">
        <f t="shared" si="91"/>
        <v>0</v>
      </c>
      <c r="K94" s="89">
        <f t="shared" si="92"/>
        <v>85</v>
      </c>
      <c r="L94" s="330" t="str">
        <f t="shared" si="93"/>
        <v>#DIV/0!</v>
      </c>
      <c r="M94" s="126">
        <v>19150.0</v>
      </c>
      <c r="N94" s="362">
        <f t="shared" si="94"/>
        <v>1627750</v>
      </c>
      <c r="P94" s="82"/>
    </row>
    <row r="95">
      <c r="A95" s="154">
        <v>45835.0</v>
      </c>
      <c r="B95" s="323" t="s">
        <v>39</v>
      </c>
      <c r="C95" s="89">
        <v>102203.0</v>
      </c>
      <c r="D95" s="89">
        <v>102935.0</v>
      </c>
      <c r="E95" s="12">
        <f t="shared" si="89"/>
        <v>732</v>
      </c>
      <c r="F95" s="157">
        <v>87.0</v>
      </c>
      <c r="G95" s="14">
        <f t="shared" si="90"/>
        <v>11.8852459</v>
      </c>
      <c r="H95" s="89"/>
      <c r="I95" s="137"/>
      <c r="J95" s="89">
        <f t="shared" si="91"/>
        <v>0</v>
      </c>
      <c r="K95" s="89">
        <f t="shared" si="92"/>
        <v>87</v>
      </c>
      <c r="L95" s="152" t="str">
        <f t="shared" si="93"/>
        <v>#DIV/0!</v>
      </c>
      <c r="M95" s="126">
        <v>19700.0</v>
      </c>
      <c r="N95" s="339">
        <f t="shared" si="94"/>
        <v>1713900</v>
      </c>
    </row>
    <row r="96">
      <c r="A96" s="154"/>
      <c r="B96" s="156"/>
      <c r="C96" s="89"/>
      <c r="D96" s="89"/>
      <c r="E96" s="12">
        <f t="shared" si="89"/>
        <v>0</v>
      </c>
      <c r="F96" s="157"/>
      <c r="G96" s="14" t="str">
        <f t="shared" si="90"/>
        <v>#DIV/0!</v>
      </c>
      <c r="H96" s="89"/>
      <c r="I96" s="137"/>
      <c r="J96" s="89">
        <f t="shared" si="91"/>
        <v>0</v>
      </c>
      <c r="K96" s="89" t="str">
        <f t="shared" si="92"/>
        <v/>
      </c>
      <c r="L96" s="152" t="str">
        <f t="shared" si="93"/>
        <v>#DIV/0!</v>
      </c>
      <c r="M96" s="126"/>
      <c r="N96" s="342">
        <f t="shared" si="94"/>
        <v>0</v>
      </c>
    </row>
    <row r="97">
      <c r="A97" s="320"/>
      <c r="B97" s="99"/>
      <c r="C97" s="89"/>
      <c r="D97" s="158"/>
      <c r="E97" s="12">
        <f t="shared" si="89"/>
        <v>0</v>
      </c>
      <c r="F97" s="321"/>
      <c r="G97" s="14" t="str">
        <f t="shared" si="90"/>
        <v>#DIV/0!</v>
      </c>
      <c r="H97" s="89"/>
      <c r="I97" s="159"/>
      <c r="J97" s="89">
        <f t="shared" si="91"/>
        <v>0</v>
      </c>
      <c r="K97" s="89" t="str">
        <f t="shared" si="92"/>
        <v/>
      </c>
      <c r="L97" s="152" t="str">
        <f t="shared" si="93"/>
        <v>#DIV/0!</v>
      </c>
      <c r="M97" s="322"/>
      <c r="N97" s="342">
        <f t="shared" si="94"/>
        <v>0</v>
      </c>
    </row>
    <row r="98">
      <c r="A98" s="305"/>
      <c r="B98" s="323"/>
      <c r="C98" s="149"/>
      <c r="D98" s="150"/>
      <c r="E98" s="25">
        <f t="shared" si="89"/>
        <v>0</v>
      </c>
      <c r="F98" s="307"/>
      <c r="G98" s="56" t="str">
        <f t="shared" si="90"/>
        <v>#DIV/0!</v>
      </c>
      <c r="H98" s="149"/>
      <c r="I98" s="151"/>
      <c r="J98" s="149">
        <f t="shared" si="91"/>
        <v>0</v>
      </c>
      <c r="K98" s="149" t="str">
        <f t="shared" si="92"/>
        <v/>
      </c>
      <c r="L98" s="152" t="str">
        <f t="shared" si="93"/>
        <v>#DIV/0!</v>
      </c>
      <c r="M98" s="308"/>
      <c r="N98" s="340">
        <f t="shared" si="94"/>
        <v>0</v>
      </c>
    </row>
    <row r="99">
      <c r="A99" s="62"/>
      <c r="B99" s="63"/>
      <c r="C99" s="62"/>
      <c r="D99" s="64" t="s">
        <v>19</v>
      </c>
      <c r="E99" s="64">
        <f t="shared" ref="E99:F99" si="95">sum(E85:E98)</f>
        <v>-296172</v>
      </c>
      <c r="F99" s="64">
        <f t="shared" si="95"/>
        <v>1100</v>
      </c>
      <c r="G99" s="65" t="str">
        <f>average(G85:G98)</f>
        <v>#DIV/0!</v>
      </c>
      <c r="H99" s="62"/>
      <c r="I99" s="66"/>
      <c r="J99" s="64">
        <f t="shared" ref="J99:K99" si="96">sum(J85:J98)</f>
        <v>-16649</v>
      </c>
      <c r="K99" s="64">
        <f t="shared" si="96"/>
        <v>1100</v>
      </c>
      <c r="L99" s="65" t="str">
        <f>average(L85:L98)</f>
        <v>#DIV/0!</v>
      </c>
      <c r="M99" s="68"/>
      <c r="N99" s="341">
        <f>sum(N92:N98)</f>
        <v>6269650</v>
      </c>
    </row>
    <row r="100">
      <c r="A100" s="70">
        <v>45811.0</v>
      </c>
      <c r="B100" s="156" t="s">
        <v>40</v>
      </c>
      <c r="C100" s="89">
        <v>5136.0</v>
      </c>
      <c r="D100" s="13">
        <v>5688.0</v>
      </c>
      <c r="E100" s="38">
        <f t="shared" ref="E100:E106" si="97">D100-C100</f>
        <v>552</v>
      </c>
      <c r="F100" s="39">
        <v>62.0</v>
      </c>
      <c r="G100" s="14">
        <f t="shared" ref="G100:G106" si="98">(F100/E100)*100</f>
        <v>11.23188406</v>
      </c>
      <c r="H100" s="137">
        <v>94684.0</v>
      </c>
      <c r="I100" s="138">
        <v>95347.0</v>
      </c>
      <c r="J100" s="41">
        <f t="shared" ref="J100:J106" si="99">I100-H100</f>
        <v>663</v>
      </c>
      <c r="K100" s="41">
        <f t="shared" ref="K100:K106" si="100">F100</f>
        <v>62</v>
      </c>
      <c r="L100" s="152">
        <f t="shared" ref="L100:L106" si="101">(K100/J100)*100</f>
        <v>9.351432881</v>
      </c>
      <c r="M100" s="72">
        <v>17130.0</v>
      </c>
      <c r="N100" s="336">
        <f t="shared" ref="N100:N106" si="102">F100*M100</f>
        <v>1062060</v>
      </c>
    </row>
    <row r="101">
      <c r="A101" s="154">
        <v>45819.0</v>
      </c>
      <c r="B101" s="156" t="s">
        <v>40</v>
      </c>
      <c r="C101" s="89">
        <v>5688.0</v>
      </c>
      <c r="D101" s="89">
        <v>6372.0</v>
      </c>
      <c r="E101" s="12">
        <f t="shared" si="97"/>
        <v>684</v>
      </c>
      <c r="F101" s="157">
        <v>80.0</v>
      </c>
      <c r="G101" s="14">
        <f t="shared" si="98"/>
        <v>11.69590643</v>
      </c>
      <c r="H101" s="89">
        <v>95347.0</v>
      </c>
      <c r="I101" s="137">
        <v>95972.0</v>
      </c>
      <c r="J101" s="89">
        <f t="shared" si="99"/>
        <v>625</v>
      </c>
      <c r="K101" s="41">
        <f t="shared" si="100"/>
        <v>80</v>
      </c>
      <c r="L101" s="152">
        <f t="shared" si="101"/>
        <v>12.8</v>
      </c>
      <c r="M101" s="126">
        <v>17420.0</v>
      </c>
      <c r="N101" s="338">
        <f t="shared" si="102"/>
        <v>1393600</v>
      </c>
    </row>
    <row r="102">
      <c r="A102" s="154">
        <v>45824.0</v>
      </c>
      <c r="B102" s="156" t="s">
        <v>40</v>
      </c>
      <c r="C102" s="89">
        <v>96372.0</v>
      </c>
      <c r="D102" s="89">
        <v>96992.0</v>
      </c>
      <c r="E102" s="12">
        <f t="shared" si="97"/>
        <v>620</v>
      </c>
      <c r="F102" s="157">
        <v>68.0</v>
      </c>
      <c r="G102" s="14">
        <f t="shared" si="98"/>
        <v>10.96774194</v>
      </c>
      <c r="H102" s="89"/>
      <c r="I102" s="137"/>
      <c r="J102" s="89">
        <f t="shared" si="99"/>
        <v>0</v>
      </c>
      <c r="K102" s="41">
        <f t="shared" si="100"/>
        <v>68</v>
      </c>
      <c r="L102" s="152" t="str">
        <f t="shared" si="101"/>
        <v>#DIV/0!</v>
      </c>
      <c r="M102" s="126">
        <v>17700.0</v>
      </c>
      <c r="N102" s="339">
        <f t="shared" si="102"/>
        <v>1203600</v>
      </c>
    </row>
    <row r="103">
      <c r="A103" s="154">
        <v>45829.0</v>
      </c>
      <c r="B103" s="156" t="s">
        <v>40</v>
      </c>
      <c r="C103" s="89">
        <v>96992.0</v>
      </c>
      <c r="D103" s="89">
        <v>97693.0</v>
      </c>
      <c r="E103" s="12">
        <f t="shared" si="97"/>
        <v>701</v>
      </c>
      <c r="F103" s="157">
        <v>80.0</v>
      </c>
      <c r="G103" s="14">
        <f t="shared" si="98"/>
        <v>11.41226819</v>
      </c>
      <c r="H103" s="89"/>
      <c r="I103" s="137"/>
      <c r="J103" s="89">
        <f t="shared" si="99"/>
        <v>0</v>
      </c>
      <c r="K103" s="41">
        <f t="shared" si="100"/>
        <v>80</v>
      </c>
      <c r="L103" s="152" t="str">
        <f t="shared" si="101"/>
        <v>#DIV/0!</v>
      </c>
      <c r="M103" s="126">
        <v>19150.0</v>
      </c>
      <c r="N103" s="339">
        <f t="shared" si="102"/>
        <v>1532000</v>
      </c>
    </row>
    <row r="104">
      <c r="A104" s="332">
        <v>45834.0</v>
      </c>
      <c r="B104" s="156" t="s">
        <v>40</v>
      </c>
      <c r="C104" s="89">
        <v>97693.0</v>
      </c>
      <c r="D104" s="89">
        <v>98283.0</v>
      </c>
      <c r="E104" s="12">
        <f t="shared" si="97"/>
        <v>590</v>
      </c>
      <c r="F104" s="157">
        <v>65.0</v>
      </c>
      <c r="G104" s="14">
        <f t="shared" si="98"/>
        <v>11.01694915</v>
      </c>
      <c r="H104" s="89"/>
      <c r="I104" s="137"/>
      <c r="J104" s="89">
        <f t="shared" si="99"/>
        <v>0</v>
      </c>
      <c r="K104" s="41">
        <f t="shared" si="100"/>
        <v>65</v>
      </c>
      <c r="L104" s="152" t="str">
        <f t="shared" si="101"/>
        <v>#DIV/0!</v>
      </c>
      <c r="M104" s="126">
        <v>19700.0</v>
      </c>
      <c r="N104" s="339">
        <f t="shared" si="102"/>
        <v>1280500</v>
      </c>
    </row>
    <row r="105">
      <c r="A105" s="332"/>
      <c r="B105" s="123"/>
      <c r="C105" s="89"/>
      <c r="D105" s="158"/>
      <c r="E105" s="12">
        <f t="shared" si="97"/>
        <v>0</v>
      </c>
      <c r="F105" s="321"/>
      <c r="G105" s="14" t="str">
        <f t="shared" si="98"/>
        <v>#DIV/0!</v>
      </c>
      <c r="H105" s="89"/>
      <c r="I105" s="137"/>
      <c r="J105" s="89">
        <f t="shared" si="99"/>
        <v>0</v>
      </c>
      <c r="K105" s="41" t="str">
        <f t="shared" si="100"/>
        <v/>
      </c>
      <c r="L105" s="152" t="str">
        <f t="shared" si="101"/>
        <v>#DIV/0!</v>
      </c>
      <c r="M105" s="322"/>
      <c r="N105" s="342">
        <f t="shared" si="102"/>
        <v>0</v>
      </c>
    </row>
    <row r="106">
      <c r="A106" s="305"/>
      <c r="B106" s="323"/>
      <c r="C106" s="149"/>
      <c r="D106" s="150"/>
      <c r="E106" s="25">
        <f t="shared" si="97"/>
        <v>0</v>
      </c>
      <c r="F106" s="307"/>
      <c r="G106" s="56" t="str">
        <f t="shared" si="98"/>
        <v>#DIV/0!</v>
      </c>
      <c r="H106" s="149"/>
      <c r="I106" s="151"/>
      <c r="J106" s="149">
        <f t="shared" si="99"/>
        <v>0</v>
      </c>
      <c r="K106" s="149" t="str">
        <f t="shared" si="100"/>
        <v/>
      </c>
      <c r="L106" s="152" t="str">
        <f t="shared" si="101"/>
        <v>#DIV/0!</v>
      </c>
      <c r="M106" s="308"/>
      <c r="N106" s="340">
        <f t="shared" si="102"/>
        <v>0</v>
      </c>
    </row>
    <row r="107">
      <c r="A107" s="62"/>
      <c r="B107" s="63"/>
      <c r="C107" s="62"/>
      <c r="D107" s="64" t="s">
        <v>19</v>
      </c>
      <c r="E107" s="64">
        <f t="shared" ref="E107:F107" si="103">sum(E100:E106)</f>
        <v>3147</v>
      </c>
      <c r="F107" s="64">
        <f t="shared" si="103"/>
        <v>355</v>
      </c>
      <c r="G107" s="65" t="str">
        <f>average(G100:G106)</f>
        <v>#DIV/0!</v>
      </c>
      <c r="H107" s="62"/>
      <c r="I107" s="66"/>
      <c r="J107" s="64">
        <f t="shared" ref="J107:K107" si="104">sum(J100:J106)</f>
        <v>1288</v>
      </c>
      <c r="K107" s="64">
        <f t="shared" si="104"/>
        <v>355</v>
      </c>
      <c r="L107" s="65" t="str">
        <f>average(L100:L106)</f>
        <v>#DIV/0!</v>
      </c>
      <c r="M107" s="68"/>
      <c r="N107" s="341">
        <f>sum(N100:N106)</f>
        <v>6471760</v>
      </c>
    </row>
    <row r="108">
      <c r="A108" s="70">
        <v>45819.0</v>
      </c>
      <c r="B108" s="156" t="s">
        <v>41</v>
      </c>
      <c r="C108" s="89"/>
      <c r="D108" s="13"/>
      <c r="E108" s="38">
        <f t="shared" ref="E108:E114" si="105">D108-C108</f>
        <v>0</v>
      </c>
      <c r="F108" s="39">
        <v>84.0</v>
      </c>
      <c r="G108" s="14" t="str">
        <f t="shared" ref="G108:G114" si="106">(F108/E108)*100</f>
        <v>#DIV/0!</v>
      </c>
      <c r="H108" s="137"/>
      <c r="I108" s="138"/>
      <c r="J108" s="41">
        <f t="shared" ref="J108:J114" si="107">I108-H108</f>
        <v>0</v>
      </c>
      <c r="K108" s="41">
        <v>84.0</v>
      </c>
      <c r="L108" s="152" t="str">
        <f t="shared" ref="L108:L114" si="108">(K108/J108)*100</f>
        <v>#DIV/0!</v>
      </c>
      <c r="M108" s="72">
        <v>17420.0</v>
      </c>
      <c r="N108" s="336">
        <f t="shared" ref="N108:N114" si="109">F108*M108</f>
        <v>1463280</v>
      </c>
    </row>
    <row r="109">
      <c r="A109" s="154">
        <v>45838.0</v>
      </c>
      <c r="B109" s="156" t="s">
        <v>41</v>
      </c>
      <c r="C109" s="13"/>
      <c r="D109" s="89">
        <v>156714.0</v>
      </c>
      <c r="E109" s="12">
        <f t="shared" si="105"/>
        <v>156714</v>
      </c>
      <c r="F109" s="157">
        <v>73.0</v>
      </c>
      <c r="G109" s="14">
        <f t="shared" si="106"/>
        <v>0.04658167107</v>
      </c>
      <c r="H109" s="89"/>
      <c r="I109" s="137"/>
      <c r="J109" s="89">
        <f t="shared" si="107"/>
        <v>0</v>
      </c>
      <c r="K109" s="41"/>
      <c r="L109" s="152" t="str">
        <f t="shared" si="108"/>
        <v>#DIV/0!</v>
      </c>
      <c r="M109" s="126">
        <v>19700.0</v>
      </c>
      <c r="N109" s="338">
        <f t="shared" si="109"/>
        <v>1438100</v>
      </c>
    </row>
    <row r="110">
      <c r="A110" s="154"/>
      <c r="B110" s="156" t="s">
        <v>41</v>
      </c>
      <c r="C110" s="89"/>
      <c r="D110" s="89"/>
      <c r="E110" s="12">
        <f t="shared" si="105"/>
        <v>0</v>
      </c>
      <c r="F110" s="157"/>
      <c r="G110" s="14" t="str">
        <f t="shared" si="106"/>
        <v>#DIV/0!</v>
      </c>
      <c r="H110" s="89"/>
      <c r="I110" s="137"/>
      <c r="J110" s="89">
        <f t="shared" si="107"/>
        <v>0</v>
      </c>
      <c r="K110" s="41" t="str">
        <f t="shared" ref="K110:K114" si="110">F110</f>
        <v/>
      </c>
      <c r="L110" s="152" t="str">
        <f t="shared" si="108"/>
        <v>#DIV/0!</v>
      </c>
      <c r="M110" s="126"/>
      <c r="N110" s="339">
        <f t="shared" si="109"/>
        <v>0</v>
      </c>
    </row>
    <row r="111">
      <c r="A111" s="154"/>
      <c r="B111" s="156" t="s">
        <v>41</v>
      </c>
      <c r="C111" s="89"/>
      <c r="D111" s="89"/>
      <c r="E111" s="12">
        <f t="shared" si="105"/>
        <v>0</v>
      </c>
      <c r="F111" s="157"/>
      <c r="G111" s="14" t="str">
        <f t="shared" si="106"/>
        <v>#DIV/0!</v>
      </c>
      <c r="H111" s="89"/>
      <c r="I111" s="137"/>
      <c r="J111" s="89">
        <f t="shared" si="107"/>
        <v>0</v>
      </c>
      <c r="K111" s="41" t="str">
        <f t="shared" si="110"/>
        <v/>
      </c>
      <c r="L111" s="152" t="str">
        <f t="shared" si="108"/>
        <v>#DIV/0!</v>
      </c>
      <c r="M111" s="126"/>
      <c r="N111" s="339">
        <f t="shared" si="109"/>
        <v>0</v>
      </c>
    </row>
    <row r="112">
      <c r="A112" s="332"/>
      <c r="B112" s="156" t="s">
        <v>41</v>
      </c>
      <c r="C112" s="89"/>
      <c r="D112" s="89"/>
      <c r="E112" s="12">
        <f t="shared" si="105"/>
        <v>0</v>
      </c>
      <c r="F112" s="157"/>
      <c r="G112" s="14" t="str">
        <f t="shared" si="106"/>
        <v>#DIV/0!</v>
      </c>
      <c r="H112" s="89"/>
      <c r="I112" s="137"/>
      <c r="J112" s="89">
        <f t="shared" si="107"/>
        <v>0</v>
      </c>
      <c r="K112" s="41" t="str">
        <f t="shared" si="110"/>
        <v/>
      </c>
      <c r="L112" s="152" t="str">
        <f t="shared" si="108"/>
        <v>#DIV/0!</v>
      </c>
      <c r="M112" s="126"/>
      <c r="N112" s="339">
        <f t="shared" si="109"/>
        <v>0</v>
      </c>
    </row>
    <row r="113">
      <c r="A113" s="332"/>
      <c r="B113" s="156" t="s">
        <v>41</v>
      </c>
      <c r="C113" s="89"/>
      <c r="D113" s="158"/>
      <c r="E113" s="12">
        <f t="shared" si="105"/>
        <v>0</v>
      </c>
      <c r="F113" s="321"/>
      <c r="G113" s="14" t="str">
        <f t="shared" si="106"/>
        <v>#DIV/0!</v>
      </c>
      <c r="H113" s="89"/>
      <c r="I113" s="137"/>
      <c r="J113" s="89">
        <f t="shared" si="107"/>
        <v>0</v>
      </c>
      <c r="K113" s="41" t="str">
        <f t="shared" si="110"/>
        <v/>
      </c>
      <c r="L113" s="152" t="str">
        <f t="shared" si="108"/>
        <v>#DIV/0!</v>
      </c>
      <c r="M113" s="322"/>
      <c r="N113" s="342">
        <f t="shared" si="109"/>
        <v>0</v>
      </c>
    </row>
    <row r="114">
      <c r="A114" s="305"/>
      <c r="B114" s="323"/>
      <c r="C114" s="149"/>
      <c r="D114" s="150"/>
      <c r="E114" s="25">
        <f t="shared" si="105"/>
        <v>0</v>
      </c>
      <c r="F114" s="307"/>
      <c r="G114" s="56" t="str">
        <f t="shared" si="106"/>
        <v>#DIV/0!</v>
      </c>
      <c r="H114" s="149"/>
      <c r="I114" s="151"/>
      <c r="J114" s="149">
        <f t="shared" si="107"/>
        <v>0</v>
      </c>
      <c r="K114" s="149" t="str">
        <f t="shared" si="110"/>
        <v/>
      </c>
      <c r="L114" s="152" t="str">
        <f t="shared" si="108"/>
        <v>#DIV/0!</v>
      </c>
      <c r="M114" s="308"/>
      <c r="N114" s="340">
        <f t="shared" si="109"/>
        <v>0</v>
      </c>
    </row>
    <row r="115">
      <c r="A115" s="62"/>
      <c r="B115" s="63"/>
      <c r="C115" s="62"/>
      <c r="D115" s="64" t="s">
        <v>19</v>
      </c>
      <c r="E115" s="64">
        <f t="shared" ref="E115:F115" si="111">sum(E108:E114)</f>
        <v>156714</v>
      </c>
      <c r="F115" s="64">
        <f t="shared" si="111"/>
        <v>157</v>
      </c>
      <c r="G115" s="65" t="str">
        <f>average(G108:G114)</f>
        <v>#DIV/0!</v>
      </c>
      <c r="H115" s="62"/>
      <c r="I115" s="66"/>
      <c r="J115" s="64">
        <f t="shared" ref="J115:K115" si="112">sum(J108:J114)</f>
        <v>0</v>
      </c>
      <c r="K115" s="64">
        <f t="shared" si="112"/>
        <v>84</v>
      </c>
      <c r="L115" s="65" t="str">
        <f>average(L108:L114)</f>
        <v>#DIV/0!</v>
      </c>
      <c r="M115" s="68"/>
      <c r="N115" s="341">
        <f>sum(N108:N114)</f>
        <v>2901380</v>
      </c>
    </row>
    <row r="116">
      <c r="A116" s="70">
        <v>45809.0</v>
      </c>
      <c r="B116" s="156" t="s">
        <v>27</v>
      </c>
      <c r="C116" s="89"/>
      <c r="D116" s="13"/>
      <c r="E116" s="38">
        <f t="shared" ref="E116:E123" si="113">D116-C116</f>
        <v>0</v>
      </c>
      <c r="F116" s="39">
        <v>67.0</v>
      </c>
      <c r="G116" s="14" t="str">
        <f t="shared" ref="G116:G123" si="114">(F116/E116)*100</f>
        <v>#DIV/0!</v>
      </c>
      <c r="H116" s="137"/>
      <c r="I116" s="138"/>
      <c r="J116" s="41">
        <f t="shared" ref="J116:J123" si="115">I116-H116</f>
        <v>0</v>
      </c>
      <c r="K116" s="41">
        <v>67.0</v>
      </c>
      <c r="L116" s="152" t="str">
        <f t="shared" ref="L116:L123" si="116">(K116/J116)*100</f>
        <v>#DIV/0!</v>
      </c>
      <c r="M116" s="72">
        <v>17130.0</v>
      </c>
      <c r="N116" s="336">
        <f t="shared" ref="N116:N122" si="117">F116*M116</f>
        <v>1147710</v>
      </c>
    </row>
    <row r="117">
      <c r="A117" s="70">
        <v>45813.0</v>
      </c>
      <c r="B117" s="156" t="s">
        <v>27</v>
      </c>
      <c r="C117" s="89"/>
      <c r="D117" s="13"/>
      <c r="E117" s="38">
        <f t="shared" si="113"/>
        <v>0</v>
      </c>
      <c r="F117" s="47">
        <v>63.0</v>
      </c>
      <c r="G117" s="14" t="str">
        <f t="shared" si="114"/>
        <v>#DIV/0!</v>
      </c>
      <c r="H117" s="40"/>
      <c r="I117" s="40"/>
      <c r="J117" s="37">
        <f t="shared" si="115"/>
        <v>0</v>
      </c>
      <c r="K117" s="37">
        <v>63.0</v>
      </c>
      <c r="L117" s="152" t="str">
        <f t="shared" si="116"/>
        <v>#DIV/0!</v>
      </c>
      <c r="M117" s="126">
        <v>17420.0</v>
      </c>
      <c r="N117" s="363">
        <f t="shared" si="117"/>
        <v>1097460</v>
      </c>
    </row>
    <row r="118">
      <c r="A118" s="154">
        <v>45818.0</v>
      </c>
      <c r="B118" s="156" t="s">
        <v>27</v>
      </c>
      <c r="C118" s="89"/>
      <c r="D118" s="89"/>
      <c r="E118" s="12">
        <f t="shared" si="113"/>
        <v>0</v>
      </c>
      <c r="F118" s="47">
        <v>67.0</v>
      </c>
      <c r="G118" s="14" t="str">
        <f t="shared" si="114"/>
        <v>#DIV/0!</v>
      </c>
      <c r="H118" s="37"/>
      <c r="I118" s="40"/>
      <c r="J118" s="37">
        <f t="shared" si="115"/>
        <v>0</v>
      </c>
      <c r="K118" s="37">
        <v>67.0</v>
      </c>
      <c r="L118" s="152" t="str">
        <f t="shared" si="116"/>
        <v>#DIV/0!</v>
      </c>
      <c r="M118" s="126">
        <v>17420.0</v>
      </c>
      <c r="N118" s="363">
        <f t="shared" si="117"/>
        <v>1167140</v>
      </c>
    </row>
    <row r="119">
      <c r="A119" s="154">
        <v>45822.0</v>
      </c>
      <c r="B119" s="156" t="s">
        <v>27</v>
      </c>
      <c r="C119" s="89"/>
      <c r="D119" s="89"/>
      <c r="E119" s="12">
        <f t="shared" si="113"/>
        <v>0</v>
      </c>
      <c r="F119" s="47">
        <v>64.0</v>
      </c>
      <c r="G119" s="14" t="str">
        <f t="shared" si="114"/>
        <v>#DIV/0!</v>
      </c>
      <c r="H119" s="37"/>
      <c r="I119" s="40"/>
      <c r="J119" s="37">
        <f t="shared" si="115"/>
        <v>0</v>
      </c>
      <c r="K119" s="37">
        <v>64.0</v>
      </c>
      <c r="L119" s="152" t="str">
        <f t="shared" si="116"/>
        <v>#DIV/0!</v>
      </c>
      <c r="M119" s="126">
        <v>17700.0</v>
      </c>
      <c r="N119" s="363">
        <f t="shared" si="117"/>
        <v>1132800</v>
      </c>
    </row>
    <row r="120">
      <c r="A120" s="154">
        <v>45827.0</v>
      </c>
      <c r="B120" s="156" t="s">
        <v>27</v>
      </c>
      <c r="C120" s="89"/>
      <c r="D120" s="89"/>
      <c r="E120" s="12">
        <f t="shared" si="113"/>
        <v>0</v>
      </c>
      <c r="F120" s="47">
        <v>69.0</v>
      </c>
      <c r="G120" s="14" t="str">
        <f t="shared" si="114"/>
        <v>#DIV/0!</v>
      </c>
      <c r="H120" s="37"/>
      <c r="I120" s="40"/>
      <c r="J120" s="37">
        <f t="shared" si="115"/>
        <v>0</v>
      </c>
      <c r="K120" s="37">
        <v>69.0</v>
      </c>
      <c r="L120" s="152" t="str">
        <f t="shared" si="116"/>
        <v>#DIV/0!</v>
      </c>
      <c r="M120" s="126">
        <v>19150.0</v>
      </c>
      <c r="N120" s="363">
        <f t="shared" si="117"/>
        <v>1321350</v>
      </c>
      <c r="O120" s="80">
        <f>17700-19150</f>
        <v>-1450</v>
      </c>
    </row>
    <row r="121">
      <c r="A121" s="154">
        <v>45832.0</v>
      </c>
      <c r="B121" s="156" t="s">
        <v>27</v>
      </c>
      <c r="C121" s="89"/>
      <c r="D121" s="158"/>
      <c r="E121" s="12">
        <f t="shared" si="113"/>
        <v>0</v>
      </c>
      <c r="F121" s="47">
        <v>62.0</v>
      </c>
      <c r="G121" s="14" t="str">
        <f t="shared" si="114"/>
        <v>#DIV/0!</v>
      </c>
      <c r="H121" s="37"/>
      <c r="I121" s="93"/>
      <c r="J121" s="37">
        <f t="shared" si="115"/>
        <v>0</v>
      </c>
      <c r="K121" s="37">
        <v>62.0</v>
      </c>
      <c r="L121" s="152" t="str">
        <f t="shared" si="116"/>
        <v>#DIV/0!</v>
      </c>
      <c r="M121" s="126">
        <v>19150.0</v>
      </c>
      <c r="N121" s="363">
        <f t="shared" si="117"/>
        <v>1187300</v>
      </c>
    </row>
    <row r="122">
      <c r="A122" s="154">
        <v>45836.0</v>
      </c>
      <c r="B122" s="156" t="s">
        <v>27</v>
      </c>
      <c r="C122" s="89"/>
      <c r="D122" s="158"/>
      <c r="E122" s="12">
        <f t="shared" si="113"/>
        <v>0</v>
      </c>
      <c r="F122" s="157">
        <v>68.0</v>
      </c>
      <c r="G122" s="14" t="str">
        <f t="shared" si="114"/>
        <v>#DIV/0!</v>
      </c>
      <c r="H122" s="89"/>
      <c r="I122" s="159"/>
      <c r="J122" s="89">
        <f t="shared" si="115"/>
        <v>0</v>
      </c>
      <c r="K122" s="89">
        <v>68.0</v>
      </c>
      <c r="L122" s="152" t="str">
        <f t="shared" si="116"/>
        <v>#DIV/0!</v>
      </c>
      <c r="M122" s="126">
        <v>19700.0</v>
      </c>
      <c r="N122" s="363">
        <f t="shared" si="117"/>
        <v>1339600</v>
      </c>
    </row>
    <row r="123">
      <c r="A123" s="148"/>
      <c r="B123" s="156" t="s">
        <v>27</v>
      </c>
      <c r="C123" s="149"/>
      <c r="D123" s="150"/>
      <c r="E123" s="25">
        <f t="shared" si="113"/>
        <v>0</v>
      </c>
      <c r="F123" s="161"/>
      <c r="G123" s="56" t="str">
        <f t="shared" si="114"/>
        <v>#DIV/0!</v>
      </c>
      <c r="H123" s="149"/>
      <c r="I123" s="151"/>
      <c r="J123" s="149">
        <f t="shared" si="115"/>
        <v>0</v>
      </c>
      <c r="K123" s="149"/>
      <c r="L123" s="152" t="str">
        <f t="shared" si="116"/>
        <v>#DIV/0!</v>
      </c>
      <c r="M123" s="153"/>
      <c r="N123" s="363">
        <f>M123*K123</f>
        <v>0</v>
      </c>
    </row>
    <row r="124">
      <c r="A124" s="62"/>
      <c r="B124" s="63"/>
      <c r="C124" s="62"/>
      <c r="D124" s="64" t="s">
        <v>19</v>
      </c>
      <c r="E124" s="64">
        <f t="shared" ref="E124:F124" si="118">sum(E116:E123)</f>
        <v>0</v>
      </c>
      <c r="F124" s="64">
        <f t="shared" si="118"/>
        <v>460</v>
      </c>
      <c r="G124" s="65" t="str">
        <f>average(G116:G123)</f>
        <v>#DIV/0!</v>
      </c>
      <c r="H124" s="62"/>
      <c r="I124" s="66"/>
      <c r="J124" s="64">
        <f t="shared" ref="J124:K124" si="119">sum(J116:J123)</f>
        <v>0</v>
      </c>
      <c r="K124" s="64">
        <f t="shared" si="119"/>
        <v>460</v>
      </c>
      <c r="L124" s="65" t="str">
        <f>average(L116:L123)</f>
        <v>#DIV/0!</v>
      </c>
      <c r="M124" s="68"/>
      <c r="N124" s="364">
        <f>sum(N116:N123)</f>
        <v>8393360</v>
      </c>
    </row>
    <row r="125">
      <c r="A125" s="70">
        <v>45814.0</v>
      </c>
      <c r="B125" s="156" t="s">
        <v>80</v>
      </c>
      <c r="C125" s="89"/>
      <c r="D125" s="13"/>
      <c r="E125" s="38">
        <f t="shared" ref="E125:E132" si="120">D125-C125</f>
        <v>0</v>
      </c>
      <c r="F125" s="39">
        <v>60.0</v>
      </c>
      <c r="G125" s="14" t="str">
        <f t="shared" ref="G125:G132" si="121">(F125/E125)*100</f>
        <v>#DIV/0!</v>
      </c>
      <c r="H125" s="137"/>
      <c r="I125" s="138"/>
      <c r="J125" s="41">
        <f t="shared" ref="J125:J132" si="122">I125-H125</f>
        <v>0</v>
      </c>
      <c r="K125" s="41">
        <v>60.0</v>
      </c>
      <c r="L125" s="152" t="str">
        <f t="shared" ref="L125:L132" si="123">(K125/J125)*100</f>
        <v>#DIV/0!</v>
      </c>
      <c r="M125" s="72">
        <v>17420.0</v>
      </c>
      <c r="N125" s="363">
        <f t="shared" ref="N125:N131" si="124">F125*M125</f>
        <v>1045200</v>
      </c>
    </row>
    <row r="126">
      <c r="A126" s="70">
        <v>45819.0</v>
      </c>
      <c r="B126" s="156" t="s">
        <v>80</v>
      </c>
      <c r="C126" s="89"/>
      <c r="D126" s="13"/>
      <c r="E126" s="38">
        <f t="shared" si="120"/>
        <v>0</v>
      </c>
      <c r="F126" s="47">
        <v>75.0</v>
      </c>
      <c r="G126" s="14" t="str">
        <f t="shared" si="121"/>
        <v>#DIV/0!</v>
      </c>
      <c r="H126" s="40"/>
      <c r="I126" s="40"/>
      <c r="J126" s="37">
        <f t="shared" si="122"/>
        <v>0</v>
      </c>
      <c r="K126" s="37">
        <v>75.0</v>
      </c>
      <c r="L126" s="152" t="str">
        <f t="shared" si="123"/>
        <v>#DIV/0!</v>
      </c>
      <c r="M126" s="126">
        <v>17420.0</v>
      </c>
      <c r="N126" s="363">
        <f t="shared" si="124"/>
        <v>1306500</v>
      </c>
    </row>
    <row r="127">
      <c r="A127" s="154">
        <v>45824.0</v>
      </c>
      <c r="B127" s="156" t="s">
        <v>80</v>
      </c>
      <c r="C127" s="89"/>
      <c r="D127" s="89"/>
      <c r="E127" s="12">
        <f t="shared" si="120"/>
        <v>0</v>
      </c>
      <c r="F127" s="157">
        <v>75.0</v>
      </c>
      <c r="G127" s="14" t="str">
        <f t="shared" si="121"/>
        <v>#DIV/0!</v>
      </c>
      <c r="H127" s="37"/>
      <c r="I127" s="40"/>
      <c r="J127" s="37">
        <f t="shared" si="122"/>
        <v>0</v>
      </c>
      <c r="K127" s="37">
        <v>75.0</v>
      </c>
      <c r="L127" s="152" t="str">
        <f t="shared" si="123"/>
        <v>#DIV/0!</v>
      </c>
      <c r="M127" s="126">
        <v>17700.0</v>
      </c>
      <c r="N127" s="363">
        <f t="shared" si="124"/>
        <v>1327500</v>
      </c>
    </row>
    <row r="128">
      <c r="A128" s="154">
        <v>45828.0</v>
      </c>
      <c r="B128" s="156" t="s">
        <v>80</v>
      </c>
      <c r="C128" s="89"/>
      <c r="D128" s="89"/>
      <c r="E128" s="12">
        <f t="shared" si="120"/>
        <v>0</v>
      </c>
      <c r="F128" s="157">
        <v>65.0</v>
      </c>
      <c r="G128" s="14" t="str">
        <f t="shared" si="121"/>
        <v>#DIV/0!</v>
      </c>
      <c r="H128" s="37"/>
      <c r="I128" s="40"/>
      <c r="J128" s="37">
        <f t="shared" si="122"/>
        <v>0</v>
      </c>
      <c r="K128" s="37">
        <v>65.0</v>
      </c>
      <c r="L128" s="152" t="str">
        <f t="shared" si="123"/>
        <v>#DIV/0!</v>
      </c>
      <c r="M128" s="126">
        <v>19150.0</v>
      </c>
      <c r="N128" s="363">
        <f t="shared" si="124"/>
        <v>1244750</v>
      </c>
    </row>
    <row r="129">
      <c r="A129" s="154">
        <v>45833.0</v>
      </c>
      <c r="B129" s="156" t="s">
        <v>80</v>
      </c>
      <c r="C129" s="89"/>
      <c r="D129" s="89"/>
      <c r="E129" s="12">
        <f t="shared" si="120"/>
        <v>0</v>
      </c>
      <c r="F129" s="157">
        <v>65.0</v>
      </c>
      <c r="G129" s="14" t="str">
        <f t="shared" si="121"/>
        <v>#DIV/0!</v>
      </c>
      <c r="H129" s="37"/>
      <c r="I129" s="40"/>
      <c r="J129" s="37">
        <f t="shared" si="122"/>
        <v>0</v>
      </c>
      <c r="K129" s="37">
        <v>65.0</v>
      </c>
      <c r="L129" s="152" t="str">
        <f t="shared" si="123"/>
        <v>#DIV/0!</v>
      </c>
      <c r="M129" s="126">
        <v>19150.0</v>
      </c>
      <c r="N129" s="363">
        <f t="shared" si="124"/>
        <v>1244750</v>
      </c>
    </row>
    <row r="130">
      <c r="A130" s="154">
        <v>45838.0</v>
      </c>
      <c r="B130" s="156" t="s">
        <v>80</v>
      </c>
      <c r="C130" s="89"/>
      <c r="D130" s="158"/>
      <c r="E130" s="12">
        <f t="shared" si="120"/>
        <v>0</v>
      </c>
      <c r="F130" s="157">
        <v>70.0</v>
      </c>
      <c r="G130" s="14" t="str">
        <f t="shared" si="121"/>
        <v>#DIV/0!</v>
      </c>
      <c r="H130" s="37"/>
      <c r="I130" s="93"/>
      <c r="J130" s="37">
        <f t="shared" si="122"/>
        <v>0</v>
      </c>
      <c r="K130" s="37">
        <v>70.0</v>
      </c>
      <c r="L130" s="152" t="str">
        <f t="shared" si="123"/>
        <v>#DIV/0!</v>
      </c>
      <c r="M130" s="126">
        <v>19700.0</v>
      </c>
      <c r="N130" s="363">
        <f t="shared" si="124"/>
        <v>1379000</v>
      </c>
    </row>
    <row r="131">
      <c r="A131" s="154"/>
      <c r="B131" s="156"/>
      <c r="C131" s="89"/>
      <c r="D131" s="158"/>
      <c r="E131" s="12">
        <f t="shared" si="120"/>
        <v>0</v>
      </c>
      <c r="F131" s="157"/>
      <c r="G131" s="14" t="str">
        <f t="shared" si="121"/>
        <v>#DIV/0!</v>
      </c>
      <c r="H131" s="89"/>
      <c r="I131" s="159"/>
      <c r="J131" s="89">
        <f t="shared" si="122"/>
        <v>0</v>
      </c>
      <c r="K131" s="89"/>
      <c r="L131" s="152" t="str">
        <f t="shared" si="123"/>
        <v>#DIV/0!</v>
      </c>
      <c r="M131" s="126"/>
      <c r="N131" s="363">
        <f t="shared" si="124"/>
        <v>0</v>
      </c>
    </row>
    <row r="132">
      <c r="A132" s="148"/>
      <c r="B132" s="156"/>
      <c r="C132" s="149"/>
      <c r="D132" s="150"/>
      <c r="E132" s="25">
        <f t="shared" si="120"/>
        <v>0</v>
      </c>
      <c r="F132" s="161"/>
      <c r="G132" s="56" t="str">
        <f t="shared" si="121"/>
        <v>#DIV/0!</v>
      </c>
      <c r="H132" s="149"/>
      <c r="I132" s="151"/>
      <c r="J132" s="149">
        <f t="shared" si="122"/>
        <v>0</v>
      </c>
      <c r="K132" s="149"/>
      <c r="L132" s="152" t="str">
        <f t="shared" si="123"/>
        <v>#DIV/0!</v>
      </c>
      <c r="M132" s="153"/>
      <c r="N132" s="363">
        <f>M132*K132</f>
        <v>0</v>
      </c>
    </row>
    <row r="133">
      <c r="A133" s="62"/>
      <c r="B133" s="63"/>
      <c r="C133" s="62"/>
      <c r="D133" s="64" t="s">
        <v>19</v>
      </c>
      <c r="E133" s="64">
        <f t="shared" ref="E133:F133" si="125">sum(E125:E132)</f>
        <v>0</v>
      </c>
      <c r="F133" s="64">
        <f t="shared" si="125"/>
        <v>410</v>
      </c>
      <c r="G133" s="65" t="str">
        <f>average(G125:G132)</f>
        <v>#DIV/0!</v>
      </c>
      <c r="H133" s="62"/>
      <c r="I133" s="66"/>
      <c r="J133" s="64">
        <f t="shared" ref="J133:K133" si="126">sum(J125:J132)</f>
        <v>0</v>
      </c>
      <c r="K133" s="64">
        <f t="shared" si="126"/>
        <v>410</v>
      </c>
      <c r="L133" s="65" t="str">
        <f>average(L125:L132)</f>
        <v>#DIV/0!</v>
      </c>
      <c r="M133" s="68"/>
      <c r="N133" s="364">
        <f>sum(N125:N132)</f>
        <v>7547700</v>
      </c>
    </row>
    <row r="134">
      <c r="A134" s="70">
        <v>45827.0</v>
      </c>
      <c r="B134" s="156" t="s">
        <v>43</v>
      </c>
      <c r="C134" s="89"/>
      <c r="D134" s="13"/>
      <c r="E134" s="38">
        <f t="shared" ref="E134:E141" si="127">D134-C134</f>
        <v>0</v>
      </c>
      <c r="F134" s="39">
        <v>75.0</v>
      </c>
      <c r="G134" s="14" t="str">
        <f t="shared" ref="G134:G141" si="128">(F134/E134)*100</f>
        <v>#DIV/0!</v>
      </c>
      <c r="H134" s="137"/>
      <c r="I134" s="138"/>
      <c r="J134" s="41">
        <f t="shared" ref="J134:J141" si="129">I134-H134</f>
        <v>0</v>
      </c>
      <c r="K134" s="41">
        <v>75.0</v>
      </c>
      <c r="L134" s="152" t="str">
        <f t="shared" ref="L134:L141" si="130">(K134/J134)*100</f>
        <v>#DIV/0!</v>
      </c>
      <c r="M134" s="72">
        <v>17700.0</v>
      </c>
      <c r="N134" s="363">
        <f t="shared" ref="N134:N140" si="131">F134*M134</f>
        <v>1327500</v>
      </c>
    </row>
    <row r="135">
      <c r="A135" s="70">
        <v>45833.0</v>
      </c>
      <c r="B135" s="156" t="s">
        <v>43</v>
      </c>
      <c r="C135" s="89"/>
      <c r="D135" s="13"/>
      <c r="E135" s="38">
        <f t="shared" si="127"/>
        <v>0</v>
      </c>
      <c r="F135" s="47">
        <v>71.0</v>
      </c>
      <c r="G135" s="14" t="str">
        <f t="shared" si="128"/>
        <v>#DIV/0!</v>
      </c>
      <c r="H135" s="40"/>
      <c r="I135" s="40"/>
      <c r="J135" s="37">
        <f t="shared" si="129"/>
        <v>0</v>
      </c>
      <c r="K135" s="37">
        <v>71.0</v>
      </c>
      <c r="L135" s="152" t="str">
        <f t="shared" si="130"/>
        <v>#DIV/0!</v>
      </c>
      <c r="M135" s="126">
        <v>19150.0</v>
      </c>
      <c r="N135" s="363">
        <f t="shared" si="131"/>
        <v>1359650</v>
      </c>
    </row>
    <row r="136">
      <c r="A136" s="154">
        <v>45838.0</v>
      </c>
      <c r="B136" s="156" t="s">
        <v>43</v>
      </c>
      <c r="C136" s="89"/>
      <c r="D136" s="89"/>
      <c r="E136" s="12">
        <f t="shared" si="127"/>
        <v>0</v>
      </c>
      <c r="F136" s="157">
        <v>60.0</v>
      </c>
      <c r="G136" s="14" t="str">
        <f t="shared" si="128"/>
        <v>#DIV/0!</v>
      </c>
      <c r="H136" s="37"/>
      <c r="I136" s="40"/>
      <c r="J136" s="37">
        <f t="shared" si="129"/>
        <v>0</v>
      </c>
      <c r="K136" s="37">
        <v>60.0</v>
      </c>
      <c r="L136" s="152" t="str">
        <f t="shared" si="130"/>
        <v>#DIV/0!</v>
      </c>
      <c r="M136" s="126">
        <v>19700.0</v>
      </c>
      <c r="N136" s="363">
        <f t="shared" si="131"/>
        <v>1182000</v>
      </c>
    </row>
    <row r="137">
      <c r="A137" s="154"/>
      <c r="B137" s="156" t="s">
        <v>43</v>
      </c>
      <c r="C137" s="89"/>
      <c r="D137" s="89"/>
      <c r="E137" s="12">
        <f t="shared" si="127"/>
        <v>0</v>
      </c>
      <c r="F137" s="157"/>
      <c r="G137" s="14" t="str">
        <f t="shared" si="128"/>
        <v>#DIV/0!</v>
      </c>
      <c r="H137" s="37"/>
      <c r="I137" s="40"/>
      <c r="J137" s="37">
        <f t="shared" si="129"/>
        <v>0</v>
      </c>
      <c r="K137" s="37"/>
      <c r="L137" s="152" t="str">
        <f t="shared" si="130"/>
        <v>#DIV/0!</v>
      </c>
      <c r="M137" s="126"/>
      <c r="N137" s="363">
        <f t="shared" si="131"/>
        <v>0</v>
      </c>
    </row>
    <row r="138">
      <c r="A138" s="154"/>
      <c r="B138" s="156" t="s">
        <v>43</v>
      </c>
      <c r="C138" s="89"/>
      <c r="D138" s="89"/>
      <c r="E138" s="12">
        <f t="shared" si="127"/>
        <v>0</v>
      </c>
      <c r="F138" s="157"/>
      <c r="G138" s="14" t="str">
        <f t="shared" si="128"/>
        <v>#DIV/0!</v>
      </c>
      <c r="H138" s="37"/>
      <c r="I138" s="40"/>
      <c r="J138" s="37">
        <f t="shared" si="129"/>
        <v>0</v>
      </c>
      <c r="K138" s="37"/>
      <c r="L138" s="152" t="str">
        <f t="shared" si="130"/>
        <v>#DIV/0!</v>
      </c>
      <c r="M138" s="126"/>
      <c r="N138" s="363">
        <f t="shared" si="131"/>
        <v>0</v>
      </c>
    </row>
    <row r="139">
      <c r="A139" s="154"/>
      <c r="B139" s="156" t="s">
        <v>43</v>
      </c>
      <c r="C139" s="89"/>
      <c r="D139" s="158"/>
      <c r="E139" s="12">
        <f t="shared" si="127"/>
        <v>0</v>
      </c>
      <c r="F139" s="157"/>
      <c r="G139" s="14" t="str">
        <f t="shared" si="128"/>
        <v>#DIV/0!</v>
      </c>
      <c r="H139" s="37"/>
      <c r="I139" s="93"/>
      <c r="J139" s="37">
        <f t="shared" si="129"/>
        <v>0</v>
      </c>
      <c r="K139" s="37"/>
      <c r="L139" s="152" t="str">
        <f t="shared" si="130"/>
        <v>#DIV/0!</v>
      </c>
      <c r="M139" s="126"/>
      <c r="N139" s="363">
        <f t="shared" si="131"/>
        <v>0</v>
      </c>
    </row>
    <row r="140">
      <c r="A140" s="154"/>
      <c r="B140" s="156" t="s">
        <v>43</v>
      </c>
      <c r="C140" s="89"/>
      <c r="D140" s="158"/>
      <c r="E140" s="12">
        <f t="shared" si="127"/>
        <v>0</v>
      </c>
      <c r="F140" s="157"/>
      <c r="G140" s="14" t="str">
        <f t="shared" si="128"/>
        <v>#DIV/0!</v>
      </c>
      <c r="H140" s="89"/>
      <c r="I140" s="159"/>
      <c r="J140" s="89">
        <f t="shared" si="129"/>
        <v>0</v>
      </c>
      <c r="K140" s="89"/>
      <c r="L140" s="152" t="str">
        <f t="shared" si="130"/>
        <v>#DIV/0!</v>
      </c>
      <c r="M140" s="126"/>
      <c r="N140" s="363">
        <f t="shared" si="131"/>
        <v>0</v>
      </c>
    </row>
    <row r="141">
      <c r="A141" s="148"/>
      <c r="B141" s="156"/>
      <c r="C141" s="149"/>
      <c r="D141" s="150"/>
      <c r="E141" s="25">
        <f t="shared" si="127"/>
        <v>0</v>
      </c>
      <c r="F141" s="161"/>
      <c r="G141" s="56" t="str">
        <f t="shared" si="128"/>
        <v>#DIV/0!</v>
      </c>
      <c r="H141" s="149"/>
      <c r="I141" s="151"/>
      <c r="J141" s="149">
        <f t="shared" si="129"/>
        <v>0</v>
      </c>
      <c r="K141" s="149"/>
      <c r="L141" s="152" t="str">
        <f t="shared" si="130"/>
        <v>#DIV/0!</v>
      </c>
      <c r="M141" s="153"/>
      <c r="N141" s="363">
        <f>M141*K141</f>
        <v>0</v>
      </c>
    </row>
    <row r="142">
      <c r="A142" s="62"/>
      <c r="B142" s="63"/>
      <c r="C142" s="62"/>
      <c r="D142" s="64" t="s">
        <v>19</v>
      </c>
      <c r="E142" s="64">
        <f t="shared" ref="E142:F142" si="132">sum(E134:E141)</f>
        <v>0</v>
      </c>
      <c r="F142" s="64">
        <f t="shared" si="132"/>
        <v>206</v>
      </c>
      <c r="G142" s="65" t="str">
        <f>average(G134:G141)</f>
        <v>#DIV/0!</v>
      </c>
      <c r="H142" s="62"/>
      <c r="I142" s="66"/>
      <c r="J142" s="64">
        <f t="shared" ref="J142:K142" si="133">sum(J134:J141)</f>
        <v>0</v>
      </c>
      <c r="K142" s="64">
        <f t="shared" si="133"/>
        <v>206</v>
      </c>
      <c r="L142" s="65" t="str">
        <f>average(L134:L141)</f>
        <v>#DIV/0!</v>
      </c>
      <c r="M142" s="68"/>
      <c r="N142" s="364">
        <f>sum(N134:N141)</f>
        <v>3869150</v>
      </c>
    </row>
    <row r="143">
      <c r="A143" s="70">
        <v>45817.0</v>
      </c>
      <c r="B143" s="156" t="s">
        <v>30</v>
      </c>
      <c r="C143" s="89"/>
      <c r="D143" s="13"/>
      <c r="E143" s="38">
        <f t="shared" ref="E143:E150" si="134">D143-C143</f>
        <v>0</v>
      </c>
      <c r="F143" s="39">
        <v>82.0</v>
      </c>
      <c r="G143" s="14" t="str">
        <f t="shared" ref="G143:G150" si="135">(F143/E143)*100</f>
        <v>#DIV/0!</v>
      </c>
      <c r="H143" s="137"/>
      <c r="I143" s="138"/>
      <c r="J143" s="41">
        <f t="shared" ref="J143:J150" si="136">I143-H143</f>
        <v>0</v>
      </c>
      <c r="K143" s="41">
        <v>82.0</v>
      </c>
      <c r="L143" s="152" t="str">
        <f t="shared" ref="L143:L150" si="137">(K143/J143)*100</f>
        <v>#DIV/0!</v>
      </c>
      <c r="M143" s="72">
        <v>17420.0</v>
      </c>
      <c r="N143" s="363">
        <f t="shared" ref="N143:N149" si="138">F143*M143</f>
        <v>1428440</v>
      </c>
    </row>
    <row r="144">
      <c r="A144" s="70">
        <v>45824.0</v>
      </c>
      <c r="B144" s="156" t="s">
        <v>30</v>
      </c>
      <c r="C144" s="89"/>
      <c r="D144" s="13"/>
      <c r="E144" s="38">
        <f t="shared" si="134"/>
        <v>0</v>
      </c>
      <c r="F144" s="47">
        <v>75.0</v>
      </c>
      <c r="G144" s="14" t="str">
        <f t="shared" si="135"/>
        <v>#DIV/0!</v>
      </c>
      <c r="H144" s="40"/>
      <c r="I144" s="40"/>
      <c r="J144" s="37">
        <f t="shared" si="136"/>
        <v>0</v>
      </c>
      <c r="K144" s="37">
        <v>75.0</v>
      </c>
      <c r="L144" s="152" t="str">
        <f t="shared" si="137"/>
        <v>#DIV/0!</v>
      </c>
      <c r="M144" s="126">
        <v>17700.0</v>
      </c>
      <c r="N144" s="363">
        <f t="shared" si="138"/>
        <v>1327500</v>
      </c>
    </row>
    <row r="145">
      <c r="A145" s="154">
        <v>45832.0</v>
      </c>
      <c r="B145" s="156" t="s">
        <v>30</v>
      </c>
      <c r="C145" s="89"/>
      <c r="D145" s="89"/>
      <c r="E145" s="12">
        <f t="shared" si="134"/>
        <v>0</v>
      </c>
      <c r="F145" s="157">
        <v>74.0</v>
      </c>
      <c r="G145" s="14" t="str">
        <f t="shared" si="135"/>
        <v>#DIV/0!</v>
      </c>
      <c r="H145" s="37"/>
      <c r="I145" s="40"/>
      <c r="J145" s="37">
        <f t="shared" si="136"/>
        <v>0</v>
      </c>
      <c r="K145" s="37">
        <v>74.0</v>
      </c>
      <c r="L145" s="152" t="str">
        <f t="shared" si="137"/>
        <v>#DIV/0!</v>
      </c>
      <c r="M145" s="126">
        <v>19150.0</v>
      </c>
      <c r="N145" s="363">
        <f t="shared" si="138"/>
        <v>1417100</v>
      </c>
    </row>
    <row r="146">
      <c r="A146" s="154">
        <v>45837.0</v>
      </c>
      <c r="B146" s="156" t="s">
        <v>30</v>
      </c>
      <c r="C146" s="89"/>
      <c r="D146" s="89"/>
      <c r="E146" s="12">
        <f t="shared" si="134"/>
        <v>0</v>
      </c>
      <c r="F146" s="157">
        <v>66.0</v>
      </c>
      <c r="G146" s="14" t="str">
        <f t="shared" si="135"/>
        <v>#DIV/0!</v>
      </c>
      <c r="H146" s="37"/>
      <c r="I146" s="40"/>
      <c r="J146" s="37">
        <f t="shared" si="136"/>
        <v>0</v>
      </c>
      <c r="K146" s="37">
        <v>66.0</v>
      </c>
      <c r="L146" s="152" t="str">
        <f t="shared" si="137"/>
        <v>#DIV/0!</v>
      </c>
      <c r="M146" s="126">
        <v>19700.0</v>
      </c>
      <c r="N146" s="363">
        <f t="shared" si="138"/>
        <v>1300200</v>
      </c>
    </row>
    <row r="147">
      <c r="A147" s="154"/>
      <c r="B147" s="156" t="s">
        <v>30</v>
      </c>
      <c r="C147" s="89"/>
      <c r="D147" s="89"/>
      <c r="E147" s="12">
        <f t="shared" si="134"/>
        <v>0</v>
      </c>
      <c r="F147" s="157"/>
      <c r="G147" s="14" t="str">
        <f t="shared" si="135"/>
        <v>#DIV/0!</v>
      </c>
      <c r="H147" s="37"/>
      <c r="I147" s="40"/>
      <c r="J147" s="37">
        <f t="shared" si="136"/>
        <v>0</v>
      </c>
      <c r="K147" s="37"/>
      <c r="L147" s="152" t="str">
        <f t="shared" si="137"/>
        <v>#DIV/0!</v>
      </c>
      <c r="M147" s="126"/>
      <c r="N147" s="363">
        <f t="shared" si="138"/>
        <v>0</v>
      </c>
    </row>
    <row r="148">
      <c r="A148" s="154"/>
      <c r="B148" s="156" t="s">
        <v>30</v>
      </c>
      <c r="C148" s="89"/>
      <c r="D148" s="158"/>
      <c r="E148" s="12">
        <f t="shared" si="134"/>
        <v>0</v>
      </c>
      <c r="F148" s="157"/>
      <c r="G148" s="14" t="str">
        <f t="shared" si="135"/>
        <v>#DIV/0!</v>
      </c>
      <c r="H148" s="37"/>
      <c r="I148" s="93"/>
      <c r="J148" s="37">
        <f t="shared" si="136"/>
        <v>0</v>
      </c>
      <c r="K148" s="37"/>
      <c r="L148" s="152" t="str">
        <f t="shared" si="137"/>
        <v>#DIV/0!</v>
      </c>
      <c r="M148" s="126"/>
      <c r="N148" s="363">
        <f t="shared" si="138"/>
        <v>0</v>
      </c>
    </row>
    <row r="149">
      <c r="A149" s="154"/>
      <c r="B149" s="156"/>
      <c r="C149" s="89"/>
      <c r="D149" s="158"/>
      <c r="E149" s="12">
        <f t="shared" si="134"/>
        <v>0</v>
      </c>
      <c r="F149" s="157"/>
      <c r="G149" s="14" t="str">
        <f t="shared" si="135"/>
        <v>#DIV/0!</v>
      </c>
      <c r="H149" s="89"/>
      <c r="I149" s="159"/>
      <c r="J149" s="89">
        <f t="shared" si="136"/>
        <v>0</v>
      </c>
      <c r="K149" s="89"/>
      <c r="L149" s="152" t="str">
        <f t="shared" si="137"/>
        <v>#DIV/0!</v>
      </c>
      <c r="M149" s="126"/>
      <c r="N149" s="363">
        <f t="shared" si="138"/>
        <v>0</v>
      </c>
    </row>
    <row r="150">
      <c r="A150" s="148"/>
      <c r="B150" s="156"/>
      <c r="C150" s="149"/>
      <c r="D150" s="150"/>
      <c r="E150" s="25">
        <f t="shared" si="134"/>
        <v>0</v>
      </c>
      <c r="F150" s="161"/>
      <c r="G150" s="56" t="str">
        <f t="shared" si="135"/>
        <v>#DIV/0!</v>
      </c>
      <c r="H150" s="149"/>
      <c r="I150" s="151"/>
      <c r="J150" s="149">
        <f t="shared" si="136"/>
        <v>0</v>
      </c>
      <c r="K150" s="149"/>
      <c r="L150" s="152" t="str">
        <f t="shared" si="137"/>
        <v>#DIV/0!</v>
      </c>
      <c r="M150" s="153"/>
      <c r="N150" s="363">
        <f>M150*K150</f>
        <v>0</v>
      </c>
      <c r="Q150" s="80">
        <f>14177285+21412980+24596850+40917350</f>
        <v>101104465</v>
      </c>
    </row>
    <row r="151">
      <c r="A151" s="62"/>
      <c r="B151" s="63"/>
      <c r="C151" s="62"/>
      <c r="D151" s="64" t="s">
        <v>19</v>
      </c>
      <c r="E151" s="64">
        <f t="shared" ref="E151:F151" si="139">sum(E143:E150)</f>
        <v>0</v>
      </c>
      <c r="F151" s="64">
        <f t="shared" si="139"/>
        <v>297</v>
      </c>
      <c r="G151" s="65" t="str">
        <f>average(G143:G150)</f>
        <v>#DIV/0!</v>
      </c>
      <c r="H151" s="62"/>
      <c r="I151" s="66"/>
      <c r="J151" s="64">
        <f t="shared" ref="J151:K151" si="140">sum(J143:J150)</f>
        <v>0</v>
      </c>
      <c r="K151" s="64">
        <f t="shared" si="140"/>
        <v>297</v>
      </c>
      <c r="L151" s="65" t="str">
        <f>average(L143:L150)</f>
        <v>#DIV/0!</v>
      </c>
      <c r="M151" s="68"/>
      <c r="N151" s="364">
        <f>sum(N143:N150)</f>
        <v>5473240</v>
      </c>
    </row>
    <row r="152">
      <c r="A152" s="198" t="s">
        <v>64</v>
      </c>
      <c r="B152" s="199"/>
      <c r="C152" s="199"/>
      <c r="D152" s="199"/>
      <c r="E152" s="199"/>
      <c r="F152" s="199"/>
      <c r="G152" s="199"/>
      <c r="H152" s="199"/>
      <c r="I152" s="199"/>
      <c r="J152" s="199"/>
      <c r="K152" s="199"/>
      <c r="L152" s="199"/>
      <c r="M152" s="334"/>
      <c r="N152" s="365">
        <f>N10+N18+N27+N35+N43+N52+N60+N68+N76+N84+N91+N99+N107+N124+N133+N142+N151+N115</f>
        <v>101104380</v>
      </c>
      <c r="Q152" s="197">
        <v>1.01104465E8</v>
      </c>
      <c r="R152" s="80">
        <f>Q152-Q153</f>
        <v>85</v>
      </c>
    </row>
    <row r="153">
      <c r="G153" s="168"/>
      <c r="L153" s="168"/>
      <c r="Q153" s="197">
        <v>1.0110438E8</v>
      </c>
    </row>
    <row r="154" ht="31.5" customHeight="1">
      <c r="D154" s="170" t="s">
        <v>45</v>
      </c>
      <c r="E154" s="171"/>
      <c r="G154" s="168"/>
      <c r="L154" s="168"/>
      <c r="Q154" s="197" t="s">
        <v>97</v>
      </c>
    </row>
    <row r="155">
      <c r="A155" s="248" t="s">
        <v>1</v>
      </c>
      <c r="B155" s="172" t="s">
        <v>2</v>
      </c>
      <c r="C155" s="166" t="s">
        <v>3</v>
      </c>
      <c r="D155" s="166" t="s">
        <v>4</v>
      </c>
      <c r="E155" s="166" t="s">
        <v>5</v>
      </c>
      <c r="F155" s="166" t="s">
        <v>6</v>
      </c>
      <c r="G155" s="173" t="s">
        <v>7</v>
      </c>
      <c r="H155" s="174" t="s">
        <v>8</v>
      </c>
      <c r="I155" s="175" t="s">
        <v>8</v>
      </c>
      <c r="J155" s="166" t="s">
        <v>5</v>
      </c>
      <c r="K155" s="166" t="s">
        <v>6</v>
      </c>
      <c r="L155" s="173" t="s">
        <v>7</v>
      </c>
      <c r="M155" s="166" t="s">
        <v>9</v>
      </c>
      <c r="N155" s="176" t="s">
        <v>10</v>
      </c>
    </row>
    <row r="156">
      <c r="A156" s="70">
        <v>45810.0</v>
      </c>
      <c r="B156" s="156" t="s">
        <v>46</v>
      </c>
      <c r="C156" s="13"/>
      <c r="D156" s="13"/>
      <c r="E156" s="12"/>
      <c r="F156" s="39"/>
      <c r="G156" s="14"/>
      <c r="H156" s="89"/>
      <c r="I156" s="138"/>
      <c r="J156" s="41"/>
      <c r="K156" s="41">
        <v>449.5</v>
      </c>
      <c r="L156" s="152" t="str">
        <f t="shared" ref="L156:L160" si="141">(K156/J156)*100</f>
        <v>#DIV/0!</v>
      </c>
      <c r="M156" s="72">
        <v>17130.0</v>
      </c>
      <c r="N156" s="366">
        <f>M156*K156</f>
        <v>7699935</v>
      </c>
    </row>
    <row r="157">
      <c r="A157" s="70">
        <v>45824.0</v>
      </c>
      <c r="B157" s="156" t="s">
        <v>46</v>
      </c>
      <c r="C157" s="13"/>
      <c r="D157" s="13"/>
      <c r="E157" s="12">
        <f t="shared" ref="E157:E160" si="142">D157-C157</f>
        <v>0</v>
      </c>
      <c r="F157" s="39"/>
      <c r="G157" s="14" t="str">
        <f t="shared" ref="G157:G160" si="143">(F157/E157)*100</f>
        <v>#DIV/0!</v>
      </c>
      <c r="H157" s="89">
        <v>1780.0</v>
      </c>
      <c r="I157" s="138">
        <v>2671.0</v>
      </c>
      <c r="J157" s="41">
        <f t="shared" ref="J157:J160" si="144">I157-H157</f>
        <v>891</v>
      </c>
      <c r="K157" s="41" t="str">
        <f t="shared" ref="K157:K160" si="145">F157</f>
        <v/>
      </c>
      <c r="L157" s="152">
        <f t="shared" si="141"/>
        <v>0</v>
      </c>
      <c r="M157" s="72"/>
      <c r="N157" s="366">
        <v>7080000.0</v>
      </c>
    </row>
    <row r="158">
      <c r="A158" s="154"/>
      <c r="B158" s="156" t="s">
        <v>46</v>
      </c>
      <c r="C158" s="89"/>
      <c r="D158" s="89"/>
      <c r="E158" s="12">
        <f t="shared" si="142"/>
        <v>0</v>
      </c>
      <c r="F158" s="157"/>
      <c r="G158" s="14" t="str">
        <f t="shared" si="143"/>
        <v>#DIV/0!</v>
      </c>
      <c r="H158" s="89"/>
      <c r="I158" s="137"/>
      <c r="J158" s="89">
        <f t="shared" si="144"/>
        <v>0</v>
      </c>
      <c r="K158" s="89" t="str">
        <f t="shared" si="145"/>
        <v/>
      </c>
      <c r="L158" s="152" t="str">
        <f t="shared" si="141"/>
        <v>#DIV/0!</v>
      </c>
      <c r="M158" s="126"/>
      <c r="N158" s="367"/>
    </row>
    <row r="159">
      <c r="A159" s="154"/>
      <c r="B159" s="156" t="s">
        <v>46</v>
      </c>
      <c r="C159" s="89"/>
      <c r="D159" s="89"/>
      <c r="E159" s="12">
        <f t="shared" si="142"/>
        <v>0</v>
      </c>
      <c r="F159" s="157"/>
      <c r="G159" s="14" t="str">
        <f t="shared" si="143"/>
        <v>#DIV/0!</v>
      </c>
      <c r="H159" s="89"/>
      <c r="I159" s="137"/>
      <c r="J159" s="89">
        <f t="shared" si="144"/>
        <v>0</v>
      </c>
      <c r="K159" s="89" t="str">
        <f t="shared" si="145"/>
        <v/>
      </c>
      <c r="L159" s="152" t="str">
        <f t="shared" si="141"/>
        <v>#DIV/0!</v>
      </c>
      <c r="M159" s="126"/>
      <c r="N159" s="367">
        <f t="shared" ref="N159:N160" si="146">F159*M159</f>
        <v>0</v>
      </c>
    </row>
    <row r="160">
      <c r="A160" s="154"/>
      <c r="B160" s="156"/>
      <c r="C160" s="89"/>
      <c r="D160" s="89"/>
      <c r="E160" s="12">
        <f t="shared" si="142"/>
        <v>0</v>
      </c>
      <c r="F160" s="157"/>
      <c r="G160" s="14" t="str">
        <f t="shared" si="143"/>
        <v>#DIV/0!</v>
      </c>
      <c r="H160" s="89"/>
      <c r="I160" s="137"/>
      <c r="J160" s="89">
        <f t="shared" si="144"/>
        <v>0</v>
      </c>
      <c r="K160" s="89" t="str">
        <f t="shared" si="145"/>
        <v/>
      </c>
      <c r="L160" s="152" t="str">
        <f t="shared" si="141"/>
        <v>#DIV/0!</v>
      </c>
      <c r="M160" s="126"/>
      <c r="N160" s="367">
        <f t="shared" si="146"/>
        <v>0</v>
      </c>
    </row>
    <row r="161">
      <c r="A161" s="62"/>
      <c r="B161" s="63"/>
      <c r="C161" s="62"/>
      <c r="D161" s="64" t="s">
        <v>19</v>
      </c>
      <c r="E161" s="64">
        <f t="shared" ref="E161:F161" si="147">sum(E156:E160)</f>
        <v>0</v>
      </c>
      <c r="F161" s="64">
        <f t="shared" si="147"/>
        <v>0</v>
      </c>
      <c r="G161" s="65" t="str">
        <f>average(G156:G160)</f>
        <v>#DIV/0!</v>
      </c>
      <c r="H161" s="62"/>
      <c r="I161" s="66"/>
      <c r="J161" s="64">
        <f t="shared" ref="J161:K161" si="148">sum(J156:J160)</f>
        <v>891</v>
      </c>
      <c r="K161" s="64">
        <f t="shared" si="148"/>
        <v>449.5</v>
      </c>
      <c r="L161" s="65" t="str">
        <f>average(L156:L160)</f>
        <v>#DIV/0!</v>
      </c>
      <c r="M161" s="68"/>
      <c r="N161" s="368">
        <f>sum(N156:N160)</f>
        <v>14779935</v>
      </c>
    </row>
    <row r="162">
      <c r="A162" s="154">
        <v>45818.0</v>
      </c>
      <c r="B162" s="156" t="s">
        <v>53</v>
      </c>
      <c r="C162" s="89">
        <v>484310.0</v>
      </c>
      <c r="D162" s="89">
        <v>484880.0</v>
      </c>
      <c r="E162" s="12">
        <f t="shared" ref="E162:E165" si="149">D162-C162</f>
        <v>570</v>
      </c>
      <c r="F162" s="157">
        <v>198.62</v>
      </c>
      <c r="G162" s="14">
        <f t="shared" ref="G162:G165" si="150">(F162/E162)*100</f>
        <v>34.84561404</v>
      </c>
      <c r="H162" s="89"/>
      <c r="I162" s="137"/>
      <c r="J162" s="89">
        <f t="shared" ref="J162:J165" si="151">I162-H162</f>
        <v>0</v>
      </c>
      <c r="K162" s="89">
        <f t="shared" ref="K162:K165" si="152">F162</f>
        <v>198.62</v>
      </c>
      <c r="L162" s="152" t="str">
        <f t="shared" ref="L162:L165" si="153">(K162/J162)*100</f>
        <v>#DIV/0!</v>
      </c>
      <c r="M162" s="126">
        <v>17420.0</v>
      </c>
      <c r="N162" s="367">
        <f t="shared" ref="N162:N165" si="154">F162*M162</f>
        <v>3459960.4</v>
      </c>
    </row>
    <row r="163">
      <c r="A163" s="154">
        <v>45821.0</v>
      </c>
      <c r="B163" s="156" t="s">
        <v>53</v>
      </c>
      <c r="C163" s="89">
        <v>484880.0</v>
      </c>
      <c r="D163" s="89">
        <v>485570.0</v>
      </c>
      <c r="E163" s="12">
        <f t="shared" si="149"/>
        <v>690</v>
      </c>
      <c r="F163" s="157">
        <v>200.0</v>
      </c>
      <c r="G163" s="14">
        <f t="shared" si="150"/>
        <v>28.98550725</v>
      </c>
      <c r="H163" s="89"/>
      <c r="I163" s="137"/>
      <c r="J163" s="89">
        <f t="shared" si="151"/>
        <v>0</v>
      </c>
      <c r="K163" s="89">
        <f t="shared" si="152"/>
        <v>200</v>
      </c>
      <c r="L163" s="152" t="str">
        <f t="shared" si="153"/>
        <v>#DIV/0!</v>
      </c>
      <c r="M163" s="126">
        <v>17700.0</v>
      </c>
      <c r="N163" s="369">
        <f t="shared" si="154"/>
        <v>3540000</v>
      </c>
    </row>
    <row r="164">
      <c r="A164" s="154">
        <v>45829.0</v>
      </c>
      <c r="B164" s="156" t="s">
        <v>53</v>
      </c>
      <c r="C164" s="89">
        <v>485570.0</v>
      </c>
      <c r="D164" s="89">
        <v>486480.0</v>
      </c>
      <c r="E164" s="12">
        <f t="shared" si="149"/>
        <v>910</v>
      </c>
      <c r="F164" s="157">
        <v>292.44</v>
      </c>
      <c r="G164" s="14">
        <f t="shared" si="150"/>
        <v>32.13626374</v>
      </c>
      <c r="H164" s="89"/>
      <c r="I164" s="137"/>
      <c r="J164" s="89">
        <f t="shared" si="151"/>
        <v>0</v>
      </c>
      <c r="K164" s="89">
        <f t="shared" si="152"/>
        <v>292.44</v>
      </c>
      <c r="L164" s="152" t="str">
        <f t="shared" si="153"/>
        <v>#DIV/0!</v>
      </c>
      <c r="M164" s="126">
        <v>19150.0</v>
      </c>
      <c r="N164" s="367">
        <f t="shared" si="154"/>
        <v>5600226</v>
      </c>
    </row>
    <row r="165">
      <c r="A165" s="154">
        <v>45835.0</v>
      </c>
      <c r="B165" s="156" t="s">
        <v>53</v>
      </c>
      <c r="C165" s="89">
        <v>486480.0</v>
      </c>
      <c r="D165" s="89">
        <v>487450.0</v>
      </c>
      <c r="E165" s="12">
        <f t="shared" si="149"/>
        <v>970</v>
      </c>
      <c r="F165" s="157">
        <v>300.0</v>
      </c>
      <c r="G165" s="14">
        <f t="shared" si="150"/>
        <v>30.92783505</v>
      </c>
      <c r="H165" s="89"/>
      <c r="I165" s="137"/>
      <c r="J165" s="89">
        <f t="shared" si="151"/>
        <v>0</v>
      </c>
      <c r="K165" s="89">
        <f t="shared" si="152"/>
        <v>300</v>
      </c>
      <c r="L165" s="152" t="str">
        <f t="shared" si="153"/>
        <v>#DIV/0!</v>
      </c>
      <c r="M165" s="126">
        <v>19700.0</v>
      </c>
      <c r="N165" s="370">
        <f t="shared" si="154"/>
        <v>5910000</v>
      </c>
    </row>
    <row r="166">
      <c r="A166" s="62"/>
      <c r="B166" s="63"/>
      <c r="C166" s="62"/>
      <c r="D166" s="64" t="s">
        <v>19</v>
      </c>
      <c r="E166" s="64">
        <f t="shared" ref="E166:F166" si="155">sum(E162:E165)</f>
        <v>3140</v>
      </c>
      <c r="F166" s="64">
        <f t="shared" si="155"/>
        <v>991.06</v>
      </c>
      <c r="G166" s="65">
        <f>average(G162:G165)</f>
        <v>31.72380502</v>
      </c>
      <c r="H166" s="62"/>
      <c r="I166" s="66"/>
      <c r="J166" s="64">
        <f t="shared" ref="J166:K166" si="156">sum(J162:J165)</f>
        <v>0</v>
      </c>
      <c r="K166" s="64">
        <f t="shared" si="156"/>
        <v>991.06</v>
      </c>
      <c r="L166" s="65" t="str">
        <f>average(L162:L165)</f>
        <v>#DIV/0!</v>
      </c>
      <c r="M166" s="68"/>
      <c r="N166" s="368">
        <f>sum(N162:N165)</f>
        <v>18510186.4</v>
      </c>
    </row>
    <row r="167">
      <c r="A167" s="70">
        <v>45813.0</v>
      </c>
      <c r="B167" s="156" t="s">
        <v>48</v>
      </c>
      <c r="C167" s="89">
        <v>451074.0</v>
      </c>
      <c r="D167" s="13"/>
      <c r="E167" s="38">
        <f t="shared" ref="E167:E171" si="157">D167-C167</f>
        <v>-451074</v>
      </c>
      <c r="F167" s="157"/>
      <c r="G167" s="14">
        <f t="shared" ref="G167:G171" si="158">(F167/E167)*100</f>
        <v>0</v>
      </c>
      <c r="H167" s="89"/>
      <c r="I167" s="138"/>
      <c r="J167" s="41">
        <f t="shared" ref="J167:J171" si="159">I167-H167</f>
        <v>0</v>
      </c>
      <c r="K167" s="41">
        <v>303.156</v>
      </c>
      <c r="L167" s="152" t="str">
        <f t="shared" ref="L167:L171" si="160">(K167/J167)*100</f>
        <v>#DIV/0!</v>
      </c>
      <c r="M167" s="72">
        <v>17130.0</v>
      </c>
      <c r="N167" s="371">
        <f>K167*M167</f>
        <v>5193062.28</v>
      </c>
    </row>
    <row r="168">
      <c r="A168" s="154">
        <v>45832.0</v>
      </c>
      <c r="B168" s="156" t="s">
        <v>48</v>
      </c>
      <c r="C168" s="89"/>
      <c r="D168" s="89"/>
      <c r="E168" s="12">
        <f t="shared" si="157"/>
        <v>0</v>
      </c>
      <c r="F168" s="157"/>
      <c r="G168" s="14" t="str">
        <f t="shared" si="158"/>
        <v>#DIV/0!</v>
      </c>
      <c r="H168" s="89"/>
      <c r="I168" s="137"/>
      <c r="J168" s="89">
        <f t="shared" si="159"/>
        <v>0</v>
      </c>
      <c r="K168" s="89" t="str">
        <f t="shared" ref="K168:K171" si="161">F168</f>
        <v/>
      </c>
      <c r="L168" s="152" t="str">
        <f t="shared" si="160"/>
        <v>#DIV/0!</v>
      </c>
      <c r="M168" s="126"/>
      <c r="N168" s="372">
        <v>5550000.0</v>
      </c>
    </row>
    <row r="169">
      <c r="A169" s="154"/>
      <c r="B169" s="156" t="s">
        <v>48</v>
      </c>
      <c r="C169" s="89"/>
      <c r="D169" s="89"/>
      <c r="E169" s="12">
        <f t="shared" si="157"/>
        <v>0</v>
      </c>
      <c r="F169" s="157"/>
      <c r="G169" s="14" t="str">
        <f t="shared" si="158"/>
        <v>#DIV/0!</v>
      </c>
      <c r="H169" s="89"/>
      <c r="I169" s="137"/>
      <c r="J169" s="89">
        <f t="shared" si="159"/>
        <v>0</v>
      </c>
      <c r="K169" s="89" t="str">
        <f t="shared" si="161"/>
        <v/>
      </c>
      <c r="L169" s="152" t="str">
        <f t="shared" si="160"/>
        <v>#DIV/0!</v>
      </c>
      <c r="M169" s="126"/>
      <c r="N169" s="367">
        <f t="shared" ref="N169:N171" si="162">F169*M169</f>
        <v>0</v>
      </c>
    </row>
    <row r="170">
      <c r="A170" s="154"/>
      <c r="B170" s="156" t="s">
        <v>48</v>
      </c>
      <c r="C170" s="89"/>
      <c r="D170" s="89"/>
      <c r="E170" s="12">
        <f t="shared" si="157"/>
        <v>0</v>
      </c>
      <c r="F170" s="157"/>
      <c r="G170" s="14" t="str">
        <f t="shared" si="158"/>
        <v>#DIV/0!</v>
      </c>
      <c r="H170" s="89"/>
      <c r="I170" s="137"/>
      <c r="J170" s="89">
        <f t="shared" si="159"/>
        <v>0</v>
      </c>
      <c r="K170" s="89" t="str">
        <f t="shared" si="161"/>
        <v/>
      </c>
      <c r="L170" s="152" t="str">
        <f t="shared" si="160"/>
        <v>#DIV/0!</v>
      </c>
      <c r="M170" s="126"/>
      <c r="N170" s="367">
        <f t="shared" si="162"/>
        <v>0</v>
      </c>
    </row>
    <row r="171">
      <c r="A171" s="154"/>
      <c r="B171" s="156"/>
      <c r="C171" s="89"/>
      <c r="D171" s="89"/>
      <c r="E171" s="12">
        <f t="shared" si="157"/>
        <v>0</v>
      </c>
      <c r="F171" s="157"/>
      <c r="G171" s="14" t="str">
        <f t="shared" si="158"/>
        <v>#DIV/0!</v>
      </c>
      <c r="H171" s="89"/>
      <c r="I171" s="137"/>
      <c r="J171" s="89">
        <f t="shared" si="159"/>
        <v>0</v>
      </c>
      <c r="K171" s="89" t="str">
        <f t="shared" si="161"/>
        <v/>
      </c>
      <c r="L171" s="152" t="str">
        <f t="shared" si="160"/>
        <v>#DIV/0!</v>
      </c>
      <c r="M171" s="126"/>
      <c r="N171" s="367">
        <f t="shared" si="162"/>
        <v>0</v>
      </c>
    </row>
    <row r="172">
      <c r="A172" s="62"/>
      <c r="B172" s="63"/>
      <c r="C172" s="62"/>
      <c r="D172" s="64" t="s">
        <v>19</v>
      </c>
      <c r="E172" s="64">
        <f t="shared" ref="E172:F172" si="163">sum(E167:E171)</f>
        <v>-451074</v>
      </c>
      <c r="F172" s="64">
        <f t="shared" si="163"/>
        <v>0</v>
      </c>
      <c r="G172" s="65" t="str">
        <f>average(G167:G171)</f>
        <v>#DIV/0!</v>
      </c>
      <c r="H172" s="62"/>
      <c r="I172" s="66"/>
      <c r="J172" s="64">
        <f t="shared" ref="J172:K172" si="164">sum(J167:J171)</f>
        <v>0</v>
      </c>
      <c r="K172" s="64">
        <f t="shared" si="164"/>
        <v>303.156</v>
      </c>
      <c r="L172" s="65" t="str">
        <f>average(L167:L171)</f>
        <v>#DIV/0!</v>
      </c>
      <c r="M172" s="68"/>
      <c r="N172" s="368">
        <f>sum(N167:N171)</f>
        <v>10743062.28</v>
      </c>
    </row>
    <row r="173">
      <c r="A173" s="70">
        <v>45813.0</v>
      </c>
      <c r="B173" s="156" t="s">
        <v>49</v>
      </c>
      <c r="C173" s="89"/>
      <c r="D173" s="13"/>
      <c r="E173" s="38">
        <f t="shared" ref="E173:E177" si="165">D173-C173</f>
        <v>0</v>
      </c>
      <c r="F173" s="39"/>
      <c r="G173" s="14" t="str">
        <f t="shared" ref="G173:G177" si="166">(F173/E173)*100</f>
        <v>#DIV/0!</v>
      </c>
      <c r="H173" s="89"/>
      <c r="I173" s="138"/>
      <c r="J173" s="41">
        <f t="shared" ref="J173:J177" si="167">I173-H173</f>
        <v>0</v>
      </c>
      <c r="K173" s="41" t="str">
        <f t="shared" ref="K173:K177" si="168">F173</f>
        <v/>
      </c>
      <c r="L173" s="152" t="str">
        <f t="shared" ref="L173:L177" si="169">(K173/J173)*100</f>
        <v>#DIV/0!</v>
      </c>
      <c r="M173" s="72"/>
      <c r="N173" s="366">
        <v>4000000.0</v>
      </c>
    </row>
    <row r="174">
      <c r="A174" s="154">
        <v>45833.0</v>
      </c>
      <c r="B174" s="156" t="s">
        <v>49</v>
      </c>
      <c r="C174" s="89"/>
      <c r="D174" s="89"/>
      <c r="E174" s="12">
        <f t="shared" si="165"/>
        <v>0</v>
      </c>
      <c r="F174" s="157"/>
      <c r="G174" s="14" t="str">
        <f t="shared" si="166"/>
        <v>#DIV/0!</v>
      </c>
      <c r="H174" s="89"/>
      <c r="I174" s="137"/>
      <c r="J174" s="89">
        <f t="shared" si="167"/>
        <v>0</v>
      </c>
      <c r="K174" s="89" t="str">
        <f t="shared" si="168"/>
        <v/>
      </c>
      <c r="L174" s="152" t="str">
        <f t="shared" si="169"/>
        <v>#DIV/0!</v>
      </c>
      <c r="M174" s="126"/>
      <c r="N174" s="372">
        <v>4600000.0</v>
      </c>
    </row>
    <row r="175">
      <c r="A175" s="154"/>
      <c r="B175" s="156" t="s">
        <v>49</v>
      </c>
      <c r="C175" s="89"/>
      <c r="D175" s="89"/>
      <c r="E175" s="12">
        <f t="shared" si="165"/>
        <v>0</v>
      </c>
      <c r="F175" s="157"/>
      <c r="G175" s="14" t="str">
        <f t="shared" si="166"/>
        <v>#DIV/0!</v>
      </c>
      <c r="H175" s="89"/>
      <c r="I175" s="137"/>
      <c r="J175" s="89">
        <f t="shared" si="167"/>
        <v>0</v>
      </c>
      <c r="K175" s="89" t="str">
        <f t="shared" si="168"/>
        <v/>
      </c>
      <c r="L175" s="152" t="str">
        <f t="shared" si="169"/>
        <v>#DIV/0!</v>
      </c>
      <c r="M175" s="126"/>
      <c r="N175" s="367">
        <f t="shared" ref="N175:N177" si="170">F175*M175</f>
        <v>0</v>
      </c>
    </row>
    <row r="176">
      <c r="A176" s="154"/>
      <c r="B176" s="156" t="s">
        <v>49</v>
      </c>
      <c r="C176" s="89"/>
      <c r="D176" s="89"/>
      <c r="E176" s="12">
        <f t="shared" si="165"/>
        <v>0</v>
      </c>
      <c r="F176" s="157"/>
      <c r="G176" s="14" t="str">
        <f t="shared" si="166"/>
        <v>#DIV/0!</v>
      </c>
      <c r="H176" s="89"/>
      <c r="I176" s="137"/>
      <c r="J176" s="89">
        <f t="shared" si="167"/>
        <v>0</v>
      </c>
      <c r="K176" s="89" t="str">
        <f t="shared" si="168"/>
        <v/>
      </c>
      <c r="L176" s="152" t="str">
        <f t="shared" si="169"/>
        <v>#DIV/0!</v>
      </c>
      <c r="M176" s="126"/>
      <c r="N176" s="367">
        <f t="shared" si="170"/>
        <v>0</v>
      </c>
    </row>
    <row r="177">
      <c r="A177" s="154"/>
      <c r="B177" s="156"/>
      <c r="C177" s="89"/>
      <c r="D177" s="89"/>
      <c r="E177" s="12">
        <f t="shared" si="165"/>
        <v>0</v>
      </c>
      <c r="F177" s="157"/>
      <c r="G177" s="14" t="str">
        <f t="shared" si="166"/>
        <v>#DIV/0!</v>
      </c>
      <c r="H177" s="89"/>
      <c r="I177" s="137"/>
      <c r="J177" s="89">
        <f t="shared" si="167"/>
        <v>0</v>
      </c>
      <c r="K177" s="89" t="str">
        <f t="shared" si="168"/>
        <v/>
      </c>
      <c r="L177" s="152" t="str">
        <f t="shared" si="169"/>
        <v>#DIV/0!</v>
      </c>
      <c r="M177" s="126"/>
      <c r="N177" s="367">
        <f t="shared" si="170"/>
        <v>0</v>
      </c>
    </row>
    <row r="178">
      <c r="A178" s="62"/>
      <c r="B178" s="63"/>
      <c r="C178" s="62"/>
      <c r="D178" s="64" t="s">
        <v>19</v>
      </c>
      <c r="E178" s="64">
        <f t="shared" ref="E178:F178" si="171">sum(E173:E177)</f>
        <v>0</v>
      </c>
      <c r="F178" s="64">
        <f t="shared" si="171"/>
        <v>0</v>
      </c>
      <c r="G178" s="65" t="str">
        <f>average(G173:G177)</f>
        <v>#DIV/0!</v>
      </c>
      <c r="H178" s="62"/>
      <c r="I178" s="66"/>
      <c r="J178" s="64">
        <f t="shared" ref="J178:K178" si="172">sum(J173:J177)</f>
        <v>0</v>
      </c>
      <c r="K178" s="64">
        <f t="shared" si="172"/>
        <v>0</v>
      </c>
      <c r="L178" s="65" t="str">
        <f>average(L173:L177)</f>
        <v>#DIV/0!</v>
      </c>
      <c r="M178" s="68"/>
      <c r="N178" s="368">
        <f>sum(N173:N177)</f>
        <v>8600000</v>
      </c>
    </row>
    <row r="179">
      <c r="A179" s="70">
        <v>45812.0</v>
      </c>
      <c r="B179" s="156" t="s">
        <v>50</v>
      </c>
      <c r="C179" s="89"/>
      <c r="D179" s="13"/>
      <c r="E179" s="38"/>
      <c r="F179" s="39"/>
      <c r="G179" s="14" t="str">
        <f t="shared" ref="G179:G183" si="173">(F179/E179)*100</f>
        <v>#DIV/0!</v>
      </c>
      <c r="H179" s="89"/>
      <c r="I179" s="138"/>
      <c r="J179" s="41">
        <f t="shared" ref="J179:J183" si="174">I179-H179</f>
        <v>0</v>
      </c>
      <c r="K179" s="41">
        <v>204.32</v>
      </c>
      <c r="L179" s="152" t="str">
        <f t="shared" ref="L179:L183" si="175">(K179/J179)*100</f>
        <v>#DIV/0!</v>
      </c>
      <c r="M179" s="72">
        <v>17130.0</v>
      </c>
      <c r="N179" s="366">
        <f>M179*K179</f>
        <v>3500001.6</v>
      </c>
    </row>
    <row r="180">
      <c r="A180" s="154">
        <v>45829.0</v>
      </c>
      <c r="B180" s="156" t="s">
        <v>50</v>
      </c>
      <c r="C180" s="89"/>
      <c r="D180" s="89"/>
      <c r="E180" s="12">
        <f t="shared" ref="E180:E183" si="176">D180-C180</f>
        <v>0</v>
      </c>
      <c r="F180" s="157"/>
      <c r="G180" s="14" t="str">
        <f t="shared" si="173"/>
        <v>#DIV/0!</v>
      </c>
      <c r="H180" s="89"/>
      <c r="I180" s="137"/>
      <c r="J180" s="89">
        <f t="shared" si="174"/>
        <v>0</v>
      </c>
      <c r="K180" s="89"/>
      <c r="L180" s="152" t="str">
        <f t="shared" si="175"/>
        <v>#DIV/0!</v>
      </c>
      <c r="M180" s="126"/>
      <c r="N180" s="366">
        <v>4300000.0</v>
      </c>
    </row>
    <row r="181">
      <c r="A181" s="154"/>
      <c r="B181" s="156" t="s">
        <v>50</v>
      </c>
      <c r="C181" s="89"/>
      <c r="D181" s="89"/>
      <c r="E181" s="12">
        <f t="shared" si="176"/>
        <v>0</v>
      </c>
      <c r="F181" s="157"/>
      <c r="G181" s="14" t="str">
        <f t="shared" si="173"/>
        <v>#DIV/0!</v>
      </c>
      <c r="H181" s="89"/>
      <c r="I181" s="137"/>
      <c r="J181" s="89">
        <f t="shared" si="174"/>
        <v>0</v>
      </c>
      <c r="K181" s="89" t="str">
        <f t="shared" ref="K181:K183" si="177">F181</f>
        <v/>
      </c>
      <c r="L181" s="152" t="str">
        <f t="shared" si="175"/>
        <v>#DIV/0!</v>
      </c>
      <c r="M181" s="126"/>
      <c r="N181" s="367">
        <f t="shared" ref="N181:N183" si="178">F181*M181</f>
        <v>0</v>
      </c>
    </row>
    <row r="182">
      <c r="A182" s="154"/>
      <c r="B182" s="156" t="s">
        <v>50</v>
      </c>
      <c r="C182" s="89"/>
      <c r="D182" s="89"/>
      <c r="E182" s="12">
        <f t="shared" si="176"/>
        <v>0</v>
      </c>
      <c r="F182" s="157"/>
      <c r="G182" s="14" t="str">
        <f t="shared" si="173"/>
        <v>#DIV/0!</v>
      </c>
      <c r="H182" s="89"/>
      <c r="I182" s="137"/>
      <c r="J182" s="89">
        <f t="shared" si="174"/>
        <v>0</v>
      </c>
      <c r="K182" s="89" t="str">
        <f t="shared" si="177"/>
        <v/>
      </c>
      <c r="L182" s="152" t="str">
        <f t="shared" si="175"/>
        <v>#DIV/0!</v>
      </c>
      <c r="M182" s="126"/>
      <c r="N182" s="367">
        <f t="shared" si="178"/>
        <v>0</v>
      </c>
    </row>
    <row r="183">
      <c r="A183" s="154"/>
      <c r="B183" s="156" t="s">
        <v>50</v>
      </c>
      <c r="C183" s="89"/>
      <c r="D183" s="89"/>
      <c r="E183" s="12">
        <f t="shared" si="176"/>
        <v>0</v>
      </c>
      <c r="F183" s="157"/>
      <c r="G183" s="14" t="str">
        <f t="shared" si="173"/>
        <v>#DIV/0!</v>
      </c>
      <c r="H183" s="89"/>
      <c r="I183" s="137"/>
      <c r="J183" s="89">
        <f t="shared" si="174"/>
        <v>0</v>
      </c>
      <c r="K183" s="89" t="str">
        <f t="shared" si="177"/>
        <v/>
      </c>
      <c r="L183" s="152" t="str">
        <f t="shared" si="175"/>
        <v>#DIV/0!</v>
      </c>
      <c r="M183" s="126"/>
      <c r="N183" s="367">
        <f t="shared" si="178"/>
        <v>0</v>
      </c>
    </row>
    <row r="184">
      <c r="A184" s="62"/>
      <c r="B184" s="63"/>
      <c r="C184" s="62"/>
      <c r="D184" s="64" t="s">
        <v>19</v>
      </c>
      <c r="E184" s="64">
        <f t="shared" ref="E184:F184" si="179">sum(E179:E183)</f>
        <v>0</v>
      </c>
      <c r="F184" s="64">
        <f t="shared" si="179"/>
        <v>0</v>
      </c>
      <c r="G184" s="65" t="str">
        <f>average(G179:G183)</f>
        <v>#DIV/0!</v>
      </c>
      <c r="H184" s="62"/>
      <c r="I184" s="66"/>
      <c r="J184" s="64">
        <f t="shared" ref="J184:K184" si="180">sum(J179:J183)</f>
        <v>0</v>
      </c>
      <c r="K184" s="64">
        <f t="shared" si="180"/>
        <v>204.32</v>
      </c>
      <c r="L184" s="65" t="str">
        <f>average(L179:L183)</f>
        <v>#DIV/0!</v>
      </c>
      <c r="M184" s="68"/>
      <c r="N184" s="368">
        <f>sum(N179:N183)</f>
        <v>7800001.6</v>
      </c>
    </row>
    <row r="185">
      <c r="A185" s="70">
        <v>45811.0</v>
      </c>
      <c r="B185" s="156" t="s">
        <v>51</v>
      </c>
      <c r="C185" s="89"/>
      <c r="D185" s="13"/>
      <c r="E185" s="38"/>
      <c r="F185" s="39"/>
      <c r="G185" s="14" t="str">
        <f t="shared" ref="G185:G189" si="181">(F185/E185)*100</f>
        <v>#DIV/0!</v>
      </c>
      <c r="H185" s="89"/>
      <c r="I185" s="138"/>
      <c r="J185" s="41">
        <f t="shared" ref="J185:J189" si="182">I185-H185</f>
        <v>0</v>
      </c>
      <c r="K185" s="41">
        <v>136.78</v>
      </c>
      <c r="L185" s="152" t="str">
        <f t="shared" ref="L185:L189" si="183">(K185/J185)*100</f>
        <v>#DIV/0!</v>
      </c>
      <c r="M185" s="72">
        <v>17130.0</v>
      </c>
      <c r="N185" s="366">
        <f>M185*K185</f>
        <v>2343041.4</v>
      </c>
    </row>
    <row r="186">
      <c r="A186" s="154">
        <v>45820.0</v>
      </c>
      <c r="B186" s="156" t="s">
        <v>51</v>
      </c>
      <c r="C186" s="89"/>
      <c r="D186" s="89"/>
      <c r="E186" s="12">
        <f t="shared" ref="E186:E189" si="184">D186-C186</f>
        <v>0</v>
      </c>
      <c r="F186" s="157"/>
      <c r="G186" s="14" t="str">
        <f t="shared" si="181"/>
        <v>#DIV/0!</v>
      </c>
      <c r="H186" s="89"/>
      <c r="I186" s="137"/>
      <c r="J186" s="89">
        <f t="shared" si="182"/>
        <v>0</v>
      </c>
      <c r="K186" s="89" t="str">
        <f t="shared" ref="K186:K189" si="185">F186</f>
        <v/>
      </c>
      <c r="L186" s="152" t="str">
        <f t="shared" si="183"/>
        <v>#DIV/0!</v>
      </c>
      <c r="M186" s="126"/>
      <c r="N186" s="366">
        <v>2380000.0</v>
      </c>
    </row>
    <row r="187">
      <c r="A187" s="154">
        <v>45832.0</v>
      </c>
      <c r="B187" s="156" t="s">
        <v>51</v>
      </c>
      <c r="C187" s="89"/>
      <c r="D187" s="89"/>
      <c r="E187" s="12">
        <f t="shared" si="184"/>
        <v>0</v>
      </c>
      <c r="F187" s="157"/>
      <c r="G187" s="14" t="str">
        <f t="shared" si="181"/>
        <v>#DIV/0!</v>
      </c>
      <c r="H187" s="89"/>
      <c r="I187" s="137"/>
      <c r="J187" s="89">
        <f t="shared" si="182"/>
        <v>0</v>
      </c>
      <c r="K187" s="89" t="str">
        <f t="shared" si="185"/>
        <v/>
      </c>
      <c r="L187" s="152" t="str">
        <f t="shared" si="183"/>
        <v>#DIV/0!</v>
      </c>
      <c r="M187" s="126"/>
      <c r="N187" s="366">
        <v>2935000.0</v>
      </c>
    </row>
    <row r="188">
      <c r="A188" s="154"/>
      <c r="B188" s="156" t="s">
        <v>51</v>
      </c>
      <c r="C188" s="89"/>
      <c r="D188" s="89"/>
      <c r="E188" s="12">
        <f t="shared" si="184"/>
        <v>0</v>
      </c>
      <c r="F188" s="157"/>
      <c r="G188" s="14" t="str">
        <f t="shared" si="181"/>
        <v>#DIV/0!</v>
      </c>
      <c r="H188" s="89"/>
      <c r="I188" s="137"/>
      <c r="J188" s="89">
        <f t="shared" si="182"/>
        <v>0</v>
      </c>
      <c r="K188" s="89" t="str">
        <f t="shared" si="185"/>
        <v/>
      </c>
      <c r="L188" s="152" t="str">
        <f t="shared" si="183"/>
        <v>#DIV/0!</v>
      </c>
      <c r="M188" s="126"/>
      <c r="N188" s="366">
        <f>M188*F188</f>
        <v>0</v>
      </c>
    </row>
    <row r="189">
      <c r="A189" s="154"/>
      <c r="B189" s="156"/>
      <c r="C189" s="89"/>
      <c r="D189" s="89"/>
      <c r="E189" s="12">
        <f t="shared" si="184"/>
        <v>0</v>
      </c>
      <c r="F189" s="157"/>
      <c r="G189" s="14" t="str">
        <f t="shared" si="181"/>
        <v>#DIV/0!</v>
      </c>
      <c r="H189" s="89"/>
      <c r="I189" s="137"/>
      <c r="J189" s="89">
        <f t="shared" si="182"/>
        <v>0</v>
      </c>
      <c r="K189" s="89" t="str">
        <f t="shared" si="185"/>
        <v/>
      </c>
      <c r="L189" s="152" t="str">
        <f t="shared" si="183"/>
        <v>#DIV/0!</v>
      </c>
      <c r="M189" s="126"/>
      <c r="N189" s="367">
        <f>F189*M189</f>
        <v>0</v>
      </c>
    </row>
    <row r="190">
      <c r="A190" s="62"/>
      <c r="B190" s="63"/>
      <c r="C190" s="62"/>
      <c r="D190" s="64" t="s">
        <v>19</v>
      </c>
      <c r="E190" s="64">
        <f t="shared" ref="E190:F190" si="186">sum(E185:E189)</f>
        <v>0</v>
      </c>
      <c r="F190" s="64">
        <f t="shared" si="186"/>
        <v>0</v>
      </c>
      <c r="G190" s="65" t="str">
        <f>average(G185:G189)</f>
        <v>#DIV/0!</v>
      </c>
      <c r="H190" s="62"/>
      <c r="I190" s="66"/>
      <c r="J190" s="64">
        <f t="shared" ref="J190:K190" si="187">sum(J185:J189)</f>
        <v>0</v>
      </c>
      <c r="K190" s="64">
        <f t="shared" si="187"/>
        <v>136.78</v>
      </c>
      <c r="L190" s="65" t="str">
        <f>average(L185:L189)</f>
        <v>#DIV/0!</v>
      </c>
      <c r="M190" s="68"/>
      <c r="N190" s="368">
        <f>sum(N185:N189)</f>
        <v>7658041.4</v>
      </c>
    </row>
    <row r="191">
      <c r="A191" s="70">
        <v>45811.0</v>
      </c>
      <c r="B191" s="156" t="s">
        <v>91</v>
      </c>
      <c r="C191" s="89"/>
      <c r="D191" s="13"/>
      <c r="E191" s="38">
        <f t="shared" ref="E191:E195" si="188">D191-C191</f>
        <v>0</v>
      </c>
      <c r="F191" s="39"/>
      <c r="G191" s="14" t="str">
        <f t="shared" ref="G191:G195" si="189">(F191/E191)*100</f>
        <v>#DIV/0!</v>
      </c>
      <c r="H191" s="89"/>
      <c r="I191" s="138"/>
      <c r="J191" s="41">
        <f t="shared" ref="J191:J195" si="190">I191-H191</f>
        <v>0</v>
      </c>
      <c r="K191" s="41" t="str">
        <f t="shared" ref="K191:K195" si="191">F191</f>
        <v/>
      </c>
      <c r="L191" s="152" t="str">
        <f t="shared" ref="L191:L195" si="192">(K191/J191)*100</f>
        <v>#DIV/0!</v>
      </c>
      <c r="M191" s="72"/>
      <c r="N191" s="366">
        <v>8500000.0</v>
      </c>
    </row>
    <row r="192">
      <c r="A192" s="154">
        <v>45825.0</v>
      </c>
      <c r="B192" s="156" t="s">
        <v>91</v>
      </c>
      <c r="C192" s="89"/>
      <c r="D192" s="89"/>
      <c r="E192" s="12">
        <f t="shared" si="188"/>
        <v>0</v>
      </c>
      <c r="F192" s="157"/>
      <c r="G192" s="14" t="str">
        <f t="shared" si="189"/>
        <v>#DIV/0!</v>
      </c>
      <c r="H192" s="89"/>
      <c r="I192" s="137"/>
      <c r="J192" s="89">
        <f t="shared" si="190"/>
        <v>0</v>
      </c>
      <c r="K192" s="89" t="str">
        <f t="shared" si="191"/>
        <v/>
      </c>
      <c r="L192" s="152" t="str">
        <f t="shared" si="192"/>
        <v>#DIV/0!</v>
      </c>
      <c r="M192" s="126"/>
      <c r="N192" s="372">
        <v>7000000.0</v>
      </c>
    </row>
    <row r="193">
      <c r="A193" s="154">
        <v>45835.0</v>
      </c>
      <c r="B193" s="156" t="s">
        <v>91</v>
      </c>
      <c r="C193" s="89"/>
      <c r="D193" s="89"/>
      <c r="E193" s="12">
        <f t="shared" si="188"/>
        <v>0</v>
      </c>
      <c r="F193" s="157"/>
      <c r="G193" s="14" t="str">
        <f t="shared" si="189"/>
        <v>#DIV/0!</v>
      </c>
      <c r="H193" s="89"/>
      <c r="I193" s="137"/>
      <c r="J193" s="89">
        <f t="shared" si="190"/>
        <v>0</v>
      </c>
      <c r="K193" s="89" t="str">
        <f t="shared" si="191"/>
        <v/>
      </c>
      <c r="L193" s="152" t="str">
        <f t="shared" si="192"/>
        <v>#DIV/0!</v>
      </c>
      <c r="M193" s="126"/>
      <c r="N193" s="367">
        <v>2000000.0</v>
      </c>
    </row>
    <row r="194">
      <c r="A194" s="154"/>
      <c r="B194" s="156" t="s">
        <v>91</v>
      </c>
      <c r="C194" s="89"/>
      <c r="D194" s="89"/>
      <c r="E194" s="12">
        <f t="shared" si="188"/>
        <v>0</v>
      </c>
      <c r="F194" s="157"/>
      <c r="G194" s="14" t="str">
        <f t="shared" si="189"/>
        <v>#DIV/0!</v>
      </c>
      <c r="H194" s="89"/>
      <c r="I194" s="137"/>
      <c r="J194" s="89">
        <f t="shared" si="190"/>
        <v>0</v>
      </c>
      <c r="K194" s="89" t="str">
        <f t="shared" si="191"/>
        <v/>
      </c>
      <c r="L194" s="152" t="str">
        <f t="shared" si="192"/>
        <v>#DIV/0!</v>
      </c>
      <c r="M194" s="126"/>
      <c r="N194" s="367">
        <f t="shared" ref="N194:N195" si="193">F194*M194</f>
        <v>0</v>
      </c>
    </row>
    <row r="195">
      <c r="A195" s="154"/>
      <c r="B195" s="156"/>
      <c r="C195" s="89"/>
      <c r="D195" s="89"/>
      <c r="E195" s="12">
        <f t="shared" si="188"/>
        <v>0</v>
      </c>
      <c r="F195" s="157"/>
      <c r="G195" s="14" t="str">
        <f t="shared" si="189"/>
        <v>#DIV/0!</v>
      </c>
      <c r="H195" s="89"/>
      <c r="I195" s="137"/>
      <c r="J195" s="89">
        <f t="shared" si="190"/>
        <v>0</v>
      </c>
      <c r="K195" s="89" t="str">
        <f t="shared" si="191"/>
        <v/>
      </c>
      <c r="L195" s="152" t="str">
        <f t="shared" si="192"/>
        <v>#DIV/0!</v>
      </c>
      <c r="M195" s="126"/>
      <c r="N195" s="367">
        <f t="shared" si="193"/>
        <v>0</v>
      </c>
    </row>
    <row r="196">
      <c r="A196" s="62"/>
      <c r="B196" s="63"/>
      <c r="C196" s="62"/>
      <c r="D196" s="64"/>
      <c r="E196" s="64">
        <f t="shared" ref="E196:F196" si="194">sum(E191:E195)</f>
        <v>0</v>
      </c>
      <c r="F196" s="64">
        <f t="shared" si="194"/>
        <v>0</v>
      </c>
      <c r="G196" s="65" t="str">
        <f>average(G191:G195)</f>
        <v>#DIV/0!</v>
      </c>
      <c r="H196" s="62"/>
      <c r="I196" s="66"/>
      <c r="J196" s="64">
        <f t="shared" ref="J196:K196" si="195">sum(J191:J195)</f>
        <v>0</v>
      </c>
      <c r="K196" s="64">
        <f t="shared" si="195"/>
        <v>0</v>
      </c>
      <c r="L196" s="65" t="str">
        <f>average(L191:L195)</f>
        <v>#DIV/0!</v>
      </c>
      <c r="M196" s="68"/>
      <c r="N196" s="368">
        <f>sum(N191:N195)</f>
        <v>17500000</v>
      </c>
    </row>
    <row r="197">
      <c r="A197" s="70">
        <v>45818.0</v>
      </c>
      <c r="B197" s="156" t="s">
        <v>54</v>
      </c>
      <c r="C197" s="89"/>
      <c r="D197" s="13"/>
      <c r="E197" s="38">
        <f t="shared" ref="E197:E202" si="196">D197-C197</f>
        <v>0</v>
      </c>
      <c r="F197" s="39"/>
      <c r="G197" s="14" t="str">
        <f t="shared" ref="G197:G202" si="197">(F197/E197)*100</f>
        <v>#DIV/0!</v>
      </c>
      <c r="H197" s="89"/>
      <c r="I197" s="138"/>
      <c r="J197" s="41">
        <f t="shared" ref="J197:J202" si="198">I197-H197</f>
        <v>0</v>
      </c>
      <c r="K197" s="41">
        <v>287.03</v>
      </c>
      <c r="L197" s="152" t="str">
        <f t="shared" ref="L197:L202" si="199">(K197/J197)*100</f>
        <v>#DIV/0!</v>
      </c>
      <c r="M197" s="72">
        <v>17420.0</v>
      </c>
      <c r="N197" s="366">
        <f>M197*K197</f>
        <v>5000062.6</v>
      </c>
    </row>
    <row r="198">
      <c r="A198" s="70">
        <v>45824.0</v>
      </c>
      <c r="B198" s="156" t="s">
        <v>54</v>
      </c>
      <c r="C198" s="89"/>
      <c r="D198" s="89"/>
      <c r="E198" s="12">
        <f t="shared" si="196"/>
        <v>0</v>
      </c>
      <c r="F198" s="157"/>
      <c r="G198" s="14" t="str">
        <f t="shared" si="197"/>
        <v>#DIV/0!</v>
      </c>
      <c r="H198" s="89"/>
      <c r="I198" s="137"/>
      <c r="J198" s="89">
        <f t="shared" si="198"/>
        <v>0</v>
      </c>
      <c r="K198" s="89" t="str">
        <f t="shared" ref="K198:K202" si="200">F198</f>
        <v/>
      </c>
      <c r="L198" s="152" t="str">
        <f t="shared" si="199"/>
        <v>#DIV/0!</v>
      </c>
      <c r="M198" s="126"/>
      <c r="N198" s="366">
        <v>5000000.0</v>
      </c>
    </row>
    <row r="199">
      <c r="A199" s="154">
        <v>45826.0</v>
      </c>
      <c r="B199" s="156" t="s">
        <v>54</v>
      </c>
      <c r="C199" s="89"/>
      <c r="D199" s="89"/>
      <c r="E199" s="12">
        <f t="shared" si="196"/>
        <v>0</v>
      </c>
      <c r="F199" s="157"/>
      <c r="G199" s="14" t="str">
        <f t="shared" si="197"/>
        <v>#DIV/0!</v>
      </c>
      <c r="H199" s="89"/>
      <c r="I199" s="137"/>
      <c r="J199" s="89">
        <f t="shared" si="198"/>
        <v>0</v>
      </c>
      <c r="K199" s="89" t="str">
        <f t="shared" si="200"/>
        <v/>
      </c>
      <c r="L199" s="152" t="str">
        <f t="shared" si="199"/>
        <v>#DIV/0!</v>
      </c>
      <c r="M199" s="126"/>
      <c r="N199" s="367">
        <v>5000000.0</v>
      </c>
    </row>
    <row r="200">
      <c r="A200" s="154">
        <v>45829.0</v>
      </c>
      <c r="B200" s="156" t="s">
        <v>54</v>
      </c>
      <c r="C200" s="89"/>
      <c r="D200" s="89"/>
      <c r="E200" s="12">
        <f t="shared" si="196"/>
        <v>0</v>
      </c>
      <c r="F200" s="157"/>
      <c r="G200" s="14" t="str">
        <f t="shared" si="197"/>
        <v>#DIV/0!</v>
      </c>
      <c r="H200" s="89"/>
      <c r="I200" s="137"/>
      <c r="J200" s="89">
        <f t="shared" si="198"/>
        <v>0</v>
      </c>
      <c r="K200" s="89" t="str">
        <f t="shared" si="200"/>
        <v/>
      </c>
      <c r="L200" s="152" t="str">
        <f t="shared" si="199"/>
        <v>#DIV/0!</v>
      </c>
      <c r="M200" s="126"/>
      <c r="N200" s="367">
        <v>5000000.0</v>
      </c>
    </row>
    <row r="201">
      <c r="A201" s="154">
        <v>45834.0</v>
      </c>
      <c r="B201" s="156" t="s">
        <v>54</v>
      </c>
      <c r="C201" s="89"/>
      <c r="D201" s="89"/>
      <c r="E201" s="12">
        <f t="shared" si="196"/>
        <v>0</v>
      </c>
      <c r="F201" s="157"/>
      <c r="G201" s="14" t="str">
        <f t="shared" si="197"/>
        <v>#DIV/0!</v>
      </c>
      <c r="H201" s="89"/>
      <c r="I201" s="137"/>
      <c r="J201" s="89">
        <f t="shared" si="198"/>
        <v>0</v>
      </c>
      <c r="K201" s="89" t="str">
        <f t="shared" si="200"/>
        <v/>
      </c>
      <c r="L201" s="152" t="str">
        <f t="shared" si="199"/>
        <v>#DIV/0!</v>
      </c>
      <c r="M201" s="126"/>
      <c r="N201" s="367">
        <v>7000000.0</v>
      </c>
    </row>
    <row r="202">
      <c r="A202" s="154"/>
      <c r="B202" s="156" t="s">
        <v>54</v>
      </c>
      <c r="C202" s="89"/>
      <c r="D202" s="89"/>
      <c r="E202" s="12">
        <f t="shared" si="196"/>
        <v>0</v>
      </c>
      <c r="F202" s="157"/>
      <c r="G202" s="14" t="str">
        <f t="shared" si="197"/>
        <v>#DIV/0!</v>
      </c>
      <c r="H202" s="89"/>
      <c r="I202" s="137"/>
      <c r="J202" s="89">
        <f t="shared" si="198"/>
        <v>0</v>
      </c>
      <c r="K202" s="89" t="str">
        <f t="shared" si="200"/>
        <v/>
      </c>
      <c r="L202" s="152" t="str">
        <f t="shared" si="199"/>
        <v>#DIV/0!</v>
      </c>
      <c r="M202" s="126"/>
      <c r="N202" s="367"/>
    </row>
    <row r="203">
      <c r="A203" s="154"/>
      <c r="B203" s="156" t="s">
        <v>54</v>
      </c>
      <c r="C203" s="89"/>
      <c r="D203" s="89"/>
      <c r="E203" s="12"/>
      <c r="F203" s="157"/>
      <c r="G203" s="14"/>
      <c r="H203" s="89"/>
      <c r="I203" s="137"/>
      <c r="J203" s="89"/>
      <c r="K203" s="89"/>
      <c r="L203" s="152"/>
      <c r="M203" s="126"/>
      <c r="N203" s="367"/>
    </row>
    <row r="204">
      <c r="A204" s="154"/>
      <c r="B204" s="156" t="s">
        <v>54</v>
      </c>
      <c r="C204" s="89"/>
      <c r="D204" s="89"/>
      <c r="E204" s="12">
        <f>D204-C204</f>
        <v>0</v>
      </c>
      <c r="F204" s="157"/>
      <c r="G204" s="14" t="str">
        <f>(F204/E204)*100</f>
        <v>#DIV/0!</v>
      </c>
      <c r="H204" s="89"/>
      <c r="I204" s="137"/>
      <c r="J204" s="89">
        <f>I204-H204</f>
        <v>0</v>
      </c>
      <c r="K204" s="89" t="str">
        <f>F204</f>
        <v/>
      </c>
      <c r="L204" s="152" t="str">
        <f>(K204/J204)*100</f>
        <v>#DIV/0!</v>
      </c>
      <c r="M204" s="126"/>
      <c r="N204" s="367"/>
    </row>
    <row r="205">
      <c r="A205" s="62"/>
      <c r="B205" s="63"/>
      <c r="C205" s="62"/>
      <c r="D205" s="64" t="s">
        <v>19</v>
      </c>
      <c r="E205" s="64">
        <f t="shared" ref="E205:F205" si="201">sum(E197:E204)</f>
        <v>0</v>
      </c>
      <c r="F205" s="64">
        <f t="shared" si="201"/>
        <v>0</v>
      </c>
      <c r="G205" s="65" t="str">
        <f>average(G197:G204)</f>
        <v>#DIV/0!</v>
      </c>
      <c r="H205" s="62"/>
      <c r="I205" s="66"/>
      <c r="J205" s="64">
        <f t="shared" ref="J205:K205" si="202">sum(J197:J204)</f>
        <v>0</v>
      </c>
      <c r="K205" s="64">
        <f t="shared" si="202"/>
        <v>287.03</v>
      </c>
      <c r="L205" s="65" t="str">
        <f>average(L197:L204)</f>
        <v>#DIV/0!</v>
      </c>
      <c r="M205" s="68"/>
      <c r="N205" s="368">
        <f>sum(N197:N204)</f>
        <v>27000062.6</v>
      </c>
    </row>
    <row r="206">
      <c r="A206" s="70">
        <v>45812.0</v>
      </c>
      <c r="B206" s="156" t="s">
        <v>69</v>
      </c>
      <c r="C206" s="89"/>
      <c r="D206" s="13"/>
      <c r="E206" s="38">
        <f t="shared" ref="E206:E209" si="203">D206-C206</f>
        <v>0</v>
      </c>
      <c r="F206" s="39"/>
      <c r="G206" s="14" t="str">
        <f t="shared" ref="G206:G209" si="204">(F206/E206)*100</f>
        <v>#DIV/0!</v>
      </c>
      <c r="H206" s="89"/>
      <c r="I206" s="138"/>
      <c r="J206" s="41">
        <f t="shared" ref="J206:J209" si="205">I206-H206</f>
        <v>0</v>
      </c>
      <c r="K206" s="41">
        <v>326.91</v>
      </c>
      <c r="L206" s="152" t="str">
        <f t="shared" ref="L206:L209" si="206">(K206/J206)*100</f>
        <v>#DIV/0!</v>
      </c>
      <c r="M206" s="72">
        <v>17130.0</v>
      </c>
      <c r="N206" s="366">
        <f>M206*K206</f>
        <v>5599968.3</v>
      </c>
    </row>
    <row r="207">
      <c r="A207" s="154">
        <v>45828.0</v>
      </c>
      <c r="B207" s="156" t="s">
        <v>69</v>
      </c>
      <c r="C207" s="89"/>
      <c r="D207" s="89"/>
      <c r="E207" s="12">
        <f t="shared" si="203"/>
        <v>0</v>
      </c>
      <c r="F207" s="157"/>
      <c r="G207" s="14" t="str">
        <f t="shared" si="204"/>
        <v>#DIV/0!</v>
      </c>
      <c r="H207" s="89"/>
      <c r="I207" s="137"/>
      <c r="J207" s="89">
        <f t="shared" si="205"/>
        <v>0</v>
      </c>
      <c r="K207" s="89" t="str">
        <f t="shared" ref="K207:K209" si="207">F207</f>
        <v/>
      </c>
      <c r="L207" s="152" t="str">
        <f t="shared" si="206"/>
        <v>#DIV/0!</v>
      </c>
      <c r="M207" s="126"/>
      <c r="N207" s="372">
        <v>6500000.0</v>
      </c>
    </row>
    <row r="208">
      <c r="A208" s="154"/>
      <c r="B208" s="156" t="s">
        <v>69</v>
      </c>
      <c r="C208" s="89"/>
      <c r="D208" s="89"/>
      <c r="E208" s="12">
        <f t="shared" si="203"/>
        <v>0</v>
      </c>
      <c r="F208" s="157"/>
      <c r="G208" s="14" t="str">
        <f t="shared" si="204"/>
        <v>#DIV/0!</v>
      </c>
      <c r="H208" s="89"/>
      <c r="I208" s="137"/>
      <c r="J208" s="89">
        <f t="shared" si="205"/>
        <v>0</v>
      </c>
      <c r="K208" s="89" t="str">
        <f t="shared" si="207"/>
        <v/>
      </c>
      <c r="L208" s="152" t="str">
        <f t="shared" si="206"/>
        <v>#DIV/0!</v>
      </c>
      <c r="M208" s="126"/>
      <c r="N208" s="367"/>
    </row>
    <row r="209">
      <c r="A209" s="154"/>
      <c r="B209" s="156" t="s">
        <v>69</v>
      </c>
      <c r="C209" s="89"/>
      <c r="D209" s="89"/>
      <c r="E209" s="12">
        <f t="shared" si="203"/>
        <v>0</v>
      </c>
      <c r="F209" s="157"/>
      <c r="G209" s="14" t="str">
        <f t="shared" si="204"/>
        <v>#DIV/0!</v>
      </c>
      <c r="H209" s="89"/>
      <c r="I209" s="137"/>
      <c r="J209" s="89">
        <f t="shared" si="205"/>
        <v>0</v>
      </c>
      <c r="K209" s="89" t="str">
        <f t="shared" si="207"/>
        <v/>
      </c>
      <c r="L209" s="152" t="str">
        <f t="shared" si="206"/>
        <v>#DIV/0!</v>
      </c>
      <c r="M209" s="126"/>
      <c r="N209" s="367"/>
    </row>
    <row r="210">
      <c r="A210" s="154"/>
      <c r="B210" s="156" t="s">
        <v>69</v>
      </c>
      <c r="C210" s="89"/>
      <c r="D210" s="89"/>
      <c r="E210" s="12"/>
      <c r="F210" s="157"/>
      <c r="G210" s="14"/>
      <c r="H210" s="89"/>
      <c r="I210" s="137"/>
      <c r="J210" s="89"/>
      <c r="K210" s="89"/>
      <c r="L210" s="152"/>
      <c r="M210" s="126"/>
      <c r="N210" s="367"/>
    </row>
    <row r="211">
      <c r="A211" s="154"/>
      <c r="B211" s="156" t="s">
        <v>69</v>
      </c>
      <c r="C211" s="89"/>
      <c r="D211" s="89"/>
      <c r="E211" s="12">
        <f>D211-C211</f>
        <v>0</v>
      </c>
      <c r="F211" s="157"/>
      <c r="G211" s="14" t="str">
        <f>(F211/E211)*100</f>
        <v>#DIV/0!</v>
      </c>
      <c r="H211" s="89"/>
      <c r="I211" s="137"/>
      <c r="J211" s="89">
        <f>I211-H211</f>
        <v>0</v>
      </c>
      <c r="K211" s="89" t="str">
        <f>F211</f>
        <v/>
      </c>
      <c r="L211" s="152" t="str">
        <f>(K211/J211)*100</f>
        <v>#DIV/0!</v>
      </c>
      <c r="M211" s="126"/>
      <c r="N211" s="367"/>
    </row>
    <row r="212">
      <c r="A212" s="62"/>
      <c r="B212" s="63"/>
      <c r="C212" s="62"/>
      <c r="D212" s="64" t="s">
        <v>19</v>
      </c>
      <c r="E212" s="64">
        <f t="shared" ref="E212:F212" si="208">sum(E206:E211)</f>
        <v>0</v>
      </c>
      <c r="F212" s="64">
        <f t="shared" si="208"/>
        <v>0</v>
      </c>
      <c r="G212" s="65" t="str">
        <f>average(G206:G211)</f>
        <v>#DIV/0!</v>
      </c>
      <c r="H212" s="62"/>
      <c r="I212" s="66"/>
      <c r="J212" s="64">
        <f t="shared" ref="J212:K212" si="209">sum(J206:J211)</f>
        <v>0</v>
      </c>
      <c r="K212" s="64">
        <f t="shared" si="209"/>
        <v>326.91</v>
      </c>
      <c r="L212" s="65" t="str">
        <f>average(L206:L211)</f>
        <v>#DIV/0!</v>
      </c>
      <c r="M212" s="68"/>
      <c r="N212" s="368">
        <f>sum(N206:N211)</f>
        <v>12099968.3</v>
      </c>
    </row>
    <row r="213">
      <c r="A213" s="198" t="s">
        <v>64</v>
      </c>
      <c r="B213" s="199"/>
      <c r="C213" s="199"/>
      <c r="D213" s="199"/>
      <c r="E213" s="199"/>
      <c r="F213" s="199"/>
      <c r="G213" s="199"/>
      <c r="H213" s="199"/>
      <c r="I213" s="199"/>
      <c r="J213" s="199"/>
      <c r="K213" s="199"/>
      <c r="L213" s="200"/>
      <c r="M213" s="68"/>
      <c r="N213" s="368">
        <f>SUM(N156:N212)/2</f>
        <v>124691257.6</v>
      </c>
    </row>
    <row r="214">
      <c r="G214" s="168"/>
      <c r="L214" s="168"/>
    </row>
    <row r="215">
      <c r="G215" s="168"/>
      <c r="L215" s="168"/>
      <c r="N215" s="197">
        <v>1.24719013E8</v>
      </c>
    </row>
    <row r="216">
      <c r="G216" s="168"/>
      <c r="L216" s="168"/>
    </row>
    <row r="217">
      <c r="G217" s="168"/>
      <c r="L217" s="168"/>
    </row>
    <row r="218">
      <c r="G218" s="168"/>
      <c r="L218" s="168"/>
    </row>
    <row r="219">
      <c r="G219" s="168"/>
      <c r="L219" s="168"/>
    </row>
    <row r="220">
      <c r="G220" s="168"/>
      <c r="L220" s="168"/>
    </row>
    <row r="221">
      <c r="G221" s="168"/>
      <c r="L221" s="168"/>
    </row>
    <row r="222">
      <c r="G222" s="168"/>
      <c r="L222" s="168"/>
    </row>
    <row r="223">
      <c r="G223" s="168"/>
      <c r="L223" s="168"/>
    </row>
    <row r="224">
      <c r="G224" s="168"/>
      <c r="L224" s="168"/>
    </row>
    <row r="225">
      <c r="G225" s="168"/>
      <c r="L225" s="168"/>
    </row>
    <row r="226">
      <c r="G226" s="168"/>
      <c r="L226" s="168"/>
    </row>
    <row r="227">
      <c r="G227" s="168"/>
      <c r="L227" s="168"/>
    </row>
    <row r="228">
      <c r="G228" s="168"/>
      <c r="L228" s="168"/>
    </row>
    <row r="229">
      <c r="G229" s="168"/>
      <c r="L229" s="168"/>
    </row>
    <row r="230">
      <c r="G230" s="168"/>
      <c r="L230" s="168"/>
    </row>
    <row r="231">
      <c r="G231" s="168"/>
      <c r="L231" s="168"/>
    </row>
    <row r="232">
      <c r="G232" s="168"/>
      <c r="L232" s="168"/>
    </row>
    <row r="233">
      <c r="G233" s="168"/>
      <c r="L233" s="168"/>
    </row>
    <row r="234">
      <c r="G234" s="168"/>
      <c r="L234" s="168"/>
    </row>
    <row r="235">
      <c r="G235" s="168"/>
      <c r="L235" s="168"/>
    </row>
    <row r="236">
      <c r="G236" s="168"/>
      <c r="L236" s="168"/>
    </row>
    <row r="237">
      <c r="G237" s="168"/>
      <c r="L237" s="168"/>
    </row>
    <row r="238">
      <c r="G238" s="168"/>
      <c r="L238" s="168"/>
    </row>
    <row r="239">
      <c r="G239" s="168"/>
      <c r="L239" s="168"/>
    </row>
    <row r="240">
      <c r="G240" s="168"/>
      <c r="L240" s="168"/>
    </row>
    <row r="241">
      <c r="G241" s="168"/>
      <c r="L241" s="168"/>
    </row>
    <row r="242">
      <c r="G242" s="168"/>
      <c r="L242" s="168"/>
    </row>
    <row r="243">
      <c r="G243" s="168"/>
      <c r="L243" s="168"/>
    </row>
    <row r="244">
      <c r="G244" s="168"/>
      <c r="L244" s="168"/>
    </row>
    <row r="245">
      <c r="G245" s="168"/>
      <c r="L245" s="168"/>
    </row>
    <row r="246">
      <c r="G246" s="168"/>
      <c r="L246" s="168"/>
    </row>
    <row r="247">
      <c r="G247" s="168"/>
      <c r="L247" s="168"/>
    </row>
    <row r="248">
      <c r="G248" s="168"/>
      <c r="L248" s="168"/>
    </row>
    <row r="249">
      <c r="G249" s="168"/>
      <c r="L249" s="168"/>
    </row>
    <row r="250">
      <c r="G250" s="168"/>
      <c r="L250" s="168"/>
    </row>
    <row r="251">
      <c r="G251" s="168"/>
      <c r="L251" s="168"/>
    </row>
    <row r="252">
      <c r="G252" s="168"/>
      <c r="L252" s="168"/>
    </row>
    <row r="253">
      <c r="G253" s="168"/>
      <c r="L253" s="168"/>
    </row>
    <row r="254">
      <c r="G254" s="168"/>
      <c r="L254" s="168"/>
    </row>
    <row r="255">
      <c r="G255" s="168"/>
      <c r="L255" s="168"/>
    </row>
    <row r="256">
      <c r="G256" s="168"/>
      <c r="L256" s="168"/>
    </row>
    <row r="257">
      <c r="G257" s="168"/>
      <c r="L257" s="168"/>
    </row>
    <row r="258">
      <c r="G258" s="168"/>
      <c r="L258" s="168"/>
    </row>
    <row r="259">
      <c r="G259" s="168"/>
      <c r="L259" s="168"/>
    </row>
    <row r="260">
      <c r="G260" s="168"/>
      <c r="L260" s="168"/>
    </row>
    <row r="261">
      <c r="G261" s="168"/>
      <c r="L261" s="168"/>
    </row>
    <row r="262">
      <c r="G262" s="168"/>
      <c r="L262" s="168"/>
    </row>
    <row r="263">
      <c r="G263" s="168"/>
      <c r="L263" s="168"/>
    </row>
    <row r="264">
      <c r="G264" s="168"/>
      <c r="L264" s="168"/>
    </row>
    <row r="265">
      <c r="G265" s="168"/>
      <c r="L265" s="168"/>
    </row>
    <row r="266">
      <c r="G266" s="168"/>
      <c r="L266" s="168"/>
    </row>
    <row r="267">
      <c r="G267" s="168"/>
      <c r="L267" s="168"/>
    </row>
    <row r="268">
      <c r="G268" s="168"/>
      <c r="L268" s="168"/>
    </row>
    <row r="269">
      <c r="G269" s="168"/>
      <c r="L269" s="168"/>
    </row>
    <row r="270">
      <c r="G270" s="168"/>
      <c r="L270" s="168"/>
    </row>
    <row r="271">
      <c r="G271" s="168"/>
      <c r="L271" s="168"/>
    </row>
    <row r="272">
      <c r="G272" s="168"/>
      <c r="L272" s="168"/>
    </row>
    <row r="273">
      <c r="G273" s="168"/>
      <c r="L273" s="168"/>
    </row>
    <row r="274">
      <c r="G274" s="168"/>
      <c r="L274" s="168"/>
    </row>
    <row r="275">
      <c r="G275" s="168"/>
      <c r="L275" s="168"/>
    </row>
    <row r="276">
      <c r="G276" s="168"/>
      <c r="L276" s="168"/>
    </row>
    <row r="277">
      <c r="G277" s="168"/>
      <c r="L277" s="168"/>
    </row>
    <row r="278">
      <c r="G278" s="168"/>
      <c r="L278" s="168"/>
    </row>
    <row r="279">
      <c r="G279" s="168"/>
      <c r="L279" s="168"/>
    </row>
    <row r="280">
      <c r="G280" s="168"/>
      <c r="L280" s="168"/>
    </row>
    <row r="281">
      <c r="G281" s="168"/>
      <c r="L281" s="168"/>
    </row>
    <row r="282">
      <c r="G282" s="168"/>
      <c r="L282" s="168"/>
    </row>
    <row r="283">
      <c r="G283" s="168"/>
      <c r="L283" s="168"/>
    </row>
    <row r="284">
      <c r="G284" s="168"/>
      <c r="L284" s="168"/>
    </row>
    <row r="285">
      <c r="G285" s="168"/>
      <c r="L285" s="168"/>
    </row>
    <row r="286">
      <c r="G286" s="168"/>
      <c r="L286" s="168"/>
    </row>
    <row r="287">
      <c r="G287" s="168"/>
      <c r="L287" s="168"/>
    </row>
    <row r="288">
      <c r="G288" s="168"/>
      <c r="L288" s="168"/>
    </row>
    <row r="289">
      <c r="G289" s="168"/>
      <c r="L289" s="168"/>
    </row>
    <row r="290">
      <c r="G290" s="168"/>
      <c r="L290" s="168"/>
    </row>
    <row r="291">
      <c r="G291" s="168"/>
      <c r="L291" s="168"/>
    </row>
    <row r="292">
      <c r="G292" s="168"/>
      <c r="L292" s="168"/>
    </row>
    <row r="293">
      <c r="G293" s="168"/>
      <c r="L293" s="168"/>
    </row>
    <row r="294">
      <c r="G294" s="168"/>
      <c r="L294" s="168"/>
    </row>
    <row r="295">
      <c r="G295" s="168"/>
      <c r="L295" s="168"/>
    </row>
    <row r="296">
      <c r="G296" s="168"/>
      <c r="L296" s="168"/>
    </row>
    <row r="297">
      <c r="G297" s="168"/>
      <c r="L297" s="168"/>
    </row>
    <row r="298">
      <c r="G298" s="168"/>
      <c r="L298" s="168"/>
    </row>
    <row r="299">
      <c r="G299" s="168"/>
      <c r="L299" s="168"/>
    </row>
    <row r="300">
      <c r="G300" s="168"/>
      <c r="L300" s="168"/>
    </row>
    <row r="301">
      <c r="G301" s="168"/>
      <c r="L301" s="168"/>
    </row>
    <row r="302">
      <c r="G302" s="168"/>
      <c r="L302" s="168"/>
    </row>
    <row r="303">
      <c r="G303" s="168"/>
      <c r="L303" s="168"/>
    </row>
    <row r="304">
      <c r="G304" s="168"/>
      <c r="L304" s="168"/>
    </row>
    <row r="305">
      <c r="G305" s="168"/>
      <c r="L305" s="168"/>
    </row>
    <row r="306">
      <c r="G306" s="168"/>
      <c r="L306" s="168"/>
    </row>
    <row r="307">
      <c r="G307" s="168"/>
      <c r="L307" s="168"/>
    </row>
    <row r="308">
      <c r="G308" s="168"/>
      <c r="L308" s="168"/>
    </row>
    <row r="309">
      <c r="G309" s="168"/>
      <c r="L309" s="168"/>
    </row>
    <row r="310">
      <c r="G310" s="168"/>
      <c r="L310" s="168"/>
    </row>
    <row r="311">
      <c r="G311" s="168"/>
      <c r="L311" s="168"/>
    </row>
    <row r="312">
      <c r="G312" s="168"/>
      <c r="L312" s="168"/>
    </row>
    <row r="313">
      <c r="G313" s="168"/>
      <c r="L313" s="168"/>
    </row>
    <row r="314">
      <c r="G314" s="168"/>
      <c r="L314" s="168"/>
    </row>
    <row r="315">
      <c r="G315" s="168"/>
      <c r="L315" s="168"/>
    </row>
    <row r="316">
      <c r="G316" s="168"/>
      <c r="L316" s="168"/>
    </row>
    <row r="317">
      <c r="G317" s="168"/>
      <c r="L317" s="168"/>
    </row>
    <row r="318">
      <c r="G318" s="168"/>
      <c r="L318" s="168"/>
    </row>
    <row r="319">
      <c r="G319" s="168"/>
      <c r="L319" s="168"/>
    </row>
    <row r="320">
      <c r="G320" s="168"/>
      <c r="L320" s="168"/>
    </row>
    <row r="321">
      <c r="G321" s="168"/>
      <c r="L321" s="168"/>
    </row>
    <row r="322">
      <c r="G322" s="168"/>
      <c r="L322" s="168"/>
    </row>
    <row r="323">
      <c r="G323" s="168"/>
      <c r="L323" s="168"/>
    </row>
    <row r="324">
      <c r="G324" s="168"/>
      <c r="L324" s="168"/>
    </row>
    <row r="325">
      <c r="G325" s="168"/>
      <c r="L325" s="168"/>
    </row>
    <row r="326">
      <c r="G326" s="168"/>
      <c r="L326" s="168"/>
    </row>
    <row r="327">
      <c r="G327" s="168"/>
      <c r="L327" s="168"/>
    </row>
    <row r="328">
      <c r="G328" s="168"/>
      <c r="L328" s="168"/>
    </row>
    <row r="329">
      <c r="G329" s="168"/>
      <c r="L329" s="168"/>
    </row>
    <row r="330">
      <c r="G330" s="168"/>
      <c r="L330" s="168"/>
    </row>
    <row r="331">
      <c r="G331" s="168"/>
      <c r="L331" s="168"/>
    </row>
    <row r="332">
      <c r="G332" s="168"/>
      <c r="L332" s="168"/>
    </row>
    <row r="333">
      <c r="G333" s="168"/>
      <c r="L333" s="168"/>
    </row>
    <row r="334">
      <c r="G334" s="168"/>
      <c r="L334" s="168"/>
    </row>
    <row r="335">
      <c r="G335" s="168"/>
      <c r="L335" s="168"/>
    </row>
    <row r="336">
      <c r="G336" s="168"/>
      <c r="L336" s="168"/>
    </row>
    <row r="337">
      <c r="G337" s="168"/>
      <c r="L337" s="168"/>
    </row>
    <row r="338">
      <c r="G338" s="168"/>
      <c r="L338" s="168"/>
    </row>
    <row r="339">
      <c r="G339" s="168"/>
      <c r="L339" s="168"/>
    </row>
    <row r="340">
      <c r="G340" s="168"/>
      <c r="L340" s="168"/>
    </row>
    <row r="341">
      <c r="G341" s="168"/>
      <c r="L341" s="168"/>
    </row>
    <row r="342">
      <c r="G342" s="168"/>
      <c r="L342" s="168"/>
    </row>
    <row r="343">
      <c r="G343" s="168"/>
      <c r="L343" s="168"/>
    </row>
    <row r="344">
      <c r="G344" s="168"/>
      <c r="L344" s="168"/>
    </row>
    <row r="345">
      <c r="G345" s="168"/>
      <c r="L345" s="168"/>
    </row>
    <row r="346">
      <c r="G346" s="168"/>
      <c r="L346" s="168"/>
    </row>
    <row r="347">
      <c r="G347" s="168"/>
      <c r="L347" s="168"/>
    </row>
    <row r="348">
      <c r="G348" s="168"/>
      <c r="L348" s="168"/>
    </row>
    <row r="349">
      <c r="G349" s="168"/>
      <c r="L349" s="168"/>
    </row>
    <row r="350">
      <c r="G350" s="168"/>
      <c r="L350" s="168"/>
    </row>
    <row r="351">
      <c r="G351" s="168"/>
      <c r="L351" s="168"/>
    </row>
    <row r="352">
      <c r="G352" s="168"/>
      <c r="L352" s="168"/>
    </row>
    <row r="353">
      <c r="G353" s="168"/>
      <c r="L353" s="168"/>
    </row>
    <row r="354">
      <c r="G354" s="168"/>
      <c r="L354" s="168"/>
    </row>
    <row r="355">
      <c r="G355" s="168"/>
      <c r="L355" s="168"/>
    </row>
    <row r="356">
      <c r="G356" s="168"/>
      <c r="L356" s="168"/>
    </row>
    <row r="357">
      <c r="G357" s="168"/>
      <c r="L357" s="168"/>
    </row>
    <row r="358">
      <c r="G358" s="168"/>
      <c r="L358" s="168"/>
    </row>
    <row r="359">
      <c r="G359" s="168"/>
      <c r="L359" s="168"/>
    </row>
    <row r="360">
      <c r="G360" s="168"/>
      <c r="L360" s="168"/>
    </row>
    <row r="361">
      <c r="G361" s="168"/>
      <c r="L361" s="168"/>
    </row>
    <row r="362">
      <c r="G362" s="168"/>
      <c r="L362" s="168"/>
    </row>
    <row r="363">
      <c r="G363" s="168"/>
      <c r="L363" s="168"/>
    </row>
    <row r="364">
      <c r="G364" s="168"/>
      <c r="L364" s="168"/>
    </row>
    <row r="365">
      <c r="G365" s="168"/>
      <c r="L365" s="168"/>
    </row>
    <row r="366">
      <c r="G366" s="168"/>
      <c r="L366" s="168"/>
    </row>
    <row r="367">
      <c r="G367" s="168"/>
      <c r="L367" s="168"/>
    </row>
    <row r="368">
      <c r="G368" s="168"/>
      <c r="L368" s="168"/>
    </row>
    <row r="369">
      <c r="G369" s="168"/>
      <c r="L369" s="168"/>
    </row>
    <row r="370">
      <c r="G370" s="168"/>
      <c r="L370" s="168"/>
    </row>
    <row r="371">
      <c r="G371" s="168"/>
      <c r="L371" s="168"/>
    </row>
    <row r="372">
      <c r="G372" s="168"/>
      <c r="L372" s="168"/>
    </row>
    <row r="373">
      <c r="G373" s="168"/>
      <c r="L373" s="168"/>
    </row>
    <row r="374">
      <c r="G374" s="168"/>
      <c r="L374" s="168"/>
    </row>
    <row r="375">
      <c r="G375" s="168"/>
      <c r="L375" s="168"/>
    </row>
    <row r="376">
      <c r="G376" s="168"/>
      <c r="L376" s="168"/>
    </row>
    <row r="377">
      <c r="G377" s="168"/>
      <c r="L377" s="168"/>
    </row>
    <row r="378">
      <c r="G378" s="168"/>
      <c r="L378" s="168"/>
    </row>
    <row r="379">
      <c r="G379" s="168"/>
      <c r="L379" s="168"/>
    </row>
    <row r="380">
      <c r="G380" s="168"/>
      <c r="L380" s="168"/>
    </row>
    <row r="381">
      <c r="G381" s="168"/>
      <c r="L381" s="168"/>
    </row>
    <row r="382">
      <c r="G382" s="168"/>
      <c r="L382" s="168"/>
    </row>
    <row r="383">
      <c r="G383" s="168"/>
      <c r="L383" s="168"/>
    </row>
    <row r="384">
      <c r="G384" s="168"/>
      <c r="L384" s="168"/>
    </row>
    <row r="385">
      <c r="G385" s="168"/>
      <c r="L385" s="168"/>
    </row>
    <row r="386">
      <c r="G386" s="168"/>
      <c r="L386" s="168"/>
    </row>
    <row r="387">
      <c r="G387" s="168"/>
      <c r="L387" s="168"/>
    </row>
    <row r="388">
      <c r="G388" s="168"/>
      <c r="L388" s="168"/>
    </row>
    <row r="389">
      <c r="G389" s="168"/>
      <c r="L389" s="168"/>
    </row>
    <row r="390">
      <c r="G390" s="168"/>
      <c r="L390" s="168"/>
    </row>
    <row r="391">
      <c r="G391" s="168"/>
      <c r="L391" s="168"/>
    </row>
    <row r="392">
      <c r="G392" s="168"/>
      <c r="L392" s="168"/>
    </row>
    <row r="393">
      <c r="G393" s="168"/>
      <c r="L393" s="168"/>
    </row>
    <row r="394">
      <c r="G394" s="168"/>
      <c r="L394" s="168"/>
    </row>
    <row r="395">
      <c r="G395" s="168"/>
      <c r="L395" s="168"/>
    </row>
    <row r="396">
      <c r="G396" s="168"/>
      <c r="L396" s="168"/>
    </row>
    <row r="397">
      <c r="G397" s="168"/>
      <c r="L397" s="168"/>
    </row>
    <row r="398">
      <c r="G398" s="168"/>
      <c r="L398" s="168"/>
    </row>
    <row r="399">
      <c r="G399" s="168"/>
      <c r="L399" s="168"/>
    </row>
    <row r="400">
      <c r="G400" s="168"/>
      <c r="L400" s="168"/>
    </row>
    <row r="401">
      <c r="G401" s="168"/>
      <c r="L401" s="168"/>
    </row>
    <row r="402">
      <c r="G402" s="168"/>
      <c r="L402" s="168"/>
    </row>
    <row r="403">
      <c r="G403" s="168"/>
      <c r="L403" s="168"/>
    </row>
    <row r="404">
      <c r="G404" s="168"/>
      <c r="L404" s="168"/>
    </row>
    <row r="405">
      <c r="G405" s="168"/>
      <c r="L405" s="168"/>
    </row>
    <row r="406">
      <c r="G406" s="168"/>
      <c r="L406" s="168"/>
    </row>
    <row r="407">
      <c r="G407" s="168"/>
      <c r="L407" s="168"/>
    </row>
    <row r="408">
      <c r="G408" s="168"/>
      <c r="L408" s="168"/>
    </row>
    <row r="409">
      <c r="G409" s="168"/>
      <c r="L409" s="168"/>
    </row>
    <row r="410">
      <c r="G410" s="168"/>
      <c r="L410" s="168"/>
    </row>
    <row r="411">
      <c r="G411" s="168"/>
      <c r="L411" s="168"/>
    </row>
    <row r="412">
      <c r="G412" s="168"/>
      <c r="L412" s="168"/>
    </row>
    <row r="413">
      <c r="G413" s="168"/>
      <c r="L413" s="168"/>
    </row>
    <row r="414">
      <c r="G414" s="168"/>
      <c r="L414" s="168"/>
    </row>
    <row r="415">
      <c r="G415" s="168"/>
      <c r="L415" s="168"/>
    </row>
    <row r="416">
      <c r="G416" s="168"/>
      <c r="L416" s="168"/>
    </row>
    <row r="417">
      <c r="G417" s="168"/>
      <c r="L417" s="168"/>
    </row>
    <row r="418">
      <c r="G418" s="168"/>
      <c r="L418" s="168"/>
    </row>
    <row r="419">
      <c r="G419" s="168"/>
      <c r="L419" s="168"/>
    </row>
    <row r="420">
      <c r="G420" s="168"/>
      <c r="L420" s="168"/>
    </row>
    <row r="421">
      <c r="G421" s="168"/>
      <c r="L421" s="168"/>
    </row>
    <row r="422">
      <c r="G422" s="168"/>
      <c r="L422" s="168"/>
    </row>
    <row r="423">
      <c r="G423" s="168"/>
      <c r="L423" s="168"/>
    </row>
    <row r="424">
      <c r="G424" s="168"/>
      <c r="L424" s="168"/>
    </row>
    <row r="425">
      <c r="G425" s="168"/>
      <c r="L425" s="168"/>
    </row>
    <row r="426">
      <c r="G426" s="168"/>
      <c r="L426" s="168"/>
    </row>
    <row r="427">
      <c r="G427" s="168"/>
      <c r="L427" s="168"/>
    </row>
    <row r="428">
      <c r="G428" s="168"/>
      <c r="L428" s="168"/>
    </row>
    <row r="429">
      <c r="G429" s="168"/>
      <c r="L429" s="168"/>
    </row>
    <row r="430">
      <c r="G430" s="168"/>
      <c r="L430" s="168"/>
    </row>
    <row r="431">
      <c r="G431" s="168"/>
      <c r="L431" s="168"/>
    </row>
    <row r="432">
      <c r="G432" s="168"/>
      <c r="L432" s="168"/>
    </row>
    <row r="433">
      <c r="G433" s="168"/>
      <c r="L433" s="168"/>
    </row>
    <row r="434">
      <c r="G434" s="168"/>
      <c r="L434" s="168"/>
    </row>
    <row r="435">
      <c r="G435" s="168"/>
      <c r="L435" s="168"/>
    </row>
    <row r="436">
      <c r="G436" s="168"/>
      <c r="L436" s="168"/>
    </row>
    <row r="437">
      <c r="G437" s="168"/>
      <c r="L437" s="168"/>
    </row>
    <row r="438">
      <c r="G438" s="168"/>
      <c r="L438" s="168"/>
    </row>
    <row r="439">
      <c r="G439" s="168"/>
      <c r="L439" s="168"/>
    </row>
    <row r="440">
      <c r="G440" s="168"/>
      <c r="L440" s="168"/>
    </row>
    <row r="441">
      <c r="G441" s="168"/>
      <c r="L441" s="168"/>
    </row>
    <row r="442">
      <c r="G442" s="168"/>
      <c r="L442" s="168"/>
    </row>
    <row r="443">
      <c r="G443" s="168"/>
      <c r="L443" s="168"/>
    </row>
    <row r="444">
      <c r="G444" s="168"/>
      <c r="L444" s="168"/>
    </row>
    <row r="445">
      <c r="G445" s="168"/>
      <c r="L445" s="168"/>
    </row>
    <row r="446">
      <c r="G446" s="168"/>
      <c r="L446" s="168"/>
    </row>
    <row r="447">
      <c r="G447" s="168"/>
      <c r="L447" s="168"/>
    </row>
    <row r="448">
      <c r="G448" s="168"/>
      <c r="L448" s="168"/>
    </row>
    <row r="449">
      <c r="G449" s="168"/>
      <c r="L449" s="168"/>
    </row>
    <row r="450">
      <c r="G450" s="168"/>
      <c r="L450" s="168"/>
    </row>
    <row r="451">
      <c r="G451" s="168"/>
      <c r="L451" s="168"/>
    </row>
    <row r="452">
      <c r="G452" s="168"/>
      <c r="L452" s="168"/>
    </row>
    <row r="453">
      <c r="G453" s="168"/>
      <c r="L453" s="168"/>
    </row>
    <row r="454">
      <c r="G454" s="168"/>
      <c r="L454" s="168"/>
    </row>
    <row r="455">
      <c r="G455" s="168"/>
      <c r="L455" s="168"/>
    </row>
    <row r="456">
      <c r="G456" s="168"/>
      <c r="L456" s="168"/>
    </row>
    <row r="457">
      <c r="G457" s="168"/>
      <c r="L457" s="168"/>
    </row>
    <row r="458">
      <c r="G458" s="168"/>
      <c r="L458" s="168"/>
    </row>
    <row r="459">
      <c r="G459" s="168"/>
      <c r="L459" s="168"/>
    </row>
    <row r="460">
      <c r="G460" s="168"/>
      <c r="L460" s="168"/>
    </row>
    <row r="461">
      <c r="G461" s="168"/>
      <c r="L461" s="168"/>
    </row>
    <row r="462">
      <c r="G462" s="168"/>
      <c r="L462" s="168"/>
    </row>
    <row r="463">
      <c r="G463" s="168"/>
      <c r="L463" s="168"/>
    </row>
    <row r="464">
      <c r="G464" s="168"/>
      <c r="L464" s="168"/>
    </row>
    <row r="465">
      <c r="G465" s="168"/>
      <c r="L465" s="168"/>
    </row>
    <row r="466">
      <c r="G466" s="168"/>
      <c r="L466" s="168"/>
    </row>
    <row r="467">
      <c r="G467" s="168"/>
      <c r="L467" s="168"/>
    </row>
    <row r="468">
      <c r="G468" s="168"/>
      <c r="L468" s="168"/>
    </row>
    <row r="469">
      <c r="G469" s="168"/>
      <c r="L469" s="168"/>
    </row>
    <row r="470">
      <c r="G470" s="168"/>
      <c r="L470" s="168"/>
    </row>
    <row r="471">
      <c r="G471" s="168"/>
      <c r="L471" s="168"/>
    </row>
    <row r="472">
      <c r="G472" s="168"/>
      <c r="L472" s="168"/>
    </row>
    <row r="473">
      <c r="G473" s="168"/>
      <c r="L473" s="168"/>
    </row>
    <row r="474">
      <c r="G474" s="168"/>
      <c r="L474" s="168"/>
    </row>
    <row r="475">
      <c r="G475" s="168"/>
      <c r="L475" s="168"/>
    </row>
    <row r="476">
      <c r="G476" s="168"/>
      <c r="L476" s="168"/>
    </row>
    <row r="477">
      <c r="G477" s="168"/>
      <c r="L477" s="168"/>
    </row>
    <row r="478">
      <c r="G478" s="168"/>
      <c r="L478" s="168"/>
    </row>
    <row r="479">
      <c r="G479" s="168"/>
      <c r="L479" s="168"/>
    </row>
    <row r="480">
      <c r="G480" s="168"/>
      <c r="L480" s="168"/>
    </row>
    <row r="481">
      <c r="G481" s="168"/>
      <c r="L481" s="168"/>
    </row>
    <row r="482">
      <c r="G482" s="168"/>
      <c r="L482" s="168"/>
    </row>
    <row r="483">
      <c r="G483" s="168"/>
      <c r="L483" s="168"/>
    </row>
    <row r="484">
      <c r="G484" s="168"/>
      <c r="L484" s="168"/>
    </row>
    <row r="485">
      <c r="G485" s="168"/>
      <c r="L485" s="168"/>
    </row>
    <row r="486">
      <c r="G486" s="168"/>
      <c r="L486" s="168"/>
    </row>
    <row r="487">
      <c r="G487" s="168"/>
      <c r="L487" s="168"/>
    </row>
    <row r="488">
      <c r="G488" s="168"/>
      <c r="L488" s="168"/>
    </row>
    <row r="489">
      <c r="G489" s="168"/>
      <c r="L489" s="168"/>
    </row>
    <row r="490">
      <c r="G490" s="168"/>
      <c r="L490" s="168"/>
    </row>
    <row r="491">
      <c r="G491" s="168"/>
      <c r="L491" s="168"/>
    </row>
    <row r="492">
      <c r="G492" s="168"/>
      <c r="L492" s="168"/>
    </row>
    <row r="493">
      <c r="G493" s="168"/>
      <c r="L493" s="168"/>
    </row>
    <row r="494">
      <c r="G494" s="168"/>
      <c r="L494" s="168"/>
    </row>
    <row r="495">
      <c r="G495" s="168"/>
      <c r="L495" s="168"/>
    </row>
    <row r="496">
      <c r="G496" s="168"/>
      <c r="L496" s="168"/>
    </row>
    <row r="497">
      <c r="G497" s="168"/>
      <c r="L497" s="168"/>
    </row>
    <row r="498">
      <c r="G498" s="168"/>
      <c r="L498" s="168"/>
    </row>
    <row r="499">
      <c r="G499" s="168"/>
      <c r="L499" s="168"/>
    </row>
    <row r="500">
      <c r="G500" s="168"/>
      <c r="L500" s="168"/>
    </row>
    <row r="501">
      <c r="G501" s="168"/>
      <c r="L501" s="168"/>
    </row>
    <row r="502">
      <c r="G502" s="168"/>
      <c r="L502" s="168"/>
    </row>
    <row r="503">
      <c r="G503" s="168"/>
      <c r="L503" s="168"/>
    </row>
    <row r="504">
      <c r="G504" s="168"/>
      <c r="L504" s="168"/>
    </row>
    <row r="505">
      <c r="G505" s="168"/>
      <c r="L505" s="168"/>
    </row>
    <row r="506">
      <c r="G506" s="168"/>
      <c r="L506" s="168"/>
    </row>
    <row r="507">
      <c r="G507" s="168"/>
      <c r="L507" s="168"/>
    </row>
    <row r="508">
      <c r="G508" s="168"/>
      <c r="L508" s="168"/>
    </row>
    <row r="509">
      <c r="G509" s="168"/>
      <c r="L509" s="168"/>
    </row>
    <row r="510">
      <c r="G510" s="168"/>
      <c r="L510" s="168"/>
    </row>
    <row r="511">
      <c r="G511" s="168"/>
      <c r="L511" s="168"/>
    </row>
    <row r="512">
      <c r="G512" s="168"/>
      <c r="L512" s="168"/>
    </row>
    <row r="513">
      <c r="G513" s="168"/>
      <c r="L513" s="168"/>
    </row>
    <row r="514">
      <c r="G514" s="168"/>
      <c r="L514" s="168"/>
    </row>
    <row r="515">
      <c r="G515" s="168"/>
      <c r="L515" s="168"/>
    </row>
    <row r="516">
      <c r="G516" s="168"/>
      <c r="L516" s="168"/>
    </row>
    <row r="517">
      <c r="G517" s="168"/>
      <c r="L517" s="168"/>
    </row>
    <row r="518">
      <c r="G518" s="168"/>
      <c r="L518" s="168"/>
    </row>
    <row r="519">
      <c r="G519" s="168"/>
      <c r="L519" s="168"/>
    </row>
    <row r="520">
      <c r="G520" s="168"/>
      <c r="L520" s="168"/>
    </row>
    <row r="521">
      <c r="G521" s="168"/>
      <c r="L521" s="168"/>
    </row>
    <row r="522">
      <c r="G522" s="168"/>
      <c r="L522" s="168"/>
    </row>
    <row r="523">
      <c r="G523" s="168"/>
      <c r="L523" s="168"/>
    </row>
    <row r="524">
      <c r="G524" s="168"/>
      <c r="L524" s="168"/>
    </row>
    <row r="525">
      <c r="G525" s="168"/>
      <c r="L525" s="168"/>
    </row>
    <row r="526">
      <c r="G526" s="168"/>
      <c r="L526" s="168"/>
    </row>
    <row r="527">
      <c r="G527" s="168"/>
      <c r="L527" s="168"/>
    </row>
    <row r="528">
      <c r="G528" s="168"/>
      <c r="L528" s="168"/>
    </row>
    <row r="529">
      <c r="G529" s="168"/>
      <c r="L529" s="168"/>
    </row>
    <row r="530">
      <c r="G530" s="168"/>
      <c r="L530" s="168"/>
    </row>
    <row r="531">
      <c r="G531" s="168"/>
      <c r="L531" s="168"/>
    </row>
    <row r="532">
      <c r="G532" s="168"/>
      <c r="L532" s="168"/>
    </row>
    <row r="533">
      <c r="G533" s="168"/>
      <c r="L533" s="168"/>
    </row>
    <row r="534">
      <c r="G534" s="168"/>
      <c r="L534" s="168"/>
    </row>
    <row r="535">
      <c r="G535" s="168"/>
      <c r="L535" s="168"/>
    </row>
    <row r="536">
      <c r="G536" s="168"/>
      <c r="L536" s="168"/>
    </row>
    <row r="537">
      <c r="G537" s="168"/>
      <c r="L537" s="168"/>
    </row>
    <row r="538">
      <c r="G538" s="168"/>
      <c r="L538" s="168"/>
    </row>
    <row r="539">
      <c r="G539" s="168"/>
      <c r="L539" s="168"/>
    </row>
    <row r="540">
      <c r="G540" s="168"/>
      <c r="L540" s="168"/>
    </row>
    <row r="541">
      <c r="G541" s="168"/>
      <c r="L541" s="168"/>
    </row>
    <row r="542">
      <c r="G542" s="168"/>
      <c r="L542" s="168"/>
    </row>
    <row r="543">
      <c r="G543" s="168"/>
      <c r="L543" s="168"/>
    </row>
    <row r="544">
      <c r="G544" s="168"/>
      <c r="L544" s="168"/>
    </row>
    <row r="545">
      <c r="G545" s="168"/>
      <c r="L545" s="168"/>
    </row>
    <row r="546">
      <c r="G546" s="168"/>
      <c r="L546" s="168"/>
    </row>
    <row r="547">
      <c r="G547" s="168"/>
      <c r="L547" s="168"/>
    </row>
    <row r="548">
      <c r="G548" s="168"/>
      <c r="L548" s="168"/>
    </row>
    <row r="549">
      <c r="G549" s="168"/>
      <c r="L549" s="168"/>
    </row>
    <row r="550">
      <c r="G550" s="168"/>
      <c r="L550" s="168"/>
    </row>
    <row r="551">
      <c r="G551" s="168"/>
      <c r="L551" s="168"/>
    </row>
    <row r="552">
      <c r="G552" s="168"/>
      <c r="L552" s="168"/>
    </row>
    <row r="553">
      <c r="G553" s="168"/>
      <c r="L553" s="168"/>
    </row>
    <row r="554">
      <c r="G554" s="168"/>
      <c r="L554" s="168"/>
    </row>
    <row r="555">
      <c r="G555" s="168"/>
      <c r="L555" s="168"/>
    </row>
    <row r="556">
      <c r="G556" s="168"/>
      <c r="L556" s="168"/>
    </row>
    <row r="557">
      <c r="G557" s="168"/>
      <c r="L557" s="168"/>
    </row>
    <row r="558">
      <c r="G558" s="168"/>
      <c r="L558" s="168"/>
    </row>
    <row r="559">
      <c r="G559" s="168"/>
      <c r="L559" s="168"/>
    </row>
    <row r="560">
      <c r="G560" s="168"/>
      <c r="L560" s="168"/>
    </row>
    <row r="561">
      <c r="G561" s="168"/>
      <c r="L561" s="168"/>
    </row>
    <row r="562">
      <c r="G562" s="168"/>
      <c r="L562" s="168"/>
    </row>
    <row r="563">
      <c r="G563" s="168"/>
      <c r="L563" s="168"/>
    </row>
    <row r="564">
      <c r="G564" s="168"/>
      <c r="L564" s="168"/>
    </row>
    <row r="565">
      <c r="G565" s="168"/>
      <c r="L565" s="168"/>
    </row>
    <row r="566">
      <c r="G566" s="168"/>
      <c r="L566" s="168"/>
    </row>
    <row r="567">
      <c r="G567" s="168"/>
      <c r="L567" s="168"/>
    </row>
    <row r="568">
      <c r="G568" s="168"/>
      <c r="L568" s="168"/>
    </row>
    <row r="569">
      <c r="G569" s="168"/>
      <c r="L569" s="168"/>
    </row>
    <row r="570">
      <c r="G570" s="168"/>
      <c r="L570" s="168"/>
    </row>
    <row r="571">
      <c r="G571" s="168"/>
      <c r="L571" s="168"/>
    </row>
    <row r="572">
      <c r="G572" s="168"/>
      <c r="L572" s="168"/>
    </row>
    <row r="573">
      <c r="G573" s="168"/>
      <c r="L573" s="168"/>
    </row>
    <row r="574">
      <c r="G574" s="168"/>
      <c r="L574" s="168"/>
    </row>
    <row r="575">
      <c r="G575" s="168"/>
      <c r="L575" s="168"/>
    </row>
    <row r="576">
      <c r="G576" s="168"/>
      <c r="L576" s="168"/>
    </row>
    <row r="577">
      <c r="G577" s="168"/>
      <c r="L577" s="168"/>
    </row>
    <row r="578">
      <c r="G578" s="168"/>
      <c r="L578" s="168"/>
    </row>
    <row r="579">
      <c r="G579" s="168"/>
      <c r="L579" s="168"/>
    </row>
    <row r="580">
      <c r="G580" s="168"/>
      <c r="L580" s="168"/>
    </row>
    <row r="581">
      <c r="G581" s="168"/>
      <c r="L581" s="168"/>
    </row>
    <row r="582">
      <c r="G582" s="168"/>
      <c r="L582" s="168"/>
    </row>
    <row r="583">
      <c r="G583" s="168"/>
      <c r="L583" s="168"/>
    </row>
    <row r="584">
      <c r="G584" s="168"/>
      <c r="L584" s="168"/>
    </row>
    <row r="585">
      <c r="G585" s="168"/>
      <c r="L585" s="168"/>
    </row>
    <row r="586">
      <c r="G586" s="168"/>
      <c r="L586" s="168"/>
    </row>
    <row r="587">
      <c r="G587" s="168"/>
      <c r="L587" s="168"/>
    </row>
    <row r="588">
      <c r="G588" s="168"/>
      <c r="L588" s="168"/>
    </row>
    <row r="589">
      <c r="G589" s="168"/>
      <c r="L589" s="168"/>
    </row>
    <row r="590">
      <c r="G590" s="168"/>
      <c r="L590" s="168"/>
    </row>
    <row r="591">
      <c r="G591" s="168"/>
      <c r="L591" s="168"/>
    </row>
    <row r="592">
      <c r="G592" s="168"/>
      <c r="L592" s="168"/>
    </row>
    <row r="593">
      <c r="G593" s="168"/>
      <c r="L593" s="168"/>
    </row>
    <row r="594">
      <c r="G594" s="168"/>
      <c r="L594" s="168"/>
    </row>
    <row r="595">
      <c r="G595" s="168"/>
      <c r="L595" s="168"/>
    </row>
    <row r="596">
      <c r="G596" s="168"/>
      <c r="L596" s="168"/>
    </row>
    <row r="597">
      <c r="G597" s="168"/>
      <c r="L597" s="168"/>
    </row>
    <row r="598">
      <c r="G598" s="168"/>
      <c r="L598" s="168"/>
    </row>
    <row r="599">
      <c r="G599" s="168"/>
      <c r="L599" s="168"/>
    </row>
    <row r="600">
      <c r="G600" s="168"/>
      <c r="L600" s="168"/>
    </row>
    <row r="601">
      <c r="G601" s="168"/>
      <c r="L601" s="168"/>
    </row>
    <row r="602">
      <c r="G602" s="168"/>
      <c r="L602" s="168"/>
    </row>
    <row r="603">
      <c r="G603" s="168"/>
      <c r="L603" s="168"/>
    </row>
    <row r="604">
      <c r="G604" s="168"/>
      <c r="L604" s="168"/>
    </row>
    <row r="605">
      <c r="G605" s="168"/>
      <c r="L605" s="168"/>
    </row>
    <row r="606">
      <c r="G606" s="168"/>
      <c r="L606" s="168"/>
    </row>
    <row r="607">
      <c r="G607" s="168"/>
      <c r="L607" s="168"/>
    </row>
    <row r="608">
      <c r="G608" s="168"/>
      <c r="L608" s="168"/>
    </row>
    <row r="609">
      <c r="G609" s="168"/>
      <c r="L609" s="168"/>
    </row>
    <row r="610">
      <c r="G610" s="168"/>
      <c r="L610" s="168"/>
    </row>
    <row r="611">
      <c r="G611" s="168"/>
      <c r="L611" s="168"/>
    </row>
    <row r="612">
      <c r="G612" s="168"/>
      <c r="L612" s="168"/>
    </row>
    <row r="613">
      <c r="G613" s="168"/>
      <c r="L613" s="168"/>
    </row>
    <row r="614">
      <c r="G614" s="168"/>
      <c r="L614" s="168"/>
    </row>
    <row r="615">
      <c r="G615" s="168"/>
      <c r="L615" s="168"/>
    </row>
    <row r="616">
      <c r="G616" s="168"/>
      <c r="L616" s="168"/>
    </row>
    <row r="617">
      <c r="G617" s="168"/>
      <c r="L617" s="168"/>
    </row>
    <row r="618">
      <c r="G618" s="168"/>
      <c r="L618" s="168"/>
    </row>
    <row r="619">
      <c r="G619" s="168"/>
      <c r="L619" s="168"/>
    </row>
    <row r="620">
      <c r="G620" s="168"/>
      <c r="L620" s="168"/>
    </row>
    <row r="621">
      <c r="G621" s="168"/>
      <c r="L621" s="168"/>
    </row>
    <row r="622">
      <c r="G622" s="168"/>
      <c r="L622" s="168"/>
    </row>
    <row r="623">
      <c r="G623" s="168"/>
      <c r="L623" s="168"/>
    </row>
    <row r="624">
      <c r="G624" s="168"/>
      <c r="L624" s="168"/>
    </row>
    <row r="625">
      <c r="G625" s="168"/>
      <c r="L625" s="168"/>
    </row>
    <row r="626">
      <c r="G626" s="168"/>
      <c r="L626" s="168"/>
    </row>
    <row r="627">
      <c r="G627" s="168"/>
      <c r="L627" s="168"/>
    </row>
    <row r="628">
      <c r="G628" s="168"/>
      <c r="L628" s="168"/>
    </row>
    <row r="629">
      <c r="G629" s="168"/>
      <c r="L629" s="168"/>
    </row>
    <row r="630">
      <c r="G630" s="168"/>
      <c r="L630" s="168"/>
    </row>
    <row r="631">
      <c r="G631" s="168"/>
      <c r="L631" s="168"/>
    </row>
    <row r="632">
      <c r="G632" s="168"/>
      <c r="L632" s="168"/>
    </row>
    <row r="633">
      <c r="G633" s="168"/>
      <c r="L633" s="168"/>
    </row>
    <row r="634">
      <c r="G634" s="168"/>
      <c r="L634" s="168"/>
    </row>
    <row r="635">
      <c r="G635" s="168"/>
      <c r="L635" s="168"/>
    </row>
    <row r="636">
      <c r="G636" s="168"/>
      <c r="L636" s="168"/>
    </row>
    <row r="637">
      <c r="G637" s="168"/>
      <c r="L637" s="168"/>
    </row>
    <row r="638">
      <c r="G638" s="168"/>
      <c r="L638" s="168"/>
    </row>
    <row r="639">
      <c r="G639" s="168"/>
      <c r="L639" s="168"/>
    </row>
    <row r="640">
      <c r="G640" s="168"/>
      <c r="L640" s="168"/>
    </row>
    <row r="641">
      <c r="G641" s="168"/>
      <c r="L641" s="168"/>
    </row>
    <row r="642">
      <c r="G642" s="168"/>
      <c r="L642" s="168"/>
    </row>
    <row r="643">
      <c r="G643" s="168"/>
      <c r="L643" s="168"/>
    </row>
    <row r="644">
      <c r="G644" s="168"/>
      <c r="L644" s="168"/>
    </row>
    <row r="645">
      <c r="G645" s="168"/>
      <c r="L645" s="168"/>
    </row>
    <row r="646">
      <c r="G646" s="168"/>
      <c r="L646" s="168"/>
    </row>
    <row r="647">
      <c r="G647" s="168"/>
      <c r="L647" s="168"/>
    </row>
    <row r="648">
      <c r="G648" s="168"/>
      <c r="L648" s="168"/>
    </row>
    <row r="649">
      <c r="G649" s="168"/>
      <c r="L649" s="168"/>
    </row>
    <row r="650">
      <c r="G650" s="168"/>
      <c r="L650" s="168"/>
    </row>
    <row r="651">
      <c r="G651" s="168"/>
      <c r="L651" s="168"/>
    </row>
    <row r="652">
      <c r="G652" s="168"/>
      <c r="L652" s="168"/>
    </row>
    <row r="653">
      <c r="G653" s="168"/>
      <c r="L653" s="168"/>
    </row>
    <row r="654">
      <c r="G654" s="168"/>
      <c r="L654" s="168"/>
    </row>
    <row r="655">
      <c r="G655" s="168"/>
      <c r="L655" s="168"/>
    </row>
    <row r="656">
      <c r="G656" s="168"/>
      <c r="L656" s="168"/>
    </row>
    <row r="657">
      <c r="G657" s="168"/>
      <c r="L657" s="168"/>
    </row>
    <row r="658">
      <c r="G658" s="168"/>
      <c r="L658" s="168"/>
    </row>
    <row r="659">
      <c r="G659" s="168"/>
      <c r="L659" s="168"/>
    </row>
    <row r="660">
      <c r="G660" s="168"/>
      <c r="L660" s="168"/>
    </row>
    <row r="661">
      <c r="G661" s="168"/>
      <c r="L661" s="168"/>
    </row>
    <row r="662">
      <c r="G662" s="168"/>
      <c r="L662" s="168"/>
    </row>
    <row r="663">
      <c r="G663" s="168"/>
      <c r="L663" s="168"/>
    </row>
    <row r="664">
      <c r="G664" s="168"/>
      <c r="L664" s="168"/>
    </row>
    <row r="665">
      <c r="G665" s="168"/>
      <c r="L665" s="168"/>
    </row>
    <row r="666">
      <c r="G666" s="168"/>
      <c r="L666" s="168"/>
    </row>
    <row r="667">
      <c r="G667" s="168"/>
      <c r="L667" s="168"/>
    </row>
    <row r="668">
      <c r="G668" s="168"/>
      <c r="L668" s="168"/>
    </row>
    <row r="669">
      <c r="G669" s="168"/>
      <c r="L669" s="168"/>
    </row>
    <row r="670">
      <c r="G670" s="168"/>
      <c r="L670" s="168"/>
    </row>
    <row r="671">
      <c r="G671" s="168"/>
      <c r="L671" s="168"/>
    </row>
    <row r="672">
      <c r="G672" s="168"/>
      <c r="L672" s="168"/>
    </row>
    <row r="673">
      <c r="G673" s="168"/>
      <c r="L673" s="168"/>
    </row>
    <row r="674">
      <c r="G674" s="168"/>
      <c r="L674" s="168"/>
    </row>
    <row r="675">
      <c r="G675" s="168"/>
      <c r="L675" s="168"/>
    </row>
    <row r="676">
      <c r="G676" s="168"/>
      <c r="L676" s="168"/>
    </row>
    <row r="677">
      <c r="G677" s="168"/>
      <c r="L677" s="168"/>
    </row>
    <row r="678">
      <c r="G678" s="168"/>
      <c r="L678" s="168"/>
    </row>
    <row r="679">
      <c r="G679" s="168"/>
      <c r="L679" s="168"/>
    </row>
    <row r="680">
      <c r="G680" s="168"/>
      <c r="L680" s="168"/>
    </row>
    <row r="681">
      <c r="G681" s="168"/>
      <c r="L681" s="168"/>
    </row>
    <row r="682">
      <c r="G682" s="168"/>
      <c r="L682" s="168"/>
    </row>
    <row r="683">
      <c r="G683" s="168"/>
      <c r="L683" s="168"/>
    </row>
    <row r="684">
      <c r="G684" s="168"/>
      <c r="L684" s="168"/>
    </row>
    <row r="685">
      <c r="G685" s="168"/>
      <c r="L685" s="168"/>
    </row>
    <row r="686">
      <c r="G686" s="168"/>
      <c r="L686" s="168"/>
    </row>
    <row r="687">
      <c r="G687" s="168"/>
      <c r="L687" s="168"/>
    </row>
    <row r="688">
      <c r="G688" s="168"/>
      <c r="L688" s="168"/>
    </row>
    <row r="689">
      <c r="G689" s="168"/>
      <c r="L689" s="168"/>
    </row>
    <row r="690">
      <c r="G690" s="168"/>
      <c r="L690" s="168"/>
    </row>
    <row r="691">
      <c r="G691" s="168"/>
      <c r="L691" s="168"/>
    </row>
    <row r="692">
      <c r="G692" s="168"/>
      <c r="L692" s="168"/>
    </row>
    <row r="693">
      <c r="G693" s="168"/>
      <c r="L693" s="168"/>
    </row>
    <row r="694">
      <c r="G694" s="168"/>
      <c r="L694" s="168"/>
    </row>
    <row r="695">
      <c r="G695" s="168"/>
      <c r="L695" s="168"/>
    </row>
    <row r="696">
      <c r="G696" s="168"/>
      <c r="L696" s="168"/>
    </row>
    <row r="697">
      <c r="G697" s="168"/>
      <c r="L697" s="168"/>
    </row>
    <row r="698">
      <c r="G698" s="168"/>
      <c r="L698" s="168"/>
    </row>
    <row r="699">
      <c r="G699" s="168"/>
      <c r="L699" s="168"/>
    </row>
    <row r="700">
      <c r="G700" s="168"/>
      <c r="L700" s="168"/>
    </row>
    <row r="701">
      <c r="G701" s="168"/>
      <c r="L701" s="168"/>
    </row>
    <row r="702">
      <c r="G702" s="168"/>
      <c r="L702" s="168"/>
    </row>
    <row r="703">
      <c r="G703" s="168"/>
      <c r="L703" s="168"/>
    </row>
    <row r="704">
      <c r="G704" s="168"/>
      <c r="L704" s="168"/>
    </row>
    <row r="705">
      <c r="G705" s="168"/>
      <c r="L705" s="168"/>
    </row>
    <row r="706">
      <c r="G706" s="168"/>
      <c r="L706" s="168"/>
    </row>
    <row r="707">
      <c r="G707" s="168"/>
      <c r="L707" s="168"/>
    </row>
    <row r="708">
      <c r="G708" s="168"/>
      <c r="L708" s="168"/>
    </row>
    <row r="709">
      <c r="G709" s="168"/>
      <c r="L709" s="168"/>
    </row>
    <row r="710">
      <c r="G710" s="168"/>
      <c r="L710" s="168"/>
    </row>
    <row r="711">
      <c r="G711" s="168"/>
      <c r="L711" s="168"/>
    </row>
    <row r="712">
      <c r="G712" s="168"/>
      <c r="L712" s="168"/>
    </row>
    <row r="713">
      <c r="G713" s="168"/>
      <c r="L713" s="168"/>
    </row>
    <row r="714">
      <c r="G714" s="168"/>
      <c r="L714" s="168"/>
    </row>
    <row r="715">
      <c r="G715" s="168"/>
      <c r="L715" s="168"/>
    </row>
    <row r="716">
      <c r="G716" s="168"/>
      <c r="L716" s="168"/>
    </row>
    <row r="717">
      <c r="G717" s="168"/>
      <c r="L717" s="168"/>
    </row>
    <row r="718">
      <c r="G718" s="168"/>
      <c r="L718" s="168"/>
    </row>
    <row r="719">
      <c r="G719" s="168"/>
      <c r="L719" s="168"/>
    </row>
    <row r="720">
      <c r="G720" s="168"/>
      <c r="L720" s="168"/>
    </row>
    <row r="721">
      <c r="G721" s="168"/>
      <c r="L721" s="168"/>
    </row>
    <row r="722">
      <c r="G722" s="168"/>
      <c r="L722" s="168"/>
    </row>
    <row r="723">
      <c r="G723" s="168"/>
      <c r="L723" s="168"/>
    </row>
    <row r="724">
      <c r="G724" s="168"/>
      <c r="L724" s="168"/>
    </row>
    <row r="725">
      <c r="G725" s="168"/>
      <c r="L725" s="168"/>
    </row>
    <row r="726">
      <c r="G726" s="168"/>
      <c r="L726" s="168"/>
    </row>
    <row r="727">
      <c r="G727" s="168"/>
      <c r="L727" s="168"/>
    </row>
    <row r="728">
      <c r="G728" s="168"/>
      <c r="L728" s="168"/>
    </row>
    <row r="729">
      <c r="G729" s="168"/>
      <c r="L729" s="168"/>
    </row>
    <row r="730">
      <c r="G730" s="168"/>
      <c r="L730" s="168"/>
    </row>
    <row r="731">
      <c r="G731" s="168"/>
      <c r="L731" s="168"/>
    </row>
    <row r="732">
      <c r="G732" s="168"/>
      <c r="L732" s="168"/>
    </row>
    <row r="733">
      <c r="G733" s="168"/>
      <c r="L733" s="168"/>
    </row>
    <row r="734">
      <c r="G734" s="168"/>
      <c r="L734" s="168"/>
    </row>
    <row r="735">
      <c r="G735" s="168"/>
      <c r="L735" s="168"/>
    </row>
    <row r="736">
      <c r="G736" s="168"/>
      <c r="L736" s="168"/>
    </row>
    <row r="737">
      <c r="G737" s="168"/>
      <c r="L737" s="168"/>
    </row>
    <row r="738">
      <c r="G738" s="168"/>
      <c r="L738" s="168"/>
    </row>
    <row r="739">
      <c r="G739" s="168"/>
      <c r="L739" s="168"/>
    </row>
    <row r="740">
      <c r="G740" s="168"/>
      <c r="L740" s="168"/>
    </row>
    <row r="741">
      <c r="G741" s="168"/>
      <c r="L741" s="168"/>
    </row>
    <row r="742">
      <c r="G742" s="168"/>
      <c r="L742" s="168"/>
    </row>
    <row r="743">
      <c r="G743" s="168"/>
      <c r="L743" s="168"/>
    </row>
    <row r="744">
      <c r="G744" s="168"/>
      <c r="L744" s="168"/>
    </row>
    <row r="745">
      <c r="G745" s="168"/>
      <c r="L745" s="168"/>
    </row>
    <row r="746">
      <c r="G746" s="168"/>
      <c r="L746" s="168"/>
    </row>
    <row r="747">
      <c r="G747" s="168"/>
      <c r="L747" s="168"/>
    </row>
    <row r="748">
      <c r="G748" s="168"/>
      <c r="L748" s="168"/>
    </row>
    <row r="749">
      <c r="G749" s="168"/>
      <c r="L749" s="168"/>
    </row>
    <row r="750">
      <c r="G750" s="168"/>
      <c r="L750" s="168"/>
    </row>
    <row r="751">
      <c r="G751" s="168"/>
      <c r="L751" s="168"/>
    </row>
    <row r="752">
      <c r="G752" s="168"/>
      <c r="L752" s="168"/>
    </row>
    <row r="753">
      <c r="G753" s="168"/>
      <c r="L753" s="168"/>
    </row>
    <row r="754">
      <c r="G754" s="168"/>
      <c r="L754" s="168"/>
    </row>
    <row r="755">
      <c r="G755" s="168"/>
      <c r="L755" s="168"/>
    </row>
    <row r="756">
      <c r="G756" s="168"/>
      <c r="L756" s="168"/>
    </row>
    <row r="757">
      <c r="G757" s="168"/>
      <c r="L757" s="168"/>
    </row>
    <row r="758">
      <c r="G758" s="168"/>
      <c r="L758" s="168"/>
    </row>
    <row r="759">
      <c r="G759" s="168"/>
      <c r="L759" s="168"/>
    </row>
    <row r="760">
      <c r="G760" s="168"/>
      <c r="L760" s="168"/>
    </row>
    <row r="761">
      <c r="G761" s="168"/>
      <c r="L761" s="168"/>
    </row>
    <row r="762">
      <c r="G762" s="168"/>
      <c r="L762" s="168"/>
    </row>
    <row r="763">
      <c r="G763" s="168"/>
      <c r="L763" s="168"/>
    </row>
    <row r="764">
      <c r="G764" s="168"/>
      <c r="L764" s="168"/>
    </row>
    <row r="765">
      <c r="G765" s="168"/>
      <c r="L765" s="168"/>
    </row>
    <row r="766">
      <c r="G766" s="168"/>
      <c r="L766" s="168"/>
    </row>
    <row r="767">
      <c r="G767" s="168"/>
      <c r="L767" s="168"/>
    </row>
    <row r="768">
      <c r="G768" s="168"/>
      <c r="L768" s="168"/>
    </row>
    <row r="769">
      <c r="G769" s="168"/>
      <c r="L769" s="168"/>
    </row>
    <row r="770">
      <c r="G770" s="168"/>
      <c r="L770" s="168"/>
    </row>
    <row r="771">
      <c r="G771" s="168"/>
      <c r="L771" s="168"/>
    </row>
    <row r="772">
      <c r="G772" s="168"/>
      <c r="L772" s="168"/>
    </row>
    <row r="773">
      <c r="G773" s="168"/>
      <c r="L773" s="168"/>
    </row>
    <row r="774">
      <c r="G774" s="168"/>
      <c r="L774" s="168"/>
    </row>
    <row r="775">
      <c r="G775" s="168"/>
      <c r="L775" s="168"/>
    </row>
    <row r="776">
      <c r="G776" s="168"/>
      <c r="L776" s="168"/>
    </row>
    <row r="777">
      <c r="G777" s="168"/>
      <c r="L777" s="168"/>
    </row>
    <row r="778">
      <c r="G778" s="168"/>
      <c r="L778" s="168"/>
    </row>
    <row r="779">
      <c r="G779" s="168"/>
      <c r="L779" s="168"/>
    </row>
    <row r="780">
      <c r="G780" s="168"/>
      <c r="L780" s="168"/>
    </row>
    <row r="781">
      <c r="G781" s="168"/>
      <c r="L781" s="168"/>
    </row>
    <row r="782">
      <c r="G782" s="168"/>
      <c r="L782" s="168"/>
    </row>
    <row r="783">
      <c r="G783" s="168"/>
      <c r="L783" s="168"/>
    </row>
    <row r="784">
      <c r="G784" s="168"/>
      <c r="L784" s="168"/>
    </row>
    <row r="785">
      <c r="G785" s="168"/>
      <c r="L785" s="168"/>
    </row>
    <row r="786">
      <c r="G786" s="168"/>
      <c r="L786" s="168"/>
    </row>
    <row r="787">
      <c r="G787" s="168"/>
      <c r="L787" s="168"/>
    </row>
    <row r="788">
      <c r="G788" s="168"/>
      <c r="L788" s="168"/>
    </row>
    <row r="789">
      <c r="G789" s="168"/>
      <c r="L789" s="168"/>
    </row>
    <row r="790">
      <c r="G790" s="168"/>
      <c r="L790" s="168"/>
    </row>
    <row r="791">
      <c r="G791" s="168"/>
      <c r="L791" s="168"/>
    </row>
    <row r="792">
      <c r="G792" s="168"/>
      <c r="L792" s="168"/>
    </row>
    <row r="793">
      <c r="G793" s="168"/>
      <c r="L793" s="168"/>
    </row>
    <row r="794">
      <c r="G794" s="168"/>
      <c r="L794" s="168"/>
    </row>
    <row r="795">
      <c r="G795" s="168"/>
      <c r="L795" s="168"/>
    </row>
    <row r="796">
      <c r="G796" s="168"/>
      <c r="L796" s="168"/>
    </row>
    <row r="797">
      <c r="G797" s="168"/>
      <c r="L797" s="168"/>
    </row>
    <row r="798">
      <c r="G798" s="168"/>
      <c r="L798" s="168"/>
    </row>
    <row r="799">
      <c r="G799" s="168"/>
      <c r="L799" s="168"/>
    </row>
    <row r="800">
      <c r="G800" s="168"/>
      <c r="L800" s="168"/>
    </row>
    <row r="801">
      <c r="G801" s="168"/>
      <c r="L801" s="168"/>
    </row>
    <row r="802">
      <c r="G802" s="168"/>
      <c r="L802" s="168"/>
    </row>
    <row r="803">
      <c r="G803" s="168"/>
      <c r="L803" s="168"/>
    </row>
    <row r="804">
      <c r="G804" s="168"/>
      <c r="L804" s="168"/>
    </row>
    <row r="805">
      <c r="G805" s="168"/>
      <c r="L805" s="168"/>
    </row>
    <row r="806">
      <c r="G806" s="168"/>
      <c r="L806" s="168"/>
    </row>
    <row r="807">
      <c r="G807" s="168"/>
      <c r="L807" s="168"/>
    </row>
    <row r="808">
      <c r="G808" s="168"/>
      <c r="L808" s="168"/>
    </row>
    <row r="809">
      <c r="G809" s="168"/>
      <c r="L809" s="168"/>
    </row>
    <row r="810">
      <c r="G810" s="168"/>
      <c r="L810" s="168"/>
    </row>
    <row r="811">
      <c r="G811" s="168"/>
      <c r="L811" s="168"/>
    </row>
    <row r="812">
      <c r="G812" s="168"/>
      <c r="L812" s="168"/>
    </row>
    <row r="813">
      <c r="G813" s="168"/>
      <c r="L813" s="168"/>
    </row>
    <row r="814">
      <c r="G814" s="168"/>
      <c r="L814" s="168"/>
    </row>
    <row r="815">
      <c r="G815" s="168"/>
      <c r="L815" s="168"/>
    </row>
    <row r="816">
      <c r="G816" s="168"/>
      <c r="L816" s="168"/>
    </row>
    <row r="817">
      <c r="G817" s="168"/>
      <c r="L817" s="168"/>
    </row>
    <row r="818">
      <c r="G818" s="168"/>
      <c r="L818" s="168"/>
    </row>
    <row r="819">
      <c r="G819" s="168"/>
      <c r="L819" s="168"/>
    </row>
    <row r="820">
      <c r="G820" s="168"/>
      <c r="L820" s="168"/>
    </row>
    <row r="821">
      <c r="G821" s="168"/>
      <c r="L821" s="168"/>
    </row>
    <row r="822">
      <c r="G822" s="168"/>
      <c r="L822" s="168"/>
    </row>
    <row r="823">
      <c r="G823" s="168"/>
      <c r="L823" s="168"/>
    </row>
    <row r="824">
      <c r="G824" s="168"/>
      <c r="L824" s="168"/>
    </row>
    <row r="825">
      <c r="G825" s="168"/>
      <c r="L825" s="168"/>
    </row>
    <row r="826">
      <c r="G826" s="168"/>
      <c r="L826" s="168"/>
    </row>
    <row r="827">
      <c r="G827" s="168"/>
      <c r="L827" s="168"/>
    </row>
    <row r="828">
      <c r="G828" s="168"/>
      <c r="L828" s="168"/>
    </row>
    <row r="829">
      <c r="G829" s="168"/>
      <c r="L829" s="168"/>
    </row>
    <row r="830">
      <c r="G830" s="168"/>
      <c r="L830" s="168"/>
    </row>
    <row r="831">
      <c r="G831" s="168"/>
      <c r="L831" s="168"/>
    </row>
    <row r="832">
      <c r="G832" s="168"/>
      <c r="L832" s="168"/>
    </row>
    <row r="833">
      <c r="G833" s="168"/>
      <c r="L833" s="168"/>
    </row>
    <row r="834">
      <c r="G834" s="168"/>
      <c r="L834" s="168"/>
    </row>
    <row r="835">
      <c r="G835" s="168"/>
      <c r="L835" s="168"/>
    </row>
    <row r="836">
      <c r="G836" s="168"/>
      <c r="L836" s="168"/>
    </row>
    <row r="837">
      <c r="G837" s="168"/>
      <c r="L837" s="168"/>
    </row>
    <row r="838">
      <c r="G838" s="168"/>
      <c r="L838" s="168"/>
    </row>
    <row r="839">
      <c r="G839" s="168"/>
      <c r="L839" s="168"/>
    </row>
    <row r="840">
      <c r="G840" s="168"/>
      <c r="L840" s="168"/>
    </row>
    <row r="841">
      <c r="G841" s="168"/>
      <c r="L841" s="168"/>
    </row>
    <row r="842">
      <c r="G842" s="168"/>
      <c r="L842" s="168"/>
    </row>
    <row r="843">
      <c r="G843" s="168"/>
      <c r="L843" s="168"/>
    </row>
    <row r="844">
      <c r="G844" s="168"/>
      <c r="L844" s="168"/>
    </row>
    <row r="845">
      <c r="G845" s="168"/>
      <c r="L845" s="168"/>
    </row>
    <row r="846">
      <c r="G846" s="168"/>
      <c r="L846" s="168"/>
    </row>
    <row r="847">
      <c r="G847" s="168"/>
      <c r="L847" s="168"/>
    </row>
    <row r="848">
      <c r="G848" s="168"/>
      <c r="L848" s="168"/>
    </row>
    <row r="849">
      <c r="G849" s="168"/>
      <c r="L849" s="168"/>
    </row>
    <row r="850">
      <c r="G850" s="168"/>
      <c r="L850" s="168"/>
    </row>
    <row r="851">
      <c r="G851" s="168"/>
      <c r="L851" s="168"/>
    </row>
    <row r="852">
      <c r="G852" s="168"/>
      <c r="L852" s="168"/>
    </row>
    <row r="853">
      <c r="G853" s="168"/>
      <c r="L853" s="168"/>
    </row>
    <row r="854">
      <c r="G854" s="168"/>
      <c r="L854" s="168"/>
    </row>
    <row r="855">
      <c r="G855" s="168"/>
      <c r="L855" s="168"/>
    </row>
    <row r="856">
      <c r="G856" s="168"/>
      <c r="L856" s="168"/>
    </row>
    <row r="857">
      <c r="G857" s="168"/>
      <c r="L857" s="168"/>
    </row>
    <row r="858">
      <c r="G858" s="168"/>
      <c r="L858" s="168"/>
    </row>
    <row r="859">
      <c r="G859" s="168"/>
      <c r="L859" s="168"/>
    </row>
    <row r="860">
      <c r="G860" s="168"/>
      <c r="L860" s="168"/>
    </row>
    <row r="861">
      <c r="G861" s="168"/>
      <c r="L861" s="168"/>
    </row>
    <row r="862">
      <c r="G862" s="168"/>
      <c r="L862" s="168"/>
    </row>
    <row r="863">
      <c r="G863" s="168"/>
      <c r="L863" s="168"/>
    </row>
    <row r="864">
      <c r="G864" s="168"/>
      <c r="L864" s="168"/>
    </row>
    <row r="865">
      <c r="G865" s="168"/>
      <c r="L865" s="168"/>
    </row>
    <row r="866">
      <c r="G866" s="168"/>
      <c r="L866" s="168"/>
    </row>
    <row r="867">
      <c r="G867" s="168"/>
      <c r="L867" s="168"/>
    </row>
    <row r="868">
      <c r="G868" s="168"/>
      <c r="L868" s="168"/>
    </row>
    <row r="869">
      <c r="G869" s="168"/>
      <c r="L869" s="168"/>
    </row>
    <row r="870">
      <c r="G870" s="168"/>
      <c r="L870" s="168"/>
    </row>
    <row r="871">
      <c r="G871" s="168"/>
      <c r="L871" s="168"/>
    </row>
    <row r="872">
      <c r="G872" s="168"/>
      <c r="L872" s="168"/>
    </row>
    <row r="873">
      <c r="G873" s="168"/>
      <c r="L873" s="168"/>
    </row>
    <row r="874">
      <c r="G874" s="168"/>
      <c r="L874" s="168"/>
    </row>
    <row r="875">
      <c r="G875" s="168"/>
      <c r="L875" s="168"/>
    </row>
    <row r="876">
      <c r="G876" s="168"/>
      <c r="L876" s="168"/>
    </row>
    <row r="877">
      <c r="G877" s="168"/>
      <c r="L877" s="168"/>
    </row>
    <row r="878">
      <c r="G878" s="168"/>
      <c r="L878" s="168"/>
    </row>
    <row r="879">
      <c r="G879" s="168"/>
      <c r="L879" s="168"/>
    </row>
    <row r="880">
      <c r="G880" s="168"/>
      <c r="L880" s="168"/>
    </row>
    <row r="881">
      <c r="G881" s="168"/>
      <c r="L881" s="168"/>
    </row>
    <row r="882">
      <c r="G882" s="168"/>
      <c r="L882" s="168"/>
    </row>
    <row r="883">
      <c r="G883" s="168"/>
      <c r="L883" s="168"/>
    </row>
    <row r="884">
      <c r="G884" s="168"/>
      <c r="L884" s="168"/>
    </row>
    <row r="885">
      <c r="G885" s="168"/>
      <c r="L885" s="168"/>
    </row>
    <row r="886">
      <c r="G886" s="168"/>
      <c r="L886" s="168"/>
    </row>
    <row r="887">
      <c r="G887" s="168"/>
      <c r="L887" s="168"/>
    </row>
    <row r="888">
      <c r="G888" s="168"/>
      <c r="L888" s="168"/>
    </row>
    <row r="889">
      <c r="G889" s="168"/>
      <c r="L889" s="168"/>
    </row>
    <row r="890">
      <c r="G890" s="168"/>
      <c r="L890" s="168"/>
    </row>
    <row r="891">
      <c r="G891" s="168"/>
      <c r="L891" s="168"/>
    </row>
    <row r="892">
      <c r="G892" s="168"/>
      <c r="L892" s="168"/>
    </row>
    <row r="893">
      <c r="G893" s="168"/>
      <c r="L893" s="168"/>
    </row>
    <row r="894">
      <c r="G894" s="168"/>
      <c r="L894" s="168"/>
    </row>
    <row r="895">
      <c r="G895" s="168"/>
      <c r="L895" s="168"/>
    </row>
    <row r="896">
      <c r="G896" s="168"/>
      <c r="L896" s="168"/>
    </row>
    <row r="897">
      <c r="G897" s="168"/>
      <c r="L897" s="168"/>
    </row>
    <row r="898">
      <c r="G898" s="168"/>
      <c r="L898" s="168"/>
    </row>
    <row r="899">
      <c r="G899" s="168"/>
      <c r="L899" s="168"/>
    </row>
    <row r="900">
      <c r="G900" s="168"/>
      <c r="L900" s="168"/>
    </row>
    <row r="901">
      <c r="G901" s="168"/>
      <c r="L901" s="168"/>
    </row>
    <row r="902">
      <c r="G902" s="168"/>
      <c r="L902" s="168"/>
    </row>
    <row r="903">
      <c r="G903" s="168"/>
      <c r="L903" s="168"/>
    </row>
    <row r="904">
      <c r="G904" s="168"/>
      <c r="L904" s="168"/>
    </row>
    <row r="905">
      <c r="G905" s="168"/>
      <c r="L905" s="168"/>
    </row>
    <row r="906">
      <c r="G906" s="168"/>
      <c r="L906" s="168"/>
    </row>
    <row r="907">
      <c r="G907" s="168"/>
      <c r="L907" s="168"/>
    </row>
    <row r="908">
      <c r="G908" s="168"/>
      <c r="L908" s="168"/>
    </row>
    <row r="909">
      <c r="G909" s="168"/>
      <c r="L909" s="168"/>
    </row>
    <row r="910">
      <c r="G910" s="168"/>
      <c r="L910" s="168"/>
    </row>
    <row r="911">
      <c r="G911" s="168"/>
      <c r="L911" s="168"/>
    </row>
    <row r="912">
      <c r="G912" s="168"/>
      <c r="L912" s="168"/>
    </row>
    <row r="913">
      <c r="G913" s="168"/>
      <c r="L913" s="168"/>
    </row>
    <row r="914">
      <c r="G914" s="168"/>
      <c r="L914" s="168"/>
    </row>
    <row r="915">
      <c r="G915" s="168"/>
      <c r="L915" s="168"/>
    </row>
    <row r="916">
      <c r="G916" s="168"/>
      <c r="L916" s="168"/>
    </row>
    <row r="917">
      <c r="G917" s="168"/>
      <c r="L917" s="168"/>
    </row>
    <row r="918">
      <c r="G918" s="168"/>
      <c r="L918" s="168"/>
    </row>
    <row r="919">
      <c r="G919" s="168"/>
      <c r="L919" s="168"/>
    </row>
    <row r="920">
      <c r="G920" s="168"/>
      <c r="L920" s="168"/>
    </row>
    <row r="921">
      <c r="G921" s="168"/>
      <c r="L921" s="168"/>
    </row>
    <row r="922">
      <c r="G922" s="168"/>
      <c r="L922" s="168"/>
    </row>
    <row r="923">
      <c r="G923" s="168"/>
      <c r="L923" s="168"/>
    </row>
    <row r="924">
      <c r="G924" s="168"/>
      <c r="L924" s="168"/>
    </row>
    <row r="925">
      <c r="G925" s="168"/>
      <c r="L925" s="168"/>
    </row>
    <row r="926">
      <c r="G926" s="168"/>
      <c r="L926" s="168"/>
    </row>
    <row r="927">
      <c r="G927" s="168"/>
      <c r="L927" s="168"/>
    </row>
    <row r="928">
      <c r="G928" s="168"/>
      <c r="L928" s="168"/>
    </row>
    <row r="929">
      <c r="G929" s="168"/>
      <c r="L929" s="168"/>
    </row>
    <row r="930">
      <c r="G930" s="168"/>
      <c r="L930" s="168"/>
    </row>
    <row r="931">
      <c r="G931" s="168"/>
      <c r="L931" s="168"/>
    </row>
    <row r="932">
      <c r="G932" s="168"/>
      <c r="L932" s="168"/>
    </row>
    <row r="933">
      <c r="G933" s="168"/>
      <c r="L933" s="168"/>
    </row>
    <row r="934">
      <c r="G934" s="168"/>
      <c r="L934" s="168"/>
    </row>
    <row r="935">
      <c r="G935" s="168"/>
      <c r="L935" s="168"/>
    </row>
    <row r="936">
      <c r="G936" s="168"/>
      <c r="L936" s="168"/>
    </row>
    <row r="937">
      <c r="G937" s="168"/>
      <c r="L937" s="168"/>
    </row>
    <row r="938">
      <c r="G938" s="168"/>
      <c r="L938" s="168"/>
    </row>
    <row r="939">
      <c r="G939" s="168"/>
      <c r="L939" s="168"/>
    </row>
    <row r="940">
      <c r="G940" s="168"/>
      <c r="L940" s="168"/>
    </row>
    <row r="941">
      <c r="G941" s="168"/>
      <c r="L941" s="168"/>
    </row>
    <row r="942">
      <c r="G942" s="168"/>
      <c r="L942" s="168"/>
    </row>
    <row r="943">
      <c r="G943" s="168"/>
      <c r="L943" s="168"/>
    </row>
    <row r="944">
      <c r="G944" s="168"/>
      <c r="L944" s="168"/>
    </row>
    <row r="945">
      <c r="G945" s="168"/>
      <c r="L945" s="168"/>
    </row>
    <row r="946">
      <c r="G946" s="168"/>
      <c r="L946" s="168"/>
    </row>
    <row r="947">
      <c r="G947" s="168"/>
      <c r="L947" s="168"/>
    </row>
    <row r="948">
      <c r="G948" s="168"/>
      <c r="L948" s="168"/>
    </row>
    <row r="949">
      <c r="G949" s="168"/>
      <c r="L949" s="168"/>
    </row>
    <row r="950">
      <c r="G950" s="168"/>
      <c r="L950" s="168"/>
    </row>
    <row r="951">
      <c r="G951" s="168"/>
      <c r="L951" s="168"/>
    </row>
    <row r="952">
      <c r="G952" s="168"/>
      <c r="L952" s="168"/>
    </row>
    <row r="953">
      <c r="G953" s="168"/>
      <c r="L953" s="168"/>
    </row>
    <row r="954">
      <c r="G954" s="168"/>
      <c r="L954" s="168"/>
    </row>
    <row r="955">
      <c r="G955" s="168"/>
      <c r="L955" s="168"/>
    </row>
    <row r="956">
      <c r="G956" s="168"/>
      <c r="L956" s="168"/>
    </row>
    <row r="957">
      <c r="G957" s="168"/>
      <c r="L957" s="168"/>
    </row>
    <row r="958">
      <c r="G958" s="168"/>
      <c r="L958" s="168"/>
    </row>
    <row r="959">
      <c r="G959" s="168"/>
      <c r="L959" s="168"/>
    </row>
    <row r="960">
      <c r="G960" s="168"/>
      <c r="L960" s="168"/>
    </row>
    <row r="961">
      <c r="G961" s="168"/>
      <c r="L961" s="168"/>
    </row>
    <row r="962">
      <c r="G962" s="168"/>
      <c r="L962" s="168"/>
    </row>
    <row r="963">
      <c r="G963" s="168"/>
      <c r="L963" s="168"/>
    </row>
    <row r="964">
      <c r="G964" s="168"/>
      <c r="L964" s="168"/>
    </row>
    <row r="965">
      <c r="G965" s="168"/>
      <c r="L965" s="168"/>
    </row>
    <row r="966">
      <c r="G966" s="168"/>
      <c r="L966" s="168"/>
    </row>
    <row r="967">
      <c r="G967" s="168"/>
      <c r="L967" s="168"/>
    </row>
    <row r="968">
      <c r="G968" s="168"/>
      <c r="L968" s="168"/>
    </row>
    <row r="969">
      <c r="G969" s="168"/>
      <c r="L969" s="168"/>
    </row>
    <row r="970">
      <c r="G970" s="168"/>
      <c r="L970" s="168"/>
    </row>
    <row r="971">
      <c r="G971" s="168"/>
      <c r="L971" s="168"/>
    </row>
    <row r="972">
      <c r="G972" s="168"/>
      <c r="L972" s="168"/>
    </row>
    <row r="973">
      <c r="G973" s="168"/>
      <c r="L973" s="168"/>
    </row>
    <row r="974">
      <c r="G974" s="168"/>
      <c r="L974" s="168"/>
    </row>
    <row r="975">
      <c r="G975" s="168"/>
      <c r="L975" s="168"/>
    </row>
    <row r="976">
      <c r="G976" s="168"/>
      <c r="L976" s="168"/>
    </row>
    <row r="977">
      <c r="G977" s="168"/>
      <c r="L977" s="168"/>
    </row>
    <row r="978">
      <c r="G978" s="168"/>
      <c r="L978" s="168"/>
    </row>
    <row r="979">
      <c r="G979" s="168"/>
      <c r="L979" s="168"/>
    </row>
    <row r="980">
      <c r="G980" s="168"/>
      <c r="L980" s="168"/>
    </row>
    <row r="981">
      <c r="G981" s="168"/>
      <c r="L981" s="168"/>
    </row>
    <row r="982">
      <c r="G982" s="168"/>
      <c r="L982" s="168"/>
    </row>
    <row r="983">
      <c r="G983" s="168"/>
      <c r="L983" s="168"/>
    </row>
    <row r="984">
      <c r="G984" s="168"/>
      <c r="L984" s="168"/>
    </row>
    <row r="985">
      <c r="G985" s="168"/>
      <c r="L985" s="168"/>
    </row>
    <row r="986">
      <c r="G986" s="168"/>
      <c r="L986" s="168"/>
    </row>
    <row r="987">
      <c r="G987" s="168"/>
      <c r="L987" s="168"/>
    </row>
    <row r="988">
      <c r="G988" s="168"/>
      <c r="L988" s="168"/>
    </row>
    <row r="989">
      <c r="G989" s="168"/>
      <c r="L989" s="168"/>
    </row>
    <row r="990">
      <c r="G990" s="168"/>
      <c r="L990" s="168"/>
    </row>
    <row r="991">
      <c r="G991" s="168"/>
      <c r="L991" s="168"/>
    </row>
    <row r="992">
      <c r="G992" s="168"/>
      <c r="L992" s="168"/>
    </row>
    <row r="993">
      <c r="G993" s="168"/>
      <c r="L993" s="168"/>
    </row>
    <row r="994">
      <c r="G994" s="168"/>
      <c r="L994" s="168"/>
    </row>
    <row r="995">
      <c r="G995" s="168"/>
      <c r="L995" s="168"/>
    </row>
    <row r="996">
      <c r="G996" s="168"/>
      <c r="L996" s="168"/>
    </row>
    <row r="997">
      <c r="G997" s="168"/>
      <c r="L997" s="168"/>
    </row>
    <row r="998">
      <c r="G998" s="168"/>
      <c r="L998" s="168"/>
    </row>
    <row r="999">
      <c r="G999" s="168"/>
      <c r="L999" s="168"/>
    </row>
    <row r="1000">
      <c r="G1000" s="168"/>
      <c r="L1000" s="168"/>
    </row>
    <row r="1001">
      <c r="G1001" s="168"/>
      <c r="L1001" s="168"/>
    </row>
    <row r="1002">
      <c r="G1002" s="168"/>
      <c r="L1002" s="168"/>
    </row>
    <row r="1003">
      <c r="G1003" s="168"/>
      <c r="L1003" s="168"/>
    </row>
    <row r="1004">
      <c r="G1004" s="168"/>
      <c r="L1004" s="168"/>
    </row>
    <row r="1005">
      <c r="G1005" s="168"/>
      <c r="L1005" s="168"/>
    </row>
    <row r="1006">
      <c r="G1006" s="168"/>
      <c r="L1006" s="168"/>
    </row>
    <row r="1007">
      <c r="G1007" s="168"/>
      <c r="L1007" s="168"/>
    </row>
    <row r="1008">
      <c r="G1008" s="168"/>
      <c r="L1008" s="168"/>
    </row>
    <row r="1009">
      <c r="G1009" s="168"/>
      <c r="L1009" s="168"/>
    </row>
    <row r="1010">
      <c r="G1010" s="168"/>
      <c r="L1010" s="168"/>
    </row>
    <row r="1011">
      <c r="G1011" s="168"/>
      <c r="L1011" s="168"/>
    </row>
    <row r="1012">
      <c r="G1012" s="168"/>
      <c r="L1012" s="168"/>
    </row>
    <row r="1013">
      <c r="G1013" s="168"/>
      <c r="L1013" s="168"/>
    </row>
    <row r="1014">
      <c r="G1014" s="168"/>
      <c r="L1014" s="168"/>
    </row>
    <row r="1015">
      <c r="G1015" s="168"/>
      <c r="L1015" s="168"/>
    </row>
    <row r="1016">
      <c r="G1016" s="168"/>
      <c r="L1016" s="168"/>
    </row>
    <row r="1017">
      <c r="G1017" s="168"/>
      <c r="L1017" s="168"/>
    </row>
    <row r="1018">
      <c r="G1018" s="168"/>
      <c r="L1018" s="168"/>
    </row>
    <row r="1019">
      <c r="G1019" s="168"/>
      <c r="L1019" s="168"/>
    </row>
    <row r="1020">
      <c r="G1020" s="168"/>
      <c r="L1020" s="168"/>
    </row>
    <row r="1021">
      <c r="G1021" s="168"/>
      <c r="L1021" s="168"/>
    </row>
    <row r="1022">
      <c r="G1022" s="168"/>
      <c r="L1022" s="168"/>
    </row>
    <row r="1023">
      <c r="G1023" s="168"/>
      <c r="L1023" s="168"/>
    </row>
    <row r="1024">
      <c r="G1024" s="168"/>
      <c r="L1024" s="168"/>
    </row>
    <row r="1025">
      <c r="G1025" s="168"/>
      <c r="L1025" s="168"/>
    </row>
    <row r="1026">
      <c r="G1026" s="168"/>
      <c r="L1026" s="168"/>
    </row>
    <row r="1027">
      <c r="G1027" s="168"/>
      <c r="L1027" s="168"/>
    </row>
    <row r="1028">
      <c r="G1028" s="168"/>
      <c r="L1028" s="168"/>
    </row>
    <row r="1029">
      <c r="G1029" s="168"/>
      <c r="L1029" s="168"/>
    </row>
    <row r="1030">
      <c r="G1030" s="168"/>
      <c r="L1030" s="168"/>
    </row>
    <row r="1031">
      <c r="G1031" s="168"/>
      <c r="L1031" s="168"/>
    </row>
    <row r="1032">
      <c r="G1032" s="168"/>
      <c r="L1032" s="168"/>
    </row>
    <row r="1033">
      <c r="G1033" s="168"/>
      <c r="L1033" s="168"/>
    </row>
    <row r="1034">
      <c r="G1034" s="168"/>
      <c r="L1034" s="168"/>
    </row>
    <row r="1035">
      <c r="G1035" s="168"/>
      <c r="L1035" s="168"/>
    </row>
    <row r="1036">
      <c r="G1036" s="168"/>
      <c r="L1036" s="168"/>
    </row>
    <row r="1037">
      <c r="G1037" s="168"/>
      <c r="L1037" s="168"/>
    </row>
    <row r="1038">
      <c r="G1038" s="168"/>
      <c r="L1038" s="168"/>
    </row>
    <row r="1039">
      <c r="G1039" s="168"/>
      <c r="L1039" s="168"/>
    </row>
    <row r="1040">
      <c r="G1040" s="168"/>
      <c r="L1040" s="168"/>
    </row>
    <row r="1041">
      <c r="G1041" s="168"/>
      <c r="L1041" s="168"/>
    </row>
    <row r="1042">
      <c r="G1042" s="168"/>
      <c r="L1042" s="168"/>
    </row>
    <row r="1043">
      <c r="G1043" s="168"/>
      <c r="L1043" s="168"/>
    </row>
    <row r="1044">
      <c r="G1044" s="168"/>
      <c r="L1044" s="168"/>
    </row>
    <row r="1045">
      <c r="G1045" s="168"/>
      <c r="L1045" s="168"/>
    </row>
    <row r="1046">
      <c r="G1046" s="168"/>
      <c r="L1046" s="168"/>
    </row>
    <row r="1047">
      <c r="G1047" s="168"/>
      <c r="L1047" s="168"/>
    </row>
    <row r="1048">
      <c r="G1048" s="168"/>
      <c r="L1048" s="168"/>
    </row>
    <row r="1049">
      <c r="G1049" s="168"/>
      <c r="L1049" s="168"/>
    </row>
    <row r="1050">
      <c r="G1050" s="168"/>
      <c r="L1050" s="168"/>
    </row>
    <row r="1051">
      <c r="G1051" s="168"/>
      <c r="L1051" s="168"/>
    </row>
    <row r="1052">
      <c r="G1052" s="168"/>
      <c r="L1052" s="168"/>
    </row>
    <row r="1053">
      <c r="G1053" s="168"/>
      <c r="L1053" s="168"/>
    </row>
    <row r="1054">
      <c r="G1054" s="168"/>
      <c r="L1054" s="168"/>
    </row>
    <row r="1055">
      <c r="G1055" s="168"/>
      <c r="L1055" s="168"/>
    </row>
    <row r="1056">
      <c r="G1056" s="168"/>
      <c r="L1056" s="168"/>
    </row>
    <row r="1057">
      <c r="G1057" s="168"/>
      <c r="L1057" s="168"/>
    </row>
    <row r="1058">
      <c r="G1058" s="168"/>
      <c r="L1058" s="168"/>
    </row>
    <row r="1059">
      <c r="G1059" s="168"/>
      <c r="L1059" s="168"/>
    </row>
    <row r="1060">
      <c r="G1060" s="168"/>
      <c r="L1060" s="168"/>
    </row>
    <row r="1061">
      <c r="G1061" s="168"/>
      <c r="L1061" s="168"/>
    </row>
    <row r="1062">
      <c r="G1062" s="168"/>
      <c r="L1062" s="168"/>
    </row>
    <row r="1063">
      <c r="G1063" s="168"/>
      <c r="L1063" s="168"/>
    </row>
    <row r="1064">
      <c r="G1064" s="168"/>
      <c r="L1064" s="168"/>
    </row>
    <row r="1065">
      <c r="G1065" s="168"/>
      <c r="L1065" s="168"/>
    </row>
    <row r="1066">
      <c r="G1066" s="168"/>
      <c r="L1066" s="168"/>
    </row>
  </sheetData>
  <mergeCells count="3">
    <mergeCell ref="A1:N1"/>
    <mergeCell ref="A152:M152"/>
    <mergeCell ref="A213:L213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98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</row>
    <row r="3">
      <c r="A3" s="70">
        <v>45782.0</v>
      </c>
      <c r="B3" s="302" t="s">
        <v>11</v>
      </c>
      <c r="C3" s="89">
        <v>180489.0</v>
      </c>
      <c r="D3" s="89">
        <v>180776.0</v>
      </c>
      <c r="E3" s="38">
        <f t="shared" ref="E3:E9" si="1">D3-C3</f>
        <v>287</v>
      </c>
      <c r="F3" s="39">
        <v>50.0</v>
      </c>
      <c r="G3" s="14">
        <f t="shared" ref="G3:G9" si="2">(F3/E3)*100</f>
        <v>17.42160279</v>
      </c>
      <c r="H3" s="89">
        <v>14081.0</v>
      </c>
      <c r="I3" s="138">
        <v>14464.0</v>
      </c>
      <c r="J3" s="41">
        <f t="shared" ref="J3:J9" si="3">I3-H3</f>
        <v>383</v>
      </c>
      <c r="K3" s="41">
        <f t="shared" ref="K3:K9" si="4">F3</f>
        <v>50</v>
      </c>
      <c r="L3" s="303">
        <f t="shared" ref="L3:L9" si="5">(K3/J3)*100</f>
        <v>13.05483029</v>
      </c>
      <c r="M3" s="72">
        <v>17520.0</v>
      </c>
      <c r="N3" s="336">
        <f t="shared" ref="N3:N9" si="6">F3*M3</f>
        <v>876000</v>
      </c>
    </row>
    <row r="4">
      <c r="A4" s="154">
        <v>45784.0</v>
      </c>
      <c r="B4" s="156" t="s">
        <v>11</v>
      </c>
      <c r="C4" s="89">
        <v>180776.0</v>
      </c>
      <c r="D4" s="89">
        <v>181189.0</v>
      </c>
      <c r="E4" s="12">
        <f t="shared" si="1"/>
        <v>413</v>
      </c>
      <c r="F4" s="157">
        <v>50.0</v>
      </c>
      <c r="G4" s="14">
        <f t="shared" si="2"/>
        <v>12.10653753</v>
      </c>
      <c r="H4" s="138">
        <v>14464.0</v>
      </c>
      <c r="I4" s="138">
        <v>14848.0</v>
      </c>
      <c r="J4" s="41">
        <f t="shared" si="3"/>
        <v>384</v>
      </c>
      <c r="K4" s="89">
        <f t="shared" si="4"/>
        <v>50</v>
      </c>
      <c r="L4" s="152">
        <f t="shared" si="5"/>
        <v>13.02083333</v>
      </c>
      <c r="M4" s="126">
        <v>17350.0</v>
      </c>
      <c r="N4" s="338">
        <f t="shared" si="6"/>
        <v>867500</v>
      </c>
    </row>
    <row r="5">
      <c r="A5" s="154">
        <v>45790.0</v>
      </c>
      <c r="B5" s="156" t="s">
        <v>11</v>
      </c>
      <c r="C5" s="89">
        <v>181189.0</v>
      </c>
      <c r="D5" s="89">
        <v>181588.0</v>
      </c>
      <c r="E5" s="12">
        <f t="shared" si="1"/>
        <v>399</v>
      </c>
      <c r="F5" s="157">
        <v>50.0</v>
      </c>
      <c r="G5" s="14">
        <f t="shared" si="2"/>
        <v>12.53132832</v>
      </c>
      <c r="H5" s="137">
        <v>14464.0</v>
      </c>
      <c r="I5" s="137"/>
      <c r="J5" s="89">
        <f t="shared" si="3"/>
        <v>-14464</v>
      </c>
      <c r="K5" s="89">
        <f t="shared" si="4"/>
        <v>50</v>
      </c>
      <c r="L5" s="152">
        <f t="shared" si="5"/>
        <v>-0.3456858407</v>
      </c>
      <c r="M5" s="126">
        <v>16800.0</v>
      </c>
      <c r="N5" s="338">
        <f t="shared" si="6"/>
        <v>840000</v>
      </c>
    </row>
    <row r="6">
      <c r="A6" s="279">
        <v>45793.0</v>
      </c>
      <c r="B6" s="156" t="s">
        <v>11</v>
      </c>
      <c r="C6" s="89">
        <v>181588.0</v>
      </c>
      <c r="D6" s="89">
        <v>181941.0</v>
      </c>
      <c r="E6" s="12">
        <f t="shared" si="1"/>
        <v>353</v>
      </c>
      <c r="F6" s="157">
        <v>44.0</v>
      </c>
      <c r="G6" s="14">
        <f t="shared" si="2"/>
        <v>12.46458924</v>
      </c>
      <c r="H6" s="89"/>
      <c r="I6" s="137"/>
      <c r="J6" s="89">
        <f t="shared" si="3"/>
        <v>0</v>
      </c>
      <c r="K6" s="89">
        <f t="shared" si="4"/>
        <v>44</v>
      </c>
      <c r="L6" s="152" t="str">
        <f t="shared" si="5"/>
        <v>#DIV/0!</v>
      </c>
      <c r="M6" s="126">
        <v>17220.0</v>
      </c>
      <c r="N6" s="338">
        <f t="shared" si="6"/>
        <v>757680</v>
      </c>
    </row>
    <row r="7">
      <c r="A7" s="154">
        <v>45798.0</v>
      </c>
      <c r="B7" s="156" t="s">
        <v>11</v>
      </c>
      <c r="C7" s="89">
        <v>181941.0</v>
      </c>
      <c r="D7" s="89">
        <v>182302.0</v>
      </c>
      <c r="E7" s="12">
        <f t="shared" si="1"/>
        <v>361</v>
      </c>
      <c r="F7" s="157">
        <v>50.0</v>
      </c>
      <c r="G7" s="14">
        <f t="shared" si="2"/>
        <v>13.85041551</v>
      </c>
      <c r="H7" s="89"/>
      <c r="I7" s="137"/>
      <c r="J7" s="89">
        <f t="shared" si="3"/>
        <v>0</v>
      </c>
      <c r="K7" s="89">
        <f t="shared" si="4"/>
        <v>50</v>
      </c>
      <c r="L7" s="152" t="str">
        <f t="shared" si="5"/>
        <v>#DIV/0!</v>
      </c>
      <c r="M7" s="126">
        <v>17220.0</v>
      </c>
      <c r="N7" s="339">
        <f t="shared" si="6"/>
        <v>861000</v>
      </c>
    </row>
    <row r="8">
      <c r="A8" s="154">
        <v>45804.0</v>
      </c>
      <c r="B8" s="99" t="s">
        <v>11</v>
      </c>
      <c r="C8" s="89">
        <v>182302.0</v>
      </c>
      <c r="D8" s="89">
        <v>182735.0</v>
      </c>
      <c r="E8" s="12">
        <f t="shared" si="1"/>
        <v>433</v>
      </c>
      <c r="F8" s="157">
        <v>40.0</v>
      </c>
      <c r="G8" s="14">
        <f t="shared" si="2"/>
        <v>9.237875289</v>
      </c>
      <c r="H8" s="89"/>
      <c r="I8" s="137">
        <v>16210.0</v>
      </c>
      <c r="J8" s="89">
        <f t="shared" si="3"/>
        <v>16210</v>
      </c>
      <c r="K8" s="89">
        <f t="shared" si="4"/>
        <v>40</v>
      </c>
      <c r="L8" s="152">
        <f t="shared" si="5"/>
        <v>0.2467612585</v>
      </c>
      <c r="M8" s="126">
        <v>17400.0</v>
      </c>
      <c r="N8" s="339">
        <f t="shared" si="6"/>
        <v>696000</v>
      </c>
    </row>
    <row r="9">
      <c r="A9" s="304">
        <v>45807.0</v>
      </c>
      <c r="B9" s="156" t="s">
        <v>11</v>
      </c>
      <c r="C9" s="149">
        <v>182735.0</v>
      </c>
      <c r="D9" s="149">
        <v>183030.0</v>
      </c>
      <c r="E9" s="25">
        <f t="shared" si="1"/>
        <v>295</v>
      </c>
      <c r="F9" s="161">
        <v>40.0</v>
      </c>
      <c r="G9" s="56">
        <f t="shared" si="2"/>
        <v>13.55932203</v>
      </c>
      <c r="H9" s="149"/>
      <c r="I9" s="151"/>
      <c r="J9" s="149">
        <f t="shared" si="3"/>
        <v>0</v>
      </c>
      <c r="K9" s="149">
        <f t="shared" si="4"/>
        <v>40</v>
      </c>
      <c r="L9" s="71" t="str">
        <f t="shared" si="5"/>
        <v>#DIV/0!</v>
      </c>
      <c r="M9" s="153">
        <v>17130.0</v>
      </c>
      <c r="N9" s="340">
        <f t="shared" si="6"/>
        <v>685200</v>
      </c>
    </row>
    <row r="10">
      <c r="A10" s="62"/>
      <c r="B10" s="63"/>
      <c r="C10" s="62"/>
      <c r="D10" s="64" t="s">
        <v>19</v>
      </c>
      <c r="E10" s="64">
        <f t="shared" ref="E10:F10" si="7">sum(E3:E9)</f>
        <v>2541</v>
      </c>
      <c r="F10" s="64">
        <f t="shared" si="7"/>
        <v>324</v>
      </c>
      <c r="G10" s="65">
        <f>average(G3:G9)</f>
        <v>13.02452439</v>
      </c>
      <c r="H10" s="62"/>
      <c r="I10" s="66"/>
      <c r="J10" s="64">
        <f t="shared" ref="J10:K10" si="8">sum(J3:J9)</f>
        <v>2513</v>
      </c>
      <c r="K10" s="64">
        <f t="shared" si="8"/>
        <v>324</v>
      </c>
      <c r="L10" s="65" t="str">
        <f>average(L3:L9)</f>
        <v>#DIV/0!</v>
      </c>
      <c r="M10" s="68"/>
      <c r="N10" s="341">
        <f>sum(N3:N9)</f>
        <v>5583380</v>
      </c>
    </row>
    <row r="11">
      <c r="A11" s="70">
        <v>45785.0</v>
      </c>
      <c r="B11" s="302" t="s">
        <v>12</v>
      </c>
      <c r="C11" s="89">
        <v>143523.0</v>
      </c>
      <c r="D11" s="89">
        <v>143989.0</v>
      </c>
      <c r="E11" s="38">
        <f t="shared" ref="E11:E17" si="9">D11-C11</f>
        <v>466</v>
      </c>
      <c r="F11" s="39">
        <v>60.0</v>
      </c>
      <c r="G11" s="14">
        <f t="shared" ref="G11:G17" si="10">(F11/E11)*100</f>
        <v>12.87553648</v>
      </c>
      <c r="H11" s="137"/>
      <c r="I11" s="138"/>
      <c r="J11" s="41">
        <f t="shared" ref="J11:J17" si="11">I11-H11</f>
        <v>0</v>
      </c>
      <c r="K11" s="41">
        <f t="shared" ref="K11:K17" si="12">F11</f>
        <v>60</v>
      </c>
      <c r="L11" s="303" t="str">
        <f t="shared" ref="L11:L17" si="13">(K11/J11)*100</f>
        <v>#DIV/0!</v>
      </c>
      <c r="M11" s="72">
        <v>16800.0</v>
      </c>
      <c r="N11" s="336">
        <f t="shared" ref="N11:N17" si="14">F11*M11</f>
        <v>1008000</v>
      </c>
    </row>
    <row r="12">
      <c r="A12" s="154">
        <v>45791.0</v>
      </c>
      <c r="B12" s="156" t="s">
        <v>12</v>
      </c>
      <c r="C12" s="89">
        <v>143989.0</v>
      </c>
      <c r="D12" s="89">
        <v>144418.0</v>
      </c>
      <c r="E12" s="12">
        <f t="shared" si="9"/>
        <v>429</v>
      </c>
      <c r="F12" s="157">
        <v>53.0</v>
      </c>
      <c r="G12" s="14">
        <f t="shared" si="10"/>
        <v>12.35431235</v>
      </c>
      <c r="H12" s="89"/>
      <c r="I12" s="137">
        <v>11949.0</v>
      </c>
      <c r="J12" s="89">
        <f t="shared" si="11"/>
        <v>11949</v>
      </c>
      <c r="K12" s="89">
        <f t="shared" si="12"/>
        <v>53</v>
      </c>
      <c r="L12" s="152">
        <f t="shared" si="13"/>
        <v>0.4435517617</v>
      </c>
      <c r="M12" s="126">
        <v>16800.0</v>
      </c>
      <c r="N12" s="338">
        <f t="shared" si="14"/>
        <v>890400</v>
      </c>
    </row>
    <row r="13">
      <c r="A13" s="154">
        <v>45798.0</v>
      </c>
      <c r="B13" s="156" t="s">
        <v>12</v>
      </c>
      <c r="C13" s="89">
        <v>144418.0</v>
      </c>
      <c r="D13" s="89">
        <v>144866.0</v>
      </c>
      <c r="E13" s="12">
        <f t="shared" si="9"/>
        <v>448</v>
      </c>
      <c r="F13" s="157">
        <v>58.0</v>
      </c>
      <c r="G13" s="14">
        <f t="shared" si="10"/>
        <v>12.94642857</v>
      </c>
      <c r="H13" s="89"/>
      <c r="I13" s="137"/>
      <c r="J13" s="89">
        <f t="shared" si="11"/>
        <v>0</v>
      </c>
      <c r="K13" s="89">
        <f t="shared" si="12"/>
        <v>58</v>
      </c>
      <c r="L13" s="152" t="str">
        <f t="shared" si="13"/>
        <v>#DIV/0!</v>
      </c>
      <c r="M13" s="126">
        <v>17220.0</v>
      </c>
      <c r="N13" s="338">
        <f t="shared" si="14"/>
        <v>998760</v>
      </c>
    </row>
    <row r="14">
      <c r="A14" s="155">
        <v>45805.0</v>
      </c>
      <c r="B14" s="156" t="s">
        <v>12</v>
      </c>
      <c r="C14" s="89">
        <v>144866.0</v>
      </c>
      <c r="D14" s="89"/>
      <c r="E14" s="12">
        <f t="shared" si="9"/>
        <v>-144866</v>
      </c>
      <c r="F14" s="157">
        <v>50.0</v>
      </c>
      <c r="G14" s="14">
        <f t="shared" si="10"/>
        <v>-0.03451465492</v>
      </c>
      <c r="H14" s="89"/>
      <c r="I14" s="137">
        <v>14766.0</v>
      </c>
      <c r="J14" s="89">
        <f t="shared" si="11"/>
        <v>14766</v>
      </c>
      <c r="K14" s="89">
        <f t="shared" si="12"/>
        <v>50</v>
      </c>
      <c r="L14" s="152">
        <f t="shared" si="13"/>
        <v>0.3386157389</v>
      </c>
      <c r="M14" s="126">
        <v>17400.0</v>
      </c>
      <c r="N14" s="339">
        <f t="shared" si="14"/>
        <v>870000</v>
      </c>
    </row>
    <row r="15">
      <c r="A15" s="154"/>
      <c r="B15" s="156" t="s">
        <v>12</v>
      </c>
      <c r="C15" s="89"/>
      <c r="D15" s="89"/>
      <c r="E15" s="12">
        <f t="shared" si="9"/>
        <v>0</v>
      </c>
      <c r="F15" s="157"/>
      <c r="G15" s="14" t="str">
        <f t="shared" si="10"/>
        <v>#DIV/0!</v>
      </c>
      <c r="H15" s="137"/>
      <c r="I15" s="137"/>
      <c r="J15" s="89">
        <f t="shared" si="11"/>
        <v>0</v>
      </c>
      <c r="K15" s="89" t="str">
        <f t="shared" si="12"/>
        <v/>
      </c>
      <c r="L15" s="152" t="str">
        <f t="shared" si="13"/>
        <v>#DIV/0!</v>
      </c>
      <c r="M15" s="126"/>
      <c r="N15" s="339">
        <f t="shared" si="14"/>
        <v>0</v>
      </c>
    </row>
    <row r="16">
      <c r="A16" s="320"/>
      <c r="B16" s="156" t="s">
        <v>12</v>
      </c>
      <c r="C16" s="89"/>
      <c r="D16" s="158"/>
      <c r="E16" s="12">
        <f t="shared" si="9"/>
        <v>0</v>
      </c>
      <c r="F16" s="321"/>
      <c r="G16" s="14" t="str">
        <f t="shared" si="10"/>
        <v>#DIV/0!</v>
      </c>
      <c r="H16" s="89"/>
      <c r="I16" s="159"/>
      <c r="J16" s="89">
        <f t="shared" si="11"/>
        <v>0</v>
      </c>
      <c r="K16" s="89" t="str">
        <f t="shared" si="12"/>
        <v/>
      </c>
      <c r="L16" s="152" t="str">
        <f t="shared" si="13"/>
        <v>#DIV/0!</v>
      </c>
      <c r="M16" s="322"/>
      <c r="N16" s="342">
        <f t="shared" si="14"/>
        <v>0</v>
      </c>
    </row>
    <row r="17">
      <c r="A17" s="305"/>
      <c r="B17" s="306"/>
      <c r="C17" s="149"/>
      <c r="D17" s="150"/>
      <c r="E17" s="25">
        <f t="shared" si="9"/>
        <v>0</v>
      </c>
      <c r="F17" s="307"/>
      <c r="G17" s="56" t="str">
        <f t="shared" si="10"/>
        <v>#DIV/0!</v>
      </c>
      <c r="H17" s="149"/>
      <c r="I17" s="151"/>
      <c r="J17" s="149">
        <f t="shared" si="11"/>
        <v>0</v>
      </c>
      <c r="K17" s="149" t="str">
        <f t="shared" si="12"/>
        <v/>
      </c>
      <c r="L17" s="71" t="str">
        <f t="shared" si="13"/>
        <v>#DIV/0!</v>
      </c>
      <c r="M17" s="308"/>
      <c r="N17" s="340">
        <f t="shared" si="14"/>
        <v>0</v>
      </c>
    </row>
    <row r="18">
      <c r="A18" s="62"/>
      <c r="B18" s="63"/>
      <c r="C18" s="62"/>
      <c r="D18" s="64" t="s">
        <v>19</v>
      </c>
      <c r="E18" s="64">
        <f t="shared" ref="E18:F18" si="15">sum(E11:E17)</f>
        <v>-143523</v>
      </c>
      <c r="F18" s="64">
        <f t="shared" si="15"/>
        <v>221</v>
      </c>
      <c r="G18" s="65" t="str">
        <f>average(G11:G17)</f>
        <v>#DIV/0!</v>
      </c>
      <c r="H18" s="62"/>
      <c r="I18" s="66"/>
      <c r="J18" s="64">
        <f t="shared" ref="J18:K18" si="16">sum(J11:J17)</f>
        <v>26715</v>
      </c>
      <c r="K18" s="64">
        <f t="shared" si="16"/>
        <v>221</v>
      </c>
      <c r="L18" s="65" t="str">
        <f>average(L11:L17)</f>
        <v>#DIV/0!</v>
      </c>
      <c r="M18" s="68"/>
      <c r="N18" s="341">
        <f>sum(N11:N17)</f>
        <v>3767160</v>
      </c>
    </row>
    <row r="19">
      <c r="A19" s="70">
        <v>45779.0</v>
      </c>
      <c r="B19" s="302" t="s">
        <v>13</v>
      </c>
      <c r="C19" s="89">
        <v>162006.0</v>
      </c>
      <c r="D19" s="41">
        <v>162399.0</v>
      </c>
      <c r="E19" s="38">
        <f t="shared" ref="E19:E26" si="17">D19-C19</f>
        <v>393</v>
      </c>
      <c r="F19" s="39">
        <v>55.0</v>
      </c>
      <c r="G19" s="14">
        <f t="shared" ref="G19:G26" si="18">(F19/E19)*100</f>
        <v>13.99491094</v>
      </c>
      <c r="H19" s="89">
        <v>13793.0</v>
      </c>
      <c r="I19" s="138"/>
      <c r="J19" s="41">
        <f t="shared" ref="J19:J26" si="19">I19-H19</f>
        <v>-13793</v>
      </c>
      <c r="K19" s="41">
        <f t="shared" ref="K19:K26" si="20">F19</f>
        <v>55</v>
      </c>
      <c r="L19" s="152">
        <f t="shared" ref="L19:L26" si="21">(K19/J19)*100</f>
        <v>-0.3987529906</v>
      </c>
      <c r="M19" s="72">
        <v>17520.0</v>
      </c>
      <c r="N19" s="336">
        <f t="shared" ref="N19:N26" si="22">F19*M19</f>
        <v>963600</v>
      </c>
    </row>
    <row r="20">
      <c r="A20" s="154">
        <v>45785.0</v>
      </c>
      <c r="B20" s="156" t="s">
        <v>13</v>
      </c>
      <c r="C20" s="41">
        <v>162399.0</v>
      </c>
      <c r="D20" s="89">
        <v>162777.0</v>
      </c>
      <c r="E20" s="12">
        <f t="shared" si="17"/>
        <v>378</v>
      </c>
      <c r="F20" s="157">
        <v>53.0</v>
      </c>
      <c r="G20" s="14">
        <f t="shared" si="18"/>
        <v>14.02116402</v>
      </c>
      <c r="H20" s="89"/>
      <c r="I20" s="137"/>
      <c r="J20" s="89">
        <f t="shared" si="19"/>
        <v>0</v>
      </c>
      <c r="K20" s="89">
        <f t="shared" si="20"/>
        <v>53</v>
      </c>
      <c r="L20" s="152" t="str">
        <f t="shared" si="21"/>
        <v>#DIV/0!</v>
      </c>
      <c r="M20" s="126">
        <v>17350.0</v>
      </c>
      <c r="N20" s="338">
        <f t="shared" si="22"/>
        <v>919550</v>
      </c>
    </row>
    <row r="21">
      <c r="A21" s="154">
        <v>45789.0</v>
      </c>
      <c r="B21" s="156" t="s">
        <v>13</v>
      </c>
      <c r="C21" s="89">
        <v>162777.0</v>
      </c>
      <c r="D21" s="89">
        <v>163146.0</v>
      </c>
      <c r="E21" s="12">
        <f t="shared" si="17"/>
        <v>369</v>
      </c>
      <c r="F21" s="157">
        <v>46.0</v>
      </c>
      <c r="G21" s="14">
        <f t="shared" si="18"/>
        <v>12.46612466</v>
      </c>
      <c r="H21" s="89"/>
      <c r="I21" s="137"/>
      <c r="J21" s="89">
        <f t="shared" si="19"/>
        <v>0</v>
      </c>
      <c r="K21" s="89">
        <f t="shared" si="20"/>
        <v>46</v>
      </c>
      <c r="L21" s="152" t="str">
        <f t="shared" si="21"/>
        <v>#DIV/0!</v>
      </c>
      <c r="M21" s="126">
        <v>16800.0</v>
      </c>
      <c r="N21" s="343">
        <f t="shared" si="22"/>
        <v>772800</v>
      </c>
    </row>
    <row r="22">
      <c r="A22" s="155">
        <v>45793.0</v>
      </c>
      <c r="B22" s="156" t="s">
        <v>13</v>
      </c>
      <c r="C22" s="89">
        <v>163146.0</v>
      </c>
      <c r="D22" s="89">
        <v>163546.0</v>
      </c>
      <c r="E22" s="12">
        <f t="shared" si="17"/>
        <v>400</v>
      </c>
      <c r="F22" s="157">
        <v>51.0</v>
      </c>
      <c r="G22" s="14">
        <f t="shared" si="18"/>
        <v>12.75</v>
      </c>
      <c r="H22" s="89"/>
      <c r="I22" s="137"/>
      <c r="J22" s="89">
        <f t="shared" si="19"/>
        <v>0</v>
      </c>
      <c r="K22" s="89">
        <f t="shared" si="20"/>
        <v>51</v>
      </c>
      <c r="L22" s="152" t="str">
        <f t="shared" si="21"/>
        <v>#DIV/0!</v>
      </c>
      <c r="M22" s="126">
        <v>17220.0</v>
      </c>
      <c r="N22" s="339">
        <f t="shared" si="22"/>
        <v>878220</v>
      </c>
    </row>
    <row r="23">
      <c r="A23" s="154">
        <v>45798.0</v>
      </c>
      <c r="B23" s="156" t="s">
        <v>13</v>
      </c>
      <c r="C23" s="89">
        <v>163546.0</v>
      </c>
      <c r="D23" s="89">
        <v>163929.0</v>
      </c>
      <c r="E23" s="12">
        <f t="shared" si="17"/>
        <v>383</v>
      </c>
      <c r="F23" s="157">
        <v>49.0</v>
      </c>
      <c r="G23" s="14">
        <f t="shared" si="18"/>
        <v>12.79373368</v>
      </c>
      <c r="H23" s="89"/>
      <c r="I23" s="137"/>
      <c r="J23" s="89">
        <f t="shared" si="19"/>
        <v>0</v>
      </c>
      <c r="K23" s="89">
        <f t="shared" si="20"/>
        <v>49</v>
      </c>
      <c r="L23" s="152" t="str">
        <f t="shared" si="21"/>
        <v>#DIV/0!</v>
      </c>
      <c r="M23" s="126">
        <v>17220.0</v>
      </c>
      <c r="N23" s="339">
        <f t="shared" si="22"/>
        <v>843780</v>
      </c>
    </row>
    <row r="24">
      <c r="A24" s="154">
        <v>45804.0</v>
      </c>
      <c r="B24" s="99" t="s">
        <v>13</v>
      </c>
      <c r="C24" s="89">
        <v>163929.0</v>
      </c>
      <c r="D24" s="89">
        <v>164302.0</v>
      </c>
      <c r="E24" s="12">
        <f t="shared" si="17"/>
        <v>373</v>
      </c>
      <c r="F24" s="157">
        <v>50.0</v>
      </c>
      <c r="G24" s="14">
        <f t="shared" si="18"/>
        <v>13.40482574</v>
      </c>
      <c r="H24" s="89"/>
      <c r="I24" s="137">
        <v>16646.0</v>
      </c>
      <c r="J24" s="89">
        <f t="shared" si="19"/>
        <v>16646</v>
      </c>
      <c r="K24" s="89">
        <f t="shared" si="20"/>
        <v>50</v>
      </c>
      <c r="L24" s="152">
        <f t="shared" si="21"/>
        <v>0.3003724619</v>
      </c>
      <c r="M24" s="126">
        <v>17400.0</v>
      </c>
      <c r="N24" s="339">
        <f t="shared" si="22"/>
        <v>870000</v>
      </c>
    </row>
    <row r="25">
      <c r="A25" s="304"/>
      <c r="B25" s="36" t="s">
        <v>13</v>
      </c>
      <c r="C25" s="149"/>
      <c r="D25" s="149"/>
      <c r="E25" s="25">
        <f t="shared" si="17"/>
        <v>0</v>
      </c>
      <c r="F25" s="161"/>
      <c r="G25" s="56" t="str">
        <f t="shared" si="18"/>
        <v>#DIV/0!</v>
      </c>
      <c r="H25" s="149"/>
      <c r="I25" s="315"/>
      <c r="J25" s="149">
        <f t="shared" si="19"/>
        <v>0</v>
      </c>
      <c r="K25" s="149" t="str">
        <f t="shared" si="20"/>
        <v/>
      </c>
      <c r="L25" s="152" t="str">
        <f t="shared" si="21"/>
        <v>#DIV/0!</v>
      </c>
      <c r="M25" s="153"/>
      <c r="N25" s="344">
        <f t="shared" si="22"/>
        <v>0</v>
      </c>
    </row>
    <row r="26">
      <c r="A26" s="345"/>
      <c r="B26" s="36" t="s">
        <v>13</v>
      </c>
      <c r="C26" s="309"/>
      <c r="D26" s="309"/>
      <c r="E26" s="25">
        <f t="shared" si="17"/>
        <v>0</v>
      </c>
      <c r="F26" s="309"/>
      <c r="G26" s="56" t="str">
        <f t="shared" si="18"/>
        <v>#DIV/0!</v>
      </c>
      <c r="H26" s="309"/>
      <c r="I26" s="346"/>
      <c r="J26" s="149">
        <f t="shared" si="19"/>
        <v>0</v>
      </c>
      <c r="K26" s="149" t="str">
        <f t="shared" si="20"/>
        <v/>
      </c>
      <c r="L26" s="152" t="str">
        <f t="shared" si="21"/>
        <v>#DIV/0!</v>
      </c>
      <c r="M26" s="161"/>
      <c r="N26" s="344">
        <f t="shared" si="22"/>
        <v>0</v>
      </c>
    </row>
    <row r="27">
      <c r="A27" s="62"/>
      <c r="B27" s="63"/>
      <c r="C27" s="62"/>
      <c r="D27" s="64" t="s">
        <v>19</v>
      </c>
      <c r="E27" s="64">
        <f>sum(E19:E25)</f>
        <v>2296</v>
      </c>
      <c r="F27" s="64">
        <f>sum(F19:F26)</f>
        <v>304</v>
      </c>
      <c r="G27" s="65" t="str">
        <f>average(G19:G25)</f>
        <v>#DIV/0!</v>
      </c>
      <c r="H27" s="62"/>
      <c r="I27" s="66"/>
      <c r="J27" s="64">
        <f t="shared" ref="J27:K27" si="23">sum(J19:J25)</f>
        <v>2853</v>
      </c>
      <c r="K27" s="64">
        <f t="shared" si="23"/>
        <v>304</v>
      </c>
      <c r="L27" s="65" t="str">
        <f>average(L19:L25)</f>
        <v>#DIV/0!</v>
      </c>
      <c r="M27" s="68"/>
      <c r="N27" s="341">
        <f>sum(N19:N26)</f>
        <v>5247950</v>
      </c>
    </row>
    <row r="28">
      <c r="A28" s="70">
        <v>45784.0</v>
      </c>
      <c r="B28" s="302" t="s">
        <v>14</v>
      </c>
      <c r="C28" s="89">
        <v>164195.0</v>
      </c>
      <c r="D28" s="41">
        <v>164989.0</v>
      </c>
      <c r="E28" s="38">
        <f t="shared" ref="E28:E34" si="24">D28-C28</f>
        <v>794</v>
      </c>
      <c r="F28" s="39">
        <v>50.0</v>
      </c>
      <c r="G28" s="14">
        <f t="shared" ref="G28:G34" si="25">(F28/E28)*100</f>
        <v>6.297229219</v>
      </c>
      <c r="H28" s="137">
        <v>7197.0</v>
      </c>
      <c r="I28" s="138">
        <v>7627.0</v>
      </c>
      <c r="J28" s="41">
        <f t="shared" ref="J28:J34" si="26">I28-H28</f>
        <v>430</v>
      </c>
      <c r="K28" s="41">
        <f t="shared" ref="K28:K34" si="27">F28</f>
        <v>50</v>
      </c>
      <c r="L28" s="152">
        <f t="shared" ref="L28:L34" si="28">(K28/J28)*100</f>
        <v>11.62790698</v>
      </c>
      <c r="M28" s="72">
        <v>17350.0</v>
      </c>
      <c r="N28" s="336">
        <f t="shared" ref="N28:N34" si="29">F28*M28</f>
        <v>867500</v>
      </c>
    </row>
    <row r="29">
      <c r="A29" s="154">
        <v>45791.0</v>
      </c>
      <c r="B29" s="156" t="s">
        <v>14</v>
      </c>
      <c r="C29" s="89">
        <v>164989.0</v>
      </c>
      <c r="D29" s="89">
        <v>164979.0</v>
      </c>
      <c r="E29" s="12">
        <f t="shared" si="24"/>
        <v>-10</v>
      </c>
      <c r="F29" s="157">
        <v>50.0</v>
      </c>
      <c r="G29" s="14">
        <f t="shared" si="25"/>
        <v>-500</v>
      </c>
      <c r="H29" s="89">
        <v>7627.0</v>
      </c>
      <c r="I29" s="137"/>
      <c r="J29" s="89">
        <f t="shared" si="26"/>
        <v>-7627</v>
      </c>
      <c r="K29" s="89">
        <f t="shared" si="27"/>
        <v>50</v>
      </c>
      <c r="L29" s="152">
        <f t="shared" si="28"/>
        <v>-0.6555657532</v>
      </c>
      <c r="M29" s="126">
        <v>16800.0</v>
      </c>
      <c r="N29" s="343">
        <f t="shared" si="29"/>
        <v>840000</v>
      </c>
    </row>
    <row r="30">
      <c r="A30" s="154">
        <v>45798.0</v>
      </c>
      <c r="B30" s="156" t="s">
        <v>14</v>
      </c>
      <c r="C30" s="89">
        <v>164979.0</v>
      </c>
      <c r="D30" s="89">
        <v>165456.0</v>
      </c>
      <c r="E30" s="12">
        <f t="shared" si="24"/>
        <v>477</v>
      </c>
      <c r="F30" s="157">
        <v>50.0</v>
      </c>
      <c r="G30" s="14">
        <f t="shared" si="25"/>
        <v>10.48218029</v>
      </c>
      <c r="H30" s="89"/>
      <c r="I30" s="137"/>
      <c r="J30" s="89">
        <f t="shared" si="26"/>
        <v>0</v>
      </c>
      <c r="K30" s="89">
        <f t="shared" si="27"/>
        <v>50</v>
      </c>
      <c r="L30" s="152" t="str">
        <f t="shared" si="28"/>
        <v>#DIV/0!</v>
      </c>
      <c r="M30" s="126">
        <v>17220.0</v>
      </c>
      <c r="N30" s="339">
        <f t="shared" si="29"/>
        <v>861000</v>
      </c>
    </row>
    <row r="31">
      <c r="A31" s="155">
        <v>45803.0</v>
      </c>
      <c r="B31" s="156" t="s">
        <v>14</v>
      </c>
      <c r="C31" s="89">
        <v>165456.0</v>
      </c>
      <c r="D31" s="89">
        <v>165868.0</v>
      </c>
      <c r="E31" s="12">
        <f t="shared" si="24"/>
        <v>412</v>
      </c>
      <c r="F31" s="157">
        <v>49.0</v>
      </c>
      <c r="G31" s="14">
        <f t="shared" si="25"/>
        <v>11.89320388</v>
      </c>
      <c r="H31" s="89"/>
      <c r="I31" s="137">
        <v>9206.0</v>
      </c>
      <c r="J31" s="89">
        <f t="shared" si="26"/>
        <v>9206</v>
      </c>
      <c r="K31" s="89">
        <f t="shared" si="27"/>
        <v>49</v>
      </c>
      <c r="L31" s="152">
        <f t="shared" si="28"/>
        <v>0.5322615685</v>
      </c>
      <c r="M31" s="126">
        <v>17400.0</v>
      </c>
      <c r="N31" s="339">
        <f t="shared" si="29"/>
        <v>852600</v>
      </c>
    </row>
    <row r="32">
      <c r="A32" s="154">
        <v>45807.0</v>
      </c>
      <c r="B32" s="156" t="s">
        <v>14</v>
      </c>
      <c r="C32" s="89">
        <v>165868.0</v>
      </c>
      <c r="D32" s="89">
        <v>166303.0</v>
      </c>
      <c r="E32" s="12">
        <f t="shared" si="24"/>
        <v>435</v>
      </c>
      <c r="F32" s="157">
        <v>50.0</v>
      </c>
      <c r="G32" s="14">
        <f t="shared" si="25"/>
        <v>11.49425287</v>
      </c>
      <c r="H32" s="89"/>
      <c r="I32" s="137"/>
      <c r="J32" s="89">
        <f t="shared" si="26"/>
        <v>0</v>
      </c>
      <c r="K32" s="89">
        <f t="shared" si="27"/>
        <v>50</v>
      </c>
      <c r="L32" s="152" t="str">
        <f t="shared" si="28"/>
        <v>#DIV/0!</v>
      </c>
      <c r="M32" s="126">
        <v>17130.0</v>
      </c>
      <c r="N32" s="339">
        <f t="shared" si="29"/>
        <v>856500</v>
      </c>
    </row>
    <row r="33">
      <c r="A33" s="154"/>
      <c r="B33" s="156" t="s">
        <v>14</v>
      </c>
      <c r="C33" s="89"/>
      <c r="D33" s="89"/>
      <c r="E33" s="12">
        <f t="shared" si="24"/>
        <v>0</v>
      </c>
      <c r="F33" s="157"/>
      <c r="G33" s="14" t="str">
        <f t="shared" si="25"/>
        <v>#DIV/0!</v>
      </c>
      <c r="H33" s="89"/>
      <c r="I33" s="137"/>
      <c r="J33" s="89">
        <f t="shared" si="26"/>
        <v>0</v>
      </c>
      <c r="K33" s="89" t="str">
        <f t="shared" si="27"/>
        <v/>
      </c>
      <c r="L33" s="152" t="str">
        <f t="shared" si="28"/>
        <v>#DIV/0!</v>
      </c>
      <c r="M33" s="126"/>
      <c r="N33" s="339">
        <f t="shared" si="29"/>
        <v>0</v>
      </c>
    </row>
    <row r="34">
      <c r="A34" s="305"/>
      <c r="B34" s="306"/>
      <c r="C34" s="149"/>
      <c r="D34" s="150"/>
      <c r="E34" s="25">
        <f t="shared" si="24"/>
        <v>0</v>
      </c>
      <c r="F34" s="307"/>
      <c r="G34" s="56" t="str">
        <f t="shared" si="25"/>
        <v>#DIV/0!</v>
      </c>
      <c r="H34" s="149"/>
      <c r="I34" s="151"/>
      <c r="J34" s="149">
        <f t="shared" si="26"/>
        <v>0</v>
      </c>
      <c r="K34" s="149" t="str">
        <f t="shared" si="27"/>
        <v/>
      </c>
      <c r="L34" s="152" t="str">
        <f t="shared" si="28"/>
        <v>#DIV/0!</v>
      </c>
      <c r="M34" s="308"/>
      <c r="N34" s="340">
        <f t="shared" si="29"/>
        <v>0</v>
      </c>
    </row>
    <row r="35">
      <c r="A35" s="62"/>
      <c r="B35" s="63"/>
      <c r="C35" s="62"/>
      <c r="D35" s="64" t="s">
        <v>19</v>
      </c>
      <c r="E35" s="64">
        <f t="shared" ref="E35:F35" si="30">sum(E28:E34)</f>
        <v>2108</v>
      </c>
      <c r="F35" s="64">
        <f t="shared" si="30"/>
        <v>249</v>
      </c>
      <c r="G35" s="65" t="str">
        <f>average(G28:G34)</f>
        <v>#DIV/0!</v>
      </c>
      <c r="H35" s="62"/>
      <c r="I35" s="66"/>
      <c r="J35" s="64">
        <f t="shared" ref="J35:K35" si="31">sum(J28:J34)</f>
        <v>2009</v>
      </c>
      <c r="K35" s="64">
        <f t="shared" si="31"/>
        <v>249</v>
      </c>
      <c r="L35" s="65" t="str">
        <f>average(L28:L34)</f>
        <v>#DIV/0!</v>
      </c>
      <c r="M35" s="68"/>
      <c r="N35" s="341">
        <f>sum(N28:N34)</f>
        <v>4277600</v>
      </c>
    </row>
    <row r="36">
      <c r="A36" s="70">
        <v>45783.0</v>
      </c>
      <c r="B36" s="302" t="s">
        <v>15</v>
      </c>
      <c r="C36" s="89">
        <v>150264.0</v>
      </c>
      <c r="D36" s="41">
        <v>150609.0</v>
      </c>
      <c r="E36" s="38">
        <f t="shared" ref="E36:E42" si="32">D36-C36</f>
        <v>345</v>
      </c>
      <c r="F36" s="39">
        <v>46.0</v>
      </c>
      <c r="G36" s="14">
        <f t="shared" ref="G36:G42" si="33">(F36/E36)*100</f>
        <v>13.33333333</v>
      </c>
      <c r="H36" s="89">
        <v>13855.0</v>
      </c>
      <c r="I36" s="137">
        <v>14573.0</v>
      </c>
      <c r="J36" s="41">
        <f t="shared" ref="J36:J42" si="34">I36-H36</f>
        <v>718</v>
      </c>
      <c r="K36" s="41">
        <f t="shared" ref="K36:K42" si="35">F36</f>
        <v>46</v>
      </c>
      <c r="L36" s="152">
        <f t="shared" ref="L36:L42" si="36">(K36/J36)*100</f>
        <v>6.406685237</v>
      </c>
      <c r="M36" s="72">
        <v>17350.0</v>
      </c>
      <c r="N36" s="336">
        <f t="shared" ref="N36:N42" si="37">F36*M36</f>
        <v>798100</v>
      </c>
    </row>
    <row r="37">
      <c r="A37" s="279">
        <v>45786.0</v>
      </c>
      <c r="B37" s="156" t="s">
        <v>15</v>
      </c>
      <c r="C37" s="89">
        <v>150609.0</v>
      </c>
      <c r="D37" s="89">
        <v>150938.0</v>
      </c>
      <c r="E37" s="12">
        <f t="shared" si="32"/>
        <v>329</v>
      </c>
      <c r="F37" s="157">
        <v>40.0</v>
      </c>
      <c r="G37" s="14">
        <f t="shared" si="33"/>
        <v>12.15805471</v>
      </c>
      <c r="H37" s="137">
        <v>14573.0</v>
      </c>
      <c r="I37" s="137">
        <v>15292.0</v>
      </c>
      <c r="J37" s="89">
        <f t="shared" si="34"/>
        <v>719</v>
      </c>
      <c r="K37" s="89">
        <f t="shared" si="35"/>
        <v>40</v>
      </c>
      <c r="L37" s="152">
        <f t="shared" si="36"/>
        <v>5.563282337</v>
      </c>
      <c r="M37" s="126">
        <v>16800.0</v>
      </c>
      <c r="N37" s="338">
        <f t="shared" si="37"/>
        <v>672000</v>
      </c>
      <c r="P37" s="82"/>
    </row>
    <row r="38">
      <c r="A38" s="154">
        <v>45792.0</v>
      </c>
      <c r="B38" s="156" t="s">
        <v>15</v>
      </c>
      <c r="C38" s="89">
        <v>150938.0</v>
      </c>
      <c r="D38" s="89">
        <v>151314.0</v>
      </c>
      <c r="E38" s="12">
        <f t="shared" si="32"/>
        <v>376</v>
      </c>
      <c r="F38" s="157">
        <v>40.0</v>
      </c>
      <c r="G38" s="14">
        <f t="shared" si="33"/>
        <v>10.63829787</v>
      </c>
      <c r="H38" s="89">
        <v>15292.0</v>
      </c>
      <c r="I38" s="137"/>
      <c r="J38" s="89">
        <f t="shared" si="34"/>
        <v>-15292</v>
      </c>
      <c r="K38" s="89">
        <f t="shared" si="35"/>
        <v>40</v>
      </c>
      <c r="L38" s="152">
        <f t="shared" si="36"/>
        <v>-0.2615746796</v>
      </c>
      <c r="M38" s="374">
        <v>17220.0</v>
      </c>
      <c r="N38" s="338">
        <f t="shared" si="37"/>
        <v>688800</v>
      </c>
      <c r="O38" s="197" t="s">
        <v>99</v>
      </c>
    </row>
    <row r="39">
      <c r="A39" s="154">
        <v>45796.0</v>
      </c>
      <c r="B39" s="156" t="s">
        <v>15</v>
      </c>
      <c r="C39" s="89">
        <v>151314.0</v>
      </c>
      <c r="D39" s="89">
        <v>151685.0</v>
      </c>
      <c r="E39" s="12">
        <f t="shared" si="32"/>
        <v>371</v>
      </c>
      <c r="F39" s="157">
        <v>47.0</v>
      </c>
      <c r="G39" s="14">
        <f t="shared" si="33"/>
        <v>12.66846361</v>
      </c>
      <c r="H39" s="89"/>
      <c r="I39" s="137"/>
      <c r="J39" s="89">
        <f t="shared" si="34"/>
        <v>0</v>
      </c>
      <c r="K39" s="89">
        <f t="shared" si="35"/>
        <v>47</v>
      </c>
      <c r="L39" s="152" t="str">
        <f t="shared" si="36"/>
        <v>#DIV/0!</v>
      </c>
      <c r="M39" s="126">
        <v>17220.0</v>
      </c>
      <c r="N39" s="338">
        <f t="shared" si="37"/>
        <v>809340</v>
      </c>
    </row>
    <row r="40">
      <c r="A40" s="154">
        <v>45801.0</v>
      </c>
      <c r="B40" s="156" t="s">
        <v>15</v>
      </c>
      <c r="C40" s="89">
        <v>151685.0</v>
      </c>
      <c r="D40" s="89">
        <v>152008.0</v>
      </c>
      <c r="E40" s="12">
        <f t="shared" si="32"/>
        <v>323</v>
      </c>
      <c r="F40" s="157">
        <v>35.0</v>
      </c>
      <c r="G40" s="14">
        <f t="shared" si="33"/>
        <v>10.83591331</v>
      </c>
      <c r="H40" s="89"/>
      <c r="I40" s="137"/>
      <c r="J40" s="89">
        <f t="shared" si="34"/>
        <v>0</v>
      </c>
      <c r="K40" s="89">
        <f t="shared" si="35"/>
        <v>35</v>
      </c>
      <c r="L40" s="152" t="str">
        <f t="shared" si="36"/>
        <v>#DIV/0!</v>
      </c>
      <c r="M40" s="126">
        <v>17400.0</v>
      </c>
      <c r="N40" s="339">
        <f t="shared" si="37"/>
        <v>609000</v>
      </c>
    </row>
    <row r="41">
      <c r="A41" s="312">
        <v>45805.0</v>
      </c>
      <c r="B41" s="156" t="s">
        <v>15</v>
      </c>
      <c r="C41" s="89">
        <v>152008.0</v>
      </c>
      <c r="D41" s="89">
        <v>152350.0</v>
      </c>
      <c r="E41" s="12">
        <f t="shared" si="32"/>
        <v>342</v>
      </c>
      <c r="F41" s="157">
        <v>46.0</v>
      </c>
      <c r="G41" s="14">
        <f t="shared" si="33"/>
        <v>13.4502924</v>
      </c>
      <c r="H41" s="89"/>
      <c r="I41" s="137"/>
      <c r="J41" s="89">
        <f t="shared" si="34"/>
        <v>0</v>
      </c>
      <c r="K41" s="89">
        <f t="shared" si="35"/>
        <v>46</v>
      </c>
      <c r="L41" s="152" t="str">
        <f t="shared" si="36"/>
        <v>#DIV/0!</v>
      </c>
      <c r="M41" s="126">
        <v>17400.0</v>
      </c>
      <c r="N41" s="339">
        <f t="shared" si="37"/>
        <v>800400</v>
      </c>
    </row>
    <row r="42">
      <c r="A42" s="304"/>
      <c r="B42" s="156" t="s">
        <v>15</v>
      </c>
      <c r="C42" s="149"/>
      <c r="D42" s="149"/>
      <c r="E42" s="25">
        <f t="shared" si="32"/>
        <v>0</v>
      </c>
      <c r="F42" s="161"/>
      <c r="G42" s="56" t="str">
        <f t="shared" si="33"/>
        <v>#DIV/0!</v>
      </c>
      <c r="H42" s="149"/>
      <c r="I42" s="151"/>
      <c r="J42" s="149">
        <f t="shared" si="34"/>
        <v>0</v>
      </c>
      <c r="K42" s="149" t="str">
        <f t="shared" si="35"/>
        <v/>
      </c>
      <c r="L42" s="152" t="str">
        <f t="shared" si="36"/>
        <v>#DIV/0!</v>
      </c>
      <c r="M42" s="153"/>
      <c r="N42" s="344">
        <f t="shared" si="37"/>
        <v>0</v>
      </c>
    </row>
    <row r="43">
      <c r="A43" s="62"/>
      <c r="B43" s="63"/>
      <c r="C43" s="62"/>
      <c r="D43" s="64" t="s">
        <v>19</v>
      </c>
      <c r="E43" s="64">
        <f t="shared" ref="E43:F43" si="38">sum(E36:E42)</f>
        <v>2086</v>
      </c>
      <c r="F43" s="64">
        <f t="shared" si="38"/>
        <v>254</v>
      </c>
      <c r="G43" s="65" t="str">
        <f>average(G36:G42)</f>
        <v>#DIV/0!</v>
      </c>
      <c r="H43" s="62"/>
      <c r="I43" s="66"/>
      <c r="J43" s="64">
        <f t="shared" ref="J43:K43" si="39">sum(J36:J42)</f>
        <v>-13855</v>
      </c>
      <c r="K43" s="64">
        <f t="shared" si="39"/>
        <v>254</v>
      </c>
      <c r="L43" s="65" t="str">
        <f>average(L36:L42)</f>
        <v>#DIV/0!</v>
      </c>
      <c r="M43" s="68"/>
      <c r="N43" s="341">
        <f>sum(N36:N42)</f>
        <v>4377640</v>
      </c>
    </row>
    <row r="44">
      <c r="A44" s="293">
        <v>45779.0</v>
      </c>
      <c r="B44" s="302" t="s">
        <v>16</v>
      </c>
      <c r="C44" s="89">
        <v>126324.0</v>
      </c>
      <c r="D44" s="41">
        <v>126714.0</v>
      </c>
      <c r="E44" s="38">
        <f t="shared" ref="E44:E50" si="40">D44-C44</f>
        <v>390</v>
      </c>
      <c r="F44" s="39">
        <v>55.0</v>
      </c>
      <c r="G44" s="14">
        <f t="shared" ref="G44:G50" si="41">(F44/E44)*100</f>
        <v>14.1025641</v>
      </c>
      <c r="H44" s="138">
        <v>13980.0</v>
      </c>
      <c r="I44" s="138">
        <v>14357.0</v>
      </c>
      <c r="J44" s="41">
        <f t="shared" ref="J44:J50" si="42">I44-H44</f>
        <v>377</v>
      </c>
      <c r="K44" s="41">
        <f t="shared" ref="K44:K50" si="43">F44</f>
        <v>55</v>
      </c>
      <c r="L44" s="152">
        <f t="shared" ref="L44:L50" si="44">(K44/J44)*100</f>
        <v>14.58885942</v>
      </c>
      <c r="M44" s="72">
        <v>17520.0</v>
      </c>
      <c r="N44" s="336">
        <f t="shared" ref="N44:N50" si="45">F44*M44</f>
        <v>963600</v>
      </c>
    </row>
    <row r="45">
      <c r="A45" s="154">
        <v>45784.0</v>
      </c>
      <c r="B45" s="156" t="s">
        <v>16</v>
      </c>
      <c r="C45" s="89">
        <v>126714.0</v>
      </c>
      <c r="D45" s="89">
        <v>127079.0</v>
      </c>
      <c r="E45" s="12">
        <f t="shared" si="40"/>
        <v>365</v>
      </c>
      <c r="F45" s="313">
        <v>50.0</v>
      </c>
      <c r="G45" s="14">
        <f t="shared" si="41"/>
        <v>13.69863014</v>
      </c>
      <c r="H45" s="89">
        <v>14357.0</v>
      </c>
      <c r="I45" s="138">
        <v>14737.0</v>
      </c>
      <c r="J45" s="89">
        <f t="shared" si="42"/>
        <v>380</v>
      </c>
      <c r="K45" s="41">
        <f t="shared" si="43"/>
        <v>50</v>
      </c>
      <c r="L45" s="152">
        <f t="shared" si="44"/>
        <v>13.15789474</v>
      </c>
      <c r="M45" s="126">
        <v>17350.0</v>
      </c>
      <c r="N45" s="338">
        <f t="shared" si="45"/>
        <v>867500</v>
      </c>
    </row>
    <row r="46">
      <c r="A46" s="154">
        <v>45790.0</v>
      </c>
      <c r="B46" s="156" t="s">
        <v>16</v>
      </c>
      <c r="C46" s="89">
        <v>127079.0</v>
      </c>
      <c r="D46" s="89">
        <v>127438.0</v>
      </c>
      <c r="E46" s="12">
        <f t="shared" si="40"/>
        <v>359</v>
      </c>
      <c r="F46" s="157">
        <v>50.0</v>
      </c>
      <c r="G46" s="14">
        <f t="shared" si="41"/>
        <v>13.9275766</v>
      </c>
      <c r="H46" s="89">
        <v>14737.0</v>
      </c>
      <c r="I46" s="137">
        <v>15111.0</v>
      </c>
      <c r="J46" s="89">
        <f t="shared" si="42"/>
        <v>374</v>
      </c>
      <c r="K46" s="41">
        <f t="shared" si="43"/>
        <v>50</v>
      </c>
      <c r="L46" s="152">
        <f t="shared" si="44"/>
        <v>13.36898396</v>
      </c>
      <c r="M46" s="126">
        <v>16800.0</v>
      </c>
      <c r="N46" s="338">
        <f t="shared" si="45"/>
        <v>840000</v>
      </c>
    </row>
    <row r="47">
      <c r="A47" s="154">
        <v>45796.0</v>
      </c>
      <c r="B47" s="156" t="s">
        <v>16</v>
      </c>
      <c r="C47" s="89">
        <v>127438.0</v>
      </c>
      <c r="D47" s="89">
        <v>127895.0</v>
      </c>
      <c r="E47" s="12">
        <f t="shared" si="40"/>
        <v>457</v>
      </c>
      <c r="F47" s="157">
        <v>55.0</v>
      </c>
      <c r="G47" s="14">
        <f t="shared" si="41"/>
        <v>12.03501094</v>
      </c>
      <c r="H47" s="89">
        <v>15111.0</v>
      </c>
      <c r="I47" s="137">
        <v>15676.0</v>
      </c>
      <c r="J47" s="89">
        <f t="shared" si="42"/>
        <v>565</v>
      </c>
      <c r="K47" s="41">
        <f t="shared" si="43"/>
        <v>55</v>
      </c>
      <c r="L47" s="152">
        <f t="shared" si="44"/>
        <v>9.734513274</v>
      </c>
      <c r="M47" s="126">
        <v>17220.0</v>
      </c>
      <c r="N47" s="338">
        <f t="shared" si="45"/>
        <v>947100</v>
      </c>
      <c r="P47" s="82"/>
    </row>
    <row r="48">
      <c r="A48" s="154">
        <v>45803.0</v>
      </c>
      <c r="B48" s="156" t="s">
        <v>16</v>
      </c>
      <c r="C48" s="89">
        <v>127895.0</v>
      </c>
      <c r="D48" s="89">
        <v>128276.0</v>
      </c>
      <c r="E48" s="12">
        <f t="shared" si="40"/>
        <v>381</v>
      </c>
      <c r="F48" s="157">
        <v>48.0</v>
      </c>
      <c r="G48" s="14">
        <f t="shared" si="41"/>
        <v>12.5984252</v>
      </c>
      <c r="H48" s="89">
        <v>15676.0</v>
      </c>
      <c r="I48" s="137">
        <v>16241.0</v>
      </c>
      <c r="J48" s="89">
        <f t="shared" si="42"/>
        <v>565</v>
      </c>
      <c r="K48" s="41">
        <f t="shared" si="43"/>
        <v>48</v>
      </c>
      <c r="L48" s="152">
        <f t="shared" si="44"/>
        <v>8.495575221</v>
      </c>
      <c r="M48" s="126">
        <v>17400.0</v>
      </c>
      <c r="N48" s="339">
        <f t="shared" si="45"/>
        <v>835200</v>
      </c>
    </row>
    <row r="49">
      <c r="A49" s="155">
        <v>45807.0</v>
      </c>
      <c r="B49" s="99" t="s">
        <v>16</v>
      </c>
      <c r="C49" s="89">
        <v>128276.0</v>
      </c>
      <c r="D49" s="89">
        <v>128236.0</v>
      </c>
      <c r="E49" s="12">
        <f t="shared" si="40"/>
        <v>-40</v>
      </c>
      <c r="F49" s="157">
        <v>45.0</v>
      </c>
      <c r="G49" s="14">
        <f t="shared" si="41"/>
        <v>-112.5</v>
      </c>
      <c r="H49" s="89"/>
      <c r="I49" s="137"/>
      <c r="J49" s="89">
        <f t="shared" si="42"/>
        <v>0</v>
      </c>
      <c r="K49" s="41">
        <f t="shared" si="43"/>
        <v>45</v>
      </c>
      <c r="L49" s="152" t="str">
        <f t="shared" si="44"/>
        <v>#DIV/0!</v>
      </c>
      <c r="M49" s="126">
        <v>17130.0</v>
      </c>
      <c r="N49" s="339">
        <f t="shared" si="45"/>
        <v>770850</v>
      </c>
    </row>
    <row r="50">
      <c r="A50" s="305"/>
      <c r="B50" s="323"/>
      <c r="C50" s="149"/>
      <c r="D50" s="150"/>
      <c r="E50" s="25">
        <f t="shared" si="40"/>
        <v>0</v>
      </c>
      <c r="F50" s="307"/>
      <c r="G50" s="56" t="str">
        <f t="shared" si="41"/>
        <v>#DIV/0!</v>
      </c>
      <c r="H50" s="149"/>
      <c r="I50" s="151"/>
      <c r="J50" s="149">
        <f t="shared" si="42"/>
        <v>0</v>
      </c>
      <c r="K50" s="149" t="str">
        <f t="shared" si="43"/>
        <v/>
      </c>
      <c r="L50" s="152" t="str">
        <f t="shared" si="44"/>
        <v>#DIV/0!</v>
      </c>
      <c r="M50" s="308"/>
      <c r="N50" s="340">
        <f t="shared" si="45"/>
        <v>0</v>
      </c>
    </row>
    <row r="51">
      <c r="A51" s="62"/>
      <c r="B51" s="63"/>
      <c r="C51" s="62"/>
      <c r="D51" s="64" t="s">
        <v>19</v>
      </c>
      <c r="E51" s="64">
        <f t="shared" ref="E51:F51" si="46">sum(E44:E50)</f>
        <v>1912</v>
      </c>
      <c r="F51" s="64">
        <f t="shared" si="46"/>
        <v>303</v>
      </c>
      <c r="G51" s="65" t="str">
        <f>average(G44:G50)</f>
        <v>#DIV/0!</v>
      </c>
      <c r="H51" s="62"/>
      <c r="I51" s="66"/>
      <c r="J51" s="64">
        <f t="shared" ref="J51:K51" si="47">sum(J44:J50)</f>
        <v>2261</v>
      </c>
      <c r="K51" s="64">
        <f t="shared" si="47"/>
        <v>303</v>
      </c>
      <c r="L51" s="65" t="str">
        <f>average(L44:L50)</f>
        <v>#DIV/0!</v>
      </c>
      <c r="M51" s="68"/>
      <c r="N51" s="341">
        <f>sum(N44:N50)</f>
        <v>5224250</v>
      </c>
    </row>
    <row r="52">
      <c r="A52" s="70">
        <v>45779.0</v>
      </c>
      <c r="B52" s="314" t="s">
        <v>18</v>
      </c>
      <c r="C52" s="89">
        <v>130986.0</v>
      </c>
      <c r="D52" s="41">
        <v>131344.0</v>
      </c>
      <c r="E52" s="38">
        <f t="shared" ref="E52:E58" si="48">D52-C52</f>
        <v>358</v>
      </c>
      <c r="F52" s="39">
        <v>45.0</v>
      </c>
      <c r="G52" s="14">
        <f t="shared" ref="G52:G58" si="49">(F52/E52)*100</f>
        <v>12.5698324</v>
      </c>
      <c r="H52" s="89">
        <v>6625.0</v>
      </c>
      <c r="I52" s="138">
        <v>6647.0</v>
      </c>
      <c r="J52" s="41">
        <f t="shared" ref="J52:J58" si="50">I52-H52</f>
        <v>22</v>
      </c>
      <c r="K52" s="41">
        <f t="shared" ref="K52:K58" si="51">F52</f>
        <v>45</v>
      </c>
      <c r="L52" s="152">
        <f t="shared" ref="L52:L58" si="52">(K52/J52)*100</f>
        <v>204.5454545</v>
      </c>
      <c r="M52" s="72">
        <v>17520.0</v>
      </c>
      <c r="N52" s="336">
        <f t="shared" ref="N52:N58" si="53">F52*M52</f>
        <v>788400</v>
      </c>
    </row>
    <row r="53">
      <c r="A53" s="154">
        <v>45783.0</v>
      </c>
      <c r="B53" s="156" t="s">
        <v>18</v>
      </c>
      <c r="C53" s="89">
        <v>131344.0</v>
      </c>
      <c r="D53" s="89">
        <v>131683.0</v>
      </c>
      <c r="E53" s="12">
        <f t="shared" si="48"/>
        <v>339</v>
      </c>
      <c r="F53" s="157">
        <v>43.0</v>
      </c>
      <c r="G53" s="14">
        <f t="shared" si="49"/>
        <v>12.68436578</v>
      </c>
      <c r="H53" s="89">
        <v>6647.0</v>
      </c>
      <c r="I53" s="137">
        <v>7069.0</v>
      </c>
      <c r="J53" s="89">
        <f t="shared" si="50"/>
        <v>422</v>
      </c>
      <c r="K53" s="89">
        <f t="shared" si="51"/>
        <v>43</v>
      </c>
      <c r="L53" s="152">
        <f t="shared" si="52"/>
        <v>10.18957346</v>
      </c>
      <c r="M53" s="126">
        <v>17350.0</v>
      </c>
      <c r="N53" s="338">
        <f t="shared" si="53"/>
        <v>746050</v>
      </c>
    </row>
    <row r="54">
      <c r="A54" s="279">
        <v>45786.0</v>
      </c>
      <c r="B54" s="156" t="s">
        <v>18</v>
      </c>
      <c r="C54" s="89">
        <v>131683.0</v>
      </c>
      <c r="D54" s="89">
        <v>132010.0</v>
      </c>
      <c r="E54" s="12">
        <f t="shared" si="48"/>
        <v>327</v>
      </c>
      <c r="F54" s="157">
        <v>45.0</v>
      </c>
      <c r="G54" s="14">
        <f t="shared" si="49"/>
        <v>13.76146789</v>
      </c>
      <c r="H54" s="89">
        <v>7069.0</v>
      </c>
      <c r="I54" s="137">
        <v>7492.0</v>
      </c>
      <c r="J54" s="89">
        <f t="shared" si="50"/>
        <v>423</v>
      </c>
      <c r="K54" s="89">
        <f t="shared" si="51"/>
        <v>45</v>
      </c>
      <c r="L54" s="152">
        <f t="shared" si="52"/>
        <v>10.63829787</v>
      </c>
      <c r="M54" s="126">
        <v>16800.0</v>
      </c>
      <c r="N54" s="338">
        <f t="shared" si="53"/>
        <v>756000</v>
      </c>
    </row>
    <row r="55">
      <c r="A55" s="154">
        <v>45790.0</v>
      </c>
      <c r="B55" s="156" t="s">
        <v>18</v>
      </c>
      <c r="C55" s="89">
        <v>132010.0</v>
      </c>
      <c r="D55" s="89">
        <v>132297.0</v>
      </c>
      <c r="E55" s="12">
        <f t="shared" si="48"/>
        <v>287</v>
      </c>
      <c r="F55" s="157">
        <v>35.0</v>
      </c>
      <c r="G55" s="14">
        <f t="shared" si="49"/>
        <v>12.19512195</v>
      </c>
      <c r="H55" s="89">
        <v>7492.0</v>
      </c>
      <c r="I55" s="137"/>
      <c r="J55" s="89">
        <f t="shared" si="50"/>
        <v>-7492</v>
      </c>
      <c r="K55" s="89">
        <f t="shared" si="51"/>
        <v>35</v>
      </c>
      <c r="L55" s="152">
        <f t="shared" si="52"/>
        <v>-0.467164976</v>
      </c>
      <c r="M55" s="126">
        <v>16800.0</v>
      </c>
      <c r="N55" s="339">
        <f t="shared" si="53"/>
        <v>588000</v>
      </c>
    </row>
    <row r="56">
      <c r="A56" s="154">
        <v>45794.0</v>
      </c>
      <c r="B56" s="156" t="s">
        <v>18</v>
      </c>
      <c r="C56" s="89">
        <v>132297.0</v>
      </c>
      <c r="D56" s="89">
        <v>132653.0</v>
      </c>
      <c r="E56" s="12">
        <f t="shared" si="48"/>
        <v>356</v>
      </c>
      <c r="F56" s="157">
        <v>42.0</v>
      </c>
      <c r="G56" s="14">
        <f t="shared" si="49"/>
        <v>11.79775281</v>
      </c>
      <c r="H56" s="89"/>
      <c r="I56" s="137"/>
      <c r="J56" s="89">
        <f t="shared" si="50"/>
        <v>0</v>
      </c>
      <c r="K56" s="89">
        <f t="shared" si="51"/>
        <v>42</v>
      </c>
      <c r="L56" s="152" t="str">
        <f t="shared" si="52"/>
        <v>#DIV/0!</v>
      </c>
      <c r="M56" s="126">
        <v>17220.0</v>
      </c>
      <c r="N56" s="342">
        <f t="shared" si="53"/>
        <v>723240</v>
      </c>
    </row>
    <row r="57">
      <c r="A57" s="154">
        <v>45799.0</v>
      </c>
      <c r="B57" s="156" t="s">
        <v>18</v>
      </c>
      <c r="C57" s="89">
        <v>132653.0</v>
      </c>
      <c r="D57" s="89">
        <v>132938.0</v>
      </c>
      <c r="E57" s="53">
        <f t="shared" si="48"/>
        <v>285</v>
      </c>
      <c r="F57" s="157">
        <v>44.0</v>
      </c>
      <c r="G57" s="14">
        <f t="shared" si="49"/>
        <v>15.43859649</v>
      </c>
      <c r="H57" s="89"/>
      <c r="I57" s="137"/>
      <c r="J57" s="89">
        <f t="shared" si="50"/>
        <v>0</v>
      </c>
      <c r="K57" s="89">
        <f t="shared" si="51"/>
        <v>44</v>
      </c>
      <c r="L57" s="152" t="str">
        <f t="shared" si="52"/>
        <v>#DIV/0!</v>
      </c>
      <c r="M57" s="126">
        <v>17220.0</v>
      </c>
      <c r="N57" s="342">
        <f t="shared" si="53"/>
        <v>757680</v>
      </c>
    </row>
    <row r="58">
      <c r="A58" s="316">
        <v>45807.0</v>
      </c>
      <c r="B58" s="99" t="s">
        <v>18</v>
      </c>
      <c r="C58" s="149">
        <v>132938.0</v>
      </c>
      <c r="D58" s="149">
        <v>133318.0</v>
      </c>
      <c r="E58" s="25">
        <f t="shared" si="48"/>
        <v>380</v>
      </c>
      <c r="F58" s="161">
        <v>50.0</v>
      </c>
      <c r="G58" s="56">
        <f t="shared" si="49"/>
        <v>13.15789474</v>
      </c>
      <c r="H58" s="149"/>
      <c r="I58" s="315">
        <v>8851.0</v>
      </c>
      <c r="J58" s="149">
        <f t="shared" si="50"/>
        <v>8851</v>
      </c>
      <c r="K58" s="149">
        <f t="shared" si="51"/>
        <v>50</v>
      </c>
      <c r="L58" s="152">
        <f t="shared" si="52"/>
        <v>0.56490792</v>
      </c>
      <c r="M58" s="153">
        <v>17130.0</v>
      </c>
      <c r="N58" s="340">
        <f t="shared" si="53"/>
        <v>856500</v>
      </c>
    </row>
    <row r="59">
      <c r="A59" s="62"/>
      <c r="B59" s="63"/>
      <c r="C59" s="62"/>
      <c r="D59" s="64" t="s">
        <v>19</v>
      </c>
      <c r="E59" s="64">
        <f t="shared" ref="E59:F59" si="54">sum(E52:E58)</f>
        <v>2332</v>
      </c>
      <c r="F59" s="64">
        <f t="shared" si="54"/>
        <v>304</v>
      </c>
      <c r="G59" s="65">
        <f>average(G52:G58)</f>
        <v>13.08643315</v>
      </c>
      <c r="H59" s="62"/>
      <c r="I59" s="66"/>
      <c r="J59" s="64">
        <f t="shared" ref="J59:K59" si="55">sum(J52:J58)</f>
        <v>2226</v>
      </c>
      <c r="K59" s="64">
        <f t="shared" si="55"/>
        <v>304</v>
      </c>
      <c r="L59" s="65" t="str">
        <f>average(L52:L58)</f>
        <v>#DIV/0!</v>
      </c>
      <c r="M59" s="68"/>
      <c r="N59" s="341">
        <f>sum(N52:N58)</f>
        <v>5215870</v>
      </c>
    </row>
    <row r="60">
      <c r="A60" s="70">
        <v>45780.0</v>
      </c>
      <c r="B60" s="302" t="s">
        <v>20</v>
      </c>
      <c r="C60" s="89">
        <v>376063.0</v>
      </c>
      <c r="D60" s="41">
        <v>376744.0</v>
      </c>
      <c r="E60" s="38">
        <f t="shared" ref="E60:E66" si="56">D60-C60</f>
        <v>681</v>
      </c>
      <c r="F60" s="39">
        <v>85.0</v>
      </c>
      <c r="G60" s="14">
        <f t="shared" ref="G60:G66" si="57">(F60/E60)*100</f>
        <v>12.48164464</v>
      </c>
      <c r="H60" s="89">
        <v>14557.0</v>
      </c>
      <c r="I60" s="138">
        <v>15289.0</v>
      </c>
      <c r="J60" s="41">
        <f t="shared" ref="J60:J66" si="58">I60-H60</f>
        <v>732</v>
      </c>
      <c r="K60" s="41">
        <f t="shared" ref="K60:K66" si="59">F60</f>
        <v>85</v>
      </c>
      <c r="L60" s="152">
        <f t="shared" ref="L60:L66" si="60">(K60/J60)*100</f>
        <v>11.61202186</v>
      </c>
      <c r="M60" s="72">
        <v>17520.0</v>
      </c>
      <c r="N60" s="347">
        <f t="shared" ref="N60:N66" si="61">F60*M60</f>
        <v>1489200</v>
      </c>
    </row>
    <row r="61">
      <c r="A61" s="154">
        <v>45789.0</v>
      </c>
      <c r="B61" s="156" t="s">
        <v>20</v>
      </c>
      <c r="C61" s="89">
        <v>376744.0</v>
      </c>
      <c r="D61" s="89">
        <v>377445.0</v>
      </c>
      <c r="E61" s="12">
        <f t="shared" si="56"/>
        <v>701</v>
      </c>
      <c r="F61" s="157">
        <v>85.0</v>
      </c>
      <c r="G61" s="14">
        <f t="shared" si="57"/>
        <v>12.12553495</v>
      </c>
      <c r="H61" s="89">
        <v>15289.0</v>
      </c>
      <c r="I61" s="137"/>
      <c r="J61" s="89">
        <f t="shared" si="58"/>
        <v>-15289</v>
      </c>
      <c r="K61" s="41">
        <f t="shared" si="59"/>
        <v>85</v>
      </c>
      <c r="L61" s="152">
        <f t="shared" si="60"/>
        <v>-0.555955262</v>
      </c>
      <c r="M61" s="126">
        <v>16800.0</v>
      </c>
      <c r="N61" s="338">
        <f t="shared" si="61"/>
        <v>1428000</v>
      </c>
    </row>
    <row r="62">
      <c r="A62" s="154">
        <v>45796.0</v>
      </c>
      <c r="B62" s="156" t="s">
        <v>20</v>
      </c>
      <c r="C62" s="89">
        <v>377445.0</v>
      </c>
      <c r="D62" s="89">
        <v>378234.0</v>
      </c>
      <c r="E62" s="12">
        <f t="shared" si="56"/>
        <v>789</v>
      </c>
      <c r="F62" s="157">
        <v>90.0</v>
      </c>
      <c r="G62" s="14">
        <f t="shared" si="57"/>
        <v>11.40684411</v>
      </c>
      <c r="H62" s="89"/>
      <c r="I62" s="137"/>
      <c r="J62" s="89">
        <f t="shared" si="58"/>
        <v>0</v>
      </c>
      <c r="K62" s="268">
        <f t="shared" si="59"/>
        <v>90</v>
      </c>
      <c r="L62" s="152" t="str">
        <f t="shared" si="60"/>
        <v>#DIV/0!</v>
      </c>
      <c r="M62" s="126">
        <v>17220.0</v>
      </c>
      <c r="N62" s="339">
        <f t="shared" si="61"/>
        <v>1549800</v>
      </c>
    </row>
    <row r="63">
      <c r="A63" s="154">
        <v>45804.0</v>
      </c>
      <c r="B63" s="156" t="s">
        <v>20</v>
      </c>
      <c r="C63" s="89">
        <v>378234.0</v>
      </c>
      <c r="D63" s="89">
        <v>379032.0</v>
      </c>
      <c r="E63" s="12">
        <f t="shared" si="56"/>
        <v>798</v>
      </c>
      <c r="F63" s="157">
        <v>95.0</v>
      </c>
      <c r="G63" s="14">
        <f t="shared" si="57"/>
        <v>11.9047619</v>
      </c>
      <c r="H63" s="89"/>
      <c r="I63" s="137"/>
      <c r="J63" s="89">
        <f t="shared" si="58"/>
        <v>0</v>
      </c>
      <c r="K63" s="89">
        <f t="shared" si="59"/>
        <v>95</v>
      </c>
      <c r="L63" s="152" t="str">
        <f t="shared" si="60"/>
        <v>#DIV/0!</v>
      </c>
      <c r="M63" s="126">
        <v>17400.0</v>
      </c>
      <c r="N63" s="342">
        <f t="shared" si="61"/>
        <v>1653000</v>
      </c>
    </row>
    <row r="64">
      <c r="A64" s="154">
        <v>45805.0</v>
      </c>
      <c r="B64" s="156" t="s">
        <v>20</v>
      </c>
      <c r="C64" s="89"/>
      <c r="D64" s="89"/>
      <c r="E64" s="12">
        <f t="shared" si="56"/>
        <v>0</v>
      </c>
      <c r="F64" s="157"/>
      <c r="G64" s="14" t="str">
        <f t="shared" si="57"/>
        <v>#DIV/0!</v>
      </c>
      <c r="H64" s="89"/>
      <c r="I64" s="137">
        <v>17454.0</v>
      </c>
      <c r="J64" s="89">
        <f t="shared" si="58"/>
        <v>17454</v>
      </c>
      <c r="K64" s="89" t="str">
        <f t="shared" si="59"/>
        <v/>
      </c>
      <c r="L64" s="152">
        <f t="shared" si="60"/>
        <v>0</v>
      </c>
      <c r="M64" s="126"/>
      <c r="N64" s="342">
        <f t="shared" si="61"/>
        <v>0</v>
      </c>
    </row>
    <row r="65">
      <c r="A65" s="320"/>
      <c r="B65" s="99" t="s">
        <v>20</v>
      </c>
      <c r="C65" s="89"/>
      <c r="D65" s="158"/>
      <c r="E65" s="12">
        <f t="shared" si="56"/>
        <v>0</v>
      </c>
      <c r="F65" s="321"/>
      <c r="G65" s="14" t="str">
        <f t="shared" si="57"/>
        <v>#DIV/0!</v>
      </c>
      <c r="H65" s="89"/>
      <c r="I65" s="159"/>
      <c r="J65" s="89">
        <f t="shared" si="58"/>
        <v>0</v>
      </c>
      <c r="K65" s="89" t="str">
        <f t="shared" si="59"/>
        <v/>
      </c>
      <c r="L65" s="152" t="str">
        <f t="shared" si="60"/>
        <v>#DIV/0!</v>
      </c>
      <c r="M65" s="322"/>
      <c r="N65" s="342">
        <f t="shared" si="61"/>
        <v>0</v>
      </c>
    </row>
    <row r="66">
      <c r="A66" s="305"/>
      <c r="B66" s="323"/>
      <c r="C66" s="149"/>
      <c r="D66" s="150"/>
      <c r="E66" s="25">
        <f t="shared" si="56"/>
        <v>0</v>
      </c>
      <c r="F66" s="307"/>
      <c r="G66" s="56" t="str">
        <f t="shared" si="57"/>
        <v>#DIV/0!</v>
      </c>
      <c r="H66" s="149"/>
      <c r="I66" s="151"/>
      <c r="J66" s="149">
        <f t="shared" si="58"/>
        <v>0</v>
      </c>
      <c r="K66" s="149" t="str">
        <f t="shared" si="59"/>
        <v/>
      </c>
      <c r="L66" s="152" t="str">
        <f t="shared" si="60"/>
        <v>#DIV/0!</v>
      </c>
      <c r="M66" s="308"/>
      <c r="N66" s="340">
        <f t="shared" si="61"/>
        <v>0</v>
      </c>
    </row>
    <row r="67">
      <c r="A67" s="62"/>
      <c r="B67" s="63"/>
      <c r="C67" s="62"/>
      <c r="D67" s="64" t="s">
        <v>19</v>
      </c>
      <c r="E67" s="64">
        <f t="shared" ref="E67:F67" si="62">sum(E60:E66)</f>
        <v>2969</v>
      </c>
      <c r="F67" s="64">
        <f t="shared" si="62"/>
        <v>355</v>
      </c>
      <c r="G67" s="65" t="str">
        <f>average(G60:G66)</f>
        <v>#DIV/0!</v>
      </c>
      <c r="H67" s="62"/>
      <c r="I67" s="66"/>
      <c r="J67" s="64">
        <f t="shared" ref="J67:K67" si="63">sum(J60:J66)</f>
        <v>2897</v>
      </c>
      <c r="K67" s="64">
        <f t="shared" si="63"/>
        <v>355</v>
      </c>
      <c r="L67" s="65" t="str">
        <f>average(L60:L66)</f>
        <v>#DIV/0!</v>
      </c>
      <c r="M67" s="68"/>
      <c r="N67" s="341">
        <f>sum(N60:N66)</f>
        <v>6120000</v>
      </c>
    </row>
    <row r="68">
      <c r="A68" s="91">
        <v>45784.0</v>
      </c>
      <c r="B68" s="302" t="s">
        <v>21</v>
      </c>
      <c r="C68" s="89">
        <v>358982.0</v>
      </c>
      <c r="D68" s="41">
        <v>359598.0</v>
      </c>
      <c r="E68" s="38">
        <f t="shared" ref="E68:E74" si="64">D68-C68</f>
        <v>616</v>
      </c>
      <c r="F68" s="39">
        <v>80.0</v>
      </c>
      <c r="G68" s="14">
        <f t="shared" ref="G68:G74" si="65">(F68/E68)*100</f>
        <v>12.98701299</v>
      </c>
      <c r="H68" s="137">
        <v>6638.0</v>
      </c>
      <c r="I68" s="137">
        <v>7385.0</v>
      </c>
      <c r="J68" s="41">
        <f t="shared" ref="J68:J74" si="66">I68-H68</f>
        <v>747</v>
      </c>
      <c r="K68" s="41">
        <f t="shared" ref="K68:K74" si="67">F68</f>
        <v>80</v>
      </c>
      <c r="L68" s="152">
        <f t="shared" ref="L68:L74" si="68">(K68/J68)*100</f>
        <v>10.70950469</v>
      </c>
      <c r="M68" s="72">
        <v>17350.0</v>
      </c>
      <c r="N68" s="336">
        <f t="shared" ref="N68:N74" si="69">F68*M68</f>
        <v>1388000</v>
      </c>
    </row>
    <row r="69">
      <c r="A69" s="154">
        <v>45914.0</v>
      </c>
      <c r="B69" s="156" t="s">
        <v>21</v>
      </c>
      <c r="C69" s="41">
        <v>359598.0</v>
      </c>
      <c r="D69" s="89">
        <v>360075.0</v>
      </c>
      <c r="E69" s="12">
        <f t="shared" si="64"/>
        <v>477</v>
      </c>
      <c r="F69" s="157">
        <v>75.0</v>
      </c>
      <c r="G69" s="14">
        <f t="shared" si="65"/>
        <v>15.72327044</v>
      </c>
      <c r="H69" s="89">
        <v>7385.0</v>
      </c>
      <c r="I69" s="137"/>
      <c r="J69" s="89">
        <f t="shared" si="66"/>
        <v>-7385</v>
      </c>
      <c r="K69" s="89">
        <f t="shared" si="67"/>
        <v>75</v>
      </c>
      <c r="L69" s="152">
        <f t="shared" si="68"/>
        <v>-1.015572106</v>
      </c>
      <c r="M69" s="126">
        <v>16800.0</v>
      </c>
      <c r="N69" s="338">
        <f t="shared" si="69"/>
        <v>1260000</v>
      </c>
    </row>
    <row r="70">
      <c r="A70" s="154">
        <v>45798.0</v>
      </c>
      <c r="B70" s="156" t="s">
        <v>21</v>
      </c>
      <c r="C70" s="89">
        <v>360075.0</v>
      </c>
      <c r="D70" s="89">
        <v>360694.0</v>
      </c>
      <c r="E70" s="12">
        <f t="shared" si="64"/>
        <v>619</v>
      </c>
      <c r="F70" s="157">
        <v>75.0</v>
      </c>
      <c r="G70" s="14">
        <f t="shared" si="65"/>
        <v>12.11631664</v>
      </c>
      <c r="H70" s="89"/>
      <c r="I70" s="137"/>
      <c r="J70" s="89">
        <f t="shared" si="66"/>
        <v>0</v>
      </c>
      <c r="K70" s="89">
        <f t="shared" si="67"/>
        <v>75</v>
      </c>
      <c r="L70" s="152" t="str">
        <f t="shared" si="68"/>
        <v>#DIV/0!</v>
      </c>
      <c r="M70" s="126">
        <v>17220.0</v>
      </c>
      <c r="N70" s="338">
        <f t="shared" si="69"/>
        <v>1291500</v>
      </c>
    </row>
    <row r="71">
      <c r="A71" s="324">
        <v>45804.0</v>
      </c>
      <c r="B71" s="156" t="s">
        <v>21</v>
      </c>
      <c r="C71" s="89">
        <v>360694.0</v>
      </c>
      <c r="D71" s="89">
        <v>361159.0</v>
      </c>
      <c r="E71" s="12">
        <f t="shared" si="64"/>
        <v>465</v>
      </c>
      <c r="F71" s="157">
        <v>69.0</v>
      </c>
      <c r="G71" s="14">
        <f t="shared" si="65"/>
        <v>14.83870968</v>
      </c>
      <c r="H71" s="89"/>
      <c r="I71" s="137">
        <v>8715.0</v>
      </c>
      <c r="J71" s="89">
        <f t="shared" si="66"/>
        <v>8715</v>
      </c>
      <c r="K71" s="89">
        <f t="shared" si="67"/>
        <v>69</v>
      </c>
      <c r="L71" s="152">
        <f t="shared" si="68"/>
        <v>0.7917383821</v>
      </c>
      <c r="M71" s="126">
        <v>17400.0</v>
      </c>
      <c r="N71" s="348">
        <f t="shared" si="69"/>
        <v>1200600</v>
      </c>
    </row>
    <row r="72">
      <c r="A72" s="154"/>
      <c r="B72" s="156" t="s">
        <v>21</v>
      </c>
      <c r="C72" s="89"/>
      <c r="D72" s="89"/>
      <c r="E72" s="12">
        <f t="shared" si="64"/>
        <v>0</v>
      </c>
      <c r="F72" s="157"/>
      <c r="G72" s="14" t="str">
        <f t="shared" si="65"/>
        <v>#DIV/0!</v>
      </c>
      <c r="H72" s="89"/>
      <c r="I72" s="137"/>
      <c r="J72" s="89">
        <f t="shared" si="66"/>
        <v>0</v>
      </c>
      <c r="K72" s="89" t="str">
        <f t="shared" si="67"/>
        <v/>
      </c>
      <c r="L72" s="152" t="str">
        <f t="shared" si="68"/>
        <v>#DIV/0!</v>
      </c>
      <c r="M72" s="126"/>
      <c r="N72" s="342">
        <f t="shared" si="69"/>
        <v>0</v>
      </c>
    </row>
    <row r="73">
      <c r="A73" s="155"/>
      <c r="B73" s="99" t="s">
        <v>37</v>
      </c>
      <c r="C73" s="89"/>
      <c r="D73" s="89"/>
      <c r="E73" s="12">
        <f t="shared" si="64"/>
        <v>0</v>
      </c>
      <c r="F73" s="157"/>
      <c r="G73" s="14" t="str">
        <f t="shared" si="65"/>
        <v>#DIV/0!</v>
      </c>
      <c r="H73" s="89"/>
      <c r="I73" s="159"/>
      <c r="J73" s="89">
        <f t="shared" si="66"/>
        <v>0</v>
      </c>
      <c r="K73" s="89" t="str">
        <f t="shared" si="67"/>
        <v/>
      </c>
      <c r="L73" s="152" t="str">
        <f t="shared" si="68"/>
        <v>#DIV/0!</v>
      </c>
      <c r="M73" s="126"/>
      <c r="N73" s="342">
        <f t="shared" si="69"/>
        <v>0</v>
      </c>
    </row>
    <row r="74">
      <c r="A74" s="305"/>
      <c r="B74" s="323"/>
      <c r="C74" s="149"/>
      <c r="D74" s="150"/>
      <c r="E74" s="25">
        <f t="shared" si="64"/>
        <v>0</v>
      </c>
      <c r="F74" s="307"/>
      <c r="G74" s="56" t="str">
        <f t="shared" si="65"/>
        <v>#DIV/0!</v>
      </c>
      <c r="H74" s="149"/>
      <c r="I74" s="151"/>
      <c r="J74" s="149">
        <f t="shared" si="66"/>
        <v>0</v>
      </c>
      <c r="K74" s="149" t="str">
        <f t="shared" si="67"/>
        <v/>
      </c>
      <c r="L74" s="152" t="str">
        <f t="shared" si="68"/>
        <v>#DIV/0!</v>
      </c>
      <c r="M74" s="308"/>
      <c r="N74" s="340">
        <f t="shared" si="69"/>
        <v>0</v>
      </c>
    </row>
    <row r="75">
      <c r="A75" s="62"/>
      <c r="B75" s="63"/>
      <c r="C75" s="62"/>
      <c r="D75" s="64" t="s">
        <v>19</v>
      </c>
      <c r="E75" s="64">
        <f t="shared" ref="E75:F75" si="70">sum(E68:E74)</f>
        <v>2177</v>
      </c>
      <c r="F75" s="64">
        <f t="shared" si="70"/>
        <v>299</v>
      </c>
      <c r="G75" s="65" t="str">
        <f>average(G68:G74)</f>
        <v>#DIV/0!</v>
      </c>
      <c r="H75" s="62"/>
      <c r="I75" s="66"/>
      <c r="J75" s="64">
        <f t="shared" ref="J75:K75" si="71">sum(J68:J74)</f>
        <v>2077</v>
      </c>
      <c r="K75" s="64">
        <f t="shared" si="71"/>
        <v>299</v>
      </c>
      <c r="L75" s="65" t="str">
        <f>average(L68:L74)</f>
        <v>#DIV/0!</v>
      </c>
      <c r="M75" s="68"/>
      <c r="N75" s="341">
        <f>sum(N68:N74)</f>
        <v>5140100</v>
      </c>
    </row>
    <row r="76">
      <c r="A76" s="70">
        <v>45779.0</v>
      </c>
      <c r="B76" s="314" t="s">
        <v>100</v>
      </c>
      <c r="C76" s="89">
        <v>70032.0</v>
      </c>
      <c r="D76" s="41">
        <v>75187.0</v>
      </c>
      <c r="E76" s="38">
        <f t="shared" ref="E76:E82" si="72">D76-C76</f>
        <v>5155</v>
      </c>
      <c r="F76" s="39">
        <v>68.0</v>
      </c>
      <c r="G76" s="14">
        <f t="shared" ref="G76:G82" si="73">(F76/E76)*100</f>
        <v>1.319107662</v>
      </c>
      <c r="H76" s="89">
        <v>7694.0</v>
      </c>
      <c r="I76" s="138">
        <v>8281.0</v>
      </c>
      <c r="J76" s="41">
        <f t="shared" ref="J76:J82" si="74">I76-H76</f>
        <v>587</v>
      </c>
      <c r="K76" s="41">
        <f t="shared" ref="K76:K82" si="75">F76</f>
        <v>68</v>
      </c>
      <c r="L76" s="152">
        <f t="shared" ref="L76:L82" si="76">(K76/J76)*100</f>
        <v>11.58432709</v>
      </c>
      <c r="M76" s="72">
        <v>17520.0</v>
      </c>
      <c r="N76" s="336">
        <f t="shared" ref="N76:N82" si="77">F76*M76</f>
        <v>1191360</v>
      </c>
      <c r="O76" s="197">
        <v>1.1941E7</v>
      </c>
    </row>
    <row r="77">
      <c r="A77" s="154">
        <v>45785.0</v>
      </c>
      <c r="B77" s="156" t="s">
        <v>100</v>
      </c>
      <c r="C77" s="89">
        <v>75187.0</v>
      </c>
      <c r="D77" s="89">
        <v>81024.0</v>
      </c>
      <c r="E77" s="12">
        <f t="shared" si="72"/>
        <v>5837</v>
      </c>
      <c r="F77" s="157">
        <v>77.0</v>
      </c>
      <c r="G77" s="14">
        <f t="shared" si="73"/>
        <v>1.319170807</v>
      </c>
      <c r="H77" s="138">
        <v>8281.0</v>
      </c>
      <c r="I77" s="138">
        <v>8870.0</v>
      </c>
      <c r="J77" s="89">
        <f t="shared" si="74"/>
        <v>589</v>
      </c>
      <c r="K77" s="89">
        <f t="shared" si="75"/>
        <v>77</v>
      </c>
      <c r="L77" s="152">
        <f t="shared" si="76"/>
        <v>13.07300509</v>
      </c>
      <c r="M77" s="126">
        <v>16800.0</v>
      </c>
      <c r="N77" s="338">
        <f t="shared" si="77"/>
        <v>1293600</v>
      </c>
      <c r="O77" s="197">
        <v>1293000.0</v>
      </c>
    </row>
    <row r="78">
      <c r="A78" s="155">
        <v>45791.0</v>
      </c>
      <c r="B78" s="156" t="s">
        <v>100</v>
      </c>
      <c r="C78" s="89">
        <v>8102.0</v>
      </c>
      <c r="D78" s="89">
        <v>8666.0</v>
      </c>
      <c r="E78" s="12">
        <f t="shared" si="72"/>
        <v>564</v>
      </c>
      <c r="F78" s="157">
        <v>71.0</v>
      </c>
      <c r="G78" s="14">
        <f t="shared" si="73"/>
        <v>12.58865248</v>
      </c>
      <c r="H78" s="89">
        <v>8870.0</v>
      </c>
      <c r="I78" s="137"/>
      <c r="J78" s="89">
        <f t="shared" si="74"/>
        <v>-8870</v>
      </c>
      <c r="K78" s="89">
        <f t="shared" si="75"/>
        <v>71</v>
      </c>
      <c r="L78" s="152">
        <f t="shared" si="76"/>
        <v>-0.8004509583</v>
      </c>
      <c r="M78" s="126">
        <v>16800.0</v>
      </c>
      <c r="N78" s="339">
        <f t="shared" si="77"/>
        <v>1192800</v>
      </c>
      <c r="O78" s="197">
        <v>1192000.0</v>
      </c>
    </row>
    <row r="79">
      <c r="A79" s="154">
        <v>45796.0</v>
      </c>
      <c r="B79" s="156" t="s">
        <v>100</v>
      </c>
      <c r="C79" s="89">
        <v>8666.0</v>
      </c>
      <c r="D79" s="89">
        <v>9230.0</v>
      </c>
      <c r="E79" s="12">
        <f t="shared" si="72"/>
        <v>564</v>
      </c>
      <c r="F79" s="157">
        <v>66.0</v>
      </c>
      <c r="G79" s="14">
        <f t="shared" si="73"/>
        <v>11.70212766</v>
      </c>
      <c r="H79" s="89"/>
      <c r="I79" s="137"/>
      <c r="J79" s="89">
        <f t="shared" si="74"/>
        <v>0</v>
      </c>
      <c r="K79" s="89">
        <f t="shared" si="75"/>
        <v>66</v>
      </c>
      <c r="L79" s="152" t="str">
        <f t="shared" si="76"/>
        <v>#DIV/0!</v>
      </c>
      <c r="M79" s="126">
        <v>17220.0</v>
      </c>
      <c r="N79" s="339">
        <f t="shared" si="77"/>
        <v>1136520</v>
      </c>
      <c r="O79" s="197">
        <v>1136000.0</v>
      </c>
    </row>
    <row r="80">
      <c r="A80" s="154">
        <v>45800.0</v>
      </c>
      <c r="B80" s="156" t="s">
        <v>100</v>
      </c>
      <c r="C80" s="89">
        <v>9230.0</v>
      </c>
      <c r="D80" s="89">
        <v>9793.0</v>
      </c>
      <c r="E80" s="12">
        <f t="shared" si="72"/>
        <v>563</v>
      </c>
      <c r="F80" s="157">
        <v>69.0</v>
      </c>
      <c r="G80" s="14">
        <f t="shared" si="73"/>
        <v>12.25577265</v>
      </c>
      <c r="H80" s="89"/>
      <c r="I80" s="137"/>
      <c r="J80" s="89">
        <f t="shared" si="74"/>
        <v>0</v>
      </c>
      <c r="K80" s="89">
        <f t="shared" si="75"/>
        <v>69</v>
      </c>
      <c r="L80" s="152" t="str">
        <f t="shared" si="76"/>
        <v>#DIV/0!</v>
      </c>
      <c r="M80" s="126">
        <v>17400.0</v>
      </c>
      <c r="N80" s="339">
        <f t="shared" si="77"/>
        <v>1200600</v>
      </c>
      <c r="O80" s="197">
        <v>1200000.0</v>
      </c>
    </row>
    <row r="81">
      <c r="A81" s="304">
        <v>45805.0</v>
      </c>
      <c r="B81" s="156" t="s">
        <v>100</v>
      </c>
      <c r="C81" s="89">
        <v>9793.0</v>
      </c>
      <c r="D81" s="89">
        <v>9820.0</v>
      </c>
      <c r="E81" s="12">
        <f t="shared" si="72"/>
        <v>27</v>
      </c>
      <c r="F81" s="157">
        <v>79.0</v>
      </c>
      <c r="G81" s="14">
        <f t="shared" si="73"/>
        <v>292.5925926</v>
      </c>
      <c r="H81" s="89"/>
      <c r="I81" s="159"/>
      <c r="J81" s="89">
        <f t="shared" si="74"/>
        <v>0</v>
      </c>
      <c r="K81" s="89">
        <f t="shared" si="75"/>
        <v>79</v>
      </c>
      <c r="L81" s="152" t="str">
        <f t="shared" si="76"/>
        <v>#DIV/0!</v>
      </c>
      <c r="M81" s="126">
        <v>17400.0</v>
      </c>
      <c r="N81" s="342">
        <f t="shared" si="77"/>
        <v>1374600</v>
      </c>
      <c r="O81" s="197">
        <v>1374000.0</v>
      </c>
    </row>
    <row r="82">
      <c r="A82" s="304"/>
      <c r="B82" s="306"/>
      <c r="C82" s="149"/>
      <c r="D82" s="150"/>
      <c r="E82" s="25">
        <f t="shared" si="72"/>
        <v>0</v>
      </c>
      <c r="F82" s="307"/>
      <c r="G82" s="56" t="str">
        <f t="shared" si="73"/>
        <v>#DIV/0!</v>
      </c>
      <c r="H82" s="149"/>
      <c r="I82" s="315">
        <v>10712.0</v>
      </c>
      <c r="J82" s="149">
        <f t="shared" si="74"/>
        <v>10712</v>
      </c>
      <c r="K82" s="149" t="str">
        <f t="shared" si="75"/>
        <v/>
      </c>
      <c r="L82" s="152">
        <f t="shared" si="76"/>
        <v>0</v>
      </c>
      <c r="M82" s="308"/>
      <c r="N82" s="340">
        <f t="shared" si="77"/>
        <v>0</v>
      </c>
    </row>
    <row r="83">
      <c r="A83" s="62"/>
      <c r="B83" s="63"/>
      <c r="C83" s="62"/>
      <c r="D83" s="64" t="s">
        <v>19</v>
      </c>
      <c r="E83" s="64">
        <f t="shared" ref="E83:F83" si="78">sum(E76:E82)</f>
        <v>12710</v>
      </c>
      <c r="F83" s="64">
        <f t="shared" si="78"/>
        <v>430</v>
      </c>
      <c r="G83" s="65" t="str">
        <f>average(G76:G82)</f>
        <v>#DIV/0!</v>
      </c>
      <c r="H83" s="62"/>
      <c r="I83" s="66"/>
      <c r="J83" s="64">
        <f t="shared" ref="J83:K83" si="79">sum(J76:J82)</f>
        <v>3018</v>
      </c>
      <c r="K83" s="64">
        <f t="shared" si="79"/>
        <v>430</v>
      </c>
      <c r="L83" s="65" t="str">
        <f>average(L76:L82)</f>
        <v>#DIV/0!</v>
      </c>
      <c r="M83" s="68"/>
      <c r="N83" s="341">
        <f>sum(N76:N82)</f>
        <v>7389480</v>
      </c>
    </row>
    <row r="84">
      <c r="A84" s="98">
        <v>45783.0</v>
      </c>
      <c r="B84" s="156" t="s">
        <v>38</v>
      </c>
      <c r="C84" s="41">
        <v>146969.0</v>
      </c>
      <c r="D84" s="41">
        <v>147611.0</v>
      </c>
      <c r="E84" s="38">
        <f t="shared" ref="E84:E89" si="80">D84-C84</f>
        <v>642</v>
      </c>
      <c r="F84" s="39">
        <v>81.0</v>
      </c>
      <c r="G84" s="14">
        <f t="shared" ref="G84:G89" si="81">(F84/E84)*100</f>
        <v>12.61682243</v>
      </c>
      <c r="H84" s="137">
        <v>6680.0</v>
      </c>
      <c r="I84" s="138"/>
      <c r="J84" s="41">
        <f t="shared" ref="J84:J87" si="82">I84-H84</f>
        <v>-6680</v>
      </c>
      <c r="K84" s="41">
        <f t="shared" ref="K84:K89" si="83">F84</f>
        <v>81</v>
      </c>
      <c r="L84" s="152">
        <f t="shared" ref="L84:L89" si="84">(K84/J84)*100</f>
        <v>-1.21257485</v>
      </c>
      <c r="M84" s="72">
        <v>17350.0</v>
      </c>
      <c r="N84" s="336">
        <f t="shared" ref="N84:N89" si="85">F84*M84</f>
        <v>1405350</v>
      </c>
    </row>
    <row r="85">
      <c r="A85" s="155">
        <v>45790.0</v>
      </c>
      <c r="B85" s="156" t="s">
        <v>38</v>
      </c>
      <c r="C85" s="89">
        <v>147611.0</v>
      </c>
      <c r="D85" s="89">
        <v>148256.0</v>
      </c>
      <c r="E85" s="38">
        <f t="shared" si="80"/>
        <v>645</v>
      </c>
      <c r="F85" s="157">
        <v>80.0</v>
      </c>
      <c r="G85" s="14">
        <f t="shared" si="81"/>
        <v>12.40310078</v>
      </c>
      <c r="H85" s="89"/>
      <c r="I85" s="137"/>
      <c r="J85" s="89">
        <f t="shared" si="82"/>
        <v>0</v>
      </c>
      <c r="K85" s="89">
        <f t="shared" si="83"/>
        <v>80</v>
      </c>
      <c r="L85" s="152" t="str">
        <f t="shared" si="84"/>
        <v>#DIV/0!</v>
      </c>
      <c r="M85" s="126">
        <v>16800.0</v>
      </c>
      <c r="N85" s="336">
        <f t="shared" si="85"/>
        <v>1344000</v>
      </c>
    </row>
    <row r="86">
      <c r="A86" s="155">
        <v>45796.0</v>
      </c>
      <c r="B86" s="306" t="s">
        <v>38</v>
      </c>
      <c r="C86" s="89">
        <v>148256.0</v>
      </c>
      <c r="D86" s="89">
        <v>148903.0</v>
      </c>
      <c r="E86" s="38">
        <f t="shared" si="80"/>
        <v>647</v>
      </c>
      <c r="F86" s="157">
        <v>78.0</v>
      </c>
      <c r="G86" s="14">
        <f t="shared" si="81"/>
        <v>12.05564142</v>
      </c>
      <c r="H86" s="89"/>
      <c r="I86" s="137"/>
      <c r="J86" s="89">
        <f t="shared" si="82"/>
        <v>0</v>
      </c>
      <c r="K86" s="89">
        <f t="shared" si="83"/>
        <v>78</v>
      </c>
      <c r="L86" s="152" t="str">
        <f t="shared" si="84"/>
        <v>#DIV/0!</v>
      </c>
      <c r="M86" s="126">
        <v>17220.0</v>
      </c>
      <c r="N86" s="349">
        <f t="shared" si="85"/>
        <v>1343160</v>
      </c>
    </row>
    <row r="87">
      <c r="A87" s="8">
        <v>45801.0</v>
      </c>
      <c r="B87" s="156" t="s">
        <v>38</v>
      </c>
      <c r="C87" s="13">
        <v>148903.0</v>
      </c>
      <c r="D87" s="105">
        <v>149559.0</v>
      </c>
      <c r="E87" s="38">
        <f t="shared" si="80"/>
        <v>656</v>
      </c>
      <c r="F87" s="157">
        <v>80.0</v>
      </c>
      <c r="G87" s="14">
        <f t="shared" si="81"/>
        <v>12.19512195</v>
      </c>
      <c r="H87" s="89"/>
      <c r="I87" s="137"/>
      <c r="J87" s="89">
        <f t="shared" si="82"/>
        <v>0</v>
      </c>
      <c r="K87" s="89">
        <f t="shared" si="83"/>
        <v>80</v>
      </c>
      <c r="L87" s="152" t="str">
        <f t="shared" si="84"/>
        <v>#DIV/0!</v>
      </c>
      <c r="M87" s="126">
        <v>17400.0</v>
      </c>
      <c r="N87" s="349">
        <f t="shared" si="85"/>
        <v>1392000</v>
      </c>
    </row>
    <row r="88">
      <c r="A88" s="8"/>
      <c r="B88" s="9"/>
      <c r="C88" s="13"/>
      <c r="D88" s="13"/>
      <c r="E88" s="38">
        <f t="shared" si="80"/>
        <v>0</v>
      </c>
      <c r="F88" s="157"/>
      <c r="G88" s="14" t="str">
        <f t="shared" si="81"/>
        <v>#DIV/0!</v>
      </c>
      <c r="H88" s="137"/>
      <c r="I88" s="137">
        <v>9994.0</v>
      </c>
      <c r="J88" s="89"/>
      <c r="K88" s="89" t="str">
        <f t="shared" si="83"/>
        <v/>
      </c>
      <c r="L88" s="152" t="str">
        <f t="shared" si="84"/>
        <v>#DIV/0!</v>
      </c>
      <c r="M88" s="126"/>
      <c r="N88" s="350">
        <f t="shared" si="85"/>
        <v>0</v>
      </c>
    </row>
    <row r="89">
      <c r="A89" s="154"/>
      <c r="B89" s="323"/>
      <c r="C89" s="89"/>
      <c r="D89" s="89"/>
      <c r="E89" s="38">
        <f t="shared" si="80"/>
        <v>0</v>
      </c>
      <c r="F89" s="157"/>
      <c r="G89" s="14" t="str">
        <f t="shared" si="81"/>
        <v>#DIV/0!</v>
      </c>
      <c r="H89" s="89"/>
      <c r="I89" s="137"/>
      <c r="J89" s="89"/>
      <c r="K89" s="89" t="str">
        <f t="shared" si="83"/>
        <v/>
      </c>
      <c r="L89" s="351" t="str">
        <f t="shared" si="84"/>
        <v>#DIV/0!</v>
      </c>
      <c r="M89" s="126"/>
      <c r="N89" s="350">
        <f t="shared" si="85"/>
        <v>0</v>
      </c>
    </row>
    <row r="90">
      <c r="A90" s="352"/>
      <c r="B90" s="375"/>
      <c r="C90" s="353"/>
      <c r="D90" s="354" t="s">
        <v>19</v>
      </c>
      <c r="E90" s="355">
        <f t="shared" ref="E90:F90" si="86">SUM(E84:E89)</f>
        <v>2590</v>
      </c>
      <c r="F90" s="355">
        <f t="shared" si="86"/>
        <v>319</v>
      </c>
      <c r="G90" s="356" t="str">
        <f>average(G84:G89)</f>
        <v>#DIV/0!</v>
      </c>
      <c r="H90" s="353"/>
      <c r="I90" s="357"/>
      <c r="J90" s="354">
        <f t="shared" ref="J90:K90" si="87">sum(J84:J89)</f>
        <v>-6680</v>
      </c>
      <c r="K90" s="354">
        <f t="shared" si="87"/>
        <v>319</v>
      </c>
      <c r="L90" s="358" t="str">
        <f>average(L84:L89)</f>
        <v>#DIV/0!</v>
      </c>
      <c r="M90" s="359"/>
      <c r="N90" s="360">
        <f>sum(N84:N89)</f>
        <v>5484510</v>
      </c>
    </row>
    <row r="91">
      <c r="A91" s="122">
        <v>45779.0</v>
      </c>
      <c r="B91" s="323" t="s">
        <v>39</v>
      </c>
      <c r="C91" s="89">
        <v>97177.0</v>
      </c>
      <c r="D91" s="89">
        <v>97840.0</v>
      </c>
      <c r="E91" s="38">
        <f t="shared" ref="E91:E97" si="88">D91-C91</f>
        <v>663</v>
      </c>
      <c r="F91" s="157">
        <v>80.0</v>
      </c>
      <c r="G91" s="124">
        <f t="shared" ref="G91:G97" si="89">(F91/E91)*100</f>
        <v>12.06636501</v>
      </c>
      <c r="H91" s="137">
        <v>8616.0</v>
      </c>
      <c r="I91" s="137"/>
      <c r="J91" s="89">
        <f t="shared" ref="J91:J97" si="90">I91-H91</f>
        <v>-8616</v>
      </c>
      <c r="K91" s="89">
        <f t="shared" ref="K91:K97" si="91">F91</f>
        <v>80</v>
      </c>
      <c r="L91" s="330">
        <f t="shared" ref="L91:L97" si="92">(K91/J91)*100</f>
        <v>-0.9285051068</v>
      </c>
      <c r="M91" s="126">
        <v>17520.0</v>
      </c>
      <c r="N91" s="361">
        <f>M91*K91</f>
        <v>1401600</v>
      </c>
      <c r="O91" s="197">
        <v>1401600.0</v>
      </c>
    </row>
    <row r="92">
      <c r="A92" s="8">
        <v>45789.0</v>
      </c>
      <c r="B92" s="323" t="s">
        <v>39</v>
      </c>
      <c r="C92" s="13">
        <v>97840.0</v>
      </c>
      <c r="D92" s="13">
        <v>98472.0</v>
      </c>
      <c r="E92" s="12">
        <f t="shared" si="88"/>
        <v>632</v>
      </c>
      <c r="F92" s="13">
        <v>77.0</v>
      </c>
      <c r="G92" s="14">
        <f t="shared" si="89"/>
        <v>12.1835443</v>
      </c>
      <c r="H92" s="13"/>
      <c r="I92" s="16"/>
      <c r="J92" s="89">
        <f t="shared" si="90"/>
        <v>0</v>
      </c>
      <c r="K92" s="89">
        <f t="shared" si="91"/>
        <v>77</v>
      </c>
      <c r="L92" s="330" t="str">
        <f t="shared" si="92"/>
        <v>#DIV/0!</v>
      </c>
      <c r="M92" s="18">
        <v>16800.0</v>
      </c>
      <c r="N92" s="362">
        <f t="shared" ref="N92:N97" si="93">F92*M92</f>
        <v>1293600</v>
      </c>
      <c r="O92" s="197">
        <v>1293600.0</v>
      </c>
      <c r="S92" s="257"/>
      <c r="T92" s="257"/>
      <c r="U92" s="257"/>
      <c r="V92" s="257"/>
      <c r="W92" s="257"/>
      <c r="X92" s="257"/>
      <c r="Y92" s="257"/>
      <c r="Z92" s="257"/>
    </row>
    <row r="93">
      <c r="A93" s="154">
        <v>45797.0</v>
      </c>
      <c r="B93" s="323" t="s">
        <v>39</v>
      </c>
      <c r="C93" s="89">
        <v>98472.0</v>
      </c>
      <c r="D93" s="89">
        <v>99219.0</v>
      </c>
      <c r="E93" s="12">
        <f t="shared" si="88"/>
        <v>747</v>
      </c>
      <c r="F93" s="157">
        <v>86.0</v>
      </c>
      <c r="G93" s="14">
        <f t="shared" si="89"/>
        <v>11.51271754</v>
      </c>
      <c r="H93" s="89"/>
      <c r="I93" s="137"/>
      <c r="J93" s="89">
        <f t="shared" si="90"/>
        <v>0</v>
      </c>
      <c r="K93" s="89">
        <f t="shared" si="91"/>
        <v>86</v>
      </c>
      <c r="L93" s="330" t="str">
        <f t="shared" si="92"/>
        <v>#DIV/0!</v>
      </c>
      <c r="M93" s="126">
        <v>17220.0</v>
      </c>
      <c r="N93" s="362">
        <f t="shared" si="93"/>
        <v>1480920</v>
      </c>
      <c r="O93" s="197">
        <v>1480920.0</v>
      </c>
      <c r="P93" s="82"/>
    </row>
    <row r="94">
      <c r="A94" s="154">
        <v>45805.0</v>
      </c>
      <c r="B94" s="323" t="s">
        <v>39</v>
      </c>
      <c r="C94" s="89">
        <v>99219.0</v>
      </c>
      <c r="D94" s="89">
        <v>99989.0</v>
      </c>
      <c r="E94" s="12">
        <f t="shared" si="88"/>
        <v>770</v>
      </c>
      <c r="F94" s="157">
        <v>85.0</v>
      </c>
      <c r="G94" s="14">
        <f t="shared" si="89"/>
        <v>11.03896104</v>
      </c>
      <c r="H94" s="89"/>
      <c r="I94" s="137"/>
      <c r="J94" s="89">
        <f t="shared" si="90"/>
        <v>0</v>
      </c>
      <c r="K94" s="89">
        <f t="shared" si="91"/>
        <v>85</v>
      </c>
      <c r="L94" s="152" t="str">
        <f t="shared" si="92"/>
        <v>#DIV/0!</v>
      </c>
      <c r="M94" s="126">
        <v>17400.0</v>
      </c>
      <c r="N94" s="339">
        <f t="shared" si="93"/>
        <v>1479000</v>
      </c>
      <c r="O94" s="197">
        <v>1479000.0</v>
      </c>
    </row>
    <row r="95">
      <c r="A95" s="154"/>
      <c r="B95" s="156"/>
      <c r="C95" s="89"/>
      <c r="D95" s="89"/>
      <c r="E95" s="12">
        <f t="shared" si="88"/>
        <v>0</v>
      </c>
      <c r="F95" s="157"/>
      <c r="G95" s="14" t="str">
        <f t="shared" si="89"/>
        <v>#DIV/0!</v>
      </c>
      <c r="H95" s="89"/>
      <c r="I95" s="137"/>
      <c r="J95" s="89">
        <f t="shared" si="90"/>
        <v>0</v>
      </c>
      <c r="K95" s="89" t="str">
        <f t="shared" si="91"/>
        <v/>
      </c>
      <c r="L95" s="152" t="str">
        <f t="shared" si="92"/>
        <v>#DIV/0!</v>
      </c>
      <c r="M95" s="126"/>
      <c r="N95" s="342">
        <f t="shared" si="93"/>
        <v>0</v>
      </c>
    </row>
    <row r="96">
      <c r="A96" s="320"/>
      <c r="B96" s="99"/>
      <c r="C96" s="89"/>
      <c r="D96" s="158"/>
      <c r="E96" s="12">
        <f t="shared" si="88"/>
        <v>0</v>
      </c>
      <c r="F96" s="321"/>
      <c r="G96" s="14" t="str">
        <f t="shared" si="89"/>
        <v>#DIV/0!</v>
      </c>
      <c r="H96" s="89"/>
      <c r="I96" s="159"/>
      <c r="J96" s="89">
        <f t="shared" si="90"/>
        <v>0</v>
      </c>
      <c r="K96" s="89" t="str">
        <f t="shared" si="91"/>
        <v/>
      </c>
      <c r="L96" s="152" t="str">
        <f t="shared" si="92"/>
        <v>#DIV/0!</v>
      </c>
      <c r="M96" s="322"/>
      <c r="N96" s="342">
        <f t="shared" si="93"/>
        <v>0</v>
      </c>
    </row>
    <row r="97">
      <c r="A97" s="305"/>
      <c r="B97" s="323"/>
      <c r="C97" s="149"/>
      <c r="D97" s="150"/>
      <c r="E97" s="25">
        <f t="shared" si="88"/>
        <v>0</v>
      </c>
      <c r="F97" s="307"/>
      <c r="G97" s="56" t="str">
        <f t="shared" si="89"/>
        <v>#DIV/0!</v>
      </c>
      <c r="H97" s="149"/>
      <c r="I97" s="151"/>
      <c r="J97" s="149">
        <f t="shared" si="90"/>
        <v>0</v>
      </c>
      <c r="K97" s="149" t="str">
        <f t="shared" si="91"/>
        <v/>
      </c>
      <c r="L97" s="152" t="str">
        <f t="shared" si="92"/>
        <v>#DIV/0!</v>
      </c>
      <c r="M97" s="308"/>
      <c r="N97" s="340">
        <f t="shared" si="93"/>
        <v>0</v>
      </c>
    </row>
    <row r="98">
      <c r="A98" s="62"/>
      <c r="B98" s="63"/>
      <c r="C98" s="62"/>
      <c r="D98" s="64" t="s">
        <v>19</v>
      </c>
      <c r="E98" s="64">
        <f t="shared" ref="E98:F98" si="94">sum(E84:E97)</f>
        <v>7992</v>
      </c>
      <c r="F98" s="64">
        <f t="shared" si="94"/>
        <v>966</v>
      </c>
      <c r="G98" s="65" t="str">
        <f>average(G84:G97)</f>
        <v>#DIV/0!</v>
      </c>
      <c r="H98" s="62"/>
      <c r="I98" s="66"/>
      <c r="J98" s="64">
        <f t="shared" ref="J98:K98" si="95">sum(J84:J97)</f>
        <v>-21976</v>
      </c>
      <c r="K98" s="64">
        <f t="shared" si="95"/>
        <v>966</v>
      </c>
      <c r="L98" s="65" t="str">
        <f>average(L84:L97)</f>
        <v>#DIV/0!</v>
      </c>
      <c r="M98" s="68"/>
      <c r="N98" s="341">
        <f>sum(N91:N97)</f>
        <v>5655120</v>
      </c>
    </row>
    <row r="99">
      <c r="A99" s="70">
        <v>45782.0</v>
      </c>
      <c r="B99" s="156" t="s">
        <v>40</v>
      </c>
      <c r="C99" s="89">
        <v>92115.0</v>
      </c>
      <c r="D99" s="13">
        <v>92689.0</v>
      </c>
      <c r="E99" s="38">
        <f t="shared" ref="E99:E105" si="96">D99-C99</f>
        <v>574</v>
      </c>
      <c r="F99" s="39">
        <v>65.0</v>
      </c>
      <c r="G99" s="14">
        <f t="shared" ref="G99:G105" si="97">(F99/E99)*100</f>
        <v>11.32404181</v>
      </c>
      <c r="H99" s="89">
        <v>91295.0</v>
      </c>
      <c r="I99" s="138"/>
      <c r="J99" s="41">
        <f t="shared" ref="J99:J105" si="98">I99-H99</f>
        <v>-91295</v>
      </c>
      <c r="K99" s="41">
        <v>65.0</v>
      </c>
      <c r="L99" s="152">
        <f t="shared" ref="L99:L105" si="99">(K99/J99)*100</f>
        <v>-0.07119776549</v>
      </c>
      <c r="M99" s="72">
        <v>17350.0</v>
      </c>
      <c r="N99" s="336">
        <f t="shared" ref="N99:N105" si="100">F99*M99</f>
        <v>1127750</v>
      </c>
    </row>
    <row r="100">
      <c r="A100" s="154">
        <v>45789.0</v>
      </c>
      <c r="B100" s="156" t="s">
        <v>40</v>
      </c>
      <c r="C100" s="89">
        <v>92689.0</v>
      </c>
      <c r="D100" s="89">
        <v>93295.0</v>
      </c>
      <c r="E100" s="12">
        <f t="shared" si="96"/>
        <v>606</v>
      </c>
      <c r="F100" s="157">
        <v>69.0</v>
      </c>
      <c r="G100" s="14">
        <f t="shared" si="97"/>
        <v>11.38613861</v>
      </c>
      <c r="H100" s="89"/>
      <c r="I100" s="137"/>
      <c r="J100" s="89">
        <f t="shared" si="98"/>
        <v>0</v>
      </c>
      <c r="K100" s="89"/>
      <c r="L100" s="152" t="str">
        <f t="shared" si="99"/>
        <v>#DIV/0!</v>
      </c>
      <c r="M100" s="126">
        <v>16800.0</v>
      </c>
      <c r="N100" s="338">
        <f t="shared" si="100"/>
        <v>1159200</v>
      </c>
    </row>
    <row r="101">
      <c r="A101" s="154">
        <v>45793.0</v>
      </c>
      <c r="B101" s="156" t="s">
        <v>40</v>
      </c>
      <c r="C101" s="89">
        <v>93295.0</v>
      </c>
      <c r="D101" s="89">
        <v>93899.0</v>
      </c>
      <c r="E101" s="12">
        <f t="shared" si="96"/>
        <v>604</v>
      </c>
      <c r="F101" s="157">
        <v>67.0</v>
      </c>
      <c r="G101" s="14">
        <f t="shared" si="97"/>
        <v>11.09271523</v>
      </c>
      <c r="H101" s="89"/>
      <c r="I101" s="137"/>
      <c r="J101" s="89">
        <f t="shared" si="98"/>
        <v>0</v>
      </c>
      <c r="K101" s="89"/>
      <c r="L101" s="152" t="str">
        <f t="shared" si="99"/>
        <v>#DIV/0!</v>
      </c>
      <c r="M101" s="126">
        <v>17220.0</v>
      </c>
      <c r="N101" s="339">
        <f t="shared" si="100"/>
        <v>1153740</v>
      </c>
    </row>
    <row r="102">
      <c r="A102" s="154">
        <v>46164.0</v>
      </c>
      <c r="B102" s="156" t="s">
        <v>40</v>
      </c>
      <c r="C102" s="89">
        <v>93899.0</v>
      </c>
      <c r="D102" s="89">
        <v>94557.0</v>
      </c>
      <c r="E102" s="12">
        <f t="shared" si="96"/>
        <v>658</v>
      </c>
      <c r="F102" s="157">
        <v>76.0</v>
      </c>
      <c r="G102" s="14">
        <f t="shared" si="97"/>
        <v>11.55015198</v>
      </c>
      <c r="H102" s="89"/>
      <c r="I102" s="137"/>
      <c r="J102" s="89">
        <f t="shared" si="98"/>
        <v>0</v>
      </c>
      <c r="K102" s="89"/>
      <c r="L102" s="152" t="str">
        <f t="shared" si="99"/>
        <v>#DIV/0!</v>
      </c>
      <c r="M102" s="126">
        <v>17400.0</v>
      </c>
      <c r="N102" s="339">
        <f t="shared" si="100"/>
        <v>1322400</v>
      </c>
    </row>
    <row r="103">
      <c r="A103" s="332">
        <v>45805.0</v>
      </c>
      <c r="B103" s="156" t="s">
        <v>40</v>
      </c>
      <c r="C103" s="89">
        <v>94557.0</v>
      </c>
      <c r="D103" s="89">
        <v>95136.0</v>
      </c>
      <c r="E103" s="12">
        <f t="shared" si="96"/>
        <v>579</v>
      </c>
      <c r="F103" s="157">
        <v>67.0</v>
      </c>
      <c r="G103" s="14">
        <f t="shared" si="97"/>
        <v>11.5716753</v>
      </c>
      <c r="H103" s="89"/>
      <c r="I103" s="137">
        <v>94684.0</v>
      </c>
      <c r="J103" s="89">
        <f t="shared" si="98"/>
        <v>94684</v>
      </c>
      <c r="K103" s="89"/>
      <c r="L103" s="152">
        <f t="shared" si="99"/>
        <v>0</v>
      </c>
      <c r="M103" s="126">
        <v>17400.0</v>
      </c>
      <c r="N103" s="339">
        <f t="shared" si="100"/>
        <v>1165800</v>
      </c>
    </row>
    <row r="104">
      <c r="A104" s="332"/>
      <c r="B104" s="123"/>
      <c r="C104" s="89"/>
      <c r="D104" s="158"/>
      <c r="E104" s="12">
        <f t="shared" si="96"/>
        <v>0</v>
      </c>
      <c r="F104" s="321"/>
      <c r="G104" s="14" t="str">
        <f t="shared" si="97"/>
        <v>#DIV/0!</v>
      </c>
      <c r="H104" s="89"/>
      <c r="I104" s="137"/>
      <c r="J104" s="89">
        <f t="shared" si="98"/>
        <v>0</v>
      </c>
      <c r="K104" s="89" t="str">
        <f t="shared" ref="K104:K105" si="101">F104</f>
        <v/>
      </c>
      <c r="L104" s="152" t="str">
        <f t="shared" si="99"/>
        <v>#DIV/0!</v>
      </c>
      <c r="M104" s="322"/>
      <c r="N104" s="342">
        <f t="shared" si="100"/>
        <v>0</v>
      </c>
    </row>
    <row r="105">
      <c r="A105" s="305"/>
      <c r="B105" s="323"/>
      <c r="C105" s="149"/>
      <c r="D105" s="150"/>
      <c r="E105" s="25">
        <f t="shared" si="96"/>
        <v>0</v>
      </c>
      <c r="F105" s="307"/>
      <c r="G105" s="56" t="str">
        <f t="shared" si="97"/>
        <v>#DIV/0!</v>
      </c>
      <c r="H105" s="149"/>
      <c r="I105" s="151"/>
      <c r="J105" s="149">
        <f t="shared" si="98"/>
        <v>0</v>
      </c>
      <c r="K105" s="149" t="str">
        <f t="shared" si="101"/>
        <v/>
      </c>
      <c r="L105" s="152" t="str">
        <f t="shared" si="99"/>
        <v>#DIV/0!</v>
      </c>
      <c r="M105" s="308"/>
      <c r="N105" s="340">
        <f t="shared" si="100"/>
        <v>0</v>
      </c>
    </row>
    <row r="106">
      <c r="A106" s="62"/>
      <c r="B106" s="63"/>
      <c r="C106" s="62"/>
      <c r="D106" s="64" t="s">
        <v>19</v>
      </c>
      <c r="E106" s="64">
        <f t="shared" ref="E106:F106" si="102">sum(E99:E105)</f>
        <v>3021</v>
      </c>
      <c r="F106" s="64">
        <f t="shared" si="102"/>
        <v>344</v>
      </c>
      <c r="G106" s="65" t="str">
        <f>average(G99:G105)</f>
        <v>#DIV/0!</v>
      </c>
      <c r="H106" s="62"/>
      <c r="I106" s="66"/>
      <c r="J106" s="64">
        <f t="shared" ref="J106:K106" si="103">sum(J99:J105)</f>
        <v>3389</v>
      </c>
      <c r="K106" s="64">
        <f t="shared" si="103"/>
        <v>65</v>
      </c>
      <c r="L106" s="65" t="str">
        <f>average(L99:L105)</f>
        <v>#DIV/0!</v>
      </c>
      <c r="M106" s="68"/>
      <c r="N106" s="341">
        <f>sum(N99:N105)</f>
        <v>5928890</v>
      </c>
    </row>
    <row r="107">
      <c r="A107" s="70">
        <v>45783.0</v>
      </c>
      <c r="B107" s="156" t="s">
        <v>27</v>
      </c>
      <c r="C107" s="89"/>
      <c r="D107" s="13">
        <v>65.0</v>
      </c>
      <c r="E107" s="38">
        <f t="shared" ref="E107:E114" si="104">D107-C107</f>
        <v>65</v>
      </c>
      <c r="F107" s="39">
        <v>65.0</v>
      </c>
      <c r="G107" s="14">
        <f t="shared" ref="G107:G114" si="105">(F107/E107)*100</f>
        <v>100</v>
      </c>
      <c r="H107" s="137"/>
      <c r="I107" s="138"/>
      <c r="J107" s="41">
        <f t="shared" ref="J107:J114" si="106">I107-H107</f>
        <v>0</v>
      </c>
      <c r="K107" s="41">
        <v>65.0</v>
      </c>
      <c r="L107" s="152" t="str">
        <f t="shared" ref="L107:L114" si="107">(K107/J107)*100</f>
        <v>#DIV/0!</v>
      </c>
      <c r="M107" s="72">
        <v>17350.0</v>
      </c>
      <c r="N107" s="336">
        <f t="shared" ref="N107:N113" si="108">F107*M107</f>
        <v>1127750</v>
      </c>
    </row>
    <row r="108">
      <c r="A108" s="70">
        <v>45787.0</v>
      </c>
      <c r="B108" s="156" t="s">
        <v>27</v>
      </c>
      <c r="C108" s="89"/>
      <c r="D108" s="13">
        <v>60.0</v>
      </c>
      <c r="E108" s="38">
        <f t="shared" si="104"/>
        <v>60</v>
      </c>
      <c r="F108" s="39">
        <v>60.0</v>
      </c>
      <c r="G108" s="14">
        <f t="shared" si="105"/>
        <v>100</v>
      </c>
      <c r="H108" s="137"/>
      <c r="I108" s="138"/>
      <c r="J108" s="41">
        <f t="shared" si="106"/>
        <v>0</v>
      </c>
      <c r="K108" s="41">
        <v>60.0</v>
      </c>
      <c r="L108" s="152" t="str">
        <f t="shared" si="107"/>
        <v>#DIV/0!</v>
      </c>
      <c r="M108" s="126">
        <v>16800.0</v>
      </c>
      <c r="N108" s="363">
        <f t="shared" si="108"/>
        <v>1008000</v>
      </c>
    </row>
    <row r="109">
      <c r="A109" s="154">
        <v>45791.0</v>
      </c>
      <c r="B109" s="156" t="s">
        <v>27</v>
      </c>
      <c r="C109" s="89"/>
      <c r="D109" s="89"/>
      <c r="E109" s="12">
        <f t="shared" si="104"/>
        <v>0</v>
      </c>
      <c r="F109" s="157">
        <v>70.0</v>
      </c>
      <c r="G109" s="14" t="str">
        <f t="shared" si="105"/>
        <v>#DIV/0!</v>
      </c>
      <c r="H109" s="89"/>
      <c r="I109" s="137"/>
      <c r="J109" s="89">
        <f t="shared" si="106"/>
        <v>0</v>
      </c>
      <c r="K109" s="41">
        <v>70.0</v>
      </c>
      <c r="L109" s="152" t="str">
        <f t="shared" si="107"/>
        <v>#DIV/0!</v>
      </c>
      <c r="M109" s="126">
        <v>16800.0</v>
      </c>
      <c r="N109" s="363">
        <f t="shared" si="108"/>
        <v>1176000</v>
      </c>
    </row>
    <row r="110">
      <c r="A110" s="154">
        <v>45796.0</v>
      </c>
      <c r="B110" s="156" t="s">
        <v>27</v>
      </c>
      <c r="C110" s="89"/>
      <c r="D110" s="89"/>
      <c r="E110" s="12">
        <f t="shared" si="104"/>
        <v>0</v>
      </c>
      <c r="F110" s="157">
        <v>65.0</v>
      </c>
      <c r="G110" s="14" t="str">
        <f t="shared" si="105"/>
        <v>#DIV/0!</v>
      </c>
      <c r="H110" s="89"/>
      <c r="I110" s="137"/>
      <c r="J110" s="89">
        <f t="shared" si="106"/>
        <v>0</v>
      </c>
      <c r="K110" s="41">
        <v>65.0</v>
      </c>
      <c r="L110" s="152" t="str">
        <f t="shared" si="107"/>
        <v>#DIV/0!</v>
      </c>
      <c r="M110" s="126">
        <v>17220.0</v>
      </c>
      <c r="N110" s="363">
        <f t="shared" si="108"/>
        <v>1119300</v>
      </c>
    </row>
    <row r="111">
      <c r="A111" s="154">
        <v>45800.0</v>
      </c>
      <c r="B111" s="156" t="s">
        <v>27</v>
      </c>
      <c r="C111" s="89"/>
      <c r="D111" s="89"/>
      <c r="E111" s="12">
        <f t="shared" si="104"/>
        <v>0</v>
      </c>
      <c r="F111" s="157">
        <v>65.0</v>
      </c>
      <c r="G111" s="14" t="str">
        <f t="shared" si="105"/>
        <v>#DIV/0!</v>
      </c>
      <c r="H111" s="89"/>
      <c r="I111" s="137"/>
      <c r="J111" s="89">
        <f t="shared" si="106"/>
        <v>0</v>
      </c>
      <c r="K111" s="41">
        <v>65.0</v>
      </c>
      <c r="L111" s="152" t="str">
        <f t="shared" si="107"/>
        <v>#DIV/0!</v>
      </c>
      <c r="M111" s="126">
        <v>17400.0</v>
      </c>
      <c r="N111" s="363">
        <f t="shared" si="108"/>
        <v>1131000</v>
      </c>
    </row>
    <row r="112">
      <c r="A112" s="154">
        <v>45805.0</v>
      </c>
      <c r="B112" s="156" t="s">
        <v>27</v>
      </c>
      <c r="C112" s="89"/>
      <c r="D112" s="158"/>
      <c r="E112" s="12">
        <f t="shared" si="104"/>
        <v>0</v>
      </c>
      <c r="F112" s="157">
        <v>65.0</v>
      </c>
      <c r="G112" s="14" t="str">
        <f t="shared" si="105"/>
        <v>#DIV/0!</v>
      </c>
      <c r="H112" s="89"/>
      <c r="I112" s="159"/>
      <c r="J112" s="89">
        <f t="shared" si="106"/>
        <v>0</v>
      </c>
      <c r="K112" s="41">
        <v>65.0</v>
      </c>
      <c r="L112" s="152" t="str">
        <f t="shared" si="107"/>
        <v>#DIV/0!</v>
      </c>
      <c r="M112" s="126">
        <v>17400.0</v>
      </c>
      <c r="N112" s="363">
        <f t="shared" si="108"/>
        <v>1131000</v>
      </c>
    </row>
    <row r="113">
      <c r="A113" s="154"/>
      <c r="B113" s="156" t="s">
        <v>27</v>
      </c>
      <c r="C113" s="89"/>
      <c r="D113" s="158"/>
      <c r="E113" s="12">
        <f t="shared" si="104"/>
        <v>0</v>
      </c>
      <c r="F113" s="157"/>
      <c r="G113" s="14" t="str">
        <f t="shared" si="105"/>
        <v>#DIV/0!</v>
      </c>
      <c r="H113" s="89"/>
      <c r="I113" s="159"/>
      <c r="J113" s="89">
        <f t="shared" si="106"/>
        <v>0</v>
      </c>
      <c r="K113" s="89"/>
      <c r="L113" s="152" t="str">
        <f t="shared" si="107"/>
        <v>#DIV/0!</v>
      </c>
      <c r="M113" s="126"/>
      <c r="N113" s="363">
        <f t="shared" si="108"/>
        <v>0</v>
      </c>
    </row>
    <row r="114">
      <c r="A114" s="148"/>
      <c r="B114" s="156" t="s">
        <v>27</v>
      </c>
      <c r="C114" s="149"/>
      <c r="D114" s="150"/>
      <c r="E114" s="25">
        <f t="shared" si="104"/>
        <v>0</v>
      </c>
      <c r="F114" s="161"/>
      <c r="G114" s="56" t="str">
        <f t="shared" si="105"/>
        <v>#DIV/0!</v>
      </c>
      <c r="H114" s="149"/>
      <c r="I114" s="151"/>
      <c r="J114" s="149">
        <f t="shared" si="106"/>
        <v>0</v>
      </c>
      <c r="K114" s="149"/>
      <c r="L114" s="152" t="str">
        <f t="shared" si="107"/>
        <v>#DIV/0!</v>
      </c>
      <c r="M114" s="153"/>
      <c r="N114" s="363">
        <f>M114*K114</f>
        <v>0</v>
      </c>
    </row>
    <row r="115">
      <c r="A115" s="62"/>
      <c r="B115" s="63"/>
      <c r="C115" s="62"/>
      <c r="D115" s="64" t="s">
        <v>19</v>
      </c>
      <c r="E115" s="64">
        <f t="shared" ref="E115:F115" si="109">sum(E107:E114)</f>
        <v>125</v>
      </c>
      <c r="F115" s="64">
        <f t="shared" si="109"/>
        <v>390</v>
      </c>
      <c r="G115" s="65" t="str">
        <f>average(G107:G114)</f>
        <v>#DIV/0!</v>
      </c>
      <c r="H115" s="62"/>
      <c r="I115" s="66"/>
      <c r="J115" s="64">
        <f t="shared" ref="J115:K115" si="110">sum(J107:J114)</f>
        <v>0</v>
      </c>
      <c r="K115" s="64">
        <f t="shared" si="110"/>
        <v>390</v>
      </c>
      <c r="L115" s="65" t="str">
        <f>average(L107:L114)</f>
        <v>#DIV/0!</v>
      </c>
      <c r="M115" s="68"/>
      <c r="N115" s="364">
        <f>sum(N107:N114)</f>
        <v>6693050</v>
      </c>
    </row>
    <row r="116">
      <c r="A116" s="198" t="s">
        <v>64</v>
      </c>
      <c r="B116" s="199"/>
      <c r="C116" s="199"/>
      <c r="D116" s="199"/>
      <c r="E116" s="199"/>
      <c r="F116" s="199"/>
      <c r="G116" s="199"/>
      <c r="H116" s="199"/>
      <c r="I116" s="199"/>
      <c r="J116" s="199"/>
      <c r="K116" s="199"/>
      <c r="L116" s="199"/>
      <c r="M116" s="334"/>
      <c r="N116" s="365">
        <f>sum(N10+N18+N27+N35+N43+N51+N59+N67+N75+N83+N90+N98+N106+N115)</f>
        <v>76105000</v>
      </c>
    </row>
    <row r="117">
      <c r="G117" s="168"/>
      <c r="L117" s="168"/>
    </row>
    <row r="118" ht="31.5" customHeight="1">
      <c r="D118" s="170" t="s">
        <v>45</v>
      </c>
      <c r="E118" s="171"/>
      <c r="G118" s="168"/>
      <c r="L118" s="168"/>
      <c r="Q118" s="197" t="s">
        <v>97</v>
      </c>
    </row>
    <row r="119">
      <c r="A119" s="248" t="s">
        <v>1</v>
      </c>
      <c r="B119" s="172" t="s">
        <v>2</v>
      </c>
      <c r="C119" s="166" t="s">
        <v>3</v>
      </c>
      <c r="D119" s="166" t="s">
        <v>4</v>
      </c>
      <c r="E119" s="166" t="s">
        <v>5</v>
      </c>
      <c r="F119" s="166" t="s">
        <v>6</v>
      </c>
      <c r="G119" s="173" t="s">
        <v>7</v>
      </c>
      <c r="H119" s="174" t="s">
        <v>8</v>
      </c>
      <c r="I119" s="175" t="s">
        <v>8</v>
      </c>
      <c r="J119" s="166" t="s">
        <v>5</v>
      </c>
      <c r="K119" s="166" t="s">
        <v>6</v>
      </c>
      <c r="L119" s="173" t="s">
        <v>7</v>
      </c>
      <c r="M119" s="166" t="s">
        <v>9</v>
      </c>
      <c r="N119" s="176" t="s">
        <v>10</v>
      </c>
    </row>
    <row r="120">
      <c r="A120" s="70">
        <v>45783.0</v>
      </c>
      <c r="B120" s="156" t="s">
        <v>46</v>
      </c>
      <c r="C120" s="13"/>
      <c r="D120" s="13"/>
      <c r="E120" s="12"/>
      <c r="F120" s="39"/>
      <c r="G120" s="14"/>
      <c r="H120" s="89"/>
      <c r="I120" s="138"/>
      <c r="J120" s="41"/>
      <c r="K120" s="41"/>
      <c r="L120" s="152" t="str">
        <f t="shared" ref="L120:L124" si="111">(K120/J120)*100</f>
        <v>#DIV/0!</v>
      </c>
      <c r="M120" s="72"/>
      <c r="N120" s="366">
        <v>6000000.0</v>
      </c>
    </row>
    <row r="121">
      <c r="A121" s="70">
        <v>45797.0</v>
      </c>
      <c r="B121" s="156" t="s">
        <v>46</v>
      </c>
      <c r="C121" s="13"/>
      <c r="D121" s="13"/>
      <c r="E121" s="12">
        <f t="shared" ref="E121:E124" si="112">D121-C121</f>
        <v>0</v>
      </c>
      <c r="F121" s="39"/>
      <c r="G121" s="14" t="str">
        <f t="shared" ref="G121:G124" si="113">(F121/E121)*100</f>
        <v>#DIV/0!</v>
      </c>
      <c r="H121" s="89">
        <v>1780.0</v>
      </c>
      <c r="I121" s="138">
        <v>2671.0</v>
      </c>
      <c r="J121" s="41">
        <f t="shared" ref="J121:J124" si="114">I121-H121</f>
        <v>891</v>
      </c>
      <c r="K121" s="41" t="str">
        <f t="shared" ref="K121:K124" si="115">F121</f>
        <v/>
      </c>
      <c r="L121" s="152">
        <f t="shared" si="111"/>
        <v>0</v>
      </c>
      <c r="M121" s="72"/>
      <c r="N121" s="366">
        <v>6173000.0</v>
      </c>
    </row>
    <row r="122">
      <c r="A122" s="154"/>
      <c r="B122" s="156" t="s">
        <v>46</v>
      </c>
      <c r="C122" s="89"/>
      <c r="D122" s="89"/>
      <c r="E122" s="12">
        <f t="shared" si="112"/>
        <v>0</v>
      </c>
      <c r="F122" s="157"/>
      <c r="G122" s="14" t="str">
        <f t="shared" si="113"/>
        <v>#DIV/0!</v>
      </c>
      <c r="H122" s="89"/>
      <c r="I122" s="137"/>
      <c r="J122" s="89">
        <f t="shared" si="114"/>
        <v>0</v>
      </c>
      <c r="K122" s="89" t="str">
        <f t="shared" si="115"/>
        <v/>
      </c>
      <c r="L122" s="152" t="str">
        <f t="shared" si="111"/>
        <v>#DIV/0!</v>
      </c>
      <c r="M122" s="126"/>
      <c r="N122" s="367"/>
    </row>
    <row r="123">
      <c r="A123" s="154"/>
      <c r="B123" s="156" t="s">
        <v>46</v>
      </c>
      <c r="C123" s="89"/>
      <c r="D123" s="89"/>
      <c r="E123" s="12">
        <f t="shared" si="112"/>
        <v>0</v>
      </c>
      <c r="F123" s="157"/>
      <c r="G123" s="14" t="str">
        <f t="shared" si="113"/>
        <v>#DIV/0!</v>
      </c>
      <c r="H123" s="89"/>
      <c r="I123" s="137"/>
      <c r="J123" s="89">
        <f t="shared" si="114"/>
        <v>0</v>
      </c>
      <c r="K123" s="89" t="str">
        <f t="shared" si="115"/>
        <v/>
      </c>
      <c r="L123" s="152" t="str">
        <f t="shared" si="111"/>
        <v>#DIV/0!</v>
      </c>
      <c r="M123" s="126"/>
      <c r="N123" s="367">
        <f t="shared" ref="N123:N124" si="116">F123*M123</f>
        <v>0</v>
      </c>
    </row>
    <row r="124">
      <c r="A124" s="154"/>
      <c r="B124" s="156"/>
      <c r="C124" s="89"/>
      <c r="D124" s="89"/>
      <c r="E124" s="12">
        <f t="shared" si="112"/>
        <v>0</v>
      </c>
      <c r="F124" s="157"/>
      <c r="G124" s="14" t="str">
        <f t="shared" si="113"/>
        <v>#DIV/0!</v>
      </c>
      <c r="H124" s="89"/>
      <c r="I124" s="137"/>
      <c r="J124" s="89">
        <f t="shared" si="114"/>
        <v>0</v>
      </c>
      <c r="K124" s="89" t="str">
        <f t="shared" si="115"/>
        <v/>
      </c>
      <c r="L124" s="152" t="str">
        <f t="shared" si="111"/>
        <v>#DIV/0!</v>
      </c>
      <c r="M124" s="126"/>
      <c r="N124" s="367">
        <f t="shared" si="116"/>
        <v>0</v>
      </c>
    </row>
    <row r="125">
      <c r="A125" s="62"/>
      <c r="B125" s="63"/>
      <c r="C125" s="62"/>
      <c r="D125" s="64" t="s">
        <v>19</v>
      </c>
      <c r="E125" s="64">
        <f t="shared" ref="E125:F125" si="117">sum(E120:E124)</f>
        <v>0</v>
      </c>
      <c r="F125" s="64">
        <f t="shared" si="117"/>
        <v>0</v>
      </c>
      <c r="G125" s="65" t="str">
        <f>average(G120:G124)</f>
        <v>#DIV/0!</v>
      </c>
      <c r="H125" s="62"/>
      <c r="I125" s="66"/>
      <c r="J125" s="64">
        <f t="shared" ref="J125:K125" si="118">sum(J120:J124)</f>
        <v>891</v>
      </c>
      <c r="K125" s="64">
        <f t="shared" si="118"/>
        <v>0</v>
      </c>
      <c r="L125" s="65" t="str">
        <f>average(L120:L124)</f>
        <v>#DIV/0!</v>
      </c>
      <c r="M125" s="68"/>
      <c r="N125" s="368">
        <f>sum(N120:N124)</f>
        <v>12173000</v>
      </c>
    </row>
    <row r="126">
      <c r="A126" s="70">
        <v>45793.0</v>
      </c>
      <c r="B126" s="156" t="s">
        <v>53</v>
      </c>
      <c r="C126" s="89"/>
      <c r="D126" s="13"/>
      <c r="E126" s="38">
        <f t="shared" ref="E126:E130" si="119">D126-C126</f>
        <v>0</v>
      </c>
      <c r="F126" s="157"/>
      <c r="G126" s="14" t="str">
        <f t="shared" ref="G126:G130" si="120">(F126/E126)*100</f>
        <v>#DIV/0!</v>
      </c>
      <c r="H126" s="89"/>
      <c r="I126" s="138"/>
      <c r="J126" s="41">
        <f t="shared" ref="J126:J130" si="121">I126-H126</f>
        <v>0</v>
      </c>
      <c r="K126" s="41"/>
      <c r="L126" s="152" t="str">
        <f t="shared" ref="L126:L130" si="122">(K126/J126)*100</f>
        <v>#DIV/0!</v>
      </c>
      <c r="M126" s="72"/>
      <c r="N126" s="72">
        <v>5030000.0</v>
      </c>
    </row>
    <row r="127">
      <c r="A127" s="154">
        <v>45806.0</v>
      </c>
      <c r="B127" s="156" t="s">
        <v>53</v>
      </c>
      <c r="C127" s="89"/>
      <c r="D127" s="89"/>
      <c r="E127" s="12">
        <f t="shared" si="119"/>
        <v>0</v>
      </c>
      <c r="F127" s="157"/>
      <c r="G127" s="14" t="str">
        <f t="shared" si="120"/>
        <v>#DIV/0!</v>
      </c>
      <c r="H127" s="89"/>
      <c r="I127" s="137"/>
      <c r="J127" s="89">
        <f t="shared" si="121"/>
        <v>0</v>
      </c>
      <c r="K127" s="89" t="str">
        <f t="shared" ref="K127:K130" si="123">F127</f>
        <v/>
      </c>
      <c r="L127" s="152" t="str">
        <f t="shared" si="122"/>
        <v>#DIV/0!</v>
      </c>
      <c r="M127" s="126"/>
      <c r="N127" s="372">
        <v>1000000.0</v>
      </c>
    </row>
    <row r="128">
      <c r="A128" s="154">
        <v>45807.0</v>
      </c>
      <c r="B128" s="156" t="s">
        <v>53</v>
      </c>
      <c r="C128" s="89"/>
      <c r="D128" s="89"/>
      <c r="E128" s="12">
        <f t="shared" si="119"/>
        <v>0</v>
      </c>
      <c r="F128" s="157"/>
      <c r="G128" s="14" t="str">
        <f t="shared" si="120"/>
        <v>#DIV/0!</v>
      </c>
      <c r="H128" s="89"/>
      <c r="I128" s="137"/>
      <c r="J128" s="89">
        <f t="shared" si="121"/>
        <v>0</v>
      </c>
      <c r="K128" s="89" t="str">
        <f t="shared" si="123"/>
        <v/>
      </c>
      <c r="L128" s="152" t="str">
        <f t="shared" si="122"/>
        <v>#DIV/0!</v>
      </c>
      <c r="M128" s="126"/>
      <c r="N128" s="367">
        <v>2000000.0</v>
      </c>
    </row>
    <row r="129">
      <c r="A129" s="154">
        <v>45808.0</v>
      </c>
      <c r="B129" s="156" t="s">
        <v>53</v>
      </c>
      <c r="C129" s="89"/>
      <c r="D129" s="89"/>
      <c r="E129" s="12">
        <f t="shared" si="119"/>
        <v>0</v>
      </c>
      <c r="F129" s="157"/>
      <c r="G129" s="14" t="str">
        <f t="shared" si="120"/>
        <v>#DIV/0!</v>
      </c>
      <c r="H129" s="89"/>
      <c r="I129" s="137"/>
      <c r="J129" s="89">
        <f t="shared" si="121"/>
        <v>0</v>
      </c>
      <c r="K129" s="89" t="str">
        <f t="shared" si="123"/>
        <v/>
      </c>
      <c r="L129" s="152" t="str">
        <f t="shared" si="122"/>
        <v>#DIV/0!</v>
      </c>
      <c r="M129" s="126"/>
      <c r="N129" s="367">
        <v>5795000.0</v>
      </c>
    </row>
    <row r="130">
      <c r="A130" s="154"/>
      <c r="B130" s="156"/>
      <c r="C130" s="89"/>
      <c r="D130" s="89"/>
      <c r="E130" s="12">
        <f t="shared" si="119"/>
        <v>0</v>
      </c>
      <c r="F130" s="157"/>
      <c r="G130" s="14" t="str">
        <f t="shared" si="120"/>
        <v>#DIV/0!</v>
      </c>
      <c r="H130" s="89"/>
      <c r="I130" s="137"/>
      <c r="J130" s="89">
        <f t="shared" si="121"/>
        <v>0</v>
      </c>
      <c r="K130" s="89" t="str">
        <f t="shared" si="123"/>
        <v/>
      </c>
      <c r="L130" s="152" t="str">
        <f t="shared" si="122"/>
        <v>#DIV/0!</v>
      </c>
      <c r="M130" s="126"/>
      <c r="N130" s="367">
        <f>F130*M130</f>
        <v>0</v>
      </c>
    </row>
    <row r="131">
      <c r="A131" s="62"/>
      <c r="B131" s="63"/>
      <c r="C131" s="62"/>
      <c r="D131" s="64" t="s">
        <v>19</v>
      </c>
      <c r="E131" s="64">
        <f t="shared" ref="E131:F131" si="124">sum(E126:E130)</f>
        <v>0</v>
      </c>
      <c r="F131" s="64">
        <f t="shared" si="124"/>
        <v>0</v>
      </c>
      <c r="G131" s="65" t="str">
        <f>average(G126:G130)</f>
        <v>#DIV/0!</v>
      </c>
      <c r="H131" s="62"/>
      <c r="I131" s="66"/>
      <c r="J131" s="64">
        <f t="shared" ref="J131:K131" si="125">sum(J126:J130)</f>
        <v>0</v>
      </c>
      <c r="K131" s="64">
        <f t="shared" si="125"/>
        <v>0</v>
      </c>
      <c r="L131" s="65" t="str">
        <f>average(L126:L130)</f>
        <v>#DIV/0!</v>
      </c>
      <c r="M131" s="68"/>
      <c r="N131" s="368">
        <f>sum(N126:N130)</f>
        <v>13825000</v>
      </c>
    </row>
    <row r="132">
      <c r="A132" s="70">
        <v>45792.0</v>
      </c>
      <c r="B132" s="156" t="s">
        <v>48</v>
      </c>
      <c r="C132" s="89">
        <v>448780.0</v>
      </c>
      <c r="D132" s="13"/>
      <c r="E132" s="38">
        <f t="shared" ref="E132:E136" si="126">D132-C132</f>
        <v>-448780</v>
      </c>
      <c r="F132" s="157"/>
      <c r="G132" s="14">
        <f t="shared" ref="G132:G136" si="127">(F132/E132)*100</f>
        <v>0</v>
      </c>
      <c r="H132" s="89"/>
      <c r="I132" s="138"/>
      <c r="J132" s="41">
        <f t="shared" ref="J132:J136" si="128">I132-H132</f>
        <v>0</v>
      </c>
      <c r="K132" s="41">
        <v>297.78</v>
      </c>
      <c r="L132" s="152" t="str">
        <f t="shared" ref="L132:L136" si="129">(K132/J132)*100</f>
        <v>#DIV/0!</v>
      </c>
      <c r="M132" s="72"/>
      <c r="N132" s="371">
        <v>4900000.0</v>
      </c>
    </row>
    <row r="133">
      <c r="A133" s="154"/>
      <c r="B133" s="156" t="s">
        <v>48</v>
      </c>
      <c r="C133" s="89"/>
      <c r="D133" s="89"/>
      <c r="E133" s="12">
        <f t="shared" si="126"/>
        <v>0</v>
      </c>
      <c r="F133" s="157"/>
      <c r="G133" s="14" t="str">
        <f t="shared" si="127"/>
        <v>#DIV/0!</v>
      </c>
      <c r="H133" s="89"/>
      <c r="I133" s="137"/>
      <c r="J133" s="89">
        <f t="shared" si="128"/>
        <v>0</v>
      </c>
      <c r="K133" s="89" t="str">
        <f t="shared" ref="K133:K136" si="130">F133</f>
        <v/>
      </c>
      <c r="L133" s="152" t="str">
        <f t="shared" si="129"/>
        <v>#DIV/0!</v>
      </c>
      <c r="M133" s="126"/>
      <c r="N133" s="372"/>
    </row>
    <row r="134">
      <c r="A134" s="154"/>
      <c r="B134" s="156" t="s">
        <v>48</v>
      </c>
      <c r="C134" s="89"/>
      <c r="D134" s="89"/>
      <c r="E134" s="12">
        <f t="shared" si="126"/>
        <v>0</v>
      </c>
      <c r="F134" s="157"/>
      <c r="G134" s="14" t="str">
        <f t="shared" si="127"/>
        <v>#DIV/0!</v>
      </c>
      <c r="H134" s="89"/>
      <c r="I134" s="137"/>
      <c r="J134" s="89">
        <f t="shared" si="128"/>
        <v>0</v>
      </c>
      <c r="K134" s="89" t="str">
        <f t="shared" si="130"/>
        <v/>
      </c>
      <c r="L134" s="152" t="str">
        <f t="shared" si="129"/>
        <v>#DIV/0!</v>
      </c>
      <c r="M134" s="126"/>
      <c r="N134" s="367">
        <f t="shared" ref="N134:N136" si="131">F134*M134</f>
        <v>0</v>
      </c>
    </row>
    <row r="135">
      <c r="A135" s="154"/>
      <c r="B135" s="156" t="s">
        <v>48</v>
      </c>
      <c r="C135" s="89"/>
      <c r="D135" s="89"/>
      <c r="E135" s="12">
        <f t="shared" si="126"/>
        <v>0</v>
      </c>
      <c r="F135" s="157"/>
      <c r="G135" s="14" t="str">
        <f t="shared" si="127"/>
        <v>#DIV/0!</v>
      </c>
      <c r="H135" s="89"/>
      <c r="I135" s="137"/>
      <c r="J135" s="89">
        <f t="shared" si="128"/>
        <v>0</v>
      </c>
      <c r="K135" s="89" t="str">
        <f t="shared" si="130"/>
        <v/>
      </c>
      <c r="L135" s="152" t="str">
        <f t="shared" si="129"/>
        <v>#DIV/0!</v>
      </c>
      <c r="M135" s="126"/>
      <c r="N135" s="367">
        <f t="shared" si="131"/>
        <v>0</v>
      </c>
    </row>
    <row r="136">
      <c r="A136" s="154"/>
      <c r="B136" s="156"/>
      <c r="C136" s="89"/>
      <c r="D136" s="89"/>
      <c r="E136" s="12">
        <f t="shared" si="126"/>
        <v>0</v>
      </c>
      <c r="F136" s="157"/>
      <c r="G136" s="14" t="str">
        <f t="shared" si="127"/>
        <v>#DIV/0!</v>
      </c>
      <c r="H136" s="89"/>
      <c r="I136" s="137"/>
      <c r="J136" s="89">
        <f t="shared" si="128"/>
        <v>0</v>
      </c>
      <c r="K136" s="89" t="str">
        <f t="shared" si="130"/>
        <v/>
      </c>
      <c r="L136" s="152" t="str">
        <f t="shared" si="129"/>
        <v>#DIV/0!</v>
      </c>
      <c r="M136" s="126"/>
      <c r="N136" s="367">
        <f t="shared" si="131"/>
        <v>0</v>
      </c>
    </row>
    <row r="137">
      <c r="A137" s="62"/>
      <c r="B137" s="63"/>
      <c r="C137" s="62"/>
      <c r="D137" s="64" t="s">
        <v>19</v>
      </c>
      <c r="E137" s="64">
        <f t="shared" ref="E137:F137" si="132">sum(E132:E136)</f>
        <v>-448780</v>
      </c>
      <c r="F137" s="64">
        <f t="shared" si="132"/>
        <v>0</v>
      </c>
      <c r="G137" s="65" t="str">
        <f>average(G132:G136)</f>
        <v>#DIV/0!</v>
      </c>
      <c r="H137" s="62"/>
      <c r="I137" s="66"/>
      <c r="J137" s="64">
        <f t="shared" ref="J137:K137" si="133">sum(J132:J136)</f>
        <v>0</v>
      </c>
      <c r="K137" s="64">
        <f t="shared" si="133"/>
        <v>297.78</v>
      </c>
      <c r="L137" s="65" t="str">
        <f>average(L132:L136)</f>
        <v>#DIV/0!</v>
      </c>
      <c r="M137" s="68"/>
      <c r="N137" s="368">
        <f>sum(N132:N136)</f>
        <v>4900000</v>
      </c>
    </row>
    <row r="138">
      <c r="A138" s="70">
        <v>45779.0</v>
      </c>
      <c r="B138" s="156" t="s">
        <v>49</v>
      </c>
      <c r="C138" s="89"/>
      <c r="D138" s="13"/>
      <c r="E138" s="38">
        <f t="shared" ref="E138:E142" si="134">D138-C138</f>
        <v>0</v>
      </c>
      <c r="F138" s="39"/>
      <c r="G138" s="14" t="str">
        <f t="shared" ref="G138:G142" si="135">(F138/E138)*100</f>
        <v>#DIV/0!</v>
      </c>
      <c r="H138" s="89"/>
      <c r="I138" s="138"/>
      <c r="J138" s="41">
        <f t="shared" ref="J138:J142" si="136">I138-H138</f>
        <v>0</v>
      </c>
      <c r="K138" s="41" t="str">
        <f t="shared" ref="K138:K142" si="137">F138</f>
        <v/>
      </c>
      <c r="L138" s="152" t="str">
        <f t="shared" ref="L138:L142" si="138">(K138/J138)*100</f>
        <v>#DIV/0!</v>
      </c>
      <c r="M138" s="72"/>
      <c r="N138" s="366">
        <v>4000000.0</v>
      </c>
    </row>
    <row r="139">
      <c r="A139" s="154">
        <v>45796.0</v>
      </c>
      <c r="B139" s="156" t="s">
        <v>49</v>
      </c>
      <c r="C139" s="89"/>
      <c r="D139" s="89"/>
      <c r="E139" s="12">
        <f t="shared" si="134"/>
        <v>0</v>
      </c>
      <c r="F139" s="157"/>
      <c r="G139" s="14" t="str">
        <f t="shared" si="135"/>
        <v>#DIV/0!</v>
      </c>
      <c r="H139" s="89"/>
      <c r="I139" s="137"/>
      <c r="J139" s="89">
        <f t="shared" si="136"/>
        <v>0</v>
      </c>
      <c r="K139" s="89" t="str">
        <f t="shared" si="137"/>
        <v/>
      </c>
      <c r="L139" s="152" t="str">
        <f t="shared" si="138"/>
        <v>#DIV/0!</v>
      </c>
      <c r="M139" s="126"/>
      <c r="N139" s="372">
        <v>4000000.0</v>
      </c>
    </row>
    <row r="140">
      <c r="A140" s="154"/>
      <c r="B140" s="156" t="s">
        <v>49</v>
      </c>
      <c r="C140" s="89"/>
      <c r="D140" s="89"/>
      <c r="E140" s="12">
        <f t="shared" si="134"/>
        <v>0</v>
      </c>
      <c r="F140" s="157"/>
      <c r="G140" s="14" t="str">
        <f t="shared" si="135"/>
        <v>#DIV/0!</v>
      </c>
      <c r="H140" s="89"/>
      <c r="I140" s="137"/>
      <c r="J140" s="89">
        <f t="shared" si="136"/>
        <v>0</v>
      </c>
      <c r="K140" s="89" t="str">
        <f t="shared" si="137"/>
        <v/>
      </c>
      <c r="L140" s="152" t="str">
        <f t="shared" si="138"/>
        <v>#DIV/0!</v>
      </c>
      <c r="M140" s="126"/>
      <c r="N140" s="367">
        <f t="shared" ref="N140:N142" si="139">F140*M140</f>
        <v>0</v>
      </c>
    </row>
    <row r="141">
      <c r="A141" s="154"/>
      <c r="B141" s="156" t="s">
        <v>49</v>
      </c>
      <c r="C141" s="89"/>
      <c r="D141" s="89"/>
      <c r="E141" s="12">
        <f t="shared" si="134"/>
        <v>0</v>
      </c>
      <c r="F141" s="157"/>
      <c r="G141" s="14" t="str">
        <f t="shared" si="135"/>
        <v>#DIV/0!</v>
      </c>
      <c r="H141" s="89"/>
      <c r="I141" s="137"/>
      <c r="J141" s="89">
        <f t="shared" si="136"/>
        <v>0</v>
      </c>
      <c r="K141" s="89" t="str">
        <f t="shared" si="137"/>
        <v/>
      </c>
      <c r="L141" s="152" t="str">
        <f t="shared" si="138"/>
        <v>#DIV/0!</v>
      </c>
      <c r="M141" s="126"/>
      <c r="N141" s="367">
        <f t="shared" si="139"/>
        <v>0</v>
      </c>
    </row>
    <row r="142">
      <c r="A142" s="154"/>
      <c r="B142" s="156"/>
      <c r="C142" s="89"/>
      <c r="D142" s="89"/>
      <c r="E142" s="12">
        <f t="shared" si="134"/>
        <v>0</v>
      </c>
      <c r="F142" s="157"/>
      <c r="G142" s="14" t="str">
        <f t="shared" si="135"/>
        <v>#DIV/0!</v>
      </c>
      <c r="H142" s="89"/>
      <c r="I142" s="137"/>
      <c r="J142" s="89">
        <f t="shared" si="136"/>
        <v>0</v>
      </c>
      <c r="K142" s="89" t="str">
        <f t="shared" si="137"/>
        <v/>
      </c>
      <c r="L142" s="152" t="str">
        <f t="shared" si="138"/>
        <v>#DIV/0!</v>
      </c>
      <c r="M142" s="126"/>
      <c r="N142" s="367">
        <f t="shared" si="139"/>
        <v>0</v>
      </c>
    </row>
    <row r="143">
      <c r="A143" s="62"/>
      <c r="B143" s="63"/>
      <c r="C143" s="62"/>
      <c r="D143" s="64" t="s">
        <v>19</v>
      </c>
      <c r="E143" s="64">
        <f t="shared" ref="E143:F143" si="140">sum(E138:E142)</f>
        <v>0</v>
      </c>
      <c r="F143" s="64">
        <f t="shared" si="140"/>
        <v>0</v>
      </c>
      <c r="G143" s="65" t="str">
        <f>average(G138:G142)</f>
        <v>#DIV/0!</v>
      </c>
      <c r="H143" s="62"/>
      <c r="I143" s="66"/>
      <c r="J143" s="64">
        <f t="shared" ref="J143:K143" si="141">sum(J138:J142)</f>
        <v>0</v>
      </c>
      <c r="K143" s="64">
        <f t="shared" si="141"/>
        <v>0</v>
      </c>
      <c r="L143" s="65" t="str">
        <f>average(L138:L142)</f>
        <v>#DIV/0!</v>
      </c>
      <c r="M143" s="68"/>
      <c r="N143" s="368">
        <f>sum(N138:N142)</f>
        <v>8000000</v>
      </c>
    </row>
    <row r="144">
      <c r="A144" s="70">
        <v>45785.0</v>
      </c>
      <c r="B144" s="156" t="s">
        <v>50</v>
      </c>
      <c r="C144" s="89"/>
      <c r="D144" s="13">
        <v>345060.0</v>
      </c>
      <c r="E144" s="38">
        <f t="shared" ref="E144:E148" si="142">D144-C144</f>
        <v>345060</v>
      </c>
      <c r="F144" s="39"/>
      <c r="G144" s="14">
        <f t="shared" ref="G144:G148" si="143">(F144/E144)*100</f>
        <v>0</v>
      </c>
      <c r="H144" s="89"/>
      <c r="I144" s="138"/>
      <c r="J144" s="41">
        <f t="shared" ref="J144:J148" si="144">I144-H144</f>
        <v>0</v>
      </c>
      <c r="K144" s="41">
        <v>216.59</v>
      </c>
      <c r="L144" s="152" t="str">
        <f t="shared" ref="L144:L148" si="145">(K144/J144)*100</f>
        <v>#DIV/0!</v>
      </c>
      <c r="M144" s="72"/>
      <c r="N144" s="366">
        <v>3600000.0</v>
      </c>
    </row>
    <row r="145">
      <c r="A145" s="154">
        <v>45798.0</v>
      </c>
      <c r="B145" s="156" t="s">
        <v>50</v>
      </c>
      <c r="C145" s="89"/>
      <c r="D145" s="89"/>
      <c r="E145" s="12">
        <f t="shared" si="142"/>
        <v>0</v>
      </c>
      <c r="F145" s="157"/>
      <c r="G145" s="14" t="str">
        <f t="shared" si="143"/>
        <v>#DIV/0!</v>
      </c>
      <c r="H145" s="89"/>
      <c r="I145" s="137"/>
      <c r="J145" s="89">
        <f t="shared" si="144"/>
        <v>0</v>
      </c>
      <c r="K145" s="89">
        <v>217.28</v>
      </c>
      <c r="L145" s="152" t="str">
        <f t="shared" si="145"/>
        <v>#DIV/0!</v>
      </c>
      <c r="M145" s="126"/>
      <c r="N145" s="366">
        <v>3700000.0</v>
      </c>
    </row>
    <row r="146">
      <c r="A146" s="154"/>
      <c r="B146" s="156" t="s">
        <v>50</v>
      </c>
      <c r="C146" s="89"/>
      <c r="D146" s="89"/>
      <c r="E146" s="12">
        <f t="shared" si="142"/>
        <v>0</v>
      </c>
      <c r="F146" s="157"/>
      <c r="G146" s="14" t="str">
        <f t="shared" si="143"/>
        <v>#DIV/0!</v>
      </c>
      <c r="H146" s="89"/>
      <c r="I146" s="137"/>
      <c r="J146" s="89">
        <f t="shared" si="144"/>
        <v>0</v>
      </c>
      <c r="K146" s="89" t="str">
        <f t="shared" ref="K146:K148" si="146">F146</f>
        <v/>
      </c>
      <c r="L146" s="152" t="str">
        <f t="shared" si="145"/>
        <v>#DIV/0!</v>
      </c>
      <c r="M146" s="126"/>
      <c r="N146" s="367">
        <f t="shared" ref="N146:N148" si="147">F146*M146</f>
        <v>0</v>
      </c>
    </row>
    <row r="147">
      <c r="A147" s="154"/>
      <c r="B147" s="156" t="s">
        <v>50</v>
      </c>
      <c r="C147" s="89"/>
      <c r="D147" s="89"/>
      <c r="E147" s="12">
        <f t="shared" si="142"/>
        <v>0</v>
      </c>
      <c r="F147" s="157"/>
      <c r="G147" s="14" t="str">
        <f t="shared" si="143"/>
        <v>#DIV/0!</v>
      </c>
      <c r="H147" s="89"/>
      <c r="I147" s="137"/>
      <c r="J147" s="89">
        <f t="shared" si="144"/>
        <v>0</v>
      </c>
      <c r="K147" s="89" t="str">
        <f t="shared" si="146"/>
        <v/>
      </c>
      <c r="L147" s="152" t="str">
        <f t="shared" si="145"/>
        <v>#DIV/0!</v>
      </c>
      <c r="M147" s="126"/>
      <c r="N147" s="367">
        <f t="shared" si="147"/>
        <v>0</v>
      </c>
    </row>
    <row r="148">
      <c r="A148" s="154"/>
      <c r="B148" s="156" t="s">
        <v>50</v>
      </c>
      <c r="C148" s="89"/>
      <c r="D148" s="89"/>
      <c r="E148" s="12">
        <f t="shared" si="142"/>
        <v>0</v>
      </c>
      <c r="F148" s="157"/>
      <c r="G148" s="14" t="str">
        <f t="shared" si="143"/>
        <v>#DIV/0!</v>
      </c>
      <c r="H148" s="89"/>
      <c r="I148" s="137"/>
      <c r="J148" s="89">
        <f t="shared" si="144"/>
        <v>0</v>
      </c>
      <c r="K148" s="89" t="str">
        <f t="shared" si="146"/>
        <v/>
      </c>
      <c r="L148" s="152" t="str">
        <f t="shared" si="145"/>
        <v>#DIV/0!</v>
      </c>
      <c r="M148" s="126"/>
      <c r="N148" s="367">
        <f t="shared" si="147"/>
        <v>0</v>
      </c>
    </row>
    <row r="149">
      <c r="A149" s="62"/>
      <c r="B149" s="63"/>
      <c r="C149" s="62"/>
      <c r="D149" s="64" t="s">
        <v>19</v>
      </c>
      <c r="E149" s="64">
        <f t="shared" ref="E149:F149" si="148">sum(E144:E148)</f>
        <v>345060</v>
      </c>
      <c r="F149" s="64">
        <f t="shared" si="148"/>
        <v>0</v>
      </c>
      <c r="G149" s="65" t="str">
        <f>average(G144:G148)</f>
        <v>#DIV/0!</v>
      </c>
      <c r="H149" s="62"/>
      <c r="I149" s="66"/>
      <c r="J149" s="64">
        <f t="shared" ref="J149:K149" si="149">sum(J144:J148)</f>
        <v>0</v>
      </c>
      <c r="K149" s="64">
        <f t="shared" si="149"/>
        <v>433.87</v>
      </c>
      <c r="L149" s="65" t="str">
        <f>average(L144:L148)</f>
        <v>#DIV/0!</v>
      </c>
      <c r="M149" s="68"/>
      <c r="N149" s="368">
        <f>sum(N144:N148)</f>
        <v>7300000</v>
      </c>
    </row>
    <row r="150">
      <c r="A150" s="70">
        <v>45784.0</v>
      </c>
      <c r="B150" s="156" t="s">
        <v>51</v>
      </c>
      <c r="C150" s="89">
        <v>295530.0</v>
      </c>
      <c r="D150" s="13"/>
      <c r="E150" s="38">
        <f t="shared" ref="E150:E154" si="150">D150-C150</f>
        <v>-295530</v>
      </c>
      <c r="F150" s="39"/>
      <c r="G150" s="14">
        <f t="shared" ref="G150:G154" si="151">(F150/E150)*100</f>
        <v>0</v>
      </c>
      <c r="H150" s="89"/>
      <c r="I150" s="138"/>
      <c r="J150" s="41">
        <f t="shared" ref="J150:J154" si="152">I150-H150</f>
        <v>0</v>
      </c>
      <c r="K150" s="41" t="str">
        <f t="shared" ref="K150:K154" si="153">F150</f>
        <v/>
      </c>
      <c r="L150" s="152" t="str">
        <f t="shared" ref="L150:L154" si="154">(K150/J150)*100</f>
        <v>#DIV/0!</v>
      </c>
      <c r="M150" s="72"/>
      <c r="N150" s="366">
        <v>1950000.0</v>
      </c>
    </row>
    <row r="151">
      <c r="A151" s="154">
        <v>45796.0</v>
      </c>
      <c r="B151" s="156" t="s">
        <v>51</v>
      </c>
      <c r="C151" s="89"/>
      <c r="D151" s="89"/>
      <c r="E151" s="12">
        <f t="shared" si="150"/>
        <v>0</v>
      </c>
      <c r="F151" s="157"/>
      <c r="G151" s="14" t="str">
        <f t="shared" si="151"/>
        <v>#DIV/0!</v>
      </c>
      <c r="H151" s="89"/>
      <c r="I151" s="137"/>
      <c r="J151" s="89">
        <f t="shared" si="152"/>
        <v>0</v>
      </c>
      <c r="K151" s="89" t="str">
        <f t="shared" si="153"/>
        <v/>
      </c>
      <c r="L151" s="152" t="str">
        <f t="shared" si="154"/>
        <v>#DIV/0!</v>
      </c>
      <c r="M151" s="126"/>
      <c r="N151" s="366">
        <v>2720000.0</v>
      </c>
    </row>
    <row r="152">
      <c r="A152" s="154">
        <v>45800.0</v>
      </c>
      <c r="B152" s="156" t="s">
        <v>51</v>
      </c>
      <c r="C152" s="89"/>
      <c r="D152" s="89"/>
      <c r="E152" s="12">
        <f t="shared" si="150"/>
        <v>0</v>
      </c>
      <c r="F152" s="157"/>
      <c r="G152" s="14" t="str">
        <f t="shared" si="151"/>
        <v>#DIV/0!</v>
      </c>
      <c r="H152" s="89"/>
      <c r="I152" s="137"/>
      <c r="J152" s="89">
        <f t="shared" si="152"/>
        <v>0</v>
      </c>
      <c r="K152" s="89" t="str">
        <f t="shared" si="153"/>
        <v/>
      </c>
      <c r="L152" s="152" t="str">
        <f t="shared" si="154"/>
        <v>#DIV/0!</v>
      </c>
      <c r="M152" s="126"/>
      <c r="N152" s="366">
        <v>2420000.0</v>
      </c>
    </row>
    <row r="153">
      <c r="A153" s="154"/>
      <c r="B153" s="156" t="s">
        <v>51</v>
      </c>
      <c r="C153" s="89"/>
      <c r="D153" s="89"/>
      <c r="E153" s="12">
        <f t="shared" si="150"/>
        <v>0</v>
      </c>
      <c r="F153" s="157"/>
      <c r="G153" s="14" t="str">
        <f t="shared" si="151"/>
        <v>#DIV/0!</v>
      </c>
      <c r="H153" s="89"/>
      <c r="I153" s="137"/>
      <c r="J153" s="89">
        <f t="shared" si="152"/>
        <v>0</v>
      </c>
      <c r="K153" s="89" t="str">
        <f t="shared" si="153"/>
        <v/>
      </c>
      <c r="L153" s="152" t="str">
        <f t="shared" si="154"/>
        <v>#DIV/0!</v>
      </c>
      <c r="M153" s="126"/>
      <c r="N153" s="366">
        <f>M153*F153</f>
        <v>0</v>
      </c>
    </row>
    <row r="154">
      <c r="A154" s="154"/>
      <c r="B154" s="156"/>
      <c r="C154" s="89"/>
      <c r="D154" s="89"/>
      <c r="E154" s="12">
        <f t="shared" si="150"/>
        <v>0</v>
      </c>
      <c r="F154" s="157"/>
      <c r="G154" s="14" t="str">
        <f t="shared" si="151"/>
        <v>#DIV/0!</v>
      </c>
      <c r="H154" s="89"/>
      <c r="I154" s="137"/>
      <c r="J154" s="89">
        <f t="shared" si="152"/>
        <v>0</v>
      </c>
      <c r="K154" s="89" t="str">
        <f t="shared" si="153"/>
        <v/>
      </c>
      <c r="L154" s="152" t="str">
        <f t="shared" si="154"/>
        <v>#DIV/0!</v>
      </c>
      <c r="M154" s="126"/>
      <c r="N154" s="367">
        <f>F154*M154</f>
        <v>0</v>
      </c>
    </row>
    <row r="155">
      <c r="A155" s="62"/>
      <c r="B155" s="63"/>
      <c r="C155" s="62"/>
      <c r="D155" s="64" t="s">
        <v>19</v>
      </c>
      <c r="E155" s="64">
        <f t="shared" ref="E155:F155" si="155">sum(E150:E154)</f>
        <v>-295530</v>
      </c>
      <c r="F155" s="64">
        <f t="shared" si="155"/>
        <v>0</v>
      </c>
      <c r="G155" s="65" t="str">
        <f>average(G150:G154)</f>
        <v>#DIV/0!</v>
      </c>
      <c r="H155" s="62"/>
      <c r="I155" s="66"/>
      <c r="J155" s="64">
        <f t="shared" ref="J155:K155" si="156">sum(J150:J154)</f>
        <v>0</v>
      </c>
      <c r="K155" s="64">
        <f t="shared" si="156"/>
        <v>0</v>
      </c>
      <c r="L155" s="65" t="str">
        <f>average(L150:L154)</f>
        <v>#DIV/0!</v>
      </c>
      <c r="M155" s="68"/>
      <c r="N155" s="368">
        <f>sum(N150:N154)</f>
        <v>7090000</v>
      </c>
    </row>
    <row r="156">
      <c r="A156" s="70">
        <v>45779.0</v>
      </c>
      <c r="B156" s="156" t="s">
        <v>91</v>
      </c>
      <c r="C156" s="89"/>
      <c r="D156" s="13"/>
      <c r="E156" s="38">
        <f t="shared" ref="E156:E160" si="157">D156-C156</f>
        <v>0</v>
      </c>
      <c r="F156" s="39"/>
      <c r="G156" s="14" t="str">
        <f t="shared" ref="G156:G160" si="158">(F156/E156)*100</f>
        <v>#DIV/0!</v>
      </c>
      <c r="H156" s="89"/>
      <c r="I156" s="138"/>
      <c r="J156" s="41">
        <f t="shared" ref="J156:J160" si="159">I156-H156</f>
        <v>0</v>
      </c>
      <c r="K156" s="41" t="str">
        <f t="shared" ref="K156:K160" si="160">F156</f>
        <v/>
      </c>
      <c r="L156" s="152" t="str">
        <f t="shared" ref="L156:L160" si="161">(K156/J156)*100</f>
        <v>#DIV/0!</v>
      </c>
      <c r="M156" s="72"/>
      <c r="N156" s="366">
        <v>8500000.0</v>
      </c>
    </row>
    <row r="157">
      <c r="A157" s="154">
        <v>45793.0</v>
      </c>
      <c r="B157" s="156" t="s">
        <v>91</v>
      </c>
      <c r="C157" s="89"/>
      <c r="D157" s="89"/>
      <c r="E157" s="12">
        <f t="shared" si="157"/>
        <v>0</v>
      </c>
      <c r="F157" s="157"/>
      <c r="G157" s="14" t="str">
        <f t="shared" si="158"/>
        <v>#DIV/0!</v>
      </c>
      <c r="H157" s="89"/>
      <c r="I157" s="137"/>
      <c r="J157" s="89">
        <f t="shared" si="159"/>
        <v>0</v>
      </c>
      <c r="K157" s="89" t="str">
        <f t="shared" si="160"/>
        <v/>
      </c>
      <c r="L157" s="152" t="str">
        <f t="shared" si="161"/>
        <v>#DIV/0!</v>
      </c>
      <c r="M157" s="126"/>
      <c r="N157" s="372">
        <v>7000000.0</v>
      </c>
    </row>
    <row r="158">
      <c r="A158" s="154">
        <v>45807.0</v>
      </c>
      <c r="B158" s="156" t="s">
        <v>91</v>
      </c>
      <c r="C158" s="89"/>
      <c r="D158" s="89"/>
      <c r="E158" s="12">
        <f t="shared" si="157"/>
        <v>0</v>
      </c>
      <c r="F158" s="157"/>
      <c r="G158" s="14" t="str">
        <f t="shared" si="158"/>
        <v>#DIV/0!</v>
      </c>
      <c r="H158" s="89"/>
      <c r="I158" s="137"/>
      <c r="J158" s="89">
        <f t="shared" si="159"/>
        <v>0</v>
      </c>
      <c r="K158" s="89" t="str">
        <f t="shared" si="160"/>
        <v/>
      </c>
      <c r="L158" s="152" t="str">
        <f t="shared" si="161"/>
        <v>#DIV/0!</v>
      </c>
      <c r="M158" s="126"/>
      <c r="N158" s="367">
        <v>2000000.0</v>
      </c>
    </row>
    <row r="159">
      <c r="A159" s="154"/>
      <c r="B159" s="156" t="s">
        <v>91</v>
      </c>
      <c r="C159" s="89"/>
      <c r="D159" s="89"/>
      <c r="E159" s="12">
        <f t="shared" si="157"/>
        <v>0</v>
      </c>
      <c r="F159" s="157"/>
      <c r="G159" s="14" t="str">
        <f t="shared" si="158"/>
        <v>#DIV/0!</v>
      </c>
      <c r="H159" s="89"/>
      <c r="I159" s="137"/>
      <c r="J159" s="89">
        <f t="shared" si="159"/>
        <v>0</v>
      </c>
      <c r="K159" s="89" t="str">
        <f t="shared" si="160"/>
        <v/>
      </c>
      <c r="L159" s="152" t="str">
        <f t="shared" si="161"/>
        <v>#DIV/0!</v>
      </c>
      <c r="M159" s="126"/>
      <c r="N159" s="367">
        <f t="shared" ref="N159:N160" si="162">F159*M159</f>
        <v>0</v>
      </c>
    </row>
    <row r="160">
      <c r="A160" s="154"/>
      <c r="B160" s="156"/>
      <c r="C160" s="89"/>
      <c r="D160" s="89"/>
      <c r="E160" s="12">
        <f t="shared" si="157"/>
        <v>0</v>
      </c>
      <c r="F160" s="157"/>
      <c r="G160" s="14" t="str">
        <f t="shared" si="158"/>
        <v>#DIV/0!</v>
      </c>
      <c r="H160" s="89"/>
      <c r="I160" s="137"/>
      <c r="J160" s="89">
        <f t="shared" si="159"/>
        <v>0</v>
      </c>
      <c r="K160" s="89" t="str">
        <f t="shared" si="160"/>
        <v/>
      </c>
      <c r="L160" s="152" t="str">
        <f t="shared" si="161"/>
        <v>#DIV/0!</v>
      </c>
      <c r="M160" s="126"/>
      <c r="N160" s="367">
        <f t="shared" si="162"/>
        <v>0</v>
      </c>
    </row>
    <row r="161">
      <c r="A161" s="62"/>
      <c r="B161" s="63"/>
      <c r="C161" s="62"/>
      <c r="D161" s="64"/>
      <c r="E161" s="64">
        <f t="shared" ref="E161:F161" si="163">sum(E156:E160)</f>
        <v>0</v>
      </c>
      <c r="F161" s="64">
        <f t="shared" si="163"/>
        <v>0</v>
      </c>
      <c r="G161" s="65" t="str">
        <f>average(G156:G160)</f>
        <v>#DIV/0!</v>
      </c>
      <c r="H161" s="62"/>
      <c r="I161" s="66"/>
      <c r="J161" s="64">
        <f t="shared" ref="J161:K161" si="164">sum(J156:J160)</f>
        <v>0</v>
      </c>
      <c r="K161" s="64">
        <f t="shared" si="164"/>
        <v>0</v>
      </c>
      <c r="L161" s="65" t="str">
        <f>average(L156:L160)</f>
        <v>#DIV/0!</v>
      </c>
      <c r="M161" s="68"/>
      <c r="N161" s="368">
        <f>sum(N156:N160)</f>
        <v>17500000</v>
      </c>
    </row>
    <row r="162">
      <c r="A162" s="70">
        <v>45779.0</v>
      </c>
      <c r="B162" s="156" t="s">
        <v>54</v>
      </c>
      <c r="C162" s="89"/>
      <c r="D162" s="13"/>
      <c r="E162" s="38">
        <f t="shared" ref="E162:E167" si="165">D162-C162</f>
        <v>0</v>
      </c>
      <c r="F162" s="39"/>
      <c r="G162" s="14" t="str">
        <f t="shared" ref="G162:G167" si="166">(F162/E162)*100</f>
        <v>#DIV/0!</v>
      </c>
      <c r="H162" s="89"/>
      <c r="I162" s="138"/>
      <c r="J162" s="41">
        <f t="shared" ref="J162:J167" si="167">I162-H162</f>
        <v>0</v>
      </c>
      <c r="K162" s="41" t="str">
        <f t="shared" ref="K162:K167" si="168">F162</f>
        <v/>
      </c>
      <c r="L162" s="152" t="str">
        <f t="shared" ref="L162:L167" si="169">(K162/J162)*100</f>
        <v>#DIV/0!</v>
      </c>
      <c r="M162" s="72"/>
      <c r="N162" s="366">
        <v>5000000.0</v>
      </c>
    </row>
    <row r="163">
      <c r="A163" s="70">
        <v>45782.0</v>
      </c>
      <c r="B163" s="156" t="s">
        <v>54</v>
      </c>
      <c r="C163" s="89"/>
      <c r="D163" s="89"/>
      <c r="E163" s="12">
        <f t="shared" si="165"/>
        <v>0</v>
      </c>
      <c r="F163" s="157"/>
      <c r="G163" s="14" t="str">
        <f t="shared" si="166"/>
        <v>#DIV/0!</v>
      </c>
      <c r="H163" s="89"/>
      <c r="I163" s="137"/>
      <c r="J163" s="89">
        <f t="shared" si="167"/>
        <v>0</v>
      </c>
      <c r="K163" s="89" t="str">
        <f t="shared" si="168"/>
        <v/>
      </c>
      <c r="L163" s="152" t="str">
        <f t="shared" si="169"/>
        <v>#DIV/0!</v>
      </c>
      <c r="M163" s="126"/>
      <c r="N163" s="366">
        <v>3000000.0</v>
      </c>
    </row>
    <row r="164">
      <c r="A164" s="154">
        <v>45785.0</v>
      </c>
      <c r="B164" s="156" t="s">
        <v>54</v>
      </c>
      <c r="C164" s="89"/>
      <c r="D164" s="89"/>
      <c r="E164" s="12">
        <f t="shared" si="165"/>
        <v>0</v>
      </c>
      <c r="F164" s="157"/>
      <c r="G164" s="14" t="str">
        <f t="shared" si="166"/>
        <v>#DIV/0!</v>
      </c>
      <c r="H164" s="89"/>
      <c r="I164" s="137"/>
      <c r="J164" s="89">
        <f t="shared" si="167"/>
        <v>0</v>
      </c>
      <c r="K164" s="89" t="str">
        <f t="shared" si="168"/>
        <v/>
      </c>
      <c r="L164" s="152" t="str">
        <f t="shared" si="169"/>
        <v>#DIV/0!</v>
      </c>
      <c r="M164" s="126"/>
      <c r="N164" s="367">
        <v>3000000.0</v>
      </c>
    </row>
    <row r="165">
      <c r="A165" s="154">
        <v>45790.0</v>
      </c>
      <c r="B165" s="156" t="s">
        <v>54</v>
      </c>
      <c r="C165" s="89"/>
      <c r="D165" s="89"/>
      <c r="E165" s="12">
        <f t="shared" si="165"/>
        <v>0</v>
      </c>
      <c r="F165" s="157"/>
      <c r="G165" s="14" t="str">
        <f t="shared" si="166"/>
        <v>#DIV/0!</v>
      </c>
      <c r="H165" s="89"/>
      <c r="I165" s="137"/>
      <c r="J165" s="89">
        <f t="shared" si="167"/>
        <v>0</v>
      </c>
      <c r="K165" s="89" t="str">
        <f t="shared" si="168"/>
        <v/>
      </c>
      <c r="L165" s="152" t="str">
        <f t="shared" si="169"/>
        <v>#DIV/0!</v>
      </c>
      <c r="M165" s="126"/>
      <c r="N165" s="367">
        <v>5000000.0</v>
      </c>
    </row>
    <row r="166">
      <c r="A166" s="154">
        <v>45790.0</v>
      </c>
      <c r="B166" s="156" t="s">
        <v>54</v>
      </c>
      <c r="C166" s="89"/>
      <c r="D166" s="89"/>
      <c r="E166" s="12">
        <f t="shared" si="165"/>
        <v>0</v>
      </c>
      <c r="F166" s="157"/>
      <c r="G166" s="14" t="str">
        <f t="shared" si="166"/>
        <v>#DIV/0!</v>
      </c>
      <c r="H166" s="89"/>
      <c r="I166" s="137"/>
      <c r="J166" s="89">
        <f t="shared" si="167"/>
        <v>0</v>
      </c>
      <c r="K166" s="89" t="str">
        <f t="shared" si="168"/>
        <v/>
      </c>
      <c r="L166" s="152" t="str">
        <f t="shared" si="169"/>
        <v>#DIV/0!</v>
      </c>
      <c r="M166" s="126"/>
      <c r="N166" s="367">
        <v>2000000.0</v>
      </c>
    </row>
    <row r="167">
      <c r="A167" s="154">
        <v>45793.0</v>
      </c>
      <c r="B167" s="156" t="s">
        <v>54</v>
      </c>
      <c r="C167" s="89"/>
      <c r="D167" s="89"/>
      <c r="E167" s="12">
        <f t="shared" si="165"/>
        <v>0</v>
      </c>
      <c r="F167" s="157"/>
      <c r="G167" s="14" t="str">
        <f t="shared" si="166"/>
        <v>#DIV/0!</v>
      </c>
      <c r="H167" s="89"/>
      <c r="I167" s="137"/>
      <c r="J167" s="89">
        <f t="shared" si="167"/>
        <v>0</v>
      </c>
      <c r="K167" s="89" t="str">
        <f t="shared" si="168"/>
        <v/>
      </c>
      <c r="L167" s="152" t="str">
        <f t="shared" si="169"/>
        <v>#DIV/0!</v>
      </c>
      <c r="M167" s="126"/>
      <c r="N167" s="367">
        <v>5000000.0</v>
      </c>
    </row>
    <row r="168">
      <c r="A168" s="154">
        <v>45798.0</v>
      </c>
      <c r="B168" s="156" t="s">
        <v>54</v>
      </c>
      <c r="C168" s="89"/>
      <c r="D168" s="89"/>
      <c r="E168" s="12"/>
      <c r="F168" s="157"/>
      <c r="G168" s="14"/>
      <c r="H168" s="89"/>
      <c r="I168" s="137"/>
      <c r="J168" s="89"/>
      <c r="K168" s="89"/>
      <c r="L168" s="152"/>
      <c r="M168" s="126"/>
      <c r="N168" s="367">
        <v>7000000.0</v>
      </c>
    </row>
    <row r="169">
      <c r="A169" s="154"/>
      <c r="B169" s="156" t="s">
        <v>54</v>
      </c>
      <c r="C169" s="89"/>
      <c r="D169" s="89"/>
      <c r="E169" s="12">
        <f>D169-C169</f>
        <v>0</v>
      </c>
      <c r="F169" s="157"/>
      <c r="G169" s="14" t="str">
        <f>(F169/E169)*100</f>
        <v>#DIV/0!</v>
      </c>
      <c r="H169" s="89"/>
      <c r="I169" s="137"/>
      <c r="J169" s="89">
        <f>I169-H169</f>
        <v>0</v>
      </c>
      <c r="K169" s="89" t="str">
        <f>F169</f>
        <v/>
      </c>
      <c r="L169" s="152" t="str">
        <f>(K169/J169)*100</f>
        <v>#DIV/0!</v>
      </c>
      <c r="M169" s="126"/>
      <c r="N169" s="367"/>
    </row>
    <row r="170">
      <c r="A170" s="62"/>
      <c r="B170" s="63"/>
      <c r="C170" s="62"/>
      <c r="D170" s="64" t="s">
        <v>19</v>
      </c>
      <c r="E170" s="64">
        <f t="shared" ref="E170:F170" si="170">sum(E162:E169)</f>
        <v>0</v>
      </c>
      <c r="F170" s="64">
        <f t="shared" si="170"/>
        <v>0</v>
      </c>
      <c r="G170" s="65" t="str">
        <f>average(G162:G169)</f>
        <v>#DIV/0!</v>
      </c>
      <c r="H170" s="62"/>
      <c r="I170" s="66"/>
      <c r="J170" s="64">
        <f t="shared" ref="J170:K170" si="171">sum(J162:J169)</f>
        <v>0</v>
      </c>
      <c r="K170" s="64">
        <f t="shared" si="171"/>
        <v>0</v>
      </c>
      <c r="L170" s="65" t="str">
        <f>average(L162:L169)</f>
        <v>#DIV/0!</v>
      </c>
      <c r="M170" s="68"/>
      <c r="N170" s="368">
        <f>sum(N162:N169)</f>
        <v>30000000</v>
      </c>
    </row>
    <row r="171">
      <c r="A171" s="70">
        <v>45779.0</v>
      </c>
      <c r="B171" s="156" t="s">
        <v>69</v>
      </c>
      <c r="C171" s="89"/>
      <c r="D171" s="13"/>
      <c r="E171" s="38">
        <f t="shared" ref="E171:E174" si="172">D171-C171</f>
        <v>0</v>
      </c>
      <c r="F171" s="39"/>
      <c r="G171" s="14" t="str">
        <f t="shared" ref="G171:G174" si="173">(F171/E171)*100</f>
        <v>#DIV/0!</v>
      </c>
      <c r="H171" s="89"/>
      <c r="I171" s="138"/>
      <c r="J171" s="41">
        <f t="shared" ref="J171:J174" si="174">I171-H171</f>
        <v>0</v>
      </c>
      <c r="K171" s="41" t="str">
        <f t="shared" ref="K171:K174" si="175">F171</f>
        <v/>
      </c>
      <c r="L171" s="152" t="str">
        <f t="shared" ref="L171:L174" si="176">(K171/J171)*100</f>
        <v>#DIV/0!</v>
      </c>
      <c r="M171" s="72"/>
      <c r="N171" s="366">
        <v>5725000.0</v>
      </c>
    </row>
    <row r="172">
      <c r="A172" s="154">
        <v>45784.0</v>
      </c>
      <c r="B172" s="156" t="s">
        <v>69</v>
      </c>
      <c r="C172" s="89"/>
      <c r="D172" s="89"/>
      <c r="E172" s="12">
        <f t="shared" si="172"/>
        <v>0</v>
      </c>
      <c r="F172" s="157"/>
      <c r="G172" s="14" t="str">
        <f t="shared" si="173"/>
        <v>#DIV/0!</v>
      </c>
      <c r="H172" s="89"/>
      <c r="I172" s="137"/>
      <c r="J172" s="89">
        <f t="shared" si="174"/>
        <v>0</v>
      </c>
      <c r="K172" s="89" t="str">
        <f t="shared" si="175"/>
        <v/>
      </c>
      <c r="L172" s="152" t="str">
        <f t="shared" si="176"/>
        <v>#DIV/0!</v>
      </c>
      <c r="M172" s="126"/>
      <c r="N172" s="372">
        <v>4230000.0</v>
      </c>
    </row>
    <row r="173">
      <c r="A173" s="154">
        <v>45791.0</v>
      </c>
      <c r="B173" s="156" t="s">
        <v>69</v>
      </c>
      <c r="C173" s="89"/>
      <c r="D173" s="89"/>
      <c r="E173" s="12">
        <f t="shared" si="172"/>
        <v>0</v>
      </c>
      <c r="F173" s="157"/>
      <c r="G173" s="14" t="str">
        <f t="shared" si="173"/>
        <v>#DIV/0!</v>
      </c>
      <c r="H173" s="89"/>
      <c r="I173" s="137"/>
      <c r="J173" s="89">
        <f t="shared" si="174"/>
        <v>0</v>
      </c>
      <c r="K173" s="89" t="str">
        <f t="shared" si="175"/>
        <v/>
      </c>
      <c r="L173" s="152" t="str">
        <f t="shared" si="176"/>
        <v>#DIV/0!</v>
      </c>
      <c r="M173" s="126"/>
      <c r="N173" s="367">
        <v>4637000.0</v>
      </c>
    </row>
    <row r="174">
      <c r="A174" s="154">
        <v>45798.0</v>
      </c>
      <c r="B174" s="156" t="s">
        <v>69</v>
      </c>
      <c r="C174" s="89"/>
      <c r="D174" s="89"/>
      <c r="E174" s="12">
        <f t="shared" si="172"/>
        <v>0</v>
      </c>
      <c r="F174" s="157"/>
      <c r="G174" s="14" t="str">
        <f t="shared" si="173"/>
        <v>#DIV/0!</v>
      </c>
      <c r="H174" s="89"/>
      <c r="I174" s="137"/>
      <c r="J174" s="89">
        <f t="shared" si="174"/>
        <v>0</v>
      </c>
      <c r="K174" s="89" t="str">
        <f t="shared" si="175"/>
        <v/>
      </c>
      <c r="L174" s="152" t="str">
        <f t="shared" si="176"/>
        <v>#DIV/0!</v>
      </c>
      <c r="M174" s="126"/>
      <c r="N174" s="367">
        <v>4746000.0</v>
      </c>
    </row>
    <row r="175">
      <c r="A175" s="154">
        <v>45807.0</v>
      </c>
      <c r="B175" s="156" t="s">
        <v>69</v>
      </c>
      <c r="C175" s="89"/>
      <c r="D175" s="89"/>
      <c r="E175" s="12"/>
      <c r="F175" s="157"/>
      <c r="G175" s="14"/>
      <c r="H175" s="89"/>
      <c r="I175" s="137"/>
      <c r="J175" s="89"/>
      <c r="K175" s="89"/>
      <c r="L175" s="152"/>
      <c r="M175" s="126"/>
      <c r="N175" s="367">
        <v>1000000.0</v>
      </c>
    </row>
    <row r="176">
      <c r="A176" s="154">
        <v>45800.0</v>
      </c>
      <c r="B176" s="156" t="s">
        <v>69</v>
      </c>
      <c r="C176" s="89"/>
      <c r="D176" s="89"/>
      <c r="E176" s="12">
        <f>D176-C176</f>
        <v>0</v>
      </c>
      <c r="F176" s="157"/>
      <c r="G176" s="14" t="str">
        <f>(F176/E176)*100</f>
        <v>#DIV/0!</v>
      </c>
      <c r="H176" s="89"/>
      <c r="I176" s="137"/>
      <c r="J176" s="89">
        <f>I176-H176</f>
        <v>0</v>
      </c>
      <c r="K176" s="89" t="str">
        <f>F176</f>
        <v/>
      </c>
      <c r="L176" s="152" t="str">
        <f>(K176/J176)*100</f>
        <v>#DIV/0!</v>
      </c>
      <c r="M176" s="126"/>
      <c r="N176" s="367">
        <v>1000000.0</v>
      </c>
    </row>
    <row r="177">
      <c r="A177" s="62"/>
      <c r="B177" s="63"/>
      <c r="C177" s="62"/>
      <c r="D177" s="64" t="s">
        <v>19</v>
      </c>
      <c r="E177" s="64">
        <f t="shared" ref="E177:F177" si="177">sum(E171:E176)</f>
        <v>0</v>
      </c>
      <c r="F177" s="64">
        <f t="shared" si="177"/>
        <v>0</v>
      </c>
      <c r="G177" s="65" t="str">
        <f>average(G171:G176)</f>
        <v>#DIV/0!</v>
      </c>
      <c r="H177" s="62"/>
      <c r="I177" s="66"/>
      <c r="J177" s="64">
        <f t="shared" ref="J177:K177" si="178">sum(J171:J176)</f>
        <v>0</v>
      </c>
      <c r="K177" s="64">
        <f t="shared" si="178"/>
        <v>0</v>
      </c>
      <c r="L177" s="65" t="str">
        <f>average(L171:L176)</f>
        <v>#DIV/0!</v>
      </c>
      <c r="M177" s="68"/>
      <c r="N177" s="368">
        <f>sum(N171:N176)</f>
        <v>21338000</v>
      </c>
    </row>
    <row r="178">
      <c r="A178" s="198" t="s">
        <v>64</v>
      </c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200"/>
      <c r="M178" s="68"/>
      <c r="N178" s="368">
        <f>SUM(N120:N177)/2</f>
        <v>122126000</v>
      </c>
    </row>
    <row r="179">
      <c r="G179" s="168"/>
      <c r="L179" s="168"/>
    </row>
    <row r="180">
      <c r="G180" s="168"/>
      <c r="L180" s="168"/>
    </row>
    <row r="181">
      <c r="G181" s="168"/>
      <c r="L181" s="168"/>
    </row>
    <row r="182">
      <c r="G182" s="168"/>
      <c r="L182" s="168"/>
    </row>
    <row r="183">
      <c r="G183" s="168"/>
      <c r="L183" s="168"/>
    </row>
    <row r="184">
      <c r="G184" s="168"/>
      <c r="L184" s="168"/>
    </row>
    <row r="185">
      <c r="G185" s="168"/>
      <c r="L185" s="168"/>
    </row>
    <row r="186">
      <c r="G186" s="168"/>
      <c r="L186" s="168"/>
    </row>
    <row r="187">
      <c r="G187" s="168"/>
      <c r="L187" s="168"/>
    </row>
    <row r="188">
      <c r="G188" s="168"/>
      <c r="L188" s="168"/>
    </row>
    <row r="189">
      <c r="G189" s="168"/>
      <c r="L189" s="168"/>
    </row>
    <row r="190">
      <c r="G190" s="168"/>
      <c r="L190" s="168"/>
    </row>
    <row r="191">
      <c r="G191" s="168"/>
      <c r="L191" s="168"/>
    </row>
    <row r="192">
      <c r="G192" s="168"/>
      <c r="L192" s="168"/>
    </row>
    <row r="193">
      <c r="G193" s="168"/>
      <c r="L193" s="168"/>
    </row>
    <row r="194">
      <c r="G194" s="168"/>
      <c r="L194" s="168"/>
    </row>
    <row r="195">
      <c r="G195" s="168"/>
      <c r="L195" s="168"/>
    </row>
    <row r="196">
      <c r="G196" s="168"/>
      <c r="L196" s="168"/>
    </row>
    <row r="197">
      <c r="G197" s="168"/>
      <c r="L197" s="168"/>
    </row>
    <row r="198">
      <c r="G198" s="168"/>
      <c r="L198" s="168"/>
    </row>
    <row r="199">
      <c r="G199" s="168"/>
      <c r="L199" s="168"/>
    </row>
    <row r="200">
      <c r="G200" s="168"/>
      <c r="L200" s="168"/>
    </row>
    <row r="201">
      <c r="G201" s="168"/>
      <c r="L201" s="168"/>
    </row>
    <row r="202">
      <c r="G202" s="168"/>
      <c r="L202" s="168"/>
    </row>
    <row r="203">
      <c r="G203" s="168"/>
      <c r="L203" s="168"/>
    </row>
    <row r="204">
      <c r="G204" s="168"/>
      <c r="L204" s="168"/>
    </row>
    <row r="205">
      <c r="G205" s="168"/>
      <c r="L205" s="168"/>
    </row>
    <row r="206">
      <c r="G206" s="168"/>
      <c r="L206" s="168"/>
    </row>
    <row r="207">
      <c r="G207" s="168"/>
      <c r="L207" s="168"/>
    </row>
    <row r="208">
      <c r="G208" s="168"/>
      <c r="L208" s="168"/>
    </row>
    <row r="209">
      <c r="G209" s="168"/>
      <c r="L209" s="168"/>
    </row>
    <row r="210">
      <c r="G210" s="168"/>
      <c r="L210" s="168"/>
    </row>
    <row r="211">
      <c r="G211" s="168"/>
      <c r="L211" s="168"/>
    </row>
    <row r="212">
      <c r="G212" s="168"/>
      <c r="L212" s="168"/>
    </row>
    <row r="213">
      <c r="G213" s="168"/>
      <c r="L213" s="168"/>
    </row>
    <row r="214">
      <c r="G214" s="168"/>
      <c r="L214" s="168"/>
    </row>
    <row r="215">
      <c r="G215" s="168"/>
      <c r="L215" s="168"/>
    </row>
    <row r="216">
      <c r="G216" s="168"/>
      <c r="L216" s="168"/>
    </row>
    <row r="217">
      <c r="G217" s="168"/>
      <c r="L217" s="168"/>
    </row>
    <row r="218">
      <c r="G218" s="168"/>
      <c r="L218" s="168"/>
    </row>
    <row r="219">
      <c r="G219" s="168"/>
      <c r="L219" s="168"/>
    </row>
    <row r="220">
      <c r="G220" s="168"/>
      <c r="L220" s="168"/>
    </row>
    <row r="221">
      <c r="G221" s="168"/>
      <c r="L221" s="168"/>
    </row>
    <row r="222">
      <c r="G222" s="168"/>
      <c r="L222" s="168"/>
    </row>
    <row r="223">
      <c r="G223" s="168"/>
      <c r="L223" s="168"/>
    </row>
    <row r="224">
      <c r="G224" s="168"/>
      <c r="L224" s="168"/>
    </row>
    <row r="225">
      <c r="G225" s="168"/>
      <c r="L225" s="168"/>
    </row>
    <row r="226">
      <c r="G226" s="168"/>
      <c r="L226" s="168"/>
    </row>
    <row r="227">
      <c r="G227" s="168"/>
      <c r="L227" s="168"/>
    </row>
    <row r="228">
      <c r="G228" s="168"/>
      <c r="L228" s="168"/>
    </row>
    <row r="229">
      <c r="G229" s="168"/>
      <c r="L229" s="168"/>
    </row>
    <row r="230">
      <c r="G230" s="168"/>
      <c r="L230" s="168"/>
    </row>
    <row r="231">
      <c r="G231" s="168"/>
      <c r="L231" s="168"/>
    </row>
    <row r="232">
      <c r="G232" s="168"/>
      <c r="L232" s="168"/>
    </row>
    <row r="233">
      <c r="G233" s="168"/>
      <c r="L233" s="168"/>
    </row>
    <row r="234">
      <c r="G234" s="168"/>
      <c r="L234" s="168"/>
    </row>
    <row r="235">
      <c r="G235" s="168"/>
      <c r="L235" s="168"/>
    </row>
    <row r="236">
      <c r="G236" s="168"/>
      <c r="L236" s="168"/>
    </row>
    <row r="237">
      <c r="G237" s="168"/>
      <c r="L237" s="168"/>
    </row>
    <row r="238">
      <c r="G238" s="168"/>
      <c r="L238" s="168"/>
    </row>
    <row r="239">
      <c r="G239" s="168"/>
      <c r="L239" s="168"/>
    </row>
    <row r="240">
      <c r="G240" s="168"/>
      <c r="L240" s="168"/>
    </row>
    <row r="241">
      <c r="G241" s="168"/>
      <c r="L241" s="168"/>
    </row>
    <row r="242">
      <c r="G242" s="168"/>
      <c r="L242" s="168"/>
    </row>
    <row r="243">
      <c r="G243" s="168"/>
      <c r="L243" s="168"/>
    </row>
    <row r="244">
      <c r="G244" s="168"/>
      <c r="L244" s="168"/>
    </row>
    <row r="245">
      <c r="G245" s="168"/>
      <c r="L245" s="168"/>
    </row>
    <row r="246">
      <c r="G246" s="168"/>
      <c r="L246" s="168"/>
    </row>
    <row r="247">
      <c r="G247" s="168"/>
      <c r="L247" s="168"/>
    </row>
    <row r="248">
      <c r="G248" s="168"/>
      <c r="L248" s="168"/>
    </row>
    <row r="249">
      <c r="G249" s="168"/>
      <c r="L249" s="168"/>
    </row>
    <row r="250">
      <c r="G250" s="168"/>
      <c r="L250" s="168"/>
    </row>
    <row r="251">
      <c r="G251" s="168"/>
      <c r="L251" s="168"/>
    </row>
    <row r="252">
      <c r="G252" s="168"/>
      <c r="L252" s="168"/>
    </row>
    <row r="253">
      <c r="G253" s="168"/>
      <c r="L253" s="168"/>
    </row>
    <row r="254">
      <c r="G254" s="168"/>
      <c r="L254" s="168"/>
    </row>
    <row r="255">
      <c r="G255" s="168"/>
      <c r="L255" s="168"/>
    </row>
    <row r="256">
      <c r="G256" s="168"/>
      <c r="L256" s="168"/>
    </row>
    <row r="257">
      <c r="G257" s="168"/>
      <c r="L257" s="168"/>
    </row>
    <row r="258">
      <c r="G258" s="168"/>
      <c r="L258" s="168"/>
    </row>
    <row r="259">
      <c r="G259" s="168"/>
      <c r="L259" s="168"/>
    </row>
    <row r="260">
      <c r="G260" s="168"/>
      <c r="L260" s="168"/>
    </row>
    <row r="261">
      <c r="G261" s="168"/>
      <c r="L261" s="168"/>
    </row>
    <row r="262">
      <c r="G262" s="168"/>
      <c r="L262" s="168"/>
    </row>
    <row r="263">
      <c r="G263" s="168"/>
      <c r="L263" s="168"/>
    </row>
    <row r="264">
      <c r="G264" s="168"/>
      <c r="L264" s="168"/>
    </row>
    <row r="265">
      <c r="G265" s="168"/>
      <c r="L265" s="168"/>
    </row>
    <row r="266">
      <c r="G266" s="168"/>
      <c r="L266" s="168"/>
    </row>
    <row r="267">
      <c r="G267" s="168"/>
      <c r="L267" s="168"/>
    </row>
    <row r="268">
      <c r="G268" s="168"/>
      <c r="L268" s="168"/>
    </row>
    <row r="269">
      <c r="G269" s="168"/>
      <c r="L269" s="168"/>
    </row>
    <row r="270">
      <c r="G270" s="168"/>
      <c r="L270" s="168"/>
    </row>
    <row r="271">
      <c r="G271" s="168"/>
      <c r="L271" s="168"/>
    </row>
    <row r="272">
      <c r="G272" s="168"/>
      <c r="L272" s="168"/>
    </row>
    <row r="273">
      <c r="G273" s="168"/>
      <c r="L273" s="168"/>
    </row>
    <row r="274">
      <c r="G274" s="168"/>
      <c r="L274" s="168"/>
    </row>
    <row r="275">
      <c r="G275" s="168"/>
      <c r="L275" s="168"/>
    </row>
    <row r="276">
      <c r="G276" s="168"/>
      <c r="L276" s="168"/>
    </row>
    <row r="277">
      <c r="G277" s="168"/>
      <c r="L277" s="168"/>
    </row>
    <row r="278">
      <c r="G278" s="168"/>
      <c r="L278" s="168"/>
    </row>
    <row r="279">
      <c r="G279" s="168"/>
      <c r="L279" s="168"/>
    </row>
    <row r="280">
      <c r="G280" s="168"/>
      <c r="L280" s="168"/>
    </row>
    <row r="281">
      <c r="G281" s="168"/>
      <c r="L281" s="168"/>
    </row>
    <row r="282">
      <c r="G282" s="168"/>
      <c r="L282" s="168"/>
    </row>
    <row r="283">
      <c r="G283" s="168"/>
      <c r="L283" s="168"/>
    </row>
    <row r="284">
      <c r="G284" s="168"/>
      <c r="L284" s="168"/>
    </row>
    <row r="285">
      <c r="G285" s="168"/>
      <c r="L285" s="168"/>
    </row>
    <row r="286">
      <c r="G286" s="168"/>
      <c r="L286" s="168"/>
    </row>
    <row r="287">
      <c r="G287" s="168"/>
      <c r="L287" s="168"/>
    </row>
    <row r="288">
      <c r="G288" s="168"/>
      <c r="L288" s="168"/>
    </row>
    <row r="289">
      <c r="G289" s="168"/>
      <c r="L289" s="168"/>
    </row>
    <row r="290">
      <c r="G290" s="168"/>
      <c r="L290" s="168"/>
    </row>
    <row r="291">
      <c r="G291" s="168"/>
      <c r="L291" s="168"/>
    </row>
    <row r="292">
      <c r="G292" s="168"/>
      <c r="L292" s="168"/>
    </row>
    <row r="293">
      <c r="G293" s="168"/>
      <c r="L293" s="168"/>
    </row>
    <row r="294">
      <c r="G294" s="168"/>
      <c r="L294" s="168"/>
    </row>
    <row r="295">
      <c r="G295" s="168"/>
      <c r="L295" s="168"/>
    </row>
    <row r="296">
      <c r="G296" s="168"/>
      <c r="L296" s="168"/>
    </row>
    <row r="297">
      <c r="G297" s="168"/>
      <c r="L297" s="168"/>
    </row>
    <row r="298">
      <c r="G298" s="168"/>
      <c r="L298" s="168"/>
    </row>
    <row r="299">
      <c r="G299" s="168"/>
      <c r="L299" s="168"/>
    </row>
    <row r="300">
      <c r="G300" s="168"/>
      <c r="L300" s="168"/>
    </row>
    <row r="301">
      <c r="G301" s="168"/>
      <c r="L301" s="168"/>
    </row>
    <row r="302">
      <c r="G302" s="168"/>
      <c r="L302" s="168"/>
    </row>
    <row r="303">
      <c r="G303" s="168"/>
      <c r="L303" s="168"/>
    </row>
    <row r="304">
      <c r="G304" s="168"/>
      <c r="L304" s="168"/>
    </row>
    <row r="305">
      <c r="G305" s="168"/>
      <c r="L305" s="168"/>
    </row>
    <row r="306">
      <c r="G306" s="168"/>
      <c r="L306" s="168"/>
    </row>
    <row r="307">
      <c r="G307" s="168"/>
      <c r="L307" s="168"/>
    </row>
    <row r="308">
      <c r="G308" s="168"/>
      <c r="L308" s="168"/>
    </row>
    <row r="309">
      <c r="G309" s="168"/>
      <c r="L309" s="168"/>
    </row>
    <row r="310">
      <c r="G310" s="168"/>
      <c r="L310" s="168"/>
    </row>
    <row r="311">
      <c r="G311" s="168"/>
      <c r="L311" s="168"/>
    </row>
    <row r="312">
      <c r="G312" s="168"/>
      <c r="L312" s="168"/>
    </row>
    <row r="313">
      <c r="G313" s="168"/>
      <c r="L313" s="168"/>
    </row>
    <row r="314">
      <c r="G314" s="168"/>
      <c r="L314" s="168"/>
    </row>
    <row r="315">
      <c r="G315" s="168"/>
      <c r="L315" s="168"/>
    </row>
    <row r="316">
      <c r="G316" s="168"/>
      <c r="L316" s="168"/>
    </row>
    <row r="317">
      <c r="G317" s="168"/>
      <c r="L317" s="168"/>
    </row>
    <row r="318">
      <c r="G318" s="168"/>
      <c r="L318" s="168"/>
    </row>
    <row r="319">
      <c r="G319" s="168"/>
      <c r="L319" s="168"/>
    </row>
    <row r="320">
      <c r="G320" s="168"/>
      <c r="L320" s="168"/>
    </row>
    <row r="321">
      <c r="G321" s="168"/>
      <c r="L321" s="168"/>
    </row>
    <row r="322">
      <c r="G322" s="168"/>
      <c r="L322" s="168"/>
    </row>
    <row r="323">
      <c r="G323" s="168"/>
      <c r="L323" s="168"/>
    </row>
    <row r="324">
      <c r="G324" s="168"/>
      <c r="L324" s="168"/>
    </row>
    <row r="325">
      <c r="G325" s="168"/>
      <c r="L325" s="168"/>
    </row>
    <row r="326">
      <c r="G326" s="168"/>
      <c r="L326" s="168"/>
    </row>
    <row r="327">
      <c r="G327" s="168"/>
      <c r="L327" s="168"/>
    </row>
    <row r="328">
      <c r="G328" s="168"/>
      <c r="L328" s="168"/>
    </row>
    <row r="329">
      <c r="G329" s="168"/>
      <c r="L329" s="168"/>
    </row>
    <row r="330">
      <c r="G330" s="168"/>
      <c r="L330" s="168"/>
    </row>
    <row r="331">
      <c r="G331" s="168"/>
      <c r="L331" s="168"/>
    </row>
    <row r="332">
      <c r="G332" s="168"/>
      <c r="L332" s="168"/>
    </row>
    <row r="333">
      <c r="G333" s="168"/>
      <c r="L333" s="168"/>
    </row>
    <row r="334">
      <c r="G334" s="168"/>
      <c r="L334" s="168"/>
    </row>
    <row r="335">
      <c r="G335" s="168"/>
      <c r="L335" s="168"/>
    </row>
    <row r="336">
      <c r="G336" s="168"/>
      <c r="L336" s="168"/>
    </row>
    <row r="337">
      <c r="G337" s="168"/>
      <c r="L337" s="168"/>
    </row>
    <row r="338">
      <c r="G338" s="168"/>
      <c r="L338" s="168"/>
    </row>
    <row r="339">
      <c r="G339" s="168"/>
      <c r="L339" s="168"/>
    </row>
    <row r="340">
      <c r="G340" s="168"/>
      <c r="L340" s="168"/>
    </row>
    <row r="341">
      <c r="G341" s="168"/>
      <c r="L341" s="168"/>
    </row>
    <row r="342">
      <c r="G342" s="168"/>
      <c r="L342" s="168"/>
    </row>
    <row r="343">
      <c r="G343" s="168"/>
      <c r="L343" s="168"/>
    </row>
    <row r="344">
      <c r="G344" s="168"/>
      <c r="L344" s="168"/>
    </row>
    <row r="345">
      <c r="G345" s="168"/>
      <c r="L345" s="168"/>
    </row>
    <row r="346">
      <c r="G346" s="168"/>
      <c r="L346" s="168"/>
    </row>
    <row r="347">
      <c r="G347" s="168"/>
      <c r="L347" s="168"/>
    </row>
    <row r="348">
      <c r="G348" s="168"/>
      <c r="L348" s="168"/>
    </row>
    <row r="349">
      <c r="G349" s="168"/>
      <c r="L349" s="168"/>
    </row>
    <row r="350">
      <c r="G350" s="168"/>
      <c r="L350" s="168"/>
    </row>
    <row r="351">
      <c r="G351" s="168"/>
      <c r="L351" s="168"/>
    </row>
    <row r="352">
      <c r="G352" s="168"/>
      <c r="L352" s="168"/>
    </row>
    <row r="353">
      <c r="G353" s="168"/>
      <c r="L353" s="168"/>
    </row>
    <row r="354">
      <c r="G354" s="168"/>
      <c r="L354" s="168"/>
    </row>
    <row r="355">
      <c r="G355" s="168"/>
      <c r="L355" s="168"/>
    </row>
    <row r="356">
      <c r="G356" s="168"/>
      <c r="L356" s="168"/>
    </row>
    <row r="357">
      <c r="G357" s="168"/>
      <c r="L357" s="168"/>
    </row>
    <row r="358">
      <c r="G358" s="168"/>
      <c r="L358" s="168"/>
    </row>
    <row r="359">
      <c r="G359" s="168"/>
      <c r="L359" s="168"/>
    </row>
    <row r="360">
      <c r="G360" s="168"/>
      <c r="L360" s="168"/>
    </row>
    <row r="361">
      <c r="G361" s="168"/>
      <c r="L361" s="168"/>
    </row>
    <row r="362">
      <c r="G362" s="168"/>
      <c r="L362" s="168"/>
    </row>
    <row r="363">
      <c r="G363" s="168"/>
      <c r="L363" s="168"/>
    </row>
    <row r="364">
      <c r="G364" s="168"/>
      <c r="L364" s="168"/>
    </row>
    <row r="365">
      <c r="G365" s="168"/>
      <c r="L365" s="168"/>
    </row>
    <row r="366">
      <c r="G366" s="168"/>
      <c r="L366" s="168"/>
    </row>
    <row r="367">
      <c r="G367" s="168"/>
      <c r="L367" s="168"/>
    </row>
    <row r="368">
      <c r="G368" s="168"/>
      <c r="L368" s="168"/>
    </row>
    <row r="369">
      <c r="G369" s="168"/>
      <c r="L369" s="168"/>
    </row>
    <row r="370">
      <c r="G370" s="168"/>
      <c r="L370" s="168"/>
    </row>
    <row r="371">
      <c r="G371" s="168"/>
      <c r="L371" s="168"/>
    </row>
    <row r="372">
      <c r="G372" s="168"/>
      <c r="L372" s="168"/>
    </row>
    <row r="373">
      <c r="G373" s="168"/>
      <c r="L373" s="168"/>
    </row>
    <row r="374">
      <c r="G374" s="168"/>
      <c r="L374" s="168"/>
    </row>
    <row r="375">
      <c r="G375" s="168"/>
      <c r="L375" s="168"/>
    </row>
    <row r="376">
      <c r="G376" s="168"/>
      <c r="L376" s="168"/>
    </row>
    <row r="377">
      <c r="G377" s="168"/>
      <c r="L377" s="168"/>
    </row>
    <row r="378">
      <c r="G378" s="168"/>
      <c r="L378" s="168"/>
    </row>
    <row r="379">
      <c r="G379" s="168"/>
      <c r="L379" s="168"/>
    </row>
    <row r="380">
      <c r="G380" s="168"/>
      <c r="L380" s="168"/>
    </row>
    <row r="381">
      <c r="G381" s="168"/>
      <c r="L381" s="168"/>
    </row>
    <row r="382">
      <c r="G382" s="168"/>
      <c r="L382" s="168"/>
    </row>
    <row r="383">
      <c r="G383" s="168"/>
      <c r="L383" s="168"/>
    </row>
    <row r="384">
      <c r="G384" s="168"/>
      <c r="L384" s="168"/>
    </row>
    <row r="385">
      <c r="G385" s="168"/>
      <c r="L385" s="168"/>
    </row>
    <row r="386">
      <c r="G386" s="168"/>
      <c r="L386" s="168"/>
    </row>
    <row r="387">
      <c r="G387" s="168"/>
      <c r="L387" s="168"/>
    </row>
    <row r="388">
      <c r="G388" s="168"/>
      <c r="L388" s="168"/>
    </row>
    <row r="389">
      <c r="G389" s="168"/>
      <c r="L389" s="168"/>
    </row>
    <row r="390">
      <c r="G390" s="168"/>
      <c r="L390" s="168"/>
    </row>
    <row r="391">
      <c r="G391" s="168"/>
      <c r="L391" s="168"/>
    </row>
    <row r="392">
      <c r="G392" s="168"/>
      <c r="L392" s="168"/>
    </row>
    <row r="393">
      <c r="G393" s="168"/>
      <c r="L393" s="168"/>
    </row>
    <row r="394">
      <c r="G394" s="168"/>
      <c r="L394" s="168"/>
    </row>
    <row r="395">
      <c r="G395" s="168"/>
      <c r="L395" s="168"/>
    </row>
    <row r="396">
      <c r="G396" s="168"/>
      <c r="L396" s="168"/>
    </row>
    <row r="397">
      <c r="G397" s="168"/>
      <c r="L397" s="168"/>
    </row>
    <row r="398">
      <c r="G398" s="168"/>
      <c r="L398" s="168"/>
    </row>
    <row r="399">
      <c r="G399" s="168"/>
      <c r="L399" s="168"/>
    </row>
    <row r="400">
      <c r="G400" s="168"/>
      <c r="L400" s="168"/>
    </row>
    <row r="401">
      <c r="G401" s="168"/>
      <c r="L401" s="168"/>
    </row>
    <row r="402">
      <c r="G402" s="168"/>
      <c r="L402" s="168"/>
    </row>
    <row r="403">
      <c r="G403" s="168"/>
      <c r="L403" s="168"/>
    </row>
    <row r="404">
      <c r="G404" s="168"/>
      <c r="L404" s="168"/>
    </row>
    <row r="405">
      <c r="G405" s="168"/>
      <c r="L405" s="168"/>
    </row>
    <row r="406">
      <c r="G406" s="168"/>
      <c r="L406" s="168"/>
    </row>
    <row r="407">
      <c r="G407" s="168"/>
      <c r="L407" s="168"/>
    </row>
    <row r="408">
      <c r="G408" s="168"/>
      <c r="L408" s="168"/>
    </row>
    <row r="409">
      <c r="G409" s="168"/>
      <c r="L409" s="168"/>
    </row>
    <row r="410">
      <c r="G410" s="168"/>
      <c r="L410" s="168"/>
    </row>
    <row r="411">
      <c r="G411" s="168"/>
      <c r="L411" s="168"/>
    </row>
    <row r="412">
      <c r="G412" s="168"/>
      <c r="L412" s="168"/>
    </row>
    <row r="413">
      <c r="G413" s="168"/>
      <c r="L413" s="168"/>
    </row>
    <row r="414">
      <c r="G414" s="168"/>
      <c r="L414" s="168"/>
    </row>
    <row r="415">
      <c r="G415" s="168"/>
      <c r="L415" s="168"/>
    </row>
    <row r="416">
      <c r="G416" s="168"/>
      <c r="L416" s="168"/>
    </row>
    <row r="417">
      <c r="G417" s="168"/>
      <c r="L417" s="168"/>
    </row>
    <row r="418">
      <c r="G418" s="168"/>
      <c r="L418" s="168"/>
    </row>
    <row r="419">
      <c r="G419" s="168"/>
      <c r="L419" s="168"/>
    </row>
    <row r="420">
      <c r="G420" s="168"/>
      <c r="L420" s="168"/>
    </row>
    <row r="421">
      <c r="G421" s="168"/>
      <c r="L421" s="168"/>
    </row>
    <row r="422">
      <c r="G422" s="168"/>
      <c r="L422" s="168"/>
    </row>
    <row r="423">
      <c r="G423" s="168"/>
      <c r="L423" s="168"/>
    </row>
    <row r="424">
      <c r="G424" s="168"/>
      <c r="L424" s="168"/>
    </row>
    <row r="425">
      <c r="G425" s="168"/>
      <c r="L425" s="168"/>
    </row>
    <row r="426">
      <c r="G426" s="168"/>
      <c r="L426" s="168"/>
    </row>
    <row r="427">
      <c r="G427" s="168"/>
      <c r="L427" s="168"/>
    </row>
    <row r="428">
      <c r="G428" s="168"/>
      <c r="L428" s="168"/>
    </row>
    <row r="429">
      <c r="G429" s="168"/>
      <c r="L429" s="168"/>
    </row>
    <row r="430">
      <c r="G430" s="168"/>
      <c r="L430" s="168"/>
    </row>
    <row r="431">
      <c r="G431" s="168"/>
      <c r="L431" s="168"/>
    </row>
    <row r="432">
      <c r="G432" s="168"/>
      <c r="L432" s="168"/>
    </row>
    <row r="433">
      <c r="G433" s="168"/>
      <c r="L433" s="168"/>
    </row>
    <row r="434">
      <c r="G434" s="168"/>
      <c r="L434" s="168"/>
    </row>
    <row r="435">
      <c r="G435" s="168"/>
      <c r="L435" s="168"/>
    </row>
    <row r="436">
      <c r="G436" s="168"/>
      <c r="L436" s="168"/>
    </row>
    <row r="437">
      <c r="G437" s="168"/>
      <c r="L437" s="168"/>
    </row>
    <row r="438">
      <c r="G438" s="168"/>
      <c r="L438" s="168"/>
    </row>
    <row r="439">
      <c r="G439" s="168"/>
      <c r="L439" s="168"/>
    </row>
    <row r="440">
      <c r="G440" s="168"/>
      <c r="L440" s="168"/>
    </row>
    <row r="441">
      <c r="G441" s="168"/>
      <c r="L441" s="168"/>
    </row>
    <row r="442">
      <c r="G442" s="168"/>
      <c r="L442" s="168"/>
    </row>
    <row r="443">
      <c r="G443" s="168"/>
      <c r="L443" s="168"/>
    </row>
    <row r="444">
      <c r="G444" s="168"/>
      <c r="L444" s="168"/>
    </row>
    <row r="445">
      <c r="G445" s="168"/>
      <c r="L445" s="168"/>
    </row>
    <row r="446">
      <c r="G446" s="168"/>
      <c r="L446" s="168"/>
    </row>
    <row r="447">
      <c r="G447" s="168"/>
      <c r="L447" s="168"/>
    </row>
    <row r="448">
      <c r="G448" s="168"/>
      <c r="L448" s="168"/>
    </row>
    <row r="449">
      <c r="G449" s="168"/>
      <c r="L449" s="168"/>
    </row>
    <row r="450">
      <c r="G450" s="168"/>
      <c r="L450" s="168"/>
    </row>
    <row r="451">
      <c r="G451" s="168"/>
      <c r="L451" s="168"/>
    </row>
    <row r="452">
      <c r="G452" s="168"/>
      <c r="L452" s="168"/>
    </row>
    <row r="453">
      <c r="G453" s="168"/>
      <c r="L453" s="168"/>
    </row>
    <row r="454">
      <c r="G454" s="168"/>
      <c r="L454" s="168"/>
    </row>
    <row r="455">
      <c r="G455" s="168"/>
      <c r="L455" s="168"/>
    </row>
    <row r="456">
      <c r="G456" s="168"/>
      <c r="L456" s="168"/>
    </row>
    <row r="457">
      <c r="G457" s="168"/>
      <c r="L457" s="168"/>
    </row>
    <row r="458">
      <c r="G458" s="168"/>
      <c r="L458" s="168"/>
    </row>
    <row r="459">
      <c r="G459" s="168"/>
      <c r="L459" s="168"/>
    </row>
    <row r="460">
      <c r="G460" s="168"/>
      <c r="L460" s="168"/>
    </row>
    <row r="461">
      <c r="G461" s="168"/>
      <c r="L461" s="168"/>
    </row>
    <row r="462">
      <c r="G462" s="168"/>
      <c r="L462" s="168"/>
    </row>
    <row r="463">
      <c r="G463" s="168"/>
      <c r="L463" s="168"/>
    </row>
    <row r="464">
      <c r="G464" s="168"/>
      <c r="L464" s="168"/>
    </row>
    <row r="465">
      <c r="G465" s="168"/>
      <c r="L465" s="168"/>
    </row>
    <row r="466">
      <c r="G466" s="168"/>
      <c r="L466" s="168"/>
    </row>
    <row r="467">
      <c r="G467" s="168"/>
      <c r="L467" s="168"/>
    </row>
    <row r="468">
      <c r="G468" s="168"/>
      <c r="L468" s="168"/>
    </row>
    <row r="469">
      <c r="G469" s="168"/>
      <c r="L469" s="168"/>
    </row>
    <row r="470">
      <c r="G470" s="168"/>
      <c r="L470" s="168"/>
    </row>
    <row r="471">
      <c r="G471" s="168"/>
      <c r="L471" s="168"/>
    </row>
    <row r="472">
      <c r="G472" s="168"/>
      <c r="L472" s="168"/>
    </row>
    <row r="473">
      <c r="G473" s="168"/>
      <c r="L473" s="168"/>
    </row>
    <row r="474">
      <c r="G474" s="168"/>
      <c r="L474" s="168"/>
    </row>
    <row r="475">
      <c r="G475" s="168"/>
      <c r="L475" s="168"/>
    </row>
    <row r="476">
      <c r="G476" s="168"/>
      <c r="L476" s="168"/>
    </row>
    <row r="477">
      <c r="G477" s="168"/>
      <c r="L477" s="168"/>
    </row>
    <row r="478">
      <c r="G478" s="168"/>
      <c r="L478" s="168"/>
    </row>
    <row r="479">
      <c r="G479" s="168"/>
      <c r="L479" s="168"/>
    </row>
    <row r="480">
      <c r="G480" s="168"/>
      <c r="L480" s="168"/>
    </row>
    <row r="481">
      <c r="G481" s="168"/>
      <c r="L481" s="168"/>
    </row>
    <row r="482">
      <c r="G482" s="168"/>
      <c r="L482" s="168"/>
    </row>
    <row r="483">
      <c r="G483" s="168"/>
      <c r="L483" s="168"/>
    </row>
    <row r="484">
      <c r="G484" s="168"/>
      <c r="L484" s="168"/>
    </row>
    <row r="485">
      <c r="G485" s="168"/>
      <c r="L485" s="168"/>
    </row>
    <row r="486">
      <c r="G486" s="168"/>
      <c r="L486" s="168"/>
    </row>
    <row r="487">
      <c r="G487" s="168"/>
      <c r="L487" s="168"/>
    </row>
    <row r="488">
      <c r="G488" s="168"/>
      <c r="L488" s="168"/>
    </row>
    <row r="489">
      <c r="G489" s="168"/>
      <c r="L489" s="168"/>
    </row>
    <row r="490">
      <c r="G490" s="168"/>
      <c r="L490" s="168"/>
    </row>
    <row r="491">
      <c r="G491" s="168"/>
      <c r="L491" s="168"/>
    </row>
    <row r="492">
      <c r="G492" s="168"/>
      <c r="L492" s="168"/>
    </row>
    <row r="493">
      <c r="G493" s="168"/>
      <c r="L493" s="168"/>
    </row>
    <row r="494">
      <c r="G494" s="168"/>
      <c r="L494" s="168"/>
    </row>
    <row r="495">
      <c r="G495" s="168"/>
      <c r="L495" s="168"/>
    </row>
    <row r="496">
      <c r="G496" s="168"/>
      <c r="L496" s="168"/>
    </row>
    <row r="497">
      <c r="G497" s="168"/>
      <c r="L497" s="168"/>
    </row>
    <row r="498">
      <c r="G498" s="168"/>
      <c r="L498" s="168"/>
    </row>
    <row r="499">
      <c r="G499" s="168"/>
      <c r="L499" s="168"/>
    </row>
    <row r="500">
      <c r="G500" s="168"/>
      <c r="L500" s="168"/>
    </row>
    <row r="501">
      <c r="G501" s="168"/>
      <c r="L501" s="168"/>
    </row>
    <row r="502">
      <c r="G502" s="168"/>
      <c r="L502" s="168"/>
    </row>
    <row r="503">
      <c r="G503" s="168"/>
      <c r="L503" s="168"/>
    </row>
    <row r="504">
      <c r="G504" s="168"/>
      <c r="L504" s="168"/>
    </row>
    <row r="505">
      <c r="G505" s="168"/>
      <c r="L505" s="168"/>
    </row>
    <row r="506">
      <c r="G506" s="168"/>
      <c r="L506" s="168"/>
    </row>
    <row r="507">
      <c r="G507" s="168"/>
      <c r="L507" s="168"/>
    </row>
    <row r="508">
      <c r="G508" s="168"/>
      <c r="L508" s="168"/>
    </row>
    <row r="509">
      <c r="G509" s="168"/>
      <c r="L509" s="168"/>
    </row>
    <row r="510">
      <c r="G510" s="168"/>
      <c r="L510" s="168"/>
    </row>
    <row r="511">
      <c r="G511" s="168"/>
      <c r="L511" s="168"/>
    </row>
    <row r="512">
      <c r="G512" s="168"/>
      <c r="L512" s="168"/>
    </row>
    <row r="513">
      <c r="G513" s="168"/>
      <c r="L513" s="168"/>
    </row>
    <row r="514">
      <c r="G514" s="168"/>
      <c r="L514" s="168"/>
    </row>
    <row r="515">
      <c r="G515" s="168"/>
      <c r="L515" s="168"/>
    </row>
    <row r="516">
      <c r="G516" s="168"/>
      <c r="L516" s="168"/>
    </row>
    <row r="517">
      <c r="G517" s="168"/>
      <c r="L517" s="168"/>
    </row>
    <row r="518">
      <c r="G518" s="168"/>
      <c r="L518" s="168"/>
    </row>
    <row r="519">
      <c r="G519" s="168"/>
      <c r="L519" s="168"/>
    </row>
    <row r="520">
      <c r="G520" s="168"/>
      <c r="L520" s="168"/>
    </row>
    <row r="521">
      <c r="G521" s="168"/>
      <c r="L521" s="168"/>
    </row>
    <row r="522">
      <c r="G522" s="168"/>
      <c r="L522" s="168"/>
    </row>
    <row r="523">
      <c r="G523" s="168"/>
      <c r="L523" s="168"/>
    </row>
    <row r="524">
      <c r="G524" s="168"/>
      <c r="L524" s="168"/>
    </row>
    <row r="525">
      <c r="G525" s="168"/>
      <c r="L525" s="168"/>
    </row>
    <row r="526">
      <c r="G526" s="168"/>
      <c r="L526" s="168"/>
    </row>
    <row r="527">
      <c r="G527" s="168"/>
      <c r="L527" s="168"/>
    </row>
    <row r="528">
      <c r="G528" s="168"/>
      <c r="L528" s="168"/>
    </row>
    <row r="529">
      <c r="G529" s="168"/>
      <c r="L529" s="168"/>
    </row>
    <row r="530">
      <c r="G530" s="168"/>
      <c r="L530" s="168"/>
    </row>
    <row r="531">
      <c r="G531" s="168"/>
      <c r="L531" s="168"/>
    </row>
    <row r="532">
      <c r="G532" s="168"/>
      <c r="L532" s="168"/>
    </row>
    <row r="533">
      <c r="G533" s="168"/>
      <c r="L533" s="168"/>
    </row>
    <row r="534">
      <c r="G534" s="168"/>
      <c r="L534" s="168"/>
    </row>
    <row r="535">
      <c r="G535" s="168"/>
      <c r="L535" s="168"/>
    </row>
    <row r="536">
      <c r="G536" s="168"/>
      <c r="L536" s="168"/>
    </row>
    <row r="537">
      <c r="G537" s="168"/>
      <c r="L537" s="168"/>
    </row>
    <row r="538">
      <c r="G538" s="168"/>
      <c r="L538" s="168"/>
    </row>
    <row r="539">
      <c r="G539" s="168"/>
      <c r="L539" s="168"/>
    </row>
    <row r="540">
      <c r="G540" s="168"/>
      <c r="L540" s="168"/>
    </row>
    <row r="541">
      <c r="G541" s="168"/>
      <c r="L541" s="168"/>
    </row>
    <row r="542">
      <c r="G542" s="168"/>
      <c r="L542" s="168"/>
    </row>
    <row r="543">
      <c r="G543" s="168"/>
      <c r="L543" s="168"/>
    </row>
    <row r="544">
      <c r="G544" s="168"/>
      <c r="L544" s="168"/>
    </row>
    <row r="545">
      <c r="G545" s="168"/>
      <c r="L545" s="168"/>
    </row>
    <row r="546">
      <c r="G546" s="168"/>
      <c r="L546" s="168"/>
    </row>
    <row r="547">
      <c r="G547" s="168"/>
      <c r="L547" s="168"/>
    </row>
    <row r="548">
      <c r="G548" s="168"/>
      <c r="L548" s="168"/>
    </row>
    <row r="549">
      <c r="G549" s="168"/>
      <c r="L549" s="168"/>
    </row>
    <row r="550">
      <c r="G550" s="168"/>
      <c r="L550" s="168"/>
    </row>
    <row r="551">
      <c r="G551" s="168"/>
      <c r="L551" s="168"/>
    </row>
    <row r="552">
      <c r="G552" s="168"/>
      <c r="L552" s="168"/>
    </row>
    <row r="553">
      <c r="G553" s="168"/>
      <c r="L553" s="168"/>
    </row>
    <row r="554">
      <c r="G554" s="168"/>
      <c r="L554" s="168"/>
    </row>
    <row r="555">
      <c r="G555" s="168"/>
      <c r="L555" s="168"/>
    </row>
    <row r="556">
      <c r="G556" s="168"/>
      <c r="L556" s="168"/>
    </row>
    <row r="557">
      <c r="G557" s="168"/>
      <c r="L557" s="168"/>
    </row>
    <row r="558">
      <c r="G558" s="168"/>
      <c r="L558" s="168"/>
    </row>
    <row r="559">
      <c r="G559" s="168"/>
      <c r="L559" s="168"/>
    </row>
    <row r="560">
      <c r="G560" s="168"/>
      <c r="L560" s="168"/>
    </row>
    <row r="561">
      <c r="G561" s="168"/>
      <c r="L561" s="168"/>
    </row>
    <row r="562">
      <c r="G562" s="168"/>
      <c r="L562" s="168"/>
    </row>
    <row r="563">
      <c r="G563" s="168"/>
      <c r="L563" s="168"/>
    </row>
    <row r="564">
      <c r="G564" s="168"/>
      <c r="L564" s="168"/>
    </row>
    <row r="565">
      <c r="G565" s="168"/>
      <c r="L565" s="168"/>
    </row>
    <row r="566">
      <c r="G566" s="168"/>
      <c r="L566" s="168"/>
    </row>
    <row r="567">
      <c r="G567" s="168"/>
      <c r="L567" s="168"/>
    </row>
    <row r="568">
      <c r="G568" s="168"/>
      <c r="L568" s="168"/>
    </row>
    <row r="569">
      <c r="G569" s="168"/>
      <c r="L569" s="168"/>
    </row>
    <row r="570">
      <c r="G570" s="168"/>
      <c r="L570" s="168"/>
    </row>
    <row r="571">
      <c r="G571" s="168"/>
      <c r="L571" s="168"/>
    </row>
    <row r="572">
      <c r="G572" s="168"/>
      <c r="L572" s="168"/>
    </row>
    <row r="573">
      <c r="G573" s="168"/>
      <c r="L573" s="168"/>
    </row>
    <row r="574">
      <c r="G574" s="168"/>
      <c r="L574" s="168"/>
    </row>
    <row r="575">
      <c r="G575" s="168"/>
      <c r="L575" s="168"/>
    </row>
    <row r="576">
      <c r="G576" s="168"/>
      <c r="L576" s="168"/>
    </row>
    <row r="577">
      <c r="G577" s="168"/>
      <c r="L577" s="168"/>
    </row>
    <row r="578">
      <c r="G578" s="168"/>
      <c r="L578" s="168"/>
    </row>
    <row r="579">
      <c r="G579" s="168"/>
      <c r="L579" s="168"/>
    </row>
    <row r="580">
      <c r="G580" s="168"/>
      <c r="L580" s="168"/>
    </row>
    <row r="581">
      <c r="G581" s="168"/>
      <c r="L581" s="168"/>
    </row>
    <row r="582">
      <c r="G582" s="168"/>
      <c r="L582" s="168"/>
    </row>
    <row r="583">
      <c r="G583" s="168"/>
      <c r="L583" s="168"/>
    </row>
    <row r="584">
      <c r="G584" s="168"/>
      <c r="L584" s="168"/>
    </row>
    <row r="585">
      <c r="G585" s="168"/>
      <c r="L585" s="168"/>
    </row>
    <row r="586">
      <c r="G586" s="168"/>
      <c r="L586" s="168"/>
    </row>
    <row r="587">
      <c r="G587" s="168"/>
      <c r="L587" s="168"/>
    </row>
    <row r="588">
      <c r="G588" s="168"/>
      <c r="L588" s="168"/>
    </row>
    <row r="589">
      <c r="G589" s="168"/>
      <c r="L589" s="168"/>
    </row>
    <row r="590">
      <c r="G590" s="168"/>
      <c r="L590" s="168"/>
    </row>
    <row r="591">
      <c r="G591" s="168"/>
      <c r="L591" s="168"/>
    </row>
    <row r="592">
      <c r="G592" s="168"/>
      <c r="L592" s="168"/>
    </row>
    <row r="593">
      <c r="G593" s="168"/>
      <c r="L593" s="168"/>
    </row>
    <row r="594">
      <c r="G594" s="168"/>
      <c r="L594" s="168"/>
    </row>
    <row r="595">
      <c r="G595" s="168"/>
      <c r="L595" s="168"/>
    </row>
    <row r="596">
      <c r="G596" s="168"/>
      <c r="L596" s="168"/>
    </row>
    <row r="597">
      <c r="G597" s="168"/>
      <c r="L597" s="168"/>
    </row>
    <row r="598">
      <c r="G598" s="168"/>
      <c r="L598" s="168"/>
    </row>
    <row r="599">
      <c r="G599" s="168"/>
      <c r="L599" s="168"/>
    </row>
    <row r="600">
      <c r="G600" s="168"/>
      <c r="L600" s="168"/>
    </row>
    <row r="601">
      <c r="G601" s="168"/>
      <c r="L601" s="168"/>
    </row>
    <row r="602">
      <c r="G602" s="168"/>
      <c r="L602" s="168"/>
    </row>
    <row r="603">
      <c r="G603" s="168"/>
      <c r="L603" s="168"/>
    </row>
    <row r="604">
      <c r="G604" s="168"/>
      <c r="L604" s="168"/>
    </row>
    <row r="605">
      <c r="G605" s="168"/>
      <c r="L605" s="168"/>
    </row>
    <row r="606">
      <c r="G606" s="168"/>
      <c r="L606" s="168"/>
    </row>
    <row r="607">
      <c r="G607" s="168"/>
      <c r="L607" s="168"/>
    </row>
    <row r="608">
      <c r="G608" s="168"/>
      <c r="L608" s="168"/>
    </row>
    <row r="609">
      <c r="G609" s="168"/>
      <c r="L609" s="168"/>
    </row>
    <row r="610">
      <c r="G610" s="168"/>
      <c r="L610" s="168"/>
    </row>
    <row r="611">
      <c r="G611" s="168"/>
      <c r="L611" s="168"/>
    </row>
    <row r="612">
      <c r="G612" s="168"/>
      <c r="L612" s="168"/>
    </row>
    <row r="613">
      <c r="G613" s="168"/>
      <c r="L613" s="168"/>
    </row>
    <row r="614">
      <c r="G614" s="168"/>
      <c r="L614" s="168"/>
    </row>
    <row r="615">
      <c r="G615" s="168"/>
      <c r="L615" s="168"/>
    </row>
    <row r="616">
      <c r="G616" s="168"/>
      <c r="L616" s="168"/>
    </row>
    <row r="617">
      <c r="G617" s="168"/>
      <c r="L617" s="168"/>
    </row>
    <row r="618">
      <c r="G618" s="168"/>
      <c r="L618" s="168"/>
    </row>
    <row r="619">
      <c r="G619" s="168"/>
      <c r="L619" s="168"/>
    </row>
    <row r="620">
      <c r="G620" s="168"/>
      <c r="L620" s="168"/>
    </row>
    <row r="621">
      <c r="G621" s="168"/>
      <c r="L621" s="168"/>
    </row>
    <row r="622">
      <c r="G622" s="168"/>
      <c r="L622" s="168"/>
    </row>
    <row r="623">
      <c r="G623" s="168"/>
      <c r="L623" s="168"/>
    </row>
    <row r="624">
      <c r="G624" s="168"/>
      <c r="L624" s="168"/>
    </row>
    <row r="625">
      <c r="G625" s="168"/>
      <c r="L625" s="168"/>
    </row>
    <row r="626">
      <c r="G626" s="168"/>
      <c r="L626" s="168"/>
    </row>
    <row r="627">
      <c r="G627" s="168"/>
      <c r="L627" s="168"/>
    </row>
    <row r="628">
      <c r="G628" s="168"/>
      <c r="L628" s="168"/>
    </row>
    <row r="629">
      <c r="G629" s="168"/>
      <c r="L629" s="168"/>
    </row>
    <row r="630">
      <c r="G630" s="168"/>
      <c r="L630" s="168"/>
    </row>
    <row r="631">
      <c r="G631" s="168"/>
      <c r="L631" s="168"/>
    </row>
    <row r="632">
      <c r="G632" s="168"/>
      <c r="L632" s="168"/>
    </row>
    <row r="633">
      <c r="G633" s="168"/>
      <c r="L633" s="168"/>
    </row>
    <row r="634">
      <c r="G634" s="168"/>
      <c r="L634" s="168"/>
    </row>
    <row r="635">
      <c r="G635" s="168"/>
      <c r="L635" s="168"/>
    </row>
    <row r="636">
      <c r="G636" s="168"/>
      <c r="L636" s="168"/>
    </row>
    <row r="637">
      <c r="G637" s="168"/>
      <c r="L637" s="168"/>
    </row>
    <row r="638">
      <c r="G638" s="168"/>
      <c r="L638" s="168"/>
    </row>
    <row r="639">
      <c r="G639" s="168"/>
      <c r="L639" s="168"/>
    </row>
    <row r="640">
      <c r="G640" s="168"/>
      <c r="L640" s="168"/>
    </row>
    <row r="641">
      <c r="G641" s="168"/>
      <c r="L641" s="168"/>
    </row>
    <row r="642">
      <c r="G642" s="168"/>
      <c r="L642" s="168"/>
    </row>
    <row r="643">
      <c r="G643" s="168"/>
      <c r="L643" s="168"/>
    </row>
    <row r="644">
      <c r="G644" s="168"/>
      <c r="L644" s="168"/>
    </row>
    <row r="645">
      <c r="G645" s="168"/>
      <c r="L645" s="168"/>
    </row>
    <row r="646">
      <c r="G646" s="168"/>
      <c r="L646" s="168"/>
    </row>
    <row r="647">
      <c r="G647" s="168"/>
      <c r="L647" s="168"/>
    </row>
    <row r="648">
      <c r="G648" s="168"/>
      <c r="L648" s="168"/>
    </row>
    <row r="649">
      <c r="G649" s="168"/>
      <c r="L649" s="168"/>
    </row>
    <row r="650">
      <c r="G650" s="168"/>
      <c r="L650" s="168"/>
    </row>
    <row r="651">
      <c r="G651" s="168"/>
      <c r="L651" s="168"/>
    </row>
    <row r="652">
      <c r="G652" s="168"/>
      <c r="L652" s="168"/>
    </row>
    <row r="653">
      <c r="G653" s="168"/>
      <c r="L653" s="168"/>
    </row>
    <row r="654">
      <c r="G654" s="168"/>
      <c r="L654" s="168"/>
    </row>
    <row r="655">
      <c r="G655" s="168"/>
      <c r="L655" s="168"/>
    </row>
    <row r="656">
      <c r="G656" s="168"/>
      <c r="L656" s="168"/>
    </row>
    <row r="657">
      <c r="G657" s="168"/>
      <c r="L657" s="168"/>
    </row>
    <row r="658">
      <c r="G658" s="168"/>
      <c r="L658" s="168"/>
    </row>
    <row r="659">
      <c r="G659" s="168"/>
      <c r="L659" s="168"/>
    </row>
    <row r="660">
      <c r="G660" s="168"/>
      <c r="L660" s="168"/>
    </row>
    <row r="661">
      <c r="G661" s="168"/>
      <c r="L661" s="168"/>
    </row>
    <row r="662">
      <c r="G662" s="168"/>
      <c r="L662" s="168"/>
    </row>
    <row r="663">
      <c r="G663" s="168"/>
      <c r="L663" s="168"/>
    </row>
    <row r="664">
      <c r="G664" s="168"/>
      <c r="L664" s="168"/>
    </row>
    <row r="665">
      <c r="G665" s="168"/>
      <c r="L665" s="168"/>
    </row>
    <row r="666">
      <c r="G666" s="168"/>
      <c r="L666" s="168"/>
    </row>
    <row r="667">
      <c r="G667" s="168"/>
      <c r="L667" s="168"/>
    </row>
    <row r="668">
      <c r="G668" s="168"/>
      <c r="L668" s="168"/>
    </row>
    <row r="669">
      <c r="G669" s="168"/>
      <c r="L669" s="168"/>
    </row>
    <row r="670">
      <c r="G670" s="168"/>
      <c r="L670" s="168"/>
    </row>
    <row r="671">
      <c r="G671" s="168"/>
      <c r="L671" s="168"/>
    </row>
    <row r="672">
      <c r="G672" s="168"/>
      <c r="L672" s="168"/>
    </row>
    <row r="673">
      <c r="G673" s="168"/>
      <c r="L673" s="168"/>
    </row>
    <row r="674">
      <c r="G674" s="168"/>
      <c r="L674" s="168"/>
    </row>
    <row r="675">
      <c r="G675" s="168"/>
      <c r="L675" s="168"/>
    </row>
    <row r="676">
      <c r="G676" s="168"/>
      <c r="L676" s="168"/>
    </row>
    <row r="677">
      <c r="G677" s="168"/>
      <c r="L677" s="168"/>
    </row>
    <row r="678">
      <c r="G678" s="168"/>
      <c r="L678" s="168"/>
    </row>
    <row r="679">
      <c r="G679" s="168"/>
      <c r="L679" s="168"/>
    </row>
    <row r="680">
      <c r="G680" s="168"/>
      <c r="L680" s="168"/>
    </row>
    <row r="681">
      <c r="G681" s="168"/>
      <c r="L681" s="168"/>
    </row>
    <row r="682">
      <c r="G682" s="168"/>
      <c r="L682" s="168"/>
    </row>
    <row r="683">
      <c r="G683" s="168"/>
      <c r="L683" s="168"/>
    </row>
    <row r="684">
      <c r="G684" s="168"/>
      <c r="L684" s="168"/>
    </row>
    <row r="685">
      <c r="G685" s="168"/>
      <c r="L685" s="168"/>
    </row>
    <row r="686">
      <c r="G686" s="168"/>
      <c r="L686" s="168"/>
    </row>
    <row r="687">
      <c r="G687" s="168"/>
      <c r="L687" s="168"/>
    </row>
    <row r="688">
      <c r="G688" s="168"/>
      <c r="L688" s="168"/>
    </row>
    <row r="689">
      <c r="G689" s="168"/>
      <c r="L689" s="168"/>
    </row>
    <row r="690">
      <c r="G690" s="168"/>
      <c r="L690" s="168"/>
    </row>
    <row r="691">
      <c r="G691" s="168"/>
      <c r="L691" s="168"/>
    </row>
    <row r="692">
      <c r="G692" s="168"/>
      <c r="L692" s="168"/>
    </row>
    <row r="693">
      <c r="G693" s="168"/>
      <c r="L693" s="168"/>
    </row>
    <row r="694">
      <c r="G694" s="168"/>
      <c r="L694" s="168"/>
    </row>
    <row r="695">
      <c r="G695" s="168"/>
      <c r="L695" s="168"/>
    </row>
    <row r="696">
      <c r="G696" s="168"/>
      <c r="L696" s="168"/>
    </row>
    <row r="697">
      <c r="G697" s="168"/>
      <c r="L697" s="168"/>
    </row>
    <row r="698">
      <c r="G698" s="168"/>
      <c r="L698" s="168"/>
    </row>
    <row r="699">
      <c r="G699" s="168"/>
      <c r="L699" s="168"/>
    </row>
    <row r="700">
      <c r="G700" s="168"/>
      <c r="L700" s="168"/>
    </row>
    <row r="701">
      <c r="G701" s="168"/>
      <c r="L701" s="168"/>
    </row>
    <row r="702">
      <c r="G702" s="168"/>
      <c r="L702" s="168"/>
    </row>
    <row r="703">
      <c r="G703" s="168"/>
      <c r="L703" s="168"/>
    </row>
    <row r="704">
      <c r="G704" s="168"/>
      <c r="L704" s="168"/>
    </row>
    <row r="705">
      <c r="G705" s="168"/>
      <c r="L705" s="168"/>
    </row>
    <row r="706">
      <c r="G706" s="168"/>
      <c r="L706" s="168"/>
    </row>
    <row r="707">
      <c r="G707" s="168"/>
      <c r="L707" s="168"/>
    </row>
    <row r="708">
      <c r="G708" s="168"/>
      <c r="L708" s="168"/>
    </row>
    <row r="709">
      <c r="G709" s="168"/>
      <c r="L709" s="168"/>
    </row>
    <row r="710">
      <c r="G710" s="168"/>
      <c r="L710" s="168"/>
    </row>
    <row r="711">
      <c r="G711" s="168"/>
      <c r="L711" s="168"/>
    </row>
    <row r="712">
      <c r="G712" s="168"/>
      <c r="L712" s="168"/>
    </row>
    <row r="713">
      <c r="G713" s="168"/>
      <c r="L713" s="168"/>
    </row>
    <row r="714">
      <c r="G714" s="168"/>
      <c r="L714" s="168"/>
    </row>
    <row r="715">
      <c r="G715" s="168"/>
      <c r="L715" s="168"/>
    </row>
    <row r="716">
      <c r="G716" s="168"/>
      <c r="L716" s="168"/>
    </row>
    <row r="717">
      <c r="G717" s="168"/>
      <c r="L717" s="168"/>
    </row>
    <row r="718">
      <c r="G718" s="168"/>
      <c r="L718" s="168"/>
    </row>
    <row r="719">
      <c r="G719" s="168"/>
      <c r="L719" s="168"/>
    </row>
    <row r="720">
      <c r="G720" s="168"/>
      <c r="L720" s="168"/>
    </row>
    <row r="721">
      <c r="G721" s="168"/>
      <c r="L721" s="168"/>
    </row>
    <row r="722">
      <c r="G722" s="168"/>
      <c r="L722" s="168"/>
    </row>
    <row r="723">
      <c r="G723" s="168"/>
      <c r="L723" s="168"/>
    </row>
    <row r="724">
      <c r="G724" s="168"/>
      <c r="L724" s="168"/>
    </row>
    <row r="725">
      <c r="G725" s="168"/>
      <c r="L725" s="168"/>
    </row>
    <row r="726">
      <c r="G726" s="168"/>
      <c r="L726" s="168"/>
    </row>
    <row r="727">
      <c r="G727" s="168"/>
      <c r="L727" s="168"/>
    </row>
    <row r="728">
      <c r="G728" s="168"/>
      <c r="L728" s="168"/>
    </row>
    <row r="729">
      <c r="G729" s="168"/>
      <c r="L729" s="168"/>
    </row>
    <row r="730">
      <c r="G730" s="168"/>
      <c r="L730" s="168"/>
    </row>
    <row r="731">
      <c r="G731" s="168"/>
      <c r="L731" s="168"/>
    </row>
    <row r="732">
      <c r="G732" s="168"/>
      <c r="L732" s="168"/>
    </row>
    <row r="733">
      <c r="G733" s="168"/>
      <c r="L733" s="168"/>
    </row>
    <row r="734">
      <c r="G734" s="168"/>
      <c r="L734" s="168"/>
    </row>
    <row r="735">
      <c r="G735" s="168"/>
      <c r="L735" s="168"/>
    </row>
    <row r="736">
      <c r="G736" s="168"/>
      <c r="L736" s="168"/>
    </row>
    <row r="737">
      <c r="G737" s="168"/>
      <c r="L737" s="168"/>
    </row>
    <row r="738">
      <c r="G738" s="168"/>
      <c r="L738" s="168"/>
    </row>
    <row r="739">
      <c r="G739" s="168"/>
      <c r="L739" s="168"/>
    </row>
    <row r="740">
      <c r="G740" s="168"/>
      <c r="L740" s="168"/>
    </row>
    <row r="741">
      <c r="G741" s="168"/>
      <c r="L741" s="168"/>
    </row>
    <row r="742">
      <c r="G742" s="168"/>
      <c r="L742" s="168"/>
    </row>
    <row r="743">
      <c r="G743" s="168"/>
      <c r="L743" s="168"/>
    </row>
    <row r="744">
      <c r="G744" s="168"/>
      <c r="L744" s="168"/>
    </row>
    <row r="745">
      <c r="G745" s="168"/>
      <c r="L745" s="168"/>
    </row>
    <row r="746">
      <c r="G746" s="168"/>
      <c r="L746" s="168"/>
    </row>
    <row r="747">
      <c r="G747" s="168"/>
      <c r="L747" s="168"/>
    </row>
    <row r="748">
      <c r="G748" s="168"/>
      <c r="L748" s="168"/>
    </row>
    <row r="749">
      <c r="G749" s="168"/>
      <c r="L749" s="168"/>
    </row>
    <row r="750">
      <c r="G750" s="168"/>
      <c r="L750" s="168"/>
    </row>
    <row r="751">
      <c r="G751" s="168"/>
      <c r="L751" s="168"/>
    </row>
    <row r="752">
      <c r="G752" s="168"/>
      <c r="L752" s="168"/>
    </row>
    <row r="753">
      <c r="G753" s="168"/>
      <c r="L753" s="168"/>
    </row>
    <row r="754">
      <c r="G754" s="168"/>
      <c r="L754" s="168"/>
    </row>
    <row r="755">
      <c r="G755" s="168"/>
      <c r="L755" s="168"/>
    </row>
    <row r="756">
      <c r="G756" s="168"/>
      <c r="L756" s="168"/>
    </row>
    <row r="757">
      <c r="G757" s="168"/>
      <c r="L757" s="168"/>
    </row>
    <row r="758">
      <c r="G758" s="168"/>
      <c r="L758" s="168"/>
    </row>
    <row r="759">
      <c r="G759" s="168"/>
      <c r="L759" s="168"/>
    </row>
    <row r="760">
      <c r="G760" s="168"/>
      <c r="L760" s="168"/>
    </row>
    <row r="761">
      <c r="G761" s="168"/>
      <c r="L761" s="168"/>
    </row>
    <row r="762">
      <c r="G762" s="168"/>
      <c r="L762" s="168"/>
    </row>
    <row r="763">
      <c r="G763" s="168"/>
      <c r="L763" s="168"/>
    </row>
    <row r="764">
      <c r="G764" s="168"/>
      <c r="L764" s="168"/>
    </row>
    <row r="765">
      <c r="G765" s="168"/>
      <c r="L765" s="168"/>
    </row>
    <row r="766">
      <c r="G766" s="168"/>
      <c r="L766" s="168"/>
    </row>
    <row r="767">
      <c r="G767" s="168"/>
      <c r="L767" s="168"/>
    </row>
    <row r="768">
      <c r="G768" s="168"/>
      <c r="L768" s="168"/>
    </row>
    <row r="769">
      <c r="G769" s="168"/>
      <c r="L769" s="168"/>
    </row>
    <row r="770">
      <c r="G770" s="168"/>
      <c r="L770" s="168"/>
    </row>
    <row r="771">
      <c r="G771" s="168"/>
      <c r="L771" s="168"/>
    </row>
    <row r="772">
      <c r="G772" s="168"/>
      <c r="L772" s="168"/>
    </row>
    <row r="773">
      <c r="G773" s="168"/>
      <c r="L773" s="168"/>
    </row>
    <row r="774">
      <c r="G774" s="168"/>
      <c r="L774" s="168"/>
    </row>
    <row r="775">
      <c r="G775" s="168"/>
      <c r="L775" s="168"/>
    </row>
    <row r="776">
      <c r="G776" s="168"/>
      <c r="L776" s="168"/>
    </row>
    <row r="777">
      <c r="G777" s="168"/>
      <c r="L777" s="168"/>
    </row>
    <row r="778">
      <c r="G778" s="168"/>
      <c r="L778" s="168"/>
    </row>
    <row r="779">
      <c r="G779" s="168"/>
      <c r="L779" s="168"/>
    </row>
    <row r="780">
      <c r="G780" s="168"/>
      <c r="L780" s="168"/>
    </row>
    <row r="781">
      <c r="G781" s="168"/>
      <c r="L781" s="168"/>
    </row>
    <row r="782">
      <c r="G782" s="168"/>
      <c r="L782" s="168"/>
    </row>
    <row r="783">
      <c r="G783" s="168"/>
      <c r="L783" s="168"/>
    </row>
    <row r="784">
      <c r="G784" s="168"/>
      <c r="L784" s="168"/>
    </row>
    <row r="785">
      <c r="G785" s="168"/>
      <c r="L785" s="168"/>
    </row>
    <row r="786">
      <c r="G786" s="168"/>
      <c r="L786" s="168"/>
    </row>
    <row r="787">
      <c r="G787" s="168"/>
      <c r="L787" s="168"/>
    </row>
    <row r="788">
      <c r="G788" s="168"/>
      <c r="L788" s="168"/>
    </row>
    <row r="789">
      <c r="G789" s="168"/>
      <c r="L789" s="168"/>
    </row>
    <row r="790">
      <c r="G790" s="168"/>
      <c r="L790" s="168"/>
    </row>
    <row r="791">
      <c r="G791" s="168"/>
      <c r="L791" s="168"/>
    </row>
    <row r="792">
      <c r="G792" s="168"/>
      <c r="L792" s="168"/>
    </row>
    <row r="793">
      <c r="G793" s="168"/>
      <c r="L793" s="168"/>
    </row>
    <row r="794">
      <c r="G794" s="168"/>
      <c r="L794" s="168"/>
    </row>
    <row r="795">
      <c r="G795" s="168"/>
      <c r="L795" s="168"/>
    </row>
    <row r="796">
      <c r="G796" s="168"/>
      <c r="L796" s="168"/>
    </row>
    <row r="797">
      <c r="G797" s="168"/>
      <c r="L797" s="168"/>
    </row>
    <row r="798">
      <c r="G798" s="168"/>
      <c r="L798" s="168"/>
    </row>
    <row r="799">
      <c r="G799" s="168"/>
      <c r="L799" s="168"/>
    </row>
    <row r="800">
      <c r="G800" s="168"/>
      <c r="L800" s="168"/>
    </row>
    <row r="801">
      <c r="G801" s="168"/>
      <c r="L801" s="168"/>
    </row>
    <row r="802">
      <c r="G802" s="168"/>
      <c r="L802" s="168"/>
    </row>
    <row r="803">
      <c r="G803" s="168"/>
      <c r="L803" s="168"/>
    </row>
    <row r="804">
      <c r="G804" s="168"/>
      <c r="L804" s="168"/>
    </row>
    <row r="805">
      <c r="G805" s="168"/>
      <c r="L805" s="168"/>
    </row>
    <row r="806">
      <c r="G806" s="168"/>
      <c r="L806" s="168"/>
    </row>
    <row r="807">
      <c r="G807" s="168"/>
      <c r="L807" s="168"/>
    </row>
    <row r="808">
      <c r="G808" s="168"/>
      <c r="L808" s="168"/>
    </row>
    <row r="809">
      <c r="G809" s="168"/>
      <c r="L809" s="168"/>
    </row>
    <row r="810">
      <c r="G810" s="168"/>
      <c r="L810" s="168"/>
    </row>
    <row r="811">
      <c r="G811" s="168"/>
      <c r="L811" s="168"/>
    </row>
    <row r="812">
      <c r="G812" s="168"/>
      <c r="L812" s="168"/>
    </row>
    <row r="813">
      <c r="G813" s="168"/>
      <c r="L813" s="168"/>
    </row>
    <row r="814">
      <c r="G814" s="168"/>
      <c r="L814" s="168"/>
    </row>
    <row r="815">
      <c r="G815" s="168"/>
      <c r="L815" s="168"/>
    </row>
    <row r="816">
      <c r="G816" s="168"/>
      <c r="L816" s="168"/>
    </row>
    <row r="817">
      <c r="G817" s="168"/>
      <c r="L817" s="168"/>
    </row>
    <row r="818">
      <c r="G818" s="168"/>
      <c r="L818" s="168"/>
    </row>
    <row r="819">
      <c r="G819" s="168"/>
      <c r="L819" s="168"/>
    </row>
    <row r="820">
      <c r="G820" s="168"/>
      <c r="L820" s="168"/>
    </row>
    <row r="821">
      <c r="G821" s="168"/>
      <c r="L821" s="168"/>
    </row>
    <row r="822">
      <c r="G822" s="168"/>
      <c r="L822" s="168"/>
    </row>
    <row r="823">
      <c r="G823" s="168"/>
      <c r="L823" s="168"/>
    </row>
    <row r="824">
      <c r="G824" s="168"/>
      <c r="L824" s="168"/>
    </row>
    <row r="825">
      <c r="G825" s="168"/>
      <c r="L825" s="168"/>
    </row>
    <row r="826">
      <c r="G826" s="168"/>
      <c r="L826" s="168"/>
    </row>
    <row r="827">
      <c r="G827" s="168"/>
      <c r="L827" s="168"/>
    </row>
    <row r="828">
      <c r="G828" s="168"/>
      <c r="L828" s="168"/>
    </row>
    <row r="829">
      <c r="G829" s="168"/>
      <c r="L829" s="168"/>
    </row>
    <row r="830">
      <c r="G830" s="168"/>
      <c r="L830" s="168"/>
    </row>
    <row r="831">
      <c r="G831" s="168"/>
      <c r="L831" s="168"/>
    </row>
    <row r="832">
      <c r="G832" s="168"/>
      <c r="L832" s="168"/>
    </row>
    <row r="833">
      <c r="G833" s="168"/>
      <c r="L833" s="168"/>
    </row>
    <row r="834">
      <c r="G834" s="168"/>
      <c r="L834" s="168"/>
    </row>
    <row r="835">
      <c r="G835" s="168"/>
      <c r="L835" s="168"/>
    </row>
    <row r="836">
      <c r="G836" s="168"/>
      <c r="L836" s="168"/>
    </row>
    <row r="837">
      <c r="G837" s="168"/>
      <c r="L837" s="168"/>
    </row>
    <row r="838">
      <c r="G838" s="168"/>
      <c r="L838" s="168"/>
    </row>
    <row r="839">
      <c r="G839" s="168"/>
      <c r="L839" s="168"/>
    </row>
    <row r="840">
      <c r="G840" s="168"/>
      <c r="L840" s="168"/>
    </row>
    <row r="841">
      <c r="G841" s="168"/>
      <c r="L841" s="168"/>
    </row>
    <row r="842">
      <c r="G842" s="168"/>
      <c r="L842" s="168"/>
    </row>
    <row r="843">
      <c r="G843" s="168"/>
      <c r="L843" s="168"/>
    </row>
    <row r="844">
      <c r="G844" s="168"/>
      <c r="L844" s="168"/>
    </row>
    <row r="845">
      <c r="G845" s="168"/>
      <c r="L845" s="168"/>
    </row>
    <row r="846">
      <c r="G846" s="168"/>
      <c r="L846" s="168"/>
    </row>
    <row r="847">
      <c r="G847" s="168"/>
      <c r="L847" s="168"/>
    </row>
    <row r="848">
      <c r="G848" s="168"/>
      <c r="L848" s="168"/>
    </row>
    <row r="849">
      <c r="G849" s="168"/>
      <c r="L849" s="168"/>
    </row>
    <row r="850">
      <c r="G850" s="168"/>
      <c r="L850" s="168"/>
    </row>
    <row r="851">
      <c r="G851" s="168"/>
      <c r="L851" s="168"/>
    </row>
    <row r="852">
      <c r="G852" s="168"/>
      <c r="L852" s="168"/>
    </row>
    <row r="853">
      <c r="G853" s="168"/>
      <c r="L853" s="168"/>
    </row>
    <row r="854">
      <c r="G854" s="168"/>
      <c r="L854" s="168"/>
    </row>
    <row r="855">
      <c r="G855" s="168"/>
      <c r="L855" s="168"/>
    </row>
    <row r="856">
      <c r="G856" s="168"/>
      <c r="L856" s="168"/>
    </row>
    <row r="857">
      <c r="G857" s="168"/>
      <c r="L857" s="168"/>
    </row>
    <row r="858">
      <c r="G858" s="168"/>
      <c r="L858" s="168"/>
    </row>
    <row r="859">
      <c r="G859" s="168"/>
      <c r="L859" s="168"/>
    </row>
    <row r="860">
      <c r="G860" s="168"/>
      <c r="L860" s="168"/>
    </row>
    <row r="861">
      <c r="G861" s="168"/>
      <c r="L861" s="168"/>
    </row>
    <row r="862">
      <c r="G862" s="168"/>
      <c r="L862" s="168"/>
    </row>
    <row r="863">
      <c r="G863" s="168"/>
      <c r="L863" s="168"/>
    </row>
    <row r="864">
      <c r="G864" s="168"/>
      <c r="L864" s="168"/>
    </row>
    <row r="865">
      <c r="G865" s="168"/>
      <c r="L865" s="168"/>
    </row>
    <row r="866">
      <c r="G866" s="168"/>
      <c r="L866" s="168"/>
    </row>
    <row r="867">
      <c r="G867" s="168"/>
      <c r="L867" s="168"/>
    </row>
    <row r="868">
      <c r="G868" s="168"/>
      <c r="L868" s="168"/>
    </row>
    <row r="869">
      <c r="G869" s="168"/>
      <c r="L869" s="168"/>
    </row>
    <row r="870">
      <c r="G870" s="168"/>
      <c r="L870" s="168"/>
    </row>
    <row r="871">
      <c r="G871" s="168"/>
      <c r="L871" s="168"/>
    </row>
    <row r="872">
      <c r="G872" s="168"/>
      <c r="L872" s="168"/>
    </row>
    <row r="873">
      <c r="G873" s="168"/>
      <c r="L873" s="168"/>
    </row>
    <row r="874">
      <c r="G874" s="168"/>
      <c r="L874" s="168"/>
    </row>
    <row r="875">
      <c r="G875" s="168"/>
      <c r="L875" s="168"/>
    </row>
    <row r="876">
      <c r="G876" s="168"/>
      <c r="L876" s="168"/>
    </row>
    <row r="877">
      <c r="G877" s="168"/>
      <c r="L877" s="168"/>
    </row>
    <row r="878">
      <c r="G878" s="168"/>
      <c r="L878" s="168"/>
    </row>
    <row r="879">
      <c r="G879" s="168"/>
      <c r="L879" s="168"/>
    </row>
    <row r="880">
      <c r="G880" s="168"/>
      <c r="L880" s="168"/>
    </row>
    <row r="881">
      <c r="G881" s="168"/>
      <c r="L881" s="168"/>
    </row>
    <row r="882">
      <c r="G882" s="168"/>
      <c r="L882" s="168"/>
    </row>
    <row r="883">
      <c r="G883" s="168"/>
      <c r="L883" s="168"/>
    </row>
    <row r="884">
      <c r="G884" s="168"/>
      <c r="L884" s="168"/>
    </row>
    <row r="885">
      <c r="G885" s="168"/>
      <c r="L885" s="168"/>
    </row>
    <row r="886">
      <c r="G886" s="168"/>
      <c r="L886" s="168"/>
    </row>
    <row r="887">
      <c r="G887" s="168"/>
      <c r="L887" s="168"/>
    </row>
    <row r="888">
      <c r="G888" s="168"/>
      <c r="L888" s="168"/>
    </row>
    <row r="889">
      <c r="G889" s="168"/>
      <c r="L889" s="168"/>
    </row>
    <row r="890">
      <c r="G890" s="168"/>
      <c r="L890" s="168"/>
    </row>
    <row r="891">
      <c r="G891" s="168"/>
      <c r="L891" s="168"/>
    </row>
    <row r="892">
      <c r="G892" s="168"/>
      <c r="L892" s="168"/>
    </row>
    <row r="893">
      <c r="G893" s="168"/>
      <c r="L893" s="168"/>
    </row>
    <row r="894">
      <c r="G894" s="168"/>
      <c r="L894" s="168"/>
    </row>
    <row r="895">
      <c r="G895" s="168"/>
      <c r="L895" s="168"/>
    </row>
    <row r="896">
      <c r="G896" s="168"/>
      <c r="L896" s="168"/>
    </row>
    <row r="897">
      <c r="G897" s="168"/>
      <c r="L897" s="168"/>
    </row>
    <row r="898">
      <c r="G898" s="168"/>
      <c r="L898" s="168"/>
    </row>
    <row r="899">
      <c r="G899" s="168"/>
      <c r="L899" s="168"/>
    </row>
    <row r="900">
      <c r="G900" s="168"/>
      <c r="L900" s="168"/>
    </row>
    <row r="901">
      <c r="G901" s="168"/>
      <c r="L901" s="168"/>
    </row>
    <row r="902">
      <c r="G902" s="168"/>
      <c r="L902" s="168"/>
    </row>
    <row r="903">
      <c r="G903" s="168"/>
      <c r="L903" s="168"/>
    </row>
    <row r="904">
      <c r="G904" s="168"/>
      <c r="L904" s="168"/>
    </row>
    <row r="905">
      <c r="G905" s="168"/>
      <c r="L905" s="168"/>
    </row>
    <row r="906">
      <c r="G906" s="168"/>
      <c r="L906" s="168"/>
    </row>
    <row r="907">
      <c r="G907" s="168"/>
      <c r="L907" s="168"/>
    </row>
    <row r="908">
      <c r="G908" s="168"/>
      <c r="L908" s="168"/>
    </row>
    <row r="909">
      <c r="G909" s="168"/>
      <c r="L909" s="168"/>
    </row>
    <row r="910">
      <c r="G910" s="168"/>
      <c r="L910" s="168"/>
    </row>
    <row r="911">
      <c r="G911" s="168"/>
      <c r="L911" s="168"/>
    </row>
    <row r="912">
      <c r="G912" s="168"/>
      <c r="L912" s="168"/>
    </row>
    <row r="913">
      <c r="G913" s="168"/>
      <c r="L913" s="168"/>
    </row>
    <row r="914">
      <c r="G914" s="168"/>
      <c r="L914" s="168"/>
    </row>
    <row r="915">
      <c r="G915" s="168"/>
      <c r="L915" s="168"/>
    </row>
    <row r="916">
      <c r="G916" s="168"/>
      <c r="L916" s="168"/>
    </row>
    <row r="917">
      <c r="G917" s="168"/>
      <c r="L917" s="168"/>
    </row>
    <row r="918">
      <c r="G918" s="168"/>
      <c r="L918" s="168"/>
    </row>
    <row r="919">
      <c r="G919" s="168"/>
      <c r="L919" s="168"/>
    </row>
    <row r="920">
      <c r="G920" s="168"/>
      <c r="L920" s="168"/>
    </row>
    <row r="921">
      <c r="G921" s="168"/>
      <c r="L921" s="168"/>
    </row>
    <row r="922">
      <c r="G922" s="168"/>
      <c r="L922" s="168"/>
    </row>
    <row r="923">
      <c r="G923" s="168"/>
      <c r="L923" s="168"/>
    </row>
    <row r="924">
      <c r="G924" s="168"/>
      <c r="L924" s="168"/>
    </row>
    <row r="925">
      <c r="G925" s="168"/>
      <c r="L925" s="168"/>
    </row>
    <row r="926">
      <c r="G926" s="168"/>
      <c r="L926" s="168"/>
    </row>
    <row r="927">
      <c r="G927" s="168"/>
      <c r="L927" s="168"/>
    </row>
    <row r="928">
      <c r="G928" s="168"/>
      <c r="L928" s="168"/>
    </row>
    <row r="929">
      <c r="G929" s="168"/>
      <c r="L929" s="168"/>
    </row>
    <row r="930">
      <c r="G930" s="168"/>
      <c r="L930" s="168"/>
    </row>
    <row r="931">
      <c r="G931" s="168"/>
      <c r="L931" s="168"/>
    </row>
    <row r="932">
      <c r="G932" s="168"/>
      <c r="L932" s="168"/>
    </row>
    <row r="933">
      <c r="G933" s="168"/>
      <c r="L933" s="168"/>
    </row>
    <row r="934">
      <c r="G934" s="168"/>
      <c r="L934" s="168"/>
    </row>
    <row r="935">
      <c r="G935" s="168"/>
      <c r="L935" s="168"/>
    </row>
    <row r="936">
      <c r="G936" s="168"/>
      <c r="L936" s="168"/>
    </row>
    <row r="937">
      <c r="G937" s="168"/>
      <c r="L937" s="168"/>
    </row>
    <row r="938">
      <c r="G938" s="168"/>
      <c r="L938" s="168"/>
    </row>
    <row r="939">
      <c r="G939" s="168"/>
      <c r="L939" s="168"/>
    </row>
    <row r="940">
      <c r="G940" s="168"/>
      <c r="L940" s="168"/>
    </row>
    <row r="941">
      <c r="G941" s="168"/>
      <c r="L941" s="168"/>
    </row>
    <row r="942">
      <c r="G942" s="168"/>
      <c r="L942" s="168"/>
    </row>
    <row r="943">
      <c r="G943" s="168"/>
      <c r="L943" s="168"/>
    </row>
    <row r="944">
      <c r="G944" s="168"/>
      <c r="L944" s="168"/>
    </row>
    <row r="945">
      <c r="G945" s="168"/>
      <c r="L945" s="168"/>
    </row>
    <row r="946">
      <c r="G946" s="168"/>
      <c r="L946" s="168"/>
    </row>
    <row r="947">
      <c r="G947" s="168"/>
      <c r="L947" s="168"/>
    </row>
    <row r="948">
      <c r="G948" s="168"/>
      <c r="L948" s="168"/>
    </row>
    <row r="949">
      <c r="G949" s="168"/>
      <c r="L949" s="168"/>
    </row>
    <row r="950">
      <c r="G950" s="168"/>
      <c r="L950" s="168"/>
    </row>
    <row r="951">
      <c r="G951" s="168"/>
      <c r="L951" s="168"/>
    </row>
    <row r="952">
      <c r="G952" s="168"/>
      <c r="L952" s="168"/>
    </row>
    <row r="953">
      <c r="G953" s="168"/>
      <c r="L953" s="168"/>
    </row>
    <row r="954">
      <c r="G954" s="168"/>
      <c r="L954" s="168"/>
    </row>
    <row r="955">
      <c r="G955" s="168"/>
      <c r="L955" s="168"/>
    </row>
    <row r="956">
      <c r="G956" s="168"/>
      <c r="L956" s="168"/>
    </row>
    <row r="957">
      <c r="G957" s="168"/>
      <c r="L957" s="168"/>
    </row>
    <row r="958">
      <c r="G958" s="168"/>
      <c r="L958" s="168"/>
    </row>
    <row r="959">
      <c r="G959" s="168"/>
      <c r="L959" s="168"/>
    </row>
    <row r="960">
      <c r="G960" s="168"/>
      <c r="L960" s="168"/>
    </row>
    <row r="961">
      <c r="G961" s="168"/>
      <c r="L961" s="168"/>
    </row>
    <row r="962">
      <c r="G962" s="168"/>
      <c r="L962" s="168"/>
    </row>
    <row r="963">
      <c r="G963" s="168"/>
      <c r="L963" s="168"/>
    </row>
    <row r="964">
      <c r="G964" s="168"/>
      <c r="L964" s="168"/>
    </row>
    <row r="965">
      <c r="G965" s="168"/>
      <c r="L965" s="168"/>
    </row>
    <row r="966">
      <c r="G966" s="168"/>
      <c r="L966" s="168"/>
    </row>
    <row r="967">
      <c r="G967" s="168"/>
      <c r="L967" s="168"/>
    </row>
    <row r="968">
      <c r="G968" s="168"/>
      <c r="L968" s="168"/>
    </row>
    <row r="969">
      <c r="G969" s="168"/>
      <c r="L969" s="168"/>
    </row>
    <row r="970">
      <c r="G970" s="168"/>
      <c r="L970" s="168"/>
    </row>
    <row r="971">
      <c r="G971" s="168"/>
      <c r="L971" s="168"/>
    </row>
    <row r="972">
      <c r="G972" s="168"/>
      <c r="L972" s="168"/>
    </row>
    <row r="973">
      <c r="G973" s="168"/>
      <c r="L973" s="168"/>
    </row>
    <row r="974">
      <c r="G974" s="168"/>
      <c r="L974" s="168"/>
    </row>
    <row r="975">
      <c r="G975" s="168"/>
      <c r="L975" s="168"/>
    </row>
    <row r="976">
      <c r="G976" s="168"/>
      <c r="L976" s="168"/>
    </row>
    <row r="977">
      <c r="G977" s="168"/>
      <c r="L977" s="168"/>
    </row>
    <row r="978">
      <c r="G978" s="168"/>
      <c r="L978" s="168"/>
    </row>
    <row r="979">
      <c r="G979" s="168"/>
      <c r="L979" s="168"/>
    </row>
    <row r="980">
      <c r="G980" s="168"/>
      <c r="L980" s="168"/>
    </row>
    <row r="981">
      <c r="G981" s="168"/>
      <c r="L981" s="168"/>
    </row>
    <row r="982">
      <c r="G982" s="168"/>
      <c r="L982" s="168"/>
    </row>
    <row r="983">
      <c r="G983" s="168"/>
      <c r="L983" s="168"/>
    </row>
    <row r="984">
      <c r="G984" s="168"/>
      <c r="L984" s="168"/>
    </row>
    <row r="985">
      <c r="G985" s="168"/>
      <c r="L985" s="168"/>
    </row>
    <row r="986">
      <c r="G986" s="168"/>
      <c r="L986" s="168"/>
    </row>
    <row r="987">
      <c r="G987" s="168"/>
      <c r="L987" s="168"/>
    </row>
    <row r="988">
      <c r="G988" s="168"/>
      <c r="L988" s="168"/>
    </row>
    <row r="989">
      <c r="G989" s="168"/>
      <c r="L989" s="168"/>
    </row>
    <row r="990">
      <c r="G990" s="168"/>
      <c r="L990" s="168"/>
    </row>
    <row r="991">
      <c r="G991" s="168"/>
      <c r="L991" s="168"/>
    </row>
    <row r="992">
      <c r="G992" s="168"/>
      <c r="L992" s="168"/>
    </row>
    <row r="993">
      <c r="G993" s="168"/>
      <c r="L993" s="168"/>
    </row>
    <row r="994">
      <c r="G994" s="168"/>
      <c r="L994" s="168"/>
    </row>
    <row r="995">
      <c r="G995" s="168"/>
      <c r="L995" s="168"/>
    </row>
    <row r="996">
      <c r="G996" s="168"/>
      <c r="L996" s="168"/>
    </row>
    <row r="997">
      <c r="G997" s="168"/>
      <c r="L997" s="168"/>
    </row>
    <row r="998">
      <c r="G998" s="168"/>
      <c r="L998" s="168"/>
    </row>
    <row r="999">
      <c r="G999" s="168"/>
      <c r="L999" s="168"/>
    </row>
    <row r="1000">
      <c r="G1000" s="168"/>
      <c r="L1000" s="168"/>
    </row>
    <row r="1001">
      <c r="G1001" s="168"/>
      <c r="L1001" s="168"/>
    </row>
    <row r="1002">
      <c r="G1002" s="168"/>
      <c r="L1002" s="168"/>
    </row>
    <row r="1003">
      <c r="G1003" s="168"/>
      <c r="L1003" s="168"/>
    </row>
    <row r="1004">
      <c r="G1004" s="168"/>
      <c r="L1004" s="168"/>
    </row>
    <row r="1005">
      <c r="G1005" s="168"/>
      <c r="L1005" s="168"/>
    </row>
    <row r="1006">
      <c r="G1006" s="168"/>
      <c r="L1006" s="168"/>
    </row>
    <row r="1007">
      <c r="G1007" s="168"/>
      <c r="L1007" s="168"/>
    </row>
    <row r="1008">
      <c r="G1008" s="168"/>
      <c r="L1008" s="168"/>
    </row>
    <row r="1009">
      <c r="G1009" s="168"/>
      <c r="L1009" s="168"/>
    </row>
    <row r="1010">
      <c r="G1010" s="168"/>
      <c r="L1010" s="168"/>
    </row>
    <row r="1011">
      <c r="G1011" s="168"/>
      <c r="L1011" s="168"/>
    </row>
    <row r="1012">
      <c r="G1012" s="168"/>
      <c r="L1012" s="168"/>
    </row>
    <row r="1013">
      <c r="G1013" s="168"/>
      <c r="L1013" s="168"/>
    </row>
    <row r="1014">
      <c r="G1014" s="168"/>
      <c r="L1014" s="168"/>
    </row>
    <row r="1015">
      <c r="G1015" s="168"/>
      <c r="L1015" s="168"/>
    </row>
    <row r="1016">
      <c r="G1016" s="168"/>
      <c r="L1016" s="168"/>
    </row>
    <row r="1017">
      <c r="G1017" s="168"/>
      <c r="L1017" s="168"/>
    </row>
    <row r="1018">
      <c r="G1018" s="168"/>
      <c r="L1018" s="168"/>
    </row>
    <row r="1019">
      <c r="G1019" s="168"/>
      <c r="L1019" s="168"/>
    </row>
    <row r="1020">
      <c r="G1020" s="168"/>
      <c r="L1020" s="168"/>
    </row>
    <row r="1021">
      <c r="G1021" s="168"/>
      <c r="L1021" s="168"/>
    </row>
    <row r="1022">
      <c r="G1022" s="168"/>
      <c r="L1022" s="168"/>
    </row>
    <row r="1023">
      <c r="G1023" s="168"/>
      <c r="L1023" s="168"/>
    </row>
    <row r="1024">
      <c r="G1024" s="168"/>
      <c r="L1024" s="168"/>
    </row>
    <row r="1025">
      <c r="G1025" s="168"/>
      <c r="L1025" s="168"/>
    </row>
    <row r="1026">
      <c r="G1026" s="168"/>
      <c r="L1026" s="168"/>
    </row>
    <row r="1027">
      <c r="G1027" s="168"/>
      <c r="L1027" s="168"/>
    </row>
    <row r="1028">
      <c r="G1028" s="168"/>
      <c r="L1028" s="168"/>
    </row>
    <row r="1029">
      <c r="G1029" s="168"/>
      <c r="L1029" s="168"/>
    </row>
    <row r="1030">
      <c r="G1030" s="168"/>
      <c r="L1030" s="168"/>
    </row>
    <row r="1031">
      <c r="G1031" s="168"/>
      <c r="L1031" s="168"/>
    </row>
  </sheetData>
  <mergeCells count="3">
    <mergeCell ref="A1:N1"/>
    <mergeCell ref="A116:M116"/>
    <mergeCell ref="A178:L178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101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</row>
    <row r="3">
      <c r="A3" s="70">
        <v>45749.0</v>
      </c>
      <c r="B3" s="302" t="s">
        <v>11</v>
      </c>
      <c r="C3" s="89">
        <v>178415.0</v>
      </c>
      <c r="D3" s="89">
        <v>178837.0</v>
      </c>
      <c r="E3" s="38">
        <f t="shared" ref="E3:E9" si="1">D3-C3</f>
        <v>422</v>
      </c>
      <c r="F3" s="39">
        <v>50.0</v>
      </c>
      <c r="G3" s="14">
        <f t="shared" ref="G3:G9" si="2">(F3/E3)*100</f>
        <v>11.84834123</v>
      </c>
      <c r="H3" s="137">
        <v>11702.0</v>
      </c>
      <c r="I3" s="138">
        <v>11947.0</v>
      </c>
      <c r="J3" s="41">
        <f t="shared" ref="J3:J9" si="3">I3-H3</f>
        <v>245</v>
      </c>
      <c r="K3" s="41">
        <f t="shared" ref="K3:K9" si="4">F3</f>
        <v>50</v>
      </c>
      <c r="L3" s="303">
        <f t="shared" ref="L3:L9" si="5">(K3/J3)*100</f>
        <v>20.40816327</v>
      </c>
      <c r="M3" s="72">
        <v>18210.0</v>
      </c>
      <c r="N3" s="336">
        <f t="shared" ref="N3:N9" si="6">F3*M3</f>
        <v>910500</v>
      </c>
    </row>
    <row r="4">
      <c r="A4" s="154">
        <v>45757.0</v>
      </c>
      <c r="B4" s="156" t="s">
        <v>11</v>
      </c>
      <c r="C4" s="89">
        <v>178837.0</v>
      </c>
      <c r="D4" s="89">
        <v>179142.0</v>
      </c>
      <c r="E4" s="12">
        <f t="shared" si="1"/>
        <v>305</v>
      </c>
      <c r="F4" s="157">
        <v>50.0</v>
      </c>
      <c r="G4" s="14">
        <f t="shared" si="2"/>
        <v>16.39344262</v>
      </c>
      <c r="H4" s="89">
        <v>11947.0</v>
      </c>
      <c r="I4" s="137">
        <v>12382.0</v>
      </c>
      <c r="J4" s="89">
        <f t="shared" si="3"/>
        <v>435</v>
      </c>
      <c r="K4" s="89">
        <f t="shared" si="4"/>
        <v>50</v>
      </c>
      <c r="L4" s="152">
        <f t="shared" si="5"/>
        <v>11.49425287</v>
      </c>
      <c r="M4" s="126">
        <v>18470.0</v>
      </c>
      <c r="N4" s="338">
        <f t="shared" si="6"/>
        <v>923500</v>
      </c>
    </row>
    <row r="5">
      <c r="A5" s="154">
        <v>45762.0</v>
      </c>
      <c r="B5" s="156" t="s">
        <v>11</v>
      </c>
      <c r="C5" s="89">
        <v>179142.0</v>
      </c>
      <c r="D5" s="89">
        <v>179519.0</v>
      </c>
      <c r="E5" s="12">
        <f t="shared" si="1"/>
        <v>377</v>
      </c>
      <c r="F5" s="157">
        <v>50.0</v>
      </c>
      <c r="G5" s="14">
        <f t="shared" si="2"/>
        <v>13.26259947</v>
      </c>
      <c r="H5" s="137">
        <v>12382.0</v>
      </c>
      <c r="I5" s="137">
        <v>12848.0</v>
      </c>
      <c r="J5" s="89">
        <f t="shared" si="3"/>
        <v>466</v>
      </c>
      <c r="K5" s="89">
        <f t="shared" si="4"/>
        <v>50</v>
      </c>
      <c r="L5" s="152">
        <f t="shared" si="5"/>
        <v>10.72961373</v>
      </c>
      <c r="M5" s="126">
        <v>17240.0</v>
      </c>
      <c r="N5" s="338">
        <f t="shared" si="6"/>
        <v>862000</v>
      </c>
    </row>
    <row r="6">
      <c r="A6" s="279">
        <v>45765.0</v>
      </c>
      <c r="B6" s="156" t="s">
        <v>11</v>
      </c>
      <c r="C6" s="89">
        <v>179519.0</v>
      </c>
      <c r="D6" s="89">
        <v>179840.0</v>
      </c>
      <c r="E6" s="12">
        <f t="shared" si="1"/>
        <v>321</v>
      </c>
      <c r="F6" s="157">
        <v>40.0</v>
      </c>
      <c r="G6" s="14">
        <f t="shared" si="2"/>
        <v>12.46105919</v>
      </c>
      <c r="H6" s="89">
        <v>12848.0</v>
      </c>
      <c r="I6" s="137">
        <v>13315.0</v>
      </c>
      <c r="J6" s="89">
        <f t="shared" si="3"/>
        <v>467</v>
      </c>
      <c r="K6" s="89">
        <f t="shared" si="4"/>
        <v>40</v>
      </c>
      <c r="L6" s="152">
        <f t="shared" si="5"/>
        <v>8.565310493</v>
      </c>
      <c r="M6" s="126">
        <v>17030.0</v>
      </c>
      <c r="N6" s="338">
        <f t="shared" si="6"/>
        <v>681200</v>
      </c>
    </row>
    <row r="7">
      <c r="A7" s="154">
        <v>45769.0</v>
      </c>
      <c r="B7" s="156" t="s">
        <v>11</v>
      </c>
      <c r="C7" s="89">
        <v>179840.0</v>
      </c>
      <c r="D7" s="89">
        <v>180139.0</v>
      </c>
      <c r="E7" s="12">
        <f t="shared" si="1"/>
        <v>299</v>
      </c>
      <c r="F7" s="157">
        <v>40.0</v>
      </c>
      <c r="G7" s="14">
        <f t="shared" si="2"/>
        <v>13.37792642</v>
      </c>
      <c r="H7" s="89">
        <v>13315.0</v>
      </c>
      <c r="I7" s="137"/>
      <c r="J7" s="89">
        <f t="shared" si="3"/>
        <v>-13315</v>
      </c>
      <c r="K7" s="89">
        <f t="shared" si="4"/>
        <v>40</v>
      </c>
      <c r="L7" s="152">
        <f t="shared" si="5"/>
        <v>-0.300413068</v>
      </c>
      <c r="M7" s="126">
        <v>17030.0</v>
      </c>
      <c r="N7" s="339">
        <f t="shared" si="6"/>
        <v>681200</v>
      </c>
    </row>
    <row r="8">
      <c r="A8" s="154">
        <v>45775.0</v>
      </c>
      <c r="B8" s="99" t="s">
        <v>11</v>
      </c>
      <c r="C8" s="89">
        <v>180139.0</v>
      </c>
      <c r="D8" s="89">
        <v>180489.0</v>
      </c>
      <c r="E8" s="12">
        <f t="shared" si="1"/>
        <v>350</v>
      </c>
      <c r="F8" s="157">
        <v>40.0</v>
      </c>
      <c r="G8" s="14">
        <f t="shared" si="2"/>
        <v>11.42857143</v>
      </c>
      <c r="H8" s="89"/>
      <c r="I8" s="137"/>
      <c r="J8" s="89">
        <f t="shared" si="3"/>
        <v>0</v>
      </c>
      <c r="K8" s="89">
        <f t="shared" si="4"/>
        <v>40</v>
      </c>
      <c r="L8" s="152" t="str">
        <f t="shared" si="5"/>
        <v>#DIV/0!</v>
      </c>
      <c r="M8" s="126">
        <v>17520.0</v>
      </c>
      <c r="N8" s="339">
        <f t="shared" si="6"/>
        <v>700800</v>
      </c>
    </row>
    <row r="9">
      <c r="A9" s="305"/>
      <c r="B9" s="323"/>
      <c r="C9" s="149"/>
      <c r="D9" s="150"/>
      <c r="E9" s="25">
        <f t="shared" si="1"/>
        <v>0</v>
      </c>
      <c r="F9" s="307"/>
      <c r="G9" s="56" t="str">
        <f t="shared" si="2"/>
        <v>#DIV/0!</v>
      </c>
      <c r="H9" s="149"/>
      <c r="I9" s="151"/>
      <c r="J9" s="149">
        <f t="shared" si="3"/>
        <v>0</v>
      </c>
      <c r="K9" s="149" t="str">
        <f t="shared" si="4"/>
        <v/>
      </c>
      <c r="L9" s="71" t="str">
        <f t="shared" si="5"/>
        <v>#DIV/0!</v>
      </c>
      <c r="M9" s="308"/>
      <c r="N9" s="340">
        <f t="shared" si="6"/>
        <v>0</v>
      </c>
    </row>
    <row r="10">
      <c r="A10" s="62"/>
      <c r="B10" s="63"/>
      <c r="C10" s="62"/>
      <c r="D10" s="64" t="s">
        <v>19</v>
      </c>
      <c r="E10" s="64">
        <f t="shared" ref="E10:F10" si="7">sum(E3:E9)</f>
        <v>2074</v>
      </c>
      <c r="F10" s="64">
        <f t="shared" si="7"/>
        <v>270</v>
      </c>
      <c r="G10" s="65" t="str">
        <f>average(G3:G9)</f>
        <v>#DIV/0!</v>
      </c>
      <c r="H10" s="62"/>
      <c r="I10" s="66"/>
      <c r="J10" s="64">
        <f t="shared" ref="J10:K10" si="8">sum(J3:J9)</f>
        <v>-11702</v>
      </c>
      <c r="K10" s="64">
        <f t="shared" si="8"/>
        <v>270</v>
      </c>
      <c r="L10" s="65" t="str">
        <f>average(L3:L9)</f>
        <v>#DIV/0!</v>
      </c>
      <c r="M10" s="68"/>
      <c r="N10" s="341">
        <f>sum(N3:N9)</f>
        <v>4759200</v>
      </c>
    </row>
    <row r="11">
      <c r="A11" s="70">
        <v>45749.0</v>
      </c>
      <c r="B11" s="302" t="s">
        <v>12</v>
      </c>
      <c r="C11" s="89">
        <v>141825.0</v>
      </c>
      <c r="D11" s="89">
        <v>142211.0</v>
      </c>
      <c r="E11" s="38">
        <f t="shared" ref="E11:E17" si="9">D11-C11</f>
        <v>386</v>
      </c>
      <c r="F11" s="39">
        <v>50.0</v>
      </c>
      <c r="G11" s="14">
        <f t="shared" ref="G11:G17" si="10">(F11/E11)*100</f>
        <v>12.95336788</v>
      </c>
      <c r="H11" s="137">
        <v>11288.0</v>
      </c>
      <c r="I11" s="138">
        <v>11618.0</v>
      </c>
      <c r="J11" s="41">
        <f t="shared" ref="J11:J17" si="11">I11-H11</f>
        <v>330</v>
      </c>
      <c r="K11" s="41">
        <f t="shared" ref="K11:K17" si="12">F11</f>
        <v>50</v>
      </c>
      <c r="L11" s="303">
        <f t="shared" ref="L11:L17" si="13">(K11/J11)*100</f>
        <v>15.15151515</v>
      </c>
      <c r="M11" s="72">
        <v>18210.0</v>
      </c>
      <c r="N11" s="336">
        <f t="shared" ref="N11:N17" si="14">F11*M11</f>
        <v>910500</v>
      </c>
    </row>
    <row r="12">
      <c r="A12" s="154">
        <v>45757.0</v>
      </c>
      <c r="B12" s="156" t="s">
        <v>12</v>
      </c>
      <c r="C12" s="89">
        <v>142211.0</v>
      </c>
      <c r="D12" s="89">
        <v>142655.0</v>
      </c>
      <c r="E12" s="12">
        <f t="shared" si="9"/>
        <v>444</v>
      </c>
      <c r="F12" s="157">
        <v>58.0</v>
      </c>
      <c r="G12" s="14">
        <f t="shared" si="10"/>
        <v>13.06306306</v>
      </c>
      <c r="H12" s="89">
        <v>11618.0</v>
      </c>
      <c r="I12" s="137">
        <v>11949.0</v>
      </c>
      <c r="J12" s="89">
        <f t="shared" si="11"/>
        <v>331</v>
      </c>
      <c r="K12" s="89">
        <f t="shared" si="12"/>
        <v>58</v>
      </c>
      <c r="L12" s="152">
        <f t="shared" si="13"/>
        <v>17.52265861</v>
      </c>
      <c r="M12" s="126">
        <v>17240.0</v>
      </c>
      <c r="N12" s="338">
        <f t="shared" si="14"/>
        <v>999920</v>
      </c>
    </row>
    <row r="13">
      <c r="A13" s="154">
        <v>45978.0</v>
      </c>
      <c r="B13" s="156" t="s">
        <v>12</v>
      </c>
      <c r="C13" s="89">
        <v>142655.0</v>
      </c>
      <c r="D13" s="89">
        <v>143106.0</v>
      </c>
      <c r="E13" s="12">
        <f t="shared" si="9"/>
        <v>451</v>
      </c>
      <c r="F13" s="157">
        <v>54.0</v>
      </c>
      <c r="G13" s="14">
        <f t="shared" si="10"/>
        <v>11.97339246</v>
      </c>
      <c r="H13" s="89"/>
      <c r="I13" s="137"/>
      <c r="J13" s="89">
        <f t="shared" si="11"/>
        <v>0</v>
      </c>
      <c r="K13" s="89">
        <f t="shared" si="12"/>
        <v>54</v>
      </c>
      <c r="L13" s="152" t="str">
        <f t="shared" si="13"/>
        <v>#DIV/0!</v>
      </c>
      <c r="M13" s="126">
        <v>17240.0</v>
      </c>
      <c r="N13" s="338">
        <f t="shared" si="14"/>
        <v>930960</v>
      </c>
    </row>
    <row r="14">
      <c r="A14" s="155">
        <v>45770.0</v>
      </c>
      <c r="B14" s="156" t="s">
        <v>12</v>
      </c>
      <c r="C14" s="89">
        <v>143106.0</v>
      </c>
      <c r="D14" s="89">
        <v>143523.0</v>
      </c>
      <c r="E14" s="12">
        <f t="shared" si="9"/>
        <v>417</v>
      </c>
      <c r="F14" s="157">
        <v>57.0</v>
      </c>
      <c r="G14" s="14">
        <f t="shared" si="10"/>
        <v>13.66906475</v>
      </c>
      <c r="H14" s="89"/>
      <c r="I14" s="137"/>
      <c r="J14" s="89">
        <f t="shared" si="11"/>
        <v>0</v>
      </c>
      <c r="K14" s="89">
        <f t="shared" si="12"/>
        <v>57</v>
      </c>
      <c r="L14" s="152" t="str">
        <f t="shared" si="13"/>
        <v>#DIV/0!</v>
      </c>
      <c r="M14" s="126">
        <v>17030.0</v>
      </c>
      <c r="N14" s="339">
        <f t="shared" si="14"/>
        <v>970710</v>
      </c>
    </row>
    <row r="15">
      <c r="A15" s="154"/>
      <c r="B15" s="156" t="s">
        <v>12</v>
      </c>
      <c r="C15" s="89"/>
      <c r="D15" s="89"/>
      <c r="E15" s="12">
        <f t="shared" si="9"/>
        <v>0</v>
      </c>
      <c r="F15" s="157"/>
      <c r="G15" s="14" t="str">
        <f t="shared" si="10"/>
        <v>#DIV/0!</v>
      </c>
      <c r="H15" s="137"/>
      <c r="I15" s="137"/>
      <c r="J15" s="89">
        <f t="shared" si="11"/>
        <v>0</v>
      </c>
      <c r="K15" s="89" t="str">
        <f t="shared" si="12"/>
        <v/>
      </c>
      <c r="L15" s="152" t="str">
        <f t="shared" si="13"/>
        <v>#DIV/0!</v>
      </c>
      <c r="M15" s="126"/>
      <c r="N15" s="339">
        <f t="shared" si="14"/>
        <v>0</v>
      </c>
    </row>
    <row r="16">
      <c r="A16" s="320"/>
      <c r="B16" s="156" t="s">
        <v>12</v>
      </c>
      <c r="C16" s="89"/>
      <c r="D16" s="158"/>
      <c r="E16" s="12">
        <f t="shared" si="9"/>
        <v>0</v>
      </c>
      <c r="F16" s="321"/>
      <c r="G16" s="14" t="str">
        <f t="shared" si="10"/>
        <v>#DIV/0!</v>
      </c>
      <c r="H16" s="89"/>
      <c r="I16" s="159"/>
      <c r="J16" s="89">
        <f t="shared" si="11"/>
        <v>0</v>
      </c>
      <c r="K16" s="89" t="str">
        <f t="shared" si="12"/>
        <v/>
      </c>
      <c r="L16" s="152" t="str">
        <f t="shared" si="13"/>
        <v>#DIV/0!</v>
      </c>
      <c r="M16" s="322"/>
      <c r="N16" s="342">
        <f t="shared" si="14"/>
        <v>0</v>
      </c>
    </row>
    <row r="17">
      <c r="A17" s="305"/>
      <c r="B17" s="306"/>
      <c r="C17" s="149"/>
      <c r="D17" s="150"/>
      <c r="E17" s="25">
        <f t="shared" si="9"/>
        <v>0</v>
      </c>
      <c r="F17" s="307"/>
      <c r="G17" s="56" t="str">
        <f t="shared" si="10"/>
        <v>#DIV/0!</v>
      </c>
      <c r="H17" s="149"/>
      <c r="I17" s="151"/>
      <c r="J17" s="149">
        <f t="shared" si="11"/>
        <v>0</v>
      </c>
      <c r="K17" s="149" t="str">
        <f t="shared" si="12"/>
        <v/>
      </c>
      <c r="L17" s="71" t="str">
        <f t="shared" si="13"/>
        <v>#DIV/0!</v>
      </c>
      <c r="M17" s="308"/>
      <c r="N17" s="340">
        <f t="shared" si="14"/>
        <v>0</v>
      </c>
    </row>
    <row r="18">
      <c r="A18" s="62"/>
      <c r="B18" s="63"/>
      <c r="C18" s="62"/>
      <c r="D18" s="64" t="s">
        <v>19</v>
      </c>
      <c r="E18" s="64">
        <f t="shared" ref="E18:F18" si="15">sum(E11:E17)</f>
        <v>1698</v>
      </c>
      <c r="F18" s="64">
        <f t="shared" si="15"/>
        <v>219</v>
      </c>
      <c r="G18" s="65" t="str">
        <f>average(G11:G17)</f>
        <v>#DIV/0!</v>
      </c>
      <c r="H18" s="62"/>
      <c r="I18" s="66"/>
      <c r="J18" s="64">
        <f t="shared" ref="J18:K18" si="16">sum(J11:J17)</f>
        <v>661</v>
      </c>
      <c r="K18" s="64">
        <f t="shared" si="16"/>
        <v>219</v>
      </c>
      <c r="L18" s="65" t="str">
        <f>average(L11:L17)</f>
        <v>#DIV/0!</v>
      </c>
      <c r="M18" s="68"/>
      <c r="N18" s="341">
        <f>sum(N11:N17)</f>
        <v>3812090</v>
      </c>
    </row>
    <row r="19">
      <c r="A19" s="70">
        <v>45752.0</v>
      </c>
      <c r="B19" s="302" t="s">
        <v>13</v>
      </c>
      <c r="C19" s="309">
        <v>160539.0</v>
      </c>
      <c r="D19" s="41">
        <v>160902.0</v>
      </c>
      <c r="E19" s="38">
        <f t="shared" ref="E19:E26" si="17">D19-C19</f>
        <v>363</v>
      </c>
      <c r="F19" s="39">
        <v>48.0</v>
      </c>
      <c r="G19" s="14">
        <f t="shared" ref="G19:G26" si="18">(F19/E19)*100</f>
        <v>13.2231405</v>
      </c>
      <c r="H19" s="315">
        <v>11931.0</v>
      </c>
      <c r="I19" s="138">
        <v>12792.0</v>
      </c>
      <c r="J19" s="41">
        <f t="shared" ref="J19:J26" si="19">I19-H19</f>
        <v>861</v>
      </c>
      <c r="K19" s="41">
        <f t="shared" ref="K19:K26" si="20">F19</f>
        <v>48</v>
      </c>
      <c r="L19" s="152">
        <f t="shared" ref="L19:L26" si="21">(K19/J19)*100</f>
        <v>5.574912892</v>
      </c>
      <c r="M19" s="72">
        <v>18470.0</v>
      </c>
      <c r="N19" s="336">
        <f t="shared" ref="N19:N26" si="22">F19*M19</f>
        <v>886560</v>
      </c>
    </row>
    <row r="20">
      <c r="A20" s="154">
        <v>45758.0</v>
      </c>
      <c r="B20" s="156" t="s">
        <v>13</v>
      </c>
      <c r="C20" s="41">
        <v>160902.0</v>
      </c>
      <c r="D20" s="89">
        <v>161284.0</v>
      </c>
      <c r="E20" s="12">
        <f t="shared" si="17"/>
        <v>382</v>
      </c>
      <c r="F20" s="157">
        <v>45.0</v>
      </c>
      <c r="G20" s="14">
        <f t="shared" si="18"/>
        <v>11.78010471</v>
      </c>
      <c r="H20" s="89">
        <v>12792.0</v>
      </c>
      <c r="I20" s="137">
        <v>13292.0</v>
      </c>
      <c r="J20" s="89">
        <f t="shared" si="19"/>
        <v>500</v>
      </c>
      <c r="K20" s="89">
        <f t="shared" si="20"/>
        <v>45</v>
      </c>
      <c r="L20" s="152">
        <f t="shared" si="21"/>
        <v>9</v>
      </c>
      <c r="M20" s="126">
        <v>17240.0</v>
      </c>
      <c r="N20" s="338">
        <f t="shared" si="22"/>
        <v>775800</v>
      </c>
    </row>
    <row r="21">
      <c r="A21" s="154">
        <v>45764.0</v>
      </c>
      <c r="B21" s="156" t="s">
        <v>13</v>
      </c>
      <c r="C21" s="89">
        <v>161284.0</v>
      </c>
      <c r="D21" s="89">
        <v>161632.0</v>
      </c>
      <c r="E21" s="12">
        <f t="shared" si="17"/>
        <v>348</v>
      </c>
      <c r="F21" s="157">
        <v>50.0</v>
      </c>
      <c r="G21" s="14">
        <f t="shared" si="18"/>
        <v>14.36781609</v>
      </c>
      <c r="H21" s="89">
        <v>13292.0</v>
      </c>
      <c r="I21" s="137">
        <v>13793.0</v>
      </c>
      <c r="J21" s="89">
        <f t="shared" si="19"/>
        <v>501</v>
      </c>
      <c r="K21" s="89">
        <f t="shared" si="20"/>
        <v>50</v>
      </c>
      <c r="L21" s="152">
        <f t="shared" si="21"/>
        <v>9.98003992</v>
      </c>
      <c r="M21" s="126">
        <v>17240.0</v>
      </c>
      <c r="N21" s="343">
        <f t="shared" si="22"/>
        <v>862000</v>
      </c>
    </row>
    <row r="22">
      <c r="A22" s="155">
        <v>45772.0</v>
      </c>
      <c r="B22" s="156" t="s">
        <v>13</v>
      </c>
      <c r="C22" s="89">
        <v>161632.0</v>
      </c>
      <c r="D22" s="89">
        <v>162006.0</v>
      </c>
      <c r="E22" s="12">
        <f t="shared" si="17"/>
        <v>374</v>
      </c>
      <c r="F22" s="157">
        <v>53.0</v>
      </c>
      <c r="G22" s="14">
        <f t="shared" si="18"/>
        <v>14.17112299</v>
      </c>
      <c r="H22" s="89">
        <v>13793.0</v>
      </c>
      <c r="I22" s="137"/>
      <c r="J22" s="89">
        <f t="shared" si="19"/>
        <v>-13793</v>
      </c>
      <c r="K22" s="89">
        <f t="shared" si="20"/>
        <v>53</v>
      </c>
      <c r="L22" s="152">
        <f t="shared" si="21"/>
        <v>-0.3842528819</v>
      </c>
      <c r="M22" s="126">
        <v>17520.0</v>
      </c>
      <c r="N22" s="339">
        <f t="shared" si="22"/>
        <v>928560</v>
      </c>
    </row>
    <row r="23">
      <c r="A23" s="154"/>
      <c r="B23" s="156" t="s">
        <v>13</v>
      </c>
      <c r="C23" s="89"/>
      <c r="D23" s="89"/>
      <c r="E23" s="12">
        <f t="shared" si="17"/>
        <v>0</v>
      </c>
      <c r="F23" s="157"/>
      <c r="G23" s="14" t="str">
        <f t="shared" si="18"/>
        <v>#DIV/0!</v>
      </c>
      <c r="H23" s="89"/>
      <c r="I23" s="137"/>
      <c r="J23" s="89">
        <f t="shared" si="19"/>
        <v>0</v>
      </c>
      <c r="K23" s="89" t="str">
        <f t="shared" si="20"/>
        <v/>
      </c>
      <c r="L23" s="152" t="str">
        <f t="shared" si="21"/>
        <v>#DIV/0!</v>
      </c>
      <c r="M23" s="126"/>
      <c r="N23" s="339">
        <f t="shared" si="22"/>
        <v>0</v>
      </c>
    </row>
    <row r="24">
      <c r="A24" s="154"/>
      <c r="B24" s="99" t="s">
        <v>13</v>
      </c>
      <c r="C24" s="89"/>
      <c r="D24" s="89"/>
      <c r="E24" s="12">
        <f t="shared" si="17"/>
        <v>0</v>
      </c>
      <c r="F24" s="157"/>
      <c r="G24" s="14" t="str">
        <f t="shared" si="18"/>
        <v>#DIV/0!</v>
      </c>
      <c r="H24" s="89"/>
      <c r="I24" s="137"/>
      <c r="J24" s="89">
        <f t="shared" si="19"/>
        <v>0</v>
      </c>
      <c r="K24" s="89" t="str">
        <f t="shared" si="20"/>
        <v/>
      </c>
      <c r="L24" s="152" t="str">
        <f t="shared" si="21"/>
        <v>#DIV/0!</v>
      </c>
      <c r="M24" s="126"/>
      <c r="N24" s="339">
        <f t="shared" si="22"/>
        <v>0</v>
      </c>
    </row>
    <row r="25">
      <c r="A25" s="304"/>
      <c r="B25" s="36" t="s">
        <v>13</v>
      </c>
      <c r="C25" s="149"/>
      <c r="D25" s="149"/>
      <c r="E25" s="25">
        <f t="shared" si="17"/>
        <v>0</v>
      </c>
      <c r="F25" s="161"/>
      <c r="G25" s="56" t="str">
        <f t="shared" si="18"/>
        <v>#DIV/0!</v>
      </c>
      <c r="H25" s="149"/>
      <c r="I25" s="315"/>
      <c r="J25" s="149">
        <f t="shared" si="19"/>
        <v>0</v>
      </c>
      <c r="K25" s="149" t="str">
        <f t="shared" si="20"/>
        <v/>
      </c>
      <c r="L25" s="152" t="str">
        <f t="shared" si="21"/>
        <v>#DIV/0!</v>
      </c>
      <c r="M25" s="153"/>
      <c r="N25" s="344">
        <f t="shared" si="22"/>
        <v>0</v>
      </c>
    </row>
    <row r="26">
      <c r="A26" s="345"/>
      <c r="B26" s="36" t="s">
        <v>13</v>
      </c>
      <c r="C26" s="309"/>
      <c r="D26" s="309"/>
      <c r="E26" s="25">
        <f t="shared" si="17"/>
        <v>0</v>
      </c>
      <c r="F26" s="309"/>
      <c r="G26" s="56" t="str">
        <f t="shared" si="18"/>
        <v>#DIV/0!</v>
      </c>
      <c r="H26" s="309"/>
      <c r="I26" s="346"/>
      <c r="J26" s="149">
        <f t="shared" si="19"/>
        <v>0</v>
      </c>
      <c r="K26" s="149" t="str">
        <f t="shared" si="20"/>
        <v/>
      </c>
      <c r="L26" s="152" t="str">
        <f t="shared" si="21"/>
        <v>#DIV/0!</v>
      </c>
      <c r="M26" s="161"/>
      <c r="N26" s="344">
        <f t="shared" si="22"/>
        <v>0</v>
      </c>
    </row>
    <row r="27">
      <c r="A27" s="62"/>
      <c r="B27" s="63"/>
      <c r="C27" s="62"/>
      <c r="D27" s="64" t="s">
        <v>19</v>
      </c>
      <c r="E27" s="64">
        <f>sum(E19:E25)</f>
        <v>1467</v>
      </c>
      <c r="F27" s="64">
        <f>sum(F19:F26)</f>
        <v>196</v>
      </c>
      <c r="G27" s="65" t="str">
        <f>average(G19:G25)</f>
        <v>#DIV/0!</v>
      </c>
      <c r="H27" s="62"/>
      <c r="I27" s="66"/>
      <c r="J27" s="64">
        <f t="shared" ref="J27:K27" si="23">sum(J19:J25)</f>
        <v>-11931</v>
      </c>
      <c r="K27" s="64">
        <f t="shared" si="23"/>
        <v>196</v>
      </c>
      <c r="L27" s="65" t="str">
        <f>average(L19:L25)</f>
        <v>#DIV/0!</v>
      </c>
      <c r="M27" s="68"/>
      <c r="N27" s="341">
        <f>sum(N19:N26)</f>
        <v>3452920</v>
      </c>
    </row>
    <row r="28">
      <c r="A28" s="70">
        <v>45751.0</v>
      </c>
      <c r="B28" s="302" t="s">
        <v>14</v>
      </c>
      <c r="C28" s="89">
        <v>161687.0</v>
      </c>
      <c r="D28" s="41">
        <v>162108.0</v>
      </c>
      <c r="E28" s="38">
        <f t="shared" ref="E28:E34" si="24">D28-C28</f>
        <v>421</v>
      </c>
      <c r="F28" s="39">
        <v>50.0</v>
      </c>
      <c r="G28" s="14">
        <f t="shared" ref="G28:G34" si="25">(F28/E28)*100</f>
        <v>11.87648456</v>
      </c>
      <c r="H28" s="137">
        <v>4484.0</v>
      </c>
      <c r="I28" s="138">
        <v>4918.0</v>
      </c>
      <c r="J28" s="41">
        <f t="shared" ref="J28:J34" si="26">I28-H28</f>
        <v>434</v>
      </c>
      <c r="K28" s="41">
        <f t="shared" ref="K28:K34" si="27">F28</f>
        <v>50</v>
      </c>
      <c r="L28" s="152">
        <f t="shared" ref="L28:L34" si="28">(K28/J28)*100</f>
        <v>11.52073733</v>
      </c>
      <c r="M28" s="72">
        <v>18470.0</v>
      </c>
      <c r="N28" s="336">
        <f t="shared" ref="N28:N34" si="29">F28*M28</f>
        <v>923500</v>
      </c>
    </row>
    <row r="29">
      <c r="A29" s="154">
        <v>45757.0</v>
      </c>
      <c r="B29" s="156" t="s">
        <v>14</v>
      </c>
      <c r="C29" s="89">
        <v>162108.0</v>
      </c>
      <c r="D29" s="89">
        <v>162521.0</v>
      </c>
      <c r="E29" s="12">
        <f t="shared" si="24"/>
        <v>413</v>
      </c>
      <c r="F29" s="157">
        <v>50.0</v>
      </c>
      <c r="G29" s="14">
        <f t="shared" si="25"/>
        <v>12.10653753</v>
      </c>
      <c r="H29" s="89">
        <v>4918.0</v>
      </c>
      <c r="I29" s="137">
        <v>5443.0</v>
      </c>
      <c r="J29" s="89">
        <f t="shared" si="26"/>
        <v>525</v>
      </c>
      <c r="K29" s="89">
        <f t="shared" si="27"/>
        <v>50</v>
      </c>
      <c r="L29" s="152">
        <f t="shared" si="28"/>
        <v>9.523809524</v>
      </c>
      <c r="M29" s="126">
        <v>18470.0</v>
      </c>
      <c r="N29" s="343">
        <f t="shared" si="29"/>
        <v>923500</v>
      </c>
    </row>
    <row r="30">
      <c r="A30" s="154">
        <v>45762.0</v>
      </c>
      <c r="B30" s="156" t="s">
        <v>14</v>
      </c>
      <c r="C30" s="89">
        <v>162521.0</v>
      </c>
      <c r="D30" s="89">
        <v>162961.0</v>
      </c>
      <c r="E30" s="12">
        <f t="shared" si="24"/>
        <v>440</v>
      </c>
      <c r="F30" s="157">
        <v>50.0</v>
      </c>
      <c r="G30" s="14">
        <f t="shared" si="25"/>
        <v>11.36363636</v>
      </c>
      <c r="H30" s="89">
        <v>5443.0</v>
      </c>
      <c r="I30" s="137">
        <v>5889.0</v>
      </c>
      <c r="J30" s="89">
        <f t="shared" si="26"/>
        <v>446</v>
      </c>
      <c r="K30" s="89">
        <f t="shared" si="27"/>
        <v>50</v>
      </c>
      <c r="L30" s="152">
        <f t="shared" si="28"/>
        <v>11.21076233</v>
      </c>
      <c r="M30" s="126">
        <v>17240.0</v>
      </c>
      <c r="N30" s="339">
        <f t="shared" si="29"/>
        <v>862000</v>
      </c>
    </row>
    <row r="31">
      <c r="A31" s="155">
        <v>45768.0</v>
      </c>
      <c r="B31" s="156" t="s">
        <v>14</v>
      </c>
      <c r="C31" s="89">
        <v>162961.0</v>
      </c>
      <c r="D31" s="89">
        <v>163332.0</v>
      </c>
      <c r="E31" s="12">
        <f t="shared" si="24"/>
        <v>371</v>
      </c>
      <c r="F31" s="157">
        <v>50.0</v>
      </c>
      <c r="G31" s="14">
        <f t="shared" si="25"/>
        <v>13.47708895</v>
      </c>
      <c r="H31" s="89">
        <v>5889.0</v>
      </c>
      <c r="I31" s="137">
        <v>6336.0</v>
      </c>
      <c r="J31" s="89">
        <f t="shared" si="26"/>
        <v>447</v>
      </c>
      <c r="K31" s="89">
        <f t="shared" si="27"/>
        <v>50</v>
      </c>
      <c r="L31" s="152">
        <f t="shared" si="28"/>
        <v>11.18568233</v>
      </c>
      <c r="M31" s="126">
        <v>17030.0</v>
      </c>
      <c r="N31" s="339">
        <f t="shared" si="29"/>
        <v>851500</v>
      </c>
    </row>
    <row r="32">
      <c r="A32" s="154">
        <v>45772.0</v>
      </c>
      <c r="B32" s="156" t="s">
        <v>14</v>
      </c>
      <c r="C32" s="89">
        <v>163332.0</v>
      </c>
      <c r="D32" s="89">
        <v>163780.0</v>
      </c>
      <c r="E32" s="12">
        <f t="shared" si="24"/>
        <v>448</v>
      </c>
      <c r="F32" s="157">
        <v>50.0</v>
      </c>
      <c r="G32" s="14">
        <f t="shared" si="25"/>
        <v>11.16071429</v>
      </c>
      <c r="H32" s="89">
        <v>6336.0</v>
      </c>
      <c r="I32" s="137"/>
      <c r="J32" s="89">
        <f t="shared" si="26"/>
        <v>-6336</v>
      </c>
      <c r="K32" s="89">
        <f t="shared" si="27"/>
        <v>50</v>
      </c>
      <c r="L32" s="152">
        <f t="shared" si="28"/>
        <v>-0.7891414141</v>
      </c>
      <c r="M32" s="126">
        <v>17520.0</v>
      </c>
      <c r="N32" s="339">
        <f t="shared" si="29"/>
        <v>876000</v>
      </c>
    </row>
    <row r="33">
      <c r="A33" s="154">
        <v>45776.0</v>
      </c>
      <c r="B33" s="156" t="s">
        <v>14</v>
      </c>
      <c r="C33" s="89">
        <v>163780.0</v>
      </c>
      <c r="D33" s="89">
        <v>164195.0</v>
      </c>
      <c r="E33" s="12">
        <f t="shared" si="24"/>
        <v>415</v>
      </c>
      <c r="F33" s="157">
        <v>50.0</v>
      </c>
      <c r="G33" s="14">
        <f t="shared" si="25"/>
        <v>12.04819277</v>
      </c>
      <c r="H33" s="89"/>
      <c r="I33" s="137"/>
      <c r="J33" s="89">
        <f t="shared" si="26"/>
        <v>0</v>
      </c>
      <c r="K33" s="89">
        <f t="shared" si="27"/>
        <v>50</v>
      </c>
      <c r="L33" s="152" t="str">
        <f t="shared" si="28"/>
        <v>#DIV/0!</v>
      </c>
      <c r="M33" s="126">
        <v>17520.0</v>
      </c>
      <c r="N33" s="339">
        <f t="shared" si="29"/>
        <v>876000</v>
      </c>
    </row>
    <row r="34">
      <c r="A34" s="305"/>
      <c r="B34" s="306"/>
      <c r="C34" s="149"/>
      <c r="D34" s="150"/>
      <c r="E34" s="25">
        <f t="shared" si="24"/>
        <v>0</v>
      </c>
      <c r="F34" s="307"/>
      <c r="G34" s="56" t="str">
        <f t="shared" si="25"/>
        <v>#DIV/0!</v>
      </c>
      <c r="H34" s="149"/>
      <c r="I34" s="151"/>
      <c r="J34" s="149">
        <f t="shared" si="26"/>
        <v>0</v>
      </c>
      <c r="K34" s="149" t="str">
        <f t="shared" si="27"/>
        <v/>
      </c>
      <c r="L34" s="152" t="str">
        <f t="shared" si="28"/>
        <v>#DIV/0!</v>
      </c>
      <c r="M34" s="308"/>
      <c r="N34" s="340">
        <f t="shared" si="29"/>
        <v>0</v>
      </c>
    </row>
    <row r="35">
      <c r="A35" s="62"/>
      <c r="B35" s="63"/>
      <c r="C35" s="62"/>
      <c r="D35" s="64" t="s">
        <v>19</v>
      </c>
      <c r="E35" s="64">
        <f t="shared" ref="E35:F35" si="30">sum(E28:E34)</f>
        <v>2508</v>
      </c>
      <c r="F35" s="64">
        <f t="shared" si="30"/>
        <v>300</v>
      </c>
      <c r="G35" s="65" t="str">
        <f>average(G28:G34)</f>
        <v>#DIV/0!</v>
      </c>
      <c r="H35" s="62"/>
      <c r="I35" s="66"/>
      <c r="J35" s="64">
        <f t="shared" ref="J35:K35" si="31">sum(J28:J34)</f>
        <v>-4484</v>
      </c>
      <c r="K35" s="64">
        <f t="shared" si="31"/>
        <v>300</v>
      </c>
      <c r="L35" s="65" t="str">
        <f>average(L28:L34)</f>
        <v>#DIV/0!</v>
      </c>
      <c r="M35" s="68"/>
      <c r="N35" s="341">
        <f>sum(N28:N34)</f>
        <v>5312500</v>
      </c>
    </row>
    <row r="36">
      <c r="A36" s="70">
        <v>45751.0</v>
      </c>
      <c r="B36" s="302" t="s">
        <v>15</v>
      </c>
      <c r="C36" s="149">
        <v>148171.0</v>
      </c>
      <c r="D36" s="41">
        <v>148527.0</v>
      </c>
      <c r="E36" s="38">
        <f t="shared" ref="E36:E42" si="32">D36-C36</f>
        <v>356</v>
      </c>
      <c r="F36" s="39">
        <v>43.0</v>
      </c>
      <c r="G36" s="14">
        <f t="shared" ref="G36:G42" si="33">(F36/E36)*100</f>
        <v>12.07865169</v>
      </c>
      <c r="H36" s="149">
        <v>11863.0</v>
      </c>
      <c r="I36" s="137">
        <v>12366.0</v>
      </c>
      <c r="J36" s="41">
        <f t="shared" ref="J36:J42" si="34">I36-H36</f>
        <v>503</v>
      </c>
      <c r="K36" s="41">
        <f t="shared" ref="K36:K42" si="35">F36</f>
        <v>43</v>
      </c>
      <c r="L36" s="152">
        <f t="shared" ref="L36:L42" si="36">(K36/J36)*100</f>
        <v>8.548707753</v>
      </c>
      <c r="M36" s="72">
        <v>18470.0</v>
      </c>
      <c r="N36" s="336">
        <f t="shared" ref="N36:N42" si="37">F36*M36</f>
        <v>794210</v>
      </c>
    </row>
    <row r="37">
      <c r="A37" s="154">
        <v>45726.0</v>
      </c>
      <c r="B37" s="156" t="s">
        <v>15</v>
      </c>
      <c r="C37" s="89">
        <v>148527.0</v>
      </c>
      <c r="D37" s="89">
        <v>148844.0</v>
      </c>
      <c r="E37" s="12">
        <f t="shared" si="32"/>
        <v>317</v>
      </c>
      <c r="F37" s="157">
        <v>40.0</v>
      </c>
      <c r="G37" s="14">
        <f t="shared" si="33"/>
        <v>12.61829653</v>
      </c>
      <c r="H37" s="137">
        <v>12366.0</v>
      </c>
      <c r="I37" s="137">
        <v>12870.0</v>
      </c>
      <c r="J37" s="89">
        <f t="shared" si="34"/>
        <v>504</v>
      </c>
      <c r="K37" s="89">
        <f t="shared" si="35"/>
        <v>40</v>
      </c>
      <c r="L37" s="152">
        <f t="shared" si="36"/>
        <v>7.936507937</v>
      </c>
      <c r="M37" s="126">
        <v>18470.0</v>
      </c>
      <c r="N37" s="338">
        <f t="shared" si="37"/>
        <v>738800</v>
      </c>
    </row>
    <row r="38">
      <c r="A38" s="154">
        <v>45763.0</v>
      </c>
      <c r="B38" s="156" t="s">
        <v>15</v>
      </c>
      <c r="C38" s="89">
        <v>148844.0</v>
      </c>
      <c r="D38" s="89">
        <v>149208.0</v>
      </c>
      <c r="E38" s="12">
        <f t="shared" si="32"/>
        <v>364</v>
      </c>
      <c r="F38" s="157">
        <v>50.0</v>
      </c>
      <c r="G38" s="14">
        <f t="shared" si="33"/>
        <v>13.73626374</v>
      </c>
      <c r="H38" s="89">
        <v>12870.0</v>
      </c>
      <c r="I38" s="137">
        <v>13362.0</v>
      </c>
      <c r="J38" s="89">
        <f t="shared" si="34"/>
        <v>492</v>
      </c>
      <c r="K38" s="89">
        <f t="shared" si="35"/>
        <v>50</v>
      </c>
      <c r="L38" s="152">
        <f t="shared" si="36"/>
        <v>10.16260163</v>
      </c>
      <c r="M38" s="126">
        <v>17240.0</v>
      </c>
      <c r="N38" s="338">
        <f t="shared" si="37"/>
        <v>862000</v>
      </c>
    </row>
    <row r="39">
      <c r="A39" s="154">
        <v>45765.0</v>
      </c>
      <c r="B39" s="156" t="s">
        <v>15</v>
      </c>
      <c r="C39" s="89">
        <v>149208.0</v>
      </c>
      <c r="D39" s="89">
        <v>149567.0</v>
      </c>
      <c r="E39" s="12">
        <f t="shared" si="32"/>
        <v>359</v>
      </c>
      <c r="F39" s="157">
        <v>40.0</v>
      </c>
      <c r="G39" s="14">
        <f t="shared" si="33"/>
        <v>11.14206128</v>
      </c>
      <c r="H39" s="89">
        <v>13362.0</v>
      </c>
      <c r="I39" s="137">
        <v>13855.0</v>
      </c>
      <c r="J39" s="89">
        <f t="shared" si="34"/>
        <v>493</v>
      </c>
      <c r="K39" s="89">
        <f t="shared" si="35"/>
        <v>40</v>
      </c>
      <c r="L39" s="152">
        <f t="shared" si="36"/>
        <v>8.113590264</v>
      </c>
      <c r="M39" s="126">
        <v>17030.0</v>
      </c>
      <c r="N39" s="338">
        <f t="shared" si="37"/>
        <v>681200</v>
      </c>
    </row>
    <row r="40">
      <c r="A40" s="154">
        <v>45770.0</v>
      </c>
      <c r="B40" s="156" t="s">
        <v>15</v>
      </c>
      <c r="C40" s="89">
        <v>149567.0</v>
      </c>
      <c r="D40" s="89">
        <v>149889.0</v>
      </c>
      <c r="E40" s="12">
        <f t="shared" si="32"/>
        <v>322</v>
      </c>
      <c r="F40" s="157">
        <v>40.0</v>
      </c>
      <c r="G40" s="14">
        <f t="shared" si="33"/>
        <v>12.42236025</v>
      </c>
      <c r="H40" s="89">
        <v>13855.0</v>
      </c>
      <c r="I40" s="137"/>
      <c r="J40" s="89">
        <f t="shared" si="34"/>
        <v>-13855</v>
      </c>
      <c r="K40" s="89">
        <f t="shared" si="35"/>
        <v>40</v>
      </c>
      <c r="L40" s="152">
        <f t="shared" si="36"/>
        <v>-0.2887044388</v>
      </c>
      <c r="M40" s="126">
        <v>17030.0</v>
      </c>
      <c r="N40" s="339">
        <f t="shared" si="37"/>
        <v>681200</v>
      </c>
    </row>
    <row r="41">
      <c r="A41" s="312">
        <v>45775.0</v>
      </c>
      <c r="B41" s="156" t="s">
        <v>15</v>
      </c>
      <c r="C41" s="89">
        <v>149889.0</v>
      </c>
      <c r="D41" s="89">
        <v>150264.0</v>
      </c>
      <c r="E41" s="12">
        <f t="shared" si="32"/>
        <v>375</v>
      </c>
      <c r="F41" s="157">
        <v>45.0</v>
      </c>
      <c r="G41" s="14">
        <f t="shared" si="33"/>
        <v>12</v>
      </c>
      <c r="H41" s="89"/>
      <c r="I41" s="137"/>
      <c r="J41" s="89">
        <f t="shared" si="34"/>
        <v>0</v>
      </c>
      <c r="K41" s="89">
        <f t="shared" si="35"/>
        <v>45</v>
      </c>
      <c r="L41" s="152" t="str">
        <f t="shared" si="36"/>
        <v>#DIV/0!</v>
      </c>
      <c r="M41" s="126">
        <v>17520.0</v>
      </c>
      <c r="N41" s="339">
        <f t="shared" si="37"/>
        <v>788400</v>
      </c>
    </row>
    <row r="42">
      <c r="A42" s="304"/>
      <c r="B42" s="156" t="s">
        <v>15</v>
      </c>
      <c r="C42" s="149"/>
      <c r="D42" s="149"/>
      <c r="E42" s="25">
        <f t="shared" si="32"/>
        <v>0</v>
      </c>
      <c r="F42" s="161"/>
      <c r="G42" s="56" t="str">
        <f t="shared" si="33"/>
        <v>#DIV/0!</v>
      </c>
      <c r="H42" s="149"/>
      <c r="I42" s="151"/>
      <c r="J42" s="149">
        <f t="shared" si="34"/>
        <v>0</v>
      </c>
      <c r="K42" s="149" t="str">
        <f t="shared" si="35"/>
        <v/>
      </c>
      <c r="L42" s="152" t="str">
        <f t="shared" si="36"/>
        <v>#DIV/0!</v>
      </c>
      <c r="M42" s="153"/>
      <c r="N42" s="344">
        <f t="shared" si="37"/>
        <v>0</v>
      </c>
    </row>
    <row r="43">
      <c r="A43" s="62"/>
      <c r="B43" s="63"/>
      <c r="C43" s="62"/>
      <c r="D43" s="64" t="s">
        <v>19</v>
      </c>
      <c r="E43" s="64">
        <f t="shared" ref="E43:F43" si="38">sum(E36:E42)</f>
        <v>2093</v>
      </c>
      <c r="F43" s="64">
        <f t="shared" si="38"/>
        <v>258</v>
      </c>
      <c r="G43" s="65" t="str">
        <f>average(G36:G42)</f>
        <v>#DIV/0!</v>
      </c>
      <c r="H43" s="62"/>
      <c r="I43" s="66"/>
      <c r="J43" s="64">
        <f t="shared" ref="J43:K43" si="39">sum(J36:J42)</f>
        <v>-11863</v>
      </c>
      <c r="K43" s="64">
        <f t="shared" si="39"/>
        <v>258</v>
      </c>
      <c r="L43" s="65" t="str">
        <f>average(L36:L42)</f>
        <v>#DIV/0!</v>
      </c>
      <c r="M43" s="68"/>
      <c r="N43" s="341">
        <f>sum(N36:N42)</f>
        <v>4545810</v>
      </c>
    </row>
    <row r="44">
      <c r="A44" s="293">
        <v>45751.0</v>
      </c>
      <c r="B44" s="302" t="s">
        <v>16</v>
      </c>
      <c r="C44" s="89">
        <v>124416.0</v>
      </c>
      <c r="D44" s="41">
        <v>124833.0</v>
      </c>
      <c r="E44" s="38">
        <f t="shared" ref="E44:E50" si="40">D44-C44</f>
        <v>417</v>
      </c>
      <c r="F44" s="39">
        <v>55.0</v>
      </c>
      <c r="G44" s="14">
        <f t="shared" ref="G44:G50" si="41">(F44/E44)*100</f>
        <v>13.18944844</v>
      </c>
      <c r="H44" s="137">
        <v>11777.0</v>
      </c>
      <c r="I44" s="138">
        <v>12289.0</v>
      </c>
      <c r="J44" s="41">
        <f t="shared" ref="J44:J50" si="42">I44-H44</f>
        <v>512</v>
      </c>
      <c r="K44" s="41">
        <f t="shared" ref="K44:K50" si="43">F44</f>
        <v>55</v>
      </c>
      <c r="L44" s="152">
        <f t="shared" ref="L44:L50" si="44">(K44/J44)*100</f>
        <v>10.7421875</v>
      </c>
      <c r="M44" s="72">
        <v>18470.0</v>
      </c>
      <c r="N44" s="336">
        <f t="shared" ref="N44:N50" si="45">F44*M44</f>
        <v>1015850</v>
      </c>
    </row>
    <row r="45">
      <c r="A45" s="154">
        <v>45758.0</v>
      </c>
      <c r="B45" s="156" t="s">
        <v>16</v>
      </c>
      <c r="C45" s="89">
        <v>124833.0</v>
      </c>
      <c r="D45" s="89">
        <v>125227.0</v>
      </c>
      <c r="E45" s="12">
        <f t="shared" si="40"/>
        <v>394</v>
      </c>
      <c r="F45" s="313">
        <v>50.0</v>
      </c>
      <c r="G45" s="14">
        <f t="shared" si="41"/>
        <v>12.69035533</v>
      </c>
      <c r="H45" s="89">
        <v>12289.0</v>
      </c>
      <c r="I45" s="137">
        <v>12727.0</v>
      </c>
      <c r="J45" s="89">
        <f t="shared" si="42"/>
        <v>438</v>
      </c>
      <c r="K45" s="89">
        <f t="shared" si="43"/>
        <v>50</v>
      </c>
      <c r="L45" s="152">
        <f t="shared" si="44"/>
        <v>11.41552511</v>
      </c>
      <c r="M45" s="126">
        <v>17240.0</v>
      </c>
      <c r="N45" s="338">
        <f t="shared" si="45"/>
        <v>862000</v>
      </c>
    </row>
    <row r="46">
      <c r="A46" s="154">
        <v>45764.0</v>
      </c>
      <c r="B46" s="156" t="s">
        <v>16</v>
      </c>
      <c r="C46" s="89">
        <v>125227.0</v>
      </c>
      <c r="D46" s="89">
        <v>125545.0</v>
      </c>
      <c r="E46" s="12">
        <f t="shared" si="40"/>
        <v>318</v>
      </c>
      <c r="F46" s="157">
        <v>45.0</v>
      </c>
      <c r="G46" s="14">
        <f t="shared" si="41"/>
        <v>14.1509434</v>
      </c>
      <c r="H46" s="89">
        <v>12727.0</v>
      </c>
      <c r="I46" s="137">
        <v>13165.0</v>
      </c>
      <c r="J46" s="89">
        <f t="shared" si="42"/>
        <v>438</v>
      </c>
      <c r="K46" s="89">
        <f t="shared" si="43"/>
        <v>45</v>
      </c>
      <c r="L46" s="152">
        <f t="shared" si="44"/>
        <v>10.2739726</v>
      </c>
      <c r="M46" s="126">
        <v>17240.0</v>
      </c>
      <c r="N46" s="338">
        <f t="shared" si="45"/>
        <v>775800</v>
      </c>
    </row>
    <row r="47">
      <c r="A47" s="154">
        <v>45768.0</v>
      </c>
      <c r="B47" s="156" t="s">
        <v>16</v>
      </c>
      <c r="C47" s="89">
        <v>125545.0</v>
      </c>
      <c r="D47" s="89">
        <v>125939.0</v>
      </c>
      <c r="E47" s="12">
        <f t="shared" si="40"/>
        <v>394</v>
      </c>
      <c r="F47" s="157">
        <v>50.0</v>
      </c>
      <c r="G47" s="14">
        <f t="shared" si="41"/>
        <v>12.69035533</v>
      </c>
      <c r="H47" s="89">
        <v>13165.0</v>
      </c>
      <c r="I47" s="137">
        <v>13603.0</v>
      </c>
      <c r="J47" s="89">
        <f t="shared" si="42"/>
        <v>438</v>
      </c>
      <c r="K47" s="89">
        <f t="shared" si="43"/>
        <v>50</v>
      </c>
      <c r="L47" s="152">
        <f t="shared" si="44"/>
        <v>11.41552511</v>
      </c>
      <c r="M47" s="126">
        <v>17030.0</v>
      </c>
      <c r="N47" s="338">
        <f t="shared" si="45"/>
        <v>851500</v>
      </c>
      <c r="P47" s="82"/>
    </row>
    <row r="48">
      <c r="A48" s="154">
        <v>45771.0</v>
      </c>
      <c r="B48" s="156" t="s">
        <v>16</v>
      </c>
      <c r="C48" s="89">
        <v>125939.0</v>
      </c>
      <c r="D48" s="89">
        <v>126324.0</v>
      </c>
      <c r="E48" s="12">
        <f t="shared" si="40"/>
        <v>385</v>
      </c>
      <c r="F48" s="157">
        <v>50.0</v>
      </c>
      <c r="G48" s="14">
        <f t="shared" si="41"/>
        <v>12.98701299</v>
      </c>
      <c r="H48" s="89">
        <v>13603.0</v>
      </c>
      <c r="I48" s="137"/>
      <c r="J48" s="89">
        <f t="shared" si="42"/>
        <v>-13603</v>
      </c>
      <c r="K48" s="89">
        <f t="shared" si="43"/>
        <v>50</v>
      </c>
      <c r="L48" s="152">
        <f t="shared" si="44"/>
        <v>-0.3675659781</v>
      </c>
      <c r="M48" s="126">
        <v>17520.0</v>
      </c>
      <c r="N48" s="339">
        <f t="shared" si="45"/>
        <v>876000</v>
      </c>
      <c r="P48" s="80">
        <f>13603+501</f>
        <v>14104</v>
      </c>
    </row>
    <row r="49">
      <c r="A49" s="155"/>
      <c r="B49" s="99" t="s">
        <v>16</v>
      </c>
      <c r="C49" s="89"/>
      <c r="D49" s="89"/>
      <c r="E49" s="12">
        <f t="shared" si="40"/>
        <v>0</v>
      </c>
      <c r="F49" s="157"/>
      <c r="G49" s="14" t="str">
        <f t="shared" si="41"/>
        <v>#DIV/0!</v>
      </c>
      <c r="H49" s="89"/>
      <c r="I49" s="137"/>
      <c r="J49" s="89">
        <f t="shared" si="42"/>
        <v>0</v>
      </c>
      <c r="K49" s="89" t="str">
        <f t="shared" si="43"/>
        <v/>
      </c>
      <c r="L49" s="152" t="str">
        <f t="shared" si="44"/>
        <v>#DIV/0!</v>
      </c>
      <c r="M49" s="126"/>
      <c r="N49" s="339">
        <f t="shared" si="45"/>
        <v>0</v>
      </c>
    </row>
    <row r="50">
      <c r="A50" s="305"/>
      <c r="B50" s="323"/>
      <c r="C50" s="149"/>
      <c r="D50" s="150"/>
      <c r="E50" s="25">
        <f t="shared" si="40"/>
        <v>0</v>
      </c>
      <c r="F50" s="307"/>
      <c r="G50" s="56" t="str">
        <f t="shared" si="41"/>
        <v>#DIV/0!</v>
      </c>
      <c r="H50" s="149"/>
      <c r="I50" s="151"/>
      <c r="J50" s="149">
        <f t="shared" si="42"/>
        <v>0</v>
      </c>
      <c r="K50" s="149" t="str">
        <f t="shared" si="43"/>
        <v/>
      </c>
      <c r="L50" s="152" t="str">
        <f t="shared" si="44"/>
        <v>#DIV/0!</v>
      </c>
      <c r="M50" s="308"/>
      <c r="N50" s="340">
        <f t="shared" si="45"/>
        <v>0</v>
      </c>
    </row>
    <row r="51">
      <c r="A51" s="62"/>
      <c r="B51" s="63"/>
      <c r="C51" s="62"/>
      <c r="D51" s="64" t="s">
        <v>19</v>
      </c>
      <c r="E51" s="64">
        <f t="shared" ref="E51:F51" si="46">sum(E44:E50)</f>
        <v>1908</v>
      </c>
      <c r="F51" s="64">
        <f t="shared" si="46"/>
        <v>250</v>
      </c>
      <c r="G51" s="65" t="str">
        <f>average(G44:G50)</f>
        <v>#DIV/0!</v>
      </c>
      <c r="H51" s="62"/>
      <c r="I51" s="66"/>
      <c r="J51" s="64">
        <f t="shared" ref="J51:K51" si="47">sum(J44:J50)</f>
        <v>-11777</v>
      </c>
      <c r="K51" s="64">
        <f t="shared" si="47"/>
        <v>250</v>
      </c>
      <c r="L51" s="65" t="str">
        <f>average(L44:L50)</f>
        <v>#DIV/0!</v>
      </c>
      <c r="M51" s="68"/>
      <c r="N51" s="341">
        <f>sum(N44:N50)</f>
        <v>4381150</v>
      </c>
    </row>
    <row r="52">
      <c r="A52" s="70">
        <v>45749.0</v>
      </c>
      <c r="B52" s="314" t="s">
        <v>18</v>
      </c>
      <c r="C52" s="89">
        <v>129061.0</v>
      </c>
      <c r="D52" s="41">
        <v>129428.0</v>
      </c>
      <c r="E52" s="38">
        <f t="shared" ref="E52:E58" si="48">D52-C52</f>
        <v>367</v>
      </c>
      <c r="F52" s="39">
        <v>44.0</v>
      </c>
      <c r="G52" s="14">
        <f t="shared" ref="G52:G58" si="49">(F52/E52)*100</f>
        <v>11.98910082</v>
      </c>
      <c r="H52" s="137">
        <v>3873.0</v>
      </c>
      <c r="I52" s="138">
        <v>4417.0</v>
      </c>
      <c r="J52" s="41">
        <f t="shared" ref="J52:J58" si="50">I52-H52</f>
        <v>544</v>
      </c>
      <c r="K52" s="41">
        <f t="shared" ref="K52:K58" si="51">F52</f>
        <v>44</v>
      </c>
      <c r="L52" s="152">
        <f t="shared" ref="L52:L58" si="52">(K52/J52)*100</f>
        <v>8.088235294</v>
      </c>
      <c r="M52" s="72">
        <v>18210.0</v>
      </c>
      <c r="N52" s="336">
        <f t="shared" ref="N52:N58" si="53">F52*M52</f>
        <v>801240</v>
      </c>
    </row>
    <row r="53">
      <c r="A53" s="154">
        <v>45755.0</v>
      </c>
      <c r="B53" s="156" t="s">
        <v>18</v>
      </c>
      <c r="C53" s="89">
        <v>129428.0</v>
      </c>
      <c r="D53" s="89">
        <v>129632.0</v>
      </c>
      <c r="E53" s="12">
        <f t="shared" si="48"/>
        <v>204</v>
      </c>
      <c r="F53" s="157">
        <v>33.0</v>
      </c>
      <c r="G53" s="14">
        <f t="shared" si="49"/>
        <v>16.17647059</v>
      </c>
      <c r="H53" s="89">
        <v>4417.0</v>
      </c>
      <c r="I53" s="137">
        <v>4783.0</v>
      </c>
      <c r="J53" s="89">
        <f t="shared" si="50"/>
        <v>366</v>
      </c>
      <c r="K53" s="89">
        <f t="shared" si="51"/>
        <v>33</v>
      </c>
      <c r="L53" s="152">
        <f t="shared" si="52"/>
        <v>9.016393443</v>
      </c>
      <c r="M53" s="126">
        <v>18470.0</v>
      </c>
      <c r="N53" s="338">
        <f t="shared" si="53"/>
        <v>609510</v>
      </c>
    </row>
    <row r="54">
      <c r="A54" s="279">
        <v>45758.0</v>
      </c>
      <c r="B54" s="156" t="s">
        <v>18</v>
      </c>
      <c r="C54" s="89">
        <v>129632.0</v>
      </c>
      <c r="D54" s="89">
        <v>129950.0</v>
      </c>
      <c r="E54" s="12">
        <f t="shared" si="48"/>
        <v>318</v>
      </c>
      <c r="F54" s="157">
        <v>40.0</v>
      </c>
      <c r="G54" s="14">
        <f t="shared" si="49"/>
        <v>12.57861635</v>
      </c>
      <c r="H54" s="89">
        <v>4783.0</v>
      </c>
      <c r="I54" s="137">
        <v>5123.0</v>
      </c>
      <c r="J54" s="89">
        <f t="shared" si="50"/>
        <v>340</v>
      </c>
      <c r="K54" s="89">
        <f t="shared" si="51"/>
        <v>40</v>
      </c>
      <c r="L54" s="152">
        <f t="shared" si="52"/>
        <v>11.76470588</v>
      </c>
      <c r="M54" s="126">
        <v>17240.0</v>
      </c>
      <c r="N54" s="338">
        <f t="shared" si="53"/>
        <v>689600</v>
      </c>
    </row>
    <row r="55">
      <c r="A55" s="154">
        <v>45763.0</v>
      </c>
      <c r="B55" s="156" t="s">
        <v>18</v>
      </c>
      <c r="C55" s="89">
        <v>129950.0</v>
      </c>
      <c r="D55" s="89">
        <v>130274.0</v>
      </c>
      <c r="E55" s="12">
        <f t="shared" si="48"/>
        <v>324</v>
      </c>
      <c r="F55" s="157">
        <v>43.0</v>
      </c>
      <c r="G55" s="14">
        <f t="shared" si="49"/>
        <v>13.27160494</v>
      </c>
      <c r="H55" s="89">
        <v>5123.0</v>
      </c>
      <c r="I55" s="137">
        <v>5463.0</v>
      </c>
      <c r="J55" s="89">
        <f t="shared" si="50"/>
        <v>340</v>
      </c>
      <c r="K55" s="89">
        <f t="shared" si="51"/>
        <v>43</v>
      </c>
      <c r="L55" s="152">
        <f t="shared" si="52"/>
        <v>12.64705882</v>
      </c>
      <c r="M55" s="126">
        <v>17240.0</v>
      </c>
      <c r="N55" s="339">
        <f t="shared" si="53"/>
        <v>741320</v>
      </c>
    </row>
    <row r="56">
      <c r="A56" s="154">
        <v>45768.0</v>
      </c>
      <c r="B56" s="156" t="s">
        <v>18</v>
      </c>
      <c r="C56" s="89">
        <v>130274.0</v>
      </c>
      <c r="D56" s="89">
        <v>130649.0</v>
      </c>
      <c r="E56" s="12">
        <f t="shared" si="48"/>
        <v>375</v>
      </c>
      <c r="F56" s="157">
        <v>48.0</v>
      </c>
      <c r="G56" s="14">
        <f t="shared" si="49"/>
        <v>12.8</v>
      </c>
      <c r="H56" s="89">
        <v>5463.0</v>
      </c>
      <c r="I56" s="137">
        <v>5803.0</v>
      </c>
      <c r="J56" s="89">
        <f t="shared" si="50"/>
        <v>340</v>
      </c>
      <c r="K56" s="89">
        <f t="shared" si="51"/>
        <v>48</v>
      </c>
      <c r="L56" s="152">
        <f t="shared" si="52"/>
        <v>14.11764706</v>
      </c>
      <c r="M56" s="126">
        <v>17030.0</v>
      </c>
      <c r="N56" s="342">
        <f t="shared" si="53"/>
        <v>817440</v>
      </c>
    </row>
    <row r="57">
      <c r="A57" s="154">
        <v>45771.0</v>
      </c>
      <c r="B57" s="156" t="s">
        <v>18</v>
      </c>
      <c r="C57" s="89">
        <v>130649.0</v>
      </c>
      <c r="D57" s="89">
        <v>130986.0</v>
      </c>
      <c r="E57" s="53">
        <f t="shared" si="48"/>
        <v>337</v>
      </c>
      <c r="F57" s="157">
        <v>45.0</v>
      </c>
      <c r="G57" s="14">
        <f t="shared" si="49"/>
        <v>13.35311573</v>
      </c>
      <c r="H57" s="89">
        <v>5803.0</v>
      </c>
      <c r="I57" s="137"/>
      <c r="J57" s="89">
        <f t="shared" si="50"/>
        <v>-5803</v>
      </c>
      <c r="K57" s="89">
        <f t="shared" si="51"/>
        <v>45</v>
      </c>
      <c r="L57" s="152">
        <f t="shared" si="52"/>
        <v>-0.7754609685</v>
      </c>
      <c r="M57" s="126">
        <v>17520.0</v>
      </c>
      <c r="N57" s="342">
        <f t="shared" si="53"/>
        <v>788400</v>
      </c>
    </row>
    <row r="58">
      <c r="A58" s="316"/>
      <c r="B58" s="99" t="s">
        <v>18</v>
      </c>
      <c r="C58" s="149"/>
      <c r="D58" s="149"/>
      <c r="E58" s="25">
        <f t="shared" si="48"/>
        <v>0</v>
      </c>
      <c r="F58" s="161"/>
      <c r="G58" s="56" t="str">
        <f t="shared" si="49"/>
        <v>#DIV/0!</v>
      </c>
      <c r="H58" s="149"/>
      <c r="I58" s="151"/>
      <c r="J58" s="149">
        <f t="shared" si="50"/>
        <v>0</v>
      </c>
      <c r="K58" s="149" t="str">
        <f t="shared" si="51"/>
        <v/>
      </c>
      <c r="L58" s="152" t="str">
        <f t="shared" si="52"/>
        <v>#DIV/0!</v>
      </c>
      <c r="M58" s="153"/>
      <c r="N58" s="340">
        <f t="shared" si="53"/>
        <v>0</v>
      </c>
    </row>
    <row r="59">
      <c r="A59" s="62"/>
      <c r="B59" s="63"/>
      <c r="C59" s="62"/>
      <c r="D59" s="64" t="s">
        <v>19</v>
      </c>
      <c r="E59" s="64">
        <f t="shared" ref="E59:F59" si="54">sum(E52:E58)</f>
        <v>1925</v>
      </c>
      <c r="F59" s="64">
        <f t="shared" si="54"/>
        <v>253</v>
      </c>
      <c r="G59" s="65" t="str">
        <f>average(G52:G58)</f>
        <v>#DIV/0!</v>
      </c>
      <c r="H59" s="62"/>
      <c r="I59" s="66"/>
      <c r="J59" s="64">
        <f t="shared" ref="J59:K59" si="55">sum(J52:J58)</f>
        <v>-3873</v>
      </c>
      <c r="K59" s="64">
        <f t="shared" si="55"/>
        <v>253</v>
      </c>
      <c r="L59" s="65" t="str">
        <f>average(L52:L58)</f>
        <v>#DIV/0!</v>
      </c>
      <c r="M59" s="68"/>
      <c r="N59" s="341">
        <f>sum(N52:N58)</f>
        <v>4447510</v>
      </c>
    </row>
    <row r="60">
      <c r="A60" s="70">
        <v>45750.0</v>
      </c>
      <c r="B60" s="302" t="s">
        <v>20</v>
      </c>
      <c r="C60" s="89">
        <v>373815.0</v>
      </c>
      <c r="D60" s="41">
        <v>374611.0</v>
      </c>
      <c r="E60" s="38">
        <f t="shared" ref="E60:E66" si="56">D60-C60</f>
        <v>796</v>
      </c>
      <c r="F60" s="39">
        <v>90.0</v>
      </c>
      <c r="G60" s="14">
        <f t="shared" ref="G60:G66" si="57">(F60/E60)*100</f>
        <v>11.30653266</v>
      </c>
      <c r="H60" s="137">
        <v>12238.0</v>
      </c>
      <c r="I60" s="138">
        <v>13103.0</v>
      </c>
      <c r="J60" s="41">
        <f t="shared" ref="J60:J66" si="58">I60-H60</f>
        <v>865</v>
      </c>
      <c r="K60" s="41">
        <f t="shared" ref="K60:K66" si="59">F60</f>
        <v>90</v>
      </c>
      <c r="L60" s="152">
        <f t="shared" ref="L60:L66" si="60">(K60/J60)*100</f>
        <v>10.40462428</v>
      </c>
      <c r="M60" s="72">
        <v>18210.0</v>
      </c>
      <c r="N60" s="347">
        <f t="shared" ref="N60:N66" si="61">F60*M60</f>
        <v>1638900</v>
      </c>
    </row>
    <row r="61">
      <c r="A61" s="154">
        <v>45763.0</v>
      </c>
      <c r="B61" s="156" t="s">
        <v>20</v>
      </c>
      <c r="C61" s="89">
        <v>374611.0</v>
      </c>
      <c r="D61" s="89">
        <v>375370.0</v>
      </c>
      <c r="E61" s="12">
        <f t="shared" si="56"/>
        <v>759</v>
      </c>
      <c r="F61" s="157">
        <v>97.0</v>
      </c>
      <c r="G61" s="14">
        <f t="shared" si="57"/>
        <v>12.77997365</v>
      </c>
      <c r="H61" s="89">
        <v>13103.0</v>
      </c>
      <c r="I61" s="137">
        <v>13825.0</v>
      </c>
      <c r="J61" s="89">
        <f t="shared" si="58"/>
        <v>722</v>
      </c>
      <c r="K61" s="41">
        <f t="shared" si="59"/>
        <v>97</v>
      </c>
      <c r="L61" s="152">
        <f t="shared" si="60"/>
        <v>13.43490305</v>
      </c>
      <c r="M61" s="126">
        <v>17240.0</v>
      </c>
      <c r="N61" s="338">
        <f t="shared" si="61"/>
        <v>1672280</v>
      </c>
    </row>
    <row r="62">
      <c r="A62" s="154">
        <v>45770.0</v>
      </c>
      <c r="B62" s="156" t="s">
        <v>20</v>
      </c>
      <c r="C62" s="89">
        <v>375370.0</v>
      </c>
      <c r="D62" s="89">
        <v>376063.0</v>
      </c>
      <c r="E62" s="12">
        <f t="shared" si="56"/>
        <v>693</v>
      </c>
      <c r="F62" s="157">
        <v>85.0</v>
      </c>
      <c r="G62" s="14">
        <f t="shared" si="57"/>
        <v>12.26551227</v>
      </c>
      <c r="H62" s="89">
        <v>13825.0</v>
      </c>
      <c r="I62" s="137"/>
      <c r="J62" s="89">
        <f t="shared" si="58"/>
        <v>-13825</v>
      </c>
      <c r="K62" s="268">
        <f t="shared" si="59"/>
        <v>85</v>
      </c>
      <c r="L62" s="152">
        <f t="shared" si="60"/>
        <v>-0.6148282098</v>
      </c>
      <c r="M62" s="126">
        <v>17030.0</v>
      </c>
      <c r="N62" s="339">
        <f t="shared" si="61"/>
        <v>1447550</v>
      </c>
    </row>
    <row r="63">
      <c r="A63" s="154"/>
      <c r="B63" s="156" t="s">
        <v>20</v>
      </c>
      <c r="C63" s="89"/>
      <c r="D63" s="89"/>
      <c r="E63" s="12">
        <f t="shared" si="56"/>
        <v>0</v>
      </c>
      <c r="F63" s="157"/>
      <c r="G63" s="14" t="str">
        <f t="shared" si="57"/>
        <v>#DIV/0!</v>
      </c>
      <c r="H63" s="89"/>
      <c r="I63" s="137"/>
      <c r="J63" s="89">
        <f t="shared" si="58"/>
        <v>0</v>
      </c>
      <c r="K63" s="89" t="str">
        <f t="shared" si="59"/>
        <v/>
      </c>
      <c r="L63" s="152" t="str">
        <f t="shared" si="60"/>
        <v>#DIV/0!</v>
      </c>
      <c r="M63" s="126"/>
      <c r="N63" s="342">
        <f t="shared" si="61"/>
        <v>0</v>
      </c>
    </row>
    <row r="64">
      <c r="A64" s="154"/>
      <c r="B64" s="156" t="s">
        <v>20</v>
      </c>
      <c r="C64" s="89"/>
      <c r="D64" s="89"/>
      <c r="E64" s="12">
        <f t="shared" si="56"/>
        <v>0</v>
      </c>
      <c r="F64" s="157"/>
      <c r="G64" s="14" t="str">
        <f t="shared" si="57"/>
        <v>#DIV/0!</v>
      </c>
      <c r="H64" s="89"/>
      <c r="I64" s="137"/>
      <c r="J64" s="89">
        <f t="shared" si="58"/>
        <v>0</v>
      </c>
      <c r="K64" s="89" t="str">
        <f t="shared" si="59"/>
        <v/>
      </c>
      <c r="L64" s="152" t="str">
        <f t="shared" si="60"/>
        <v>#DIV/0!</v>
      </c>
      <c r="M64" s="126"/>
      <c r="N64" s="342">
        <f t="shared" si="61"/>
        <v>0</v>
      </c>
    </row>
    <row r="65">
      <c r="A65" s="320"/>
      <c r="B65" s="99" t="s">
        <v>20</v>
      </c>
      <c r="C65" s="89"/>
      <c r="D65" s="158"/>
      <c r="E65" s="12">
        <f t="shared" si="56"/>
        <v>0</v>
      </c>
      <c r="F65" s="321"/>
      <c r="G65" s="14" t="str">
        <f t="shared" si="57"/>
        <v>#DIV/0!</v>
      </c>
      <c r="H65" s="89"/>
      <c r="I65" s="159"/>
      <c r="J65" s="89">
        <f t="shared" si="58"/>
        <v>0</v>
      </c>
      <c r="K65" s="89" t="str">
        <f t="shared" si="59"/>
        <v/>
      </c>
      <c r="L65" s="152" t="str">
        <f t="shared" si="60"/>
        <v>#DIV/0!</v>
      </c>
      <c r="M65" s="322"/>
      <c r="N65" s="342">
        <f t="shared" si="61"/>
        <v>0</v>
      </c>
    </row>
    <row r="66">
      <c r="A66" s="305"/>
      <c r="B66" s="323"/>
      <c r="C66" s="149"/>
      <c r="D66" s="150"/>
      <c r="E66" s="25">
        <f t="shared" si="56"/>
        <v>0</v>
      </c>
      <c r="F66" s="307"/>
      <c r="G66" s="56" t="str">
        <f t="shared" si="57"/>
        <v>#DIV/0!</v>
      </c>
      <c r="H66" s="149"/>
      <c r="I66" s="151"/>
      <c r="J66" s="149">
        <f t="shared" si="58"/>
        <v>0</v>
      </c>
      <c r="K66" s="149" t="str">
        <f t="shared" si="59"/>
        <v/>
      </c>
      <c r="L66" s="152" t="str">
        <f t="shared" si="60"/>
        <v>#DIV/0!</v>
      </c>
      <c r="M66" s="308"/>
      <c r="N66" s="340">
        <f t="shared" si="61"/>
        <v>0</v>
      </c>
    </row>
    <row r="67">
      <c r="A67" s="62"/>
      <c r="B67" s="63"/>
      <c r="C67" s="62"/>
      <c r="D67" s="64" t="s">
        <v>19</v>
      </c>
      <c r="E67" s="64">
        <f t="shared" ref="E67:F67" si="62">sum(E60:E66)</f>
        <v>2248</v>
      </c>
      <c r="F67" s="64">
        <f t="shared" si="62"/>
        <v>272</v>
      </c>
      <c r="G67" s="65" t="str">
        <f>average(G60:G66)</f>
        <v>#DIV/0!</v>
      </c>
      <c r="H67" s="62"/>
      <c r="I67" s="66"/>
      <c r="J67" s="64">
        <f t="shared" ref="J67:K67" si="63">sum(J60:J66)</f>
        <v>-12238</v>
      </c>
      <c r="K67" s="64">
        <f t="shared" si="63"/>
        <v>272</v>
      </c>
      <c r="L67" s="65" t="str">
        <f>average(L60:L66)</f>
        <v>#DIV/0!</v>
      </c>
      <c r="M67" s="68"/>
      <c r="N67" s="341">
        <f>sum(N60:N66)</f>
        <v>4758730</v>
      </c>
    </row>
    <row r="68">
      <c r="A68" s="91">
        <v>45748.0</v>
      </c>
      <c r="B68" s="302" t="s">
        <v>21</v>
      </c>
      <c r="C68" s="89">
        <v>356265.0</v>
      </c>
      <c r="D68" s="41">
        <v>356924.0</v>
      </c>
      <c r="E68" s="38">
        <f t="shared" ref="E68:E74" si="64">D68-C68</f>
        <v>659</v>
      </c>
      <c r="F68" s="39">
        <v>75.0</v>
      </c>
      <c r="G68" s="14">
        <f t="shared" ref="G68:G74" si="65">(F68/E68)*100</f>
        <v>11.38088012</v>
      </c>
      <c r="H68" s="137">
        <v>3701.0</v>
      </c>
      <c r="I68" s="137">
        <v>4346.0</v>
      </c>
      <c r="J68" s="41">
        <f t="shared" ref="J68:J74" si="66">I68-H68</f>
        <v>645</v>
      </c>
      <c r="K68" s="41">
        <f t="shared" ref="K68:K74" si="67">F68</f>
        <v>75</v>
      </c>
      <c r="L68" s="152">
        <f t="shared" ref="L68:L74" si="68">(K68/J68)*100</f>
        <v>11.62790698</v>
      </c>
      <c r="M68" s="72">
        <v>18210.0</v>
      </c>
      <c r="N68" s="336">
        <f t="shared" ref="N68:N74" si="69">F68*M68</f>
        <v>1365750</v>
      </c>
    </row>
    <row r="69">
      <c r="A69" s="154">
        <v>45756.0</v>
      </c>
      <c r="B69" s="156" t="s">
        <v>21</v>
      </c>
      <c r="C69" s="41">
        <v>356924.0</v>
      </c>
      <c r="D69" s="89">
        <v>357368.0</v>
      </c>
      <c r="E69" s="12">
        <f t="shared" si="64"/>
        <v>444</v>
      </c>
      <c r="F69" s="157">
        <v>80.0</v>
      </c>
      <c r="G69" s="14">
        <f t="shared" si="65"/>
        <v>18.01801802</v>
      </c>
      <c r="H69" s="89">
        <v>4346.0</v>
      </c>
      <c r="I69" s="137">
        <v>4800.0</v>
      </c>
      <c r="J69" s="89">
        <f t="shared" si="66"/>
        <v>454</v>
      </c>
      <c r="K69" s="89">
        <f t="shared" si="67"/>
        <v>80</v>
      </c>
      <c r="L69" s="152">
        <f t="shared" si="68"/>
        <v>17.62114537</v>
      </c>
      <c r="M69" s="126">
        <v>18470.0</v>
      </c>
      <c r="N69" s="338">
        <f t="shared" si="69"/>
        <v>1477600</v>
      </c>
    </row>
    <row r="70">
      <c r="A70" s="154">
        <v>45762.0</v>
      </c>
      <c r="B70" s="156" t="s">
        <v>21</v>
      </c>
      <c r="C70" s="89">
        <v>357368.0</v>
      </c>
      <c r="D70" s="89">
        <v>357864.0</v>
      </c>
      <c r="E70" s="12">
        <f t="shared" si="64"/>
        <v>496</v>
      </c>
      <c r="F70" s="157">
        <v>77.0</v>
      </c>
      <c r="G70" s="14">
        <f t="shared" si="65"/>
        <v>15.52419355</v>
      </c>
      <c r="H70" s="89">
        <v>4800.0</v>
      </c>
      <c r="I70" s="137">
        <v>5345.0</v>
      </c>
      <c r="J70" s="89">
        <f t="shared" si="66"/>
        <v>545</v>
      </c>
      <c r="K70" s="89">
        <f t="shared" si="67"/>
        <v>77</v>
      </c>
      <c r="L70" s="152">
        <f t="shared" si="68"/>
        <v>14.12844037</v>
      </c>
      <c r="M70" s="126">
        <v>17240.0</v>
      </c>
      <c r="N70" s="338">
        <f t="shared" si="69"/>
        <v>1327480</v>
      </c>
    </row>
    <row r="71">
      <c r="A71" s="324">
        <v>45769.0</v>
      </c>
      <c r="B71" s="156" t="s">
        <v>21</v>
      </c>
      <c r="C71" s="89">
        <v>357864.0</v>
      </c>
      <c r="D71" s="89">
        <v>358424.0</v>
      </c>
      <c r="E71" s="12">
        <f t="shared" si="64"/>
        <v>560</v>
      </c>
      <c r="F71" s="157">
        <v>83.0</v>
      </c>
      <c r="G71" s="14">
        <f t="shared" si="65"/>
        <v>14.82142857</v>
      </c>
      <c r="H71" s="89">
        <v>5345.0</v>
      </c>
      <c r="I71" s="137">
        <v>5891.0</v>
      </c>
      <c r="J71" s="89">
        <f t="shared" si="66"/>
        <v>546</v>
      </c>
      <c r="K71" s="89">
        <f t="shared" si="67"/>
        <v>83</v>
      </c>
      <c r="L71" s="152">
        <f t="shared" si="68"/>
        <v>15.2014652</v>
      </c>
      <c r="M71" s="126">
        <v>17030.0</v>
      </c>
      <c r="N71" s="348">
        <f t="shared" si="69"/>
        <v>1413490</v>
      </c>
    </row>
    <row r="72">
      <c r="A72" s="154">
        <v>45775.0</v>
      </c>
      <c r="B72" s="156" t="s">
        <v>21</v>
      </c>
      <c r="C72" s="89">
        <v>358424.0</v>
      </c>
      <c r="D72" s="89">
        <v>358982.0</v>
      </c>
      <c r="E72" s="12">
        <f t="shared" si="64"/>
        <v>558</v>
      </c>
      <c r="F72" s="157">
        <v>80.0</v>
      </c>
      <c r="G72" s="14">
        <f t="shared" si="65"/>
        <v>14.33691756</v>
      </c>
      <c r="H72" s="89">
        <v>5891.0</v>
      </c>
      <c r="I72" s="137"/>
      <c r="J72" s="89">
        <f t="shared" si="66"/>
        <v>-5891</v>
      </c>
      <c r="K72" s="89">
        <f t="shared" si="67"/>
        <v>80</v>
      </c>
      <c r="L72" s="152">
        <f t="shared" si="68"/>
        <v>-1.358003735</v>
      </c>
      <c r="M72" s="126">
        <v>17520.0</v>
      </c>
      <c r="N72" s="342">
        <f t="shared" si="69"/>
        <v>1401600</v>
      </c>
    </row>
    <row r="73">
      <c r="A73" s="155"/>
      <c r="B73" s="99" t="s">
        <v>37</v>
      </c>
      <c r="C73" s="89"/>
      <c r="D73" s="89"/>
      <c r="E73" s="12">
        <f t="shared" si="64"/>
        <v>0</v>
      </c>
      <c r="F73" s="157"/>
      <c r="G73" s="14" t="str">
        <f t="shared" si="65"/>
        <v>#DIV/0!</v>
      </c>
      <c r="H73" s="89"/>
      <c r="I73" s="159"/>
      <c r="J73" s="89">
        <f t="shared" si="66"/>
        <v>0</v>
      </c>
      <c r="K73" s="89" t="str">
        <f t="shared" si="67"/>
        <v/>
      </c>
      <c r="L73" s="152" t="str">
        <f t="shared" si="68"/>
        <v>#DIV/0!</v>
      </c>
      <c r="M73" s="126"/>
      <c r="N73" s="342">
        <f t="shared" si="69"/>
        <v>0</v>
      </c>
    </row>
    <row r="74">
      <c r="A74" s="305"/>
      <c r="B74" s="323"/>
      <c r="C74" s="149"/>
      <c r="D74" s="150"/>
      <c r="E74" s="25">
        <f t="shared" si="64"/>
        <v>0</v>
      </c>
      <c r="F74" s="307"/>
      <c r="G74" s="56" t="str">
        <f t="shared" si="65"/>
        <v>#DIV/0!</v>
      </c>
      <c r="H74" s="149"/>
      <c r="I74" s="151"/>
      <c r="J74" s="149">
        <f t="shared" si="66"/>
        <v>0</v>
      </c>
      <c r="K74" s="149" t="str">
        <f t="shared" si="67"/>
        <v/>
      </c>
      <c r="L74" s="152" t="str">
        <f t="shared" si="68"/>
        <v>#DIV/0!</v>
      </c>
      <c r="M74" s="308"/>
      <c r="N74" s="340">
        <f t="shared" si="69"/>
        <v>0</v>
      </c>
    </row>
    <row r="75">
      <c r="A75" s="62"/>
      <c r="B75" s="63"/>
      <c r="C75" s="62"/>
      <c r="D75" s="64" t="s">
        <v>19</v>
      </c>
      <c r="E75" s="64">
        <f t="shared" ref="E75:F75" si="70">sum(E68:E74)</f>
        <v>2717</v>
      </c>
      <c r="F75" s="64">
        <f t="shared" si="70"/>
        <v>395</v>
      </c>
      <c r="G75" s="65" t="str">
        <f>average(G68:G74)</f>
        <v>#DIV/0!</v>
      </c>
      <c r="H75" s="62"/>
      <c r="I75" s="66"/>
      <c r="J75" s="64">
        <f t="shared" ref="J75:K75" si="71">sum(J68:J74)</f>
        <v>-3701</v>
      </c>
      <c r="K75" s="64">
        <f t="shared" si="71"/>
        <v>395</v>
      </c>
      <c r="L75" s="65" t="str">
        <f>average(L68:L74)</f>
        <v>#DIV/0!</v>
      </c>
      <c r="M75" s="68"/>
      <c r="N75" s="341">
        <f>sum(N68:N74)</f>
        <v>6985920</v>
      </c>
    </row>
    <row r="76">
      <c r="A76" s="70">
        <v>45751.0</v>
      </c>
      <c r="B76" s="314" t="s">
        <v>100</v>
      </c>
      <c r="C76" s="89">
        <v>192586.0</v>
      </c>
      <c r="D76" s="41">
        <v>193128.0</v>
      </c>
      <c r="E76" s="38">
        <f t="shared" ref="E76:E82" si="72">D76-C76</f>
        <v>542</v>
      </c>
      <c r="F76" s="39">
        <v>70.0</v>
      </c>
      <c r="G76" s="14">
        <f t="shared" ref="G76:G82" si="73">(F76/E76)*100</f>
        <v>12.91512915</v>
      </c>
      <c r="H76" s="89">
        <v>4701.0</v>
      </c>
      <c r="I76" s="138">
        <v>5820.0</v>
      </c>
      <c r="J76" s="41">
        <f t="shared" ref="J76:J82" si="74">I76-H76</f>
        <v>1119</v>
      </c>
      <c r="K76" s="41">
        <f t="shared" ref="K76:K82" si="75">F76</f>
        <v>70</v>
      </c>
      <c r="L76" s="152">
        <f t="shared" ref="L76:L82" si="76">(K76/J76)*100</f>
        <v>6.255585344</v>
      </c>
      <c r="M76" s="72">
        <v>18470.0</v>
      </c>
      <c r="N76" s="336">
        <f t="shared" ref="N76:N82" si="77">F76*M76</f>
        <v>1292900</v>
      </c>
    </row>
    <row r="77">
      <c r="A77" s="154">
        <v>45758.0</v>
      </c>
      <c r="B77" s="156" t="s">
        <v>100</v>
      </c>
      <c r="C77" s="89">
        <v>193128.0</v>
      </c>
      <c r="D77" s="89">
        <v>58794.0</v>
      </c>
      <c r="E77" s="12">
        <f t="shared" si="72"/>
        <v>-134334</v>
      </c>
      <c r="F77" s="157">
        <v>65.0</v>
      </c>
      <c r="G77" s="14">
        <f t="shared" si="73"/>
        <v>-0.04838685664</v>
      </c>
      <c r="H77" s="89">
        <v>5820.0</v>
      </c>
      <c r="I77" s="137">
        <v>6463.0</v>
      </c>
      <c r="J77" s="89">
        <f t="shared" si="74"/>
        <v>643</v>
      </c>
      <c r="K77" s="89">
        <f t="shared" si="75"/>
        <v>65</v>
      </c>
      <c r="L77" s="152">
        <f t="shared" si="76"/>
        <v>10.1088647</v>
      </c>
      <c r="M77" s="126">
        <v>17240.0</v>
      </c>
      <c r="N77" s="338">
        <f t="shared" si="77"/>
        <v>1120600</v>
      </c>
    </row>
    <row r="78">
      <c r="A78" s="272" t="s">
        <v>102</v>
      </c>
      <c r="B78" s="156" t="s">
        <v>100</v>
      </c>
      <c r="C78" s="89">
        <v>58794.0</v>
      </c>
      <c r="D78" s="89">
        <v>64296.0</v>
      </c>
      <c r="E78" s="12">
        <f t="shared" si="72"/>
        <v>5502</v>
      </c>
      <c r="F78" s="157">
        <v>71.0</v>
      </c>
      <c r="G78" s="14">
        <f t="shared" si="73"/>
        <v>1.29043984</v>
      </c>
      <c r="H78" s="89">
        <v>6463.0</v>
      </c>
      <c r="I78" s="137">
        <v>7107.0</v>
      </c>
      <c r="J78" s="89">
        <f t="shared" si="74"/>
        <v>644</v>
      </c>
      <c r="K78" s="89">
        <f t="shared" si="75"/>
        <v>71</v>
      </c>
      <c r="L78" s="152">
        <f t="shared" si="76"/>
        <v>11.02484472</v>
      </c>
      <c r="M78" s="126">
        <v>17030.0</v>
      </c>
      <c r="N78" s="339">
        <f t="shared" si="77"/>
        <v>1209130</v>
      </c>
    </row>
    <row r="79">
      <c r="A79" s="154">
        <v>45772.0</v>
      </c>
      <c r="B79" s="156" t="s">
        <v>100</v>
      </c>
      <c r="C79" s="89">
        <v>64296.0</v>
      </c>
      <c r="D79" s="89">
        <v>70032.0</v>
      </c>
      <c r="E79" s="12">
        <f t="shared" si="72"/>
        <v>5736</v>
      </c>
      <c r="F79" s="157">
        <v>77.0</v>
      </c>
      <c r="G79" s="14">
        <f t="shared" si="73"/>
        <v>1.342398884</v>
      </c>
      <c r="H79" s="89">
        <v>7107.0</v>
      </c>
      <c r="I79" s="137"/>
      <c r="J79" s="89">
        <f t="shared" si="74"/>
        <v>-7107</v>
      </c>
      <c r="K79" s="89">
        <f t="shared" si="75"/>
        <v>77</v>
      </c>
      <c r="L79" s="152">
        <f t="shared" si="76"/>
        <v>-1.083438863</v>
      </c>
      <c r="M79" s="126">
        <v>17520.0</v>
      </c>
      <c r="N79" s="339">
        <f t="shared" si="77"/>
        <v>1349040</v>
      </c>
    </row>
    <row r="80">
      <c r="A80" s="154"/>
      <c r="B80" s="156" t="s">
        <v>100</v>
      </c>
      <c r="C80" s="89"/>
      <c r="D80" s="89"/>
      <c r="E80" s="12">
        <f t="shared" si="72"/>
        <v>0</v>
      </c>
      <c r="F80" s="157"/>
      <c r="G80" s="14" t="str">
        <f t="shared" si="73"/>
        <v>#DIV/0!</v>
      </c>
      <c r="H80" s="89"/>
      <c r="I80" s="137"/>
      <c r="J80" s="89">
        <f t="shared" si="74"/>
        <v>0</v>
      </c>
      <c r="K80" s="89" t="str">
        <f t="shared" si="75"/>
        <v/>
      </c>
      <c r="L80" s="152" t="str">
        <f t="shared" si="76"/>
        <v>#DIV/0!</v>
      </c>
      <c r="M80" s="126"/>
      <c r="N80" s="339">
        <f t="shared" si="77"/>
        <v>0</v>
      </c>
    </row>
    <row r="81">
      <c r="A81" s="320"/>
      <c r="B81" s="156" t="s">
        <v>100</v>
      </c>
      <c r="C81" s="89"/>
      <c r="D81" s="158"/>
      <c r="E81" s="12">
        <f t="shared" si="72"/>
        <v>0</v>
      </c>
      <c r="F81" s="321"/>
      <c r="G81" s="14" t="str">
        <f t="shared" si="73"/>
        <v>#DIV/0!</v>
      </c>
      <c r="H81" s="89"/>
      <c r="I81" s="159"/>
      <c r="J81" s="89">
        <f t="shared" si="74"/>
        <v>0</v>
      </c>
      <c r="K81" s="89" t="str">
        <f t="shared" si="75"/>
        <v/>
      </c>
      <c r="L81" s="152" t="str">
        <f t="shared" si="76"/>
        <v>#DIV/0!</v>
      </c>
      <c r="M81" s="322"/>
      <c r="N81" s="342">
        <f t="shared" si="77"/>
        <v>0</v>
      </c>
    </row>
    <row r="82">
      <c r="A82" s="305"/>
      <c r="B82" s="306"/>
      <c r="C82" s="149"/>
      <c r="D82" s="150"/>
      <c r="E82" s="25">
        <f t="shared" si="72"/>
        <v>0</v>
      </c>
      <c r="F82" s="307"/>
      <c r="G82" s="56" t="str">
        <f t="shared" si="73"/>
        <v>#DIV/0!</v>
      </c>
      <c r="H82" s="149"/>
      <c r="I82" s="151"/>
      <c r="J82" s="149">
        <f t="shared" si="74"/>
        <v>0</v>
      </c>
      <c r="K82" s="149" t="str">
        <f t="shared" si="75"/>
        <v/>
      </c>
      <c r="L82" s="152" t="str">
        <f t="shared" si="76"/>
        <v>#DIV/0!</v>
      </c>
      <c r="M82" s="308"/>
      <c r="N82" s="340">
        <f t="shared" si="77"/>
        <v>0</v>
      </c>
    </row>
    <row r="83">
      <c r="A83" s="62"/>
      <c r="B83" s="63"/>
      <c r="C83" s="62"/>
      <c r="D83" s="64" t="s">
        <v>19</v>
      </c>
      <c r="E83" s="64">
        <f t="shared" ref="E83:F83" si="78">sum(E76:E82)</f>
        <v>-122554</v>
      </c>
      <c r="F83" s="64">
        <f t="shared" si="78"/>
        <v>283</v>
      </c>
      <c r="G83" s="65" t="str">
        <f>average(G76:G82)</f>
        <v>#DIV/0!</v>
      </c>
      <c r="H83" s="62"/>
      <c r="I83" s="66"/>
      <c r="J83" s="64">
        <f t="shared" ref="J83:K83" si="79">sum(J76:J82)</f>
        <v>-4701</v>
      </c>
      <c r="K83" s="64">
        <f t="shared" si="79"/>
        <v>283</v>
      </c>
      <c r="L83" s="65" t="str">
        <f>average(L76:L82)</f>
        <v>#DIV/0!</v>
      </c>
      <c r="M83" s="68"/>
      <c r="N83" s="341">
        <f>sum(N76:N82)</f>
        <v>4971670</v>
      </c>
    </row>
    <row r="84">
      <c r="A84" s="261" t="s">
        <v>103</v>
      </c>
      <c r="B84" s="156" t="s">
        <v>38</v>
      </c>
      <c r="C84" s="301">
        <v>143918.0</v>
      </c>
      <c r="D84" s="41">
        <v>144630.0</v>
      </c>
      <c r="E84" s="38">
        <f t="shared" ref="E84:E89" si="80">D84-C84</f>
        <v>712</v>
      </c>
      <c r="F84" s="39">
        <v>84.0</v>
      </c>
      <c r="G84" s="14">
        <f t="shared" ref="G84:G89" si="81">(F84/E84)*100</f>
        <v>11.79775281</v>
      </c>
      <c r="H84" s="137">
        <v>4307.0</v>
      </c>
      <c r="I84" s="138">
        <v>4955.0</v>
      </c>
      <c r="J84" s="41">
        <f t="shared" ref="J84:J87" si="82">I84-H84</f>
        <v>648</v>
      </c>
      <c r="K84" s="41">
        <f t="shared" ref="K84:K89" si="83">F84</f>
        <v>84</v>
      </c>
      <c r="L84" s="152">
        <f t="shared" ref="L84:L89" si="84">(K84/J84)*100</f>
        <v>12.96296296</v>
      </c>
      <c r="M84" s="72">
        <v>18210.0</v>
      </c>
      <c r="N84" s="336">
        <f t="shared" ref="N84:N89" si="85">F84*M84</f>
        <v>1529640</v>
      </c>
    </row>
    <row r="85">
      <c r="A85" s="155">
        <v>45756.0</v>
      </c>
      <c r="B85" s="156" t="s">
        <v>38</v>
      </c>
      <c r="C85" s="89">
        <v>144630.0</v>
      </c>
      <c r="D85" s="89">
        <v>145230.0</v>
      </c>
      <c r="E85" s="38">
        <f t="shared" si="80"/>
        <v>600</v>
      </c>
      <c r="F85" s="157">
        <v>79.0</v>
      </c>
      <c r="G85" s="14">
        <f t="shared" si="81"/>
        <v>13.16666667</v>
      </c>
      <c r="H85" s="89">
        <v>4955.0</v>
      </c>
      <c r="I85" s="137">
        <v>5603.0</v>
      </c>
      <c r="J85" s="89">
        <f t="shared" si="82"/>
        <v>648</v>
      </c>
      <c r="K85" s="89">
        <f t="shared" si="83"/>
        <v>79</v>
      </c>
      <c r="L85" s="152">
        <f t="shared" si="84"/>
        <v>12.19135802</v>
      </c>
      <c r="M85" s="126">
        <v>18470.0</v>
      </c>
      <c r="N85" s="336">
        <f t="shared" si="85"/>
        <v>1459130</v>
      </c>
    </row>
    <row r="86">
      <c r="A86" s="155">
        <v>45762.0</v>
      </c>
      <c r="B86" s="156" t="s">
        <v>38</v>
      </c>
      <c r="C86" s="89">
        <v>145230.0</v>
      </c>
      <c r="D86" s="41">
        <v>145824.0</v>
      </c>
      <c r="E86" s="38">
        <f t="shared" si="80"/>
        <v>594</v>
      </c>
      <c r="F86" s="157">
        <v>75.0</v>
      </c>
      <c r="G86" s="14">
        <f t="shared" si="81"/>
        <v>12.62626263</v>
      </c>
      <c r="H86" s="89">
        <v>5603.0</v>
      </c>
      <c r="I86" s="137">
        <v>6141.0</v>
      </c>
      <c r="J86" s="89">
        <f t="shared" si="82"/>
        <v>538</v>
      </c>
      <c r="K86" s="89">
        <f t="shared" si="83"/>
        <v>75</v>
      </c>
      <c r="L86" s="152">
        <f t="shared" si="84"/>
        <v>13.94052045</v>
      </c>
      <c r="M86" s="126">
        <v>17240.0</v>
      </c>
      <c r="N86" s="349">
        <f t="shared" si="85"/>
        <v>1293000</v>
      </c>
    </row>
    <row r="87">
      <c r="A87" s="154">
        <v>45769.0</v>
      </c>
      <c r="B87" s="302" t="s">
        <v>38</v>
      </c>
      <c r="C87" s="41">
        <v>145824.0</v>
      </c>
      <c r="D87" s="376">
        <v>146342.0</v>
      </c>
      <c r="E87" s="38">
        <f t="shared" si="80"/>
        <v>518</v>
      </c>
      <c r="F87" s="157">
        <v>66.0</v>
      </c>
      <c r="G87" s="14">
        <f t="shared" si="81"/>
        <v>12.74131274</v>
      </c>
      <c r="H87" s="89">
        <v>6141.0</v>
      </c>
      <c r="I87" s="137">
        <v>6680.0</v>
      </c>
      <c r="J87" s="89">
        <f t="shared" si="82"/>
        <v>539</v>
      </c>
      <c r="K87" s="89">
        <f t="shared" si="83"/>
        <v>66</v>
      </c>
      <c r="L87" s="152">
        <f t="shared" si="84"/>
        <v>12.24489796</v>
      </c>
      <c r="M87" s="126">
        <v>17030.0</v>
      </c>
      <c r="N87" s="349">
        <f t="shared" si="85"/>
        <v>1123980</v>
      </c>
    </row>
    <row r="88">
      <c r="A88" s="70">
        <v>45775.0</v>
      </c>
      <c r="B88" s="302" t="s">
        <v>38</v>
      </c>
      <c r="C88" s="89">
        <v>146342.0</v>
      </c>
      <c r="D88" s="41">
        <v>146969.0</v>
      </c>
      <c r="E88" s="38">
        <f t="shared" si="80"/>
        <v>627</v>
      </c>
      <c r="F88" s="157">
        <v>78.0</v>
      </c>
      <c r="G88" s="14">
        <f t="shared" si="81"/>
        <v>12.44019139</v>
      </c>
      <c r="H88" s="137">
        <v>6680.0</v>
      </c>
      <c r="I88" s="137"/>
      <c r="J88" s="89"/>
      <c r="K88" s="89">
        <f t="shared" si="83"/>
        <v>78</v>
      </c>
      <c r="L88" s="152" t="str">
        <f t="shared" si="84"/>
        <v>#DIV/0!</v>
      </c>
      <c r="M88" s="126">
        <v>17520.0</v>
      </c>
      <c r="N88" s="350">
        <f t="shared" si="85"/>
        <v>1366560</v>
      </c>
    </row>
    <row r="89">
      <c r="A89" s="154"/>
      <c r="B89" s="306"/>
      <c r="C89" s="89"/>
      <c r="D89" s="89"/>
      <c r="E89" s="38">
        <f t="shared" si="80"/>
        <v>0</v>
      </c>
      <c r="F89" s="157"/>
      <c r="G89" s="14" t="str">
        <f t="shared" si="81"/>
        <v>#DIV/0!</v>
      </c>
      <c r="H89" s="89"/>
      <c r="I89" s="137"/>
      <c r="J89" s="89"/>
      <c r="K89" s="89" t="str">
        <f t="shared" si="83"/>
        <v/>
      </c>
      <c r="L89" s="351" t="str">
        <f t="shared" si="84"/>
        <v>#DIV/0!</v>
      </c>
      <c r="M89" s="126"/>
      <c r="N89" s="350">
        <f t="shared" si="85"/>
        <v>0</v>
      </c>
    </row>
    <row r="90">
      <c r="A90" s="352"/>
      <c r="B90" s="375"/>
      <c r="C90" s="353"/>
      <c r="D90" s="354" t="s">
        <v>19</v>
      </c>
      <c r="E90" s="355">
        <f t="shared" ref="E90:F90" si="86">SUM(E84:E89)</f>
        <v>3051</v>
      </c>
      <c r="F90" s="355">
        <f t="shared" si="86"/>
        <v>382</v>
      </c>
      <c r="G90" s="356" t="str">
        <f>average(G84:G89)</f>
        <v>#DIV/0!</v>
      </c>
      <c r="H90" s="353"/>
      <c r="I90" s="357"/>
      <c r="J90" s="354">
        <f t="shared" ref="J90:K90" si="87">sum(J84:J89)</f>
        <v>2373</v>
      </c>
      <c r="K90" s="354">
        <f t="shared" si="87"/>
        <v>382</v>
      </c>
      <c r="L90" s="358" t="str">
        <f>average(L84:L89)</f>
        <v>#DIV/0!</v>
      </c>
      <c r="M90" s="359"/>
      <c r="N90" s="360">
        <f>sum(N84:N89)</f>
        <v>6772310</v>
      </c>
    </row>
    <row r="91">
      <c r="A91" s="122">
        <v>45750.0</v>
      </c>
      <c r="B91" s="323" t="s">
        <v>39</v>
      </c>
      <c r="C91" s="89">
        <v>94993.0</v>
      </c>
      <c r="D91" s="89">
        <v>95763.0</v>
      </c>
      <c r="E91" s="38">
        <f t="shared" ref="E91:E97" si="88">D91-C91</f>
        <v>770</v>
      </c>
      <c r="F91" s="157">
        <v>87.0</v>
      </c>
      <c r="G91" s="124">
        <f t="shared" ref="G91:G97" si="89">(F91/E91)*100</f>
        <v>11.2987013</v>
      </c>
      <c r="H91" s="137">
        <v>6556.0</v>
      </c>
      <c r="I91" s="137">
        <v>7165.0</v>
      </c>
      <c r="J91" s="89">
        <f t="shared" ref="J91:J97" si="90">I91-H91</f>
        <v>609</v>
      </c>
      <c r="K91" s="89">
        <f t="shared" ref="K91:K97" si="91">F91</f>
        <v>87</v>
      </c>
      <c r="L91" s="330">
        <f t="shared" ref="L91:L97" si="92">(K91/J91)*100</f>
        <v>14.28571429</v>
      </c>
      <c r="M91" s="126">
        <v>18470.0</v>
      </c>
      <c r="N91" s="361">
        <f>M91*K91</f>
        <v>1606890</v>
      </c>
    </row>
    <row r="92">
      <c r="A92" s="8">
        <v>45731.0</v>
      </c>
      <c r="B92" s="323" t="s">
        <v>39</v>
      </c>
      <c r="C92" s="13">
        <v>95763.0</v>
      </c>
      <c r="D92" s="13">
        <v>96470.0</v>
      </c>
      <c r="E92" s="12">
        <f t="shared" si="88"/>
        <v>707</v>
      </c>
      <c r="F92" s="13">
        <v>75.0</v>
      </c>
      <c r="G92" s="14">
        <f t="shared" si="89"/>
        <v>10.60820368</v>
      </c>
      <c r="H92" s="13">
        <v>7165.0</v>
      </c>
      <c r="I92" s="16">
        <v>7890.0</v>
      </c>
      <c r="J92" s="89">
        <f t="shared" si="90"/>
        <v>725</v>
      </c>
      <c r="K92" s="89">
        <f t="shared" si="91"/>
        <v>75</v>
      </c>
      <c r="L92" s="330">
        <f t="shared" si="92"/>
        <v>10.34482759</v>
      </c>
      <c r="M92" s="18">
        <v>17240.0</v>
      </c>
      <c r="N92" s="362">
        <f t="shared" ref="N92:N97" si="93">F92*M92</f>
        <v>1293000</v>
      </c>
      <c r="S92" s="257"/>
      <c r="T92" s="257"/>
      <c r="U92" s="257"/>
      <c r="V92" s="257"/>
      <c r="W92" s="257"/>
      <c r="X92" s="257"/>
      <c r="Y92" s="257"/>
      <c r="Z92" s="257"/>
    </row>
    <row r="93">
      <c r="A93" s="154">
        <v>45769.0</v>
      </c>
      <c r="B93" s="323" t="s">
        <v>39</v>
      </c>
      <c r="C93" s="89">
        <v>96470.0</v>
      </c>
      <c r="D93" s="89">
        <v>97177.0</v>
      </c>
      <c r="E93" s="12">
        <f t="shared" si="88"/>
        <v>707</v>
      </c>
      <c r="F93" s="157">
        <v>82.0</v>
      </c>
      <c r="G93" s="14">
        <f t="shared" si="89"/>
        <v>11.59830269</v>
      </c>
      <c r="H93" s="89">
        <v>7890.0</v>
      </c>
      <c r="I93" s="137">
        <v>8616.0</v>
      </c>
      <c r="J93" s="89">
        <f t="shared" si="90"/>
        <v>726</v>
      </c>
      <c r="K93" s="89">
        <f t="shared" si="91"/>
        <v>82</v>
      </c>
      <c r="L93" s="330">
        <f t="shared" si="92"/>
        <v>11.29476584</v>
      </c>
      <c r="M93" s="126">
        <v>17030.0</v>
      </c>
      <c r="N93" s="362">
        <f t="shared" si="93"/>
        <v>1396460</v>
      </c>
      <c r="P93" s="82"/>
    </row>
    <row r="94">
      <c r="A94" s="154"/>
      <c r="B94" s="323" t="s">
        <v>39</v>
      </c>
      <c r="C94" s="89"/>
      <c r="D94" s="89"/>
      <c r="E94" s="12">
        <f t="shared" si="88"/>
        <v>0</v>
      </c>
      <c r="F94" s="157"/>
      <c r="G94" s="14" t="str">
        <f t="shared" si="89"/>
        <v>#DIV/0!</v>
      </c>
      <c r="H94" s="89"/>
      <c r="I94" s="137"/>
      <c r="J94" s="89">
        <f t="shared" si="90"/>
        <v>0</v>
      </c>
      <c r="K94" s="89" t="str">
        <f t="shared" si="91"/>
        <v/>
      </c>
      <c r="L94" s="152" t="str">
        <f t="shared" si="92"/>
        <v>#DIV/0!</v>
      </c>
      <c r="M94" s="126"/>
      <c r="N94" s="339">
        <f t="shared" si="93"/>
        <v>0</v>
      </c>
    </row>
    <row r="95">
      <c r="A95" s="154"/>
      <c r="B95" s="156"/>
      <c r="C95" s="89"/>
      <c r="D95" s="89"/>
      <c r="E95" s="12">
        <f t="shared" si="88"/>
        <v>0</v>
      </c>
      <c r="F95" s="157"/>
      <c r="G95" s="14" t="str">
        <f t="shared" si="89"/>
        <v>#DIV/0!</v>
      </c>
      <c r="H95" s="89"/>
      <c r="I95" s="137"/>
      <c r="J95" s="89">
        <f t="shared" si="90"/>
        <v>0</v>
      </c>
      <c r="K95" s="89" t="str">
        <f t="shared" si="91"/>
        <v/>
      </c>
      <c r="L95" s="152" t="str">
        <f t="shared" si="92"/>
        <v>#DIV/0!</v>
      </c>
      <c r="M95" s="126"/>
      <c r="N95" s="342">
        <f t="shared" si="93"/>
        <v>0</v>
      </c>
    </row>
    <row r="96">
      <c r="A96" s="320"/>
      <c r="B96" s="99"/>
      <c r="C96" s="89"/>
      <c r="D96" s="158"/>
      <c r="E96" s="12">
        <f t="shared" si="88"/>
        <v>0</v>
      </c>
      <c r="F96" s="321"/>
      <c r="G96" s="14" t="str">
        <f t="shared" si="89"/>
        <v>#DIV/0!</v>
      </c>
      <c r="H96" s="89"/>
      <c r="I96" s="159"/>
      <c r="J96" s="89">
        <f t="shared" si="90"/>
        <v>0</v>
      </c>
      <c r="K96" s="89" t="str">
        <f t="shared" si="91"/>
        <v/>
      </c>
      <c r="L96" s="152" t="str">
        <f t="shared" si="92"/>
        <v>#DIV/0!</v>
      </c>
      <c r="M96" s="322"/>
      <c r="N96" s="342">
        <f t="shared" si="93"/>
        <v>0</v>
      </c>
    </row>
    <row r="97">
      <c r="A97" s="305"/>
      <c r="B97" s="323"/>
      <c r="C97" s="149"/>
      <c r="D97" s="150"/>
      <c r="E97" s="25">
        <f t="shared" si="88"/>
        <v>0</v>
      </c>
      <c r="F97" s="307"/>
      <c r="G97" s="56" t="str">
        <f t="shared" si="89"/>
        <v>#DIV/0!</v>
      </c>
      <c r="H97" s="149"/>
      <c r="I97" s="151"/>
      <c r="J97" s="149">
        <f t="shared" si="90"/>
        <v>0</v>
      </c>
      <c r="K97" s="149" t="str">
        <f t="shared" si="91"/>
        <v/>
      </c>
      <c r="L97" s="152" t="str">
        <f t="shared" si="92"/>
        <v>#DIV/0!</v>
      </c>
      <c r="M97" s="308"/>
      <c r="N97" s="340">
        <f t="shared" si="93"/>
        <v>0</v>
      </c>
    </row>
    <row r="98">
      <c r="A98" s="62"/>
      <c r="B98" s="63"/>
      <c r="C98" s="62"/>
      <c r="D98" s="64" t="s">
        <v>19</v>
      </c>
      <c r="E98" s="64">
        <f t="shared" ref="E98:F98" si="94">sum(E84:E97)</f>
        <v>8286</v>
      </c>
      <c r="F98" s="64">
        <f t="shared" si="94"/>
        <v>1008</v>
      </c>
      <c r="G98" s="65" t="str">
        <f>average(G84:G97)</f>
        <v>#DIV/0!</v>
      </c>
      <c r="H98" s="62"/>
      <c r="I98" s="66"/>
      <c r="J98" s="64">
        <f t="shared" ref="J98:K98" si="95">sum(J84:J97)</f>
        <v>6806</v>
      </c>
      <c r="K98" s="64">
        <f t="shared" si="95"/>
        <v>1008</v>
      </c>
      <c r="L98" s="65" t="str">
        <f>average(L84:L97)</f>
        <v>#DIV/0!</v>
      </c>
      <c r="M98" s="68"/>
      <c r="N98" s="341">
        <f>sum(N91:N97)</f>
        <v>4296350</v>
      </c>
    </row>
    <row r="99">
      <c r="A99" s="70">
        <v>45752.0</v>
      </c>
      <c r="B99" s="156" t="s">
        <v>40</v>
      </c>
      <c r="C99" s="89">
        <v>89178.0</v>
      </c>
      <c r="D99" s="13">
        <v>89828.0</v>
      </c>
      <c r="E99" s="38">
        <f t="shared" ref="E99:E105" si="96">D99-C99</f>
        <v>650</v>
      </c>
      <c r="F99" s="39">
        <v>76.0</v>
      </c>
      <c r="G99" s="14">
        <f t="shared" ref="G99:G105" si="97">(F99/E99)*100</f>
        <v>11.69230769</v>
      </c>
      <c r="H99" s="89">
        <v>87982.0</v>
      </c>
      <c r="I99" s="138">
        <v>88603.0</v>
      </c>
      <c r="J99" s="41">
        <f t="shared" ref="J99:J105" si="98">I99-H99</f>
        <v>621</v>
      </c>
      <c r="K99" s="41">
        <f t="shared" ref="K99:K105" si="99">F99</f>
        <v>76</v>
      </c>
      <c r="L99" s="152">
        <f t="shared" ref="L99:L105" si="100">(K99/J99)*100</f>
        <v>12.23832528</v>
      </c>
      <c r="M99" s="72">
        <v>18470.0</v>
      </c>
      <c r="N99" s="336">
        <f t="shared" ref="N99:N105" si="101">F99*M99</f>
        <v>1403720</v>
      </c>
    </row>
    <row r="100">
      <c r="A100" s="154">
        <v>45759.0</v>
      </c>
      <c r="B100" s="156" t="s">
        <v>40</v>
      </c>
      <c r="C100" s="89">
        <v>89828.0</v>
      </c>
      <c r="D100" s="89">
        <v>90317.0</v>
      </c>
      <c r="E100" s="12">
        <f t="shared" si="96"/>
        <v>489</v>
      </c>
      <c r="F100" s="157">
        <v>60.0</v>
      </c>
      <c r="G100" s="14">
        <f t="shared" si="97"/>
        <v>12.26993865</v>
      </c>
      <c r="H100" s="89">
        <v>88603.0</v>
      </c>
      <c r="I100" s="137">
        <v>89500.0</v>
      </c>
      <c r="J100" s="89">
        <f t="shared" si="98"/>
        <v>897</v>
      </c>
      <c r="K100" s="89">
        <f t="shared" si="99"/>
        <v>60</v>
      </c>
      <c r="L100" s="152">
        <f t="shared" si="100"/>
        <v>6.688963211</v>
      </c>
      <c r="M100" s="126">
        <v>17240.0</v>
      </c>
      <c r="N100" s="338">
        <f t="shared" si="101"/>
        <v>1034400</v>
      </c>
    </row>
    <row r="101">
      <c r="A101" s="154">
        <v>45763.0</v>
      </c>
      <c r="B101" s="156" t="s">
        <v>40</v>
      </c>
      <c r="C101" s="89">
        <v>90317.0</v>
      </c>
      <c r="D101" s="89">
        <v>90916.0</v>
      </c>
      <c r="E101" s="12">
        <f t="shared" si="96"/>
        <v>599</v>
      </c>
      <c r="F101" s="157">
        <v>68.0</v>
      </c>
      <c r="G101" s="14">
        <f t="shared" si="97"/>
        <v>11.35225376</v>
      </c>
      <c r="H101" s="89">
        <v>89500.0</v>
      </c>
      <c r="I101" s="137">
        <v>90397.0</v>
      </c>
      <c r="J101" s="89">
        <f t="shared" si="98"/>
        <v>897</v>
      </c>
      <c r="K101" s="89">
        <f t="shared" si="99"/>
        <v>68</v>
      </c>
      <c r="L101" s="152">
        <f t="shared" si="100"/>
        <v>7.580824972</v>
      </c>
      <c r="M101" s="126">
        <v>17240.0</v>
      </c>
      <c r="N101" s="339">
        <f t="shared" si="101"/>
        <v>1172320</v>
      </c>
    </row>
    <row r="102">
      <c r="A102" s="154">
        <v>45768.0</v>
      </c>
      <c r="B102" s="156" t="s">
        <v>40</v>
      </c>
      <c r="C102" s="89">
        <v>90916.0</v>
      </c>
      <c r="D102" s="89">
        <v>91501.0</v>
      </c>
      <c r="E102" s="12">
        <f t="shared" si="96"/>
        <v>585</v>
      </c>
      <c r="F102" s="157">
        <v>70.0</v>
      </c>
      <c r="G102" s="14">
        <f t="shared" si="97"/>
        <v>11.96581197</v>
      </c>
      <c r="H102" s="89">
        <v>90397.0</v>
      </c>
      <c r="I102" s="137">
        <v>91295.0</v>
      </c>
      <c r="J102" s="89">
        <f t="shared" si="98"/>
        <v>898</v>
      </c>
      <c r="K102" s="89">
        <f t="shared" si="99"/>
        <v>70</v>
      </c>
      <c r="L102" s="152">
        <f t="shared" si="100"/>
        <v>7.795100223</v>
      </c>
      <c r="M102" s="126">
        <v>17030.0</v>
      </c>
      <c r="N102" s="339">
        <f t="shared" si="101"/>
        <v>1192100</v>
      </c>
    </row>
    <row r="103">
      <c r="A103" s="154">
        <v>45775.0</v>
      </c>
      <c r="B103" s="156" t="s">
        <v>40</v>
      </c>
      <c r="C103" s="89">
        <v>91501.0</v>
      </c>
      <c r="D103" s="89">
        <v>92115.0</v>
      </c>
      <c r="E103" s="12">
        <f t="shared" si="96"/>
        <v>614</v>
      </c>
      <c r="F103" s="157">
        <v>73.0</v>
      </c>
      <c r="G103" s="14">
        <f t="shared" si="97"/>
        <v>11.88925081</v>
      </c>
      <c r="H103" s="89">
        <v>91295.0</v>
      </c>
      <c r="I103" s="137"/>
      <c r="J103" s="89">
        <f t="shared" si="98"/>
        <v>-91295</v>
      </c>
      <c r="K103" s="89">
        <f t="shared" si="99"/>
        <v>73</v>
      </c>
      <c r="L103" s="152">
        <f t="shared" si="100"/>
        <v>-0.07996056739</v>
      </c>
      <c r="M103" s="126">
        <v>17520.0</v>
      </c>
      <c r="N103" s="339">
        <f t="shared" si="101"/>
        <v>1278960</v>
      </c>
    </row>
    <row r="104">
      <c r="A104" s="320"/>
      <c r="B104" s="123"/>
      <c r="C104" s="89"/>
      <c r="D104" s="158"/>
      <c r="E104" s="12">
        <f t="shared" si="96"/>
        <v>0</v>
      </c>
      <c r="F104" s="321"/>
      <c r="G104" s="14" t="str">
        <f t="shared" si="97"/>
        <v>#DIV/0!</v>
      </c>
      <c r="H104" s="89"/>
      <c r="I104" s="159"/>
      <c r="J104" s="89">
        <f t="shared" si="98"/>
        <v>0</v>
      </c>
      <c r="K104" s="89" t="str">
        <f t="shared" si="99"/>
        <v/>
      </c>
      <c r="L104" s="152" t="str">
        <f t="shared" si="100"/>
        <v>#DIV/0!</v>
      </c>
      <c r="M104" s="322"/>
      <c r="N104" s="342">
        <f t="shared" si="101"/>
        <v>0</v>
      </c>
    </row>
    <row r="105">
      <c r="A105" s="305"/>
      <c r="B105" s="323"/>
      <c r="C105" s="149"/>
      <c r="D105" s="150"/>
      <c r="E105" s="25">
        <f t="shared" si="96"/>
        <v>0</v>
      </c>
      <c r="F105" s="307"/>
      <c r="G105" s="56" t="str">
        <f t="shared" si="97"/>
        <v>#DIV/0!</v>
      </c>
      <c r="H105" s="149"/>
      <c r="I105" s="151"/>
      <c r="J105" s="149">
        <f t="shared" si="98"/>
        <v>0</v>
      </c>
      <c r="K105" s="149" t="str">
        <f t="shared" si="99"/>
        <v/>
      </c>
      <c r="L105" s="152" t="str">
        <f t="shared" si="100"/>
        <v>#DIV/0!</v>
      </c>
      <c r="M105" s="308"/>
      <c r="N105" s="340">
        <f t="shared" si="101"/>
        <v>0</v>
      </c>
    </row>
    <row r="106">
      <c r="A106" s="62"/>
      <c r="B106" s="63"/>
      <c r="C106" s="62"/>
      <c r="D106" s="64" t="s">
        <v>19</v>
      </c>
      <c r="E106" s="64">
        <f t="shared" ref="E106:F106" si="102">sum(E99:E105)</f>
        <v>2937</v>
      </c>
      <c r="F106" s="64">
        <f t="shared" si="102"/>
        <v>347</v>
      </c>
      <c r="G106" s="65" t="str">
        <f>average(G99:G105)</f>
        <v>#DIV/0!</v>
      </c>
      <c r="H106" s="62"/>
      <c r="I106" s="66"/>
      <c r="J106" s="64">
        <f t="shared" ref="J106:K106" si="103">sum(J99:J105)</f>
        <v>-87982</v>
      </c>
      <c r="K106" s="64">
        <f t="shared" si="103"/>
        <v>347</v>
      </c>
      <c r="L106" s="65" t="str">
        <f>average(L99:L105)</f>
        <v>#DIV/0!</v>
      </c>
      <c r="M106" s="68"/>
      <c r="N106" s="341">
        <f>sum(N99:N105)</f>
        <v>6081500</v>
      </c>
    </row>
    <row r="107">
      <c r="A107" s="70">
        <v>45751.0</v>
      </c>
      <c r="B107" s="156" t="s">
        <v>27</v>
      </c>
      <c r="C107" s="89"/>
      <c r="D107" s="13"/>
      <c r="E107" s="38">
        <f t="shared" ref="E107:E114" si="104">D107-C107</f>
        <v>0</v>
      </c>
      <c r="F107" s="39">
        <v>70.0</v>
      </c>
      <c r="G107" s="14" t="str">
        <f t="shared" ref="G107:G114" si="105">(F107/E107)*100</f>
        <v>#DIV/0!</v>
      </c>
      <c r="H107" s="137">
        <v>86102.0</v>
      </c>
      <c r="I107" s="138"/>
      <c r="J107" s="41">
        <f t="shared" ref="J107:J114" si="106">I107-H107</f>
        <v>-86102</v>
      </c>
      <c r="K107" s="41">
        <v>65.0</v>
      </c>
      <c r="L107" s="152">
        <f t="shared" ref="L107:L114" si="107">(K107/J107)*100</f>
        <v>-0.07549185849</v>
      </c>
      <c r="M107" s="72">
        <v>18470.0</v>
      </c>
      <c r="N107" s="336">
        <f t="shared" ref="N107:N113" si="108">F107*M107</f>
        <v>1292900</v>
      </c>
    </row>
    <row r="108">
      <c r="A108" s="70">
        <v>45756.0</v>
      </c>
      <c r="B108" s="156" t="s">
        <v>27</v>
      </c>
      <c r="C108" s="89"/>
      <c r="D108" s="13"/>
      <c r="E108" s="38">
        <f t="shared" si="104"/>
        <v>0</v>
      </c>
      <c r="F108" s="39">
        <v>65.0</v>
      </c>
      <c r="G108" s="14" t="str">
        <f t="shared" si="105"/>
        <v>#DIV/0!</v>
      </c>
      <c r="H108" s="137">
        <v>86102.0</v>
      </c>
      <c r="I108" s="138"/>
      <c r="J108" s="41">
        <f t="shared" si="106"/>
        <v>-86102</v>
      </c>
      <c r="K108" s="41">
        <v>65.0</v>
      </c>
      <c r="L108" s="152">
        <f t="shared" si="107"/>
        <v>-0.07549185849</v>
      </c>
      <c r="M108" s="126">
        <v>18470.0</v>
      </c>
      <c r="N108" s="363">
        <f t="shared" si="108"/>
        <v>1200550</v>
      </c>
    </row>
    <row r="109">
      <c r="A109" s="154">
        <v>45760.0</v>
      </c>
      <c r="B109" s="156" t="s">
        <v>27</v>
      </c>
      <c r="C109" s="89"/>
      <c r="D109" s="89"/>
      <c r="E109" s="12">
        <f t="shared" si="104"/>
        <v>0</v>
      </c>
      <c r="F109" s="157">
        <v>70.0</v>
      </c>
      <c r="G109" s="14" t="str">
        <f t="shared" si="105"/>
        <v>#DIV/0!</v>
      </c>
      <c r="H109" s="89"/>
      <c r="I109" s="137"/>
      <c r="J109" s="89">
        <f t="shared" si="106"/>
        <v>0</v>
      </c>
      <c r="K109" s="89">
        <f t="shared" ref="K109:K110" si="109">F109</f>
        <v>70</v>
      </c>
      <c r="L109" s="152" t="str">
        <f t="shared" si="107"/>
        <v>#DIV/0!</v>
      </c>
      <c r="M109" s="126">
        <v>17240.0</v>
      </c>
      <c r="N109" s="363">
        <f t="shared" si="108"/>
        <v>1206800</v>
      </c>
    </row>
    <row r="110">
      <c r="A110" s="154">
        <v>45763.0</v>
      </c>
      <c r="B110" s="156" t="s">
        <v>27</v>
      </c>
      <c r="C110" s="89"/>
      <c r="D110" s="89"/>
      <c r="E110" s="12">
        <f t="shared" si="104"/>
        <v>0</v>
      </c>
      <c r="F110" s="157">
        <v>58.0</v>
      </c>
      <c r="G110" s="14" t="str">
        <f t="shared" si="105"/>
        <v>#DIV/0!</v>
      </c>
      <c r="H110" s="89"/>
      <c r="I110" s="137"/>
      <c r="J110" s="89">
        <f t="shared" si="106"/>
        <v>0</v>
      </c>
      <c r="K110" s="89">
        <f t="shared" si="109"/>
        <v>58</v>
      </c>
      <c r="L110" s="152" t="str">
        <f t="shared" si="107"/>
        <v>#DIV/0!</v>
      </c>
      <c r="M110" s="126">
        <v>17240.0</v>
      </c>
      <c r="N110" s="363">
        <f t="shared" si="108"/>
        <v>999920</v>
      </c>
    </row>
    <row r="111">
      <c r="A111" s="154">
        <v>45764.0</v>
      </c>
      <c r="B111" s="156" t="s">
        <v>27</v>
      </c>
      <c r="C111" s="89"/>
      <c r="D111" s="89"/>
      <c r="E111" s="12">
        <f t="shared" si="104"/>
        <v>0</v>
      </c>
      <c r="F111" s="157">
        <v>65.0</v>
      </c>
      <c r="G111" s="14" t="str">
        <f t="shared" si="105"/>
        <v>#DIV/0!</v>
      </c>
      <c r="H111" s="89"/>
      <c r="I111" s="137"/>
      <c r="J111" s="89">
        <f t="shared" si="106"/>
        <v>0</v>
      </c>
      <c r="K111" s="89">
        <v>65.0</v>
      </c>
      <c r="L111" s="152" t="str">
        <f t="shared" si="107"/>
        <v>#DIV/0!</v>
      </c>
      <c r="M111" s="126">
        <v>17030.0</v>
      </c>
      <c r="N111" s="363">
        <f t="shared" si="108"/>
        <v>1106950</v>
      </c>
    </row>
    <row r="112">
      <c r="A112" s="154">
        <v>45768.0</v>
      </c>
      <c r="B112" s="156" t="s">
        <v>27</v>
      </c>
      <c r="C112" s="89"/>
      <c r="D112" s="158"/>
      <c r="E112" s="12">
        <f t="shared" si="104"/>
        <v>0</v>
      </c>
      <c r="F112" s="157">
        <v>68.0</v>
      </c>
      <c r="G112" s="14" t="str">
        <f t="shared" si="105"/>
        <v>#DIV/0!</v>
      </c>
      <c r="H112" s="89"/>
      <c r="I112" s="159"/>
      <c r="J112" s="89">
        <f t="shared" si="106"/>
        <v>0</v>
      </c>
      <c r="K112" s="89">
        <f t="shared" ref="K112:K113" si="110">F112</f>
        <v>68</v>
      </c>
      <c r="L112" s="152" t="str">
        <f t="shared" si="107"/>
        <v>#DIV/0!</v>
      </c>
      <c r="M112" s="126">
        <v>17030.0</v>
      </c>
      <c r="N112" s="363">
        <f t="shared" si="108"/>
        <v>1158040</v>
      </c>
    </row>
    <row r="113">
      <c r="A113" s="154">
        <v>45773.0</v>
      </c>
      <c r="B113" s="156" t="s">
        <v>27</v>
      </c>
      <c r="C113" s="89"/>
      <c r="D113" s="158"/>
      <c r="E113" s="12">
        <f t="shared" si="104"/>
        <v>0</v>
      </c>
      <c r="F113" s="157">
        <v>67.0</v>
      </c>
      <c r="G113" s="14" t="str">
        <f t="shared" si="105"/>
        <v>#DIV/0!</v>
      </c>
      <c r="H113" s="89"/>
      <c r="I113" s="159"/>
      <c r="J113" s="89">
        <f t="shared" si="106"/>
        <v>0</v>
      </c>
      <c r="K113" s="89">
        <f t="shared" si="110"/>
        <v>67</v>
      </c>
      <c r="L113" s="152" t="str">
        <f t="shared" si="107"/>
        <v>#DIV/0!</v>
      </c>
      <c r="M113" s="126">
        <v>17520.0</v>
      </c>
      <c r="N113" s="363">
        <f t="shared" si="108"/>
        <v>1173840</v>
      </c>
    </row>
    <row r="114">
      <c r="A114" s="148">
        <v>45777.0</v>
      </c>
      <c r="B114" s="156" t="s">
        <v>27</v>
      </c>
      <c r="C114" s="149"/>
      <c r="D114" s="150"/>
      <c r="E114" s="25">
        <f t="shared" si="104"/>
        <v>0</v>
      </c>
      <c r="F114" s="161">
        <v>65.0</v>
      </c>
      <c r="G114" s="56" t="str">
        <f t="shared" si="105"/>
        <v>#DIV/0!</v>
      </c>
      <c r="H114" s="149"/>
      <c r="I114" s="151"/>
      <c r="J114" s="149">
        <f t="shared" si="106"/>
        <v>0</v>
      </c>
      <c r="K114" s="149">
        <v>65.0</v>
      </c>
      <c r="L114" s="152" t="str">
        <f t="shared" si="107"/>
        <v>#DIV/0!</v>
      </c>
      <c r="M114" s="153">
        <v>17520.0</v>
      </c>
      <c r="N114" s="363">
        <f>M114*K114</f>
        <v>1138800</v>
      </c>
    </row>
    <row r="115">
      <c r="A115" s="62"/>
      <c r="B115" s="63"/>
      <c r="C115" s="62"/>
      <c r="D115" s="64" t="s">
        <v>19</v>
      </c>
      <c r="E115" s="64">
        <f t="shared" ref="E115:F115" si="111">sum(E107:E114)</f>
        <v>0</v>
      </c>
      <c r="F115" s="64">
        <f t="shared" si="111"/>
        <v>528</v>
      </c>
      <c r="G115" s="65" t="str">
        <f>average(G107:G114)</f>
        <v>#DIV/0!</v>
      </c>
      <c r="H115" s="62"/>
      <c r="I115" s="66"/>
      <c r="J115" s="64">
        <f t="shared" ref="J115:K115" si="112">sum(J107:J114)</f>
        <v>-172204</v>
      </c>
      <c r="K115" s="64">
        <f t="shared" si="112"/>
        <v>523</v>
      </c>
      <c r="L115" s="65" t="str">
        <f>average(L107:L114)</f>
        <v>#DIV/0!</v>
      </c>
      <c r="M115" s="68"/>
      <c r="N115" s="364">
        <f>sum(N107:N114)</f>
        <v>9277800</v>
      </c>
    </row>
    <row r="116">
      <c r="A116" s="198" t="s">
        <v>64</v>
      </c>
      <c r="B116" s="165"/>
      <c r="C116" s="165"/>
      <c r="D116" s="165"/>
      <c r="E116" s="165"/>
      <c r="F116" s="377">
        <f>sum(F10+F18+F27+F35+F43+F51+F59+F67+F75+F83+F90+F98+F106+F115)</f>
        <v>4961</v>
      </c>
      <c r="G116" s="165"/>
      <c r="H116" s="165"/>
      <c r="I116" s="165"/>
      <c r="J116" s="165"/>
      <c r="K116" s="165"/>
      <c r="L116" s="165"/>
      <c r="M116" s="166"/>
      <c r="N116" s="365">
        <f>sum(N10+N18+N27+N35+N43+N51+N59+N67+N75+N83+N90+N98+N106+N115)</f>
        <v>73855460</v>
      </c>
    </row>
    <row r="117">
      <c r="G117" s="168"/>
      <c r="L117" s="168"/>
    </row>
    <row r="118" ht="31.5" customHeight="1">
      <c r="D118" s="170" t="s">
        <v>45</v>
      </c>
      <c r="E118" s="171"/>
      <c r="G118" s="168"/>
      <c r="L118" s="168"/>
      <c r="Q118" s="197" t="s">
        <v>97</v>
      </c>
    </row>
    <row r="119">
      <c r="A119" s="248" t="s">
        <v>1</v>
      </c>
      <c r="B119" s="172" t="s">
        <v>2</v>
      </c>
      <c r="C119" s="166" t="s">
        <v>3</v>
      </c>
      <c r="D119" s="166" t="s">
        <v>4</v>
      </c>
      <c r="E119" s="166" t="s">
        <v>5</v>
      </c>
      <c r="F119" s="166" t="s">
        <v>6</v>
      </c>
      <c r="G119" s="173" t="s">
        <v>7</v>
      </c>
      <c r="H119" s="174" t="s">
        <v>8</v>
      </c>
      <c r="I119" s="175" t="s">
        <v>8</v>
      </c>
      <c r="J119" s="166" t="s">
        <v>5</v>
      </c>
      <c r="K119" s="166" t="s">
        <v>6</v>
      </c>
      <c r="L119" s="173" t="s">
        <v>7</v>
      </c>
      <c r="M119" s="166" t="s">
        <v>9</v>
      </c>
      <c r="N119" s="176" t="s">
        <v>10</v>
      </c>
    </row>
    <row r="120">
      <c r="A120" s="70">
        <v>45755.0</v>
      </c>
      <c r="B120" s="156" t="s">
        <v>46</v>
      </c>
      <c r="C120" s="13"/>
      <c r="D120" s="13"/>
      <c r="E120" s="12"/>
      <c r="F120" s="39"/>
      <c r="G120" s="14"/>
      <c r="H120" s="89"/>
      <c r="I120" s="138"/>
      <c r="J120" s="41"/>
      <c r="K120" s="41"/>
      <c r="L120" s="152" t="str">
        <f t="shared" ref="L120:L124" si="113">(K120/J120)*100</f>
        <v>#DIV/0!</v>
      </c>
      <c r="M120" s="72"/>
      <c r="N120" s="366">
        <v>6600000.0</v>
      </c>
    </row>
    <row r="121">
      <c r="A121" s="70">
        <v>38099.0</v>
      </c>
      <c r="B121" s="156" t="s">
        <v>46</v>
      </c>
      <c r="C121" s="13"/>
      <c r="D121" s="13"/>
      <c r="E121" s="12">
        <f t="shared" ref="E121:E124" si="114">D121-C121</f>
        <v>0</v>
      </c>
      <c r="F121" s="39">
        <v>352.32</v>
      </c>
      <c r="G121" s="14" t="str">
        <f t="shared" ref="G121:G124" si="115">(F121/E121)*100</f>
        <v>#DIV/0!</v>
      </c>
      <c r="H121" s="89">
        <v>1780.0</v>
      </c>
      <c r="I121" s="138">
        <v>2671.0</v>
      </c>
      <c r="J121" s="41">
        <f t="shared" ref="J121:J124" si="116">I121-H121</f>
        <v>891</v>
      </c>
      <c r="K121" s="41">
        <f t="shared" ref="K121:K124" si="117">F121</f>
        <v>352.32</v>
      </c>
      <c r="L121" s="152">
        <f t="shared" si="113"/>
        <v>39.54208754</v>
      </c>
      <c r="M121" s="72">
        <v>17030.0</v>
      </c>
      <c r="N121" s="366">
        <f>M121*K121</f>
        <v>6000009.6</v>
      </c>
    </row>
    <row r="122">
      <c r="A122" s="154"/>
      <c r="B122" s="156" t="s">
        <v>46</v>
      </c>
      <c r="C122" s="89"/>
      <c r="D122" s="89"/>
      <c r="E122" s="12">
        <f t="shared" si="114"/>
        <v>0</v>
      </c>
      <c r="F122" s="157"/>
      <c r="G122" s="14" t="str">
        <f t="shared" si="115"/>
        <v>#DIV/0!</v>
      </c>
      <c r="H122" s="89"/>
      <c r="I122" s="137"/>
      <c r="J122" s="89">
        <f t="shared" si="116"/>
        <v>0</v>
      </c>
      <c r="K122" s="89" t="str">
        <f t="shared" si="117"/>
        <v/>
      </c>
      <c r="L122" s="152" t="str">
        <f t="shared" si="113"/>
        <v>#DIV/0!</v>
      </c>
      <c r="M122" s="126"/>
      <c r="N122" s="367">
        <f t="shared" ref="N122:N124" si="118">F122*M122</f>
        <v>0</v>
      </c>
    </row>
    <row r="123">
      <c r="A123" s="154"/>
      <c r="B123" s="156" t="s">
        <v>46</v>
      </c>
      <c r="C123" s="89"/>
      <c r="D123" s="89"/>
      <c r="E123" s="12">
        <f t="shared" si="114"/>
        <v>0</v>
      </c>
      <c r="F123" s="157"/>
      <c r="G123" s="14" t="str">
        <f t="shared" si="115"/>
        <v>#DIV/0!</v>
      </c>
      <c r="H123" s="89"/>
      <c r="I123" s="137"/>
      <c r="J123" s="89">
        <f t="shared" si="116"/>
        <v>0</v>
      </c>
      <c r="K123" s="89" t="str">
        <f t="shared" si="117"/>
        <v/>
      </c>
      <c r="L123" s="152" t="str">
        <f t="shared" si="113"/>
        <v>#DIV/0!</v>
      </c>
      <c r="M123" s="126"/>
      <c r="N123" s="367">
        <f t="shared" si="118"/>
        <v>0</v>
      </c>
    </row>
    <row r="124">
      <c r="A124" s="154"/>
      <c r="B124" s="156"/>
      <c r="C124" s="89"/>
      <c r="D124" s="89"/>
      <c r="E124" s="12">
        <f t="shared" si="114"/>
        <v>0</v>
      </c>
      <c r="F124" s="157"/>
      <c r="G124" s="14" t="str">
        <f t="shared" si="115"/>
        <v>#DIV/0!</v>
      </c>
      <c r="H124" s="89"/>
      <c r="I124" s="137"/>
      <c r="J124" s="89">
        <f t="shared" si="116"/>
        <v>0</v>
      </c>
      <c r="K124" s="89" t="str">
        <f t="shared" si="117"/>
        <v/>
      </c>
      <c r="L124" s="152" t="str">
        <f t="shared" si="113"/>
        <v>#DIV/0!</v>
      </c>
      <c r="M124" s="126"/>
      <c r="N124" s="367">
        <f t="shared" si="118"/>
        <v>0</v>
      </c>
    </row>
    <row r="125">
      <c r="A125" s="62"/>
      <c r="B125" s="63"/>
      <c r="C125" s="62"/>
      <c r="D125" s="64" t="s">
        <v>19</v>
      </c>
      <c r="E125" s="64">
        <f t="shared" ref="E125:F125" si="119">sum(E120:E124)</f>
        <v>0</v>
      </c>
      <c r="F125" s="64">
        <f t="shared" si="119"/>
        <v>352.32</v>
      </c>
      <c r="G125" s="65" t="str">
        <f>average(G120:G124)</f>
        <v>#DIV/0!</v>
      </c>
      <c r="H125" s="62"/>
      <c r="I125" s="66"/>
      <c r="J125" s="64">
        <f t="shared" ref="J125:K125" si="120">sum(J120:J124)</f>
        <v>891</v>
      </c>
      <c r="K125" s="64">
        <f t="shared" si="120"/>
        <v>352.32</v>
      </c>
      <c r="L125" s="65" t="str">
        <f>average(L120:L124)</f>
        <v>#DIV/0!</v>
      </c>
      <c r="M125" s="68"/>
      <c r="N125" s="368">
        <f>sum(N120:N124)</f>
        <v>12600009.6</v>
      </c>
    </row>
    <row r="126">
      <c r="A126" s="70">
        <v>45751.0</v>
      </c>
      <c r="B126" s="156" t="s">
        <v>48</v>
      </c>
      <c r="C126" s="89">
        <v>448780.0</v>
      </c>
      <c r="D126" s="13"/>
      <c r="E126" s="38">
        <f t="shared" ref="E126:E130" si="121">D126-C126</f>
        <v>-448780</v>
      </c>
      <c r="F126" s="157">
        <v>297.78</v>
      </c>
      <c r="G126" s="14">
        <f t="shared" ref="G126:G130" si="122">(F126/E126)*100</f>
        <v>-0.0663532243</v>
      </c>
      <c r="H126" s="89"/>
      <c r="I126" s="138"/>
      <c r="J126" s="41">
        <f t="shared" ref="J126:J130" si="123">I126-H126</f>
        <v>0</v>
      </c>
      <c r="K126" s="41">
        <v>297.78</v>
      </c>
      <c r="L126" s="152" t="str">
        <f t="shared" ref="L126:L130" si="124">(K126/J126)*100</f>
        <v>#DIV/0!</v>
      </c>
      <c r="M126" s="72">
        <v>18470.0</v>
      </c>
      <c r="N126" s="371">
        <f>M126*K126</f>
        <v>5499996.6</v>
      </c>
    </row>
    <row r="127">
      <c r="A127" s="154">
        <v>45773.0</v>
      </c>
      <c r="B127" s="156"/>
      <c r="C127" s="89"/>
      <c r="D127" s="89"/>
      <c r="E127" s="12">
        <f t="shared" si="121"/>
        <v>0</v>
      </c>
      <c r="F127" s="157"/>
      <c r="G127" s="14" t="str">
        <f t="shared" si="122"/>
        <v>#DIV/0!</v>
      </c>
      <c r="H127" s="89"/>
      <c r="I127" s="137"/>
      <c r="J127" s="89">
        <f t="shared" si="123"/>
        <v>0</v>
      </c>
      <c r="K127" s="89" t="str">
        <f t="shared" ref="K127:K130" si="125">F127</f>
        <v/>
      </c>
      <c r="L127" s="152" t="str">
        <f t="shared" si="124"/>
        <v>#DIV/0!</v>
      </c>
      <c r="M127" s="126"/>
      <c r="N127" s="372">
        <v>5200000.0</v>
      </c>
    </row>
    <row r="128">
      <c r="A128" s="154"/>
      <c r="B128" s="156"/>
      <c r="C128" s="89"/>
      <c r="D128" s="89"/>
      <c r="E128" s="12">
        <f t="shared" si="121"/>
        <v>0</v>
      </c>
      <c r="F128" s="157"/>
      <c r="G128" s="14" t="str">
        <f t="shared" si="122"/>
        <v>#DIV/0!</v>
      </c>
      <c r="H128" s="89"/>
      <c r="I128" s="137"/>
      <c r="J128" s="89">
        <f t="shared" si="123"/>
        <v>0</v>
      </c>
      <c r="K128" s="89" t="str">
        <f t="shared" si="125"/>
        <v/>
      </c>
      <c r="L128" s="152" t="str">
        <f t="shared" si="124"/>
        <v>#DIV/0!</v>
      </c>
      <c r="M128" s="126"/>
      <c r="N128" s="367">
        <f t="shared" ref="N128:N130" si="126">F128*M128</f>
        <v>0</v>
      </c>
    </row>
    <row r="129">
      <c r="A129" s="154"/>
      <c r="B129" s="156"/>
      <c r="C129" s="89"/>
      <c r="D129" s="89"/>
      <c r="E129" s="12">
        <f t="shared" si="121"/>
        <v>0</v>
      </c>
      <c r="F129" s="157"/>
      <c r="G129" s="14" t="str">
        <f t="shared" si="122"/>
        <v>#DIV/0!</v>
      </c>
      <c r="H129" s="89"/>
      <c r="I129" s="137"/>
      <c r="J129" s="89">
        <f t="shared" si="123"/>
        <v>0</v>
      </c>
      <c r="K129" s="89" t="str">
        <f t="shared" si="125"/>
        <v/>
      </c>
      <c r="L129" s="152" t="str">
        <f t="shared" si="124"/>
        <v>#DIV/0!</v>
      </c>
      <c r="M129" s="126"/>
      <c r="N129" s="367">
        <f t="shared" si="126"/>
        <v>0</v>
      </c>
    </row>
    <row r="130">
      <c r="A130" s="154"/>
      <c r="B130" s="156"/>
      <c r="C130" s="89"/>
      <c r="D130" s="89"/>
      <c r="E130" s="12">
        <f t="shared" si="121"/>
        <v>0</v>
      </c>
      <c r="F130" s="157"/>
      <c r="G130" s="14" t="str">
        <f t="shared" si="122"/>
        <v>#DIV/0!</v>
      </c>
      <c r="H130" s="89"/>
      <c r="I130" s="137"/>
      <c r="J130" s="89">
        <f t="shared" si="123"/>
        <v>0</v>
      </c>
      <c r="K130" s="89" t="str">
        <f t="shared" si="125"/>
        <v/>
      </c>
      <c r="L130" s="152" t="str">
        <f t="shared" si="124"/>
        <v>#DIV/0!</v>
      </c>
      <c r="M130" s="126"/>
      <c r="N130" s="367">
        <f t="shared" si="126"/>
        <v>0</v>
      </c>
    </row>
    <row r="131">
      <c r="A131" s="62"/>
      <c r="B131" s="63"/>
      <c r="C131" s="62"/>
      <c r="D131" s="64" t="s">
        <v>19</v>
      </c>
      <c r="E131" s="64">
        <f t="shared" ref="E131:F131" si="127">sum(E126:E130)</f>
        <v>-448780</v>
      </c>
      <c r="F131" s="64">
        <f t="shared" si="127"/>
        <v>297.78</v>
      </c>
      <c r="G131" s="65" t="str">
        <f>average(G126:G130)</f>
        <v>#DIV/0!</v>
      </c>
      <c r="H131" s="62"/>
      <c r="I131" s="66"/>
      <c r="J131" s="64">
        <f t="shared" ref="J131:K131" si="128">sum(J126:J130)</f>
        <v>0</v>
      </c>
      <c r="K131" s="64">
        <f t="shared" si="128"/>
        <v>297.78</v>
      </c>
      <c r="L131" s="65" t="str">
        <f>average(L126:L130)</f>
        <v>#DIV/0!</v>
      </c>
      <c r="M131" s="68"/>
      <c r="N131" s="368">
        <f>sum(N126:N130)</f>
        <v>10699996.6</v>
      </c>
    </row>
    <row r="132">
      <c r="A132" s="70">
        <v>45761.0</v>
      </c>
      <c r="B132" s="156" t="s">
        <v>49</v>
      </c>
      <c r="C132" s="89"/>
      <c r="D132" s="13"/>
      <c r="E132" s="38">
        <f t="shared" ref="E132:E136" si="129">D132-C132</f>
        <v>0</v>
      </c>
      <c r="F132" s="39">
        <v>232.0</v>
      </c>
      <c r="G132" s="14" t="str">
        <f t="shared" ref="G132:G136" si="130">(F132/E132)*100</f>
        <v>#DIV/0!</v>
      </c>
      <c r="H132" s="89"/>
      <c r="I132" s="138"/>
      <c r="J132" s="41">
        <f t="shared" ref="J132:J136" si="131">I132-H132</f>
        <v>0</v>
      </c>
      <c r="K132" s="41">
        <f t="shared" ref="K132:K136" si="132">F132</f>
        <v>232</v>
      </c>
      <c r="L132" s="152" t="str">
        <f t="shared" ref="L132:L136" si="133">(K132/J132)*100</f>
        <v>#DIV/0!</v>
      </c>
      <c r="M132" s="72">
        <v>17240.0</v>
      </c>
      <c r="N132" s="366">
        <f>M132*F132</f>
        <v>3999680</v>
      </c>
    </row>
    <row r="133">
      <c r="A133" s="154">
        <v>45773.0</v>
      </c>
      <c r="B133" s="156"/>
      <c r="C133" s="89"/>
      <c r="D133" s="89"/>
      <c r="E133" s="12">
        <f t="shared" si="129"/>
        <v>0</v>
      </c>
      <c r="F133" s="157"/>
      <c r="G133" s="14" t="str">
        <f t="shared" si="130"/>
        <v>#DIV/0!</v>
      </c>
      <c r="H133" s="89"/>
      <c r="I133" s="137"/>
      <c r="J133" s="89">
        <f t="shared" si="131"/>
        <v>0</v>
      </c>
      <c r="K133" s="89" t="str">
        <f t="shared" si="132"/>
        <v/>
      </c>
      <c r="L133" s="152" t="str">
        <f t="shared" si="133"/>
        <v>#DIV/0!</v>
      </c>
      <c r="M133" s="126"/>
      <c r="N133" s="372">
        <f t="shared" ref="N133:N136" si="134">F133*M133</f>
        <v>0</v>
      </c>
    </row>
    <row r="134">
      <c r="A134" s="154"/>
      <c r="B134" s="156"/>
      <c r="C134" s="89"/>
      <c r="D134" s="89"/>
      <c r="E134" s="12">
        <f t="shared" si="129"/>
        <v>0</v>
      </c>
      <c r="F134" s="157"/>
      <c r="G134" s="14" t="str">
        <f t="shared" si="130"/>
        <v>#DIV/0!</v>
      </c>
      <c r="H134" s="89"/>
      <c r="I134" s="137"/>
      <c r="J134" s="89">
        <f t="shared" si="131"/>
        <v>0</v>
      </c>
      <c r="K134" s="89" t="str">
        <f t="shared" si="132"/>
        <v/>
      </c>
      <c r="L134" s="152" t="str">
        <f t="shared" si="133"/>
        <v>#DIV/0!</v>
      </c>
      <c r="M134" s="126"/>
      <c r="N134" s="367">
        <f t="shared" si="134"/>
        <v>0</v>
      </c>
    </row>
    <row r="135">
      <c r="A135" s="154"/>
      <c r="B135" s="156"/>
      <c r="C135" s="89"/>
      <c r="D135" s="89"/>
      <c r="E135" s="12">
        <f t="shared" si="129"/>
        <v>0</v>
      </c>
      <c r="F135" s="157"/>
      <c r="G135" s="14" t="str">
        <f t="shared" si="130"/>
        <v>#DIV/0!</v>
      </c>
      <c r="H135" s="89"/>
      <c r="I135" s="137"/>
      <c r="J135" s="89">
        <f t="shared" si="131"/>
        <v>0</v>
      </c>
      <c r="K135" s="89" t="str">
        <f t="shared" si="132"/>
        <v/>
      </c>
      <c r="L135" s="152" t="str">
        <f t="shared" si="133"/>
        <v>#DIV/0!</v>
      </c>
      <c r="M135" s="126"/>
      <c r="N135" s="367">
        <f t="shared" si="134"/>
        <v>0</v>
      </c>
    </row>
    <row r="136">
      <c r="A136" s="154"/>
      <c r="B136" s="156"/>
      <c r="C136" s="89"/>
      <c r="D136" s="89"/>
      <c r="E136" s="12">
        <f t="shared" si="129"/>
        <v>0</v>
      </c>
      <c r="F136" s="157"/>
      <c r="G136" s="14" t="str">
        <f t="shared" si="130"/>
        <v>#DIV/0!</v>
      </c>
      <c r="H136" s="89"/>
      <c r="I136" s="137"/>
      <c r="J136" s="89">
        <f t="shared" si="131"/>
        <v>0</v>
      </c>
      <c r="K136" s="89" t="str">
        <f t="shared" si="132"/>
        <v/>
      </c>
      <c r="L136" s="152" t="str">
        <f t="shared" si="133"/>
        <v>#DIV/0!</v>
      </c>
      <c r="M136" s="126"/>
      <c r="N136" s="367">
        <f t="shared" si="134"/>
        <v>0</v>
      </c>
    </row>
    <row r="137">
      <c r="A137" s="62"/>
      <c r="B137" s="63"/>
      <c r="C137" s="62"/>
      <c r="D137" s="64" t="s">
        <v>19</v>
      </c>
      <c r="E137" s="64">
        <f t="shared" ref="E137:F137" si="135">sum(E132:E136)</f>
        <v>0</v>
      </c>
      <c r="F137" s="64">
        <f t="shared" si="135"/>
        <v>232</v>
      </c>
      <c r="G137" s="65" t="str">
        <f>average(G132:G136)</f>
        <v>#DIV/0!</v>
      </c>
      <c r="H137" s="62"/>
      <c r="I137" s="66"/>
      <c r="J137" s="64">
        <f t="shared" ref="J137:K137" si="136">sum(J132:J136)</f>
        <v>0</v>
      </c>
      <c r="K137" s="64">
        <f t="shared" si="136"/>
        <v>232</v>
      </c>
      <c r="L137" s="65" t="str">
        <f>average(L132:L136)</f>
        <v>#DIV/0!</v>
      </c>
      <c r="M137" s="68"/>
      <c r="N137" s="368">
        <f>sum(N132:N136)</f>
        <v>3999680</v>
      </c>
    </row>
    <row r="138">
      <c r="A138" s="70">
        <v>45751.0</v>
      </c>
      <c r="B138" s="156" t="s">
        <v>50</v>
      </c>
      <c r="C138" s="89"/>
      <c r="D138" s="13">
        <v>345060.0</v>
      </c>
      <c r="E138" s="38">
        <f t="shared" ref="E138:E142" si="137">D138-C138</f>
        <v>345060</v>
      </c>
      <c r="F138" s="39"/>
      <c r="G138" s="14">
        <f t="shared" ref="G138:G142" si="138">(F138/E138)*100</f>
        <v>0</v>
      </c>
      <c r="H138" s="89"/>
      <c r="I138" s="138"/>
      <c r="J138" s="41">
        <f t="shared" ref="J138:J142" si="139">I138-H138</f>
        <v>0</v>
      </c>
      <c r="K138" s="41">
        <v>216.59</v>
      </c>
      <c r="L138" s="152" t="str">
        <f t="shared" ref="L138:L142" si="140">(K138/J138)*100</f>
        <v>#DIV/0!</v>
      </c>
      <c r="M138" s="72">
        <v>18470.0</v>
      </c>
      <c r="N138" s="366">
        <f t="shared" ref="N138:N139" si="141">M138*K138</f>
        <v>4000417.3</v>
      </c>
      <c r="P138" s="197">
        <v>3.6838E7</v>
      </c>
    </row>
    <row r="139">
      <c r="A139" s="154">
        <v>45769.0</v>
      </c>
      <c r="B139" s="156" t="s">
        <v>50</v>
      </c>
      <c r="C139" s="89"/>
      <c r="D139" s="89"/>
      <c r="E139" s="12">
        <f t="shared" si="137"/>
        <v>0</v>
      </c>
      <c r="F139" s="157"/>
      <c r="G139" s="14" t="str">
        <f t="shared" si="138"/>
        <v>#DIV/0!</v>
      </c>
      <c r="H139" s="89"/>
      <c r="I139" s="137"/>
      <c r="J139" s="89">
        <f t="shared" si="139"/>
        <v>0</v>
      </c>
      <c r="K139" s="89">
        <v>217.28</v>
      </c>
      <c r="L139" s="152" t="str">
        <f t="shared" si="140"/>
        <v>#DIV/0!</v>
      </c>
      <c r="M139" s="126">
        <v>17030.0</v>
      </c>
      <c r="N139" s="366">
        <f t="shared" si="141"/>
        <v>3700278.4</v>
      </c>
      <c r="P139" s="80">
        <f>P138/500000</f>
        <v>73.676</v>
      </c>
    </row>
    <row r="140">
      <c r="A140" s="154"/>
      <c r="B140" s="156" t="s">
        <v>50</v>
      </c>
      <c r="C140" s="89"/>
      <c r="D140" s="89"/>
      <c r="E140" s="12">
        <f t="shared" si="137"/>
        <v>0</v>
      </c>
      <c r="F140" s="157"/>
      <c r="G140" s="14" t="str">
        <f t="shared" si="138"/>
        <v>#DIV/0!</v>
      </c>
      <c r="H140" s="89"/>
      <c r="I140" s="137"/>
      <c r="J140" s="89">
        <f t="shared" si="139"/>
        <v>0</v>
      </c>
      <c r="K140" s="89" t="str">
        <f t="shared" ref="K140:K142" si="142">F140</f>
        <v/>
      </c>
      <c r="L140" s="152" t="str">
        <f t="shared" si="140"/>
        <v>#DIV/0!</v>
      </c>
      <c r="M140" s="126"/>
      <c r="N140" s="367">
        <f t="shared" ref="N140:N142" si="143">F140*M140</f>
        <v>0</v>
      </c>
    </row>
    <row r="141">
      <c r="A141" s="154"/>
      <c r="B141" s="156" t="s">
        <v>50</v>
      </c>
      <c r="C141" s="89"/>
      <c r="D141" s="89"/>
      <c r="E141" s="12">
        <f t="shared" si="137"/>
        <v>0</v>
      </c>
      <c r="F141" s="157"/>
      <c r="G141" s="14" t="str">
        <f t="shared" si="138"/>
        <v>#DIV/0!</v>
      </c>
      <c r="H141" s="89"/>
      <c r="I141" s="137"/>
      <c r="J141" s="89">
        <f t="shared" si="139"/>
        <v>0</v>
      </c>
      <c r="K141" s="89" t="str">
        <f t="shared" si="142"/>
        <v/>
      </c>
      <c r="L141" s="152" t="str">
        <f t="shared" si="140"/>
        <v>#DIV/0!</v>
      </c>
      <c r="M141" s="126"/>
      <c r="N141" s="367">
        <f t="shared" si="143"/>
        <v>0</v>
      </c>
    </row>
    <row r="142">
      <c r="A142" s="154"/>
      <c r="B142" s="156" t="s">
        <v>50</v>
      </c>
      <c r="C142" s="89"/>
      <c r="D142" s="89"/>
      <c r="E142" s="12">
        <f t="shared" si="137"/>
        <v>0</v>
      </c>
      <c r="F142" s="157"/>
      <c r="G142" s="14" t="str">
        <f t="shared" si="138"/>
        <v>#DIV/0!</v>
      </c>
      <c r="H142" s="89"/>
      <c r="I142" s="137"/>
      <c r="J142" s="89">
        <f t="shared" si="139"/>
        <v>0</v>
      </c>
      <c r="K142" s="89" t="str">
        <f t="shared" si="142"/>
        <v/>
      </c>
      <c r="L142" s="152" t="str">
        <f t="shared" si="140"/>
        <v>#DIV/0!</v>
      </c>
      <c r="M142" s="126"/>
      <c r="N142" s="367">
        <f t="shared" si="143"/>
        <v>0</v>
      </c>
    </row>
    <row r="143">
      <c r="A143" s="62"/>
      <c r="B143" s="63"/>
      <c r="C143" s="62"/>
      <c r="D143" s="64" t="s">
        <v>19</v>
      </c>
      <c r="E143" s="64">
        <f t="shared" ref="E143:F143" si="144">sum(E138:E142)</f>
        <v>345060</v>
      </c>
      <c r="F143" s="64">
        <f t="shared" si="144"/>
        <v>0</v>
      </c>
      <c r="G143" s="65" t="str">
        <f>average(G138:G142)</f>
        <v>#DIV/0!</v>
      </c>
      <c r="H143" s="62"/>
      <c r="I143" s="66"/>
      <c r="J143" s="64">
        <f t="shared" ref="J143:K143" si="145">sum(J138:J142)</f>
        <v>0</v>
      </c>
      <c r="K143" s="64">
        <f t="shared" si="145"/>
        <v>433.87</v>
      </c>
      <c r="L143" s="65" t="str">
        <f>average(L138:L142)</f>
        <v>#DIV/0!</v>
      </c>
      <c r="M143" s="68"/>
      <c r="N143" s="368">
        <f>sum(N138:N142)</f>
        <v>7700695.7</v>
      </c>
    </row>
    <row r="144">
      <c r="A144" s="70">
        <v>45758.0</v>
      </c>
      <c r="B144" s="156" t="s">
        <v>51</v>
      </c>
      <c r="C144" s="89">
        <v>295530.0</v>
      </c>
      <c r="D144" s="13"/>
      <c r="E144" s="38">
        <f t="shared" ref="E144:E148" si="146">D144-C144</f>
        <v>-295530</v>
      </c>
      <c r="F144" s="39">
        <v>168.22</v>
      </c>
      <c r="G144" s="14">
        <f t="shared" ref="G144:G148" si="147">(F144/E144)*100</f>
        <v>-0.05692146313</v>
      </c>
      <c r="H144" s="89"/>
      <c r="I144" s="138"/>
      <c r="J144" s="41">
        <f t="shared" ref="J144:J148" si="148">I144-H144</f>
        <v>0</v>
      </c>
      <c r="K144" s="41">
        <f t="shared" ref="K144:K148" si="149">F144</f>
        <v>168.22</v>
      </c>
      <c r="L144" s="152" t="str">
        <f t="shared" ref="L144:L148" si="150">(K144/J144)*100</f>
        <v>#DIV/0!</v>
      </c>
      <c r="M144" s="72">
        <v>17240.0</v>
      </c>
      <c r="N144" s="366">
        <f t="shared" ref="N144:N147" si="151">M144*F144</f>
        <v>2900112.8</v>
      </c>
    </row>
    <row r="145">
      <c r="A145" s="154">
        <v>45771.0</v>
      </c>
      <c r="B145" s="156" t="s">
        <v>51</v>
      </c>
      <c r="C145" s="89"/>
      <c r="D145" s="89"/>
      <c r="E145" s="12">
        <f t="shared" si="146"/>
        <v>0</v>
      </c>
      <c r="F145" s="157">
        <v>146.8</v>
      </c>
      <c r="G145" s="14" t="str">
        <f t="shared" si="147"/>
        <v>#DIV/0!</v>
      </c>
      <c r="H145" s="89"/>
      <c r="I145" s="137"/>
      <c r="J145" s="89">
        <f t="shared" si="148"/>
        <v>0</v>
      </c>
      <c r="K145" s="89">
        <f t="shared" si="149"/>
        <v>146.8</v>
      </c>
      <c r="L145" s="152" t="str">
        <f t="shared" si="150"/>
        <v>#DIV/0!</v>
      </c>
      <c r="M145" s="126">
        <v>17030.0</v>
      </c>
      <c r="N145" s="366">
        <f t="shared" si="151"/>
        <v>2500004</v>
      </c>
    </row>
    <row r="146">
      <c r="A146" s="154"/>
      <c r="B146" s="156" t="s">
        <v>51</v>
      </c>
      <c r="C146" s="89"/>
      <c r="D146" s="89"/>
      <c r="E146" s="12">
        <f t="shared" si="146"/>
        <v>0</v>
      </c>
      <c r="F146" s="157"/>
      <c r="G146" s="14" t="str">
        <f t="shared" si="147"/>
        <v>#DIV/0!</v>
      </c>
      <c r="H146" s="89"/>
      <c r="I146" s="137"/>
      <c r="J146" s="89">
        <f t="shared" si="148"/>
        <v>0</v>
      </c>
      <c r="K146" s="89" t="str">
        <f t="shared" si="149"/>
        <v/>
      </c>
      <c r="L146" s="152" t="str">
        <f t="shared" si="150"/>
        <v>#DIV/0!</v>
      </c>
      <c r="M146" s="126"/>
      <c r="N146" s="366">
        <f t="shared" si="151"/>
        <v>0</v>
      </c>
    </row>
    <row r="147">
      <c r="A147" s="154"/>
      <c r="B147" s="156" t="s">
        <v>51</v>
      </c>
      <c r="C147" s="89"/>
      <c r="D147" s="89"/>
      <c r="E147" s="12">
        <f t="shared" si="146"/>
        <v>0</v>
      </c>
      <c r="F147" s="157"/>
      <c r="G147" s="14" t="str">
        <f t="shared" si="147"/>
        <v>#DIV/0!</v>
      </c>
      <c r="H147" s="89"/>
      <c r="I147" s="137"/>
      <c r="J147" s="89">
        <f t="shared" si="148"/>
        <v>0</v>
      </c>
      <c r="K147" s="89" t="str">
        <f t="shared" si="149"/>
        <v/>
      </c>
      <c r="L147" s="152" t="str">
        <f t="shared" si="150"/>
        <v>#DIV/0!</v>
      </c>
      <c r="M147" s="126"/>
      <c r="N147" s="366">
        <f t="shared" si="151"/>
        <v>0</v>
      </c>
    </row>
    <row r="148">
      <c r="A148" s="154"/>
      <c r="B148" s="156"/>
      <c r="C148" s="89"/>
      <c r="D148" s="89"/>
      <c r="E148" s="12">
        <f t="shared" si="146"/>
        <v>0</v>
      </c>
      <c r="F148" s="157"/>
      <c r="G148" s="14" t="str">
        <f t="shared" si="147"/>
        <v>#DIV/0!</v>
      </c>
      <c r="H148" s="89"/>
      <c r="I148" s="137"/>
      <c r="J148" s="89">
        <f t="shared" si="148"/>
        <v>0</v>
      </c>
      <c r="K148" s="89" t="str">
        <f t="shared" si="149"/>
        <v/>
      </c>
      <c r="L148" s="152" t="str">
        <f t="shared" si="150"/>
        <v>#DIV/0!</v>
      </c>
      <c r="M148" s="126"/>
      <c r="N148" s="367">
        <f>F148*M148</f>
        <v>0</v>
      </c>
    </row>
    <row r="149">
      <c r="A149" s="62"/>
      <c r="B149" s="63"/>
      <c r="C149" s="62"/>
      <c r="D149" s="64" t="s">
        <v>19</v>
      </c>
      <c r="E149" s="64">
        <f t="shared" ref="E149:F149" si="152">sum(E144:E148)</f>
        <v>-295530</v>
      </c>
      <c r="F149" s="64">
        <f t="shared" si="152"/>
        <v>315.02</v>
      </c>
      <c r="G149" s="65" t="str">
        <f>average(G144:G148)</f>
        <v>#DIV/0!</v>
      </c>
      <c r="H149" s="62"/>
      <c r="I149" s="66"/>
      <c r="J149" s="64">
        <f t="shared" ref="J149:K149" si="153">sum(J144:J148)</f>
        <v>0</v>
      </c>
      <c r="K149" s="64">
        <f t="shared" si="153"/>
        <v>315.02</v>
      </c>
      <c r="L149" s="65" t="str">
        <f>average(L144:L148)</f>
        <v>#DIV/0!</v>
      </c>
      <c r="M149" s="68"/>
      <c r="N149" s="368">
        <f>sum(N144:N148)</f>
        <v>5400116.8</v>
      </c>
    </row>
    <row r="150">
      <c r="A150" s="70">
        <v>45748.0</v>
      </c>
      <c r="B150" s="156" t="s">
        <v>91</v>
      </c>
      <c r="C150" s="89"/>
      <c r="D150" s="13"/>
      <c r="E150" s="38">
        <f t="shared" ref="E150:E154" si="154">D150-C150</f>
        <v>0</v>
      </c>
      <c r="F150" s="39"/>
      <c r="G150" s="14" t="str">
        <f t="shared" ref="G150:G154" si="155">(F150/E150)*100</f>
        <v>#DIV/0!</v>
      </c>
      <c r="H150" s="89"/>
      <c r="I150" s="138"/>
      <c r="J150" s="41">
        <f t="shared" ref="J150:J154" si="156">I150-H150</f>
        <v>0</v>
      </c>
      <c r="K150" s="41" t="str">
        <f t="shared" ref="K150:K154" si="157">F150</f>
        <v/>
      </c>
      <c r="L150" s="152" t="str">
        <f t="shared" ref="L150:L154" si="158">(K150/J150)*100</f>
        <v>#DIV/0!</v>
      </c>
      <c r="M150" s="72"/>
      <c r="N150" s="366">
        <v>9400000.0</v>
      </c>
    </row>
    <row r="151">
      <c r="A151" s="154">
        <v>45768.0</v>
      </c>
      <c r="B151" s="156" t="s">
        <v>91</v>
      </c>
      <c r="C151" s="89"/>
      <c r="D151" s="89"/>
      <c r="E151" s="12">
        <f t="shared" si="154"/>
        <v>0</v>
      </c>
      <c r="F151" s="157"/>
      <c r="G151" s="14" t="str">
        <f t="shared" si="155"/>
        <v>#DIV/0!</v>
      </c>
      <c r="H151" s="89"/>
      <c r="I151" s="137"/>
      <c r="J151" s="89">
        <f t="shared" si="156"/>
        <v>0</v>
      </c>
      <c r="K151" s="89" t="str">
        <f t="shared" si="157"/>
        <v/>
      </c>
      <c r="L151" s="152" t="str">
        <f t="shared" si="158"/>
        <v>#DIV/0!</v>
      </c>
      <c r="M151" s="126"/>
      <c r="N151" s="372">
        <v>6000000.0</v>
      </c>
    </row>
    <row r="152">
      <c r="A152" s="154">
        <v>45775.0</v>
      </c>
      <c r="B152" s="156" t="s">
        <v>91</v>
      </c>
      <c r="C152" s="89"/>
      <c r="D152" s="89"/>
      <c r="E152" s="12">
        <f t="shared" si="154"/>
        <v>0</v>
      </c>
      <c r="F152" s="157"/>
      <c r="G152" s="14" t="str">
        <f t="shared" si="155"/>
        <v>#DIV/0!</v>
      </c>
      <c r="H152" s="89"/>
      <c r="I152" s="137"/>
      <c r="J152" s="89">
        <f t="shared" si="156"/>
        <v>0</v>
      </c>
      <c r="K152" s="89" t="str">
        <f t="shared" si="157"/>
        <v/>
      </c>
      <c r="L152" s="152" t="str">
        <f t="shared" si="158"/>
        <v>#DIV/0!</v>
      </c>
      <c r="M152" s="126"/>
      <c r="N152" s="367">
        <v>2000000.0</v>
      </c>
    </row>
    <row r="153">
      <c r="A153" s="154"/>
      <c r="B153" s="156" t="s">
        <v>91</v>
      </c>
      <c r="C153" s="89"/>
      <c r="D153" s="89"/>
      <c r="E153" s="12">
        <f t="shared" si="154"/>
        <v>0</v>
      </c>
      <c r="F153" s="157"/>
      <c r="G153" s="14" t="str">
        <f t="shared" si="155"/>
        <v>#DIV/0!</v>
      </c>
      <c r="H153" s="89"/>
      <c r="I153" s="137"/>
      <c r="J153" s="89">
        <f t="shared" si="156"/>
        <v>0</v>
      </c>
      <c r="K153" s="89" t="str">
        <f t="shared" si="157"/>
        <v/>
      </c>
      <c r="L153" s="152" t="str">
        <f t="shared" si="158"/>
        <v>#DIV/0!</v>
      </c>
      <c r="M153" s="126"/>
      <c r="N153" s="367">
        <f t="shared" ref="N153:N154" si="159">F153*M153</f>
        <v>0</v>
      </c>
    </row>
    <row r="154">
      <c r="A154" s="154"/>
      <c r="B154" s="156"/>
      <c r="C154" s="89"/>
      <c r="D154" s="89"/>
      <c r="E154" s="12">
        <f t="shared" si="154"/>
        <v>0</v>
      </c>
      <c r="F154" s="157"/>
      <c r="G154" s="14" t="str">
        <f t="shared" si="155"/>
        <v>#DIV/0!</v>
      </c>
      <c r="H154" s="89"/>
      <c r="I154" s="137"/>
      <c r="J154" s="89">
        <f t="shared" si="156"/>
        <v>0</v>
      </c>
      <c r="K154" s="89" t="str">
        <f t="shared" si="157"/>
        <v/>
      </c>
      <c r="L154" s="152" t="str">
        <f t="shared" si="158"/>
        <v>#DIV/0!</v>
      </c>
      <c r="M154" s="126"/>
      <c r="N154" s="367">
        <f t="shared" si="159"/>
        <v>0</v>
      </c>
    </row>
    <row r="155">
      <c r="A155" s="62"/>
      <c r="B155" s="63"/>
      <c r="C155" s="62"/>
      <c r="D155" s="64"/>
      <c r="E155" s="64">
        <f t="shared" ref="E155:F155" si="160">sum(E150:E154)</f>
        <v>0</v>
      </c>
      <c r="F155" s="64">
        <f t="shared" si="160"/>
        <v>0</v>
      </c>
      <c r="G155" s="65" t="str">
        <f>average(G150:G154)</f>
        <v>#DIV/0!</v>
      </c>
      <c r="H155" s="62"/>
      <c r="I155" s="66"/>
      <c r="J155" s="64">
        <f t="shared" ref="J155:K155" si="161">sum(J150:J154)</f>
        <v>0</v>
      </c>
      <c r="K155" s="64">
        <f t="shared" si="161"/>
        <v>0</v>
      </c>
      <c r="L155" s="65" t="str">
        <f>average(L150:L154)</f>
        <v>#DIV/0!</v>
      </c>
      <c r="M155" s="68"/>
      <c r="N155" s="368">
        <f>sum(N150:N154)</f>
        <v>17400000</v>
      </c>
    </row>
    <row r="156">
      <c r="A156" s="70">
        <v>45749.0</v>
      </c>
      <c r="B156" s="156" t="s">
        <v>54</v>
      </c>
      <c r="C156" s="89"/>
      <c r="D156" s="13"/>
      <c r="E156" s="38">
        <f t="shared" ref="E156:E161" si="162">D156-C156</f>
        <v>0</v>
      </c>
      <c r="F156" s="39"/>
      <c r="G156" s="14" t="str">
        <f t="shared" ref="G156:G161" si="163">(F156/E156)*100</f>
        <v>#DIV/0!</v>
      </c>
      <c r="H156" s="89"/>
      <c r="I156" s="138"/>
      <c r="J156" s="41">
        <f t="shared" ref="J156:J161" si="164">I156-H156</f>
        <v>0</v>
      </c>
      <c r="K156" s="41" t="str">
        <f t="shared" ref="K156:K161" si="165">F156</f>
        <v/>
      </c>
      <c r="L156" s="152" t="str">
        <f t="shared" ref="L156:L161" si="166">(K156/J156)*100</f>
        <v>#DIV/0!</v>
      </c>
      <c r="M156" s="72"/>
      <c r="N156" s="366">
        <v>3000000.0</v>
      </c>
    </row>
    <row r="157">
      <c r="A157" s="70">
        <v>45755.0</v>
      </c>
      <c r="B157" s="156" t="s">
        <v>54</v>
      </c>
      <c r="C157" s="89"/>
      <c r="D157" s="89"/>
      <c r="E157" s="12">
        <f t="shared" si="162"/>
        <v>0</v>
      </c>
      <c r="F157" s="157"/>
      <c r="G157" s="14" t="str">
        <f t="shared" si="163"/>
        <v>#DIV/0!</v>
      </c>
      <c r="H157" s="89"/>
      <c r="I157" s="137"/>
      <c r="J157" s="89">
        <f t="shared" si="164"/>
        <v>0</v>
      </c>
      <c r="K157" s="89" t="str">
        <f t="shared" si="165"/>
        <v/>
      </c>
      <c r="L157" s="152" t="str">
        <f t="shared" si="166"/>
        <v>#DIV/0!</v>
      </c>
      <c r="M157" s="126"/>
      <c r="N157" s="366">
        <v>4000000.0</v>
      </c>
    </row>
    <row r="158">
      <c r="A158" s="154">
        <v>45761.0</v>
      </c>
      <c r="B158" s="156" t="s">
        <v>54</v>
      </c>
      <c r="C158" s="89"/>
      <c r="D158" s="89"/>
      <c r="E158" s="12">
        <f t="shared" si="162"/>
        <v>0</v>
      </c>
      <c r="F158" s="157"/>
      <c r="G158" s="14" t="str">
        <f t="shared" si="163"/>
        <v>#DIV/0!</v>
      </c>
      <c r="H158" s="89"/>
      <c r="I158" s="137"/>
      <c r="J158" s="89">
        <f t="shared" si="164"/>
        <v>0</v>
      </c>
      <c r="K158" s="89" t="str">
        <f t="shared" si="165"/>
        <v/>
      </c>
      <c r="L158" s="152" t="str">
        <f t="shared" si="166"/>
        <v>#DIV/0!</v>
      </c>
      <c r="M158" s="126"/>
      <c r="N158" s="367">
        <v>5000000.0</v>
      </c>
    </row>
    <row r="159">
      <c r="A159" s="154">
        <v>45764.0</v>
      </c>
      <c r="B159" s="156" t="s">
        <v>54</v>
      </c>
      <c r="C159" s="89"/>
      <c r="D159" s="89"/>
      <c r="E159" s="12">
        <f t="shared" si="162"/>
        <v>0</v>
      </c>
      <c r="F159" s="157"/>
      <c r="G159" s="14" t="str">
        <f t="shared" si="163"/>
        <v>#DIV/0!</v>
      </c>
      <c r="H159" s="89"/>
      <c r="I159" s="137"/>
      <c r="J159" s="89">
        <f t="shared" si="164"/>
        <v>0</v>
      </c>
      <c r="K159" s="89" t="str">
        <f t="shared" si="165"/>
        <v/>
      </c>
      <c r="L159" s="152" t="str">
        <f t="shared" si="166"/>
        <v>#DIV/0!</v>
      </c>
      <c r="M159" s="126"/>
      <c r="N159" s="367">
        <v>3000000.0</v>
      </c>
    </row>
    <row r="160">
      <c r="A160" s="154">
        <v>45768.0</v>
      </c>
      <c r="B160" s="156" t="s">
        <v>54</v>
      </c>
      <c r="C160" s="89"/>
      <c r="D160" s="89"/>
      <c r="E160" s="12">
        <f t="shared" si="162"/>
        <v>0</v>
      </c>
      <c r="F160" s="157"/>
      <c r="G160" s="14" t="str">
        <f t="shared" si="163"/>
        <v>#DIV/0!</v>
      </c>
      <c r="H160" s="89"/>
      <c r="I160" s="137"/>
      <c r="J160" s="89">
        <f t="shared" si="164"/>
        <v>0</v>
      </c>
      <c r="K160" s="89" t="str">
        <f t="shared" si="165"/>
        <v/>
      </c>
      <c r="L160" s="152" t="str">
        <f t="shared" si="166"/>
        <v>#DIV/0!</v>
      </c>
      <c r="M160" s="126"/>
      <c r="N160" s="367">
        <v>4000000.0</v>
      </c>
    </row>
    <row r="161">
      <c r="A161" s="154">
        <v>45770.0</v>
      </c>
      <c r="B161" s="156" t="s">
        <v>54</v>
      </c>
      <c r="C161" s="89"/>
      <c r="D161" s="89"/>
      <c r="E161" s="12">
        <f t="shared" si="162"/>
        <v>0</v>
      </c>
      <c r="F161" s="157"/>
      <c r="G161" s="14" t="str">
        <f t="shared" si="163"/>
        <v>#DIV/0!</v>
      </c>
      <c r="H161" s="89"/>
      <c r="I161" s="137"/>
      <c r="J161" s="89">
        <f t="shared" si="164"/>
        <v>0</v>
      </c>
      <c r="K161" s="89" t="str">
        <f t="shared" si="165"/>
        <v/>
      </c>
      <c r="L161" s="152" t="str">
        <f t="shared" si="166"/>
        <v>#DIV/0!</v>
      </c>
      <c r="M161" s="126"/>
      <c r="N161" s="367">
        <v>4000000.0</v>
      </c>
    </row>
    <row r="162">
      <c r="A162" s="154">
        <v>45773.0</v>
      </c>
      <c r="B162" s="156" t="s">
        <v>54</v>
      </c>
      <c r="C162" s="89"/>
      <c r="D162" s="89"/>
      <c r="E162" s="12"/>
      <c r="F162" s="157"/>
      <c r="G162" s="14"/>
      <c r="H162" s="89"/>
      <c r="I162" s="137"/>
      <c r="J162" s="89"/>
      <c r="K162" s="89"/>
      <c r="L162" s="152"/>
      <c r="M162" s="126"/>
      <c r="N162" s="367">
        <v>5000000.0</v>
      </c>
    </row>
    <row r="163">
      <c r="A163" s="154">
        <v>45775.0</v>
      </c>
      <c r="B163" s="156" t="s">
        <v>54</v>
      </c>
      <c r="C163" s="89"/>
      <c r="D163" s="89"/>
      <c r="E163" s="12">
        <f>D163-C163</f>
        <v>0</v>
      </c>
      <c r="F163" s="157"/>
      <c r="G163" s="14" t="str">
        <f>(F163/E163)*100</f>
        <v>#DIV/0!</v>
      </c>
      <c r="H163" s="89"/>
      <c r="I163" s="137"/>
      <c r="J163" s="89">
        <f>I163-H163</f>
        <v>0</v>
      </c>
      <c r="K163" s="89" t="str">
        <f>F163</f>
        <v/>
      </c>
      <c r="L163" s="152" t="str">
        <f>(K163/J163)*100</f>
        <v>#DIV/0!</v>
      </c>
      <c r="M163" s="126"/>
      <c r="N163" s="367">
        <v>4000000.0</v>
      </c>
    </row>
    <row r="164">
      <c r="A164" s="62"/>
      <c r="B164" s="63"/>
      <c r="C164" s="62"/>
      <c r="D164" s="64" t="s">
        <v>19</v>
      </c>
      <c r="E164" s="64">
        <f t="shared" ref="E164:F164" si="167">sum(E156:E163)</f>
        <v>0</v>
      </c>
      <c r="F164" s="64">
        <f t="shared" si="167"/>
        <v>0</v>
      </c>
      <c r="G164" s="65" t="str">
        <f>average(G156:G163)</f>
        <v>#DIV/0!</v>
      </c>
      <c r="H164" s="62"/>
      <c r="I164" s="66"/>
      <c r="J164" s="64">
        <f t="shared" ref="J164:K164" si="168">sum(J156:J163)</f>
        <v>0</v>
      </c>
      <c r="K164" s="64">
        <f t="shared" si="168"/>
        <v>0</v>
      </c>
      <c r="L164" s="65" t="str">
        <f>average(L156:L163)</f>
        <v>#DIV/0!</v>
      </c>
      <c r="M164" s="68"/>
      <c r="N164" s="368">
        <f>sum(N156:N163)</f>
        <v>32000000</v>
      </c>
    </row>
    <row r="165">
      <c r="A165" s="70">
        <v>45748.0</v>
      </c>
      <c r="B165" s="156" t="s">
        <v>69</v>
      </c>
      <c r="C165" s="89"/>
      <c r="D165" s="13"/>
      <c r="E165" s="38">
        <f t="shared" ref="E165:E169" si="169">D165-C165</f>
        <v>0</v>
      </c>
      <c r="F165" s="39"/>
      <c r="G165" s="14" t="str">
        <f t="shared" ref="G165:G169" si="170">(F165/E165)*100</f>
        <v>#DIV/0!</v>
      </c>
      <c r="H165" s="89"/>
      <c r="I165" s="138"/>
      <c r="J165" s="41">
        <f t="shared" ref="J165:J169" si="171">I165-H165</f>
        <v>0</v>
      </c>
      <c r="K165" s="41" t="str">
        <f t="shared" ref="K165:K169" si="172">F165</f>
        <v/>
      </c>
      <c r="L165" s="152" t="str">
        <f t="shared" ref="L165:L169" si="173">(K165/J165)*100</f>
        <v>#DIV/0!</v>
      </c>
      <c r="M165" s="72"/>
      <c r="N165" s="366">
        <v>5000000.0</v>
      </c>
    </row>
    <row r="166">
      <c r="A166" s="154">
        <v>45757.0</v>
      </c>
      <c r="B166" s="156" t="s">
        <v>69</v>
      </c>
      <c r="C166" s="89"/>
      <c r="D166" s="89"/>
      <c r="E166" s="12">
        <f t="shared" si="169"/>
        <v>0</v>
      </c>
      <c r="F166" s="157"/>
      <c r="G166" s="14" t="str">
        <f t="shared" si="170"/>
        <v>#DIV/0!</v>
      </c>
      <c r="H166" s="89"/>
      <c r="I166" s="137"/>
      <c r="J166" s="89">
        <f t="shared" si="171"/>
        <v>0</v>
      </c>
      <c r="K166" s="89" t="str">
        <f t="shared" si="172"/>
        <v/>
      </c>
      <c r="L166" s="152" t="str">
        <f t="shared" si="173"/>
        <v>#DIV/0!</v>
      </c>
      <c r="M166" s="126"/>
      <c r="N166" s="372">
        <v>6000000.0</v>
      </c>
    </row>
    <row r="167">
      <c r="A167" s="154">
        <v>45768.0</v>
      </c>
      <c r="B167" s="156" t="s">
        <v>69</v>
      </c>
      <c r="C167" s="89"/>
      <c r="D167" s="89"/>
      <c r="E167" s="12">
        <f t="shared" si="169"/>
        <v>0</v>
      </c>
      <c r="F167" s="157"/>
      <c r="G167" s="14" t="str">
        <f t="shared" si="170"/>
        <v>#DIV/0!</v>
      </c>
      <c r="H167" s="89"/>
      <c r="I167" s="137"/>
      <c r="J167" s="89">
        <f t="shared" si="171"/>
        <v>0</v>
      </c>
      <c r="K167" s="89" t="str">
        <f t="shared" si="172"/>
        <v/>
      </c>
      <c r="L167" s="152" t="str">
        <f t="shared" si="173"/>
        <v>#DIV/0!</v>
      </c>
      <c r="M167" s="126"/>
      <c r="N167" s="367">
        <v>3800000.0</v>
      </c>
    </row>
    <row r="168">
      <c r="A168" s="154"/>
      <c r="B168" s="156" t="s">
        <v>69</v>
      </c>
      <c r="C168" s="89"/>
      <c r="D168" s="89"/>
      <c r="E168" s="12">
        <f t="shared" si="169"/>
        <v>0</v>
      </c>
      <c r="F168" s="157"/>
      <c r="G168" s="14" t="str">
        <f t="shared" si="170"/>
        <v>#DIV/0!</v>
      </c>
      <c r="H168" s="89"/>
      <c r="I168" s="137"/>
      <c r="J168" s="89">
        <f t="shared" si="171"/>
        <v>0</v>
      </c>
      <c r="K168" s="89" t="str">
        <f t="shared" si="172"/>
        <v/>
      </c>
      <c r="L168" s="152" t="str">
        <f t="shared" si="173"/>
        <v>#DIV/0!</v>
      </c>
      <c r="M168" s="126"/>
      <c r="N168" s="367">
        <f t="shared" ref="N168:N169" si="174">F168*M168</f>
        <v>0</v>
      </c>
    </row>
    <row r="169">
      <c r="A169" s="154"/>
      <c r="B169" s="156"/>
      <c r="C169" s="89"/>
      <c r="D169" s="89"/>
      <c r="E169" s="12">
        <f t="shared" si="169"/>
        <v>0</v>
      </c>
      <c r="F169" s="157"/>
      <c r="G169" s="14" t="str">
        <f t="shared" si="170"/>
        <v>#DIV/0!</v>
      </c>
      <c r="H169" s="89"/>
      <c r="I169" s="137"/>
      <c r="J169" s="89">
        <f t="shared" si="171"/>
        <v>0</v>
      </c>
      <c r="K169" s="89" t="str">
        <f t="shared" si="172"/>
        <v/>
      </c>
      <c r="L169" s="152" t="str">
        <f t="shared" si="173"/>
        <v>#DIV/0!</v>
      </c>
      <c r="M169" s="126"/>
      <c r="N169" s="367">
        <f t="shared" si="174"/>
        <v>0</v>
      </c>
    </row>
    <row r="170">
      <c r="A170" s="62"/>
      <c r="B170" s="63"/>
      <c r="C170" s="62"/>
      <c r="D170" s="64" t="s">
        <v>19</v>
      </c>
      <c r="E170" s="64">
        <f t="shared" ref="E170:F170" si="175">sum(E165:E169)</f>
        <v>0</v>
      </c>
      <c r="F170" s="64">
        <f t="shared" si="175"/>
        <v>0</v>
      </c>
      <c r="G170" s="65" t="str">
        <f>average(G165:G169)</f>
        <v>#DIV/0!</v>
      </c>
      <c r="H170" s="62"/>
      <c r="I170" s="66"/>
      <c r="J170" s="64">
        <f t="shared" ref="J170:K170" si="176">sum(J165:J169)</f>
        <v>0</v>
      </c>
      <c r="K170" s="64">
        <f t="shared" si="176"/>
        <v>0</v>
      </c>
      <c r="L170" s="65" t="str">
        <f>average(L165:L169)</f>
        <v>#DIV/0!</v>
      </c>
      <c r="M170" s="68"/>
      <c r="N170" s="368">
        <f>sum(N165:N169)</f>
        <v>14800000</v>
      </c>
    </row>
    <row r="171">
      <c r="A171" s="198" t="s">
        <v>64</v>
      </c>
      <c r="B171" s="165"/>
      <c r="C171" s="165"/>
      <c r="D171" s="165"/>
      <c r="E171" s="165"/>
      <c r="F171" s="368">
        <f>SUM(F120:F170)/2</f>
        <v>1197.12</v>
      </c>
      <c r="G171" s="165"/>
      <c r="H171" s="165"/>
      <c r="I171" s="165"/>
      <c r="J171" s="165"/>
      <c r="K171" s="165"/>
      <c r="L171" s="176"/>
      <c r="M171" s="68"/>
      <c r="N171" s="368">
        <f>SUM(N120:N170)/2</f>
        <v>104600498.7</v>
      </c>
    </row>
    <row r="172">
      <c r="G172" s="168"/>
      <c r="L172" s="168"/>
    </row>
    <row r="173">
      <c r="G173" s="168"/>
      <c r="L173" s="168"/>
    </row>
    <row r="174">
      <c r="G174" s="168"/>
      <c r="L174" s="168"/>
    </row>
    <row r="175">
      <c r="G175" s="168"/>
      <c r="L175" s="168"/>
    </row>
    <row r="176">
      <c r="G176" s="168"/>
      <c r="L176" s="168"/>
    </row>
    <row r="177">
      <c r="G177" s="168"/>
      <c r="L177" s="168"/>
    </row>
    <row r="178">
      <c r="G178" s="168"/>
      <c r="L178" s="168"/>
    </row>
    <row r="179">
      <c r="G179" s="168"/>
      <c r="L179" s="168"/>
    </row>
    <row r="180">
      <c r="G180" s="168"/>
      <c r="L180" s="168"/>
    </row>
    <row r="181">
      <c r="G181" s="168"/>
      <c r="L181" s="168"/>
    </row>
    <row r="182">
      <c r="G182" s="168"/>
      <c r="L182" s="168"/>
    </row>
    <row r="183">
      <c r="G183" s="168"/>
      <c r="L183" s="168"/>
    </row>
    <row r="184">
      <c r="G184" s="168"/>
      <c r="L184" s="168"/>
    </row>
    <row r="185">
      <c r="G185" s="168"/>
      <c r="L185" s="168"/>
    </row>
    <row r="186">
      <c r="G186" s="168"/>
      <c r="L186" s="168"/>
    </row>
    <row r="187">
      <c r="G187" s="168"/>
      <c r="L187" s="168"/>
    </row>
    <row r="188">
      <c r="G188" s="168"/>
      <c r="L188" s="168"/>
    </row>
    <row r="189">
      <c r="G189" s="168"/>
      <c r="L189" s="168"/>
    </row>
    <row r="190">
      <c r="G190" s="168"/>
      <c r="L190" s="168"/>
    </row>
    <row r="191">
      <c r="G191" s="168"/>
      <c r="L191" s="168"/>
    </row>
    <row r="192">
      <c r="G192" s="168"/>
      <c r="L192" s="168"/>
    </row>
    <row r="193">
      <c r="G193" s="168"/>
      <c r="L193" s="168"/>
    </row>
    <row r="194">
      <c r="G194" s="168"/>
      <c r="L194" s="168"/>
    </row>
    <row r="195">
      <c r="G195" s="168"/>
      <c r="L195" s="168"/>
    </row>
    <row r="196">
      <c r="G196" s="168"/>
      <c r="L196" s="168"/>
    </row>
    <row r="197">
      <c r="G197" s="168"/>
      <c r="L197" s="168"/>
    </row>
    <row r="198">
      <c r="G198" s="168"/>
      <c r="L198" s="168"/>
    </row>
    <row r="199">
      <c r="G199" s="168"/>
      <c r="L199" s="168"/>
    </row>
    <row r="200">
      <c r="G200" s="168"/>
      <c r="L200" s="168"/>
    </row>
    <row r="201">
      <c r="G201" s="168"/>
      <c r="L201" s="168"/>
    </row>
    <row r="202">
      <c r="G202" s="168"/>
      <c r="L202" s="168"/>
    </row>
    <row r="203">
      <c r="G203" s="168"/>
      <c r="L203" s="168"/>
    </row>
    <row r="204">
      <c r="G204" s="168"/>
      <c r="L204" s="168"/>
    </row>
    <row r="205">
      <c r="G205" s="168"/>
      <c r="L205" s="168"/>
    </row>
    <row r="206">
      <c r="G206" s="168"/>
      <c r="L206" s="168"/>
    </row>
    <row r="207">
      <c r="G207" s="168"/>
      <c r="L207" s="168"/>
    </row>
    <row r="208">
      <c r="G208" s="168"/>
      <c r="L208" s="168"/>
    </row>
    <row r="209">
      <c r="G209" s="168"/>
      <c r="L209" s="168"/>
    </row>
    <row r="210">
      <c r="G210" s="168"/>
      <c r="L210" s="168"/>
    </row>
    <row r="211">
      <c r="G211" s="168"/>
      <c r="L211" s="168"/>
    </row>
    <row r="212">
      <c r="G212" s="168"/>
      <c r="L212" s="168"/>
    </row>
    <row r="213">
      <c r="G213" s="168"/>
      <c r="L213" s="168"/>
    </row>
    <row r="214">
      <c r="G214" s="168"/>
      <c r="L214" s="168"/>
    </row>
    <row r="215">
      <c r="G215" s="168"/>
      <c r="L215" s="168"/>
    </row>
    <row r="216">
      <c r="G216" s="168"/>
      <c r="L216" s="168"/>
    </row>
    <row r="217">
      <c r="G217" s="168"/>
      <c r="L217" s="168"/>
    </row>
    <row r="218">
      <c r="G218" s="168"/>
      <c r="L218" s="168"/>
    </row>
    <row r="219">
      <c r="G219" s="168"/>
      <c r="L219" s="168"/>
    </row>
    <row r="220">
      <c r="G220" s="168"/>
      <c r="L220" s="168"/>
    </row>
    <row r="221">
      <c r="G221" s="168"/>
      <c r="L221" s="168"/>
    </row>
    <row r="222">
      <c r="G222" s="168"/>
      <c r="L222" s="168"/>
    </row>
    <row r="223">
      <c r="G223" s="168"/>
      <c r="L223" s="168"/>
    </row>
    <row r="224">
      <c r="G224" s="168"/>
      <c r="L224" s="168"/>
    </row>
    <row r="225">
      <c r="G225" s="168"/>
      <c r="L225" s="168"/>
    </row>
    <row r="226">
      <c r="G226" s="168"/>
      <c r="L226" s="168"/>
    </row>
    <row r="227">
      <c r="G227" s="168"/>
      <c r="L227" s="168"/>
    </row>
    <row r="228">
      <c r="G228" s="168"/>
      <c r="L228" s="168"/>
    </row>
    <row r="229">
      <c r="G229" s="168"/>
      <c r="L229" s="168"/>
    </row>
    <row r="230">
      <c r="G230" s="168"/>
      <c r="L230" s="168"/>
    </row>
    <row r="231">
      <c r="G231" s="168"/>
      <c r="L231" s="168"/>
    </row>
    <row r="232">
      <c r="G232" s="168"/>
      <c r="L232" s="168"/>
    </row>
    <row r="233">
      <c r="G233" s="168"/>
      <c r="L233" s="168"/>
    </row>
    <row r="234">
      <c r="G234" s="168"/>
      <c r="L234" s="168"/>
    </row>
    <row r="235">
      <c r="G235" s="168"/>
      <c r="L235" s="168"/>
    </row>
    <row r="236">
      <c r="G236" s="168"/>
      <c r="L236" s="168"/>
    </row>
    <row r="237">
      <c r="G237" s="168"/>
      <c r="L237" s="168"/>
    </row>
    <row r="238">
      <c r="G238" s="168"/>
      <c r="L238" s="168"/>
    </row>
    <row r="239">
      <c r="G239" s="168"/>
      <c r="L239" s="168"/>
    </row>
    <row r="240">
      <c r="G240" s="168"/>
      <c r="L240" s="168"/>
    </row>
    <row r="241">
      <c r="G241" s="168"/>
      <c r="L241" s="168"/>
    </row>
    <row r="242">
      <c r="G242" s="168"/>
      <c r="L242" s="168"/>
    </row>
    <row r="243">
      <c r="G243" s="168"/>
      <c r="L243" s="168"/>
    </row>
    <row r="244">
      <c r="G244" s="168"/>
      <c r="L244" s="168"/>
    </row>
    <row r="245">
      <c r="G245" s="168"/>
      <c r="L245" s="168"/>
    </row>
    <row r="246">
      <c r="G246" s="168"/>
      <c r="L246" s="168"/>
    </row>
    <row r="247">
      <c r="G247" s="168"/>
      <c r="L247" s="168"/>
    </row>
    <row r="248">
      <c r="G248" s="168"/>
      <c r="L248" s="168"/>
    </row>
    <row r="249">
      <c r="G249" s="168"/>
      <c r="L249" s="168"/>
    </row>
    <row r="250">
      <c r="G250" s="168"/>
      <c r="L250" s="168"/>
    </row>
    <row r="251">
      <c r="G251" s="168"/>
      <c r="L251" s="168"/>
    </row>
    <row r="252">
      <c r="G252" s="168"/>
      <c r="L252" s="168"/>
    </row>
    <row r="253">
      <c r="G253" s="168"/>
      <c r="L253" s="168"/>
    </row>
    <row r="254">
      <c r="G254" s="168"/>
      <c r="L254" s="168"/>
    </row>
    <row r="255">
      <c r="G255" s="168"/>
      <c r="L255" s="168"/>
    </row>
    <row r="256">
      <c r="G256" s="168"/>
      <c r="L256" s="168"/>
    </row>
    <row r="257">
      <c r="G257" s="168"/>
      <c r="L257" s="168"/>
    </row>
    <row r="258">
      <c r="G258" s="168"/>
      <c r="L258" s="168"/>
    </row>
    <row r="259">
      <c r="G259" s="168"/>
      <c r="L259" s="168"/>
    </row>
    <row r="260">
      <c r="G260" s="168"/>
      <c r="L260" s="168"/>
    </row>
    <row r="261">
      <c r="G261" s="168"/>
      <c r="L261" s="168"/>
    </row>
    <row r="262">
      <c r="G262" s="168"/>
      <c r="L262" s="168"/>
    </row>
    <row r="263">
      <c r="G263" s="168"/>
      <c r="L263" s="168"/>
    </row>
    <row r="264">
      <c r="G264" s="168"/>
      <c r="L264" s="168"/>
    </row>
    <row r="265">
      <c r="G265" s="168"/>
      <c r="L265" s="168"/>
    </row>
    <row r="266">
      <c r="G266" s="168"/>
      <c r="L266" s="168"/>
    </row>
    <row r="267">
      <c r="G267" s="168"/>
      <c r="L267" s="168"/>
    </row>
    <row r="268">
      <c r="G268" s="168"/>
      <c r="L268" s="168"/>
    </row>
    <row r="269">
      <c r="G269" s="168"/>
      <c r="L269" s="168"/>
    </row>
    <row r="270">
      <c r="G270" s="168"/>
      <c r="L270" s="168"/>
    </row>
    <row r="271">
      <c r="G271" s="168"/>
      <c r="L271" s="168"/>
    </row>
    <row r="272">
      <c r="G272" s="168"/>
      <c r="L272" s="168"/>
    </row>
    <row r="273">
      <c r="G273" s="168"/>
      <c r="L273" s="168"/>
    </row>
    <row r="274">
      <c r="G274" s="168"/>
      <c r="L274" s="168"/>
    </row>
    <row r="275">
      <c r="G275" s="168"/>
      <c r="L275" s="168"/>
    </row>
    <row r="276">
      <c r="G276" s="168"/>
      <c r="L276" s="168"/>
    </row>
    <row r="277">
      <c r="G277" s="168"/>
      <c r="L277" s="168"/>
    </row>
    <row r="278">
      <c r="G278" s="168"/>
      <c r="L278" s="168"/>
    </row>
    <row r="279">
      <c r="G279" s="168"/>
      <c r="L279" s="168"/>
    </row>
    <row r="280">
      <c r="G280" s="168"/>
      <c r="L280" s="168"/>
    </row>
    <row r="281">
      <c r="G281" s="168"/>
      <c r="L281" s="168"/>
    </row>
    <row r="282">
      <c r="G282" s="168"/>
      <c r="L282" s="168"/>
    </row>
    <row r="283">
      <c r="G283" s="168"/>
      <c r="L283" s="168"/>
    </row>
    <row r="284">
      <c r="G284" s="168"/>
      <c r="L284" s="168"/>
    </row>
    <row r="285">
      <c r="G285" s="168"/>
      <c r="L285" s="168"/>
    </row>
    <row r="286">
      <c r="G286" s="168"/>
      <c r="L286" s="168"/>
    </row>
    <row r="287">
      <c r="G287" s="168"/>
      <c r="L287" s="168"/>
    </row>
    <row r="288">
      <c r="G288" s="168"/>
      <c r="L288" s="168"/>
    </row>
    <row r="289">
      <c r="G289" s="168"/>
      <c r="L289" s="168"/>
    </row>
    <row r="290">
      <c r="G290" s="168"/>
      <c r="L290" s="168"/>
    </row>
    <row r="291">
      <c r="G291" s="168"/>
      <c r="L291" s="168"/>
    </row>
    <row r="292">
      <c r="G292" s="168"/>
      <c r="L292" s="168"/>
    </row>
    <row r="293">
      <c r="G293" s="168"/>
      <c r="L293" s="168"/>
    </row>
    <row r="294">
      <c r="G294" s="168"/>
      <c r="L294" s="168"/>
    </row>
    <row r="295">
      <c r="G295" s="168"/>
      <c r="L295" s="168"/>
    </row>
    <row r="296">
      <c r="G296" s="168"/>
      <c r="L296" s="168"/>
    </row>
    <row r="297">
      <c r="G297" s="168"/>
      <c r="L297" s="168"/>
    </row>
    <row r="298">
      <c r="G298" s="168"/>
      <c r="L298" s="168"/>
    </row>
    <row r="299">
      <c r="G299" s="168"/>
      <c r="L299" s="168"/>
    </row>
    <row r="300">
      <c r="G300" s="168"/>
      <c r="L300" s="168"/>
    </row>
    <row r="301">
      <c r="G301" s="168"/>
      <c r="L301" s="168"/>
    </row>
    <row r="302">
      <c r="G302" s="168"/>
      <c r="L302" s="168"/>
    </row>
    <row r="303">
      <c r="G303" s="168"/>
      <c r="L303" s="168"/>
    </row>
    <row r="304">
      <c r="G304" s="168"/>
      <c r="L304" s="168"/>
    </row>
    <row r="305">
      <c r="G305" s="168"/>
      <c r="L305" s="168"/>
    </row>
    <row r="306">
      <c r="G306" s="168"/>
      <c r="L306" s="168"/>
    </row>
    <row r="307">
      <c r="G307" s="168"/>
      <c r="L307" s="168"/>
    </row>
    <row r="308">
      <c r="G308" s="168"/>
      <c r="L308" s="168"/>
    </row>
    <row r="309">
      <c r="G309" s="168"/>
      <c r="L309" s="168"/>
    </row>
    <row r="310">
      <c r="G310" s="168"/>
      <c r="L310" s="168"/>
    </row>
    <row r="311">
      <c r="G311" s="168"/>
      <c r="L311" s="168"/>
    </row>
    <row r="312">
      <c r="G312" s="168"/>
      <c r="L312" s="168"/>
    </row>
    <row r="313">
      <c r="G313" s="168"/>
      <c r="L313" s="168"/>
    </row>
    <row r="314">
      <c r="G314" s="168"/>
      <c r="L314" s="168"/>
    </row>
    <row r="315">
      <c r="G315" s="168"/>
      <c r="L315" s="168"/>
    </row>
    <row r="316">
      <c r="G316" s="168"/>
      <c r="L316" s="168"/>
    </row>
    <row r="317">
      <c r="G317" s="168"/>
      <c r="L317" s="168"/>
    </row>
    <row r="318">
      <c r="G318" s="168"/>
      <c r="L318" s="168"/>
    </row>
    <row r="319">
      <c r="G319" s="168"/>
      <c r="L319" s="168"/>
    </row>
    <row r="320">
      <c r="G320" s="168"/>
      <c r="L320" s="168"/>
    </row>
    <row r="321">
      <c r="G321" s="168"/>
      <c r="L321" s="168"/>
    </row>
    <row r="322">
      <c r="G322" s="168"/>
      <c r="L322" s="168"/>
    </row>
    <row r="323">
      <c r="G323" s="168"/>
      <c r="L323" s="168"/>
    </row>
    <row r="324">
      <c r="G324" s="168"/>
      <c r="L324" s="168"/>
    </row>
    <row r="325">
      <c r="G325" s="168"/>
      <c r="L325" s="168"/>
    </row>
    <row r="326">
      <c r="G326" s="168"/>
      <c r="L326" s="168"/>
    </row>
    <row r="327">
      <c r="G327" s="168"/>
      <c r="L327" s="168"/>
    </row>
    <row r="328">
      <c r="G328" s="168"/>
      <c r="L328" s="168"/>
    </row>
    <row r="329">
      <c r="G329" s="168"/>
      <c r="L329" s="168"/>
    </row>
    <row r="330">
      <c r="G330" s="168"/>
      <c r="L330" s="168"/>
    </row>
    <row r="331">
      <c r="G331" s="168"/>
      <c r="L331" s="168"/>
    </row>
    <row r="332">
      <c r="G332" s="168"/>
      <c r="L332" s="168"/>
    </row>
    <row r="333">
      <c r="G333" s="168"/>
      <c r="L333" s="168"/>
    </row>
    <row r="334">
      <c r="G334" s="168"/>
      <c r="L334" s="168"/>
    </row>
    <row r="335">
      <c r="G335" s="168"/>
      <c r="L335" s="168"/>
    </row>
    <row r="336">
      <c r="G336" s="168"/>
      <c r="L336" s="168"/>
    </row>
    <row r="337">
      <c r="G337" s="168"/>
      <c r="L337" s="168"/>
    </row>
    <row r="338">
      <c r="G338" s="168"/>
      <c r="L338" s="168"/>
    </row>
    <row r="339">
      <c r="G339" s="168"/>
      <c r="L339" s="168"/>
    </row>
    <row r="340">
      <c r="G340" s="168"/>
      <c r="L340" s="168"/>
    </row>
    <row r="341">
      <c r="G341" s="168"/>
      <c r="L341" s="168"/>
    </row>
    <row r="342">
      <c r="G342" s="168"/>
      <c r="L342" s="168"/>
    </row>
    <row r="343">
      <c r="G343" s="168"/>
      <c r="L343" s="168"/>
    </row>
    <row r="344">
      <c r="G344" s="168"/>
      <c r="L344" s="168"/>
    </row>
    <row r="345">
      <c r="G345" s="168"/>
      <c r="L345" s="168"/>
    </row>
    <row r="346">
      <c r="G346" s="168"/>
      <c r="L346" s="168"/>
    </row>
    <row r="347">
      <c r="G347" s="168"/>
      <c r="L347" s="168"/>
    </row>
    <row r="348">
      <c r="G348" s="168"/>
      <c r="L348" s="168"/>
    </row>
    <row r="349">
      <c r="G349" s="168"/>
      <c r="L349" s="168"/>
    </row>
    <row r="350">
      <c r="G350" s="168"/>
      <c r="L350" s="168"/>
    </row>
    <row r="351">
      <c r="G351" s="168"/>
      <c r="L351" s="168"/>
    </row>
    <row r="352">
      <c r="G352" s="168"/>
      <c r="L352" s="168"/>
    </row>
    <row r="353">
      <c r="G353" s="168"/>
      <c r="L353" s="168"/>
    </row>
    <row r="354">
      <c r="G354" s="168"/>
      <c r="L354" s="168"/>
    </row>
    <row r="355">
      <c r="G355" s="168"/>
      <c r="L355" s="168"/>
    </row>
    <row r="356">
      <c r="G356" s="168"/>
      <c r="L356" s="168"/>
    </row>
    <row r="357">
      <c r="G357" s="168"/>
      <c r="L357" s="168"/>
    </row>
    <row r="358">
      <c r="G358" s="168"/>
      <c r="L358" s="168"/>
    </row>
    <row r="359">
      <c r="G359" s="168"/>
      <c r="L359" s="168"/>
    </row>
    <row r="360">
      <c r="G360" s="168"/>
      <c r="L360" s="168"/>
    </row>
    <row r="361">
      <c r="G361" s="168"/>
      <c r="L361" s="168"/>
    </row>
    <row r="362">
      <c r="G362" s="168"/>
      <c r="L362" s="168"/>
    </row>
    <row r="363">
      <c r="G363" s="168"/>
      <c r="L363" s="168"/>
    </row>
    <row r="364">
      <c r="G364" s="168"/>
      <c r="L364" s="168"/>
    </row>
    <row r="365">
      <c r="G365" s="168"/>
      <c r="L365" s="168"/>
    </row>
    <row r="366">
      <c r="G366" s="168"/>
      <c r="L366" s="168"/>
    </row>
    <row r="367">
      <c r="G367" s="168"/>
      <c r="L367" s="168"/>
    </row>
    <row r="368">
      <c r="G368" s="168"/>
      <c r="L368" s="168"/>
    </row>
    <row r="369">
      <c r="G369" s="168"/>
      <c r="L369" s="168"/>
    </row>
    <row r="370">
      <c r="G370" s="168"/>
      <c r="L370" s="168"/>
    </row>
    <row r="371">
      <c r="G371" s="168"/>
      <c r="L371" s="168"/>
    </row>
    <row r="372">
      <c r="G372" s="168"/>
      <c r="L372" s="168"/>
    </row>
    <row r="373">
      <c r="G373" s="168"/>
      <c r="L373" s="168"/>
    </row>
    <row r="374">
      <c r="G374" s="168"/>
      <c r="L374" s="168"/>
    </row>
    <row r="375">
      <c r="G375" s="168"/>
      <c r="L375" s="168"/>
    </row>
    <row r="376">
      <c r="G376" s="168"/>
      <c r="L376" s="168"/>
    </row>
    <row r="377">
      <c r="G377" s="168"/>
      <c r="L377" s="168"/>
    </row>
    <row r="378">
      <c r="G378" s="168"/>
      <c r="L378" s="168"/>
    </row>
    <row r="379">
      <c r="G379" s="168"/>
      <c r="L379" s="168"/>
    </row>
    <row r="380">
      <c r="G380" s="168"/>
      <c r="L380" s="168"/>
    </row>
    <row r="381">
      <c r="G381" s="168"/>
      <c r="L381" s="168"/>
    </row>
    <row r="382">
      <c r="G382" s="168"/>
      <c r="L382" s="168"/>
    </row>
    <row r="383">
      <c r="G383" s="168"/>
      <c r="L383" s="168"/>
    </row>
    <row r="384">
      <c r="G384" s="168"/>
      <c r="L384" s="168"/>
    </row>
    <row r="385">
      <c r="G385" s="168"/>
      <c r="L385" s="168"/>
    </row>
    <row r="386">
      <c r="G386" s="168"/>
      <c r="L386" s="168"/>
    </row>
    <row r="387">
      <c r="G387" s="168"/>
      <c r="L387" s="168"/>
    </row>
    <row r="388">
      <c r="G388" s="168"/>
      <c r="L388" s="168"/>
    </row>
    <row r="389">
      <c r="G389" s="168"/>
      <c r="L389" s="168"/>
    </row>
    <row r="390">
      <c r="G390" s="168"/>
      <c r="L390" s="168"/>
    </row>
    <row r="391">
      <c r="G391" s="168"/>
      <c r="L391" s="168"/>
    </row>
    <row r="392">
      <c r="G392" s="168"/>
      <c r="L392" s="168"/>
    </row>
    <row r="393">
      <c r="G393" s="168"/>
      <c r="L393" s="168"/>
    </row>
    <row r="394">
      <c r="G394" s="168"/>
      <c r="L394" s="168"/>
    </row>
    <row r="395">
      <c r="G395" s="168"/>
      <c r="L395" s="168"/>
    </row>
    <row r="396">
      <c r="G396" s="168"/>
      <c r="L396" s="168"/>
    </row>
    <row r="397">
      <c r="G397" s="168"/>
      <c r="L397" s="168"/>
    </row>
    <row r="398">
      <c r="G398" s="168"/>
      <c r="L398" s="168"/>
    </row>
    <row r="399">
      <c r="G399" s="168"/>
      <c r="L399" s="168"/>
    </row>
    <row r="400">
      <c r="G400" s="168"/>
      <c r="L400" s="168"/>
    </row>
    <row r="401">
      <c r="G401" s="168"/>
      <c r="L401" s="168"/>
    </row>
    <row r="402">
      <c r="G402" s="168"/>
      <c r="L402" s="168"/>
    </row>
    <row r="403">
      <c r="G403" s="168"/>
      <c r="L403" s="168"/>
    </row>
    <row r="404">
      <c r="G404" s="168"/>
      <c r="L404" s="168"/>
    </row>
    <row r="405">
      <c r="G405" s="168"/>
      <c r="L405" s="168"/>
    </row>
    <row r="406">
      <c r="G406" s="168"/>
      <c r="L406" s="168"/>
    </row>
    <row r="407">
      <c r="G407" s="168"/>
      <c r="L407" s="168"/>
    </row>
    <row r="408">
      <c r="G408" s="168"/>
      <c r="L408" s="168"/>
    </row>
    <row r="409">
      <c r="G409" s="168"/>
      <c r="L409" s="168"/>
    </row>
    <row r="410">
      <c r="G410" s="168"/>
      <c r="L410" s="168"/>
    </row>
    <row r="411">
      <c r="G411" s="168"/>
      <c r="L411" s="168"/>
    </row>
    <row r="412">
      <c r="G412" s="168"/>
      <c r="L412" s="168"/>
    </row>
    <row r="413">
      <c r="G413" s="168"/>
      <c r="L413" s="168"/>
    </row>
    <row r="414">
      <c r="G414" s="168"/>
      <c r="L414" s="168"/>
    </row>
    <row r="415">
      <c r="G415" s="168"/>
      <c r="L415" s="168"/>
    </row>
    <row r="416">
      <c r="G416" s="168"/>
      <c r="L416" s="168"/>
    </row>
    <row r="417">
      <c r="G417" s="168"/>
      <c r="L417" s="168"/>
    </row>
    <row r="418">
      <c r="G418" s="168"/>
      <c r="L418" s="168"/>
    </row>
    <row r="419">
      <c r="G419" s="168"/>
      <c r="L419" s="168"/>
    </row>
    <row r="420">
      <c r="G420" s="168"/>
      <c r="L420" s="168"/>
    </row>
    <row r="421">
      <c r="G421" s="168"/>
      <c r="L421" s="168"/>
    </row>
    <row r="422">
      <c r="G422" s="168"/>
      <c r="L422" s="168"/>
    </row>
    <row r="423">
      <c r="G423" s="168"/>
      <c r="L423" s="168"/>
    </row>
    <row r="424">
      <c r="G424" s="168"/>
      <c r="L424" s="168"/>
    </row>
    <row r="425">
      <c r="G425" s="168"/>
      <c r="L425" s="168"/>
    </row>
    <row r="426">
      <c r="G426" s="168"/>
      <c r="L426" s="168"/>
    </row>
    <row r="427">
      <c r="G427" s="168"/>
      <c r="L427" s="168"/>
    </row>
    <row r="428">
      <c r="G428" s="168"/>
      <c r="L428" s="168"/>
    </row>
    <row r="429">
      <c r="G429" s="168"/>
      <c r="L429" s="168"/>
    </row>
    <row r="430">
      <c r="G430" s="168"/>
      <c r="L430" s="168"/>
    </row>
    <row r="431">
      <c r="G431" s="168"/>
      <c r="L431" s="168"/>
    </row>
    <row r="432">
      <c r="G432" s="168"/>
      <c r="L432" s="168"/>
    </row>
    <row r="433">
      <c r="G433" s="168"/>
      <c r="L433" s="168"/>
    </row>
    <row r="434">
      <c r="G434" s="168"/>
      <c r="L434" s="168"/>
    </row>
    <row r="435">
      <c r="G435" s="168"/>
      <c r="L435" s="168"/>
    </row>
    <row r="436">
      <c r="G436" s="168"/>
      <c r="L436" s="168"/>
    </row>
    <row r="437">
      <c r="G437" s="168"/>
      <c r="L437" s="168"/>
    </row>
    <row r="438">
      <c r="G438" s="168"/>
      <c r="L438" s="168"/>
    </row>
    <row r="439">
      <c r="G439" s="168"/>
      <c r="L439" s="168"/>
    </row>
    <row r="440">
      <c r="G440" s="168"/>
      <c r="L440" s="168"/>
    </row>
    <row r="441">
      <c r="G441" s="168"/>
      <c r="L441" s="168"/>
    </row>
    <row r="442">
      <c r="G442" s="168"/>
      <c r="L442" s="168"/>
    </row>
    <row r="443">
      <c r="G443" s="168"/>
      <c r="L443" s="168"/>
    </row>
    <row r="444">
      <c r="G444" s="168"/>
      <c r="L444" s="168"/>
    </row>
    <row r="445">
      <c r="G445" s="168"/>
      <c r="L445" s="168"/>
    </row>
    <row r="446">
      <c r="G446" s="168"/>
      <c r="L446" s="168"/>
    </row>
    <row r="447">
      <c r="G447" s="168"/>
      <c r="L447" s="168"/>
    </row>
    <row r="448">
      <c r="G448" s="168"/>
      <c r="L448" s="168"/>
    </row>
    <row r="449">
      <c r="G449" s="168"/>
      <c r="L449" s="168"/>
    </row>
    <row r="450">
      <c r="G450" s="168"/>
      <c r="L450" s="168"/>
    </row>
    <row r="451">
      <c r="G451" s="168"/>
      <c r="L451" s="168"/>
    </row>
    <row r="452">
      <c r="G452" s="168"/>
      <c r="L452" s="168"/>
    </row>
    <row r="453">
      <c r="G453" s="168"/>
      <c r="L453" s="168"/>
    </row>
    <row r="454">
      <c r="G454" s="168"/>
      <c r="L454" s="168"/>
    </row>
    <row r="455">
      <c r="G455" s="168"/>
      <c r="L455" s="168"/>
    </row>
    <row r="456">
      <c r="G456" s="168"/>
      <c r="L456" s="168"/>
    </row>
    <row r="457">
      <c r="G457" s="168"/>
      <c r="L457" s="168"/>
    </row>
    <row r="458">
      <c r="G458" s="168"/>
      <c r="L458" s="168"/>
    </row>
    <row r="459">
      <c r="G459" s="168"/>
      <c r="L459" s="168"/>
    </row>
    <row r="460">
      <c r="G460" s="168"/>
      <c r="L460" s="168"/>
    </row>
    <row r="461">
      <c r="G461" s="168"/>
      <c r="L461" s="168"/>
    </row>
    <row r="462">
      <c r="G462" s="168"/>
      <c r="L462" s="168"/>
    </row>
    <row r="463">
      <c r="G463" s="168"/>
      <c r="L463" s="168"/>
    </row>
    <row r="464">
      <c r="G464" s="168"/>
      <c r="L464" s="168"/>
    </row>
    <row r="465">
      <c r="G465" s="168"/>
      <c r="L465" s="168"/>
    </row>
    <row r="466">
      <c r="G466" s="168"/>
      <c r="L466" s="168"/>
    </row>
    <row r="467">
      <c r="G467" s="168"/>
      <c r="L467" s="168"/>
    </row>
    <row r="468">
      <c r="G468" s="168"/>
      <c r="L468" s="168"/>
    </row>
    <row r="469">
      <c r="G469" s="168"/>
      <c r="L469" s="168"/>
    </row>
    <row r="470">
      <c r="G470" s="168"/>
      <c r="L470" s="168"/>
    </row>
    <row r="471">
      <c r="G471" s="168"/>
      <c r="L471" s="168"/>
    </row>
    <row r="472">
      <c r="G472" s="168"/>
      <c r="L472" s="168"/>
    </row>
    <row r="473">
      <c r="G473" s="168"/>
      <c r="L473" s="168"/>
    </row>
    <row r="474">
      <c r="G474" s="168"/>
      <c r="L474" s="168"/>
    </row>
    <row r="475">
      <c r="G475" s="168"/>
      <c r="L475" s="168"/>
    </row>
    <row r="476">
      <c r="G476" s="168"/>
      <c r="L476" s="168"/>
    </row>
    <row r="477">
      <c r="G477" s="168"/>
      <c r="L477" s="168"/>
    </row>
    <row r="478">
      <c r="G478" s="168"/>
      <c r="L478" s="168"/>
    </row>
    <row r="479">
      <c r="G479" s="168"/>
      <c r="L479" s="168"/>
    </row>
    <row r="480">
      <c r="G480" s="168"/>
      <c r="L480" s="168"/>
    </row>
    <row r="481">
      <c r="G481" s="168"/>
      <c r="L481" s="168"/>
    </row>
    <row r="482">
      <c r="G482" s="168"/>
      <c r="L482" s="168"/>
    </row>
    <row r="483">
      <c r="G483" s="168"/>
      <c r="L483" s="168"/>
    </row>
    <row r="484">
      <c r="G484" s="168"/>
      <c r="L484" s="168"/>
    </row>
    <row r="485">
      <c r="G485" s="168"/>
      <c r="L485" s="168"/>
    </row>
    <row r="486">
      <c r="G486" s="168"/>
      <c r="L486" s="168"/>
    </row>
    <row r="487">
      <c r="G487" s="168"/>
      <c r="L487" s="168"/>
    </row>
    <row r="488">
      <c r="G488" s="168"/>
      <c r="L488" s="168"/>
    </row>
    <row r="489">
      <c r="G489" s="168"/>
      <c r="L489" s="168"/>
    </row>
    <row r="490">
      <c r="G490" s="168"/>
      <c r="L490" s="168"/>
    </row>
    <row r="491">
      <c r="G491" s="168"/>
      <c r="L491" s="168"/>
    </row>
    <row r="492">
      <c r="G492" s="168"/>
      <c r="L492" s="168"/>
    </row>
    <row r="493">
      <c r="G493" s="168"/>
      <c r="L493" s="168"/>
    </row>
    <row r="494">
      <c r="G494" s="168"/>
      <c r="L494" s="168"/>
    </row>
    <row r="495">
      <c r="G495" s="168"/>
      <c r="L495" s="168"/>
    </row>
    <row r="496">
      <c r="G496" s="168"/>
      <c r="L496" s="168"/>
    </row>
    <row r="497">
      <c r="G497" s="168"/>
      <c r="L497" s="168"/>
    </row>
    <row r="498">
      <c r="G498" s="168"/>
      <c r="L498" s="168"/>
    </row>
    <row r="499">
      <c r="G499" s="168"/>
      <c r="L499" s="168"/>
    </row>
    <row r="500">
      <c r="G500" s="168"/>
      <c r="L500" s="168"/>
    </row>
    <row r="501">
      <c r="G501" s="168"/>
      <c r="L501" s="168"/>
    </row>
    <row r="502">
      <c r="G502" s="168"/>
      <c r="L502" s="168"/>
    </row>
    <row r="503">
      <c r="G503" s="168"/>
      <c r="L503" s="168"/>
    </row>
    <row r="504">
      <c r="G504" s="168"/>
      <c r="L504" s="168"/>
    </row>
    <row r="505">
      <c r="G505" s="168"/>
      <c r="L505" s="168"/>
    </row>
    <row r="506">
      <c r="G506" s="168"/>
      <c r="L506" s="168"/>
    </row>
    <row r="507">
      <c r="G507" s="168"/>
      <c r="L507" s="168"/>
    </row>
    <row r="508">
      <c r="G508" s="168"/>
      <c r="L508" s="168"/>
    </row>
    <row r="509">
      <c r="G509" s="168"/>
      <c r="L509" s="168"/>
    </row>
    <row r="510">
      <c r="G510" s="168"/>
      <c r="L510" s="168"/>
    </row>
    <row r="511">
      <c r="G511" s="168"/>
      <c r="L511" s="168"/>
    </row>
    <row r="512">
      <c r="G512" s="168"/>
      <c r="L512" s="168"/>
    </row>
    <row r="513">
      <c r="G513" s="168"/>
      <c r="L513" s="168"/>
    </row>
    <row r="514">
      <c r="G514" s="168"/>
      <c r="L514" s="168"/>
    </row>
    <row r="515">
      <c r="G515" s="168"/>
      <c r="L515" s="168"/>
    </row>
    <row r="516">
      <c r="G516" s="168"/>
      <c r="L516" s="168"/>
    </row>
    <row r="517">
      <c r="G517" s="168"/>
      <c r="L517" s="168"/>
    </row>
    <row r="518">
      <c r="G518" s="168"/>
      <c r="L518" s="168"/>
    </row>
    <row r="519">
      <c r="G519" s="168"/>
      <c r="L519" s="168"/>
    </row>
    <row r="520">
      <c r="G520" s="168"/>
      <c r="L520" s="168"/>
    </row>
    <row r="521">
      <c r="G521" s="168"/>
      <c r="L521" s="168"/>
    </row>
    <row r="522">
      <c r="G522" s="168"/>
      <c r="L522" s="168"/>
    </row>
    <row r="523">
      <c r="G523" s="168"/>
      <c r="L523" s="168"/>
    </row>
    <row r="524">
      <c r="G524" s="168"/>
      <c r="L524" s="168"/>
    </row>
    <row r="525">
      <c r="G525" s="168"/>
      <c r="L525" s="168"/>
    </row>
    <row r="526">
      <c r="G526" s="168"/>
      <c r="L526" s="168"/>
    </row>
    <row r="527">
      <c r="G527" s="168"/>
      <c r="L527" s="168"/>
    </row>
    <row r="528">
      <c r="G528" s="168"/>
      <c r="L528" s="168"/>
    </row>
    <row r="529">
      <c r="G529" s="168"/>
      <c r="L529" s="168"/>
    </row>
    <row r="530">
      <c r="G530" s="168"/>
      <c r="L530" s="168"/>
    </row>
    <row r="531">
      <c r="G531" s="168"/>
      <c r="L531" s="168"/>
    </row>
    <row r="532">
      <c r="G532" s="168"/>
      <c r="L532" s="168"/>
    </row>
    <row r="533">
      <c r="G533" s="168"/>
      <c r="L533" s="168"/>
    </row>
    <row r="534">
      <c r="G534" s="168"/>
      <c r="L534" s="168"/>
    </row>
    <row r="535">
      <c r="G535" s="168"/>
      <c r="L535" s="168"/>
    </row>
    <row r="536">
      <c r="G536" s="168"/>
      <c r="L536" s="168"/>
    </row>
    <row r="537">
      <c r="G537" s="168"/>
      <c r="L537" s="168"/>
    </row>
    <row r="538">
      <c r="G538" s="168"/>
      <c r="L538" s="168"/>
    </row>
    <row r="539">
      <c r="G539" s="168"/>
      <c r="L539" s="168"/>
    </row>
    <row r="540">
      <c r="G540" s="168"/>
      <c r="L540" s="168"/>
    </row>
    <row r="541">
      <c r="G541" s="168"/>
      <c r="L541" s="168"/>
    </row>
    <row r="542">
      <c r="G542" s="168"/>
      <c r="L542" s="168"/>
    </row>
    <row r="543">
      <c r="G543" s="168"/>
      <c r="L543" s="168"/>
    </row>
    <row r="544">
      <c r="G544" s="168"/>
      <c r="L544" s="168"/>
    </row>
    <row r="545">
      <c r="G545" s="168"/>
      <c r="L545" s="168"/>
    </row>
    <row r="546">
      <c r="G546" s="168"/>
      <c r="L546" s="168"/>
    </row>
    <row r="547">
      <c r="G547" s="168"/>
      <c r="L547" s="168"/>
    </row>
    <row r="548">
      <c r="G548" s="168"/>
      <c r="L548" s="168"/>
    </row>
    <row r="549">
      <c r="G549" s="168"/>
      <c r="L549" s="168"/>
    </row>
    <row r="550">
      <c r="G550" s="168"/>
      <c r="L550" s="168"/>
    </row>
    <row r="551">
      <c r="G551" s="168"/>
      <c r="L551" s="168"/>
    </row>
    <row r="552">
      <c r="G552" s="168"/>
      <c r="L552" s="168"/>
    </row>
    <row r="553">
      <c r="G553" s="168"/>
      <c r="L553" s="168"/>
    </row>
    <row r="554">
      <c r="G554" s="168"/>
      <c r="L554" s="168"/>
    </row>
    <row r="555">
      <c r="G555" s="168"/>
      <c r="L555" s="168"/>
    </row>
    <row r="556">
      <c r="G556" s="168"/>
      <c r="L556" s="168"/>
    </row>
    <row r="557">
      <c r="G557" s="168"/>
      <c r="L557" s="168"/>
    </row>
    <row r="558">
      <c r="G558" s="168"/>
      <c r="L558" s="168"/>
    </row>
    <row r="559">
      <c r="G559" s="168"/>
      <c r="L559" s="168"/>
    </row>
    <row r="560">
      <c r="G560" s="168"/>
      <c r="L560" s="168"/>
    </row>
    <row r="561">
      <c r="G561" s="168"/>
      <c r="L561" s="168"/>
    </row>
    <row r="562">
      <c r="G562" s="168"/>
      <c r="L562" s="168"/>
    </row>
    <row r="563">
      <c r="G563" s="168"/>
      <c r="L563" s="168"/>
    </row>
    <row r="564">
      <c r="G564" s="168"/>
      <c r="L564" s="168"/>
    </row>
    <row r="565">
      <c r="G565" s="168"/>
      <c r="L565" s="168"/>
    </row>
    <row r="566">
      <c r="G566" s="168"/>
      <c r="L566" s="168"/>
    </row>
    <row r="567">
      <c r="G567" s="168"/>
      <c r="L567" s="168"/>
    </row>
    <row r="568">
      <c r="G568" s="168"/>
      <c r="L568" s="168"/>
    </row>
    <row r="569">
      <c r="G569" s="168"/>
      <c r="L569" s="168"/>
    </row>
    <row r="570">
      <c r="G570" s="168"/>
      <c r="L570" s="168"/>
    </row>
    <row r="571">
      <c r="G571" s="168"/>
      <c r="L571" s="168"/>
    </row>
    <row r="572">
      <c r="G572" s="168"/>
      <c r="L572" s="168"/>
    </row>
    <row r="573">
      <c r="G573" s="168"/>
      <c r="L573" s="168"/>
    </row>
    <row r="574">
      <c r="G574" s="168"/>
      <c r="L574" s="168"/>
    </row>
    <row r="575">
      <c r="G575" s="168"/>
      <c r="L575" s="168"/>
    </row>
    <row r="576">
      <c r="G576" s="168"/>
      <c r="L576" s="168"/>
    </row>
    <row r="577">
      <c r="G577" s="168"/>
      <c r="L577" s="168"/>
    </row>
    <row r="578">
      <c r="G578" s="168"/>
      <c r="L578" s="168"/>
    </row>
    <row r="579">
      <c r="G579" s="168"/>
      <c r="L579" s="168"/>
    </row>
    <row r="580">
      <c r="G580" s="168"/>
      <c r="L580" s="168"/>
    </row>
    <row r="581">
      <c r="G581" s="168"/>
      <c r="L581" s="168"/>
    </row>
    <row r="582">
      <c r="G582" s="168"/>
      <c r="L582" s="168"/>
    </row>
    <row r="583">
      <c r="G583" s="168"/>
      <c r="L583" s="168"/>
    </row>
    <row r="584">
      <c r="G584" s="168"/>
      <c r="L584" s="168"/>
    </row>
    <row r="585">
      <c r="G585" s="168"/>
      <c r="L585" s="168"/>
    </row>
    <row r="586">
      <c r="G586" s="168"/>
      <c r="L586" s="168"/>
    </row>
    <row r="587">
      <c r="G587" s="168"/>
      <c r="L587" s="168"/>
    </row>
    <row r="588">
      <c r="G588" s="168"/>
      <c r="L588" s="168"/>
    </row>
    <row r="589">
      <c r="G589" s="168"/>
      <c r="L589" s="168"/>
    </row>
    <row r="590">
      <c r="G590" s="168"/>
      <c r="L590" s="168"/>
    </row>
    <row r="591">
      <c r="G591" s="168"/>
      <c r="L591" s="168"/>
    </row>
    <row r="592">
      <c r="G592" s="168"/>
      <c r="L592" s="168"/>
    </row>
    <row r="593">
      <c r="G593" s="168"/>
      <c r="L593" s="168"/>
    </row>
    <row r="594">
      <c r="G594" s="168"/>
      <c r="L594" s="168"/>
    </row>
    <row r="595">
      <c r="G595" s="168"/>
      <c r="L595" s="168"/>
    </row>
    <row r="596">
      <c r="G596" s="168"/>
      <c r="L596" s="168"/>
    </row>
    <row r="597">
      <c r="G597" s="168"/>
      <c r="L597" s="168"/>
    </row>
    <row r="598">
      <c r="G598" s="168"/>
      <c r="L598" s="168"/>
    </row>
    <row r="599">
      <c r="G599" s="168"/>
      <c r="L599" s="168"/>
    </row>
    <row r="600">
      <c r="G600" s="168"/>
      <c r="L600" s="168"/>
    </row>
    <row r="601">
      <c r="G601" s="168"/>
      <c r="L601" s="168"/>
    </row>
    <row r="602">
      <c r="G602" s="168"/>
      <c r="L602" s="168"/>
    </row>
    <row r="603">
      <c r="G603" s="168"/>
      <c r="L603" s="168"/>
    </row>
    <row r="604">
      <c r="G604" s="168"/>
      <c r="L604" s="168"/>
    </row>
    <row r="605">
      <c r="G605" s="168"/>
      <c r="L605" s="168"/>
    </row>
    <row r="606">
      <c r="G606" s="168"/>
      <c r="L606" s="168"/>
    </row>
    <row r="607">
      <c r="G607" s="168"/>
      <c r="L607" s="168"/>
    </row>
    <row r="608">
      <c r="G608" s="168"/>
      <c r="L608" s="168"/>
    </row>
    <row r="609">
      <c r="G609" s="168"/>
      <c r="L609" s="168"/>
    </row>
    <row r="610">
      <c r="G610" s="168"/>
      <c r="L610" s="168"/>
    </row>
    <row r="611">
      <c r="G611" s="168"/>
      <c r="L611" s="168"/>
    </row>
    <row r="612">
      <c r="G612" s="168"/>
      <c r="L612" s="168"/>
    </row>
    <row r="613">
      <c r="G613" s="168"/>
      <c r="L613" s="168"/>
    </row>
    <row r="614">
      <c r="G614" s="168"/>
      <c r="L614" s="168"/>
    </row>
    <row r="615">
      <c r="G615" s="168"/>
      <c r="L615" s="168"/>
    </row>
    <row r="616">
      <c r="G616" s="168"/>
      <c r="L616" s="168"/>
    </row>
    <row r="617">
      <c r="G617" s="168"/>
      <c r="L617" s="168"/>
    </row>
    <row r="618">
      <c r="G618" s="168"/>
      <c r="L618" s="168"/>
    </row>
    <row r="619">
      <c r="G619" s="168"/>
      <c r="L619" s="168"/>
    </row>
    <row r="620">
      <c r="G620" s="168"/>
      <c r="L620" s="168"/>
    </row>
    <row r="621">
      <c r="G621" s="168"/>
      <c r="L621" s="168"/>
    </row>
    <row r="622">
      <c r="G622" s="168"/>
      <c r="L622" s="168"/>
    </row>
    <row r="623">
      <c r="G623" s="168"/>
      <c r="L623" s="168"/>
    </row>
    <row r="624">
      <c r="G624" s="168"/>
      <c r="L624" s="168"/>
    </row>
    <row r="625">
      <c r="G625" s="168"/>
      <c r="L625" s="168"/>
    </row>
    <row r="626">
      <c r="G626" s="168"/>
      <c r="L626" s="168"/>
    </row>
    <row r="627">
      <c r="G627" s="168"/>
      <c r="L627" s="168"/>
    </row>
    <row r="628">
      <c r="G628" s="168"/>
      <c r="L628" s="168"/>
    </row>
    <row r="629">
      <c r="G629" s="168"/>
      <c r="L629" s="168"/>
    </row>
    <row r="630">
      <c r="G630" s="168"/>
      <c r="L630" s="168"/>
    </row>
    <row r="631">
      <c r="G631" s="168"/>
      <c r="L631" s="168"/>
    </row>
    <row r="632">
      <c r="G632" s="168"/>
      <c r="L632" s="168"/>
    </row>
    <row r="633">
      <c r="G633" s="168"/>
      <c r="L633" s="168"/>
    </row>
    <row r="634">
      <c r="G634" s="168"/>
      <c r="L634" s="168"/>
    </row>
    <row r="635">
      <c r="G635" s="168"/>
      <c r="L635" s="168"/>
    </row>
    <row r="636">
      <c r="G636" s="168"/>
      <c r="L636" s="168"/>
    </row>
    <row r="637">
      <c r="G637" s="168"/>
      <c r="L637" s="168"/>
    </row>
    <row r="638">
      <c r="G638" s="168"/>
      <c r="L638" s="168"/>
    </row>
    <row r="639">
      <c r="G639" s="168"/>
      <c r="L639" s="168"/>
    </row>
    <row r="640">
      <c r="G640" s="168"/>
      <c r="L640" s="168"/>
    </row>
    <row r="641">
      <c r="G641" s="168"/>
      <c r="L641" s="168"/>
    </row>
    <row r="642">
      <c r="G642" s="168"/>
      <c r="L642" s="168"/>
    </row>
    <row r="643">
      <c r="G643" s="168"/>
      <c r="L643" s="168"/>
    </row>
    <row r="644">
      <c r="G644" s="168"/>
      <c r="L644" s="168"/>
    </row>
    <row r="645">
      <c r="G645" s="168"/>
      <c r="L645" s="168"/>
    </row>
    <row r="646">
      <c r="G646" s="168"/>
      <c r="L646" s="168"/>
    </row>
    <row r="647">
      <c r="G647" s="168"/>
      <c r="L647" s="168"/>
    </row>
    <row r="648">
      <c r="G648" s="168"/>
      <c r="L648" s="168"/>
    </row>
    <row r="649">
      <c r="G649" s="168"/>
      <c r="L649" s="168"/>
    </row>
    <row r="650">
      <c r="G650" s="168"/>
      <c r="L650" s="168"/>
    </row>
    <row r="651">
      <c r="G651" s="168"/>
      <c r="L651" s="168"/>
    </row>
    <row r="652">
      <c r="G652" s="168"/>
      <c r="L652" s="168"/>
    </row>
    <row r="653">
      <c r="G653" s="168"/>
      <c r="L653" s="168"/>
    </row>
    <row r="654">
      <c r="G654" s="168"/>
      <c r="L654" s="168"/>
    </row>
    <row r="655">
      <c r="G655" s="168"/>
      <c r="L655" s="168"/>
    </row>
    <row r="656">
      <c r="G656" s="168"/>
      <c r="L656" s="168"/>
    </row>
    <row r="657">
      <c r="G657" s="168"/>
      <c r="L657" s="168"/>
    </row>
    <row r="658">
      <c r="G658" s="168"/>
      <c r="L658" s="168"/>
    </row>
    <row r="659">
      <c r="G659" s="168"/>
      <c r="L659" s="168"/>
    </row>
    <row r="660">
      <c r="G660" s="168"/>
      <c r="L660" s="168"/>
    </row>
    <row r="661">
      <c r="G661" s="168"/>
      <c r="L661" s="168"/>
    </row>
    <row r="662">
      <c r="G662" s="168"/>
      <c r="L662" s="168"/>
    </row>
    <row r="663">
      <c r="G663" s="168"/>
      <c r="L663" s="168"/>
    </row>
    <row r="664">
      <c r="G664" s="168"/>
      <c r="L664" s="168"/>
    </row>
    <row r="665">
      <c r="G665" s="168"/>
      <c r="L665" s="168"/>
    </row>
    <row r="666">
      <c r="G666" s="168"/>
      <c r="L666" s="168"/>
    </row>
    <row r="667">
      <c r="G667" s="168"/>
      <c r="L667" s="168"/>
    </row>
    <row r="668">
      <c r="G668" s="168"/>
      <c r="L668" s="168"/>
    </row>
    <row r="669">
      <c r="G669" s="168"/>
      <c r="L669" s="168"/>
    </row>
    <row r="670">
      <c r="G670" s="168"/>
      <c r="L670" s="168"/>
    </row>
    <row r="671">
      <c r="G671" s="168"/>
      <c r="L671" s="168"/>
    </row>
    <row r="672">
      <c r="G672" s="168"/>
      <c r="L672" s="168"/>
    </row>
    <row r="673">
      <c r="G673" s="168"/>
      <c r="L673" s="168"/>
    </row>
    <row r="674">
      <c r="G674" s="168"/>
      <c r="L674" s="168"/>
    </row>
    <row r="675">
      <c r="G675" s="168"/>
      <c r="L675" s="168"/>
    </row>
    <row r="676">
      <c r="G676" s="168"/>
      <c r="L676" s="168"/>
    </row>
    <row r="677">
      <c r="G677" s="168"/>
      <c r="L677" s="168"/>
    </row>
    <row r="678">
      <c r="G678" s="168"/>
      <c r="L678" s="168"/>
    </row>
    <row r="679">
      <c r="G679" s="168"/>
      <c r="L679" s="168"/>
    </row>
    <row r="680">
      <c r="G680" s="168"/>
      <c r="L680" s="168"/>
    </row>
    <row r="681">
      <c r="G681" s="168"/>
      <c r="L681" s="168"/>
    </row>
    <row r="682">
      <c r="G682" s="168"/>
      <c r="L682" s="168"/>
    </row>
    <row r="683">
      <c r="G683" s="168"/>
      <c r="L683" s="168"/>
    </row>
    <row r="684">
      <c r="G684" s="168"/>
      <c r="L684" s="168"/>
    </row>
    <row r="685">
      <c r="G685" s="168"/>
      <c r="L685" s="168"/>
    </row>
    <row r="686">
      <c r="G686" s="168"/>
      <c r="L686" s="168"/>
    </row>
    <row r="687">
      <c r="G687" s="168"/>
      <c r="L687" s="168"/>
    </row>
    <row r="688">
      <c r="G688" s="168"/>
      <c r="L688" s="168"/>
    </row>
    <row r="689">
      <c r="G689" s="168"/>
      <c r="L689" s="168"/>
    </row>
    <row r="690">
      <c r="G690" s="168"/>
      <c r="L690" s="168"/>
    </row>
    <row r="691">
      <c r="G691" s="168"/>
      <c r="L691" s="168"/>
    </row>
    <row r="692">
      <c r="G692" s="168"/>
      <c r="L692" s="168"/>
    </row>
    <row r="693">
      <c r="G693" s="168"/>
      <c r="L693" s="168"/>
    </row>
    <row r="694">
      <c r="G694" s="168"/>
      <c r="L694" s="168"/>
    </row>
    <row r="695">
      <c r="G695" s="168"/>
      <c r="L695" s="168"/>
    </row>
    <row r="696">
      <c r="G696" s="168"/>
      <c r="L696" s="168"/>
    </row>
    <row r="697">
      <c r="G697" s="168"/>
      <c r="L697" s="168"/>
    </row>
    <row r="698">
      <c r="G698" s="168"/>
      <c r="L698" s="168"/>
    </row>
    <row r="699">
      <c r="G699" s="168"/>
      <c r="L699" s="168"/>
    </row>
    <row r="700">
      <c r="G700" s="168"/>
      <c r="L700" s="168"/>
    </row>
    <row r="701">
      <c r="G701" s="168"/>
      <c r="L701" s="168"/>
    </row>
    <row r="702">
      <c r="G702" s="168"/>
      <c r="L702" s="168"/>
    </row>
    <row r="703">
      <c r="G703" s="168"/>
      <c r="L703" s="168"/>
    </row>
    <row r="704">
      <c r="G704" s="168"/>
      <c r="L704" s="168"/>
    </row>
    <row r="705">
      <c r="G705" s="168"/>
      <c r="L705" s="168"/>
    </row>
    <row r="706">
      <c r="G706" s="168"/>
      <c r="L706" s="168"/>
    </row>
    <row r="707">
      <c r="G707" s="168"/>
      <c r="L707" s="168"/>
    </row>
    <row r="708">
      <c r="G708" s="168"/>
      <c r="L708" s="168"/>
    </row>
    <row r="709">
      <c r="G709" s="168"/>
      <c r="L709" s="168"/>
    </row>
    <row r="710">
      <c r="G710" s="168"/>
      <c r="L710" s="168"/>
    </row>
    <row r="711">
      <c r="G711" s="168"/>
      <c r="L711" s="168"/>
    </row>
    <row r="712">
      <c r="G712" s="168"/>
      <c r="L712" s="168"/>
    </row>
    <row r="713">
      <c r="G713" s="168"/>
      <c r="L713" s="168"/>
    </row>
    <row r="714">
      <c r="G714" s="168"/>
      <c r="L714" s="168"/>
    </row>
    <row r="715">
      <c r="G715" s="168"/>
      <c r="L715" s="168"/>
    </row>
    <row r="716">
      <c r="G716" s="168"/>
      <c r="L716" s="168"/>
    </row>
    <row r="717">
      <c r="G717" s="168"/>
      <c r="L717" s="168"/>
    </row>
    <row r="718">
      <c r="G718" s="168"/>
      <c r="L718" s="168"/>
    </row>
    <row r="719">
      <c r="G719" s="168"/>
      <c r="L719" s="168"/>
    </row>
    <row r="720">
      <c r="G720" s="168"/>
      <c r="L720" s="168"/>
    </row>
    <row r="721">
      <c r="G721" s="168"/>
      <c r="L721" s="168"/>
    </row>
    <row r="722">
      <c r="G722" s="168"/>
      <c r="L722" s="168"/>
    </row>
    <row r="723">
      <c r="G723" s="168"/>
      <c r="L723" s="168"/>
    </row>
    <row r="724">
      <c r="G724" s="168"/>
      <c r="L724" s="168"/>
    </row>
    <row r="725">
      <c r="G725" s="168"/>
      <c r="L725" s="168"/>
    </row>
    <row r="726">
      <c r="G726" s="168"/>
      <c r="L726" s="168"/>
    </row>
    <row r="727">
      <c r="G727" s="168"/>
      <c r="L727" s="168"/>
    </row>
    <row r="728">
      <c r="G728" s="168"/>
      <c r="L728" s="168"/>
    </row>
    <row r="729">
      <c r="G729" s="168"/>
      <c r="L729" s="168"/>
    </row>
    <row r="730">
      <c r="G730" s="168"/>
      <c r="L730" s="168"/>
    </row>
    <row r="731">
      <c r="G731" s="168"/>
      <c r="L731" s="168"/>
    </row>
    <row r="732">
      <c r="G732" s="168"/>
      <c r="L732" s="168"/>
    </row>
    <row r="733">
      <c r="G733" s="168"/>
      <c r="L733" s="168"/>
    </row>
    <row r="734">
      <c r="G734" s="168"/>
      <c r="L734" s="168"/>
    </row>
    <row r="735">
      <c r="G735" s="168"/>
      <c r="L735" s="168"/>
    </row>
    <row r="736">
      <c r="G736" s="168"/>
      <c r="L736" s="168"/>
    </row>
    <row r="737">
      <c r="G737" s="168"/>
      <c r="L737" s="168"/>
    </row>
    <row r="738">
      <c r="G738" s="168"/>
      <c r="L738" s="168"/>
    </row>
    <row r="739">
      <c r="G739" s="168"/>
      <c r="L739" s="168"/>
    </row>
    <row r="740">
      <c r="G740" s="168"/>
      <c r="L740" s="168"/>
    </row>
    <row r="741">
      <c r="G741" s="168"/>
      <c r="L741" s="168"/>
    </row>
    <row r="742">
      <c r="G742" s="168"/>
      <c r="L742" s="168"/>
    </row>
    <row r="743">
      <c r="G743" s="168"/>
      <c r="L743" s="168"/>
    </row>
    <row r="744">
      <c r="G744" s="168"/>
      <c r="L744" s="168"/>
    </row>
    <row r="745">
      <c r="G745" s="168"/>
      <c r="L745" s="168"/>
    </row>
    <row r="746">
      <c r="G746" s="168"/>
      <c r="L746" s="168"/>
    </row>
    <row r="747">
      <c r="G747" s="168"/>
      <c r="L747" s="168"/>
    </row>
    <row r="748">
      <c r="G748" s="168"/>
      <c r="L748" s="168"/>
    </row>
    <row r="749">
      <c r="G749" s="168"/>
      <c r="L749" s="168"/>
    </row>
    <row r="750">
      <c r="G750" s="168"/>
      <c r="L750" s="168"/>
    </row>
    <row r="751">
      <c r="G751" s="168"/>
      <c r="L751" s="168"/>
    </row>
    <row r="752">
      <c r="G752" s="168"/>
      <c r="L752" s="168"/>
    </row>
    <row r="753">
      <c r="G753" s="168"/>
      <c r="L753" s="168"/>
    </row>
    <row r="754">
      <c r="G754" s="168"/>
      <c r="L754" s="168"/>
    </row>
    <row r="755">
      <c r="G755" s="168"/>
      <c r="L755" s="168"/>
    </row>
    <row r="756">
      <c r="G756" s="168"/>
      <c r="L756" s="168"/>
    </row>
    <row r="757">
      <c r="G757" s="168"/>
      <c r="L757" s="168"/>
    </row>
    <row r="758">
      <c r="G758" s="168"/>
      <c r="L758" s="168"/>
    </row>
    <row r="759">
      <c r="G759" s="168"/>
      <c r="L759" s="168"/>
    </row>
    <row r="760">
      <c r="G760" s="168"/>
      <c r="L760" s="168"/>
    </row>
    <row r="761">
      <c r="G761" s="168"/>
      <c r="L761" s="168"/>
    </row>
    <row r="762">
      <c r="G762" s="168"/>
      <c r="L762" s="168"/>
    </row>
    <row r="763">
      <c r="G763" s="168"/>
      <c r="L763" s="168"/>
    </row>
    <row r="764">
      <c r="G764" s="168"/>
      <c r="L764" s="168"/>
    </row>
    <row r="765">
      <c r="G765" s="168"/>
      <c r="L765" s="168"/>
    </row>
    <row r="766">
      <c r="G766" s="168"/>
      <c r="L766" s="168"/>
    </row>
    <row r="767">
      <c r="G767" s="168"/>
      <c r="L767" s="168"/>
    </row>
    <row r="768">
      <c r="G768" s="168"/>
      <c r="L768" s="168"/>
    </row>
    <row r="769">
      <c r="G769" s="168"/>
      <c r="L769" s="168"/>
    </row>
    <row r="770">
      <c r="G770" s="168"/>
      <c r="L770" s="168"/>
    </row>
    <row r="771">
      <c r="G771" s="168"/>
      <c r="L771" s="168"/>
    </row>
    <row r="772">
      <c r="G772" s="168"/>
      <c r="L772" s="168"/>
    </row>
    <row r="773">
      <c r="G773" s="168"/>
      <c r="L773" s="168"/>
    </row>
    <row r="774">
      <c r="G774" s="168"/>
      <c r="L774" s="168"/>
    </row>
    <row r="775">
      <c r="G775" s="168"/>
      <c r="L775" s="168"/>
    </row>
    <row r="776">
      <c r="G776" s="168"/>
      <c r="L776" s="168"/>
    </row>
    <row r="777">
      <c r="G777" s="168"/>
      <c r="L777" s="168"/>
    </row>
    <row r="778">
      <c r="G778" s="168"/>
      <c r="L778" s="168"/>
    </row>
    <row r="779">
      <c r="G779" s="168"/>
      <c r="L779" s="168"/>
    </row>
    <row r="780">
      <c r="G780" s="168"/>
      <c r="L780" s="168"/>
    </row>
    <row r="781">
      <c r="G781" s="168"/>
      <c r="L781" s="168"/>
    </row>
    <row r="782">
      <c r="G782" s="168"/>
      <c r="L782" s="168"/>
    </row>
    <row r="783">
      <c r="G783" s="168"/>
      <c r="L783" s="168"/>
    </row>
    <row r="784">
      <c r="G784" s="168"/>
      <c r="L784" s="168"/>
    </row>
    <row r="785">
      <c r="G785" s="168"/>
      <c r="L785" s="168"/>
    </row>
    <row r="786">
      <c r="G786" s="168"/>
      <c r="L786" s="168"/>
    </row>
    <row r="787">
      <c r="G787" s="168"/>
      <c r="L787" s="168"/>
    </row>
    <row r="788">
      <c r="G788" s="168"/>
      <c r="L788" s="168"/>
    </row>
    <row r="789">
      <c r="G789" s="168"/>
      <c r="L789" s="168"/>
    </row>
    <row r="790">
      <c r="G790" s="168"/>
      <c r="L790" s="168"/>
    </row>
    <row r="791">
      <c r="G791" s="168"/>
      <c r="L791" s="168"/>
    </row>
    <row r="792">
      <c r="G792" s="168"/>
      <c r="L792" s="168"/>
    </row>
    <row r="793">
      <c r="G793" s="168"/>
      <c r="L793" s="168"/>
    </row>
    <row r="794">
      <c r="G794" s="168"/>
      <c r="L794" s="168"/>
    </row>
    <row r="795">
      <c r="G795" s="168"/>
      <c r="L795" s="168"/>
    </row>
    <row r="796">
      <c r="G796" s="168"/>
      <c r="L796" s="168"/>
    </row>
    <row r="797">
      <c r="G797" s="168"/>
      <c r="L797" s="168"/>
    </row>
    <row r="798">
      <c r="G798" s="168"/>
      <c r="L798" s="168"/>
    </row>
    <row r="799">
      <c r="G799" s="168"/>
      <c r="L799" s="168"/>
    </row>
    <row r="800">
      <c r="G800" s="168"/>
      <c r="L800" s="168"/>
    </row>
    <row r="801">
      <c r="G801" s="168"/>
      <c r="L801" s="168"/>
    </row>
    <row r="802">
      <c r="G802" s="168"/>
      <c r="L802" s="168"/>
    </row>
    <row r="803">
      <c r="G803" s="168"/>
      <c r="L803" s="168"/>
    </row>
    <row r="804">
      <c r="G804" s="168"/>
      <c r="L804" s="168"/>
    </row>
    <row r="805">
      <c r="G805" s="168"/>
      <c r="L805" s="168"/>
    </row>
    <row r="806">
      <c r="G806" s="168"/>
      <c r="L806" s="168"/>
    </row>
    <row r="807">
      <c r="G807" s="168"/>
      <c r="L807" s="168"/>
    </row>
    <row r="808">
      <c r="G808" s="168"/>
      <c r="L808" s="168"/>
    </row>
    <row r="809">
      <c r="G809" s="168"/>
      <c r="L809" s="168"/>
    </row>
    <row r="810">
      <c r="G810" s="168"/>
      <c r="L810" s="168"/>
    </row>
    <row r="811">
      <c r="G811" s="168"/>
      <c r="L811" s="168"/>
    </row>
    <row r="812">
      <c r="G812" s="168"/>
      <c r="L812" s="168"/>
    </row>
    <row r="813">
      <c r="G813" s="168"/>
      <c r="L813" s="168"/>
    </row>
    <row r="814">
      <c r="G814" s="168"/>
      <c r="L814" s="168"/>
    </row>
    <row r="815">
      <c r="G815" s="168"/>
      <c r="L815" s="168"/>
    </row>
    <row r="816">
      <c r="G816" s="168"/>
      <c r="L816" s="168"/>
    </row>
    <row r="817">
      <c r="G817" s="168"/>
      <c r="L817" s="168"/>
    </row>
    <row r="818">
      <c r="G818" s="168"/>
      <c r="L818" s="168"/>
    </row>
    <row r="819">
      <c r="G819" s="168"/>
      <c r="L819" s="168"/>
    </row>
    <row r="820">
      <c r="G820" s="168"/>
      <c r="L820" s="168"/>
    </row>
    <row r="821">
      <c r="G821" s="168"/>
      <c r="L821" s="168"/>
    </row>
    <row r="822">
      <c r="G822" s="168"/>
      <c r="L822" s="168"/>
    </row>
    <row r="823">
      <c r="G823" s="168"/>
      <c r="L823" s="168"/>
    </row>
    <row r="824">
      <c r="G824" s="168"/>
      <c r="L824" s="168"/>
    </row>
    <row r="825">
      <c r="G825" s="168"/>
      <c r="L825" s="168"/>
    </row>
    <row r="826">
      <c r="G826" s="168"/>
      <c r="L826" s="168"/>
    </row>
    <row r="827">
      <c r="G827" s="168"/>
      <c r="L827" s="168"/>
    </row>
    <row r="828">
      <c r="G828" s="168"/>
      <c r="L828" s="168"/>
    </row>
    <row r="829">
      <c r="G829" s="168"/>
      <c r="L829" s="168"/>
    </row>
    <row r="830">
      <c r="G830" s="168"/>
      <c r="L830" s="168"/>
    </row>
    <row r="831">
      <c r="G831" s="168"/>
      <c r="L831" s="168"/>
    </row>
    <row r="832">
      <c r="G832" s="168"/>
      <c r="L832" s="168"/>
    </row>
    <row r="833">
      <c r="G833" s="168"/>
      <c r="L833" s="168"/>
    </row>
    <row r="834">
      <c r="G834" s="168"/>
      <c r="L834" s="168"/>
    </row>
    <row r="835">
      <c r="G835" s="168"/>
      <c r="L835" s="168"/>
    </row>
    <row r="836">
      <c r="G836" s="168"/>
      <c r="L836" s="168"/>
    </row>
    <row r="837">
      <c r="G837" s="168"/>
      <c r="L837" s="168"/>
    </row>
    <row r="838">
      <c r="G838" s="168"/>
      <c r="L838" s="168"/>
    </row>
    <row r="839">
      <c r="G839" s="168"/>
      <c r="L839" s="168"/>
    </row>
    <row r="840">
      <c r="G840" s="168"/>
      <c r="L840" s="168"/>
    </row>
    <row r="841">
      <c r="G841" s="168"/>
      <c r="L841" s="168"/>
    </row>
    <row r="842">
      <c r="G842" s="168"/>
      <c r="L842" s="168"/>
    </row>
    <row r="843">
      <c r="G843" s="168"/>
      <c r="L843" s="168"/>
    </row>
    <row r="844">
      <c r="G844" s="168"/>
      <c r="L844" s="168"/>
    </row>
    <row r="845">
      <c r="G845" s="168"/>
      <c r="L845" s="168"/>
    </row>
    <row r="846">
      <c r="G846" s="168"/>
      <c r="L846" s="168"/>
    </row>
    <row r="847">
      <c r="G847" s="168"/>
      <c r="L847" s="168"/>
    </row>
    <row r="848">
      <c r="G848" s="168"/>
      <c r="L848" s="168"/>
    </row>
    <row r="849">
      <c r="G849" s="168"/>
      <c r="L849" s="168"/>
    </row>
    <row r="850">
      <c r="G850" s="168"/>
      <c r="L850" s="168"/>
    </row>
    <row r="851">
      <c r="G851" s="168"/>
      <c r="L851" s="168"/>
    </row>
    <row r="852">
      <c r="G852" s="168"/>
      <c r="L852" s="168"/>
    </row>
    <row r="853">
      <c r="G853" s="168"/>
      <c r="L853" s="168"/>
    </row>
    <row r="854">
      <c r="G854" s="168"/>
      <c r="L854" s="168"/>
    </row>
    <row r="855">
      <c r="G855" s="168"/>
      <c r="L855" s="168"/>
    </row>
    <row r="856">
      <c r="G856" s="168"/>
      <c r="L856" s="168"/>
    </row>
    <row r="857">
      <c r="G857" s="168"/>
      <c r="L857" s="168"/>
    </row>
    <row r="858">
      <c r="G858" s="168"/>
      <c r="L858" s="168"/>
    </row>
    <row r="859">
      <c r="G859" s="168"/>
      <c r="L859" s="168"/>
    </row>
    <row r="860">
      <c r="G860" s="168"/>
      <c r="L860" s="168"/>
    </row>
    <row r="861">
      <c r="G861" s="168"/>
      <c r="L861" s="168"/>
    </row>
    <row r="862">
      <c r="G862" s="168"/>
      <c r="L862" s="168"/>
    </row>
    <row r="863">
      <c r="G863" s="168"/>
      <c r="L863" s="168"/>
    </row>
    <row r="864">
      <c r="G864" s="168"/>
      <c r="L864" s="168"/>
    </row>
    <row r="865">
      <c r="G865" s="168"/>
      <c r="L865" s="168"/>
    </row>
    <row r="866">
      <c r="G866" s="168"/>
      <c r="L866" s="168"/>
    </row>
    <row r="867">
      <c r="G867" s="168"/>
      <c r="L867" s="168"/>
    </row>
    <row r="868">
      <c r="G868" s="168"/>
      <c r="L868" s="168"/>
    </row>
    <row r="869">
      <c r="G869" s="168"/>
      <c r="L869" s="168"/>
    </row>
    <row r="870">
      <c r="G870" s="168"/>
      <c r="L870" s="168"/>
    </row>
    <row r="871">
      <c r="G871" s="168"/>
      <c r="L871" s="168"/>
    </row>
    <row r="872">
      <c r="G872" s="168"/>
      <c r="L872" s="168"/>
    </row>
    <row r="873">
      <c r="G873" s="168"/>
      <c r="L873" s="168"/>
    </row>
    <row r="874">
      <c r="G874" s="168"/>
      <c r="L874" s="168"/>
    </row>
    <row r="875">
      <c r="G875" s="168"/>
      <c r="L875" s="168"/>
    </row>
    <row r="876">
      <c r="G876" s="168"/>
      <c r="L876" s="168"/>
    </row>
    <row r="877">
      <c r="G877" s="168"/>
      <c r="L877" s="168"/>
    </row>
    <row r="878">
      <c r="G878" s="168"/>
      <c r="L878" s="168"/>
    </row>
    <row r="879">
      <c r="G879" s="168"/>
      <c r="L879" s="168"/>
    </row>
    <row r="880">
      <c r="G880" s="168"/>
      <c r="L880" s="168"/>
    </row>
    <row r="881">
      <c r="G881" s="168"/>
      <c r="L881" s="168"/>
    </row>
    <row r="882">
      <c r="G882" s="168"/>
      <c r="L882" s="168"/>
    </row>
    <row r="883">
      <c r="G883" s="168"/>
      <c r="L883" s="168"/>
    </row>
    <row r="884">
      <c r="G884" s="168"/>
      <c r="L884" s="168"/>
    </row>
    <row r="885">
      <c r="G885" s="168"/>
      <c r="L885" s="168"/>
    </row>
    <row r="886">
      <c r="G886" s="168"/>
      <c r="L886" s="168"/>
    </row>
    <row r="887">
      <c r="G887" s="168"/>
      <c r="L887" s="168"/>
    </row>
    <row r="888">
      <c r="G888" s="168"/>
      <c r="L888" s="168"/>
    </row>
    <row r="889">
      <c r="G889" s="168"/>
      <c r="L889" s="168"/>
    </row>
    <row r="890">
      <c r="G890" s="168"/>
      <c r="L890" s="168"/>
    </row>
    <row r="891">
      <c r="G891" s="168"/>
      <c r="L891" s="168"/>
    </row>
    <row r="892">
      <c r="G892" s="168"/>
      <c r="L892" s="168"/>
    </row>
    <row r="893">
      <c r="G893" s="168"/>
      <c r="L893" s="168"/>
    </row>
    <row r="894">
      <c r="G894" s="168"/>
      <c r="L894" s="168"/>
    </row>
    <row r="895">
      <c r="G895" s="168"/>
      <c r="L895" s="168"/>
    </row>
    <row r="896">
      <c r="G896" s="168"/>
      <c r="L896" s="168"/>
    </row>
    <row r="897">
      <c r="G897" s="168"/>
      <c r="L897" s="168"/>
    </row>
    <row r="898">
      <c r="G898" s="168"/>
      <c r="L898" s="168"/>
    </row>
    <row r="899">
      <c r="G899" s="168"/>
      <c r="L899" s="168"/>
    </row>
    <row r="900">
      <c r="G900" s="168"/>
      <c r="L900" s="168"/>
    </row>
    <row r="901">
      <c r="G901" s="168"/>
      <c r="L901" s="168"/>
    </row>
    <row r="902">
      <c r="G902" s="168"/>
      <c r="L902" s="168"/>
    </row>
    <row r="903">
      <c r="G903" s="168"/>
      <c r="L903" s="168"/>
    </row>
    <row r="904">
      <c r="G904" s="168"/>
      <c r="L904" s="168"/>
    </row>
    <row r="905">
      <c r="G905" s="168"/>
      <c r="L905" s="168"/>
    </row>
    <row r="906">
      <c r="G906" s="168"/>
      <c r="L906" s="168"/>
    </row>
    <row r="907">
      <c r="G907" s="168"/>
      <c r="L907" s="168"/>
    </row>
    <row r="908">
      <c r="G908" s="168"/>
      <c r="L908" s="168"/>
    </row>
    <row r="909">
      <c r="G909" s="168"/>
      <c r="L909" s="168"/>
    </row>
    <row r="910">
      <c r="G910" s="168"/>
      <c r="L910" s="168"/>
    </row>
    <row r="911">
      <c r="G911" s="168"/>
      <c r="L911" s="168"/>
    </row>
    <row r="912">
      <c r="G912" s="168"/>
      <c r="L912" s="168"/>
    </row>
    <row r="913">
      <c r="G913" s="168"/>
      <c r="L913" s="168"/>
    </row>
    <row r="914">
      <c r="G914" s="168"/>
      <c r="L914" s="168"/>
    </row>
    <row r="915">
      <c r="G915" s="168"/>
      <c r="L915" s="168"/>
    </row>
    <row r="916">
      <c r="G916" s="168"/>
      <c r="L916" s="168"/>
    </row>
    <row r="917">
      <c r="G917" s="168"/>
      <c r="L917" s="168"/>
    </row>
    <row r="918">
      <c r="G918" s="168"/>
      <c r="L918" s="168"/>
    </row>
    <row r="919">
      <c r="G919" s="168"/>
      <c r="L919" s="168"/>
    </row>
    <row r="920">
      <c r="G920" s="168"/>
      <c r="L920" s="168"/>
    </row>
    <row r="921">
      <c r="G921" s="168"/>
      <c r="L921" s="168"/>
    </row>
    <row r="922">
      <c r="G922" s="168"/>
      <c r="L922" s="168"/>
    </row>
    <row r="923">
      <c r="G923" s="168"/>
      <c r="L923" s="168"/>
    </row>
    <row r="924">
      <c r="G924" s="168"/>
      <c r="L924" s="168"/>
    </row>
    <row r="925">
      <c r="G925" s="168"/>
      <c r="L925" s="168"/>
    </row>
    <row r="926">
      <c r="G926" s="168"/>
      <c r="L926" s="168"/>
    </row>
    <row r="927">
      <c r="G927" s="168"/>
      <c r="L927" s="168"/>
    </row>
    <row r="928">
      <c r="G928" s="168"/>
      <c r="L928" s="168"/>
    </row>
    <row r="929">
      <c r="G929" s="168"/>
      <c r="L929" s="168"/>
    </row>
    <row r="930">
      <c r="G930" s="168"/>
      <c r="L930" s="168"/>
    </row>
    <row r="931">
      <c r="G931" s="168"/>
      <c r="L931" s="168"/>
    </row>
    <row r="932">
      <c r="G932" s="168"/>
      <c r="L932" s="168"/>
    </row>
    <row r="933">
      <c r="G933" s="168"/>
      <c r="L933" s="168"/>
    </row>
    <row r="934">
      <c r="G934" s="168"/>
      <c r="L934" s="168"/>
    </row>
    <row r="935">
      <c r="G935" s="168"/>
      <c r="L935" s="168"/>
    </row>
    <row r="936">
      <c r="G936" s="168"/>
      <c r="L936" s="168"/>
    </row>
    <row r="937">
      <c r="G937" s="168"/>
      <c r="L937" s="168"/>
    </row>
    <row r="938">
      <c r="G938" s="168"/>
      <c r="L938" s="168"/>
    </row>
    <row r="939">
      <c r="G939" s="168"/>
      <c r="L939" s="168"/>
    </row>
    <row r="940">
      <c r="G940" s="168"/>
      <c r="L940" s="168"/>
    </row>
    <row r="941">
      <c r="G941" s="168"/>
      <c r="L941" s="168"/>
    </row>
    <row r="942">
      <c r="G942" s="168"/>
      <c r="L942" s="168"/>
    </row>
    <row r="943">
      <c r="G943" s="168"/>
      <c r="L943" s="168"/>
    </row>
    <row r="944">
      <c r="G944" s="168"/>
      <c r="L944" s="168"/>
    </row>
    <row r="945">
      <c r="G945" s="168"/>
      <c r="L945" s="168"/>
    </row>
    <row r="946">
      <c r="G946" s="168"/>
      <c r="L946" s="168"/>
    </row>
    <row r="947">
      <c r="G947" s="168"/>
      <c r="L947" s="168"/>
    </row>
    <row r="948">
      <c r="G948" s="168"/>
      <c r="L948" s="168"/>
    </row>
    <row r="949">
      <c r="G949" s="168"/>
      <c r="L949" s="168"/>
    </row>
    <row r="950">
      <c r="G950" s="168"/>
      <c r="L950" s="168"/>
    </row>
    <row r="951">
      <c r="G951" s="168"/>
      <c r="L951" s="168"/>
    </row>
    <row r="952">
      <c r="G952" s="168"/>
      <c r="L952" s="168"/>
    </row>
    <row r="953">
      <c r="G953" s="168"/>
      <c r="L953" s="168"/>
    </row>
    <row r="954">
      <c r="G954" s="168"/>
      <c r="L954" s="168"/>
    </row>
    <row r="955">
      <c r="G955" s="168"/>
      <c r="L955" s="168"/>
    </row>
    <row r="956">
      <c r="G956" s="168"/>
      <c r="L956" s="168"/>
    </row>
    <row r="957">
      <c r="G957" s="168"/>
      <c r="L957" s="168"/>
    </row>
    <row r="958">
      <c r="G958" s="168"/>
      <c r="L958" s="168"/>
    </row>
    <row r="959">
      <c r="G959" s="168"/>
      <c r="L959" s="168"/>
    </row>
    <row r="960">
      <c r="G960" s="168"/>
      <c r="L960" s="168"/>
    </row>
    <row r="961">
      <c r="G961" s="168"/>
      <c r="L961" s="168"/>
    </row>
    <row r="962">
      <c r="G962" s="168"/>
      <c r="L962" s="168"/>
    </row>
    <row r="963">
      <c r="G963" s="168"/>
      <c r="L963" s="168"/>
    </row>
    <row r="964">
      <c r="G964" s="168"/>
      <c r="L964" s="168"/>
    </row>
    <row r="965">
      <c r="G965" s="168"/>
      <c r="L965" s="168"/>
    </row>
    <row r="966">
      <c r="G966" s="168"/>
      <c r="L966" s="168"/>
    </row>
    <row r="967">
      <c r="G967" s="168"/>
      <c r="L967" s="168"/>
    </row>
    <row r="968">
      <c r="G968" s="168"/>
      <c r="L968" s="168"/>
    </row>
    <row r="969">
      <c r="G969" s="168"/>
      <c r="L969" s="168"/>
    </row>
    <row r="970">
      <c r="G970" s="168"/>
      <c r="L970" s="168"/>
    </row>
    <row r="971">
      <c r="G971" s="168"/>
      <c r="L971" s="168"/>
    </row>
    <row r="972">
      <c r="G972" s="168"/>
      <c r="L972" s="168"/>
    </row>
    <row r="973">
      <c r="G973" s="168"/>
      <c r="L973" s="168"/>
    </row>
    <row r="974">
      <c r="G974" s="168"/>
      <c r="L974" s="168"/>
    </row>
    <row r="975">
      <c r="G975" s="168"/>
      <c r="L975" s="168"/>
    </row>
    <row r="976">
      <c r="G976" s="168"/>
      <c r="L976" s="168"/>
    </row>
    <row r="977">
      <c r="G977" s="168"/>
      <c r="L977" s="168"/>
    </row>
    <row r="978">
      <c r="G978" s="168"/>
      <c r="L978" s="168"/>
    </row>
    <row r="979">
      <c r="G979" s="168"/>
      <c r="L979" s="168"/>
    </row>
    <row r="980">
      <c r="G980" s="168"/>
      <c r="L980" s="168"/>
    </row>
    <row r="981">
      <c r="G981" s="168"/>
      <c r="L981" s="168"/>
    </row>
    <row r="982">
      <c r="G982" s="168"/>
      <c r="L982" s="168"/>
    </row>
    <row r="983">
      <c r="G983" s="168"/>
      <c r="L983" s="168"/>
    </row>
    <row r="984">
      <c r="G984" s="168"/>
      <c r="L984" s="168"/>
    </row>
    <row r="985">
      <c r="G985" s="168"/>
      <c r="L985" s="168"/>
    </row>
    <row r="986">
      <c r="G986" s="168"/>
      <c r="L986" s="168"/>
    </row>
    <row r="987">
      <c r="G987" s="168"/>
      <c r="L987" s="168"/>
    </row>
    <row r="988">
      <c r="G988" s="168"/>
      <c r="L988" s="168"/>
    </row>
    <row r="989">
      <c r="G989" s="168"/>
      <c r="L989" s="168"/>
    </row>
    <row r="990">
      <c r="G990" s="168"/>
      <c r="L990" s="168"/>
    </row>
    <row r="991">
      <c r="G991" s="168"/>
      <c r="L991" s="168"/>
    </row>
    <row r="992">
      <c r="G992" s="168"/>
      <c r="L992" s="168"/>
    </row>
    <row r="993">
      <c r="G993" s="168"/>
      <c r="L993" s="168"/>
    </row>
    <row r="994">
      <c r="G994" s="168"/>
      <c r="L994" s="168"/>
    </row>
    <row r="995">
      <c r="G995" s="168"/>
      <c r="L995" s="168"/>
    </row>
    <row r="996">
      <c r="G996" s="168"/>
      <c r="L996" s="168"/>
    </row>
    <row r="997">
      <c r="G997" s="168"/>
      <c r="L997" s="168"/>
    </row>
    <row r="998">
      <c r="G998" s="168"/>
      <c r="L998" s="168"/>
    </row>
    <row r="999">
      <c r="G999" s="168"/>
      <c r="L999" s="168"/>
    </row>
    <row r="1000">
      <c r="G1000" s="168"/>
      <c r="L1000" s="168"/>
    </row>
    <row r="1001">
      <c r="G1001" s="168"/>
      <c r="L1001" s="168"/>
    </row>
    <row r="1002">
      <c r="G1002" s="168"/>
      <c r="L1002" s="168"/>
    </row>
    <row r="1003">
      <c r="G1003" s="168"/>
      <c r="L1003" s="168"/>
    </row>
    <row r="1004">
      <c r="G1004" s="168"/>
      <c r="L1004" s="168"/>
    </row>
    <row r="1005">
      <c r="G1005" s="168"/>
      <c r="L1005" s="168"/>
    </row>
    <row r="1006">
      <c r="G1006" s="168"/>
      <c r="L1006" s="168"/>
    </row>
    <row r="1007">
      <c r="G1007" s="168"/>
      <c r="L1007" s="168"/>
    </row>
    <row r="1008">
      <c r="G1008" s="168"/>
      <c r="L1008" s="168"/>
    </row>
    <row r="1009">
      <c r="G1009" s="168"/>
      <c r="L1009" s="168"/>
    </row>
    <row r="1010">
      <c r="G1010" s="168"/>
      <c r="L1010" s="168"/>
    </row>
    <row r="1011">
      <c r="G1011" s="168"/>
      <c r="L1011" s="168"/>
    </row>
    <row r="1012">
      <c r="G1012" s="168"/>
      <c r="L1012" s="168"/>
    </row>
    <row r="1013">
      <c r="G1013" s="168"/>
      <c r="L1013" s="168"/>
    </row>
    <row r="1014">
      <c r="G1014" s="168"/>
      <c r="L1014" s="168"/>
    </row>
    <row r="1015">
      <c r="G1015" s="168"/>
      <c r="L1015" s="168"/>
    </row>
    <row r="1016">
      <c r="G1016" s="168"/>
      <c r="L1016" s="168"/>
    </row>
    <row r="1017">
      <c r="G1017" s="168"/>
      <c r="L1017" s="168"/>
    </row>
    <row r="1018">
      <c r="G1018" s="168"/>
      <c r="L1018" s="168"/>
    </row>
    <row r="1019">
      <c r="G1019" s="168"/>
      <c r="L1019" s="168"/>
    </row>
    <row r="1020">
      <c r="G1020" s="168"/>
      <c r="L1020" s="168"/>
    </row>
    <row r="1021">
      <c r="G1021" s="168"/>
      <c r="L1021" s="168"/>
    </row>
    <row r="1022">
      <c r="G1022" s="168"/>
      <c r="L1022" s="168"/>
    </row>
    <row r="1023">
      <c r="G1023" s="168"/>
      <c r="L1023" s="168"/>
    </row>
    <row r="1024">
      <c r="G1024" s="168"/>
      <c r="L1024" s="168"/>
    </row>
  </sheetData>
  <mergeCells count="1">
    <mergeCell ref="A1:N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104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</row>
    <row r="3">
      <c r="A3" s="70">
        <v>45720.0</v>
      </c>
      <c r="B3" s="302" t="s">
        <v>11</v>
      </c>
      <c r="C3" s="89">
        <v>176227.0</v>
      </c>
      <c r="D3" s="89">
        <v>176581.0</v>
      </c>
      <c r="E3" s="38">
        <f t="shared" ref="E3:E8" si="1">D3-C3</f>
        <v>354</v>
      </c>
      <c r="F3" s="39">
        <v>50.0</v>
      </c>
      <c r="G3" s="14">
        <f t="shared" ref="G3:G8" si="2">(F3/E3)*100</f>
        <v>14.12429379</v>
      </c>
      <c r="H3" s="137">
        <v>9164.0</v>
      </c>
      <c r="I3" s="138">
        <v>9584.0</v>
      </c>
      <c r="J3" s="41">
        <f t="shared" ref="J3:J8" si="3">I3-H3</f>
        <v>420</v>
      </c>
      <c r="K3" s="41">
        <f t="shared" ref="K3:K8" si="4">F3</f>
        <v>50</v>
      </c>
      <c r="L3" s="303">
        <f t="shared" ref="L3:L8" si="5">(K3/J3)*100</f>
        <v>11.9047619</v>
      </c>
      <c r="M3" s="72">
        <v>18950.0</v>
      </c>
      <c r="N3" s="336">
        <f t="shared" ref="N3:N8" si="6">F3*M3</f>
        <v>947500</v>
      </c>
    </row>
    <row r="4">
      <c r="A4" s="154">
        <v>45724.0</v>
      </c>
      <c r="B4" s="156" t="s">
        <v>11</v>
      </c>
      <c r="C4" s="89">
        <v>176581.0</v>
      </c>
      <c r="D4" s="89">
        <v>176985.0</v>
      </c>
      <c r="E4" s="12">
        <f t="shared" si="1"/>
        <v>404</v>
      </c>
      <c r="F4" s="157">
        <v>50.0</v>
      </c>
      <c r="G4" s="14">
        <f t="shared" si="2"/>
        <v>12.37623762</v>
      </c>
      <c r="H4" s="89">
        <v>9584.0</v>
      </c>
      <c r="I4" s="137">
        <v>9940.0</v>
      </c>
      <c r="J4" s="89">
        <f t="shared" si="3"/>
        <v>356</v>
      </c>
      <c r="K4" s="89">
        <f t="shared" si="4"/>
        <v>50</v>
      </c>
      <c r="L4" s="152">
        <f t="shared" si="5"/>
        <v>14.04494382</v>
      </c>
      <c r="M4" s="126">
        <v>18330.0</v>
      </c>
      <c r="N4" s="338">
        <f t="shared" si="6"/>
        <v>916500</v>
      </c>
    </row>
    <row r="5">
      <c r="A5" s="154">
        <v>45729.0</v>
      </c>
      <c r="B5" s="156" t="s">
        <v>11</v>
      </c>
      <c r="C5" s="89">
        <v>176985.0</v>
      </c>
      <c r="D5" s="89">
        <v>177297.0</v>
      </c>
      <c r="E5" s="12">
        <f t="shared" si="1"/>
        <v>312</v>
      </c>
      <c r="F5" s="157">
        <v>50.0</v>
      </c>
      <c r="G5" s="14">
        <f t="shared" si="2"/>
        <v>16.02564103</v>
      </c>
      <c r="H5" s="137">
        <v>9940.0</v>
      </c>
      <c r="I5" s="137">
        <v>10296.0</v>
      </c>
      <c r="J5" s="89">
        <f t="shared" si="3"/>
        <v>356</v>
      </c>
      <c r="K5" s="89">
        <f t="shared" si="4"/>
        <v>50</v>
      </c>
      <c r="L5" s="152">
        <f t="shared" si="5"/>
        <v>14.04494382</v>
      </c>
      <c r="M5" s="126">
        <v>18330.0</v>
      </c>
      <c r="N5" s="338">
        <f t="shared" si="6"/>
        <v>916500</v>
      </c>
    </row>
    <row r="6">
      <c r="A6" s="279">
        <v>45734.0</v>
      </c>
      <c r="B6" s="156" t="s">
        <v>11</v>
      </c>
      <c r="C6" s="89">
        <v>177297.0</v>
      </c>
      <c r="D6" s="89">
        <v>177693.0</v>
      </c>
      <c r="E6" s="12">
        <f t="shared" si="1"/>
        <v>396</v>
      </c>
      <c r="F6" s="157">
        <v>50.0</v>
      </c>
      <c r="G6" s="14">
        <f t="shared" si="2"/>
        <v>12.62626263</v>
      </c>
      <c r="H6" s="89">
        <v>10296.0</v>
      </c>
      <c r="I6" s="137">
        <v>10745.0</v>
      </c>
      <c r="J6" s="89">
        <f t="shared" si="3"/>
        <v>449</v>
      </c>
      <c r="K6" s="89">
        <f t="shared" si="4"/>
        <v>50</v>
      </c>
      <c r="L6" s="152">
        <f t="shared" si="5"/>
        <v>11.13585746</v>
      </c>
      <c r="M6" s="126">
        <v>17890.0</v>
      </c>
      <c r="N6" s="338">
        <f t="shared" si="6"/>
        <v>894500</v>
      </c>
    </row>
    <row r="7">
      <c r="A7" s="154">
        <v>45737.0</v>
      </c>
      <c r="B7" s="156" t="s">
        <v>11</v>
      </c>
      <c r="C7" s="89">
        <v>177693.0</v>
      </c>
      <c r="D7" s="89">
        <v>178046.0</v>
      </c>
      <c r="E7" s="12">
        <f t="shared" si="1"/>
        <v>353</v>
      </c>
      <c r="F7" s="157">
        <v>50.0</v>
      </c>
      <c r="G7" s="14">
        <f t="shared" si="2"/>
        <v>14.16430595</v>
      </c>
      <c r="H7" s="89">
        <v>10745.0</v>
      </c>
      <c r="I7" s="137">
        <v>11223.0</v>
      </c>
      <c r="J7" s="89">
        <f t="shared" si="3"/>
        <v>478</v>
      </c>
      <c r="K7" s="89">
        <f t="shared" si="4"/>
        <v>50</v>
      </c>
      <c r="L7" s="152">
        <f t="shared" si="5"/>
        <v>10.46025105</v>
      </c>
      <c r="M7" s="126">
        <v>17890.0</v>
      </c>
      <c r="N7" s="339">
        <f t="shared" si="6"/>
        <v>894500</v>
      </c>
    </row>
    <row r="8">
      <c r="A8" s="154">
        <v>45743.0</v>
      </c>
      <c r="B8" s="99" t="s">
        <v>11</v>
      </c>
      <c r="C8" s="89">
        <v>178046.0</v>
      </c>
      <c r="D8" s="89">
        <v>178415.0</v>
      </c>
      <c r="E8" s="12">
        <f t="shared" si="1"/>
        <v>369</v>
      </c>
      <c r="F8" s="157">
        <v>50.0</v>
      </c>
      <c r="G8" s="14">
        <f t="shared" si="2"/>
        <v>13.5501355</v>
      </c>
      <c r="H8" s="89">
        <v>11223.0</v>
      </c>
      <c r="I8" s="137">
        <v>11702.0</v>
      </c>
      <c r="J8" s="89">
        <f t="shared" si="3"/>
        <v>479</v>
      </c>
      <c r="K8" s="89">
        <f t="shared" si="4"/>
        <v>50</v>
      </c>
      <c r="L8" s="152">
        <f t="shared" si="5"/>
        <v>10.43841336</v>
      </c>
      <c r="M8" s="126">
        <v>18210.0</v>
      </c>
      <c r="N8" s="339">
        <f t="shared" si="6"/>
        <v>910500</v>
      </c>
    </row>
    <row r="9">
      <c r="A9" s="62"/>
      <c r="B9" s="63"/>
      <c r="C9" s="62"/>
      <c r="D9" s="64" t="s">
        <v>19</v>
      </c>
      <c r="E9" s="64">
        <f t="shared" ref="E9:F9" si="7">sum(E3:E8)</f>
        <v>2188</v>
      </c>
      <c r="F9" s="64">
        <f t="shared" si="7"/>
        <v>300</v>
      </c>
      <c r="G9" s="65">
        <f>average(G3:G8)</f>
        <v>13.81114609</v>
      </c>
      <c r="H9" s="62"/>
      <c r="I9" s="66"/>
      <c r="J9" s="64">
        <f t="shared" ref="J9:K9" si="8">sum(J3:J8)</f>
        <v>2538</v>
      </c>
      <c r="K9" s="64">
        <f t="shared" si="8"/>
        <v>300</v>
      </c>
      <c r="L9" s="65">
        <f>average(L3:L8)</f>
        <v>12.0048619</v>
      </c>
      <c r="M9" s="68"/>
      <c r="N9" s="341">
        <f>sum(N3:N8)</f>
        <v>5480000</v>
      </c>
    </row>
    <row r="10">
      <c r="A10" s="70">
        <v>45721.0</v>
      </c>
      <c r="B10" s="302" t="s">
        <v>12</v>
      </c>
      <c r="C10" s="89">
        <v>139751.0</v>
      </c>
      <c r="D10" s="89">
        <v>140188.0</v>
      </c>
      <c r="E10" s="38">
        <f t="shared" ref="E10:E14" si="9">D10-C10</f>
        <v>437</v>
      </c>
      <c r="F10" s="39">
        <v>55.0</v>
      </c>
      <c r="G10" s="14">
        <f t="shared" ref="G10:G14" si="10">(F10/E10)*100</f>
        <v>12.58581236</v>
      </c>
      <c r="H10" s="137">
        <v>8773.0</v>
      </c>
      <c r="I10" s="138">
        <v>9281.0</v>
      </c>
      <c r="J10" s="41">
        <f t="shared" ref="J10:J14" si="11">I10-H10</f>
        <v>508</v>
      </c>
      <c r="K10" s="41">
        <f t="shared" ref="K10:K14" si="12">F10</f>
        <v>55</v>
      </c>
      <c r="L10" s="303">
        <f t="shared" ref="L10:L14" si="13">(K10/J10)*100</f>
        <v>10.82677165</v>
      </c>
      <c r="M10" s="72">
        <v>18950.0</v>
      </c>
      <c r="N10" s="336">
        <f t="shared" ref="N10:N14" si="14">F10*M10</f>
        <v>1042250</v>
      </c>
    </row>
    <row r="11">
      <c r="A11" s="154">
        <v>45727.0</v>
      </c>
      <c r="B11" s="156" t="s">
        <v>12</v>
      </c>
      <c r="C11" s="89">
        <v>140188.0</v>
      </c>
      <c r="D11" s="89">
        <v>140573.0</v>
      </c>
      <c r="E11" s="12">
        <f t="shared" si="9"/>
        <v>385</v>
      </c>
      <c r="F11" s="157">
        <v>51.0</v>
      </c>
      <c r="G11" s="14">
        <f t="shared" si="10"/>
        <v>13.24675325</v>
      </c>
      <c r="H11" s="89">
        <v>9281.0</v>
      </c>
      <c r="I11" s="137">
        <v>9779.0</v>
      </c>
      <c r="J11" s="89">
        <f t="shared" si="11"/>
        <v>498</v>
      </c>
      <c r="K11" s="89">
        <f t="shared" si="12"/>
        <v>51</v>
      </c>
      <c r="L11" s="152">
        <f t="shared" si="13"/>
        <v>10.24096386</v>
      </c>
      <c r="M11" s="126">
        <v>18330.0</v>
      </c>
      <c r="N11" s="338">
        <f t="shared" si="14"/>
        <v>934830</v>
      </c>
    </row>
    <row r="12">
      <c r="A12" s="154">
        <v>45731.0</v>
      </c>
      <c r="B12" s="156" t="s">
        <v>12</v>
      </c>
      <c r="C12" s="89">
        <v>140573.0</v>
      </c>
      <c r="D12" s="89">
        <v>141014.0</v>
      </c>
      <c r="E12" s="12">
        <f t="shared" si="9"/>
        <v>441</v>
      </c>
      <c r="F12" s="157">
        <v>57.0</v>
      </c>
      <c r="G12" s="14">
        <f t="shared" si="10"/>
        <v>12.92517007</v>
      </c>
      <c r="H12" s="89">
        <v>9779.0</v>
      </c>
      <c r="I12" s="137">
        <v>10145.0</v>
      </c>
      <c r="J12" s="89">
        <f t="shared" si="11"/>
        <v>366</v>
      </c>
      <c r="K12" s="89">
        <f t="shared" si="12"/>
        <v>57</v>
      </c>
      <c r="L12" s="152">
        <f t="shared" si="13"/>
        <v>15.57377049</v>
      </c>
      <c r="M12" s="126">
        <v>17890.0</v>
      </c>
      <c r="N12" s="338">
        <f t="shared" si="14"/>
        <v>1019730</v>
      </c>
    </row>
    <row r="13">
      <c r="A13" s="154">
        <v>45737.0</v>
      </c>
      <c r="B13" s="156" t="s">
        <v>12</v>
      </c>
      <c r="C13" s="89">
        <v>141014.0</v>
      </c>
      <c r="D13" s="89">
        <v>141440.0</v>
      </c>
      <c r="E13" s="12">
        <f t="shared" si="9"/>
        <v>426</v>
      </c>
      <c r="F13" s="157">
        <v>57.0</v>
      </c>
      <c r="G13" s="14">
        <f t="shared" si="10"/>
        <v>13.38028169</v>
      </c>
      <c r="H13" s="89">
        <v>10145.0</v>
      </c>
      <c r="I13" s="137">
        <v>10716.0</v>
      </c>
      <c r="J13" s="89">
        <f t="shared" si="11"/>
        <v>571</v>
      </c>
      <c r="K13" s="89">
        <f t="shared" si="12"/>
        <v>57</v>
      </c>
      <c r="L13" s="152">
        <f t="shared" si="13"/>
        <v>9.982486865</v>
      </c>
      <c r="M13" s="126">
        <v>17890.0</v>
      </c>
      <c r="N13" s="339">
        <f t="shared" si="14"/>
        <v>1019730</v>
      </c>
    </row>
    <row r="14">
      <c r="A14" s="154">
        <v>45743.0</v>
      </c>
      <c r="B14" s="156" t="s">
        <v>12</v>
      </c>
      <c r="C14" s="89">
        <v>141440.0</v>
      </c>
      <c r="D14" s="89">
        <v>141825.0</v>
      </c>
      <c r="E14" s="12">
        <f t="shared" si="9"/>
        <v>385</v>
      </c>
      <c r="F14" s="157">
        <v>49.0</v>
      </c>
      <c r="G14" s="14">
        <f t="shared" si="10"/>
        <v>12.72727273</v>
      </c>
      <c r="H14" s="137">
        <v>10716.0</v>
      </c>
      <c r="I14" s="137">
        <v>11288.0</v>
      </c>
      <c r="J14" s="89">
        <f t="shared" si="11"/>
        <v>572</v>
      </c>
      <c r="K14" s="89">
        <f t="shared" si="12"/>
        <v>49</v>
      </c>
      <c r="L14" s="152">
        <f t="shared" si="13"/>
        <v>8.566433566</v>
      </c>
      <c r="M14" s="126">
        <v>17890.0</v>
      </c>
      <c r="N14" s="339">
        <f t="shared" si="14"/>
        <v>876610</v>
      </c>
    </row>
    <row r="15">
      <c r="A15" s="62"/>
      <c r="B15" s="63"/>
      <c r="C15" s="62"/>
      <c r="D15" s="64" t="s">
        <v>19</v>
      </c>
      <c r="E15" s="64">
        <f t="shared" ref="E15:F15" si="15">sum(E10:E14)</f>
        <v>2074</v>
      </c>
      <c r="F15" s="64">
        <f t="shared" si="15"/>
        <v>269</v>
      </c>
      <c r="G15" s="65">
        <f>average(G10:G14)</f>
        <v>12.97305802</v>
      </c>
      <c r="H15" s="62"/>
      <c r="I15" s="66"/>
      <c r="J15" s="64">
        <f t="shared" ref="J15:K15" si="16">sum(J10:J14)</f>
        <v>2515</v>
      </c>
      <c r="K15" s="64">
        <f t="shared" si="16"/>
        <v>269</v>
      </c>
      <c r="L15" s="65">
        <f>average(L10:L14)</f>
        <v>11.03808529</v>
      </c>
      <c r="M15" s="68"/>
      <c r="N15" s="341">
        <f>sum(N10:N14)</f>
        <v>4893150</v>
      </c>
    </row>
    <row r="16">
      <c r="A16" s="70">
        <v>45719.0</v>
      </c>
      <c r="B16" s="302" t="s">
        <v>13</v>
      </c>
      <c r="C16" s="89">
        <v>157805.0</v>
      </c>
      <c r="D16" s="41">
        <v>158139.0</v>
      </c>
      <c r="E16" s="38">
        <f t="shared" ref="E16:E23" si="17">D16-C16</f>
        <v>334</v>
      </c>
      <c r="F16" s="39">
        <v>45.0</v>
      </c>
      <c r="G16" s="14">
        <f t="shared" ref="G16:G23" si="18">(F16/E16)*100</f>
        <v>13.47305389</v>
      </c>
      <c r="H16" s="137">
        <v>9387.0</v>
      </c>
      <c r="I16" s="138">
        <v>9983.0</v>
      </c>
      <c r="J16" s="41">
        <f t="shared" ref="J16:J23" si="19">I16-H16</f>
        <v>596</v>
      </c>
      <c r="K16" s="41">
        <f t="shared" ref="K16:K23" si="20">F16</f>
        <v>45</v>
      </c>
      <c r="L16" s="152">
        <f t="shared" ref="L16:L23" si="21">(K16/J16)*100</f>
        <v>7.55033557</v>
      </c>
      <c r="M16" s="72">
        <v>18950.0</v>
      </c>
      <c r="N16" s="336">
        <f t="shared" ref="N16:N23" si="22">F16*M16</f>
        <v>852750</v>
      </c>
    </row>
    <row r="17">
      <c r="A17" s="154">
        <v>45723.0</v>
      </c>
      <c r="B17" s="156" t="s">
        <v>13</v>
      </c>
      <c r="C17" s="41">
        <v>158139.0</v>
      </c>
      <c r="D17" s="89">
        <v>158471.0</v>
      </c>
      <c r="E17" s="12">
        <f t="shared" si="17"/>
        <v>332</v>
      </c>
      <c r="F17" s="157">
        <v>44.0</v>
      </c>
      <c r="G17" s="14">
        <f t="shared" si="18"/>
        <v>13.25301205</v>
      </c>
      <c r="H17" s="89">
        <v>9983.0</v>
      </c>
      <c r="I17" s="137">
        <v>10090.0</v>
      </c>
      <c r="J17" s="89">
        <f t="shared" si="19"/>
        <v>107</v>
      </c>
      <c r="K17" s="89">
        <f t="shared" si="20"/>
        <v>44</v>
      </c>
      <c r="L17" s="152">
        <f t="shared" si="21"/>
        <v>41.12149533</v>
      </c>
      <c r="M17" s="126">
        <v>18330.0</v>
      </c>
      <c r="N17" s="338">
        <f t="shared" si="22"/>
        <v>806520</v>
      </c>
    </row>
    <row r="18">
      <c r="A18" s="154">
        <v>45728.0</v>
      </c>
      <c r="B18" s="156" t="s">
        <v>13</v>
      </c>
      <c r="C18" s="89">
        <v>158471.0</v>
      </c>
      <c r="D18" s="89">
        <v>158793.0</v>
      </c>
      <c r="E18" s="12">
        <f t="shared" si="17"/>
        <v>322</v>
      </c>
      <c r="F18" s="157">
        <v>49.0</v>
      </c>
      <c r="G18" s="14">
        <f t="shared" si="18"/>
        <v>15.2173913</v>
      </c>
      <c r="H18" s="89">
        <v>10090.0</v>
      </c>
      <c r="I18" s="137">
        <v>10551.0</v>
      </c>
      <c r="J18" s="89">
        <f t="shared" si="19"/>
        <v>461</v>
      </c>
      <c r="K18" s="89">
        <f t="shared" si="20"/>
        <v>49</v>
      </c>
      <c r="L18" s="152">
        <f t="shared" si="21"/>
        <v>10.62906725</v>
      </c>
      <c r="M18" s="126">
        <v>18330.0</v>
      </c>
      <c r="N18" s="343">
        <f t="shared" si="22"/>
        <v>898170</v>
      </c>
    </row>
    <row r="19">
      <c r="A19" s="272" t="s">
        <v>105</v>
      </c>
      <c r="B19" s="156" t="s">
        <v>13</v>
      </c>
      <c r="C19" s="89">
        <v>158793.0</v>
      </c>
      <c r="D19" s="89">
        <v>159119.0</v>
      </c>
      <c r="E19" s="12">
        <f t="shared" si="17"/>
        <v>326</v>
      </c>
      <c r="F19" s="157">
        <v>45.0</v>
      </c>
      <c r="G19" s="14">
        <f t="shared" si="18"/>
        <v>13.80368098</v>
      </c>
      <c r="H19" s="89">
        <v>10551.0</v>
      </c>
      <c r="I19" s="137">
        <v>10799.0</v>
      </c>
      <c r="J19" s="89">
        <f t="shared" si="19"/>
        <v>248</v>
      </c>
      <c r="K19" s="89">
        <f t="shared" si="20"/>
        <v>45</v>
      </c>
      <c r="L19" s="152">
        <f t="shared" si="21"/>
        <v>18.14516129</v>
      </c>
      <c r="M19" s="126">
        <v>17890.0</v>
      </c>
      <c r="N19" s="339">
        <f t="shared" si="22"/>
        <v>805050</v>
      </c>
    </row>
    <row r="20">
      <c r="A20" s="154">
        <v>45736.0</v>
      </c>
      <c r="B20" s="156" t="s">
        <v>13</v>
      </c>
      <c r="C20" s="89">
        <v>159119.0</v>
      </c>
      <c r="D20" s="89">
        <v>159501.0</v>
      </c>
      <c r="E20" s="12">
        <f t="shared" si="17"/>
        <v>382</v>
      </c>
      <c r="F20" s="157">
        <v>45.0</v>
      </c>
      <c r="G20" s="14">
        <f t="shared" si="18"/>
        <v>11.78010471</v>
      </c>
      <c r="H20" s="89">
        <v>10799.0</v>
      </c>
      <c r="I20" s="137">
        <v>11271.0</v>
      </c>
      <c r="J20" s="89">
        <f t="shared" si="19"/>
        <v>472</v>
      </c>
      <c r="K20" s="89">
        <f t="shared" si="20"/>
        <v>45</v>
      </c>
      <c r="L20" s="152">
        <f t="shared" si="21"/>
        <v>9.533898305</v>
      </c>
      <c r="M20" s="126">
        <v>17890.0</v>
      </c>
      <c r="N20" s="339">
        <f t="shared" si="22"/>
        <v>805050</v>
      </c>
    </row>
    <row r="21">
      <c r="A21" s="154">
        <v>45738.0</v>
      </c>
      <c r="B21" s="99" t="s">
        <v>13</v>
      </c>
      <c r="C21" s="89">
        <v>159501.0</v>
      </c>
      <c r="D21" s="89">
        <v>159813.0</v>
      </c>
      <c r="E21" s="12">
        <f t="shared" si="17"/>
        <v>312</v>
      </c>
      <c r="F21" s="157">
        <v>43.0</v>
      </c>
      <c r="G21" s="14">
        <f t="shared" si="18"/>
        <v>13.78205128</v>
      </c>
      <c r="H21" s="89">
        <v>11271.0</v>
      </c>
      <c r="I21" s="137">
        <v>11601.0</v>
      </c>
      <c r="J21" s="89">
        <f t="shared" si="19"/>
        <v>330</v>
      </c>
      <c r="K21" s="89">
        <f t="shared" si="20"/>
        <v>43</v>
      </c>
      <c r="L21" s="152">
        <f t="shared" si="21"/>
        <v>13.03030303</v>
      </c>
      <c r="M21" s="126">
        <v>17890.0</v>
      </c>
      <c r="N21" s="339">
        <f t="shared" si="22"/>
        <v>769270</v>
      </c>
    </row>
    <row r="22">
      <c r="A22" s="304">
        <v>45741.0</v>
      </c>
      <c r="B22" s="36" t="s">
        <v>13</v>
      </c>
      <c r="C22" s="149">
        <v>159813.0</v>
      </c>
      <c r="D22" s="149">
        <v>160156.0</v>
      </c>
      <c r="E22" s="25">
        <f t="shared" si="17"/>
        <v>343</v>
      </c>
      <c r="F22" s="161">
        <v>44.0</v>
      </c>
      <c r="G22" s="56">
        <f t="shared" si="18"/>
        <v>12.82798834</v>
      </c>
      <c r="H22" s="149">
        <v>11601.0</v>
      </c>
      <c r="I22" s="315">
        <v>11931.0</v>
      </c>
      <c r="J22" s="149">
        <f t="shared" si="19"/>
        <v>330</v>
      </c>
      <c r="K22" s="149">
        <f t="shared" si="20"/>
        <v>44</v>
      </c>
      <c r="L22" s="152">
        <f t="shared" si="21"/>
        <v>13.33333333</v>
      </c>
      <c r="M22" s="153">
        <v>17890.0</v>
      </c>
      <c r="N22" s="344">
        <f t="shared" si="22"/>
        <v>787160</v>
      </c>
    </row>
    <row r="23">
      <c r="A23" s="345">
        <v>45747.0</v>
      </c>
      <c r="B23" s="36" t="s">
        <v>13</v>
      </c>
      <c r="C23" s="309">
        <v>160156.0</v>
      </c>
      <c r="D23" s="309">
        <v>160539.0</v>
      </c>
      <c r="E23" s="25">
        <f t="shared" si="17"/>
        <v>383</v>
      </c>
      <c r="F23" s="309">
        <v>50.0</v>
      </c>
      <c r="G23" s="56">
        <f t="shared" si="18"/>
        <v>13.05483029</v>
      </c>
      <c r="H23" s="309">
        <v>11931.0</v>
      </c>
      <c r="I23" s="346"/>
      <c r="J23" s="149">
        <f t="shared" si="19"/>
        <v>-11931</v>
      </c>
      <c r="K23" s="149">
        <f t="shared" si="20"/>
        <v>50</v>
      </c>
      <c r="L23" s="152">
        <f t="shared" si="21"/>
        <v>-0.4190763557</v>
      </c>
      <c r="M23" s="161">
        <v>18210.0</v>
      </c>
      <c r="N23" s="344">
        <f t="shared" si="22"/>
        <v>910500</v>
      </c>
    </row>
    <row r="24">
      <c r="A24" s="62"/>
      <c r="B24" s="63"/>
      <c r="C24" s="62"/>
      <c r="D24" s="64" t="s">
        <v>19</v>
      </c>
      <c r="E24" s="64">
        <f>sum(E16:E22)</f>
        <v>2351</v>
      </c>
      <c r="F24" s="64">
        <f>sum(F16:F23)</f>
        <v>365</v>
      </c>
      <c r="G24" s="65">
        <f>average(G16:G22)</f>
        <v>13.44818322</v>
      </c>
      <c r="H24" s="62"/>
      <c r="I24" s="66"/>
      <c r="J24" s="64">
        <f t="shared" ref="J24:K24" si="23">sum(J16:J22)</f>
        <v>2544</v>
      </c>
      <c r="K24" s="64">
        <f t="shared" si="23"/>
        <v>315</v>
      </c>
      <c r="L24" s="65">
        <f>average(L16:L22)</f>
        <v>16.19194201</v>
      </c>
      <c r="M24" s="68"/>
      <c r="N24" s="341">
        <f>sum(N16:N23)</f>
        <v>6634470</v>
      </c>
    </row>
    <row r="25">
      <c r="A25" s="70">
        <v>45720.0</v>
      </c>
      <c r="B25" s="302" t="s">
        <v>14</v>
      </c>
      <c r="C25" s="89">
        <v>159159.0</v>
      </c>
      <c r="D25" s="41">
        <v>159590.0</v>
      </c>
      <c r="E25" s="38">
        <f t="shared" ref="E25:E30" si="24">D25-C25</f>
        <v>431</v>
      </c>
      <c r="F25" s="39">
        <v>50.0</v>
      </c>
      <c r="G25" s="14">
        <f t="shared" ref="G25:G30" si="25">(F25/E25)*100</f>
        <v>11.60092807</v>
      </c>
      <c r="H25" s="89">
        <v>1565.0</v>
      </c>
      <c r="I25" s="138">
        <v>2186.0</v>
      </c>
      <c r="J25" s="41">
        <f t="shared" ref="J25:J30" si="26">I25-H25</f>
        <v>621</v>
      </c>
      <c r="K25" s="41">
        <f t="shared" ref="K25:K30" si="27">F25</f>
        <v>50</v>
      </c>
      <c r="L25" s="152">
        <f t="shared" ref="L25:L30" si="28">(K25/J25)*100</f>
        <v>8.051529791</v>
      </c>
      <c r="M25" s="72">
        <v>18950.0</v>
      </c>
      <c r="N25" s="336">
        <f t="shared" ref="N25:N30" si="29">F25*M25</f>
        <v>947500</v>
      </c>
    </row>
    <row r="26">
      <c r="A26" s="154">
        <v>45727.0</v>
      </c>
      <c r="B26" s="156" t="s">
        <v>14</v>
      </c>
      <c r="C26" s="89">
        <v>159590.0</v>
      </c>
      <c r="D26" s="89">
        <v>159988.0</v>
      </c>
      <c r="E26" s="12">
        <f t="shared" si="24"/>
        <v>398</v>
      </c>
      <c r="F26" s="157">
        <v>50.0</v>
      </c>
      <c r="G26" s="14">
        <f t="shared" si="25"/>
        <v>12.56281407</v>
      </c>
      <c r="H26" s="89">
        <v>2186.0</v>
      </c>
      <c r="I26" s="137">
        <v>2661.0</v>
      </c>
      <c r="J26" s="89">
        <f t="shared" si="26"/>
        <v>475</v>
      </c>
      <c r="K26" s="89">
        <f t="shared" si="27"/>
        <v>50</v>
      </c>
      <c r="L26" s="152">
        <f t="shared" si="28"/>
        <v>10.52631579</v>
      </c>
      <c r="M26" s="126">
        <v>18330.0</v>
      </c>
      <c r="N26" s="343">
        <f t="shared" si="29"/>
        <v>916500</v>
      </c>
    </row>
    <row r="27">
      <c r="A27" s="154">
        <v>45731.0</v>
      </c>
      <c r="B27" s="156" t="s">
        <v>14</v>
      </c>
      <c r="C27" s="89">
        <v>159988.0</v>
      </c>
      <c r="D27" s="89">
        <v>160403.0</v>
      </c>
      <c r="E27" s="12">
        <f t="shared" si="24"/>
        <v>415</v>
      </c>
      <c r="F27" s="157">
        <v>40.0</v>
      </c>
      <c r="G27" s="14">
        <f t="shared" si="25"/>
        <v>9.638554217</v>
      </c>
      <c r="H27" s="89">
        <v>2661.0</v>
      </c>
      <c r="I27" s="137">
        <v>3203.0</v>
      </c>
      <c r="J27" s="89">
        <f t="shared" si="26"/>
        <v>542</v>
      </c>
      <c r="K27" s="89">
        <f t="shared" si="27"/>
        <v>40</v>
      </c>
      <c r="L27" s="152">
        <f t="shared" si="28"/>
        <v>7.380073801</v>
      </c>
      <c r="M27" s="126">
        <v>17890.0</v>
      </c>
      <c r="N27" s="339">
        <f t="shared" si="29"/>
        <v>715600</v>
      </c>
    </row>
    <row r="28">
      <c r="A28" s="155">
        <v>45736.0</v>
      </c>
      <c r="B28" s="156" t="s">
        <v>14</v>
      </c>
      <c r="C28" s="89">
        <v>160403.0</v>
      </c>
      <c r="D28" s="89">
        <v>160796.0</v>
      </c>
      <c r="E28" s="12">
        <f t="shared" si="24"/>
        <v>393</v>
      </c>
      <c r="F28" s="157">
        <v>50.0</v>
      </c>
      <c r="G28" s="14">
        <f t="shared" si="25"/>
        <v>12.72264631</v>
      </c>
      <c r="H28" s="89">
        <v>3203.0</v>
      </c>
      <c r="I28" s="137">
        <v>3738.0</v>
      </c>
      <c r="J28" s="89">
        <f t="shared" si="26"/>
        <v>535</v>
      </c>
      <c r="K28" s="89">
        <f t="shared" si="27"/>
        <v>50</v>
      </c>
      <c r="L28" s="152">
        <f t="shared" si="28"/>
        <v>9.345794393</v>
      </c>
      <c r="M28" s="126">
        <v>17890.0</v>
      </c>
      <c r="N28" s="339">
        <f t="shared" si="29"/>
        <v>894500</v>
      </c>
    </row>
    <row r="29">
      <c r="A29" s="154">
        <v>45740.0</v>
      </c>
      <c r="B29" s="156" t="s">
        <v>14</v>
      </c>
      <c r="C29" s="89">
        <v>160796.0</v>
      </c>
      <c r="D29" s="89">
        <v>161235.0</v>
      </c>
      <c r="E29" s="12">
        <f t="shared" si="24"/>
        <v>439</v>
      </c>
      <c r="F29" s="157">
        <v>50.0</v>
      </c>
      <c r="G29" s="14">
        <f t="shared" si="25"/>
        <v>11.38952164</v>
      </c>
      <c r="H29" s="89">
        <v>3738.0</v>
      </c>
      <c r="I29" s="137">
        <v>4067.0</v>
      </c>
      <c r="J29" s="89">
        <f t="shared" si="26"/>
        <v>329</v>
      </c>
      <c r="K29" s="89">
        <f t="shared" si="27"/>
        <v>50</v>
      </c>
      <c r="L29" s="152">
        <f t="shared" si="28"/>
        <v>15.19756839</v>
      </c>
      <c r="M29" s="126">
        <v>17890.0</v>
      </c>
      <c r="N29" s="339">
        <f t="shared" si="29"/>
        <v>894500</v>
      </c>
    </row>
    <row r="30">
      <c r="A30" s="154">
        <v>45744.0</v>
      </c>
      <c r="B30" s="156" t="s">
        <v>14</v>
      </c>
      <c r="C30" s="89">
        <v>161235.0</v>
      </c>
      <c r="D30" s="89">
        <v>161687.0</v>
      </c>
      <c r="E30" s="12">
        <f t="shared" si="24"/>
        <v>452</v>
      </c>
      <c r="F30" s="157">
        <v>50.0</v>
      </c>
      <c r="G30" s="14">
        <f t="shared" si="25"/>
        <v>11.0619469</v>
      </c>
      <c r="H30" s="89">
        <v>4067.0</v>
      </c>
      <c r="I30" s="137">
        <v>4484.0</v>
      </c>
      <c r="J30" s="89">
        <f t="shared" si="26"/>
        <v>417</v>
      </c>
      <c r="K30" s="89">
        <f t="shared" si="27"/>
        <v>50</v>
      </c>
      <c r="L30" s="152">
        <f t="shared" si="28"/>
        <v>11.99040767</v>
      </c>
      <c r="M30" s="126">
        <v>18210.0</v>
      </c>
      <c r="N30" s="339">
        <f t="shared" si="29"/>
        <v>910500</v>
      </c>
    </row>
    <row r="31">
      <c r="A31" s="62"/>
      <c r="B31" s="63"/>
      <c r="C31" s="62"/>
      <c r="D31" s="64" t="s">
        <v>19</v>
      </c>
      <c r="E31" s="64">
        <f t="shared" ref="E31:F31" si="30">sum(E25:E30)</f>
        <v>2528</v>
      </c>
      <c r="F31" s="64">
        <f t="shared" si="30"/>
        <v>290</v>
      </c>
      <c r="G31" s="65">
        <f>average(G25:G30)</f>
        <v>11.49606854</v>
      </c>
      <c r="H31" s="62"/>
      <c r="I31" s="66"/>
      <c r="J31" s="64">
        <f t="shared" ref="J31:K31" si="31">sum(J25:J30)</f>
        <v>2919</v>
      </c>
      <c r="K31" s="64">
        <f t="shared" si="31"/>
        <v>290</v>
      </c>
      <c r="L31" s="65">
        <f>average(L25:L30)</f>
        <v>10.41528164</v>
      </c>
      <c r="M31" s="68"/>
      <c r="N31" s="341">
        <f>sum(N25:N30)</f>
        <v>5279100</v>
      </c>
    </row>
    <row r="32">
      <c r="A32" s="70">
        <v>45719.0</v>
      </c>
      <c r="B32" s="302" t="s">
        <v>15</v>
      </c>
      <c r="C32" s="89">
        <v>145748.0</v>
      </c>
      <c r="D32" s="41">
        <v>146147.0</v>
      </c>
      <c r="E32" s="38">
        <f t="shared" ref="E32:E38" si="32">D32-C32</f>
        <v>399</v>
      </c>
      <c r="F32" s="39">
        <v>46.0</v>
      </c>
      <c r="G32" s="14">
        <f t="shared" ref="G32:G38" si="33">(F32/E32)*100</f>
        <v>11.52882206</v>
      </c>
      <c r="H32" s="89">
        <v>9513.0</v>
      </c>
      <c r="I32" s="138">
        <v>10003.0</v>
      </c>
      <c r="J32" s="41">
        <f t="shared" ref="J32:J38" si="34">I32-H32</f>
        <v>490</v>
      </c>
      <c r="K32" s="41">
        <f t="shared" ref="K32:K38" si="35">F32</f>
        <v>46</v>
      </c>
      <c r="L32" s="152">
        <f t="shared" ref="L32:L38" si="36">(K32/J32)*100</f>
        <v>9.387755102</v>
      </c>
      <c r="M32" s="72">
        <v>18950.0</v>
      </c>
      <c r="N32" s="336">
        <f t="shared" ref="N32:N38" si="37">F32*M32</f>
        <v>871700</v>
      </c>
    </row>
    <row r="33">
      <c r="A33" s="154">
        <v>45722.0</v>
      </c>
      <c r="B33" s="156" t="s">
        <v>15</v>
      </c>
      <c r="C33" s="89">
        <v>146147.0</v>
      </c>
      <c r="D33" s="89">
        <v>146508.0</v>
      </c>
      <c r="E33" s="12">
        <f t="shared" si="32"/>
        <v>361</v>
      </c>
      <c r="F33" s="157">
        <v>40.0</v>
      </c>
      <c r="G33" s="14">
        <f t="shared" si="33"/>
        <v>11.08033241</v>
      </c>
      <c r="H33" s="138">
        <v>10003.0</v>
      </c>
      <c r="I33" s="137">
        <v>10188.0</v>
      </c>
      <c r="J33" s="89">
        <f t="shared" si="34"/>
        <v>185</v>
      </c>
      <c r="K33" s="89">
        <f t="shared" si="35"/>
        <v>40</v>
      </c>
      <c r="L33" s="152">
        <f t="shared" si="36"/>
        <v>21.62162162</v>
      </c>
      <c r="M33" s="126">
        <v>18950.0</v>
      </c>
      <c r="N33" s="338">
        <f t="shared" si="37"/>
        <v>758000</v>
      </c>
    </row>
    <row r="34">
      <c r="A34" s="154">
        <v>45727.0</v>
      </c>
      <c r="B34" s="156" t="s">
        <v>15</v>
      </c>
      <c r="C34" s="89">
        <v>146147.0</v>
      </c>
      <c r="D34" s="89">
        <v>146799.0</v>
      </c>
      <c r="E34" s="12">
        <f t="shared" si="32"/>
        <v>652</v>
      </c>
      <c r="F34" s="157">
        <v>43.0</v>
      </c>
      <c r="G34" s="14">
        <f t="shared" si="33"/>
        <v>6.595092025</v>
      </c>
      <c r="H34" s="89">
        <v>10188.0</v>
      </c>
      <c r="I34" s="137">
        <v>10558.0</v>
      </c>
      <c r="J34" s="89">
        <f t="shared" si="34"/>
        <v>370</v>
      </c>
      <c r="K34" s="89">
        <f t="shared" si="35"/>
        <v>43</v>
      </c>
      <c r="L34" s="152">
        <f t="shared" si="36"/>
        <v>11.62162162</v>
      </c>
      <c r="M34" s="126">
        <v>18330.0</v>
      </c>
      <c r="N34" s="338">
        <f t="shared" si="37"/>
        <v>788190</v>
      </c>
    </row>
    <row r="35">
      <c r="A35" s="154">
        <v>45732.0</v>
      </c>
      <c r="B35" s="156" t="s">
        <v>15</v>
      </c>
      <c r="C35" s="89">
        <v>146799.0</v>
      </c>
      <c r="D35" s="89">
        <v>147171.0</v>
      </c>
      <c r="E35" s="12">
        <f t="shared" si="32"/>
        <v>372</v>
      </c>
      <c r="F35" s="157">
        <v>40.0</v>
      </c>
      <c r="G35" s="14">
        <f t="shared" si="33"/>
        <v>10.75268817</v>
      </c>
      <c r="H35" s="89">
        <v>10558.0</v>
      </c>
      <c r="I35" s="137">
        <v>11044.0</v>
      </c>
      <c r="J35" s="89">
        <f t="shared" si="34"/>
        <v>486</v>
      </c>
      <c r="K35" s="89">
        <f t="shared" si="35"/>
        <v>40</v>
      </c>
      <c r="L35" s="152">
        <f t="shared" si="36"/>
        <v>8.230452675</v>
      </c>
      <c r="M35" s="126">
        <v>17890.0</v>
      </c>
      <c r="N35" s="338">
        <f t="shared" si="37"/>
        <v>715600</v>
      </c>
    </row>
    <row r="36">
      <c r="A36" s="154">
        <v>45737.0</v>
      </c>
      <c r="B36" s="156" t="s">
        <v>15</v>
      </c>
      <c r="C36" s="89">
        <v>147171.0</v>
      </c>
      <c r="D36" s="89">
        <v>147483.0</v>
      </c>
      <c r="E36" s="12">
        <f t="shared" si="32"/>
        <v>312</v>
      </c>
      <c r="F36" s="157">
        <v>40.0</v>
      </c>
      <c r="G36" s="14">
        <f t="shared" si="33"/>
        <v>12.82051282</v>
      </c>
      <c r="H36" s="89">
        <v>11044.0</v>
      </c>
      <c r="I36" s="137">
        <v>11415.0</v>
      </c>
      <c r="J36" s="89">
        <f t="shared" si="34"/>
        <v>371</v>
      </c>
      <c r="K36" s="89">
        <f t="shared" si="35"/>
        <v>40</v>
      </c>
      <c r="L36" s="152">
        <f t="shared" si="36"/>
        <v>10.78167116</v>
      </c>
      <c r="M36" s="126">
        <v>17890.0</v>
      </c>
      <c r="N36" s="339">
        <f t="shared" si="37"/>
        <v>715600</v>
      </c>
    </row>
    <row r="37">
      <c r="A37" s="378">
        <v>45742.0</v>
      </c>
      <c r="B37" s="156" t="s">
        <v>15</v>
      </c>
      <c r="C37" s="89">
        <v>147483.0</v>
      </c>
      <c r="D37" s="89">
        <v>147827.0</v>
      </c>
      <c r="E37" s="12">
        <f t="shared" si="32"/>
        <v>344</v>
      </c>
      <c r="F37" s="157">
        <v>45.0</v>
      </c>
      <c r="G37" s="14">
        <f t="shared" si="33"/>
        <v>13.08139535</v>
      </c>
      <c r="H37" s="89">
        <v>11415.0</v>
      </c>
      <c r="I37" s="137">
        <v>11863.0</v>
      </c>
      <c r="J37" s="89">
        <f t="shared" si="34"/>
        <v>448</v>
      </c>
      <c r="K37" s="89">
        <f t="shared" si="35"/>
        <v>45</v>
      </c>
      <c r="L37" s="152">
        <f t="shared" si="36"/>
        <v>10.04464286</v>
      </c>
      <c r="M37" s="126">
        <v>17890.0</v>
      </c>
      <c r="N37" s="339">
        <f t="shared" si="37"/>
        <v>805050</v>
      </c>
    </row>
    <row r="38">
      <c r="A38" s="304">
        <v>45747.0</v>
      </c>
      <c r="B38" s="156" t="s">
        <v>15</v>
      </c>
      <c r="C38" s="149">
        <v>147827.0</v>
      </c>
      <c r="D38" s="149">
        <v>148171.0</v>
      </c>
      <c r="E38" s="25">
        <f t="shared" si="32"/>
        <v>344</v>
      </c>
      <c r="F38" s="161">
        <v>41.0</v>
      </c>
      <c r="G38" s="56">
        <f t="shared" si="33"/>
        <v>11.91860465</v>
      </c>
      <c r="H38" s="149">
        <v>11863.0</v>
      </c>
      <c r="I38" s="151"/>
      <c r="J38" s="149">
        <f t="shared" si="34"/>
        <v>-11863</v>
      </c>
      <c r="K38" s="149">
        <f t="shared" si="35"/>
        <v>41</v>
      </c>
      <c r="L38" s="152">
        <f t="shared" si="36"/>
        <v>-0.3456124083</v>
      </c>
      <c r="M38" s="153">
        <v>18210.0</v>
      </c>
      <c r="N38" s="344">
        <f t="shared" si="37"/>
        <v>746610</v>
      </c>
    </row>
    <row r="39">
      <c r="A39" s="62"/>
      <c r="B39" s="63"/>
      <c r="C39" s="62"/>
      <c r="D39" s="64" t="s">
        <v>19</v>
      </c>
      <c r="E39" s="64">
        <f t="shared" ref="E39:F39" si="38">sum(E32:E38)</f>
        <v>2784</v>
      </c>
      <c r="F39" s="64">
        <f t="shared" si="38"/>
        <v>295</v>
      </c>
      <c r="G39" s="65">
        <f>average(G32:G38)</f>
        <v>11.11106393</v>
      </c>
      <c r="H39" s="62"/>
      <c r="I39" s="66"/>
      <c r="J39" s="64">
        <f t="shared" ref="J39:K39" si="39">sum(J32:J38)</f>
        <v>-9513</v>
      </c>
      <c r="K39" s="64">
        <f t="shared" si="39"/>
        <v>295</v>
      </c>
      <c r="L39" s="65">
        <f>average(L32:L38)</f>
        <v>10.19173609</v>
      </c>
      <c r="M39" s="68"/>
      <c r="N39" s="341">
        <f>sum(N32:N38)</f>
        <v>5400750</v>
      </c>
    </row>
    <row r="40">
      <c r="A40" s="293">
        <v>45720.0</v>
      </c>
      <c r="B40" s="302" t="s">
        <v>16</v>
      </c>
      <c r="C40" s="89">
        <v>122185.0</v>
      </c>
      <c r="D40" s="41">
        <v>122568.0</v>
      </c>
      <c r="E40" s="38">
        <f t="shared" ref="E40:E45" si="40">D40-C40</f>
        <v>383</v>
      </c>
      <c r="F40" s="39">
        <v>53.0</v>
      </c>
      <c r="G40" s="14">
        <f t="shared" ref="G40:G45" si="41">(F40/E40)*100</f>
        <v>13.8381201</v>
      </c>
      <c r="H40" s="137">
        <v>9318.0</v>
      </c>
      <c r="I40" s="138">
        <v>9736.0</v>
      </c>
      <c r="J40" s="41">
        <f t="shared" ref="J40:J45" si="42">I40-H40</f>
        <v>418</v>
      </c>
      <c r="K40" s="41">
        <f t="shared" ref="K40:K45" si="43">F40</f>
        <v>53</v>
      </c>
      <c r="L40" s="152">
        <f t="shared" ref="L40:L45" si="44">(K40/J40)*100</f>
        <v>12.67942584</v>
      </c>
      <c r="M40" s="72">
        <v>18950.0</v>
      </c>
      <c r="N40" s="336">
        <f t="shared" ref="N40:N45" si="45">F40*M40</f>
        <v>1004350</v>
      </c>
    </row>
    <row r="41">
      <c r="A41" s="154">
        <v>45727.0</v>
      </c>
      <c r="B41" s="156" t="s">
        <v>16</v>
      </c>
      <c r="C41" s="89">
        <v>122568.0</v>
      </c>
      <c r="D41" s="89">
        <v>122950.0</v>
      </c>
      <c r="E41" s="12">
        <f t="shared" si="40"/>
        <v>382</v>
      </c>
      <c r="F41" s="313">
        <v>50.0</v>
      </c>
      <c r="G41" s="14">
        <f t="shared" si="41"/>
        <v>13.08900524</v>
      </c>
      <c r="H41" s="89">
        <v>9736.0</v>
      </c>
      <c r="I41" s="137">
        <v>10209.0</v>
      </c>
      <c r="J41" s="89">
        <f t="shared" si="42"/>
        <v>473</v>
      </c>
      <c r="K41" s="89">
        <f t="shared" si="43"/>
        <v>50</v>
      </c>
      <c r="L41" s="152">
        <f t="shared" si="44"/>
        <v>10.57082452</v>
      </c>
      <c r="M41" s="126">
        <v>18330.0</v>
      </c>
      <c r="N41" s="338">
        <f t="shared" si="45"/>
        <v>916500</v>
      </c>
    </row>
    <row r="42">
      <c r="A42" s="154">
        <v>45730.0</v>
      </c>
      <c r="B42" s="156" t="s">
        <v>16</v>
      </c>
      <c r="C42" s="89">
        <v>122950.0</v>
      </c>
      <c r="D42" s="89">
        <v>123296.0</v>
      </c>
      <c r="E42" s="12">
        <f t="shared" si="40"/>
        <v>346</v>
      </c>
      <c r="F42" s="157">
        <v>48.0</v>
      </c>
      <c r="G42" s="14">
        <f t="shared" si="41"/>
        <v>13.87283237</v>
      </c>
      <c r="H42" s="89">
        <v>10209.0</v>
      </c>
      <c r="I42" s="137">
        <v>10588.0</v>
      </c>
      <c r="J42" s="89">
        <f t="shared" si="42"/>
        <v>379</v>
      </c>
      <c r="K42" s="89">
        <f t="shared" si="43"/>
        <v>48</v>
      </c>
      <c r="L42" s="152">
        <f t="shared" si="44"/>
        <v>12.66490765</v>
      </c>
      <c r="M42" s="126">
        <v>17890.0</v>
      </c>
      <c r="N42" s="338">
        <f t="shared" si="45"/>
        <v>858720</v>
      </c>
    </row>
    <row r="43">
      <c r="A43" s="154">
        <v>45736.0</v>
      </c>
      <c r="B43" s="156" t="s">
        <v>16</v>
      </c>
      <c r="C43" s="89">
        <v>123296.0</v>
      </c>
      <c r="D43" s="89">
        <v>123663.0</v>
      </c>
      <c r="E43" s="12">
        <f t="shared" si="40"/>
        <v>367</v>
      </c>
      <c r="F43" s="157">
        <v>49.0</v>
      </c>
      <c r="G43" s="14">
        <f t="shared" si="41"/>
        <v>13.35149864</v>
      </c>
      <c r="H43" s="89">
        <v>10588.0</v>
      </c>
      <c r="I43" s="137">
        <v>10966.0</v>
      </c>
      <c r="J43" s="89">
        <f t="shared" si="42"/>
        <v>378</v>
      </c>
      <c r="K43" s="89">
        <f t="shared" si="43"/>
        <v>49</v>
      </c>
      <c r="L43" s="152">
        <f t="shared" si="44"/>
        <v>12.96296296</v>
      </c>
      <c r="M43" s="126">
        <v>17890.0</v>
      </c>
      <c r="N43" s="338">
        <f t="shared" si="45"/>
        <v>876610</v>
      </c>
      <c r="P43" s="82"/>
    </row>
    <row r="44">
      <c r="A44" s="154">
        <v>45741.0</v>
      </c>
      <c r="B44" s="156" t="s">
        <v>16</v>
      </c>
      <c r="C44" s="89">
        <v>123663.0</v>
      </c>
      <c r="D44" s="89">
        <v>124019.0</v>
      </c>
      <c r="E44" s="12">
        <f t="shared" si="40"/>
        <v>356</v>
      </c>
      <c r="F44" s="157">
        <v>51.0</v>
      </c>
      <c r="G44" s="14">
        <f t="shared" si="41"/>
        <v>14.3258427</v>
      </c>
      <c r="H44" s="89">
        <v>10966.0</v>
      </c>
      <c r="I44" s="137">
        <v>11451.0</v>
      </c>
      <c r="J44" s="89">
        <f t="shared" si="42"/>
        <v>485</v>
      </c>
      <c r="K44" s="89">
        <f t="shared" si="43"/>
        <v>51</v>
      </c>
      <c r="L44" s="152">
        <f t="shared" si="44"/>
        <v>10.51546392</v>
      </c>
      <c r="M44" s="126">
        <v>17890.0</v>
      </c>
      <c r="N44" s="339">
        <f t="shared" si="45"/>
        <v>912390</v>
      </c>
    </row>
    <row r="45">
      <c r="A45" s="155">
        <v>45745.0</v>
      </c>
      <c r="B45" s="99" t="s">
        <v>16</v>
      </c>
      <c r="C45" s="89">
        <v>124019.0</v>
      </c>
      <c r="D45" s="89">
        <v>124416.0</v>
      </c>
      <c r="E45" s="12">
        <f t="shared" si="40"/>
        <v>397</v>
      </c>
      <c r="F45" s="157">
        <v>55.0</v>
      </c>
      <c r="G45" s="14">
        <f t="shared" si="41"/>
        <v>13.85390428</v>
      </c>
      <c r="H45" s="89">
        <v>11451.0</v>
      </c>
      <c r="I45" s="137">
        <v>11777.0</v>
      </c>
      <c r="J45" s="89">
        <f t="shared" si="42"/>
        <v>326</v>
      </c>
      <c r="K45" s="89">
        <f t="shared" si="43"/>
        <v>55</v>
      </c>
      <c r="L45" s="152">
        <f t="shared" si="44"/>
        <v>16.87116564</v>
      </c>
      <c r="M45" s="126">
        <v>18210.0</v>
      </c>
      <c r="N45" s="339">
        <f t="shared" si="45"/>
        <v>1001550</v>
      </c>
    </row>
    <row r="46">
      <c r="A46" s="62"/>
      <c r="B46" s="63"/>
      <c r="C46" s="62"/>
      <c r="D46" s="64" t="s">
        <v>19</v>
      </c>
      <c r="E46" s="64">
        <f t="shared" ref="E46:F46" si="46">sum(E40:E45)</f>
        <v>2231</v>
      </c>
      <c r="F46" s="64">
        <f t="shared" si="46"/>
        <v>306</v>
      </c>
      <c r="G46" s="65">
        <f>average(G40:G45)</f>
        <v>13.72186722</v>
      </c>
      <c r="H46" s="62"/>
      <c r="I46" s="66"/>
      <c r="J46" s="64">
        <f t="shared" ref="J46:K46" si="47">sum(J40:J45)</f>
        <v>2459</v>
      </c>
      <c r="K46" s="64">
        <f t="shared" si="47"/>
        <v>306</v>
      </c>
      <c r="L46" s="65">
        <f>average(L40:L45)</f>
        <v>12.71079176</v>
      </c>
      <c r="M46" s="68"/>
      <c r="N46" s="341">
        <f>sum(N40:N45)</f>
        <v>5570120</v>
      </c>
    </row>
    <row r="47">
      <c r="A47" s="70">
        <v>45720.0</v>
      </c>
      <c r="B47" s="314" t="s">
        <v>18</v>
      </c>
      <c r="C47" s="89">
        <v>127172.0</v>
      </c>
      <c r="D47" s="41">
        <v>127457.0</v>
      </c>
      <c r="E47" s="38">
        <f t="shared" ref="E47:E52" si="48">D47-C47</f>
        <v>285</v>
      </c>
      <c r="F47" s="39">
        <v>40.0</v>
      </c>
      <c r="G47" s="14">
        <f t="shared" ref="G47:G52" si="49">(F47/E47)*100</f>
        <v>14.03508772</v>
      </c>
      <c r="H47" s="137">
        <v>1905.0</v>
      </c>
      <c r="I47" s="138">
        <v>2205.0</v>
      </c>
      <c r="J47" s="41">
        <f t="shared" ref="J47:J52" si="50">I47-H47</f>
        <v>300</v>
      </c>
      <c r="K47" s="41">
        <f t="shared" ref="K47:K52" si="51">F47</f>
        <v>40</v>
      </c>
      <c r="L47" s="152">
        <f t="shared" ref="L47:L52" si="52">(K47/J47)*100</f>
        <v>13.33333333</v>
      </c>
      <c r="M47" s="72">
        <v>18950.0</v>
      </c>
      <c r="N47" s="336">
        <f t="shared" ref="N47:N52" si="53">F47*M47</f>
        <v>758000</v>
      </c>
    </row>
    <row r="48">
      <c r="A48" s="154">
        <v>45726.0</v>
      </c>
      <c r="B48" s="156" t="s">
        <v>18</v>
      </c>
      <c r="C48" s="89">
        <v>127457.0</v>
      </c>
      <c r="D48" s="89">
        <v>127784.0</v>
      </c>
      <c r="E48" s="12">
        <f t="shared" si="48"/>
        <v>327</v>
      </c>
      <c r="F48" s="157">
        <v>40.0</v>
      </c>
      <c r="G48" s="14">
        <f t="shared" si="49"/>
        <v>12.2324159</v>
      </c>
      <c r="H48" s="89">
        <v>2205.0</v>
      </c>
      <c r="I48" s="137">
        <v>2551.0</v>
      </c>
      <c r="J48" s="89">
        <f t="shared" si="50"/>
        <v>346</v>
      </c>
      <c r="K48" s="89">
        <f t="shared" si="51"/>
        <v>40</v>
      </c>
      <c r="L48" s="152">
        <f t="shared" si="52"/>
        <v>11.56069364</v>
      </c>
      <c r="M48" s="126">
        <v>18330.0</v>
      </c>
      <c r="N48" s="338">
        <f t="shared" si="53"/>
        <v>733200</v>
      </c>
    </row>
    <row r="49">
      <c r="A49" s="279">
        <v>45730.0</v>
      </c>
      <c r="B49" s="156" t="s">
        <v>18</v>
      </c>
      <c r="C49" s="89">
        <v>127784.0</v>
      </c>
      <c r="D49" s="89">
        <v>128082.0</v>
      </c>
      <c r="E49" s="12">
        <f t="shared" si="48"/>
        <v>298</v>
      </c>
      <c r="F49" s="157">
        <v>35.0</v>
      </c>
      <c r="G49" s="14">
        <f t="shared" si="49"/>
        <v>11.74496644</v>
      </c>
      <c r="H49" s="89">
        <v>2551.0</v>
      </c>
      <c r="I49" s="137">
        <v>2940.0</v>
      </c>
      <c r="J49" s="89">
        <f t="shared" si="50"/>
        <v>389</v>
      </c>
      <c r="K49" s="89">
        <f t="shared" si="51"/>
        <v>35</v>
      </c>
      <c r="L49" s="152">
        <f t="shared" si="52"/>
        <v>8.997429306</v>
      </c>
      <c r="M49" s="126">
        <v>17890.0</v>
      </c>
      <c r="N49" s="338">
        <f t="shared" si="53"/>
        <v>626150</v>
      </c>
    </row>
    <row r="50">
      <c r="A50" s="154">
        <v>45733.0</v>
      </c>
      <c r="B50" s="156" t="s">
        <v>18</v>
      </c>
      <c r="C50" s="89">
        <v>128082.0</v>
      </c>
      <c r="D50" s="89">
        <v>128424.0</v>
      </c>
      <c r="E50" s="12">
        <f t="shared" si="48"/>
        <v>342</v>
      </c>
      <c r="F50" s="157">
        <v>46.0</v>
      </c>
      <c r="G50" s="14">
        <f t="shared" si="49"/>
        <v>13.4502924</v>
      </c>
      <c r="H50" s="89">
        <v>2940.0</v>
      </c>
      <c r="I50" s="137">
        <v>3302.0</v>
      </c>
      <c r="J50" s="89">
        <f t="shared" si="50"/>
        <v>362</v>
      </c>
      <c r="K50" s="89">
        <f t="shared" si="51"/>
        <v>46</v>
      </c>
      <c r="L50" s="152">
        <f t="shared" si="52"/>
        <v>12.70718232</v>
      </c>
      <c r="M50" s="126">
        <v>17890.0</v>
      </c>
      <c r="N50" s="339">
        <f t="shared" si="53"/>
        <v>822940</v>
      </c>
    </row>
    <row r="51">
      <c r="A51" s="154">
        <v>45742.0</v>
      </c>
      <c r="B51" s="156" t="s">
        <v>18</v>
      </c>
      <c r="C51" s="89">
        <v>128424.0</v>
      </c>
      <c r="D51" s="89">
        <v>128759.0</v>
      </c>
      <c r="E51" s="12">
        <f t="shared" si="48"/>
        <v>335</v>
      </c>
      <c r="F51" s="157">
        <v>45.0</v>
      </c>
      <c r="G51" s="14">
        <f t="shared" si="49"/>
        <v>13.43283582</v>
      </c>
      <c r="H51" s="89">
        <v>3302.0</v>
      </c>
      <c r="I51" s="137"/>
      <c r="J51" s="89">
        <f t="shared" si="50"/>
        <v>-3302</v>
      </c>
      <c r="K51" s="89">
        <f t="shared" si="51"/>
        <v>45</v>
      </c>
      <c r="L51" s="152">
        <f t="shared" si="52"/>
        <v>-1.362810418</v>
      </c>
      <c r="M51" s="126">
        <v>17890.0</v>
      </c>
      <c r="N51" s="342">
        <f t="shared" si="53"/>
        <v>805050</v>
      </c>
    </row>
    <row r="52">
      <c r="A52" s="154">
        <v>45742.0</v>
      </c>
      <c r="B52" s="156" t="s">
        <v>18</v>
      </c>
      <c r="C52" s="89">
        <v>128759.0</v>
      </c>
      <c r="D52" s="89">
        <v>129061.0</v>
      </c>
      <c r="E52" s="53">
        <f t="shared" si="48"/>
        <v>302</v>
      </c>
      <c r="F52" s="157">
        <v>40.0</v>
      </c>
      <c r="G52" s="14">
        <f t="shared" si="49"/>
        <v>13.24503311</v>
      </c>
      <c r="H52" s="89"/>
      <c r="I52" s="137">
        <v>3873.0</v>
      </c>
      <c r="J52" s="89">
        <f t="shared" si="50"/>
        <v>3873</v>
      </c>
      <c r="K52" s="89">
        <f t="shared" si="51"/>
        <v>40</v>
      </c>
      <c r="L52" s="152">
        <f t="shared" si="52"/>
        <v>1.032791118</v>
      </c>
      <c r="M52" s="126">
        <v>17890.0</v>
      </c>
      <c r="N52" s="342">
        <f t="shared" si="53"/>
        <v>715600</v>
      </c>
    </row>
    <row r="53">
      <c r="A53" s="62"/>
      <c r="B53" s="63"/>
      <c r="C53" s="62"/>
      <c r="D53" s="64" t="s">
        <v>19</v>
      </c>
      <c r="E53" s="64">
        <f t="shared" ref="E53:F53" si="54">sum(E47:E52)</f>
        <v>1889</v>
      </c>
      <c r="F53" s="64">
        <f t="shared" si="54"/>
        <v>246</v>
      </c>
      <c r="G53" s="65">
        <f>average(G47:G52)</f>
        <v>13.02343857</v>
      </c>
      <c r="H53" s="62"/>
      <c r="I53" s="66"/>
      <c r="J53" s="64">
        <f t="shared" ref="J53:K53" si="55">sum(J47:J52)</f>
        <v>1968</v>
      </c>
      <c r="K53" s="64">
        <f t="shared" si="55"/>
        <v>246</v>
      </c>
      <c r="L53" s="65">
        <f>average(L47:L52)</f>
        <v>7.71143655</v>
      </c>
      <c r="M53" s="68"/>
      <c r="N53" s="341">
        <f>sum(N47:N52)</f>
        <v>4460940</v>
      </c>
    </row>
    <row r="54">
      <c r="A54" s="70">
        <v>45720.0</v>
      </c>
      <c r="B54" s="302" t="s">
        <v>20</v>
      </c>
      <c r="C54" s="89">
        <v>371545.0</v>
      </c>
      <c r="D54" s="41">
        <v>372360.0</v>
      </c>
      <c r="E54" s="38">
        <f t="shared" ref="E54:E56" si="56">D54-C54</f>
        <v>815</v>
      </c>
      <c r="F54" s="39">
        <v>95.0</v>
      </c>
      <c r="G54" s="14">
        <f t="shared" ref="G54:G56" si="57">(F54/E54)*100</f>
        <v>11.65644172</v>
      </c>
      <c r="H54" s="137">
        <v>10008.0</v>
      </c>
      <c r="I54" s="138">
        <v>11002.0</v>
      </c>
      <c r="J54" s="41">
        <f t="shared" ref="J54:J56" si="58">I54-H54</f>
        <v>994</v>
      </c>
      <c r="K54" s="41">
        <f>F54</f>
        <v>95</v>
      </c>
      <c r="L54" s="152">
        <f t="shared" ref="L54:L56" si="59">(K54/J54)*100</f>
        <v>9.557344064</v>
      </c>
      <c r="M54" s="72">
        <v>18950.0</v>
      </c>
      <c r="N54" s="347">
        <f t="shared" ref="N54:N56" si="60">F54*M54</f>
        <v>1800250</v>
      </c>
    </row>
    <row r="55">
      <c r="A55" s="154">
        <v>45729.0</v>
      </c>
      <c r="B55" s="156" t="s">
        <v>20</v>
      </c>
      <c r="C55" s="89">
        <v>372360.0</v>
      </c>
      <c r="D55" s="89">
        <v>373149.0</v>
      </c>
      <c r="E55" s="12">
        <f t="shared" si="56"/>
        <v>789</v>
      </c>
      <c r="F55" s="157">
        <v>90.0</v>
      </c>
      <c r="G55" s="14">
        <f t="shared" si="57"/>
        <v>11.40684411</v>
      </c>
      <c r="H55" s="89">
        <v>11002.0</v>
      </c>
      <c r="I55" s="137">
        <v>11581.0</v>
      </c>
      <c r="J55" s="89">
        <f t="shared" si="58"/>
        <v>579</v>
      </c>
      <c r="K55" s="268">
        <v>90.0</v>
      </c>
      <c r="L55" s="152">
        <f t="shared" si="59"/>
        <v>15.54404145</v>
      </c>
      <c r="M55" s="126">
        <v>18330.0</v>
      </c>
      <c r="N55" s="338">
        <f t="shared" si="60"/>
        <v>1649700</v>
      </c>
    </row>
    <row r="56">
      <c r="A56" s="154">
        <v>45742.0</v>
      </c>
      <c r="B56" s="156" t="s">
        <v>20</v>
      </c>
      <c r="C56" s="89">
        <v>373149.0</v>
      </c>
      <c r="D56" s="89">
        <v>373815.0</v>
      </c>
      <c r="E56" s="12">
        <f t="shared" si="56"/>
        <v>666</v>
      </c>
      <c r="F56" s="157">
        <v>89.0</v>
      </c>
      <c r="G56" s="14">
        <f t="shared" si="57"/>
        <v>13.36336336</v>
      </c>
      <c r="H56" s="89">
        <v>11581.0</v>
      </c>
      <c r="I56" s="137">
        <v>12238.0</v>
      </c>
      <c r="J56" s="89">
        <f t="shared" si="58"/>
        <v>657</v>
      </c>
      <c r="K56" s="268">
        <f>F56</f>
        <v>89</v>
      </c>
      <c r="L56" s="152">
        <f t="shared" si="59"/>
        <v>13.54642314</v>
      </c>
      <c r="M56" s="126">
        <v>17890.0</v>
      </c>
      <c r="N56" s="339">
        <f t="shared" si="60"/>
        <v>1592210</v>
      </c>
    </row>
    <row r="57">
      <c r="A57" s="62"/>
      <c r="B57" s="63"/>
      <c r="C57" s="62"/>
      <c r="D57" s="64" t="s">
        <v>19</v>
      </c>
      <c r="E57" s="64">
        <f t="shared" ref="E57:F57" si="61">sum(E54:E56)</f>
        <v>2270</v>
      </c>
      <c r="F57" s="64">
        <f t="shared" si="61"/>
        <v>274</v>
      </c>
      <c r="G57" s="65">
        <f>average(G54:G56)</f>
        <v>12.1422164</v>
      </c>
      <c r="H57" s="62"/>
      <c r="I57" s="66"/>
      <c r="J57" s="64">
        <f t="shared" ref="J57:K57" si="62">sum(J54:J56)</f>
        <v>2230</v>
      </c>
      <c r="K57" s="64">
        <f t="shared" si="62"/>
        <v>274</v>
      </c>
      <c r="L57" s="65">
        <f>average(L54:L56)</f>
        <v>12.88260288</v>
      </c>
      <c r="M57" s="68"/>
      <c r="N57" s="341">
        <f>sum(N54:N56)</f>
        <v>5042160</v>
      </c>
    </row>
    <row r="58">
      <c r="A58" s="300" t="s">
        <v>106</v>
      </c>
      <c r="B58" s="302" t="s">
        <v>21</v>
      </c>
      <c r="C58" s="89">
        <v>354000.0</v>
      </c>
      <c r="D58" s="41">
        <v>354564.0</v>
      </c>
      <c r="E58" s="38">
        <f t="shared" ref="E58:E61" si="63">D58-C58</f>
        <v>564</v>
      </c>
      <c r="F58" s="39">
        <v>70.0</v>
      </c>
      <c r="G58" s="14">
        <f t="shared" ref="G58:G61" si="64">(F58/E58)*100</f>
        <v>12.41134752</v>
      </c>
      <c r="H58" s="89">
        <v>1629.0</v>
      </c>
      <c r="I58" s="137">
        <v>2064.0</v>
      </c>
      <c r="J58" s="41">
        <f t="shared" ref="J58:J61" si="65">I58-H58</f>
        <v>435</v>
      </c>
      <c r="K58" s="41">
        <f t="shared" ref="K58:K61" si="66">F58</f>
        <v>70</v>
      </c>
      <c r="L58" s="152">
        <f t="shared" ref="L58:L61" si="67">(K58/J58)*100</f>
        <v>16.09195402</v>
      </c>
      <c r="M58" s="72">
        <v>18950.0</v>
      </c>
      <c r="N58" s="336">
        <f t="shared" ref="N58:N61" si="68">F58*M58</f>
        <v>1326500</v>
      </c>
    </row>
    <row r="59">
      <c r="A59" s="154">
        <v>45726.0</v>
      </c>
      <c r="B59" s="156" t="s">
        <v>21</v>
      </c>
      <c r="C59" s="89">
        <v>354564.0</v>
      </c>
      <c r="D59" s="89">
        <v>355146.0</v>
      </c>
      <c r="E59" s="12">
        <f t="shared" si="63"/>
        <v>582</v>
      </c>
      <c r="F59" s="157">
        <v>70.0</v>
      </c>
      <c r="G59" s="14">
        <f t="shared" si="64"/>
        <v>12.02749141</v>
      </c>
      <c r="H59" s="89">
        <v>2064.0</v>
      </c>
      <c r="I59" s="137">
        <v>2596.0</v>
      </c>
      <c r="J59" s="89">
        <f t="shared" si="65"/>
        <v>532</v>
      </c>
      <c r="K59" s="89">
        <f t="shared" si="66"/>
        <v>70</v>
      </c>
      <c r="L59" s="152">
        <f t="shared" si="67"/>
        <v>13.15789474</v>
      </c>
      <c r="M59" s="126">
        <v>18330.0</v>
      </c>
      <c r="N59" s="338">
        <f t="shared" si="68"/>
        <v>1283100</v>
      </c>
    </row>
    <row r="60">
      <c r="A60" s="154">
        <v>45733.0</v>
      </c>
      <c r="B60" s="156" t="s">
        <v>21</v>
      </c>
      <c r="C60" s="89">
        <v>355146.0</v>
      </c>
      <c r="D60" s="89">
        <v>355680.0</v>
      </c>
      <c r="E60" s="12">
        <f t="shared" si="63"/>
        <v>534</v>
      </c>
      <c r="F60" s="157">
        <v>77.0</v>
      </c>
      <c r="G60" s="14">
        <f t="shared" si="64"/>
        <v>14.41947566</v>
      </c>
      <c r="H60" s="89">
        <v>2596.0</v>
      </c>
      <c r="I60" s="137">
        <v>3123.0</v>
      </c>
      <c r="J60" s="89">
        <f t="shared" si="65"/>
        <v>527</v>
      </c>
      <c r="K60" s="89">
        <f t="shared" si="66"/>
        <v>77</v>
      </c>
      <c r="L60" s="152">
        <f t="shared" si="67"/>
        <v>14.61100569</v>
      </c>
      <c r="M60" s="126">
        <v>17890.0</v>
      </c>
      <c r="N60" s="338">
        <f t="shared" si="68"/>
        <v>1377530</v>
      </c>
    </row>
    <row r="61">
      <c r="A61" s="324">
        <v>45741.0</v>
      </c>
      <c r="B61" s="156" t="s">
        <v>21</v>
      </c>
      <c r="C61" s="89">
        <v>355680.0</v>
      </c>
      <c r="D61" s="89">
        <v>356265.0</v>
      </c>
      <c r="E61" s="12">
        <f t="shared" si="63"/>
        <v>585</v>
      </c>
      <c r="F61" s="157">
        <v>75.0</v>
      </c>
      <c r="G61" s="14">
        <f t="shared" si="64"/>
        <v>12.82051282</v>
      </c>
      <c r="H61" s="89">
        <v>3123.0</v>
      </c>
      <c r="I61" s="137">
        <v>3701.0</v>
      </c>
      <c r="J61" s="89">
        <f t="shared" si="65"/>
        <v>578</v>
      </c>
      <c r="K61" s="89">
        <f t="shared" si="66"/>
        <v>75</v>
      </c>
      <c r="L61" s="152">
        <f t="shared" si="67"/>
        <v>12.97577855</v>
      </c>
      <c r="M61" s="126">
        <v>17890.0</v>
      </c>
      <c r="N61" s="348">
        <f t="shared" si="68"/>
        <v>1341750</v>
      </c>
    </row>
    <row r="62">
      <c r="A62" s="62"/>
      <c r="B62" s="63"/>
      <c r="C62" s="62"/>
      <c r="D62" s="64" t="s">
        <v>19</v>
      </c>
      <c r="E62" s="64">
        <f t="shared" ref="E62:F62" si="69">sum(E58:E61)</f>
        <v>2265</v>
      </c>
      <c r="F62" s="64">
        <f t="shared" si="69"/>
        <v>292</v>
      </c>
      <c r="G62" s="65">
        <f>average(G58:G61)</f>
        <v>12.91970685</v>
      </c>
      <c r="H62" s="62"/>
      <c r="I62" s="66"/>
      <c r="J62" s="64">
        <f t="shared" ref="J62:K62" si="70">sum(J58:J61)</f>
        <v>2072</v>
      </c>
      <c r="K62" s="64">
        <f t="shared" si="70"/>
        <v>292</v>
      </c>
      <c r="L62" s="65">
        <f>average(L58:L61)</f>
        <v>14.20915825</v>
      </c>
      <c r="M62" s="68"/>
      <c r="N62" s="341">
        <f>sum(N58:N61)</f>
        <v>5328880</v>
      </c>
    </row>
    <row r="63">
      <c r="A63" s="70">
        <v>45723.0</v>
      </c>
      <c r="B63" s="314" t="s">
        <v>100</v>
      </c>
      <c r="C63" s="89">
        <v>189768.0</v>
      </c>
      <c r="D63" s="41">
        <v>190303.0</v>
      </c>
      <c r="E63" s="38">
        <f t="shared" ref="E63:E67" si="71">D63-C63</f>
        <v>535</v>
      </c>
      <c r="F63" s="39">
        <v>68.0</v>
      </c>
      <c r="G63" s="14">
        <f t="shared" ref="G63:G67" si="72">(F63/E63)*100</f>
        <v>12.71028037</v>
      </c>
      <c r="H63" s="137">
        <v>2423.0</v>
      </c>
      <c r="I63" s="138">
        <v>3069.0</v>
      </c>
      <c r="J63" s="41">
        <f t="shared" ref="J63:J67" si="73">I63-H63</f>
        <v>646</v>
      </c>
      <c r="K63" s="41">
        <f t="shared" ref="K63:K67" si="74">F63</f>
        <v>68</v>
      </c>
      <c r="L63" s="152">
        <f t="shared" ref="L63:L67" si="75">(K63/J63)*100</f>
        <v>10.52631579</v>
      </c>
      <c r="M63" s="72">
        <v>18330.0</v>
      </c>
      <c r="N63" s="336">
        <f t="shared" ref="N63:N67" si="76">F63*M63</f>
        <v>1246440</v>
      </c>
    </row>
    <row r="64">
      <c r="A64" s="154">
        <v>45729.0</v>
      </c>
      <c r="B64" s="156" t="s">
        <v>100</v>
      </c>
      <c r="C64" s="89">
        <v>190303.0</v>
      </c>
      <c r="D64" s="89">
        <v>190932.0</v>
      </c>
      <c r="E64" s="12">
        <f t="shared" si="71"/>
        <v>629</v>
      </c>
      <c r="F64" s="157">
        <v>78.0</v>
      </c>
      <c r="G64" s="14">
        <f t="shared" si="72"/>
        <v>12.40063593</v>
      </c>
      <c r="H64" s="89">
        <v>3069.0</v>
      </c>
      <c r="I64" s="137">
        <v>3654.0</v>
      </c>
      <c r="J64" s="89">
        <f t="shared" si="73"/>
        <v>585</v>
      </c>
      <c r="K64" s="89">
        <f t="shared" si="74"/>
        <v>78</v>
      </c>
      <c r="L64" s="152">
        <f t="shared" si="75"/>
        <v>13.33333333</v>
      </c>
      <c r="M64" s="126">
        <v>17890.0</v>
      </c>
      <c r="N64" s="338">
        <f t="shared" si="76"/>
        <v>1395420</v>
      </c>
    </row>
    <row r="65">
      <c r="A65" s="154">
        <v>45736.0</v>
      </c>
      <c r="B65" s="156" t="s">
        <v>100</v>
      </c>
      <c r="C65" s="89">
        <v>190932.0</v>
      </c>
      <c r="D65" s="89">
        <v>191520.0</v>
      </c>
      <c r="E65" s="12">
        <f t="shared" si="71"/>
        <v>588</v>
      </c>
      <c r="F65" s="157">
        <v>76.0</v>
      </c>
      <c r="G65" s="14">
        <f t="shared" si="72"/>
        <v>12.92517007</v>
      </c>
      <c r="H65" s="89">
        <v>3654.0</v>
      </c>
      <c r="I65" s="137">
        <v>4165.0</v>
      </c>
      <c r="J65" s="89">
        <f t="shared" si="73"/>
        <v>511</v>
      </c>
      <c r="K65" s="89">
        <f t="shared" si="74"/>
        <v>76</v>
      </c>
      <c r="L65" s="152">
        <f t="shared" si="75"/>
        <v>14.87279843</v>
      </c>
      <c r="M65" s="126">
        <v>17890.0</v>
      </c>
      <c r="N65" s="339">
        <f t="shared" si="76"/>
        <v>1359640</v>
      </c>
    </row>
    <row r="66">
      <c r="A66" s="154">
        <v>45741.0</v>
      </c>
      <c r="B66" s="156" t="s">
        <v>100</v>
      </c>
      <c r="C66" s="89">
        <v>191520.0</v>
      </c>
      <c r="D66" s="89">
        <v>192076.0</v>
      </c>
      <c r="E66" s="12">
        <f t="shared" si="71"/>
        <v>556</v>
      </c>
      <c r="F66" s="157">
        <v>70.0</v>
      </c>
      <c r="G66" s="14">
        <f t="shared" si="72"/>
        <v>12.58992806</v>
      </c>
      <c r="H66" s="89">
        <v>4165.0</v>
      </c>
      <c r="I66" s="137">
        <v>4701.0</v>
      </c>
      <c r="J66" s="89">
        <f t="shared" si="73"/>
        <v>536</v>
      </c>
      <c r="K66" s="89">
        <f t="shared" si="74"/>
        <v>70</v>
      </c>
      <c r="L66" s="152">
        <f t="shared" si="75"/>
        <v>13.05970149</v>
      </c>
      <c r="M66" s="126">
        <v>17890.0</v>
      </c>
      <c r="N66" s="339">
        <f t="shared" si="76"/>
        <v>1252300</v>
      </c>
    </row>
    <row r="67">
      <c r="A67" s="154">
        <v>45747.0</v>
      </c>
      <c r="B67" s="156" t="s">
        <v>100</v>
      </c>
      <c r="C67" s="89">
        <v>192076.0</v>
      </c>
      <c r="D67" s="89">
        <v>192586.0</v>
      </c>
      <c r="E67" s="12">
        <f t="shared" si="71"/>
        <v>510</v>
      </c>
      <c r="F67" s="157">
        <v>60.0</v>
      </c>
      <c r="G67" s="14">
        <f t="shared" si="72"/>
        <v>11.76470588</v>
      </c>
      <c r="H67" s="89">
        <v>4701.0</v>
      </c>
      <c r="I67" s="137"/>
      <c r="J67" s="89">
        <f t="shared" si="73"/>
        <v>-4701</v>
      </c>
      <c r="K67" s="89">
        <f t="shared" si="74"/>
        <v>60</v>
      </c>
      <c r="L67" s="152">
        <f t="shared" si="75"/>
        <v>-1.276324186</v>
      </c>
      <c r="M67" s="126">
        <v>18210.0</v>
      </c>
      <c r="N67" s="339">
        <f t="shared" si="76"/>
        <v>1092600</v>
      </c>
    </row>
    <row r="68">
      <c r="A68" s="62"/>
      <c r="B68" s="63"/>
      <c r="C68" s="62"/>
      <c r="D68" s="64" t="s">
        <v>19</v>
      </c>
      <c r="E68" s="64">
        <f t="shared" ref="E68:F68" si="77">sum(E63:E67)</f>
        <v>2818</v>
      </c>
      <c r="F68" s="64">
        <f t="shared" si="77"/>
        <v>352</v>
      </c>
      <c r="G68" s="65">
        <f>average(G63:G67)</f>
        <v>12.47814406</v>
      </c>
      <c r="H68" s="62"/>
      <c r="I68" s="66"/>
      <c r="J68" s="64">
        <f t="shared" ref="J68:K68" si="78">sum(J63:J67)</f>
        <v>-2423</v>
      </c>
      <c r="K68" s="64">
        <f t="shared" si="78"/>
        <v>352</v>
      </c>
      <c r="L68" s="65">
        <f>average(L63:L67)</f>
        <v>10.10316497</v>
      </c>
      <c r="M68" s="68"/>
      <c r="N68" s="341">
        <f>sum(N63:N67)</f>
        <v>6346400</v>
      </c>
    </row>
    <row r="69">
      <c r="A69" s="264">
        <v>45722.0</v>
      </c>
      <c r="B69" s="156" t="s">
        <v>38</v>
      </c>
      <c r="C69" s="89">
        <v>141687.0</v>
      </c>
      <c r="D69" s="41">
        <v>142022.0</v>
      </c>
      <c r="E69" s="38">
        <f t="shared" ref="E69:E72" si="79">D69-C69</f>
        <v>335</v>
      </c>
      <c r="F69" s="39">
        <v>67.0</v>
      </c>
      <c r="G69" s="14">
        <f t="shared" ref="G69:G72" si="80">(F69/E69)*100</f>
        <v>20</v>
      </c>
      <c r="H69" s="137">
        <v>2094.0</v>
      </c>
      <c r="I69" s="138">
        <v>2597.0</v>
      </c>
      <c r="J69" s="41">
        <f t="shared" ref="J69:J72" si="81">I69-H69</f>
        <v>503</v>
      </c>
      <c r="K69" s="41">
        <f t="shared" ref="K69:K72" si="82">F69</f>
        <v>67</v>
      </c>
      <c r="L69" s="152">
        <f t="shared" ref="L69:L72" si="83">(K69/J69)*100</f>
        <v>13.32007952</v>
      </c>
      <c r="M69" s="72">
        <v>18950.0</v>
      </c>
      <c r="N69" s="336">
        <f t="shared" ref="N69:N72" si="84">F69*M69</f>
        <v>1269650</v>
      </c>
    </row>
    <row r="70">
      <c r="A70" s="155">
        <v>45728.0</v>
      </c>
      <c r="B70" s="156" t="s">
        <v>38</v>
      </c>
      <c r="C70" s="89">
        <v>142022.0</v>
      </c>
      <c r="D70" s="89">
        <v>142773.0</v>
      </c>
      <c r="E70" s="38">
        <f t="shared" si="79"/>
        <v>751</v>
      </c>
      <c r="F70" s="157">
        <v>66.0</v>
      </c>
      <c r="G70" s="14">
        <f t="shared" si="80"/>
        <v>8.78828229</v>
      </c>
      <c r="H70" s="89">
        <v>2597.0</v>
      </c>
      <c r="I70" s="137">
        <v>3236.0</v>
      </c>
      <c r="J70" s="89">
        <f t="shared" si="81"/>
        <v>639</v>
      </c>
      <c r="K70" s="89">
        <f t="shared" si="82"/>
        <v>66</v>
      </c>
      <c r="L70" s="152">
        <f t="shared" si="83"/>
        <v>10.3286385</v>
      </c>
      <c r="M70" s="126">
        <v>18330.0</v>
      </c>
      <c r="N70" s="336">
        <f t="shared" si="84"/>
        <v>1209780</v>
      </c>
    </row>
    <row r="71">
      <c r="A71" s="155">
        <v>45734.0</v>
      </c>
      <c r="B71" s="156" t="s">
        <v>38</v>
      </c>
      <c r="C71" s="89">
        <v>142773.0</v>
      </c>
      <c r="D71" s="41">
        <v>143362.0</v>
      </c>
      <c r="E71" s="38">
        <f t="shared" si="79"/>
        <v>589</v>
      </c>
      <c r="F71" s="157">
        <v>80.0</v>
      </c>
      <c r="G71" s="14">
        <f t="shared" si="80"/>
        <v>13.58234295</v>
      </c>
      <c r="H71" s="89">
        <v>3263.0</v>
      </c>
      <c r="I71" s="137">
        <v>3820.0</v>
      </c>
      <c r="J71" s="89">
        <f t="shared" si="81"/>
        <v>557</v>
      </c>
      <c r="K71" s="89">
        <f t="shared" si="82"/>
        <v>80</v>
      </c>
      <c r="L71" s="152">
        <f t="shared" si="83"/>
        <v>14.36265709</v>
      </c>
      <c r="M71" s="126">
        <v>17890.0</v>
      </c>
      <c r="N71" s="349">
        <f t="shared" si="84"/>
        <v>1431200</v>
      </c>
    </row>
    <row r="72">
      <c r="A72" s="154">
        <v>45741.0</v>
      </c>
      <c r="B72" s="302" t="s">
        <v>38</v>
      </c>
      <c r="C72" s="41">
        <v>143362.0</v>
      </c>
      <c r="D72" s="301">
        <v>143918.0</v>
      </c>
      <c r="E72" s="38">
        <f t="shared" si="79"/>
        <v>556</v>
      </c>
      <c r="F72" s="157">
        <v>70.0</v>
      </c>
      <c r="G72" s="14">
        <f t="shared" si="80"/>
        <v>12.58992806</v>
      </c>
      <c r="H72" s="89">
        <v>3820.0</v>
      </c>
      <c r="I72" s="137">
        <v>4307.0</v>
      </c>
      <c r="J72" s="89">
        <f t="shared" si="81"/>
        <v>487</v>
      </c>
      <c r="K72" s="89">
        <f t="shared" si="82"/>
        <v>70</v>
      </c>
      <c r="L72" s="152">
        <f t="shared" si="83"/>
        <v>14.37371663</v>
      </c>
      <c r="M72" s="126">
        <v>17890.0</v>
      </c>
      <c r="N72" s="349">
        <f t="shared" si="84"/>
        <v>1252300</v>
      </c>
    </row>
    <row r="73">
      <c r="A73" s="352"/>
      <c r="B73" s="375"/>
      <c r="C73" s="353"/>
      <c r="D73" s="354" t="s">
        <v>19</v>
      </c>
      <c r="E73" s="355">
        <f t="shared" ref="E73:F73" si="85">SUM(E69:E72)</f>
        <v>2231</v>
      </c>
      <c r="F73" s="355">
        <f t="shared" si="85"/>
        <v>283</v>
      </c>
      <c r="G73" s="356">
        <f>average(G69:G72)</f>
        <v>13.74013833</v>
      </c>
      <c r="H73" s="353"/>
      <c r="I73" s="357"/>
      <c r="J73" s="354">
        <f t="shared" ref="J73:K73" si="86">sum(J69:J72)</f>
        <v>2186</v>
      </c>
      <c r="K73" s="354">
        <f t="shared" si="86"/>
        <v>283</v>
      </c>
      <c r="L73" s="358">
        <f>average(L69:L72)</f>
        <v>13.09627294</v>
      </c>
      <c r="M73" s="359"/>
      <c r="N73" s="360">
        <f>sum(N69:N72)</f>
        <v>5162930</v>
      </c>
    </row>
    <row r="74">
      <c r="A74" s="122">
        <v>45752.0</v>
      </c>
      <c r="B74" s="323" t="s">
        <v>39</v>
      </c>
      <c r="C74" s="89">
        <v>91880.0</v>
      </c>
      <c r="D74" s="89">
        <v>92722.0</v>
      </c>
      <c r="E74" s="38">
        <f t="shared" ref="E74:E77" si="87">D74-C74</f>
        <v>842</v>
      </c>
      <c r="F74" s="157">
        <v>90.0</v>
      </c>
      <c r="G74" s="124">
        <f t="shared" ref="G74:G77" si="88">(F74/E74)*100</f>
        <v>10.6888361</v>
      </c>
      <c r="H74" s="16">
        <v>3604.0</v>
      </c>
      <c r="I74" s="137">
        <v>4240.0</v>
      </c>
      <c r="J74" s="89">
        <f t="shared" ref="J74:J77" si="89">I74-H74</f>
        <v>636</v>
      </c>
      <c r="K74" s="89">
        <f t="shared" ref="K74:K77" si="90">F74</f>
        <v>90</v>
      </c>
      <c r="L74" s="330">
        <f t="shared" ref="L74:L77" si="91">(K74/J74)*100</f>
        <v>14.1509434</v>
      </c>
      <c r="M74" s="126">
        <v>18950.0</v>
      </c>
      <c r="N74" s="361">
        <f t="shared" ref="N74:N77" si="92">F74*M74</f>
        <v>1705500</v>
      </c>
    </row>
    <row r="75">
      <c r="A75" s="8">
        <v>45728.0</v>
      </c>
      <c r="B75" s="323" t="s">
        <v>39</v>
      </c>
      <c r="C75" s="13">
        <v>92722.0</v>
      </c>
      <c r="D75" s="13">
        <v>93506.0</v>
      </c>
      <c r="E75" s="12">
        <f t="shared" si="87"/>
        <v>784</v>
      </c>
      <c r="F75" s="13">
        <v>82.0</v>
      </c>
      <c r="G75" s="14">
        <f t="shared" si="88"/>
        <v>10.45918367</v>
      </c>
      <c r="H75" s="13">
        <v>4240.0</v>
      </c>
      <c r="I75" s="16">
        <v>5020.0</v>
      </c>
      <c r="J75" s="89">
        <f t="shared" si="89"/>
        <v>780</v>
      </c>
      <c r="K75" s="89">
        <f t="shared" si="90"/>
        <v>82</v>
      </c>
      <c r="L75" s="330">
        <f t="shared" si="91"/>
        <v>10.51282051</v>
      </c>
      <c r="M75" s="18">
        <v>18330.0</v>
      </c>
      <c r="N75" s="362">
        <f t="shared" si="92"/>
        <v>1503060</v>
      </c>
      <c r="S75" s="257"/>
      <c r="T75" s="257"/>
      <c r="U75" s="257"/>
      <c r="V75" s="257"/>
      <c r="W75" s="257"/>
      <c r="X75" s="257"/>
      <c r="Y75" s="257"/>
      <c r="Z75" s="257"/>
    </row>
    <row r="76">
      <c r="A76" s="154">
        <v>45735.0</v>
      </c>
      <c r="B76" s="323" t="s">
        <v>39</v>
      </c>
      <c r="C76" s="89">
        <v>93506.0</v>
      </c>
      <c r="D76" s="89">
        <v>94223.0</v>
      </c>
      <c r="E76" s="12">
        <f t="shared" si="87"/>
        <v>717</v>
      </c>
      <c r="F76" s="157">
        <v>84.0</v>
      </c>
      <c r="G76" s="14">
        <f t="shared" si="88"/>
        <v>11.71548117</v>
      </c>
      <c r="H76" s="89">
        <v>5020.0</v>
      </c>
      <c r="I76" s="137">
        <v>5686.0</v>
      </c>
      <c r="J76" s="89">
        <f t="shared" si="89"/>
        <v>666</v>
      </c>
      <c r="K76" s="89">
        <f t="shared" si="90"/>
        <v>84</v>
      </c>
      <c r="L76" s="330">
        <f t="shared" si="91"/>
        <v>12.61261261</v>
      </c>
      <c r="M76" s="126">
        <v>17890.0</v>
      </c>
      <c r="N76" s="362">
        <f t="shared" si="92"/>
        <v>1502760</v>
      </c>
      <c r="P76" s="82"/>
    </row>
    <row r="77">
      <c r="A77" s="154">
        <v>45742.0</v>
      </c>
      <c r="B77" s="323" t="s">
        <v>39</v>
      </c>
      <c r="C77" s="89">
        <v>94223.0</v>
      </c>
      <c r="D77" s="89">
        <v>94993.0</v>
      </c>
      <c r="E77" s="12">
        <f t="shared" si="87"/>
        <v>770</v>
      </c>
      <c r="F77" s="157">
        <v>84.0</v>
      </c>
      <c r="G77" s="14">
        <f t="shared" si="88"/>
        <v>10.90909091</v>
      </c>
      <c r="H77" s="89">
        <v>5686.0</v>
      </c>
      <c r="I77" s="137">
        <v>6556.0</v>
      </c>
      <c r="J77" s="89">
        <f t="shared" si="89"/>
        <v>870</v>
      </c>
      <c r="K77" s="89">
        <f t="shared" si="90"/>
        <v>84</v>
      </c>
      <c r="L77" s="152">
        <f t="shared" si="91"/>
        <v>9.655172414</v>
      </c>
      <c r="M77" s="126">
        <v>17890.0</v>
      </c>
      <c r="N77" s="339">
        <f t="shared" si="92"/>
        <v>1502760</v>
      </c>
    </row>
    <row r="78">
      <c r="A78" s="62"/>
      <c r="B78" s="63"/>
      <c r="C78" s="62"/>
      <c r="D78" s="64" t="s">
        <v>19</v>
      </c>
      <c r="E78" s="64">
        <f t="shared" ref="E78:F78" si="93">sum(E69:E77)</f>
        <v>7575</v>
      </c>
      <c r="F78" s="64">
        <f t="shared" si="93"/>
        <v>906</v>
      </c>
      <c r="G78" s="65">
        <f>average(G69:G77)</f>
        <v>12.4970315</v>
      </c>
      <c r="H78" s="62"/>
      <c r="I78" s="66"/>
      <c r="J78" s="64">
        <f t="shared" ref="J78:K78" si="94">sum(J69:J77)</f>
        <v>7324</v>
      </c>
      <c r="K78" s="64">
        <f t="shared" si="94"/>
        <v>906</v>
      </c>
      <c r="L78" s="65">
        <f>average(L69:L77)</f>
        <v>12.49032374</v>
      </c>
      <c r="M78" s="68"/>
      <c r="N78" s="341">
        <f>sum(N74:N77)</f>
        <v>6214080</v>
      </c>
    </row>
    <row r="79">
      <c r="A79" s="70">
        <v>45721.0</v>
      </c>
      <c r="B79" s="156" t="s">
        <v>40</v>
      </c>
      <c r="C79" s="89">
        <v>86237.0</v>
      </c>
      <c r="D79" s="13">
        <v>86823.0</v>
      </c>
      <c r="E79" s="38">
        <f t="shared" ref="E79:E83" si="95">D79-C79</f>
        <v>586</v>
      </c>
      <c r="F79" s="39">
        <v>70.0</v>
      </c>
      <c r="G79" s="14">
        <f t="shared" ref="G79:G83" si="96">(F79/E79)*100</f>
        <v>11.94539249</v>
      </c>
      <c r="H79" s="137">
        <v>86102.0</v>
      </c>
      <c r="I79" s="138">
        <v>86655.0</v>
      </c>
      <c r="J79" s="41">
        <f t="shared" ref="J79:J83" si="97">I79-H79</f>
        <v>553</v>
      </c>
      <c r="K79" s="41">
        <f t="shared" ref="K79:K83" si="98">F79</f>
        <v>70</v>
      </c>
      <c r="L79" s="152">
        <f t="shared" ref="L79:L83" si="99">(K79/J79)*100</f>
        <v>12.65822785</v>
      </c>
      <c r="M79" s="72">
        <v>18950.0</v>
      </c>
      <c r="N79" s="336">
        <f t="shared" ref="N79:N83" si="100">F79*M79</f>
        <v>1326500</v>
      </c>
      <c r="R79" s="80">
        <f>39*3</f>
        <v>117</v>
      </c>
    </row>
    <row r="80">
      <c r="A80" s="154">
        <v>45728.0</v>
      </c>
      <c r="B80" s="156" t="s">
        <v>40</v>
      </c>
      <c r="C80" s="89">
        <v>86823.0</v>
      </c>
      <c r="D80" s="89">
        <v>87422.0</v>
      </c>
      <c r="E80" s="12">
        <f t="shared" si="95"/>
        <v>599</v>
      </c>
      <c r="F80" s="157">
        <v>72.0</v>
      </c>
      <c r="G80" s="14">
        <f t="shared" si="96"/>
        <v>12.02003339</v>
      </c>
      <c r="H80" s="89">
        <v>86655.0</v>
      </c>
      <c r="I80" s="137">
        <v>87247.0</v>
      </c>
      <c r="J80" s="89">
        <f t="shared" si="97"/>
        <v>592</v>
      </c>
      <c r="K80" s="89">
        <f t="shared" si="98"/>
        <v>72</v>
      </c>
      <c r="L80" s="152">
        <f t="shared" si="99"/>
        <v>12.16216216</v>
      </c>
      <c r="M80" s="126">
        <v>18330.0</v>
      </c>
      <c r="N80" s="338">
        <f t="shared" si="100"/>
        <v>1319760</v>
      </c>
    </row>
    <row r="81">
      <c r="A81" s="154">
        <v>45735.0</v>
      </c>
      <c r="B81" s="156" t="s">
        <v>40</v>
      </c>
      <c r="C81" s="89">
        <v>87422.0</v>
      </c>
      <c r="D81" s="89">
        <v>88014.0</v>
      </c>
      <c r="E81" s="12">
        <f t="shared" si="95"/>
        <v>592</v>
      </c>
      <c r="F81" s="157">
        <v>73.0</v>
      </c>
      <c r="G81" s="14">
        <f t="shared" si="96"/>
        <v>12.33108108</v>
      </c>
      <c r="H81" s="89">
        <v>87247.0</v>
      </c>
      <c r="I81" s="137">
        <v>87982.0</v>
      </c>
      <c r="J81" s="89">
        <f t="shared" si="97"/>
        <v>735</v>
      </c>
      <c r="K81" s="89">
        <f t="shared" si="98"/>
        <v>73</v>
      </c>
      <c r="L81" s="152">
        <f t="shared" si="99"/>
        <v>9.931972789</v>
      </c>
      <c r="M81" s="126">
        <v>17890.0</v>
      </c>
      <c r="N81" s="339">
        <f t="shared" si="100"/>
        <v>1305970</v>
      </c>
    </row>
    <row r="82">
      <c r="A82" s="154">
        <v>45738.0</v>
      </c>
      <c r="B82" s="156" t="s">
        <v>40</v>
      </c>
      <c r="C82" s="89">
        <v>88014.0</v>
      </c>
      <c r="D82" s="89">
        <v>88566.0</v>
      </c>
      <c r="E82" s="12">
        <f t="shared" si="95"/>
        <v>552</v>
      </c>
      <c r="F82" s="157">
        <v>64.0</v>
      </c>
      <c r="G82" s="14">
        <f t="shared" si="96"/>
        <v>11.5942029</v>
      </c>
      <c r="H82" s="89">
        <v>87982.0</v>
      </c>
      <c r="I82" s="137"/>
      <c r="J82" s="89">
        <f t="shared" si="97"/>
        <v>-87982</v>
      </c>
      <c r="K82" s="89">
        <f t="shared" si="98"/>
        <v>64</v>
      </c>
      <c r="L82" s="152">
        <f t="shared" si="99"/>
        <v>-0.0727421518</v>
      </c>
      <c r="M82" s="126">
        <v>17890.0</v>
      </c>
      <c r="N82" s="339">
        <f t="shared" si="100"/>
        <v>1144960</v>
      </c>
    </row>
    <row r="83">
      <c r="A83" s="154">
        <v>45745.0</v>
      </c>
      <c r="B83" s="156" t="s">
        <v>40</v>
      </c>
      <c r="C83" s="89">
        <v>88566.0</v>
      </c>
      <c r="D83" s="89">
        <v>89178.0</v>
      </c>
      <c r="E83" s="12">
        <f t="shared" si="95"/>
        <v>612</v>
      </c>
      <c r="F83" s="157">
        <v>69.0</v>
      </c>
      <c r="G83" s="14">
        <f t="shared" si="96"/>
        <v>11.2745098</v>
      </c>
      <c r="H83" s="89"/>
      <c r="I83" s="137"/>
      <c r="J83" s="89">
        <f t="shared" si="97"/>
        <v>0</v>
      </c>
      <c r="K83" s="89">
        <f t="shared" si="98"/>
        <v>69</v>
      </c>
      <c r="L83" s="152" t="str">
        <f t="shared" si="99"/>
        <v>#DIV/0!</v>
      </c>
      <c r="M83" s="126">
        <v>18210.0</v>
      </c>
      <c r="N83" s="339">
        <f t="shared" si="100"/>
        <v>1256490</v>
      </c>
    </row>
    <row r="84">
      <c r="A84" s="62"/>
      <c r="B84" s="63"/>
      <c r="C84" s="62"/>
      <c r="D84" s="64" t="s">
        <v>19</v>
      </c>
      <c r="E84" s="64">
        <f t="shared" ref="E84:F84" si="101">sum(E79:E83)</f>
        <v>2941</v>
      </c>
      <c r="F84" s="64">
        <f t="shared" si="101"/>
        <v>348</v>
      </c>
      <c r="G84" s="65">
        <f>average(G79:G83)</f>
        <v>11.83304393</v>
      </c>
      <c r="H84" s="62"/>
      <c r="I84" s="66"/>
      <c r="J84" s="64">
        <f t="shared" ref="J84:K84" si="102">sum(J79:J83)</f>
        <v>-86102</v>
      </c>
      <c r="K84" s="64">
        <f t="shared" si="102"/>
        <v>348</v>
      </c>
      <c r="L84" s="65" t="str">
        <f>average(L79:L83)</f>
        <v>#DIV/0!</v>
      </c>
      <c r="M84" s="68"/>
      <c r="N84" s="341">
        <f>sum(N79:N83)</f>
        <v>6353680</v>
      </c>
    </row>
    <row r="85">
      <c r="A85" s="70">
        <v>45720.0</v>
      </c>
      <c r="B85" s="156" t="s">
        <v>27</v>
      </c>
      <c r="C85" s="89"/>
      <c r="D85" s="13"/>
      <c r="E85" s="38">
        <f t="shared" ref="E85:E92" si="103">D85-C85</f>
        <v>0</v>
      </c>
      <c r="F85" s="39">
        <v>65.0</v>
      </c>
      <c r="G85" s="14" t="str">
        <f t="shared" ref="G85:G92" si="104">(F85/E85)*100</f>
        <v>#DIV/0!</v>
      </c>
      <c r="H85" s="137">
        <v>86102.0</v>
      </c>
      <c r="I85" s="138"/>
      <c r="J85" s="41">
        <f t="shared" ref="J85:J92" si="105">I85-H85</f>
        <v>-86102</v>
      </c>
      <c r="K85" s="41">
        <f t="shared" ref="K85:K92" si="106">F85</f>
        <v>65</v>
      </c>
      <c r="L85" s="152">
        <f t="shared" ref="L85:L92" si="107">(K85/J85)*100</f>
        <v>-0.07549185849</v>
      </c>
      <c r="M85" s="72">
        <v>18950.0</v>
      </c>
      <c r="N85" s="336">
        <f t="shared" ref="N85:N92" si="108">F85*M85</f>
        <v>1231750</v>
      </c>
    </row>
    <row r="86">
      <c r="A86" s="154">
        <v>45726.0</v>
      </c>
      <c r="B86" s="156" t="s">
        <v>27</v>
      </c>
      <c r="C86" s="89"/>
      <c r="D86" s="89"/>
      <c r="E86" s="12">
        <f t="shared" si="103"/>
        <v>0</v>
      </c>
      <c r="F86" s="157">
        <v>65.0</v>
      </c>
      <c r="G86" s="14" t="str">
        <f t="shared" si="104"/>
        <v>#DIV/0!</v>
      </c>
      <c r="H86" s="89"/>
      <c r="I86" s="137"/>
      <c r="J86" s="89">
        <f t="shared" si="105"/>
        <v>0</v>
      </c>
      <c r="K86" s="89">
        <f t="shared" si="106"/>
        <v>65</v>
      </c>
      <c r="L86" s="152" t="str">
        <f t="shared" si="107"/>
        <v>#DIV/0!</v>
      </c>
      <c r="M86" s="126">
        <v>18330.0</v>
      </c>
      <c r="N86" s="363">
        <f t="shared" si="108"/>
        <v>1191450</v>
      </c>
    </row>
    <row r="87">
      <c r="A87" s="154">
        <v>45729.0</v>
      </c>
      <c r="B87" s="156" t="s">
        <v>27</v>
      </c>
      <c r="C87" s="89"/>
      <c r="D87" s="89"/>
      <c r="E87" s="12">
        <f t="shared" si="103"/>
        <v>0</v>
      </c>
      <c r="F87" s="157">
        <v>65.0</v>
      </c>
      <c r="G87" s="14" t="str">
        <f t="shared" si="104"/>
        <v>#DIV/0!</v>
      </c>
      <c r="H87" s="89"/>
      <c r="I87" s="137"/>
      <c r="J87" s="89">
        <f t="shared" si="105"/>
        <v>0</v>
      </c>
      <c r="K87" s="89">
        <f t="shared" si="106"/>
        <v>65</v>
      </c>
      <c r="L87" s="152" t="str">
        <f t="shared" si="107"/>
        <v>#DIV/0!</v>
      </c>
      <c r="M87" s="126">
        <v>17890.0</v>
      </c>
      <c r="N87" s="363">
        <f t="shared" si="108"/>
        <v>1162850</v>
      </c>
    </row>
    <row r="88">
      <c r="A88" s="154">
        <v>45733.0</v>
      </c>
      <c r="B88" s="156" t="s">
        <v>27</v>
      </c>
      <c r="C88" s="89"/>
      <c r="D88" s="89"/>
      <c r="E88" s="12">
        <f t="shared" si="103"/>
        <v>0</v>
      </c>
      <c r="F88" s="157">
        <v>65.0</v>
      </c>
      <c r="G88" s="14" t="str">
        <f t="shared" si="104"/>
        <v>#DIV/0!</v>
      </c>
      <c r="H88" s="89"/>
      <c r="I88" s="137"/>
      <c r="J88" s="89">
        <f t="shared" si="105"/>
        <v>0</v>
      </c>
      <c r="K88" s="89">
        <f t="shared" si="106"/>
        <v>65</v>
      </c>
      <c r="L88" s="152" t="str">
        <f t="shared" si="107"/>
        <v>#DIV/0!</v>
      </c>
      <c r="M88" s="126">
        <v>17890.0</v>
      </c>
      <c r="N88" s="363">
        <f t="shared" si="108"/>
        <v>1162850</v>
      </c>
    </row>
    <row r="89">
      <c r="A89" s="154">
        <v>45737.0</v>
      </c>
      <c r="B89" s="156" t="s">
        <v>27</v>
      </c>
      <c r="C89" s="89"/>
      <c r="D89" s="89"/>
      <c r="E89" s="12">
        <f t="shared" si="103"/>
        <v>0</v>
      </c>
      <c r="F89" s="157">
        <v>65.0</v>
      </c>
      <c r="G89" s="14" t="str">
        <f t="shared" si="104"/>
        <v>#DIV/0!</v>
      </c>
      <c r="H89" s="89"/>
      <c r="I89" s="137"/>
      <c r="J89" s="89">
        <f t="shared" si="105"/>
        <v>0</v>
      </c>
      <c r="K89" s="89">
        <f t="shared" si="106"/>
        <v>65</v>
      </c>
      <c r="L89" s="152" t="str">
        <f t="shared" si="107"/>
        <v>#DIV/0!</v>
      </c>
      <c r="M89" s="126">
        <v>17890.0</v>
      </c>
      <c r="N89" s="363">
        <f t="shared" si="108"/>
        <v>1162850</v>
      </c>
    </row>
    <row r="90">
      <c r="A90" s="154">
        <v>45741.0</v>
      </c>
      <c r="B90" s="156" t="s">
        <v>27</v>
      </c>
      <c r="C90" s="89"/>
      <c r="D90" s="158"/>
      <c r="E90" s="12">
        <f t="shared" si="103"/>
        <v>0</v>
      </c>
      <c r="F90" s="157">
        <v>65.0</v>
      </c>
      <c r="G90" s="14" t="str">
        <f t="shared" si="104"/>
        <v>#DIV/0!</v>
      </c>
      <c r="H90" s="89"/>
      <c r="I90" s="159"/>
      <c r="J90" s="89">
        <f t="shared" si="105"/>
        <v>0</v>
      </c>
      <c r="K90" s="89">
        <f t="shared" si="106"/>
        <v>65</v>
      </c>
      <c r="L90" s="152" t="str">
        <f t="shared" si="107"/>
        <v>#DIV/0!</v>
      </c>
      <c r="M90" s="126">
        <v>17890.0</v>
      </c>
      <c r="N90" s="363">
        <f t="shared" si="108"/>
        <v>1162850</v>
      </c>
    </row>
    <row r="91">
      <c r="A91" s="154">
        <v>45744.0</v>
      </c>
      <c r="B91" s="156" t="s">
        <v>27</v>
      </c>
      <c r="C91" s="89"/>
      <c r="D91" s="158"/>
      <c r="E91" s="12">
        <f t="shared" si="103"/>
        <v>0</v>
      </c>
      <c r="F91" s="157">
        <v>65.0</v>
      </c>
      <c r="G91" s="14" t="str">
        <f t="shared" si="104"/>
        <v>#DIV/0!</v>
      </c>
      <c r="H91" s="89"/>
      <c r="I91" s="159"/>
      <c r="J91" s="89">
        <f t="shared" si="105"/>
        <v>0</v>
      </c>
      <c r="K91" s="89">
        <f t="shared" si="106"/>
        <v>65</v>
      </c>
      <c r="L91" s="152" t="str">
        <f t="shared" si="107"/>
        <v>#DIV/0!</v>
      </c>
      <c r="M91" s="126">
        <v>18210.0</v>
      </c>
      <c r="N91" s="363">
        <f t="shared" si="108"/>
        <v>1183650</v>
      </c>
    </row>
    <row r="92">
      <c r="A92" s="148">
        <v>45747.0</v>
      </c>
      <c r="B92" s="156" t="s">
        <v>27</v>
      </c>
      <c r="C92" s="149"/>
      <c r="D92" s="150"/>
      <c r="E92" s="25">
        <f t="shared" si="103"/>
        <v>0</v>
      </c>
      <c r="F92" s="161">
        <v>65.0</v>
      </c>
      <c r="G92" s="56" t="str">
        <f t="shared" si="104"/>
        <v>#DIV/0!</v>
      </c>
      <c r="H92" s="149"/>
      <c r="I92" s="151"/>
      <c r="J92" s="149">
        <f t="shared" si="105"/>
        <v>0</v>
      </c>
      <c r="K92" s="149">
        <f t="shared" si="106"/>
        <v>65</v>
      </c>
      <c r="L92" s="152" t="str">
        <f t="shared" si="107"/>
        <v>#DIV/0!</v>
      </c>
      <c r="M92" s="153">
        <v>18210.0</v>
      </c>
      <c r="N92" s="379">
        <f t="shared" si="108"/>
        <v>1183650</v>
      </c>
    </row>
    <row r="93">
      <c r="A93" s="62"/>
      <c r="B93" s="63"/>
      <c r="C93" s="62"/>
      <c r="D93" s="64" t="s">
        <v>19</v>
      </c>
      <c r="E93" s="64">
        <f t="shared" ref="E93:F93" si="109">sum(E85:E92)</f>
        <v>0</v>
      </c>
      <c r="F93" s="64">
        <f t="shared" si="109"/>
        <v>520</v>
      </c>
      <c r="G93" s="65" t="str">
        <f>average(G85:G92)</f>
        <v>#DIV/0!</v>
      </c>
      <c r="H93" s="62"/>
      <c r="I93" s="66"/>
      <c r="J93" s="64">
        <f t="shared" ref="J93:K93" si="110">sum(J85:J92)</f>
        <v>-86102</v>
      </c>
      <c r="K93" s="64">
        <f t="shared" si="110"/>
        <v>520</v>
      </c>
      <c r="L93" s="65" t="str">
        <f>average(L85:L92)</f>
        <v>#DIV/0!</v>
      </c>
      <c r="M93" s="68"/>
      <c r="N93" s="364">
        <f>sum(N85:N92)</f>
        <v>9441900</v>
      </c>
    </row>
    <row r="94">
      <c r="A94" s="198" t="s">
        <v>64</v>
      </c>
      <c r="B94" s="199"/>
      <c r="C94" s="199"/>
      <c r="D94" s="199"/>
      <c r="E94" s="199"/>
      <c r="F94" s="199"/>
      <c r="G94" s="199"/>
      <c r="H94" s="199"/>
      <c r="I94" s="199"/>
      <c r="J94" s="199"/>
      <c r="K94" s="199"/>
      <c r="L94" s="199"/>
      <c r="M94" s="334"/>
      <c r="N94" s="365">
        <f>sum(N9+N15+N24+N31+N39+N46+N53+N57+N62+N68+N73+N78+N84+N93)</f>
        <v>81608560</v>
      </c>
    </row>
    <row r="95">
      <c r="G95" s="168"/>
      <c r="L95" s="168"/>
    </row>
    <row r="96" ht="31.5" customHeight="1">
      <c r="D96" s="170" t="s">
        <v>45</v>
      </c>
      <c r="E96" s="171"/>
      <c r="G96" s="168"/>
      <c r="L96" s="168"/>
      <c r="Q96" s="197" t="s">
        <v>97</v>
      </c>
    </row>
    <row r="97">
      <c r="A97" s="248" t="s">
        <v>1</v>
      </c>
      <c r="B97" s="172" t="s">
        <v>2</v>
      </c>
      <c r="C97" s="166" t="s">
        <v>3</v>
      </c>
      <c r="D97" s="166" t="s">
        <v>4</v>
      </c>
      <c r="E97" s="166" t="s">
        <v>5</v>
      </c>
      <c r="F97" s="166" t="s">
        <v>6</v>
      </c>
      <c r="G97" s="173" t="s">
        <v>7</v>
      </c>
      <c r="H97" s="174" t="s">
        <v>8</v>
      </c>
      <c r="I97" s="175" t="s">
        <v>8</v>
      </c>
      <c r="J97" s="166" t="s">
        <v>5</v>
      </c>
      <c r="K97" s="166" t="s">
        <v>6</v>
      </c>
      <c r="L97" s="173" t="s">
        <v>7</v>
      </c>
      <c r="M97" s="166" t="s">
        <v>9</v>
      </c>
      <c r="N97" s="176" t="s">
        <v>10</v>
      </c>
    </row>
    <row r="98">
      <c r="A98" s="70">
        <v>45740.0</v>
      </c>
      <c r="B98" s="156" t="s">
        <v>46</v>
      </c>
      <c r="C98" s="13">
        <v>384387.0</v>
      </c>
      <c r="D98" s="13">
        <v>385427.0</v>
      </c>
      <c r="E98" s="12">
        <f t="shared" ref="E98:E102" si="111">D98-C98</f>
        <v>1040</v>
      </c>
      <c r="F98" s="39">
        <v>335.0</v>
      </c>
      <c r="G98" s="14">
        <f t="shared" ref="G98:G102" si="112">(F98/E98)*100</f>
        <v>32.21153846</v>
      </c>
      <c r="H98" s="89">
        <v>1780.0</v>
      </c>
      <c r="I98" s="138">
        <v>2671.0</v>
      </c>
      <c r="J98" s="41">
        <f t="shared" ref="J98:J102" si="113">I98-H98</f>
        <v>891</v>
      </c>
      <c r="K98" s="41">
        <f t="shared" ref="K98:K102" si="114">F98</f>
        <v>335</v>
      </c>
      <c r="L98" s="152">
        <f t="shared" ref="L98:L102" si="115">(K98/J98)*100</f>
        <v>37.59820426</v>
      </c>
      <c r="M98" s="72">
        <v>18390.0</v>
      </c>
      <c r="N98" s="366">
        <v>6000000.0</v>
      </c>
    </row>
    <row r="99">
      <c r="A99" s="154"/>
      <c r="B99" s="156"/>
      <c r="C99" s="89"/>
      <c r="D99" s="12"/>
      <c r="E99" s="12">
        <f t="shared" si="111"/>
        <v>0</v>
      </c>
      <c r="F99" s="157"/>
      <c r="G99" s="14" t="str">
        <f t="shared" si="112"/>
        <v>#DIV/0!</v>
      </c>
      <c r="H99" s="89"/>
      <c r="I99" s="137"/>
      <c r="J99" s="89">
        <f t="shared" si="113"/>
        <v>0</v>
      </c>
      <c r="K99" s="89" t="str">
        <f t="shared" si="114"/>
        <v/>
      </c>
      <c r="L99" s="152" t="str">
        <f t="shared" si="115"/>
        <v>#DIV/0!</v>
      </c>
      <c r="M99" s="126"/>
      <c r="N99" s="372">
        <f t="shared" ref="N99:N102" si="116">F99*M99</f>
        <v>0</v>
      </c>
    </row>
    <row r="100">
      <c r="A100" s="154"/>
      <c r="B100" s="156"/>
      <c r="C100" s="89"/>
      <c r="D100" s="89"/>
      <c r="E100" s="12">
        <f t="shared" si="111"/>
        <v>0</v>
      </c>
      <c r="F100" s="157"/>
      <c r="G100" s="14" t="str">
        <f t="shared" si="112"/>
        <v>#DIV/0!</v>
      </c>
      <c r="H100" s="89"/>
      <c r="I100" s="137"/>
      <c r="J100" s="89">
        <f t="shared" si="113"/>
        <v>0</v>
      </c>
      <c r="K100" s="89" t="str">
        <f t="shared" si="114"/>
        <v/>
      </c>
      <c r="L100" s="152" t="str">
        <f t="shared" si="115"/>
        <v>#DIV/0!</v>
      </c>
      <c r="M100" s="126"/>
      <c r="N100" s="367">
        <f t="shared" si="116"/>
        <v>0</v>
      </c>
    </row>
    <row r="101">
      <c r="A101" s="154"/>
      <c r="B101" s="156"/>
      <c r="C101" s="89"/>
      <c r="D101" s="89"/>
      <c r="E101" s="12">
        <f t="shared" si="111"/>
        <v>0</v>
      </c>
      <c r="F101" s="157"/>
      <c r="G101" s="14" t="str">
        <f t="shared" si="112"/>
        <v>#DIV/0!</v>
      </c>
      <c r="H101" s="89"/>
      <c r="I101" s="137"/>
      <c r="J101" s="89">
        <f t="shared" si="113"/>
        <v>0</v>
      </c>
      <c r="K101" s="89" t="str">
        <f t="shared" si="114"/>
        <v/>
      </c>
      <c r="L101" s="152" t="str">
        <f t="shared" si="115"/>
        <v>#DIV/0!</v>
      </c>
      <c r="M101" s="126"/>
      <c r="N101" s="367">
        <f t="shared" si="116"/>
        <v>0</v>
      </c>
    </row>
    <row r="102">
      <c r="A102" s="154"/>
      <c r="B102" s="156"/>
      <c r="C102" s="89"/>
      <c r="D102" s="89"/>
      <c r="E102" s="12">
        <f t="shared" si="111"/>
        <v>0</v>
      </c>
      <c r="F102" s="157"/>
      <c r="G102" s="14" t="str">
        <f t="shared" si="112"/>
        <v>#DIV/0!</v>
      </c>
      <c r="H102" s="89"/>
      <c r="I102" s="137"/>
      <c r="J102" s="89">
        <f t="shared" si="113"/>
        <v>0</v>
      </c>
      <c r="K102" s="89" t="str">
        <f t="shared" si="114"/>
        <v/>
      </c>
      <c r="L102" s="152" t="str">
        <f t="shared" si="115"/>
        <v>#DIV/0!</v>
      </c>
      <c r="M102" s="126"/>
      <c r="N102" s="367">
        <f t="shared" si="116"/>
        <v>0</v>
      </c>
    </row>
    <row r="103">
      <c r="A103" s="62"/>
      <c r="B103" s="63"/>
      <c r="C103" s="62"/>
      <c r="D103" s="64" t="s">
        <v>19</v>
      </c>
      <c r="E103" s="64">
        <f t="shared" ref="E103:F103" si="117">sum(E98:E102)</f>
        <v>1040</v>
      </c>
      <c r="F103" s="64">
        <f t="shared" si="117"/>
        <v>335</v>
      </c>
      <c r="G103" s="65" t="str">
        <f>average(G98:G102)</f>
        <v>#DIV/0!</v>
      </c>
      <c r="H103" s="62"/>
      <c r="I103" s="66"/>
      <c r="J103" s="64">
        <f t="shared" ref="J103:K103" si="118">sum(J98:J102)</f>
        <v>891</v>
      </c>
      <c r="K103" s="64">
        <f t="shared" si="118"/>
        <v>335</v>
      </c>
      <c r="L103" s="65" t="str">
        <f>average(L98:L102)</f>
        <v>#DIV/0!</v>
      </c>
      <c r="M103" s="68"/>
      <c r="N103" s="368">
        <f>sum(N98:N102)</f>
        <v>6000000</v>
      </c>
    </row>
    <row r="104">
      <c r="A104" s="70">
        <v>45733.0</v>
      </c>
      <c r="B104" s="156" t="s">
        <v>48</v>
      </c>
      <c r="C104" s="89">
        <v>448780.0</v>
      </c>
      <c r="D104" s="13"/>
      <c r="E104" s="38">
        <f t="shared" ref="E104:E108" si="119">D104-C104</f>
        <v>-448780</v>
      </c>
      <c r="F104" s="39"/>
      <c r="G104" s="14">
        <f t="shared" ref="G104:G108" si="120">(F104/E104)*100</f>
        <v>0</v>
      </c>
      <c r="H104" s="89"/>
      <c r="I104" s="138"/>
      <c r="J104" s="41">
        <f t="shared" ref="J104:J108" si="121">I104-H104</f>
        <v>0</v>
      </c>
      <c r="K104" s="41" t="str">
        <f t="shared" ref="K104:K108" si="122">F104</f>
        <v/>
      </c>
      <c r="L104" s="152" t="str">
        <f t="shared" ref="L104:L108" si="123">(K104/J104)*100</f>
        <v>#DIV/0!</v>
      </c>
      <c r="M104" s="72"/>
      <c r="N104" s="366">
        <v>5350000.0</v>
      </c>
    </row>
    <row r="105">
      <c r="A105" s="154"/>
      <c r="B105" s="156"/>
      <c r="C105" s="89"/>
      <c r="D105" s="89"/>
      <c r="E105" s="12">
        <f t="shared" si="119"/>
        <v>0</v>
      </c>
      <c r="F105" s="157"/>
      <c r="G105" s="14" t="str">
        <f t="shared" si="120"/>
        <v>#DIV/0!</v>
      </c>
      <c r="H105" s="89"/>
      <c r="I105" s="137"/>
      <c r="J105" s="89">
        <f t="shared" si="121"/>
        <v>0</v>
      </c>
      <c r="K105" s="89" t="str">
        <f t="shared" si="122"/>
        <v/>
      </c>
      <c r="L105" s="152" t="str">
        <f t="shared" si="123"/>
        <v>#DIV/0!</v>
      </c>
      <c r="M105" s="126"/>
      <c r="N105" s="372">
        <f t="shared" ref="N105:N108" si="124">F105*M105</f>
        <v>0</v>
      </c>
    </row>
    <row r="106">
      <c r="A106" s="154"/>
      <c r="B106" s="156"/>
      <c r="C106" s="89"/>
      <c r="D106" s="89"/>
      <c r="E106" s="12">
        <f t="shared" si="119"/>
        <v>0</v>
      </c>
      <c r="F106" s="157"/>
      <c r="G106" s="14" t="str">
        <f t="shared" si="120"/>
        <v>#DIV/0!</v>
      </c>
      <c r="H106" s="89"/>
      <c r="I106" s="137"/>
      <c r="J106" s="89">
        <f t="shared" si="121"/>
        <v>0</v>
      </c>
      <c r="K106" s="89" t="str">
        <f t="shared" si="122"/>
        <v/>
      </c>
      <c r="L106" s="152" t="str">
        <f t="shared" si="123"/>
        <v>#DIV/0!</v>
      </c>
      <c r="M106" s="126"/>
      <c r="N106" s="367">
        <f t="shared" si="124"/>
        <v>0</v>
      </c>
    </row>
    <row r="107">
      <c r="A107" s="154"/>
      <c r="B107" s="156"/>
      <c r="C107" s="89"/>
      <c r="D107" s="89"/>
      <c r="E107" s="12">
        <f t="shared" si="119"/>
        <v>0</v>
      </c>
      <c r="F107" s="157"/>
      <c r="G107" s="14" t="str">
        <f t="shared" si="120"/>
        <v>#DIV/0!</v>
      </c>
      <c r="H107" s="89"/>
      <c r="I107" s="137"/>
      <c r="J107" s="89">
        <f t="shared" si="121"/>
        <v>0</v>
      </c>
      <c r="K107" s="89" t="str">
        <f t="shared" si="122"/>
        <v/>
      </c>
      <c r="L107" s="152" t="str">
        <f t="shared" si="123"/>
        <v>#DIV/0!</v>
      </c>
      <c r="M107" s="126"/>
      <c r="N107" s="367">
        <f t="shared" si="124"/>
        <v>0</v>
      </c>
    </row>
    <row r="108">
      <c r="A108" s="154"/>
      <c r="B108" s="156"/>
      <c r="C108" s="89"/>
      <c r="D108" s="89"/>
      <c r="E108" s="12">
        <f t="shared" si="119"/>
        <v>0</v>
      </c>
      <c r="F108" s="157"/>
      <c r="G108" s="14" t="str">
        <f t="shared" si="120"/>
        <v>#DIV/0!</v>
      </c>
      <c r="H108" s="89"/>
      <c r="I108" s="137"/>
      <c r="J108" s="89">
        <f t="shared" si="121"/>
        <v>0</v>
      </c>
      <c r="K108" s="89" t="str">
        <f t="shared" si="122"/>
        <v/>
      </c>
      <c r="L108" s="152" t="str">
        <f t="shared" si="123"/>
        <v>#DIV/0!</v>
      </c>
      <c r="M108" s="126"/>
      <c r="N108" s="367">
        <f t="shared" si="124"/>
        <v>0</v>
      </c>
    </row>
    <row r="109">
      <c r="A109" s="62"/>
      <c r="B109" s="63"/>
      <c r="C109" s="62"/>
      <c r="D109" s="64" t="s">
        <v>19</v>
      </c>
      <c r="E109" s="64">
        <f t="shared" ref="E109:F109" si="125">sum(E104:E108)</f>
        <v>-448780</v>
      </c>
      <c r="F109" s="64">
        <f t="shared" si="125"/>
        <v>0</v>
      </c>
      <c r="G109" s="65" t="str">
        <f>average(G104:G108)</f>
        <v>#DIV/0!</v>
      </c>
      <c r="H109" s="62"/>
      <c r="I109" s="66"/>
      <c r="J109" s="64">
        <f t="shared" ref="J109:K109" si="126">sum(J104:J108)</f>
        <v>0</v>
      </c>
      <c r="K109" s="64">
        <f t="shared" si="126"/>
        <v>0</v>
      </c>
      <c r="L109" s="65" t="str">
        <f>average(L104:L108)</f>
        <v>#DIV/0!</v>
      </c>
      <c r="M109" s="68"/>
      <c r="N109" s="368">
        <f>sum(N104:N108)</f>
        <v>5350000</v>
      </c>
    </row>
    <row r="110">
      <c r="A110" s="70">
        <v>45734.0</v>
      </c>
      <c r="B110" s="156" t="s">
        <v>49</v>
      </c>
      <c r="C110" s="89"/>
      <c r="D110" s="13"/>
      <c r="E110" s="38">
        <f t="shared" ref="E110:E114" si="127">D110-C110</f>
        <v>0</v>
      </c>
      <c r="F110" s="39"/>
      <c r="G110" s="14" t="str">
        <f t="shared" ref="G110:G114" si="128">(F110/E110)*100</f>
        <v>#DIV/0!</v>
      </c>
      <c r="H110" s="89"/>
      <c r="I110" s="138"/>
      <c r="J110" s="41">
        <f t="shared" ref="J110:J114" si="129">I110-H110</f>
        <v>0</v>
      </c>
      <c r="K110" s="41" t="str">
        <f t="shared" ref="K110:K114" si="130">F110</f>
        <v/>
      </c>
      <c r="L110" s="152" t="str">
        <f t="shared" ref="L110:L114" si="131">(K110/J110)*100</f>
        <v>#DIV/0!</v>
      </c>
      <c r="M110" s="72"/>
      <c r="N110" s="366">
        <v>4400000.0</v>
      </c>
    </row>
    <row r="111">
      <c r="A111" s="154"/>
      <c r="B111" s="156"/>
      <c r="C111" s="89"/>
      <c r="D111" s="89"/>
      <c r="E111" s="12">
        <f t="shared" si="127"/>
        <v>0</v>
      </c>
      <c r="F111" s="157"/>
      <c r="G111" s="14" t="str">
        <f t="shared" si="128"/>
        <v>#DIV/0!</v>
      </c>
      <c r="H111" s="89"/>
      <c r="I111" s="137"/>
      <c r="J111" s="89">
        <f t="shared" si="129"/>
        <v>0</v>
      </c>
      <c r="K111" s="89" t="str">
        <f t="shared" si="130"/>
        <v/>
      </c>
      <c r="L111" s="152" t="str">
        <f t="shared" si="131"/>
        <v>#DIV/0!</v>
      </c>
      <c r="M111" s="126"/>
      <c r="N111" s="372">
        <f t="shared" ref="N111:N114" si="132">F111*M111</f>
        <v>0</v>
      </c>
    </row>
    <row r="112">
      <c r="A112" s="154"/>
      <c r="B112" s="156"/>
      <c r="C112" s="89"/>
      <c r="D112" s="89"/>
      <c r="E112" s="12">
        <f t="shared" si="127"/>
        <v>0</v>
      </c>
      <c r="F112" s="157"/>
      <c r="G112" s="14" t="str">
        <f t="shared" si="128"/>
        <v>#DIV/0!</v>
      </c>
      <c r="H112" s="89"/>
      <c r="I112" s="137"/>
      <c r="J112" s="89">
        <f t="shared" si="129"/>
        <v>0</v>
      </c>
      <c r="K112" s="89" t="str">
        <f t="shared" si="130"/>
        <v/>
      </c>
      <c r="L112" s="152" t="str">
        <f t="shared" si="131"/>
        <v>#DIV/0!</v>
      </c>
      <c r="M112" s="126"/>
      <c r="N112" s="367">
        <f t="shared" si="132"/>
        <v>0</v>
      </c>
    </row>
    <row r="113">
      <c r="A113" s="154"/>
      <c r="B113" s="156"/>
      <c r="C113" s="89"/>
      <c r="D113" s="89"/>
      <c r="E113" s="12">
        <f t="shared" si="127"/>
        <v>0</v>
      </c>
      <c r="F113" s="157"/>
      <c r="G113" s="14" t="str">
        <f t="shared" si="128"/>
        <v>#DIV/0!</v>
      </c>
      <c r="H113" s="89"/>
      <c r="I113" s="137"/>
      <c r="J113" s="89">
        <f t="shared" si="129"/>
        <v>0</v>
      </c>
      <c r="K113" s="89" t="str">
        <f t="shared" si="130"/>
        <v/>
      </c>
      <c r="L113" s="152" t="str">
        <f t="shared" si="131"/>
        <v>#DIV/0!</v>
      </c>
      <c r="M113" s="126"/>
      <c r="N113" s="367">
        <f t="shared" si="132"/>
        <v>0</v>
      </c>
    </row>
    <row r="114">
      <c r="A114" s="154"/>
      <c r="B114" s="156"/>
      <c r="C114" s="89"/>
      <c r="D114" s="89"/>
      <c r="E114" s="12">
        <f t="shared" si="127"/>
        <v>0</v>
      </c>
      <c r="F114" s="157"/>
      <c r="G114" s="14" t="str">
        <f t="shared" si="128"/>
        <v>#DIV/0!</v>
      </c>
      <c r="H114" s="89"/>
      <c r="I114" s="137"/>
      <c r="J114" s="89">
        <f t="shared" si="129"/>
        <v>0</v>
      </c>
      <c r="K114" s="89" t="str">
        <f t="shared" si="130"/>
        <v/>
      </c>
      <c r="L114" s="152" t="str">
        <f t="shared" si="131"/>
        <v>#DIV/0!</v>
      </c>
      <c r="M114" s="126"/>
      <c r="N114" s="367">
        <f t="shared" si="132"/>
        <v>0</v>
      </c>
    </row>
    <row r="115">
      <c r="A115" s="62"/>
      <c r="B115" s="63"/>
      <c r="C115" s="62"/>
      <c r="D115" s="64" t="s">
        <v>19</v>
      </c>
      <c r="E115" s="64">
        <f t="shared" ref="E115:F115" si="133">sum(E110:E114)</f>
        <v>0</v>
      </c>
      <c r="F115" s="64">
        <f t="shared" si="133"/>
        <v>0</v>
      </c>
      <c r="G115" s="65" t="str">
        <f>average(G110:G114)</f>
        <v>#DIV/0!</v>
      </c>
      <c r="H115" s="62"/>
      <c r="I115" s="66"/>
      <c r="J115" s="64">
        <f t="shared" ref="J115:K115" si="134">sum(J110:J114)</f>
        <v>0</v>
      </c>
      <c r="K115" s="64">
        <f t="shared" si="134"/>
        <v>0</v>
      </c>
      <c r="L115" s="65" t="str">
        <f>average(L110:L114)</f>
        <v>#DIV/0!</v>
      </c>
      <c r="M115" s="68"/>
      <c r="N115" s="368">
        <f>sum(N110:N114)</f>
        <v>4400000</v>
      </c>
    </row>
    <row r="116">
      <c r="A116" s="70">
        <v>45722.0</v>
      </c>
      <c r="B116" s="156" t="s">
        <v>50</v>
      </c>
      <c r="C116" s="89"/>
      <c r="D116" s="13">
        <v>345060.0</v>
      </c>
      <c r="E116" s="38">
        <f t="shared" ref="E116:E120" si="135">D116-C116</f>
        <v>345060</v>
      </c>
      <c r="F116" s="39"/>
      <c r="G116" s="14">
        <f t="shared" ref="G116:G120" si="136">(F116/E116)*100</f>
        <v>0</v>
      </c>
      <c r="H116" s="89"/>
      <c r="I116" s="138"/>
      <c r="J116" s="41">
        <f t="shared" ref="J116:J120" si="137">I116-H116</f>
        <v>0</v>
      </c>
      <c r="K116" s="41" t="str">
        <f t="shared" ref="K116:K120" si="138">F116</f>
        <v/>
      </c>
      <c r="L116" s="152" t="str">
        <f t="shared" ref="L116:L120" si="139">(K116/J116)*100</f>
        <v>#DIV/0!</v>
      </c>
      <c r="M116" s="72"/>
      <c r="N116" s="366">
        <v>4000000.0</v>
      </c>
    </row>
    <row r="117">
      <c r="A117" s="154">
        <v>45737.0</v>
      </c>
      <c r="B117" s="156" t="s">
        <v>50</v>
      </c>
      <c r="C117" s="89"/>
      <c r="D117" s="89"/>
      <c r="E117" s="12">
        <f t="shared" si="135"/>
        <v>0</v>
      </c>
      <c r="F117" s="157"/>
      <c r="G117" s="14" t="str">
        <f t="shared" si="136"/>
        <v>#DIV/0!</v>
      </c>
      <c r="H117" s="89"/>
      <c r="I117" s="137"/>
      <c r="J117" s="89">
        <f t="shared" si="137"/>
        <v>0</v>
      </c>
      <c r="K117" s="89" t="str">
        <f t="shared" si="138"/>
        <v/>
      </c>
      <c r="L117" s="152" t="str">
        <f t="shared" si="139"/>
        <v>#DIV/0!</v>
      </c>
      <c r="M117" s="126"/>
      <c r="N117" s="366">
        <v>4000000.0</v>
      </c>
    </row>
    <row r="118">
      <c r="A118" s="154"/>
      <c r="B118" s="156" t="s">
        <v>50</v>
      </c>
      <c r="C118" s="89"/>
      <c r="D118" s="89"/>
      <c r="E118" s="12">
        <f t="shared" si="135"/>
        <v>0</v>
      </c>
      <c r="F118" s="157"/>
      <c r="G118" s="14" t="str">
        <f t="shared" si="136"/>
        <v>#DIV/0!</v>
      </c>
      <c r="H118" s="89"/>
      <c r="I118" s="137"/>
      <c r="J118" s="89">
        <f t="shared" si="137"/>
        <v>0</v>
      </c>
      <c r="K118" s="89" t="str">
        <f t="shared" si="138"/>
        <v/>
      </c>
      <c r="L118" s="152" t="str">
        <f t="shared" si="139"/>
        <v>#DIV/0!</v>
      </c>
      <c r="M118" s="126"/>
      <c r="N118" s="367">
        <f t="shared" ref="N118:N120" si="140">F118*M118</f>
        <v>0</v>
      </c>
    </row>
    <row r="119">
      <c r="A119" s="154"/>
      <c r="B119" s="156" t="s">
        <v>50</v>
      </c>
      <c r="C119" s="89"/>
      <c r="D119" s="89"/>
      <c r="E119" s="12">
        <f t="shared" si="135"/>
        <v>0</v>
      </c>
      <c r="F119" s="157"/>
      <c r="G119" s="14" t="str">
        <f t="shared" si="136"/>
        <v>#DIV/0!</v>
      </c>
      <c r="H119" s="89"/>
      <c r="I119" s="137"/>
      <c r="J119" s="89">
        <f t="shared" si="137"/>
        <v>0</v>
      </c>
      <c r="K119" s="89" t="str">
        <f t="shared" si="138"/>
        <v/>
      </c>
      <c r="L119" s="152" t="str">
        <f t="shared" si="139"/>
        <v>#DIV/0!</v>
      </c>
      <c r="M119" s="126"/>
      <c r="N119" s="367">
        <f t="shared" si="140"/>
        <v>0</v>
      </c>
    </row>
    <row r="120">
      <c r="A120" s="154"/>
      <c r="B120" s="156" t="s">
        <v>50</v>
      </c>
      <c r="C120" s="89"/>
      <c r="D120" s="89"/>
      <c r="E120" s="12">
        <f t="shared" si="135"/>
        <v>0</v>
      </c>
      <c r="F120" s="157"/>
      <c r="G120" s="14" t="str">
        <f t="shared" si="136"/>
        <v>#DIV/0!</v>
      </c>
      <c r="H120" s="89"/>
      <c r="I120" s="137"/>
      <c r="J120" s="89">
        <f t="shared" si="137"/>
        <v>0</v>
      </c>
      <c r="K120" s="89" t="str">
        <f t="shared" si="138"/>
        <v/>
      </c>
      <c r="L120" s="152" t="str">
        <f t="shared" si="139"/>
        <v>#DIV/0!</v>
      </c>
      <c r="M120" s="126"/>
      <c r="N120" s="367">
        <f t="shared" si="140"/>
        <v>0</v>
      </c>
    </row>
    <row r="121">
      <c r="A121" s="62"/>
      <c r="B121" s="63"/>
      <c r="C121" s="62"/>
      <c r="D121" s="64" t="s">
        <v>19</v>
      </c>
      <c r="E121" s="64">
        <f t="shared" ref="E121:F121" si="141">sum(E116:E120)</f>
        <v>345060</v>
      </c>
      <c r="F121" s="64">
        <f t="shared" si="141"/>
        <v>0</v>
      </c>
      <c r="G121" s="65" t="str">
        <f>average(G116:G120)</f>
        <v>#DIV/0!</v>
      </c>
      <c r="H121" s="62"/>
      <c r="I121" s="66"/>
      <c r="J121" s="64">
        <f t="shared" ref="J121:K121" si="142">sum(J116:J120)</f>
        <v>0</v>
      </c>
      <c r="K121" s="64">
        <f t="shared" si="142"/>
        <v>0</v>
      </c>
      <c r="L121" s="65" t="str">
        <f>average(L116:L120)</f>
        <v>#DIV/0!</v>
      </c>
      <c r="M121" s="68"/>
      <c r="N121" s="368">
        <f>sum(N116:N120)</f>
        <v>8000000</v>
      </c>
    </row>
    <row r="122">
      <c r="A122" s="70">
        <v>45733.0</v>
      </c>
      <c r="B122" s="156" t="s">
        <v>107</v>
      </c>
      <c r="C122" s="89">
        <v>295530.0</v>
      </c>
      <c r="D122" s="13"/>
      <c r="E122" s="38">
        <f t="shared" ref="E122:E126" si="143">D122-C122</f>
        <v>-295530</v>
      </c>
      <c r="F122" s="39"/>
      <c r="G122" s="14">
        <f t="shared" ref="G122:G126" si="144">(F122/E122)*100</f>
        <v>0</v>
      </c>
      <c r="H122" s="89"/>
      <c r="I122" s="138"/>
      <c r="J122" s="41">
        <f t="shared" ref="J122:J126" si="145">I122-H122</f>
        <v>0</v>
      </c>
      <c r="K122" s="41" t="str">
        <f t="shared" ref="K122:K126" si="146">F122</f>
        <v/>
      </c>
      <c r="L122" s="152" t="str">
        <f t="shared" ref="L122:L126" si="147">(K122/J122)*100</f>
        <v>#DIV/0!</v>
      </c>
      <c r="M122" s="72"/>
      <c r="N122" s="366">
        <v>2700000.0</v>
      </c>
    </row>
    <row r="123">
      <c r="A123" s="154">
        <v>45744.0</v>
      </c>
      <c r="B123" s="156" t="s">
        <v>51</v>
      </c>
      <c r="C123" s="89"/>
      <c r="D123" s="89"/>
      <c r="E123" s="12">
        <f t="shared" si="143"/>
        <v>0</v>
      </c>
      <c r="F123" s="157"/>
      <c r="G123" s="14" t="str">
        <f t="shared" si="144"/>
        <v>#DIV/0!</v>
      </c>
      <c r="H123" s="89"/>
      <c r="I123" s="137"/>
      <c r="J123" s="89">
        <f t="shared" si="145"/>
        <v>0</v>
      </c>
      <c r="K123" s="89" t="str">
        <f t="shared" si="146"/>
        <v/>
      </c>
      <c r="L123" s="152" t="str">
        <f t="shared" si="147"/>
        <v>#DIV/0!</v>
      </c>
      <c r="M123" s="126"/>
      <c r="N123" s="372">
        <v>1000000.0</v>
      </c>
    </row>
    <row r="124">
      <c r="A124" s="154"/>
      <c r="B124" s="156"/>
      <c r="C124" s="89"/>
      <c r="D124" s="89"/>
      <c r="E124" s="12">
        <f t="shared" si="143"/>
        <v>0</v>
      </c>
      <c r="F124" s="157"/>
      <c r="G124" s="14" t="str">
        <f t="shared" si="144"/>
        <v>#DIV/0!</v>
      </c>
      <c r="H124" s="89"/>
      <c r="I124" s="137"/>
      <c r="J124" s="89">
        <f t="shared" si="145"/>
        <v>0</v>
      </c>
      <c r="K124" s="89" t="str">
        <f t="shared" si="146"/>
        <v/>
      </c>
      <c r="L124" s="152" t="str">
        <f t="shared" si="147"/>
        <v>#DIV/0!</v>
      </c>
      <c r="M124" s="126"/>
      <c r="N124" s="367">
        <f t="shared" ref="N124:N126" si="148">F124*M124</f>
        <v>0</v>
      </c>
    </row>
    <row r="125">
      <c r="A125" s="154"/>
      <c r="B125" s="156"/>
      <c r="C125" s="89"/>
      <c r="D125" s="89"/>
      <c r="E125" s="12">
        <f t="shared" si="143"/>
        <v>0</v>
      </c>
      <c r="F125" s="157"/>
      <c r="G125" s="14" t="str">
        <f t="shared" si="144"/>
        <v>#DIV/0!</v>
      </c>
      <c r="H125" s="89"/>
      <c r="I125" s="137"/>
      <c r="J125" s="89">
        <f t="shared" si="145"/>
        <v>0</v>
      </c>
      <c r="K125" s="89" t="str">
        <f t="shared" si="146"/>
        <v/>
      </c>
      <c r="L125" s="152" t="str">
        <f t="shared" si="147"/>
        <v>#DIV/0!</v>
      </c>
      <c r="M125" s="126"/>
      <c r="N125" s="367">
        <f t="shared" si="148"/>
        <v>0</v>
      </c>
    </row>
    <row r="126">
      <c r="A126" s="154"/>
      <c r="B126" s="156"/>
      <c r="C126" s="89"/>
      <c r="D126" s="89"/>
      <c r="E126" s="12">
        <f t="shared" si="143"/>
        <v>0</v>
      </c>
      <c r="F126" s="157"/>
      <c r="G126" s="14" t="str">
        <f t="shared" si="144"/>
        <v>#DIV/0!</v>
      </c>
      <c r="H126" s="89"/>
      <c r="I126" s="137"/>
      <c r="J126" s="89">
        <f t="shared" si="145"/>
        <v>0</v>
      </c>
      <c r="K126" s="89" t="str">
        <f t="shared" si="146"/>
        <v/>
      </c>
      <c r="L126" s="152" t="str">
        <f t="shared" si="147"/>
        <v>#DIV/0!</v>
      </c>
      <c r="M126" s="126"/>
      <c r="N126" s="367">
        <f t="shared" si="148"/>
        <v>0</v>
      </c>
    </row>
    <row r="127">
      <c r="A127" s="62"/>
      <c r="B127" s="63"/>
      <c r="C127" s="62"/>
      <c r="D127" s="64" t="s">
        <v>19</v>
      </c>
      <c r="E127" s="64">
        <f t="shared" ref="E127:F127" si="149">sum(E122:E126)</f>
        <v>-295530</v>
      </c>
      <c r="F127" s="64">
        <f t="shared" si="149"/>
        <v>0</v>
      </c>
      <c r="G127" s="65" t="str">
        <f>average(G122:G126)</f>
        <v>#DIV/0!</v>
      </c>
      <c r="H127" s="62"/>
      <c r="I127" s="66"/>
      <c r="J127" s="64">
        <f t="shared" ref="J127:K127" si="150">sum(J122:J126)</f>
        <v>0</v>
      </c>
      <c r="K127" s="64">
        <f t="shared" si="150"/>
        <v>0</v>
      </c>
      <c r="L127" s="65" t="str">
        <f>average(L122:L126)</f>
        <v>#DIV/0!</v>
      </c>
      <c r="M127" s="68"/>
      <c r="N127" s="368">
        <f>sum(N122:N126)</f>
        <v>3700000</v>
      </c>
    </row>
    <row r="128">
      <c r="A128" s="70">
        <v>45719.0</v>
      </c>
      <c r="B128" s="156" t="s">
        <v>91</v>
      </c>
      <c r="C128" s="89"/>
      <c r="D128" s="13"/>
      <c r="E128" s="38">
        <f t="shared" ref="E128:E132" si="151">D128-C128</f>
        <v>0</v>
      </c>
      <c r="F128" s="39"/>
      <c r="G128" s="14" t="str">
        <f t="shared" ref="G128:G132" si="152">(F128/E128)*100</f>
        <v>#DIV/0!</v>
      </c>
      <c r="H128" s="89"/>
      <c r="I128" s="138"/>
      <c r="J128" s="41">
        <f t="shared" ref="J128:J132" si="153">I128-H128</f>
        <v>0</v>
      </c>
      <c r="K128" s="41" t="str">
        <f t="shared" ref="K128:K132" si="154">F128</f>
        <v/>
      </c>
      <c r="L128" s="152" t="str">
        <f t="shared" ref="L128:L132" si="155">(K128/J128)*100</f>
        <v>#DIV/0!</v>
      </c>
      <c r="M128" s="72"/>
      <c r="N128" s="336">
        <v>8000000.0</v>
      </c>
    </row>
    <row r="129">
      <c r="A129" s="154">
        <v>45731.0</v>
      </c>
      <c r="B129" s="156" t="s">
        <v>91</v>
      </c>
      <c r="C129" s="89"/>
      <c r="D129" s="89"/>
      <c r="E129" s="12">
        <f t="shared" si="151"/>
        <v>0</v>
      </c>
      <c r="F129" s="157"/>
      <c r="G129" s="14" t="str">
        <f t="shared" si="152"/>
        <v>#DIV/0!</v>
      </c>
      <c r="H129" s="89"/>
      <c r="I129" s="137"/>
      <c r="J129" s="89">
        <f t="shared" si="153"/>
        <v>0</v>
      </c>
      <c r="K129" s="89" t="str">
        <f t="shared" si="154"/>
        <v/>
      </c>
      <c r="L129" s="152" t="str">
        <f t="shared" si="155"/>
        <v>#DIV/0!</v>
      </c>
      <c r="M129" s="126"/>
      <c r="N129" s="372">
        <v>6000000.0</v>
      </c>
    </row>
    <row r="130">
      <c r="A130" s="154">
        <v>45742.0</v>
      </c>
      <c r="B130" s="156" t="s">
        <v>91</v>
      </c>
      <c r="C130" s="89"/>
      <c r="D130" s="89"/>
      <c r="E130" s="12">
        <f t="shared" si="151"/>
        <v>0</v>
      </c>
      <c r="F130" s="157"/>
      <c r="G130" s="14" t="str">
        <f t="shared" si="152"/>
        <v>#DIV/0!</v>
      </c>
      <c r="H130" s="89"/>
      <c r="I130" s="137"/>
      <c r="J130" s="89">
        <f t="shared" si="153"/>
        <v>0</v>
      </c>
      <c r="K130" s="89" t="str">
        <f t="shared" si="154"/>
        <v/>
      </c>
      <c r="L130" s="152" t="str">
        <f t="shared" si="155"/>
        <v>#DIV/0!</v>
      </c>
      <c r="M130" s="126"/>
      <c r="N130" s="367">
        <v>3000000.0</v>
      </c>
    </row>
    <row r="131">
      <c r="A131" s="154"/>
      <c r="B131" s="156" t="s">
        <v>91</v>
      </c>
      <c r="C131" s="89"/>
      <c r="D131" s="89"/>
      <c r="E131" s="12">
        <f t="shared" si="151"/>
        <v>0</v>
      </c>
      <c r="F131" s="157"/>
      <c r="G131" s="14" t="str">
        <f t="shared" si="152"/>
        <v>#DIV/0!</v>
      </c>
      <c r="H131" s="89"/>
      <c r="I131" s="137"/>
      <c r="J131" s="89">
        <f t="shared" si="153"/>
        <v>0</v>
      </c>
      <c r="K131" s="89" t="str">
        <f t="shared" si="154"/>
        <v/>
      </c>
      <c r="L131" s="152" t="str">
        <f t="shared" si="155"/>
        <v>#DIV/0!</v>
      </c>
      <c r="M131" s="126"/>
      <c r="N131" s="367">
        <f t="shared" ref="N131:N132" si="156">F131*M131</f>
        <v>0</v>
      </c>
    </row>
    <row r="132">
      <c r="A132" s="154"/>
      <c r="B132" s="156"/>
      <c r="C132" s="89"/>
      <c r="D132" s="89"/>
      <c r="E132" s="12">
        <f t="shared" si="151"/>
        <v>0</v>
      </c>
      <c r="F132" s="157"/>
      <c r="G132" s="14" t="str">
        <f t="shared" si="152"/>
        <v>#DIV/0!</v>
      </c>
      <c r="H132" s="89"/>
      <c r="I132" s="137"/>
      <c r="J132" s="89">
        <f t="shared" si="153"/>
        <v>0</v>
      </c>
      <c r="K132" s="89" t="str">
        <f t="shared" si="154"/>
        <v/>
      </c>
      <c r="L132" s="152" t="str">
        <f t="shared" si="155"/>
        <v>#DIV/0!</v>
      </c>
      <c r="M132" s="126"/>
      <c r="N132" s="367">
        <f t="shared" si="156"/>
        <v>0</v>
      </c>
    </row>
    <row r="133">
      <c r="A133" s="62"/>
      <c r="B133" s="63"/>
      <c r="C133" s="62"/>
      <c r="D133" s="64"/>
      <c r="E133" s="64">
        <f t="shared" ref="E133:F133" si="157">sum(E128:E132)</f>
        <v>0</v>
      </c>
      <c r="F133" s="64">
        <f t="shared" si="157"/>
        <v>0</v>
      </c>
      <c r="G133" s="65" t="str">
        <f>average(G128:G132)</f>
        <v>#DIV/0!</v>
      </c>
      <c r="H133" s="62"/>
      <c r="I133" s="66"/>
      <c r="J133" s="64">
        <f t="shared" ref="J133:K133" si="158">sum(J128:J132)</f>
        <v>0</v>
      </c>
      <c r="K133" s="64">
        <f t="shared" si="158"/>
        <v>0</v>
      </c>
      <c r="L133" s="65" t="str">
        <f>average(L128:L132)</f>
        <v>#DIV/0!</v>
      </c>
      <c r="M133" s="68"/>
      <c r="N133" s="368">
        <f>sum(N128:N132)</f>
        <v>17000000</v>
      </c>
    </row>
    <row r="134">
      <c r="A134" s="70">
        <v>45719.0</v>
      </c>
      <c r="B134" s="156" t="s">
        <v>54</v>
      </c>
      <c r="C134" s="89"/>
      <c r="D134" s="13"/>
      <c r="E134" s="38">
        <f t="shared" ref="E134:E141" si="159">D134-C134</f>
        <v>0</v>
      </c>
      <c r="F134" s="39"/>
      <c r="G134" s="14" t="str">
        <f t="shared" ref="G134:G141" si="160">(F134/E134)*100</f>
        <v>#DIV/0!</v>
      </c>
      <c r="H134" s="89"/>
      <c r="I134" s="138"/>
      <c r="J134" s="41">
        <f t="shared" ref="J134:J141" si="161">I134-H134</f>
        <v>0</v>
      </c>
      <c r="K134" s="41" t="str">
        <f t="shared" ref="K134:K141" si="162">F134</f>
        <v/>
      </c>
      <c r="L134" s="152" t="str">
        <f t="shared" ref="L134:L141" si="163">(K134/J134)*100</f>
        <v>#DIV/0!</v>
      </c>
      <c r="M134" s="72"/>
      <c r="N134" s="366">
        <v>5000000.0</v>
      </c>
    </row>
    <row r="135">
      <c r="A135" s="154">
        <v>45729.0</v>
      </c>
      <c r="B135" s="156" t="s">
        <v>54</v>
      </c>
      <c r="C135" s="89"/>
      <c r="D135" s="89"/>
      <c r="E135" s="12">
        <f t="shared" si="159"/>
        <v>0</v>
      </c>
      <c r="F135" s="157"/>
      <c r="G135" s="14" t="str">
        <f t="shared" si="160"/>
        <v>#DIV/0!</v>
      </c>
      <c r="H135" s="89"/>
      <c r="I135" s="137"/>
      <c r="J135" s="89">
        <f t="shared" si="161"/>
        <v>0</v>
      </c>
      <c r="K135" s="89" t="str">
        <f t="shared" si="162"/>
        <v/>
      </c>
      <c r="L135" s="152" t="str">
        <f t="shared" si="163"/>
        <v>#DIV/0!</v>
      </c>
      <c r="M135" s="126"/>
      <c r="N135" s="372">
        <v>3000000.0</v>
      </c>
    </row>
    <row r="136">
      <c r="A136" s="154">
        <v>45733.0</v>
      </c>
      <c r="B136" s="156" t="s">
        <v>54</v>
      </c>
      <c r="C136" s="89"/>
      <c r="D136" s="89"/>
      <c r="E136" s="12">
        <f t="shared" si="159"/>
        <v>0</v>
      </c>
      <c r="F136" s="157"/>
      <c r="G136" s="14" t="str">
        <f t="shared" si="160"/>
        <v>#DIV/0!</v>
      </c>
      <c r="H136" s="89"/>
      <c r="I136" s="137"/>
      <c r="J136" s="89">
        <f t="shared" si="161"/>
        <v>0</v>
      </c>
      <c r="K136" s="89" t="str">
        <f t="shared" si="162"/>
        <v/>
      </c>
      <c r="L136" s="152" t="str">
        <f t="shared" si="163"/>
        <v>#DIV/0!</v>
      </c>
      <c r="M136" s="126"/>
      <c r="N136" s="367">
        <v>5000000.0</v>
      </c>
    </row>
    <row r="137">
      <c r="A137" s="154">
        <v>45736.0</v>
      </c>
      <c r="B137" s="156" t="s">
        <v>54</v>
      </c>
      <c r="C137" s="89"/>
      <c r="D137" s="89"/>
      <c r="E137" s="12">
        <f t="shared" si="159"/>
        <v>0</v>
      </c>
      <c r="F137" s="157"/>
      <c r="G137" s="14" t="str">
        <f t="shared" si="160"/>
        <v>#DIV/0!</v>
      </c>
      <c r="H137" s="89"/>
      <c r="I137" s="137"/>
      <c r="J137" s="89">
        <f t="shared" si="161"/>
        <v>0</v>
      </c>
      <c r="K137" s="89" t="str">
        <f t="shared" si="162"/>
        <v/>
      </c>
      <c r="L137" s="152" t="str">
        <f t="shared" si="163"/>
        <v>#DIV/0!</v>
      </c>
      <c r="M137" s="126"/>
      <c r="N137" s="367">
        <v>5000000.0</v>
      </c>
    </row>
    <row r="138">
      <c r="A138" s="154">
        <v>45740.0</v>
      </c>
      <c r="B138" s="156" t="s">
        <v>54</v>
      </c>
      <c r="C138" s="89"/>
      <c r="D138" s="89"/>
      <c r="E138" s="12">
        <f t="shared" si="159"/>
        <v>0</v>
      </c>
      <c r="F138" s="157"/>
      <c r="G138" s="14" t="str">
        <f t="shared" si="160"/>
        <v>#DIV/0!</v>
      </c>
      <c r="H138" s="89"/>
      <c r="I138" s="137"/>
      <c r="J138" s="89">
        <f t="shared" si="161"/>
        <v>0</v>
      </c>
      <c r="K138" s="89" t="str">
        <f t="shared" si="162"/>
        <v/>
      </c>
      <c r="L138" s="152" t="str">
        <f t="shared" si="163"/>
        <v>#DIV/0!</v>
      </c>
      <c r="M138" s="126"/>
      <c r="N138" s="367">
        <v>3000000.0</v>
      </c>
    </row>
    <row r="139">
      <c r="A139" s="154">
        <v>45742.0</v>
      </c>
      <c r="B139" s="156" t="s">
        <v>54</v>
      </c>
      <c r="C139" s="89"/>
      <c r="D139" s="89"/>
      <c r="E139" s="12">
        <f t="shared" si="159"/>
        <v>0</v>
      </c>
      <c r="F139" s="157"/>
      <c r="G139" s="14" t="str">
        <f t="shared" si="160"/>
        <v>#DIV/0!</v>
      </c>
      <c r="H139" s="89"/>
      <c r="I139" s="137"/>
      <c r="J139" s="89">
        <f t="shared" si="161"/>
        <v>0</v>
      </c>
      <c r="K139" s="89" t="str">
        <f t="shared" si="162"/>
        <v/>
      </c>
      <c r="L139" s="152" t="str">
        <f t="shared" si="163"/>
        <v>#DIV/0!</v>
      </c>
      <c r="M139" s="126"/>
      <c r="N139" s="367">
        <v>5000000.0</v>
      </c>
    </row>
    <row r="140">
      <c r="A140" s="154">
        <v>45745.0</v>
      </c>
      <c r="B140" s="156" t="s">
        <v>54</v>
      </c>
      <c r="C140" s="89"/>
      <c r="D140" s="89"/>
      <c r="E140" s="12">
        <f t="shared" si="159"/>
        <v>0</v>
      </c>
      <c r="F140" s="157"/>
      <c r="G140" s="14" t="str">
        <f t="shared" si="160"/>
        <v>#DIV/0!</v>
      </c>
      <c r="H140" s="89"/>
      <c r="I140" s="137"/>
      <c r="J140" s="89">
        <f t="shared" si="161"/>
        <v>0</v>
      </c>
      <c r="K140" s="89" t="str">
        <f t="shared" si="162"/>
        <v/>
      </c>
      <c r="L140" s="152" t="str">
        <f t="shared" si="163"/>
        <v>#DIV/0!</v>
      </c>
      <c r="M140" s="126"/>
      <c r="N140" s="367">
        <v>5000000.0</v>
      </c>
    </row>
    <row r="141">
      <c r="A141" s="154"/>
      <c r="B141" s="156" t="s">
        <v>54</v>
      </c>
      <c r="C141" s="89"/>
      <c r="D141" s="89"/>
      <c r="E141" s="12">
        <f t="shared" si="159"/>
        <v>0</v>
      </c>
      <c r="F141" s="157"/>
      <c r="G141" s="14" t="str">
        <f t="shared" si="160"/>
        <v>#DIV/0!</v>
      </c>
      <c r="H141" s="89"/>
      <c r="I141" s="137"/>
      <c r="J141" s="89">
        <f t="shared" si="161"/>
        <v>0</v>
      </c>
      <c r="K141" s="89" t="str">
        <f t="shared" si="162"/>
        <v/>
      </c>
      <c r="L141" s="152" t="str">
        <f t="shared" si="163"/>
        <v>#DIV/0!</v>
      </c>
      <c r="M141" s="126"/>
      <c r="N141" s="367">
        <f>F141*M141</f>
        <v>0</v>
      </c>
    </row>
    <row r="142">
      <c r="A142" s="62"/>
      <c r="B142" s="63"/>
      <c r="C142" s="62"/>
      <c r="D142" s="64" t="s">
        <v>19</v>
      </c>
      <c r="E142" s="64">
        <f t="shared" ref="E142:F142" si="164">sum(E134:E141)</f>
        <v>0</v>
      </c>
      <c r="F142" s="64">
        <f t="shared" si="164"/>
        <v>0</v>
      </c>
      <c r="G142" s="65" t="str">
        <f>average(G134:G141)</f>
        <v>#DIV/0!</v>
      </c>
      <c r="H142" s="62"/>
      <c r="I142" s="66"/>
      <c r="J142" s="64">
        <f t="shared" ref="J142:K142" si="165">sum(J134:J141)</f>
        <v>0</v>
      </c>
      <c r="K142" s="64">
        <f t="shared" si="165"/>
        <v>0</v>
      </c>
      <c r="L142" s="65" t="str">
        <f>average(L134:L141)</f>
        <v>#DIV/0!</v>
      </c>
      <c r="M142" s="68"/>
      <c r="N142" s="368">
        <f>sum(N134:N141)</f>
        <v>31000000</v>
      </c>
    </row>
    <row r="143">
      <c r="A143" s="70">
        <v>45719.0</v>
      </c>
      <c r="B143" s="156" t="s">
        <v>69</v>
      </c>
      <c r="C143" s="89"/>
      <c r="D143" s="13"/>
      <c r="E143" s="38">
        <f t="shared" ref="E143:E147" si="166">D143-C143</f>
        <v>0</v>
      </c>
      <c r="F143" s="39"/>
      <c r="G143" s="14" t="str">
        <f t="shared" ref="G143:G147" si="167">(F143/E143)*100</f>
        <v>#DIV/0!</v>
      </c>
      <c r="H143" s="89"/>
      <c r="I143" s="138"/>
      <c r="J143" s="41">
        <f t="shared" ref="J143:J147" si="168">I143-H143</f>
        <v>0</v>
      </c>
      <c r="K143" s="41" t="str">
        <f t="shared" ref="K143:K147" si="169">F143</f>
        <v/>
      </c>
      <c r="L143" s="152" t="str">
        <f t="shared" ref="L143:L147" si="170">(K143/J143)*100</f>
        <v>#DIV/0!</v>
      </c>
      <c r="M143" s="72"/>
      <c r="N143" s="336">
        <v>6476735.0</v>
      </c>
    </row>
    <row r="144">
      <c r="A144" s="154">
        <v>45728.0</v>
      </c>
      <c r="B144" s="156" t="s">
        <v>69</v>
      </c>
      <c r="C144" s="89"/>
      <c r="D144" s="89"/>
      <c r="E144" s="12">
        <f t="shared" si="166"/>
        <v>0</v>
      </c>
      <c r="F144" s="157"/>
      <c r="G144" s="14" t="str">
        <f t="shared" si="167"/>
        <v>#DIV/0!</v>
      </c>
      <c r="H144" s="89"/>
      <c r="I144" s="137"/>
      <c r="J144" s="89">
        <f t="shared" si="168"/>
        <v>0</v>
      </c>
      <c r="K144" s="89" t="str">
        <f t="shared" si="169"/>
        <v/>
      </c>
      <c r="L144" s="152" t="str">
        <f t="shared" si="170"/>
        <v>#DIV/0!</v>
      </c>
      <c r="M144" s="126"/>
      <c r="N144" s="372">
        <v>5370148.0</v>
      </c>
    </row>
    <row r="145">
      <c r="A145" s="154">
        <v>45737.0</v>
      </c>
      <c r="B145" s="156" t="s">
        <v>69</v>
      </c>
      <c r="C145" s="89"/>
      <c r="D145" s="89"/>
      <c r="E145" s="12">
        <f t="shared" si="166"/>
        <v>0</v>
      </c>
      <c r="F145" s="157"/>
      <c r="G145" s="14" t="str">
        <f t="shared" si="167"/>
        <v>#DIV/0!</v>
      </c>
      <c r="H145" s="89"/>
      <c r="I145" s="137"/>
      <c r="J145" s="89">
        <f t="shared" si="168"/>
        <v>0</v>
      </c>
      <c r="K145" s="89" t="str">
        <f t="shared" si="169"/>
        <v/>
      </c>
      <c r="L145" s="152" t="str">
        <f t="shared" si="170"/>
        <v>#DIV/0!</v>
      </c>
      <c r="M145" s="126"/>
      <c r="N145" s="367">
        <v>6030000.0</v>
      </c>
    </row>
    <row r="146">
      <c r="A146" s="154"/>
      <c r="B146" s="156" t="s">
        <v>69</v>
      </c>
      <c r="C146" s="89"/>
      <c r="D146" s="89"/>
      <c r="E146" s="12">
        <f t="shared" si="166"/>
        <v>0</v>
      </c>
      <c r="F146" s="157"/>
      <c r="G146" s="14" t="str">
        <f t="shared" si="167"/>
        <v>#DIV/0!</v>
      </c>
      <c r="H146" s="89"/>
      <c r="I146" s="137"/>
      <c r="J146" s="89">
        <f t="shared" si="168"/>
        <v>0</v>
      </c>
      <c r="K146" s="89" t="str">
        <f t="shared" si="169"/>
        <v/>
      </c>
      <c r="L146" s="152" t="str">
        <f t="shared" si="170"/>
        <v>#DIV/0!</v>
      </c>
      <c r="M146" s="126"/>
      <c r="N146" s="367">
        <f t="shared" ref="N146:N147" si="171">F146*M146</f>
        <v>0</v>
      </c>
    </row>
    <row r="147">
      <c r="A147" s="154"/>
      <c r="B147" s="156"/>
      <c r="C147" s="89"/>
      <c r="D147" s="89"/>
      <c r="E147" s="12">
        <f t="shared" si="166"/>
        <v>0</v>
      </c>
      <c r="F147" s="157"/>
      <c r="G147" s="14" t="str">
        <f t="shared" si="167"/>
        <v>#DIV/0!</v>
      </c>
      <c r="H147" s="89"/>
      <c r="I147" s="137"/>
      <c r="J147" s="89">
        <f t="shared" si="168"/>
        <v>0</v>
      </c>
      <c r="K147" s="89" t="str">
        <f t="shared" si="169"/>
        <v/>
      </c>
      <c r="L147" s="152" t="str">
        <f t="shared" si="170"/>
        <v>#DIV/0!</v>
      </c>
      <c r="M147" s="126"/>
      <c r="N147" s="367">
        <f t="shared" si="171"/>
        <v>0</v>
      </c>
    </row>
    <row r="148">
      <c r="A148" s="62"/>
      <c r="B148" s="63"/>
      <c r="C148" s="62"/>
      <c r="D148" s="64" t="s">
        <v>19</v>
      </c>
      <c r="E148" s="64">
        <f t="shared" ref="E148:F148" si="172">sum(E143:E147)</f>
        <v>0</v>
      </c>
      <c r="F148" s="64">
        <f t="shared" si="172"/>
        <v>0</v>
      </c>
      <c r="G148" s="65" t="str">
        <f>average(G143:G147)</f>
        <v>#DIV/0!</v>
      </c>
      <c r="H148" s="62"/>
      <c r="I148" s="66"/>
      <c r="J148" s="64">
        <f t="shared" ref="J148:K148" si="173">sum(J143:J147)</f>
        <v>0</v>
      </c>
      <c r="K148" s="64">
        <f t="shared" si="173"/>
        <v>0</v>
      </c>
      <c r="L148" s="65" t="str">
        <f>average(L143:L147)</f>
        <v>#DIV/0!</v>
      </c>
      <c r="M148" s="68"/>
      <c r="N148" s="368">
        <f>sum(N143:N147)</f>
        <v>17876883</v>
      </c>
    </row>
    <row r="149">
      <c r="A149" s="198" t="s">
        <v>64</v>
      </c>
      <c r="B149" s="199"/>
      <c r="C149" s="199"/>
      <c r="D149" s="199"/>
      <c r="E149" s="199"/>
      <c r="F149" s="199"/>
      <c r="G149" s="199"/>
      <c r="H149" s="199"/>
      <c r="I149" s="199"/>
      <c r="J149" s="199"/>
      <c r="K149" s="199"/>
      <c r="L149" s="200"/>
      <c r="M149" s="68"/>
      <c r="N149" s="368">
        <f>SUM(N98:N148)/2</f>
        <v>93326883</v>
      </c>
    </row>
    <row r="150">
      <c r="G150" s="168"/>
      <c r="L150" s="168"/>
      <c r="N150" s="197">
        <v>9.3327907E7</v>
      </c>
    </row>
    <row r="151">
      <c r="G151" s="168"/>
      <c r="L151" s="168"/>
    </row>
    <row r="152">
      <c r="G152" s="168"/>
      <c r="L152" s="168"/>
    </row>
    <row r="153">
      <c r="G153" s="168"/>
      <c r="L153" s="168"/>
    </row>
    <row r="154">
      <c r="G154" s="168"/>
      <c r="L154" s="168"/>
    </row>
    <row r="155">
      <c r="G155" s="168"/>
      <c r="L155" s="168"/>
    </row>
    <row r="156">
      <c r="G156" s="168"/>
      <c r="L156" s="168"/>
    </row>
    <row r="157">
      <c r="G157" s="168"/>
      <c r="L157" s="168"/>
    </row>
    <row r="158">
      <c r="G158" s="168"/>
      <c r="L158" s="168"/>
    </row>
    <row r="159">
      <c r="G159" s="168"/>
      <c r="L159" s="168"/>
    </row>
    <row r="160">
      <c r="G160" s="168"/>
      <c r="L160" s="168"/>
    </row>
    <row r="161">
      <c r="G161" s="168"/>
      <c r="L161" s="168"/>
    </row>
    <row r="162">
      <c r="G162" s="168"/>
      <c r="L162" s="168"/>
    </row>
    <row r="163">
      <c r="G163" s="168"/>
      <c r="L163" s="168"/>
    </row>
    <row r="164">
      <c r="G164" s="168"/>
      <c r="L164" s="168"/>
    </row>
    <row r="165">
      <c r="G165" s="168"/>
      <c r="L165" s="168"/>
    </row>
    <row r="166">
      <c r="G166" s="168"/>
      <c r="L166" s="168"/>
    </row>
    <row r="167">
      <c r="G167" s="168"/>
      <c r="L167" s="168"/>
    </row>
    <row r="168">
      <c r="G168" s="168"/>
      <c r="L168" s="168"/>
    </row>
    <row r="169">
      <c r="G169" s="168"/>
      <c r="L169" s="168"/>
    </row>
    <row r="170">
      <c r="G170" s="168"/>
      <c r="L170" s="168"/>
    </row>
    <row r="171">
      <c r="G171" s="168"/>
      <c r="L171" s="168"/>
    </row>
    <row r="172">
      <c r="G172" s="168"/>
      <c r="L172" s="168"/>
    </row>
    <row r="173">
      <c r="G173" s="168"/>
      <c r="L173" s="168"/>
    </row>
    <row r="174">
      <c r="G174" s="168"/>
      <c r="L174" s="168"/>
    </row>
    <row r="175">
      <c r="G175" s="168"/>
      <c r="L175" s="168"/>
    </row>
    <row r="176">
      <c r="G176" s="168"/>
      <c r="L176" s="168"/>
    </row>
    <row r="177">
      <c r="G177" s="168"/>
      <c r="L177" s="168"/>
    </row>
    <row r="178">
      <c r="G178" s="168"/>
      <c r="L178" s="168"/>
    </row>
    <row r="179">
      <c r="G179" s="168"/>
      <c r="L179" s="168"/>
    </row>
    <row r="180">
      <c r="G180" s="168"/>
      <c r="L180" s="168"/>
    </row>
    <row r="181">
      <c r="G181" s="168"/>
      <c r="L181" s="168"/>
    </row>
    <row r="182">
      <c r="G182" s="168"/>
      <c r="L182" s="168"/>
    </row>
    <row r="183">
      <c r="G183" s="168"/>
      <c r="L183" s="168"/>
    </row>
    <row r="184">
      <c r="G184" s="168"/>
      <c r="L184" s="168"/>
    </row>
    <row r="185">
      <c r="G185" s="168"/>
      <c r="L185" s="168"/>
    </row>
    <row r="186">
      <c r="G186" s="168"/>
      <c r="L186" s="168"/>
    </row>
    <row r="187">
      <c r="G187" s="168"/>
      <c r="L187" s="168"/>
    </row>
    <row r="188">
      <c r="G188" s="168"/>
      <c r="L188" s="168"/>
    </row>
    <row r="189">
      <c r="G189" s="168"/>
      <c r="L189" s="168"/>
    </row>
    <row r="190">
      <c r="G190" s="168"/>
      <c r="L190" s="168"/>
    </row>
    <row r="191">
      <c r="G191" s="168"/>
      <c r="L191" s="168"/>
    </row>
    <row r="192">
      <c r="G192" s="168"/>
      <c r="L192" s="168"/>
    </row>
    <row r="193">
      <c r="G193" s="168"/>
      <c r="L193" s="168"/>
    </row>
    <row r="194">
      <c r="G194" s="168"/>
      <c r="L194" s="168"/>
    </row>
    <row r="195">
      <c r="G195" s="168"/>
      <c r="L195" s="168"/>
    </row>
    <row r="196">
      <c r="G196" s="168"/>
      <c r="L196" s="168"/>
    </row>
    <row r="197">
      <c r="G197" s="168"/>
      <c r="L197" s="168"/>
    </row>
    <row r="198">
      <c r="G198" s="168"/>
      <c r="L198" s="168"/>
    </row>
    <row r="199">
      <c r="G199" s="168"/>
      <c r="L199" s="168"/>
    </row>
    <row r="200">
      <c r="G200" s="168"/>
      <c r="L200" s="168"/>
    </row>
    <row r="201">
      <c r="G201" s="168"/>
      <c r="L201" s="168"/>
    </row>
    <row r="202">
      <c r="G202" s="168"/>
      <c r="L202" s="168"/>
    </row>
    <row r="203">
      <c r="G203" s="168"/>
      <c r="L203" s="168"/>
    </row>
    <row r="204">
      <c r="G204" s="168"/>
      <c r="L204" s="168"/>
    </row>
    <row r="205">
      <c r="G205" s="168"/>
      <c r="L205" s="168"/>
    </row>
    <row r="206">
      <c r="G206" s="168"/>
      <c r="L206" s="168"/>
    </row>
    <row r="207">
      <c r="G207" s="168"/>
      <c r="L207" s="168"/>
    </row>
    <row r="208">
      <c r="G208" s="168"/>
      <c r="L208" s="168"/>
    </row>
    <row r="209">
      <c r="G209" s="168"/>
      <c r="L209" s="168"/>
    </row>
    <row r="210">
      <c r="G210" s="168"/>
      <c r="L210" s="168"/>
    </row>
    <row r="211">
      <c r="G211" s="168"/>
      <c r="L211" s="168"/>
    </row>
    <row r="212">
      <c r="G212" s="168"/>
      <c r="L212" s="168"/>
    </row>
    <row r="213">
      <c r="G213" s="168"/>
      <c r="L213" s="168"/>
    </row>
    <row r="214">
      <c r="G214" s="168"/>
      <c r="L214" s="168"/>
    </row>
    <row r="215">
      <c r="G215" s="168"/>
      <c r="L215" s="168"/>
    </row>
    <row r="216">
      <c r="G216" s="168"/>
      <c r="L216" s="168"/>
    </row>
    <row r="217">
      <c r="G217" s="168"/>
      <c r="L217" s="168"/>
    </row>
    <row r="218">
      <c r="G218" s="168"/>
      <c r="L218" s="168"/>
    </row>
    <row r="219">
      <c r="G219" s="168"/>
      <c r="L219" s="168"/>
    </row>
    <row r="220">
      <c r="G220" s="168"/>
      <c r="L220" s="168"/>
    </row>
    <row r="221">
      <c r="G221" s="168"/>
      <c r="L221" s="168"/>
    </row>
    <row r="222">
      <c r="G222" s="168"/>
      <c r="L222" s="168"/>
    </row>
    <row r="223">
      <c r="G223" s="168"/>
      <c r="L223" s="168"/>
    </row>
    <row r="224">
      <c r="G224" s="168"/>
      <c r="L224" s="168"/>
    </row>
    <row r="225">
      <c r="G225" s="168"/>
      <c r="L225" s="168"/>
    </row>
    <row r="226">
      <c r="G226" s="168"/>
      <c r="L226" s="168"/>
    </row>
    <row r="227">
      <c r="G227" s="168"/>
      <c r="L227" s="168"/>
    </row>
    <row r="228">
      <c r="G228" s="168"/>
      <c r="L228" s="168"/>
    </row>
    <row r="229">
      <c r="G229" s="168"/>
      <c r="L229" s="168"/>
    </row>
    <row r="230">
      <c r="G230" s="168"/>
      <c r="L230" s="168"/>
    </row>
    <row r="231">
      <c r="G231" s="168"/>
      <c r="L231" s="168"/>
    </row>
    <row r="232">
      <c r="G232" s="168"/>
      <c r="L232" s="168"/>
    </row>
    <row r="233">
      <c r="G233" s="168"/>
      <c r="L233" s="168"/>
    </row>
    <row r="234">
      <c r="G234" s="168"/>
      <c r="L234" s="168"/>
    </row>
    <row r="235">
      <c r="G235" s="168"/>
      <c r="L235" s="168"/>
    </row>
    <row r="236">
      <c r="G236" s="168"/>
      <c r="L236" s="168"/>
    </row>
    <row r="237">
      <c r="G237" s="168"/>
      <c r="L237" s="168"/>
    </row>
    <row r="238">
      <c r="G238" s="168"/>
      <c r="L238" s="168"/>
    </row>
    <row r="239">
      <c r="G239" s="168"/>
      <c r="L239" s="168"/>
    </row>
    <row r="240">
      <c r="G240" s="168"/>
      <c r="L240" s="168"/>
    </row>
    <row r="241">
      <c r="G241" s="168"/>
      <c r="L241" s="168"/>
    </row>
    <row r="242">
      <c r="G242" s="168"/>
      <c r="L242" s="168"/>
    </row>
    <row r="243">
      <c r="G243" s="168"/>
      <c r="L243" s="168"/>
    </row>
    <row r="244">
      <c r="G244" s="168"/>
      <c r="L244" s="168"/>
    </row>
    <row r="245">
      <c r="G245" s="168"/>
      <c r="L245" s="168"/>
    </row>
    <row r="246">
      <c r="G246" s="168"/>
      <c r="L246" s="168"/>
    </row>
    <row r="247">
      <c r="G247" s="168"/>
      <c r="L247" s="168"/>
    </row>
    <row r="248">
      <c r="G248" s="168"/>
      <c r="L248" s="168"/>
    </row>
    <row r="249">
      <c r="G249" s="168"/>
      <c r="L249" s="168"/>
    </row>
    <row r="250">
      <c r="G250" s="168"/>
      <c r="L250" s="168"/>
    </row>
    <row r="251">
      <c r="G251" s="168"/>
      <c r="L251" s="168"/>
    </row>
    <row r="252">
      <c r="G252" s="168"/>
      <c r="L252" s="168"/>
    </row>
    <row r="253">
      <c r="G253" s="168"/>
      <c r="L253" s="168"/>
    </row>
    <row r="254">
      <c r="G254" s="168"/>
      <c r="L254" s="168"/>
    </row>
    <row r="255">
      <c r="G255" s="168"/>
      <c r="L255" s="168"/>
    </row>
    <row r="256">
      <c r="G256" s="168"/>
      <c r="L256" s="168"/>
    </row>
    <row r="257">
      <c r="G257" s="168"/>
      <c r="L257" s="168"/>
    </row>
    <row r="258">
      <c r="G258" s="168"/>
      <c r="L258" s="168"/>
    </row>
    <row r="259">
      <c r="G259" s="168"/>
      <c r="L259" s="168"/>
    </row>
    <row r="260">
      <c r="G260" s="168"/>
      <c r="L260" s="168"/>
    </row>
    <row r="261">
      <c r="G261" s="168"/>
      <c r="L261" s="168"/>
    </row>
    <row r="262">
      <c r="G262" s="168"/>
      <c r="L262" s="168"/>
    </row>
    <row r="263">
      <c r="G263" s="168"/>
      <c r="L263" s="168"/>
    </row>
    <row r="264">
      <c r="G264" s="168"/>
      <c r="L264" s="168"/>
    </row>
    <row r="265">
      <c r="G265" s="168"/>
      <c r="L265" s="168"/>
    </row>
    <row r="266">
      <c r="G266" s="168"/>
      <c r="L266" s="168"/>
    </row>
    <row r="267">
      <c r="G267" s="168"/>
      <c r="L267" s="168"/>
    </row>
    <row r="268">
      <c r="G268" s="168"/>
      <c r="L268" s="168"/>
    </row>
    <row r="269">
      <c r="G269" s="168"/>
      <c r="L269" s="168"/>
    </row>
    <row r="270">
      <c r="G270" s="168"/>
      <c r="L270" s="168"/>
    </row>
    <row r="271">
      <c r="G271" s="168"/>
      <c r="L271" s="168"/>
    </row>
    <row r="272">
      <c r="G272" s="168"/>
      <c r="L272" s="168"/>
    </row>
    <row r="273">
      <c r="G273" s="168"/>
      <c r="L273" s="168"/>
    </row>
    <row r="274">
      <c r="G274" s="168"/>
      <c r="L274" s="168"/>
    </row>
    <row r="275">
      <c r="G275" s="168"/>
      <c r="L275" s="168"/>
    </row>
    <row r="276">
      <c r="G276" s="168"/>
      <c r="L276" s="168"/>
    </row>
    <row r="277">
      <c r="G277" s="168"/>
      <c r="L277" s="168"/>
    </row>
    <row r="278">
      <c r="G278" s="168"/>
      <c r="L278" s="168"/>
    </row>
    <row r="279">
      <c r="G279" s="168"/>
      <c r="L279" s="168"/>
    </row>
    <row r="280">
      <c r="G280" s="168"/>
      <c r="L280" s="168"/>
    </row>
    <row r="281">
      <c r="G281" s="168"/>
      <c r="L281" s="168"/>
    </row>
    <row r="282">
      <c r="G282" s="168"/>
      <c r="L282" s="168"/>
    </row>
    <row r="283">
      <c r="G283" s="168"/>
      <c r="L283" s="168"/>
    </row>
    <row r="284">
      <c r="G284" s="168"/>
      <c r="L284" s="168"/>
    </row>
    <row r="285">
      <c r="G285" s="168"/>
      <c r="L285" s="168"/>
    </row>
    <row r="286">
      <c r="G286" s="168"/>
      <c r="L286" s="168"/>
    </row>
    <row r="287">
      <c r="G287" s="168"/>
      <c r="L287" s="168"/>
    </row>
    <row r="288">
      <c r="G288" s="168"/>
      <c r="L288" s="168"/>
    </row>
    <row r="289">
      <c r="G289" s="168"/>
      <c r="L289" s="168"/>
    </row>
    <row r="290">
      <c r="G290" s="168"/>
      <c r="L290" s="168"/>
    </row>
    <row r="291">
      <c r="G291" s="168"/>
      <c r="L291" s="168"/>
    </row>
    <row r="292">
      <c r="G292" s="168"/>
      <c r="L292" s="168"/>
    </row>
    <row r="293">
      <c r="G293" s="168"/>
      <c r="L293" s="168"/>
    </row>
    <row r="294">
      <c r="G294" s="168"/>
      <c r="L294" s="168"/>
    </row>
    <row r="295">
      <c r="G295" s="168"/>
      <c r="L295" s="168"/>
    </row>
    <row r="296">
      <c r="G296" s="168"/>
      <c r="L296" s="168"/>
    </row>
    <row r="297">
      <c r="G297" s="168"/>
      <c r="L297" s="168"/>
    </row>
    <row r="298">
      <c r="G298" s="168"/>
      <c r="L298" s="168"/>
    </row>
    <row r="299">
      <c r="G299" s="168"/>
      <c r="L299" s="168"/>
    </row>
    <row r="300">
      <c r="G300" s="168"/>
      <c r="L300" s="168"/>
    </row>
    <row r="301">
      <c r="G301" s="168"/>
      <c r="L301" s="168"/>
    </row>
    <row r="302">
      <c r="G302" s="168"/>
      <c r="L302" s="168"/>
    </row>
    <row r="303">
      <c r="G303" s="168"/>
      <c r="L303" s="168"/>
    </row>
    <row r="304">
      <c r="G304" s="168"/>
      <c r="L304" s="168"/>
    </row>
    <row r="305">
      <c r="G305" s="168"/>
      <c r="L305" s="168"/>
    </row>
    <row r="306">
      <c r="G306" s="168"/>
      <c r="L306" s="168"/>
    </row>
    <row r="307">
      <c r="G307" s="168"/>
      <c r="L307" s="168"/>
    </row>
    <row r="308">
      <c r="G308" s="168"/>
      <c r="L308" s="168"/>
    </row>
    <row r="309">
      <c r="G309" s="168"/>
      <c r="L309" s="168"/>
    </row>
    <row r="310">
      <c r="G310" s="168"/>
      <c r="L310" s="168"/>
    </row>
    <row r="311">
      <c r="G311" s="168"/>
      <c r="L311" s="168"/>
    </row>
    <row r="312">
      <c r="G312" s="168"/>
      <c r="L312" s="168"/>
    </row>
    <row r="313">
      <c r="G313" s="168"/>
      <c r="L313" s="168"/>
    </row>
    <row r="314">
      <c r="G314" s="168"/>
      <c r="L314" s="168"/>
    </row>
    <row r="315">
      <c r="G315" s="168"/>
      <c r="L315" s="168"/>
    </row>
    <row r="316">
      <c r="G316" s="168"/>
      <c r="L316" s="168"/>
    </row>
    <row r="317">
      <c r="G317" s="168"/>
      <c r="L317" s="168"/>
    </row>
    <row r="318">
      <c r="G318" s="168"/>
      <c r="L318" s="168"/>
    </row>
    <row r="319">
      <c r="G319" s="168"/>
      <c r="L319" s="168"/>
    </row>
    <row r="320">
      <c r="G320" s="168"/>
      <c r="L320" s="168"/>
    </row>
    <row r="321">
      <c r="G321" s="168"/>
      <c r="L321" s="168"/>
    </row>
    <row r="322">
      <c r="G322" s="168"/>
      <c r="L322" s="168"/>
    </row>
    <row r="323">
      <c r="G323" s="168"/>
      <c r="L323" s="168"/>
    </row>
    <row r="324">
      <c r="G324" s="168"/>
      <c r="L324" s="168"/>
    </row>
    <row r="325">
      <c r="G325" s="168"/>
      <c r="L325" s="168"/>
    </row>
    <row r="326">
      <c r="G326" s="168"/>
      <c r="L326" s="168"/>
    </row>
    <row r="327">
      <c r="G327" s="168"/>
      <c r="L327" s="168"/>
    </row>
    <row r="328">
      <c r="G328" s="168"/>
      <c r="L328" s="168"/>
    </row>
    <row r="329">
      <c r="G329" s="168"/>
      <c r="L329" s="168"/>
    </row>
    <row r="330">
      <c r="G330" s="168"/>
      <c r="L330" s="168"/>
    </row>
    <row r="331">
      <c r="G331" s="168"/>
      <c r="L331" s="168"/>
    </row>
    <row r="332">
      <c r="G332" s="168"/>
      <c r="L332" s="168"/>
    </row>
    <row r="333">
      <c r="G333" s="168"/>
      <c r="L333" s="168"/>
    </row>
    <row r="334">
      <c r="G334" s="168"/>
      <c r="L334" s="168"/>
    </row>
    <row r="335">
      <c r="G335" s="168"/>
      <c r="L335" s="168"/>
    </row>
    <row r="336">
      <c r="G336" s="168"/>
      <c r="L336" s="168"/>
    </row>
    <row r="337">
      <c r="G337" s="168"/>
      <c r="L337" s="168"/>
    </row>
    <row r="338">
      <c r="G338" s="168"/>
      <c r="L338" s="168"/>
    </row>
    <row r="339">
      <c r="G339" s="168"/>
      <c r="L339" s="168"/>
    </row>
    <row r="340">
      <c r="G340" s="168"/>
      <c r="L340" s="168"/>
    </row>
    <row r="341">
      <c r="G341" s="168"/>
      <c r="L341" s="168"/>
    </row>
    <row r="342">
      <c r="G342" s="168"/>
      <c r="L342" s="168"/>
    </row>
    <row r="343">
      <c r="G343" s="168"/>
      <c r="L343" s="168"/>
    </row>
    <row r="344">
      <c r="G344" s="168"/>
      <c r="L344" s="168"/>
    </row>
    <row r="345">
      <c r="G345" s="168"/>
      <c r="L345" s="168"/>
    </row>
    <row r="346">
      <c r="G346" s="168"/>
      <c r="L346" s="168"/>
    </row>
    <row r="347">
      <c r="G347" s="168"/>
      <c r="L347" s="168"/>
    </row>
    <row r="348">
      <c r="G348" s="168"/>
      <c r="L348" s="168"/>
    </row>
    <row r="349">
      <c r="G349" s="168"/>
      <c r="L349" s="168"/>
    </row>
    <row r="350">
      <c r="G350" s="168"/>
      <c r="L350" s="168"/>
    </row>
    <row r="351">
      <c r="G351" s="168"/>
      <c r="L351" s="168"/>
    </row>
    <row r="352">
      <c r="G352" s="168"/>
      <c r="L352" s="168"/>
    </row>
    <row r="353">
      <c r="G353" s="168"/>
      <c r="L353" s="168"/>
    </row>
    <row r="354">
      <c r="G354" s="168"/>
      <c r="L354" s="168"/>
    </row>
    <row r="355">
      <c r="G355" s="168"/>
      <c r="L355" s="168"/>
    </row>
    <row r="356">
      <c r="G356" s="168"/>
      <c r="L356" s="168"/>
    </row>
    <row r="357">
      <c r="G357" s="168"/>
      <c r="L357" s="168"/>
    </row>
    <row r="358">
      <c r="G358" s="168"/>
      <c r="L358" s="168"/>
    </row>
    <row r="359">
      <c r="G359" s="168"/>
      <c r="L359" s="168"/>
    </row>
    <row r="360">
      <c r="G360" s="168"/>
      <c r="L360" s="168"/>
    </row>
    <row r="361">
      <c r="G361" s="168"/>
      <c r="L361" s="168"/>
    </row>
    <row r="362">
      <c r="G362" s="168"/>
      <c r="L362" s="168"/>
    </row>
    <row r="363">
      <c r="G363" s="168"/>
      <c r="L363" s="168"/>
    </row>
    <row r="364">
      <c r="G364" s="168"/>
      <c r="L364" s="168"/>
    </row>
    <row r="365">
      <c r="G365" s="168"/>
      <c r="L365" s="168"/>
    </row>
    <row r="366">
      <c r="G366" s="168"/>
      <c r="L366" s="168"/>
    </row>
    <row r="367">
      <c r="G367" s="168"/>
      <c r="L367" s="168"/>
    </row>
    <row r="368">
      <c r="G368" s="168"/>
      <c r="L368" s="168"/>
    </row>
    <row r="369">
      <c r="G369" s="168"/>
      <c r="L369" s="168"/>
    </row>
    <row r="370">
      <c r="G370" s="168"/>
      <c r="L370" s="168"/>
    </row>
    <row r="371">
      <c r="G371" s="168"/>
      <c r="L371" s="168"/>
    </row>
    <row r="372">
      <c r="G372" s="168"/>
      <c r="L372" s="168"/>
    </row>
    <row r="373">
      <c r="G373" s="168"/>
      <c r="L373" s="168"/>
    </row>
    <row r="374">
      <c r="G374" s="168"/>
      <c r="L374" s="168"/>
    </row>
    <row r="375">
      <c r="G375" s="168"/>
      <c r="L375" s="168"/>
    </row>
    <row r="376">
      <c r="G376" s="168"/>
      <c r="L376" s="168"/>
    </row>
    <row r="377">
      <c r="G377" s="168"/>
      <c r="L377" s="168"/>
    </row>
    <row r="378">
      <c r="G378" s="168"/>
      <c r="L378" s="168"/>
    </row>
    <row r="379">
      <c r="G379" s="168"/>
      <c r="L379" s="168"/>
    </row>
    <row r="380">
      <c r="G380" s="168"/>
      <c r="L380" s="168"/>
    </row>
    <row r="381">
      <c r="G381" s="168"/>
      <c r="L381" s="168"/>
    </row>
    <row r="382">
      <c r="G382" s="168"/>
      <c r="L382" s="168"/>
    </row>
    <row r="383">
      <c r="G383" s="168"/>
      <c r="L383" s="168"/>
    </row>
    <row r="384">
      <c r="G384" s="168"/>
      <c r="L384" s="168"/>
    </row>
    <row r="385">
      <c r="G385" s="168"/>
      <c r="L385" s="168"/>
    </row>
    <row r="386">
      <c r="G386" s="168"/>
      <c r="L386" s="168"/>
    </row>
    <row r="387">
      <c r="G387" s="168"/>
      <c r="L387" s="168"/>
    </row>
    <row r="388">
      <c r="G388" s="168"/>
      <c r="L388" s="168"/>
    </row>
    <row r="389">
      <c r="G389" s="168"/>
      <c r="L389" s="168"/>
    </row>
    <row r="390">
      <c r="G390" s="168"/>
      <c r="L390" s="168"/>
    </row>
    <row r="391">
      <c r="G391" s="168"/>
      <c r="L391" s="168"/>
    </row>
    <row r="392">
      <c r="G392" s="168"/>
      <c r="L392" s="168"/>
    </row>
    <row r="393">
      <c r="G393" s="168"/>
      <c r="L393" s="168"/>
    </row>
    <row r="394">
      <c r="G394" s="168"/>
      <c r="L394" s="168"/>
    </row>
    <row r="395">
      <c r="G395" s="168"/>
      <c r="L395" s="168"/>
    </row>
    <row r="396">
      <c r="G396" s="168"/>
      <c r="L396" s="168"/>
    </row>
    <row r="397">
      <c r="G397" s="168"/>
      <c r="L397" s="168"/>
    </row>
    <row r="398">
      <c r="G398" s="168"/>
      <c r="L398" s="168"/>
    </row>
    <row r="399">
      <c r="G399" s="168"/>
      <c r="L399" s="168"/>
    </row>
    <row r="400">
      <c r="G400" s="168"/>
      <c r="L400" s="168"/>
    </row>
    <row r="401">
      <c r="G401" s="168"/>
      <c r="L401" s="168"/>
    </row>
    <row r="402">
      <c r="G402" s="168"/>
      <c r="L402" s="168"/>
    </row>
    <row r="403">
      <c r="G403" s="168"/>
      <c r="L403" s="168"/>
    </row>
    <row r="404">
      <c r="G404" s="168"/>
      <c r="L404" s="168"/>
    </row>
    <row r="405">
      <c r="G405" s="168"/>
      <c r="L405" s="168"/>
    </row>
    <row r="406">
      <c r="G406" s="168"/>
      <c r="L406" s="168"/>
    </row>
    <row r="407">
      <c r="G407" s="168"/>
      <c r="L407" s="168"/>
    </row>
    <row r="408">
      <c r="G408" s="168"/>
      <c r="L408" s="168"/>
    </row>
    <row r="409">
      <c r="G409" s="168"/>
      <c r="L409" s="168"/>
    </row>
    <row r="410">
      <c r="G410" s="168"/>
      <c r="L410" s="168"/>
    </row>
    <row r="411">
      <c r="G411" s="168"/>
      <c r="L411" s="168"/>
    </row>
    <row r="412">
      <c r="G412" s="168"/>
      <c r="L412" s="168"/>
    </row>
    <row r="413">
      <c r="G413" s="168"/>
      <c r="L413" s="168"/>
    </row>
    <row r="414">
      <c r="G414" s="168"/>
      <c r="L414" s="168"/>
    </row>
    <row r="415">
      <c r="G415" s="168"/>
      <c r="L415" s="168"/>
    </row>
    <row r="416">
      <c r="G416" s="168"/>
      <c r="L416" s="168"/>
    </row>
    <row r="417">
      <c r="G417" s="168"/>
      <c r="L417" s="168"/>
    </row>
    <row r="418">
      <c r="G418" s="168"/>
      <c r="L418" s="168"/>
    </row>
    <row r="419">
      <c r="G419" s="168"/>
      <c r="L419" s="168"/>
    </row>
    <row r="420">
      <c r="G420" s="168"/>
      <c r="L420" s="168"/>
    </row>
    <row r="421">
      <c r="G421" s="168"/>
      <c r="L421" s="168"/>
    </row>
    <row r="422">
      <c r="G422" s="168"/>
      <c r="L422" s="168"/>
    </row>
    <row r="423">
      <c r="G423" s="168"/>
      <c r="L423" s="168"/>
    </row>
    <row r="424">
      <c r="G424" s="168"/>
      <c r="L424" s="168"/>
    </row>
    <row r="425">
      <c r="G425" s="168"/>
      <c r="L425" s="168"/>
    </row>
    <row r="426">
      <c r="G426" s="168"/>
      <c r="L426" s="168"/>
    </row>
    <row r="427">
      <c r="G427" s="168"/>
      <c r="L427" s="168"/>
    </row>
    <row r="428">
      <c r="G428" s="168"/>
      <c r="L428" s="168"/>
    </row>
    <row r="429">
      <c r="G429" s="168"/>
      <c r="L429" s="168"/>
    </row>
    <row r="430">
      <c r="G430" s="168"/>
      <c r="L430" s="168"/>
    </row>
    <row r="431">
      <c r="G431" s="168"/>
      <c r="L431" s="168"/>
    </row>
    <row r="432">
      <c r="G432" s="168"/>
      <c r="L432" s="168"/>
    </row>
    <row r="433">
      <c r="G433" s="168"/>
      <c r="L433" s="168"/>
    </row>
    <row r="434">
      <c r="G434" s="168"/>
      <c r="L434" s="168"/>
    </row>
    <row r="435">
      <c r="G435" s="168"/>
      <c r="L435" s="168"/>
    </row>
    <row r="436">
      <c r="G436" s="168"/>
      <c r="L436" s="168"/>
    </row>
    <row r="437">
      <c r="G437" s="168"/>
      <c r="L437" s="168"/>
    </row>
    <row r="438">
      <c r="G438" s="168"/>
      <c r="L438" s="168"/>
    </row>
    <row r="439">
      <c r="G439" s="168"/>
      <c r="L439" s="168"/>
    </row>
    <row r="440">
      <c r="G440" s="168"/>
      <c r="L440" s="168"/>
    </row>
    <row r="441">
      <c r="G441" s="168"/>
      <c r="L441" s="168"/>
    </row>
    <row r="442">
      <c r="G442" s="168"/>
      <c r="L442" s="168"/>
    </row>
    <row r="443">
      <c r="G443" s="168"/>
      <c r="L443" s="168"/>
    </row>
    <row r="444">
      <c r="G444" s="168"/>
      <c r="L444" s="168"/>
    </row>
    <row r="445">
      <c r="G445" s="168"/>
      <c r="L445" s="168"/>
    </row>
    <row r="446">
      <c r="G446" s="168"/>
      <c r="L446" s="168"/>
    </row>
    <row r="447">
      <c r="G447" s="168"/>
      <c r="L447" s="168"/>
    </row>
    <row r="448">
      <c r="G448" s="168"/>
      <c r="L448" s="168"/>
    </row>
    <row r="449">
      <c r="G449" s="168"/>
      <c r="L449" s="168"/>
    </row>
    <row r="450">
      <c r="G450" s="168"/>
      <c r="L450" s="168"/>
    </row>
    <row r="451">
      <c r="G451" s="168"/>
      <c r="L451" s="168"/>
    </row>
    <row r="452">
      <c r="G452" s="168"/>
      <c r="L452" s="168"/>
    </row>
    <row r="453">
      <c r="G453" s="168"/>
      <c r="L453" s="168"/>
    </row>
    <row r="454">
      <c r="G454" s="168"/>
      <c r="L454" s="168"/>
    </row>
    <row r="455">
      <c r="G455" s="168"/>
      <c r="L455" s="168"/>
    </row>
    <row r="456">
      <c r="G456" s="168"/>
      <c r="L456" s="168"/>
    </row>
    <row r="457">
      <c r="G457" s="168"/>
      <c r="L457" s="168"/>
    </row>
    <row r="458">
      <c r="G458" s="168"/>
      <c r="L458" s="168"/>
    </row>
    <row r="459">
      <c r="G459" s="168"/>
      <c r="L459" s="168"/>
    </row>
    <row r="460">
      <c r="G460" s="168"/>
      <c r="L460" s="168"/>
    </row>
    <row r="461">
      <c r="G461" s="168"/>
      <c r="L461" s="168"/>
    </row>
    <row r="462">
      <c r="G462" s="168"/>
      <c r="L462" s="168"/>
    </row>
    <row r="463">
      <c r="G463" s="168"/>
      <c r="L463" s="168"/>
    </row>
    <row r="464">
      <c r="G464" s="168"/>
      <c r="L464" s="168"/>
    </row>
    <row r="465">
      <c r="G465" s="168"/>
      <c r="L465" s="168"/>
    </row>
    <row r="466">
      <c r="G466" s="168"/>
      <c r="L466" s="168"/>
    </row>
    <row r="467">
      <c r="G467" s="168"/>
      <c r="L467" s="168"/>
    </row>
    <row r="468">
      <c r="G468" s="168"/>
      <c r="L468" s="168"/>
    </row>
    <row r="469">
      <c r="G469" s="168"/>
      <c r="L469" s="168"/>
    </row>
    <row r="470">
      <c r="G470" s="168"/>
      <c r="L470" s="168"/>
    </row>
    <row r="471">
      <c r="G471" s="168"/>
      <c r="L471" s="168"/>
    </row>
    <row r="472">
      <c r="G472" s="168"/>
      <c r="L472" s="168"/>
    </row>
    <row r="473">
      <c r="G473" s="168"/>
      <c r="L473" s="168"/>
    </row>
    <row r="474">
      <c r="G474" s="168"/>
      <c r="L474" s="168"/>
    </row>
    <row r="475">
      <c r="G475" s="168"/>
      <c r="L475" s="168"/>
    </row>
    <row r="476">
      <c r="G476" s="168"/>
      <c r="L476" s="168"/>
    </row>
    <row r="477">
      <c r="G477" s="168"/>
      <c r="L477" s="168"/>
    </row>
    <row r="478">
      <c r="G478" s="168"/>
      <c r="L478" s="168"/>
    </row>
    <row r="479">
      <c r="G479" s="168"/>
      <c r="L479" s="168"/>
    </row>
    <row r="480">
      <c r="G480" s="168"/>
      <c r="L480" s="168"/>
    </row>
    <row r="481">
      <c r="G481" s="168"/>
      <c r="L481" s="168"/>
    </row>
    <row r="482">
      <c r="G482" s="168"/>
      <c r="L482" s="168"/>
    </row>
    <row r="483">
      <c r="G483" s="168"/>
      <c r="L483" s="168"/>
    </row>
    <row r="484">
      <c r="G484" s="168"/>
      <c r="L484" s="168"/>
    </row>
    <row r="485">
      <c r="G485" s="168"/>
      <c r="L485" s="168"/>
    </row>
    <row r="486">
      <c r="G486" s="168"/>
      <c r="L486" s="168"/>
    </row>
    <row r="487">
      <c r="G487" s="168"/>
      <c r="L487" s="168"/>
    </row>
    <row r="488">
      <c r="G488" s="168"/>
      <c r="L488" s="168"/>
    </row>
    <row r="489">
      <c r="G489" s="168"/>
      <c r="L489" s="168"/>
    </row>
    <row r="490">
      <c r="G490" s="168"/>
      <c r="L490" s="168"/>
    </row>
    <row r="491">
      <c r="G491" s="168"/>
      <c r="L491" s="168"/>
    </row>
    <row r="492">
      <c r="G492" s="168"/>
      <c r="L492" s="168"/>
    </row>
    <row r="493">
      <c r="G493" s="168"/>
      <c r="L493" s="168"/>
    </row>
    <row r="494">
      <c r="G494" s="168"/>
      <c r="L494" s="168"/>
    </row>
    <row r="495">
      <c r="G495" s="168"/>
      <c r="L495" s="168"/>
    </row>
    <row r="496">
      <c r="G496" s="168"/>
      <c r="L496" s="168"/>
    </row>
    <row r="497">
      <c r="G497" s="168"/>
      <c r="L497" s="168"/>
    </row>
    <row r="498">
      <c r="G498" s="168"/>
      <c r="L498" s="168"/>
    </row>
    <row r="499">
      <c r="G499" s="168"/>
      <c r="L499" s="168"/>
    </row>
    <row r="500">
      <c r="G500" s="168"/>
      <c r="L500" s="168"/>
    </row>
    <row r="501">
      <c r="G501" s="168"/>
      <c r="L501" s="168"/>
    </row>
    <row r="502">
      <c r="G502" s="168"/>
      <c r="L502" s="168"/>
    </row>
    <row r="503">
      <c r="G503" s="168"/>
      <c r="L503" s="168"/>
    </row>
    <row r="504">
      <c r="G504" s="168"/>
      <c r="L504" s="168"/>
    </row>
    <row r="505">
      <c r="G505" s="168"/>
      <c r="L505" s="168"/>
    </row>
    <row r="506">
      <c r="G506" s="168"/>
      <c r="L506" s="168"/>
    </row>
    <row r="507">
      <c r="G507" s="168"/>
      <c r="L507" s="168"/>
    </row>
    <row r="508">
      <c r="G508" s="168"/>
      <c r="L508" s="168"/>
    </row>
    <row r="509">
      <c r="G509" s="168"/>
      <c r="L509" s="168"/>
    </row>
    <row r="510">
      <c r="G510" s="168"/>
      <c r="L510" s="168"/>
    </row>
    <row r="511">
      <c r="G511" s="168"/>
      <c r="L511" s="168"/>
    </row>
    <row r="512">
      <c r="G512" s="168"/>
      <c r="L512" s="168"/>
    </row>
    <row r="513">
      <c r="G513" s="168"/>
      <c r="L513" s="168"/>
    </row>
    <row r="514">
      <c r="G514" s="168"/>
      <c r="L514" s="168"/>
    </row>
    <row r="515">
      <c r="G515" s="168"/>
      <c r="L515" s="168"/>
    </row>
    <row r="516">
      <c r="G516" s="168"/>
      <c r="L516" s="168"/>
    </row>
    <row r="517">
      <c r="G517" s="168"/>
      <c r="L517" s="168"/>
    </row>
    <row r="518">
      <c r="G518" s="168"/>
      <c r="L518" s="168"/>
    </row>
    <row r="519">
      <c r="G519" s="168"/>
      <c r="L519" s="168"/>
    </row>
    <row r="520">
      <c r="G520" s="168"/>
      <c r="L520" s="168"/>
    </row>
    <row r="521">
      <c r="G521" s="168"/>
      <c r="L521" s="168"/>
    </row>
    <row r="522">
      <c r="G522" s="168"/>
      <c r="L522" s="168"/>
    </row>
    <row r="523">
      <c r="G523" s="168"/>
      <c r="L523" s="168"/>
    </row>
    <row r="524">
      <c r="G524" s="168"/>
      <c r="L524" s="168"/>
    </row>
    <row r="525">
      <c r="G525" s="168"/>
      <c r="L525" s="168"/>
    </row>
    <row r="526">
      <c r="G526" s="168"/>
      <c r="L526" s="168"/>
    </row>
    <row r="527">
      <c r="G527" s="168"/>
      <c r="L527" s="168"/>
    </row>
    <row r="528">
      <c r="G528" s="168"/>
      <c r="L528" s="168"/>
    </row>
    <row r="529">
      <c r="G529" s="168"/>
      <c r="L529" s="168"/>
    </row>
    <row r="530">
      <c r="G530" s="168"/>
      <c r="L530" s="168"/>
    </row>
    <row r="531">
      <c r="G531" s="168"/>
      <c r="L531" s="168"/>
    </row>
    <row r="532">
      <c r="G532" s="168"/>
      <c r="L532" s="168"/>
    </row>
    <row r="533">
      <c r="G533" s="168"/>
      <c r="L533" s="168"/>
    </row>
    <row r="534">
      <c r="G534" s="168"/>
      <c r="L534" s="168"/>
    </row>
    <row r="535">
      <c r="G535" s="168"/>
      <c r="L535" s="168"/>
    </row>
    <row r="536">
      <c r="G536" s="168"/>
      <c r="L536" s="168"/>
    </row>
    <row r="537">
      <c r="G537" s="168"/>
      <c r="L537" s="168"/>
    </row>
    <row r="538">
      <c r="G538" s="168"/>
      <c r="L538" s="168"/>
    </row>
    <row r="539">
      <c r="G539" s="168"/>
      <c r="L539" s="168"/>
    </row>
    <row r="540">
      <c r="G540" s="168"/>
      <c r="L540" s="168"/>
    </row>
    <row r="541">
      <c r="G541" s="168"/>
      <c r="L541" s="168"/>
    </row>
    <row r="542">
      <c r="G542" s="168"/>
      <c r="L542" s="168"/>
    </row>
    <row r="543">
      <c r="G543" s="168"/>
      <c r="L543" s="168"/>
    </row>
    <row r="544">
      <c r="G544" s="168"/>
      <c r="L544" s="168"/>
    </row>
    <row r="545">
      <c r="G545" s="168"/>
      <c r="L545" s="168"/>
    </row>
    <row r="546">
      <c r="G546" s="168"/>
      <c r="L546" s="168"/>
    </row>
    <row r="547">
      <c r="G547" s="168"/>
      <c r="L547" s="168"/>
    </row>
    <row r="548">
      <c r="G548" s="168"/>
      <c r="L548" s="168"/>
    </row>
    <row r="549">
      <c r="G549" s="168"/>
      <c r="L549" s="168"/>
    </row>
    <row r="550">
      <c r="G550" s="168"/>
      <c r="L550" s="168"/>
    </row>
    <row r="551">
      <c r="G551" s="168"/>
      <c r="L551" s="168"/>
    </row>
    <row r="552">
      <c r="G552" s="168"/>
      <c r="L552" s="168"/>
    </row>
    <row r="553">
      <c r="G553" s="168"/>
      <c r="L553" s="168"/>
    </row>
    <row r="554">
      <c r="G554" s="168"/>
      <c r="L554" s="168"/>
    </row>
    <row r="555">
      <c r="G555" s="168"/>
      <c r="L555" s="168"/>
    </row>
    <row r="556">
      <c r="G556" s="168"/>
      <c r="L556" s="168"/>
    </row>
    <row r="557">
      <c r="G557" s="168"/>
      <c r="L557" s="168"/>
    </row>
    <row r="558">
      <c r="G558" s="168"/>
      <c r="L558" s="168"/>
    </row>
    <row r="559">
      <c r="G559" s="168"/>
      <c r="L559" s="168"/>
    </row>
    <row r="560">
      <c r="G560" s="168"/>
      <c r="L560" s="168"/>
    </row>
    <row r="561">
      <c r="G561" s="168"/>
      <c r="L561" s="168"/>
    </row>
    <row r="562">
      <c r="G562" s="168"/>
      <c r="L562" s="168"/>
    </row>
    <row r="563">
      <c r="G563" s="168"/>
      <c r="L563" s="168"/>
    </row>
    <row r="564">
      <c r="G564" s="168"/>
      <c r="L564" s="168"/>
    </row>
    <row r="565">
      <c r="G565" s="168"/>
      <c r="L565" s="168"/>
    </row>
    <row r="566">
      <c r="G566" s="168"/>
      <c r="L566" s="168"/>
    </row>
    <row r="567">
      <c r="G567" s="168"/>
      <c r="L567" s="168"/>
    </row>
    <row r="568">
      <c r="G568" s="168"/>
      <c r="L568" s="168"/>
    </row>
    <row r="569">
      <c r="G569" s="168"/>
      <c r="L569" s="168"/>
    </row>
    <row r="570">
      <c r="G570" s="168"/>
      <c r="L570" s="168"/>
    </row>
    <row r="571">
      <c r="G571" s="168"/>
      <c r="L571" s="168"/>
    </row>
    <row r="572">
      <c r="G572" s="168"/>
      <c r="L572" s="168"/>
    </row>
    <row r="573">
      <c r="G573" s="168"/>
      <c r="L573" s="168"/>
    </row>
    <row r="574">
      <c r="G574" s="168"/>
      <c r="L574" s="168"/>
    </row>
    <row r="575">
      <c r="G575" s="168"/>
      <c r="L575" s="168"/>
    </row>
    <row r="576">
      <c r="G576" s="168"/>
      <c r="L576" s="168"/>
    </row>
    <row r="577">
      <c r="G577" s="168"/>
      <c r="L577" s="168"/>
    </row>
    <row r="578">
      <c r="G578" s="168"/>
      <c r="L578" s="168"/>
    </row>
    <row r="579">
      <c r="G579" s="168"/>
      <c r="L579" s="168"/>
    </row>
    <row r="580">
      <c r="G580" s="168"/>
      <c r="L580" s="168"/>
    </row>
    <row r="581">
      <c r="G581" s="168"/>
      <c r="L581" s="168"/>
    </row>
    <row r="582">
      <c r="G582" s="168"/>
      <c r="L582" s="168"/>
    </row>
    <row r="583">
      <c r="G583" s="168"/>
      <c r="L583" s="168"/>
    </row>
    <row r="584">
      <c r="G584" s="168"/>
      <c r="L584" s="168"/>
    </row>
    <row r="585">
      <c r="G585" s="168"/>
      <c r="L585" s="168"/>
    </row>
    <row r="586">
      <c r="G586" s="168"/>
      <c r="L586" s="168"/>
    </row>
    <row r="587">
      <c r="G587" s="168"/>
      <c r="L587" s="168"/>
    </row>
    <row r="588">
      <c r="G588" s="168"/>
      <c r="L588" s="168"/>
    </row>
    <row r="589">
      <c r="G589" s="168"/>
      <c r="L589" s="168"/>
    </row>
    <row r="590">
      <c r="G590" s="168"/>
      <c r="L590" s="168"/>
    </row>
    <row r="591">
      <c r="G591" s="168"/>
      <c r="L591" s="168"/>
    </row>
    <row r="592">
      <c r="G592" s="168"/>
      <c r="L592" s="168"/>
    </row>
    <row r="593">
      <c r="G593" s="168"/>
      <c r="L593" s="168"/>
    </row>
    <row r="594">
      <c r="G594" s="168"/>
      <c r="L594" s="168"/>
    </row>
    <row r="595">
      <c r="G595" s="168"/>
      <c r="L595" s="168"/>
    </row>
    <row r="596">
      <c r="G596" s="168"/>
      <c r="L596" s="168"/>
    </row>
    <row r="597">
      <c r="G597" s="168"/>
      <c r="L597" s="168"/>
    </row>
    <row r="598">
      <c r="G598" s="168"/>
      <c r="L598" s="168"/>
    </row>
    <row r="599">
      <c r="G599" s="168"/>
      <c r="L599" s="168"/>
    </row>
    <row r="600">
      <c r="G600" s="168"/>
      <c r="L600" s="168"/>
    </row>
    <row r="601">
      <c r="G601" s="168"/>
      <c r="L601" s="168"/>
    </row>
    <row r="602">
      <c r="G602" s="168"/>
      <c r="L602" s="168"/>
    </row>
    <row r="603">
      <c r="G603" s="168"/>
      <c r="L603" s="168"/>
    </row>
    <row r="604">
      <c r="G604" s="168"/>
      <c r="L604" s="168"/>
    </row>
    <row r="605">
      <c r="G605" s="168"/>
      <c r="L605" s="168"/>
    </row>
    <row r="606">
      <c r="G606" s="168"/>
      <c r="L606" s="168"/>
    </row>
    <row r="607">
      <c r="G607" s="168"/>
      <c r="L607" s="168"/>
    </row>
    <row r="608">
      <c r="G608" s="168"/>
      <c r="L608" s="168"/>
    </row>
    <row r="609">
      <c r="G609" s="168"/>
      <c r="L609" s="168"/>
    </row>
    <row r="610">
      <c r="G610" s="168"/>
      <c r="L610" s="168"/>
    </row>
    <row r="611">
      <c r="G611" s="168"/>
      <c r="L611" s="168"/>
    </row>
    <row r="612">
      <c r="G612" s="168"/>
      <c r="L612" s="168"/>
    </row>
    <row r="613">
      <c r="G613" s="168"/>
      <c r="L613" s="168"/>
    </row>
    <row r="614">
      <c r="G614" s="168"/>
      <c r="L614" s="168"/>
    </row>
    <row r="615">
      <c r="G615" s="168"/>
      <c r="L615" s="168"/>
    </row>
    <row r="616">
      <c r="G616" s="168"/>
      <c r="L616" s="168"/>
    </row>
    <row r="617">
      <c r="G617" s="168"/>
      <c r="L617" s="168"/>
    </row>
    <row r="618">
      <c r="G618" s="168"/>
      <c r="L618" s="168"/>
    </row>
    <row r="619">
      <c r="G619" s="168"/>
      <c r="L619" s="168"/>
    </row>
    <row r="620">
      <c r="G620" s="168"/>
      <c r="L620" s="168"/>
    </row>
    <row r="621">
      <c r="G621" s="168"/>
      <c r="L621" s="168"/>
    </row>
    <row r="622">
      <c r="G622" s="168"/>
      <c r="L622" s="168"/>
    </row>
    <row r="623">
      <c r="G623" s="168"/>
      <c r="L623" s="168"/>
    </row>
    <row r="624">
      <c r="G624" s="168"/>
      <c r="L624" s="168"/>
    </row>
    <row r="625">
      <c r="G625" s="168"/>
      <c r="L625" s="168"/>
    </row>
    <row r="626">
      <c r="G626" s="168"/>
      <c r="L626" s="168"/>
    </row>
    <row r="627">
      <c r="G627" s="168"/>
      <c r="L627" s="168"/>
    </row>
    <row r="628">
      <c r="G628" s="168"/>
      <c r="L628" s="168"/>
    </row>
    <row r="629">
      <c r="G629" s="168"/>
      <c r="L629" s="168"/>
    </row>
    <row r="630">
      <c r="G630" s="168"/>
      <c r="L630" s="168"/>
    </row>
    <row r="631">
      <c r="G631" s="168"/>
      <c r="L631" s="168"/>
    </row>
    <row r="632">
      <c r="G632" s="168"/>
      <c r="L632" s="168"/>
    </row>
    <row r="633">
      <c r="G633" s="168"/>
      <c r="L633" s="168"/>
    </row>
    <row r="634">
      <c r="G634" s="168"/>
      <c r="L634" s="168"/>
    </row>
    <row r="635">
      <c r="G635" s="168"/>
      <c r="L635" s="168"/>
    </row>
    <row r="636">
      <c r="G636" s="168"/>
      <c r="L636" s="168"/>
    </row>
    <row r="637">
      <c r="G637" s="168"/>
      <c r="L637" s="168"/>
    </row>
    <row r="638">
      <c r="G638" s="168"/>
      <c r="L638" s="168"/>
    </row>
    <row r="639">
      <c r="G639" s="168"/>
      <c r="L639" s="168"/>
    </row>
    <row r="640">
      <c r="G640" s="168"/>
      <c r="L640" s="168"/>
    </row>
    <row r="641">
      <c r="G641" s="168"/>
      <c r="L641" s="168"/>
    </row>
    <row r="642">
      <c r="G642" s="168"/>
      <c r="L642" s="168"/>
    </row>
    <row r="643">
      <c r="G643" s="168"/>
      <c r="L643" s="168"/>
    </row>
    <row r="644">
      <c r="G644" s="168"/>
      <c r="L644" s="168"/>
    </row>
    <row r="645">
      <c r="G645" s="168"/>
      <c r="L645" s="168"/>
    </row>
    <row r="646">
      <c r="G646" s="168"/>
      <c r="L646" s="168"/>
    </row>
    <row r="647">
      <c r="G647" s="168"/>
      <c r="L647" s="168"/>
    </row>
    <row r="648">
      <c r="G648" s="168"/>
      <c r="L648" s="168"/>
    </row>
    <row r="649">
      <c r="G649" s="168"/>
      <c r="L649" s="168"/>
    </row>
    <row r="650">
      <c r="G650" s="168"/>
      <c r="L650" s="168"/>
    </row>
    <row r="651">
      <c r="G651" s="168"/>
      <c r="L651" s="168"/>
    </row>
    <row r="652">
      <c r="G652" s="168"/>
      <c r="L652" s="168"/>
    </row>
    <row r="653">
      <c r="G653" s="168"/>
      <c r="L653" s="168"/>
    </row>
    <row r="654">
      <c r="G654" s="168"/>
      <c r="L654" s="168"/>
    </row>
    <row r="655">
      <c r="G655" s="168"/>
      <c r="L655" s="168"/>
    </row>
    <row r="656">
      <c r="G656" s="168"/>
      <c r="L656" s="168"/>
    </row>
    <row r="657">
      <c r="G657" s="168"/>
      <c r="L657" s="168"/>
    </row>
    <row r="658">
      <c r="G658" s="168"/>
      <c r="L658" s="168"/>
    </row>
    <row r="659">
      <c r="G659" s="168"/>
      <c r="L659" s="168"/>
    </row>
    <row r="660">
      <c r="G660" s="168"/>
      <c r="L660" s="168"/>
    </row>
    <row r="661">
      <c r="G661" s="168"/>
      <c r="L661" s="168"/>
    </row>
    <row r="662">
      <c r="G662" s="168"/>
      <c r="L662" s="168"/>
    </row>
    <row r="663">
      <c r="G663" s="168"/>
      <c r="L663" s="168"/>
    </row>
    <row r="664">
      <c r="G664" s="168"/>
      <c r="L664" s="168"/>
    </row>
    <row r="665">
      <c r="G665" s="168"/>
      <c r="L665" s="168"/>
    </row>
    <row r="666">
      <c r="G666" s="168"/>
      <c r="L666" s="168"/>
    </row>
    <row r="667">
      <c r="G667" s="168"/>
      <c r="L667" s="168"/>
    </row>
    <row r="668">
      <c r="G668" s="168"/>
      <c r="L668" s="168"/>
    </row>
    <row r="669">
      <c r="G669" s="168"/>
      <c r="L669" s="168"/>
    </row>
    <row r="670">
      <c r="G670" s="168"/>
      <c r="L670" s="168"/>
    </row>
    <row r="671">
      <c r="G671" s="168"/>
      <c r="L671" s="168"/>
    </row>
    <row r="672">
      <c r="G672" s="168"/>
      <c r="L672" s="168"/>
    </row>
    <row r="673">
      <c r="G673" s="168"/>
      <c r="L673" s="168"/>
    </row>
    <row r="674">
      <c r="G674" s="168"/>
      <c r="L674" s="168"/>
    </row>
    <row r="675">
      <c r="G675" s="168"/>
      <c r="L675" s="168"/>
    </row>
    <row r="676">
      <c r="G676" s="168"/>
      <c r="L676" s="168"/>
    </row>
    <row r="677">
      <c r="G677" s="168"/>
      <c r="L677" s="168"/>
    </row>
    <row r="678">
      <c r="G678" s="168"/>
      <c r="L678" s="168"/>
    </row>
    <row r="679">
      <c r="G679" s="168"/>
      <c r="L679" s="168"/>
    </row>
    <row r="680">
      <c r="G680" s="168"/>
      <c r="L680" s="168"/>
    </row>
    <row r="681">
      <c r="G681" s="168"/>
      <c r="L681" s="168"/>
    </row>
    <row r="682">
      <c r="G682" s="168"/>
      <c r="L682" s="168"/>
    </row>
    <row r="683">
      <c r="G683" s="168"/>
      <c r="L683" s="168"/>
    </row>
    <row r="684">
      <c r="G684" s="168"/>
      <c r="L684" s="168"/>
    </row>
    <row r="685">
      <c r="G685" s="168"/>
      <c r="L685" s="168"/>
    </row>
    <row r="686">
      <c r="G686" s="168"/>
      <c r="L686" s="168"/>
    </row>
    <row r="687">
      <c r="G687" s="168"/>
      <c r="L687" s="168"/>
    </row>
    <row r="688">
      <c r="G688" s="168"/>
      <c r="L688" s="168"/>
    </row>
    <row r="689">
      <c r="G689" s="168"/>
      <c r="L689" s="168"/>
    </row>
    <row r="690">
      <c r="G690" s="168"/>
      <c r="L690" s="168"/>
    </row>
    <row r="691">
      <c r="G691" s="168"/>
      <c r="L691" s="168"/>
    </row>
    <row r="692">
      <c r="G692" s="168"/>
      <c r="L692" s="168"/>
    </row>
    <row r="693">
      <c r="G693" s="168"/>
      <c r="L693" s="168"/>
    </row>
    <row r="694">
      <c r="G694" s="168"/>
      <c r="L694" s="168"/>
    </row>
    <row r="695">
      <c r="G695" s="168"/>
      <c r="L695" s="168"/>
    </row>
    <row r="696">
      <c r="G696" s="168"/>
      <c r="L696" s="168"/>
    </row>
    <row r="697">
      <c r="G697" s="168"/>
      <c r="L697" s="168"/>
    </row>
    <row r="698">
      <c r="G698" s="168"/>
      <c r="L698" s="168"/>
    </row>
    <row r="699">
      <c r="G699" s="168"/>
      <c r="L699" s="168"/>
    </row>
    <row r="700">
      <c r="G700" s="168"/>
      <c r="L700" s="168"/>
    </row>
    <row r="701">
      <c r="G701" s="168"/>
      <c r="L701" s="168"/>
    </row>
    <row r="702">
      <c r="G702" s="168"/>
      <c r="L702" s="168"/>
    </row>
    <row r="703">
      <c r="G703" s="168"/>
      <c r="L703" s="168"/>
    </row>
    <row r="704">
      <c r="G704" s="168"/>
      <c r="L704" s="168"/>
    </row>
    <row r="705">
      <c r="G705" s="168"/>
      <c r="L705" s="168"/>
    </row>
    <row r="706">
      <c r="G706" s="168"/>
      <c r="L706" s="168"/>
    </row>
    <row r="707">
      <c r="G707" s="168"/>
      <c r="L707" s="168"/>
    </row>
    <row r="708">
      <c r="G708" s="168"/>
      <c r="L708" s="168"/>
    </row>
    <row r="709">
      <c r="G709" s="168"/>
      <c r="L709" s="168"/>
    </row>
    <row r="710">
      <c r="G710" s="168"/>
      <c r="L710" s="168"/>
    </row>
    <row r="711">
      <c r="G711" s="168"/>
      <c r="L711" s="168"/>
    </row>
    <row r="712">
      <c r="G712" s="168"/>
      <c r="L712" s="168"/>
    </row>
    <row r="713">
      <c r="G713" s="168"/>
      <c r="L713" s="168"/>
    </row>
    <row r="714">
      <c r="G714" s="168"/>
      <c r="L714" s="168"/>
    </row>
    <row r="715">
      <c r="G715" s="168"/>
      <c r="L715" s="168"/>
    </row>
    <row r="716">
      <c r="G716" s="168"/>
      <c r="L716" s="168"/>
    </row>
    <row r="717">
      <c r="G717" s="168"/>
      <c r="L717" s="168"/>
    </row>
    <row r="718">
      <c r="G718" s="168"/>
      <c r="L718" s="168"/>
    </row>
    <row r="719">
      <c r="G719" s="168"/>
      <c r="L719" s="168"/>
    </row>
    <row r="720">
      <c r="G720" s="168"/>
      <c r="L720" s="168"/>
    </row>
    <row r="721">
      <c r="G721" s="168"/>
      <c r="L721" s="168"/>
    </row>
    <row r="722">
      <c r="G722" s="168"/>
      <c r="L722" s="168"/>
    </row>
    <row r="723">
      <c r="G723" s="168"/>
      <c r="L723" s="168"/>
    </row>
    <row r="724">
      <c r="G724" s="168"/>
      <c r="L724" s="168"/>
    </row>
    <row r="725">
      <c r="G725" s="168"/>
      <c r="L725" s="168"/>
    </row>
    <row r="726">
      <c r="G726" s="168"/>
      <c r="L726" s="168"/>
    </row>
    <row r="727">
      <c r="G727" s="168"/>
      <c r="L727" s="168"/>
    </row>
    <row r="728">
      <c r="G728" s="168"/>
      <c r="L728" s="168"/>
    </row>
    <row r="729">
      <c r="G729" s="168"/>
      <c r="L729" s="168"/>
    </row>
    <row r="730">
      <c r="G730" s="168"/>
      <c r="L730" s="168"/>
    </row>
    <row r="731">
      <c r="G731" s="168"/>
      <c r="L731" s="168"/>
    </row>
    <row r="732">
      <c r="G732" s="168"/>
      <c r="L732" s="168"/>
    </row>
    <row r="733">
      <c r="G733" s="168"/>
      <c r="L733" s="168"/>
    </row>
    <row r="734">
      <c r="G734" s="168"/>
      <c r="L734" s="168"/>
    </row>
    <row r="735">
      <c r="G735" s="168"/>
      <c r="L735" s="168"/>
    </row>
    <row r="736">
      <c r="G736" s="168"/>
      <c r="L736" s="168"/>
    </row>
    <row r="737">
      <c r="G737" s="168"/>
      <c r="L737" s="168"/>
    </row>
    <row r="738">
      <c r="G738" s="168"/>
      <c r="L738" s="168"/>
    </row>
    <row r="739">
      <c r="G739" s="168"/>
      <c r="L739" s="168"/>
    </row>
    <row r="740">
      <c r="G740" s="168"/>
      <c r="L740" s="168"/>
    </row>
    <row r="741">
      <c r="G741" s="168"/>
      <c r="L741" s="168"/>
    </row>
    <row r="742">
      <c r="G742" s="168"/>
      <c r="L742" s="168"/>
    </row>
    <row r="743">
      <c r="G743" s="168"/>
      <c r="L743" s="168"/>
    </row>
    <row r="744">
      <c r="G744" s="168"/>
      <c r="L744" s="168"/>
    </row>
    <row r="745">
      <c r="G745" s="168"/>
      <c r="L745" s="168"/>
    </row>
    <row r="746">
      <c r="G746" s="168"/>
      <c r="L746" s="168"/>
    </row>
    <row r="747">
      <c r="G747" s="168"/>
      <c r="L747" s="168"/>
    </row>
    <row r="748">
      <c r="G748" s="168"/>
      <c r="L748" s="168"/>
    </row>
    <row r="749">
      <c r="G749" s="168"/>
      <c r="L749" s="168"/>
    </row>
    <row r="750">
      <c r="G750" s="168"/>
      <c r="L750" s="168"/>
    </row>
    <row r="751">
      <c r="G751" s="168"/>
      <c r="L751" s="168"/>
    </row>
    <row r="752">
      <c r="G752" s="168"/>
      <c r="L752" s="168"/>
    </row>
    <row r="753">
      <c r="G753" s="168"/>
      <c r="L753" s="168"/>
    </row>
    <row r="754">
      <c r="G754" s="168"/>
      <c r="L754" s="168"/>
    </row>
    <row r="755">
      <c r="G755" s="168"/>
      <c r="L755" s="168"/>
    </row>
    <row r="756">
      <c r="G756" s="168"/>
      <c r="L756" s="168"/>
    </row>
    <row r="757">
      <c r="G757" s="168"/>
      <c r="L757" s="168"/>
    </row>
    <row r="758">
      <c r="G758" s="168"/>
      <c r="L758" s="168"/>
    </row>
    <row r="759">
      <c r="G759" s="168"/>
      <c r="L759" s="168"/>
    </row>
    <row r="760">
      <c r="G760" s="168"/>
      <c r="L760" s="168"/>
    </row>
    <row r="761">
      <c r="G761" s="168"/>
      <c r="L761" s="168"/>
    </row>
    <row r="762">
      <c r="G762" s="168"/>
      <c r="L762" s="168"/>
    </row>
    <row r="763">
      <c r="G763" s="168"/>
      <c r="L763" s="168"/>
    </row>
    <row r="764">
      <c r="G764" s="168"/>
      <c r="L764" s="168"/>
    </row>
    <row r="765">
      <c r="G765" s="168"/>
      <c r="L765" s="168"/>
    </row>
    <row r="766">
      <c r="G766" s="168"/>
      <c r="L766" s="168"/>
    </row>
    <row r="767">
      <c r="G767" s="168"/>
      <c r="L767" s="168"/>
    </row>
    <row r="768">
      <c r="G768" s="168"/>
      <c r="L768" s="168"/>
    </row>
    <row r="769">
      <c r="G769" s="168"/>
      <c r="L769" s="168"/>
    </row>
    <row r="770">
      <c r="G770" s="168"/>
      <c r="L770" s="168"/>
    </row>
    <row r="771">
      <c r="G771" s="168"/>
      <c r="L771" s="168"/>
    </row>
    <row r="772">
      <c r="G772" s="168"/>
      <c r="L772" s="168"/>
    </row>
    <row r="773">
      <c r="G773" s="168"/>
      <c r="L773" s="168"/>
    </row>
    <row r="774">
      <c r="G774" s="168"/>
      <c r="L774" s="168"/>
    </row>
    <row r="775">
      <c r="G775" s="168"/>
      <c r="L775" s="168"/>
    </row>
    <row r="776">
      <c r="G776" s="168"/>
      <c r="L776" s="168"/>
    </row>
    <row r="777">
      <c r="G777" s="168"/>
      <c r="L777" s="168"/>
    </row>
    <row r="778">
      <c r="G778" s="168"/>
      <c r="L778" s="168"/>
    </row>
    <row r="779">
      <c r="G779" s="168"/>
      <c r="L779" s="168"/>
    </row>
    <row r="780">
      <c r="G780" s="168"/>
      <c r="L780" s="168"/>
    </row>
    <row r="781">
      <c r="G781" s="168"/>
      <c r="L781" s="168"/>
    </row>
    <row r="782">
      <c r="G782" s="168"/>
      <c r="L782" s="168"/>
    </row>
    <row r="783">
      <c r="G783" s="168"/>
      <c r="L783" s="168"/>
    </row>
    <row r="784">
      <c r="G784" s="168"/>
      <c r="L784" s="168"/>
    </row>
    <row r="785">
      <c r="G785" s="168"/>
      <c r="L785" s="168"/>
    </row>
    <row r="786">
      <c r="G786" s="168"/>
      <c r="L786" s="168"/>
    </row>
    <row r="787">
      <c r="G787" s="168"/>
      <c r="L787" s="168"/>
    </row>
    <row r="788">
      <c r="G788" s="168"/>
      <c r="L788" s="168"/>
    </row>
    <row r="789">
      <c r="G789" s="168"/>
      <c r="L789" s="168"/>
    </row>
    <row r="790">
      <c r="G790" s="168"/>
      <c r="L790" s="168"/>
    </row>
    <row r="791">
      <c r="G791" s="168"/>
      <c r="L791" s="168"/>
    </row>
    <row r="792">
      <c r="G792" s="168"/>
      <c r="L792" s="168"/>
    </row>
    <row r="793">
      <c r="G793" s="168"/>
      <c r="L793" s="168"/>
    </row>
    <row r="794">
      <c r="G794" s="168"/>
      <c r="L794" s="168"/>
    </row>
    <row r="795">
      <c r="G795" s="168"/>
      <c r="L795" s="168"/>
    </row>
    <row r="796">
      <c r="G796" s="168"/>
      <c r="L796" s="168"/>
    </row>
    <row r="797">
      <c r="G797" s="168"/>
      <c r="L797" s="168"/>
    </row>
    <row r="798">
      <c r="G798" s="168"/>
      <c r="L798" s="168"/>
    </row>
    <row r="799">
      <c r="G799" s="168"/>
      <c r="L799" s="168"/>
    </row>
    <row r="800">
      <c r="G800" s="168"/>
      <c r="L800" s="168"/>
    </row>
    <row r="801">
      <c r="G801" s="168"/>
      <c r="L801" s="168"/>
    </row>
    <row r="802">
      <c r="G802" s="168"/>
      <c r="L802" s="168"/>
    </row>
    <row r="803">
      <c r="G803" s="168"/>
      <c r="L803" s="168"/>
    </row>
    <row r="804">
      <c r="G804" s="168"/>
      <c r="L804" s="168"/>
    </row>
    <row r="805">
      <c r="G805" s="168"/>
      <c r="L805" s="168"/>
    </row>
    <row r="806">
      <c r="G806" s="168"/>
      <c r="L806" s="168"/>
    </row>
    <row r="807">
      <c r="G807" s="168"/>
      <c r="L807" s="168"/>
    </row>
    <row r="808">
      <c r="G808" s="168"/>
      <c r="L808" s="168"/>
    </row>
    <row r="809">
      <c r="G809" s="168"/>
      <c r="L809" s="168"/>
    </row>
    <row r="810">
      <c r="G810" s="168"/>
      <c r="L810" s="168"/>
    </row>
    <row r="811">
      <c r="G811" s="168"/>
      <c r="L811" s="168"/>
    </row>
    <row r="812">
      <c r="G812" s="168"/>
      <c r="L812" s="168"/>
    </row>
    <row r="813">
      <c r="G813" s="168"/>
      <c r="L813" s="168"/>
    </row>
    <row r="814">
      <c r="G814" s="168"/>
      <c r="L814" s="168"/>
    </row>
    <row r="815">
      <c r="G815" s="168"/>
      <c r="L815" s="168"/>
    </row>
    <row r="816">
      <c r="G816" s="168"/>
      <c r="L816" s="168"/>
    </row>
    <row r="817">
      <c r="G817" s="168"/>
      <c r="L817" s="168"/>
    </row>
    <row r="818">
      <c r="G818" s="168"/>
      <c r="L818" s="168"/>
    </row>
    <row r="819">
      <c r="G819" s="168"/>
      <c r="L819" s="168"/>
    </row>
    <row r="820">
      <c r="G820" s="168"/>
      <c r="L820" s="168"/>
    </row>
    <row r="821">
      <c r="G821" s="168"/>
      <c r="L821" s="168"/>
    </row>
    <row r="822">
      <c r="G822" s="168"/>
      <c r="L822" s="168"/>
    </row>
    <row r="823">
      <c r="G823" s="168"/>
      <c r="L823" s="168"/>
    </row>
    <row r="824">
      <c r="G824" s="168"/>
      <c r="L824" s="168"/>
    </row>
    <row r="825">
      <c r="G825" s="168"/>
      <c r="L825" s="168"/>
    </row>
    <row r="826">
      <c r="G826" s="168"/>
      <c r="L826" s="168"/>
    </row>
    <row r="827">
      <c r="G827" s="168"/>
      <c r="L827" s="168"/>
    </row>
    <row r="828">
      <c r="G828" s="168"/>
      <c r="L828" s="168"/>
    </row>
    <row r="829">
      <c r="G829" s="168"/>
      <c r="L829" s="168"/>
    </row>
    <row r="830">
      <c r="G830" s="168"/>
      <c r="L830" s="168"/>
    </row>
    <row r="831">
      <c r="G831" s="168"/>
      <c r="L831" s="168"/>
    </row>
    <row r="832">
      <c r="G832" s="168"/>
      <c r="L832" s="168"/>
    </row>
    <row r="833">
      <c r="G833" s="168"/>
      <c r="L833" s="168"/>
    </row>
    <row r="834">
      <c r="G834" s="168"/>
      <c r="L834" s="168"/>
    </row>
    <row r="835">
      <c r="G835" s="168"/>
      <c r="L835" s="168"/>
    </row>
    <row r="836">
      <c r="G836" s="168"/>
      <c r="L836" s="168"/>
    </row>
    <row r="837">
      <c r="G837" s="168"/>
      <c r="L837" s="168"/>
    </row>
    <row r="838">
      <c r="G838" s="168"/>
      <c r="L838" s="168"/>
    </row>
    <row r="839">
      <c r="G839" s="168"/>
      <c r="L839" s="168"/>
    </row>
    <row r="840">
      <c r="G840" s="168"/>
      <c r="L840" s="168"/>
    </row>
    <row r="841">
      <c r="G841" s="168"/>
      <c r="L841" s="168"/>
    </row>
    <row r="842">
      <c r="G842" s="168"/>
      <c r="L842" s="168"/>
    </row>
    <row r="843">
      <c r="G843" s="168"/>
      <c r="L843" s="168"/>
    </row>
    <row r="844">
      <c r="G844" s="168"/>
      <c r="L844" s="168"/>
    </row>
    <row r="845">
      <c r="G845" s="168"/>
      <c r="L845" s="168"/>
    </row>
    <row r="846">
      <c r="G846" s="168"/>
      <c r="L846" s="168"/>
    </row>
    <row r="847">
      <c r="G847" s="168"/>
      <c r="L847" s="168"/>
    </row>
    <row r="848">
      <c r="G848" s="168"/>
      <c r="L848" s="168"/>
    </row>
    <row r="849">
      <c r="G849" s="168"/>
      <c r="L849" s="168"/>
    </row>
    <row r="850">
      <c r="G850" s="168"/>
      <c r="L850" s="168"/>
    </row>
    <row r="851">
      <c r="G851" s="168"/>
      <c r="L851" s="168"/>
    </row>
    <row r="852">
      <c r="G852" s="168"/>
      <c r="L852" s="168"/>
    </row>
    <row r="853">
      <c r="G853" s="168"/>
      <c r="L853" s="168"/>
    </row>
    <row r="854">
      <c r="G854" s="168"/>
      <c r="L854" s="168"/>
    </row>
    <row r="855">
      <c r="G855" s="168"/>
      <c r="L855" s="168"/>
    </row>
    <row r="856">
      <c r="G856" s="168"/>
      <c r="L856" s="168"/>
    </row>
    <row r="857">
      <c r="G857" s="168"/>
      <c r="L857" s="168"/>
    </row>
    <row r="858">
      <c r="G858" s="168"/>
      <c r="L858" s="168"/>
    </row>
    <row r="859">
      <c r="G859" s="168"/>
      <c r="L859" s="168"/>
    </row>
    <row r="860">
      <c r="G860" s="168"/>
      <c r="L860" s="168"/>
    </row>
    <row r="861">
      <c r="G861" s="168"/>
      <c r="L861" s="168"/>
    </row>
    <row r="862">
      <c r="G862" s="168"/>
      <c r="L862" s="168"/>
    </row>
    <row r="863">
      <c r="G863" s="168"/>
      <c r="L863" s="168"/>
    </row>
    <row r="864">
      <c r="G864" s="168"/>
      <c r="L864" s="168"/>
    </row>
    <row r="865">
      <c r="G865" s="168"/>
      <c r="L865" s="168"/>
    </row>
    <row r="866">
      <c r="G866" s="168"/>
      <c r="L866" s="168"/>
    </row>
    <row r="867">
      <c r="G867" s="168"/>
      <c r="L867" s="168"/>
    </row>
    <row r="868">
      <c r="G868" s="168"/>
      <c r="L868" s="168"/>
    </row>
    <row r="869">
      <c r="G869" s="168"/>
      <c r="L869" s="168"/>
    </row>
    <row r="870">
      <c r="G870" s="168"/>
      <c r="L870" s="168"/>
    </row>
    <row r="871">
      <c r="G871" s="168"/>
      <c r="L871" s="168"/>
    </row>
    <row r="872">
      <c r="G872" s="168"/>
      <c r="L872" s="168"/>
    </row>
    <row r="873">
      <c r="G873" s="168"/>
      <c r="L873" s="168"/>
    </row>
    <row r="874">
      <c r="G874" s="168"/>
      <c r="L874" s="168"/>
    </row>
    <row r="875">
      <c r="G875" s="168"/>
      <c r="L875" s="168"/>
    </row>
    <row r="876">
      <c r="G876" s="168"/>
      <c r="L876" s="168"/>
    </row>
    <row r="877">
      <c r="G877" s="168"/>
      <c r="L877" s="168"/>
    </row>
    <row r="878">
      <c r="G878" s="168"/>
      <c r="L878" s="168"/>
    </row>
    <row r="879">
      <c r="G879" s="168"/>
      <c r="L879" s="168"/>
    </row>
    <row r="880">
      <c r="G880" s="168"/>
      <c r="L880" s="168"/>
    </row>
    <row r="881">
      <c r="G881" s="168"/>
      <c r="L881" s="168"/>
    </row>
    <row r="882">
      <c r="G882" s="168"/>
      <c r="L882" s="168"/>
    </row>
    <row r="883">
      <c r="G883" s="168"/>
      <c r="L883" s="168"/>
    </row>
    <row r="884">
      <c r="G884" s="168"/>
      <c r="L884" s="168"/>
    </row>
    <row r="885">
      <c r="G885" s="168"/>
      <c r="L885" s="168"/>
    </row>
    <row r="886">
      <c r="G886" s="168"/>
      <c r="L886" s="168"/>
    </row>
    <row r="887">
      <c r="G887" s="168"/>
      <c r="L887" s="168"/>
    </row>
    <row r="888">
      <c r="G888" s="168"/>
      <c r="L888" s="168"/>
    </row>
    <row r="889">
      <c r="G889" s="168"/>
      <c r="L889" s="168"/>
    </row>
    <row r="890">
      <c r="G890" s="168"/>
      <c r="L890" s="168"/>
    </row>
    <row r="891">
      <c r="G891" s="168"/>
      <c r="L891" s="168"/>
    </row>
    <row r="892">
      <c r="G892" s="168"/>
      <c r="L892" s="168"/>
    </row>
    <row r="893">
      <c r="G893" s="168"/>
      <c r="L893" s="168"/>
    </row>
    <row r="894">
      <c r="G894" s="168"/>
      <c r="L894" s="168"/>
    </row>
    <row r="895">
      <c r="G895" s="168"/>
      <c r="L895" s="168"/>
    </row>
    <row r="896">
      <c r="G896" s="168"/>
      <c r="L896" s="168"/>
    </row>
    <row r="897">
      <c r="G897" s="168"/>
      <c r="L897" s="168"/>
    </row>
    <row r="898">
      <c r="G898" s="168"/>
      <c r="L898" s="168"/>
    </row>
    <row r="899">
      <c r="G899" s="168"/>
      <c r="L899" s="168"/>
    </row>
    <row r="900">
      <c r="G900" s="168"/>
      <c r="L900" s="168"/>
    </row>
    <row r="901">
      <c r="G901" s="168"/>
      <c r="L901" s="168"/>
    </row>
    <row r="902">
      <c r="G902" s="168"/>
      <c r="L902" s="168"/>
    </row>
    <row r="903">
      <c r="G903" s="168"/>
      <c r="L903" s="168"/>
    </row>
    <row r="904">
      <c r="G904" s="168"/>
      <c r="L904" s="168"/>
    </row>
    <row r="905">
      <c r="G905" s="168"/>
      <c r="L905" s="168"/>
    </row>
    <row r="906">
      <c r="G906" s="168"/>
      <c r="L906" s="168"/>
    </row>
    <row r="907">
      <c r="G907" s="168"/>
      <c r="L907" s="168"/>
    </row>
    <row r="908">
      <c r="G908" s="168"/>
      <c r="L908" s="168"/>
    </row>
    <row r="909">
      <c r="G909" s="168"/>
      <c r="L909" s="168"/>
    </row>
    <row r="910">
      <c r="G910" s="168"/>
      <c r="L910" s="168"/>
    </row>
    <row r="911">
      <c r="G911" s="168"/>
      <c r="L911" s="168"/>
    </row>
    <row r="912">
      <c r="G912" s="168"/>
      <c r="L912" s="168"/>
    </row>
    <row r="913">
      <c r="G913" s="168"/>
      <c r="L913" s="168"/>
    </row>
    <row r="914">
      <c r="G914" s="168"/>
      <c r="L914" s="168"/>
    </row>
    <row r="915">
      <c r="G915" s="168"/>
      <c r="L915" s="168"/>
    </row>
    <row r="916">
      <c r="G916" s="168"/>
      <c r="L916" s="168"/>
    </row>
    <row r="917">
      <c r="G917" s="168"/>
      <c r="L917" s="168"/>
    </row>
    <row r="918">
      <c r="G918" s="168"/>
      <c r="L918" s="168"/>
    </row>
    <row r="919">
      <c r="G919" s="168"/>
      <c r="L919" s="168"/>
    </row>
    <row r="920">
      <c r="G920" s="168"/>
      <c r="L920" s="168"/>
    </row>
    <row r="921">
      <c r="G921" s="168"/>
      <c r="L921" s="168"/>
    </row>
    <row r="922">
      <c r="G922" s="168"/>
      <c r="L922" s="168"/>
    </row>
    <row r="923">
      <c r="G923" s="168"/>
      <c r="L923" s="168"/>
    </row>
    <row r="924">
      <c r="G924" s="168"/>
      <c r="L924" s="168"/>
    </row>
    <row r="925">
      <c r="G925" s="168"/>
      <c r="L925" s="168"/>
    </row>
    <row r="926">
      <c r="G926" s="168"/>
      <c r="L926" s="168"/>
    </row>
    <row r="927">
      <c r="G927" s="168"/>
      <c r="L927" s="168"/>
    </row>
    <row r="928">
      <c r="G928" s="168"/>
      <c r="L928" s="168"/>
    </row>
    <row r="929">
      <c r="G929" s="168"/>
      <c r="L929" s="168"/>
    </row>
    <row r="930">
      <c r="G930" s="168"/>
      <c r="L930" s="168"/>
    </row>
    <row r="931">
      <c r="G931" s="168"/>
      <c r="L931" s="168"/>
    </row>
    <row r="932">
      <c r="G932" s="168"/>
      <c r="L932" s="168"/>
    </row>
    <row r="933">
      <c r="G933" s="168"/>
      <c r="L933" s="168"/>
    </row>
    <row r="934">
      <c r="G934" s="168"/>
      <c r="L934" s="168"/>
    </row>
    <row r="935">
      <c r="G935" s="168"/>
      <c r="L935" s="168"/>
    </row>
    <row r="936">
      <c r="G936" s="168"/>
      <c r="L936" s="168"/>
    </row>
    <row r="937">
      <c r="G937" s="168"/>
      <c r="L937" s="168"/>
    </row>
    <row r="938">
      <c r="G938" s="168"/>
      <c r="L938" s="168"/>
    </row>
    <row r="939">
      <c r="G939" s="168"/>
      <c r="L939" s="168"/>
    </row>
    <row r="940">
      <c r="G940" s="168"/>
      <c r="L940" s="168"/>
    </row>
    <row r="941">
      <c r="G941" s="168"/>
      <c r="L941" s="168"/>
    </row>
    <row r="942">
      <c r="G942" s="168"/>
      <c r="L942" s="168"/>
    </row>
    <row r="943">
      <c r="G943" s="168"/>
      <c r="L943" s="168"/>
    </row>
    <row r="944">
      <c r="G944" s="168"/>
      <c r="L944" s="168"/>
    </row>
    <row r="945">
      <c r="G945" s="168"/>
      <c r="L945" s="168"/>
    </row>
    <row r="946">
      <c r="G946" s="168"/>
      <c r="L946" s="168"/>
    </row>
    <row r="947">
      <c r="G947" s="168"/>
      <c r="L947" s="168"/>
    </row>
    <row r="948">
      <c r="G948" s="168"/>
      <c r="L948" s="168"/>
    </row>
    <row r="949">
      <c r="G949" s="168"/>
      <c r="L949" s="168"/>
    </row>
    <row r="950">
      <c r="G950" s="168"/>
      <c r="L950" s="168"/>
    </row>
    <row r="951">
      <c r="G951" s="168"/>
      <c r="L951" s="168"/>
    </row>
    <row r="952">
      <c r="G952" s="168"/>
      <c r="L952" s="168"/>
    </row>
    <row r="953">
      <c r="G953" s="168"/>
      <c r="L953" s="168"/>
    </row>
    <row r="954">
      <c r="G954" s="168"/>
      <c r="L954" s="168"/>
    </row>
    <row r="955">
      <c r="G955" s="168"/>
      <c r="L955" s="168"/>
    </row>
    <row r="956">
      <c r="G956" s="168"/>
      <c r="L956" s="168"/>
    </row>
    <row r="957">
      <c r="G957" s="168"/>
      <c r="L957" s="168"/>
    </row>
    <row r="958">
      <c r="G958" s="168"/>
      <c r="L958" s="168"/>
    </row>
    <row r="959">
      <c r="G959" s="168"/>
      <c r="L959" s="168"/>
    </row>
    <row r="960">
      <c r="G960" s="168"/>
      <c r="L960" s="168"/>
    </row>
    <row r="961">
      <c r="G961" s="168"/>
      <c r="L961" s="168"/>
    </row>
    <row r="962">
      <c r="G962" s="168"/>
      <c r="L962" s="168"/>
    </row>
    <row r="963">
      <c r="G963" s="168"/>
      <c r="L963" s="168"/>
    </row>
    <row r="964">
      <c r="G964" s="168"/>
      <c r="L964" s="168"/>
    </row>
    <row r="965">
      <c r="G965" s="168"/>
      <c r="L965" s="168"/>
    </row>
    <row r="966">
      <c r="G966" s="168"/>
      <c r="L966" s="168"/>
    </row>
    <row r="967">
      <c r="G967" s="168"/>
      <c r="L967" s="168"/>
    </row>
    <row r="968">
      <c r="G968" s="168"/>
      <c r="L968" s="168"/>
    </row>
    <row r="969">
      <c r="G969" s="168"/>
      <c r="L969" s="168"/>
    </row>
    <row r="970">
      <c r="G970" s="168"/>
      <c r="L970" s="168"/>
    </row>
    <row r="971">
      <c r="G971" s="168"/>
      <c r="L971" s="168"/>
    </row>
    <row r="972">
      <c r="G972" s="168"/>
      <c r="L972" s="168"/>
    </row>
    <row r="973">
      <c r="G973" s="168"/>
      <c r="L973" s="168"/>
    </row>
    <row r="974">
      <c r="G974" s="168"/>
      <c r="L974" s="168"/>
    </row>
    <row r="975">
      <c r="G975" s="168"/>
      <c r="L975" s="168"/>
    </row>
    <row r="976">
      <c r="G976" s="168"/>
      <c r="L976" s="168"/>
    </row>
    <row r="977">
      <c r="G977" s="168"/>
      <c r="L977" s="168"/>
    </row>
    <row r="978">
      <c r="G978" s="168"/>
      <c r="L978" s="168"/>
    </row>
    <row r="979">
      <c r="G979" s="168"/>
      <c r="L979" s="168"/>
    </row>
    <row r="980">
      <c r="G980" s="168"/>
      <c r="L980" s="168"/>
    </row>
    <row r="981">
      <c r="G981" s="168"/>
      <c r="L981" s="168"/>
    </row>
    <row r="982">
      <c r="G982" s="168"/>
      <c r="L982" s="168"/>
    </row>
    <row r="983">
      <c r="G983" s="168"/>
      <c r="L983" s="168"/>
    </row>
    <row r="984">
      <c r="G984" s="168"/>
      <c r="L984" s="168"/>
    </row>
    <row r="985">
      <c r="G985" s="168"/>
      <c r="L985" s="168"/>
    </row>
    <row r="986">
      <c r="G986" s="168"/>
      <c r="L986" s="168"/>
    </row>
    <row r="987">
      <c r="G987" s="168"/>
      <c r="L987" s="168"/>
    </row>
    <row r="988">
      <c r="G988" s="168"/>
      <c r="L988" s="168"/>
    </row>
    <row r="989">
      <c r="G989" s="168"/>
      <c r="L989" s="168"/>
    </row>
    <row r="990">
      <c r="G990" s="168"/>
      <c r="L990" s="168"/>
    </row>
    <row r="991">
      <c r="G991" s="168"/>
      <c r="L991" s="168"/>
    </row>
    <row r="992">
      <c r="G992" s="168"/>
      <c r="L992" s="168"/>
    </row>
    <row r="993">
      <c r="G993" s="168"/>
      <c r="L993" s="168"/>
    </row>
    <row r="994">
      <c r="G994" s="168"/>
      <c r="L994" s="168"/>
    </row>
    <row r="995">
      <c r="G995" s="168"/>
      <c r="L995" s="168"/>
    </row>
    <row r="996">
      <c r="G996" s="168"/>
      <c r="L996" s="168"/>
    </row>
    <row r="997">
      <c r="G997" s="168"/>
      <c r="L997" s="168"/>
    </row>
    <row r="998">
      <c r="G998" s="168"/>
      <c r="L998" s="168"/>
    </row>
    <row r="999">
      <c r="G999" s="168"/>
      <c r="L999" s="168"/>
    </row>
    <row r="1000">
      <c r="G1000" s="168"/>
      <c r="L1000" s="168"/>
    </row>
    <row r="1001">
      <c r="G1001" s="168"/>
      <c r="L1001" s="168"/>
    </row>
    <row r="1002">
      <c r="G1002" s="168"/>
      <c r="L1002" s="168"/>
    </row>
  </sheetData>
  <mergeCells count="3">
    <mergeCell ref="A1:N1"/>
    <mergeCell ref="A94:M94"/>
    <mergeCell ref="A149:L149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108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</row>
    <row r="3">
      <c r="A3" s="70">
        <v>45691.0</v>
      </c>
      <c r="B3" s="302" t="s">
        <v>11</v>
      </c>
      <c r="C3" s="89">
        <v>174840.0</v>
      </c>
      <c r="D3" s="89">
        <v>175143.0</v>
      </c>
      <c r="E3" s="38">
        <f t="shared" ref="E3:E9" si="1">D3-C3</f>
        <v>303</v>
      </c>
      <c r="F3" s="39">
        <v>50.0</v>
      </c>
      <c r="G3" s="14">
        <f t="shared" ref="G3:G9" si="2">(F3/E3)*100</f>
        <v>16.50165017</v>
      </c>
      <c r="H3" s="137"/>
      <c r="I3" s="138">
        <v>8020.0</v>
      </c>
      <c r="J3" s="41">
        <f t="shared" ref="J3:J9" si="3">I3-H3</f>
        <v>8020</v>
      </c>
      <c r="K3" s="41">
        <f t="shared" ref="K3:K9" si="4">F3</f>
        <v>50</v>
      </c>
      <c r="L3" s="303">
        <f t="shared" ref="L3:L9" si="5">(K3/J3)*100</f>
        <v>0.6234413965</v>
      </c>
      <c r="M3" s="72">
        <v>19240.0</v>
      </c>
      <c r="N3" s="336">
        <f t="shared" ref="N3:N9" si="6">F3*M3</f>
        <v>962000</v>
      </c>
    </row>
    <row r="4">
      <c r="A4" s="154">
        <v>45699.0</v>
      </c>
      <c r="B4" s="156" t="s">
        <v>11</v>
      </c>
      <c r="C4" s="89">
        <v>175143.0</v>
      </c>
      <c r="D4" s="89">
        <v>175491.0</v>
      </c>
      <c r="E4" s="12">
        <f t="shared" si="1"/>
        <v>348</v>
      </c>
      <c r="F4" s="157">
        <v>50.0</v>
      </c>
      <c r="G4" s="14">
        <f t="shared" si="2"/>
        <v>14.36781609</v>
      </c>
      <c r="H4" s="89">
        <v>8020.0</v>
      </c>
      <c r="I4" s="137">
        <v>8468.0</v>
      </c>
      <c r="J4" s="89">
        <f t="shared" si="3"/>
        <v>448</v>
      </c>
      <c r="K4" s="89">
        <f t="shared" si="4"/>
        <v>50</v>
      </c>
      <c r="L4" s="152">
        <f t="shared" si="5"/>
        <v>11.16071429</v>
      </c>
      <c r="M4" s="126">
        <v>19050.0</v>
      </c>
      <c r="N4" s="338">
        <f t="shared" si="6"/>
        <v>952500</v>
      </c>
    </row>
    <row r="5">
      <c r="A5" s="154">
        <v>45336.0</v>
      </c>
      <c r="B5" s="156" t="s">
        <v>11</v>
      </c>
      <c r="C5" s="89">
        <v>175491.0</v>
      </c>
      <c r="D5" s="89">
        <v>175848.0</v>
      </c>
      <c r="E5" s="12">
        <f t="shared" si="1"/>
        <v>357</v>
      </c>
      <c r="F5" s="157">
        <v>50.0</v>
      </c>
      <c r="G5" s="14">
        <f t="shared" si="2"/>
        <v>14.00560224</v>
      </c>
      <c r="H5" s="89">
        <v>8468.0</v>
      </c>
      <c r="I5" s="137">
        <v>8800.0</v>
      </c>
      <c r="J5" s="89">
        <f t="shared" si="3"/>
        <v>332</v>
      </c>
      <c r="K5" s="89">
        <f t="shared" si="4"/>
        <v>50</v>
      </c>
      <c r="L5" s="152">
        <f t="shared" si="5"/>
        <v>15.06024096</v>
      </c>
      <c r="M5" s="126">
        <v>19070.0</v>
      </c>
      <c r="N5" s="338">
        <f t="shared" si="6"/>
        <v>953500</v>
      </c>
    </row>
    <row r="6">
      <c r="A6" s="279">
        <v>46011.0</v>
      </c>
      <c r="B6" s="156" t="s">
        <v>11</v>
      </c>
      <c r="C6" s="89">
        <v>175848.0</v>
      </c>
      <c r="D6" s="89">
        <v>176227.0</v>
      </c>
      <c r="E6" s="12">
        <f t="shared" si="1"/>
        <v>379</v>
      </c>
      <c r="F6" s="157">
        <v>50.0</v>
      </c>
      <c r="G6" s="14">
        <f t="shared" si="2"/>
        <v>13.19261214</v>
      </c>
      <c r="H6" s="89">
        <v>8800.0</v>
      </c>
      <c r="I6" s="137">
        <v>9164.0</v>
      </c>
      <c r="J6" s="89">
        <f t="shared" si="3"/>
        <v>364</v>
      </c>
      <c r="K6" s="89">
        <f t="shared" si="4"/>
        <v>50</v>
      </c>
      <c r="L6" s="152">
        <f t="shared" si="5"/>
        <v>13.73626374</v>
      </c>
      <c r="M6" s="126">
        <v>19060.0</v>
      </c>
      <c r="N6" s="338">
        <f t="shared" si="6"/>
        <v>953000</v>
      </c>
    </row>
    <row r="7">
      <c r="A7" s="154"/>
      <c r="B7" s="156" t="s">
        <v>11</v>
      </c>
      <c r="C7" s="89"/>
      <c r="D7" s="89"/>
      <c r="E7" s="12">
        <f t="shared" si="1"/>
        <v>0</v>
      </c>
      <c r="F7" s="157"/>
      <c r="G7" s="14" t="str">
        <f t="shared" si="2"/>
        <v>#DIV/0!</v>
      </c>
      <c r="H7" s="89"/>
      <c r="I7" s="137"/>
      <c r="J7" s="89">
        <f t="shared" si="3"/>
        <v>0</v>
      </c>
      <c r="K7" s="89" t="str">
        <f t="shared" si="4"/>
        <v/>
      </c>
      <c r="L7" s="152" t="str">
        <f t="shared" si="5"/>
        <v>#DIV/0!</v>
      </c>
      <c r="M7" s="126"/>
      <c r="N7" s="367">
        <f t="shared" si="6"/>
        <v>0</v>
      </c>
    </row>
    <row r="8">
      <c r="A8" s="154"/>
      <c r="B8" s="99" t="s">
        <v>11</v>
      </c>
      <c r="C8" s="89"/>
      <c r="D8" s="89"/>
      <c r="E8" s="12">
        <f t="shared" si="1"/>
        <v>0</v>
      </c>
      <c r="F8" s="157"/>
      <c r="G8" s="14" t="str">
        <f t="shared" si="2"/>
        <v>#DIV/0!</v>
      </c>
      <c r="H8" s="89"/>
      <c r="I8" s="137"/>
      <c r="J8" s="89">
        <f t="shared" si="3"/>
        <v>0</v>
      </c>
      <c r="K8" s="89" t="str">
        <f t="shared" si="4"/>
        <v/>
      </c>
      <c r="L8" s="152" t="str">
        <f t="shared" si="5"/>
        <v>#DIV/0!</v>
      </c>
      <c r="M8" s="126"/>
      <c r="N8" s="367">
        <f t="shared" si="6"/>
        <v>0</v>
      </c>
    </row>
    <row r="9">
      <c r="A9" s="305"/>
      <c r="B9" s="323"/>
      <c r="C9" s="149"/>
      <c r="D9" s="150"/>
      <c r="E9" s="25">
        <f t="shared" si="1"/>
        <v>0</v>
      </c>
      <c r="F9" s="307"/>
      <c r="G9" s="56" t="str">
        <f t="shared" si="2"/>
        <v>#DIV/0!</v>
      </c>
      <c r="H9" s="149"/>
      <c r="I9" s="151"/>
      <c r="J9" s="149">
        <f t="shared" si="3"/>
        <v>0</v>
      </c>
      <c r="K9" s="149" t="str">
        <f t="shared" si="4"/>
        <v/>
      </c>
      <c r="L9" s="71" t="str">
        <f t="shared" si="5"/>
        <v>#DIV/0!</v>
      </c>
      <c r="M9" s="308"/>
      <c r="N9" s="380">
        <f t="shared" si="6"/>
        <v>0</v>
      </c>
    </row>
    <row r="10">
      <c r="A10" s="62"/>
      <c r="B10" s="63"/>
      <c r="C10" s="62"/>
      <c r="D10" s="64" t="s">
        <v>19</v>
      </c>
      <c r="E10" s="64">
        <f t="shared" ref="E10:F10" si="7">sum(E3:E9)</f>
        <v>1387</v>
      </c>
      <c r="F10" s="64">
        <f t="shared" si="7"/>
        <v>200</v>
      </c>
      <c r="G10" s="65" t="str">
        <f>average(G3:G9)</f>
        <v>#DIV/0!</v>
      </c>
      <c r="H10" s="62"/>
      <c r="I10" s="66"/>
      <c r="J10" s="64">
        <f t="shared" ref="J10:K10" si="8">sum(J3:J9)</f>
        <v>9164</v>
      </c>
      <c r="K10" s="64">
        <f t="shared" si="8"/>
        <v>200</v>
      </c>
      <c r="L10" s="65" t="str">
        <f>average(L3:L9)</f>
        <v>#DIV/0!</v>
      </c>
      <c r="M10" s="68"/>
      <c r="N10" s="368">
        <f>sum(N3:N9)</f>
        <v>3821000</v>
      </c>
    </row>
    <row r="11">
      <c r="A11" s="70">
        <v>45694.0</v>
      </c>
      <c r="B11" s="302" t="s">
        <v>12</v>
      </c>
      <c r="C11" s="89">
        <v>138185.0</v>
      </c>
      <c r="D11" s="89">
        <v>138559.0</v>
      </c>
      <c r="E11" s="38">
        <f t="shared" ref="E11:E17" si="9">D11-C11</f>
        <v>374</v>
      </c>
      <c r="F11" s="39">
        <v>53.0</v>
      </c>
      <c r="G11" s="14">
        <f t="shared" ref="G11:G17" si="10">(F11/E11)*100</f>
        <v>14.17112299</v>
      </c>
      <c r="H11" s="137"/>
      <c r="I11" s="138">
        <v>7522.0</v>
      </c>
      <c r="J11" s="41">
        <f t="shared" ref="J11:J17" si="11">I11-H11</f>
        <v>7522</v>
      </c>
      <c r="K11" s="41">
        <f t="shared" ref="K11:K17" si="12">F11</f>
        <v>53</v>
      </c>
      <c r="L11" s="303">
        <f t="shared" ref="L11:L17" si="13">(K11/J11)*100</f>
        <v>0.7045998405</v>
      </c>
      <c r="M11" s="72">
        <v>19240.0</v>
      </c>
      <c r="N11" s="336">
        <f t="shared" ref="N11:N17" si="14">F11*M11</f>
        <v>1019720</v>
      </c>
    </row>
    <row r="12">
      <c r="A12" s="154">
        <v>45702.0</v>
      </c>
      <c r="B12" s="156" t="s">
        <v>12</v>
      </c>
      <c r="C12" s="89">
        <v>138559.0</v>
      </c>
      <c r="D12" s="89">
        <v>138964.0</v>
      </c>
      <c r="E12" s="12">
        <f t="shared" si="9"/>
        <v>405</v>
      </c>
      <c r="F12" s="157">
        <v>55.0</v>
      </c>
      <c r="G12" s="14">
        <f t="shared" si="10"/>
        <v>13.58024691</v>
      </c>
      <c r="H12" s="89">
        <v>7522.0</v>
      </c>
      <c r="I12" s="137">
        <v>7958.0</v>
      </c>
      <c r="J12" s="89">
        <f t="shared" si="11"/>
        <v>436</v>
      </c>
      <c r="K12" s="89">
        <f t="shared" si="12"/>
        <v>55</v>
      </c>
      <c r="L12" s="152">
        <f t="shared" si="13"/>
        <v>12.6146789</v>
      </c>
      <c r="M12" s="126">
        <v>19070.0</v>
      </c>
      <c r="N12" s="338">
        <f t="shared" si="14"/>
        <v>1048850</v>
      </c>
    </row>
    <row r="13">
      <c r="A13" s="154">
        <v>45707.0</v>
      </c>
      <c r="B13" s="156" t="s">
        <v>12</v>
      </c>
      <c r="C13" s="89">
        <v>138964.0</v>
      </c>
      <c r="D13" s="89">
        <v>139344.0</v>
      </c>
      <c r="E13" s="12">
        <f t="shared" si="9"/>
        <v>380</v>
      </c>
      <c r="F13" s="157">
        <v>56.0</v>
      </c>
      <c r="G13" s="14">
        <f t="shared" si="10"/>
        <v>14.73684211</v>
      </c>
      <c r="H13" s="89">
        <v>7958.0</v>
      </c>
      <c r="I13" s="137">
        <v>8417.0</v>
      </c>
      <c r="J13" s="89">
        <f t="shared" si="11"/>
        <v>459</v>
      </c>
      <c r="K13" s="89">
        <f t="shared" si="12"/>
        <v>56</v>
      </c>
      <c r="L13" s="152">
        <f t="shared" si="13"/>
        <v>12.20043573</v>
      </c>
      <c r="M13" s="126">
        <v>19070.0</v>
      </c>
      <c r="N13" s="338">
        <f t="shared" si="14"/>
        <v>1067920</v>
      </c>
    </row>
    <row r="14">
      <c r="A14" s="154">
        <v>45714.0</v>
      </c>
      <c r="B14" s="156" t="s">
        <v>12</v>
      </c>
      <c r="C14" s="89">
        <v>139344.0</v>
      </c>
      <c r="D14" s="89">
        <v>139751.0</v>
      </c>
      <c r="E14" s="12">
        <f t="shared" si="9"/>
        <v>407</v>
      </c>
      <c r="F14" s="157">
        <v>52.0</v>
      </c>
      <c r="G14" s="14">
        <f t="shared" si="10"/>
        <v>12.77641278</v>
      </c>
      <c r="H14" s="89">
        <v>8417.0</v>
      </c>
      <c r="I14" s="137">
        <v>8773.0</v>
      </c>
      <c r="J14" s="89">
        <f t="shared" si="11"/>
        <v>356</v>
      </c>
      <c r="K14" s="89">
        <f t="shared" si="12"/>
        <v>52</v>
      </c>
      <c r="L14" s="152">
        <f t="shared" si="13"/>
        <v>14.60674157</v>
      </c>
      <c r="M14" s="126">
        <v>19060.0</v>
      </c>
      <c r="N14" s="339">
        <f t="shared" si="14"/>
        <v>991120</v>
      </c>
    </row>
    <row r="15">
      <c r="A15" s="154"/>
      <c r="B15" s="156" t="s">
        <v>12</v>
      </c>
      <c r="C15" s="89"/>
      <c r="D15" s="89"/>
      <c r="E15" s="12">
        <f t="shared" si="9"/>
        <v>0</v>
      </c>
      <c r="F15" s="157"/>
      <c r="G15" s="14" t="str">
        <f t="shared" si="10"/>
        <v>#DIV/0!</v>
      </c>
      <c r="H15" s="89"/>
      <c r="I15" s="137"/>
      <c r="J15" s="89">
        <f t="shared" si="11"/>
        <v>0</v>
      </c>
      <c r="K15" s="89" t="str">
        <f t="shared" si="12"/>
        <v/>
      </c>
      <c r="L15" s="152" t="str">
        <f t="shared" si="13"/>
        <v>#DIV/0!</v>
      </c>
      <c r="M15" s="126"/>
      <c r="N15" s="367">
        <f t="shared" si="14"/>
        <v>0</v>
      </c>
    </row>
    <row r="16">
      <c r="A16" s="320"/>
      <c r="B16" s="156" t="s">
        <v>12</v>
      </c>
      <c r="C16" s="89"/>
      <c r="D16" s="158"/>
      <c r="E16" s="12">
        <f t="shared" si="9"/>
        <v>0</v>
      </c>
      <c r="F16" s="321"/>
      <c r="G16" s="14" t="str">
        <f t="shared" si="10"/>
        <v>#DIV/0!</v>
      </c>
      <c r="H16" s="89"/>
      <c r="I16" s="159"/>
      <c r="J16" s="89">
        <f t="shared" si="11"/>
        <v>0</v>
      </c>
      <c r="K16" s="89" t="str">
        <f t="shared" si="12"/>
        <v/>
      </c>
      <c r="L16" s="152" t="str">
        <f t="shared" si="13"/>
        <v>#DIV/0!</v>
      </c>
      <c r="M16" s="322"/>
      <c r="N16" s="367">
        <f t="shared" si="14"/>
        <v>0</v>
      </c>
    </row>
    <row r="17">
      <c r="A17" s="305"/>
      <c r="B17" s="306"/>
      <c r="C17" s="149"/>
      <c r="D17" s="150"/>
      <c r="E17" s="25">
        <f t="shared" si="9"/>
        <v>0</v>
      </c>
      <c r="F17" s="307"/>
      <c r="G17" s="56" t="str">
        <f t="shared" si="10"/>
        <v>#DIV/0!</v>
      </c>
      <c r="H17" s="149"/>
      <c r="I17" s="151"/>
      <c r="J17" s="149">
        <f t="shared" si="11"/>
        <v>0</v>
      </c>
      <c r="K17" s="149" t="str">
        <f t="shared" si="12"/>
        <v/>
      </c>
      <c r="L17" s="71" t="str">
        <f t="shared" si="13"/>
        <v>#DIV/0!</v>
      </c>
      <c r="M17" s="308"/>
      <c r="N17" s="380">
        <f t="shared" si="14"/>
        <v>0</v>
      </c>
    </row>
    <row r="18">
      <c r="A18" s="62"/>
      <c r="B18" s="63"/>
      <c r="C18" s="62"/>
      <c r="D18" s="64" t="s">
        <v>19</v>
      </c>
      <c r="E18" s="64">
        <f t="shared" ref="E18:F18" si="15">sum(E11:E17)</f>
        <v>1566</v>
      </c>
      <c r="F18" s="64">
        <f t="shared" si="15"/>
        <v>216</v>
      </c>
      <c r="G18" s="65" t="str">
        <f>average(G11:G17)</f>
        <v>#DIV/0!</v>
      </c>
      <c r="H18" s="62"/>
      <c r="I18" s="66"/>
      <c r="J18" s="64">
        <f t="shared" ref="J18:K18" si="16">sum(J11:J17)</f>
        <v>8773</v>
      </c>
      <c r="K18" s="64">
        <f t="shared" si="16"/>
        <v>216</v>
      </c>
      <c r="L18" s="65" t="str">
        <f>average(L11:L17)</f>
        <v>#DIV/0!</v>
      </c>
      <c r="M18" s="68"/>
      <c r="N18" s="368">
        <f>sum(N11:N17)</f>
        <v>4127610</v>
      </c>
    </row>
    <row r="19">
      <c r="A19" s="70">
        <v>45692.0</v>
      </c>
      <c r="B19" s="302" t="s">
        <v>13</v>
      </c>
      <c r="C19" s="89">
        <v>156160.0</v>
      </c>
      <c r="D19" s="41">
        <v>156415.0</v>
      </c>
      <c r="E19" s="38">
        <f t="shared" ref="E19:E25" si="17">D19-C19</f>
        <v>255</v>
      </c>
      <c r="F19" s="39">
        <v>52.0</v>
      </c>
      <c r="G19" s="14">
        <f t="shared" ref="G19:G25" si="18">(F19/E19)*100</f>
        <v>20.39215686</v>
      </c>
      <c r="H19" s="89">
        <v>7727.0</v>
      </c>
      <c r="I19" s="138">
        <v>8179.0</v>
      </c>
      <c r="J19" s="41">
        <f t="shared" ref="J19:J25" si="19">I19-H19</f>
        <v>452</v>
      </c>
      <c r="K19" s="41">
        <f t="shared" ref="K19:K25" si="20">F19</f>
        <v>52</v>
      </c>
      <c r="L19" s="152">
        <f t="shared" ref="L19:L25" si="21">(K19/J19)*100</f>
        <v>11.50442478</v>
      </c>
      <c r="M19" s="72">
        <v>19240.0</v>
      </c>
      <c r="N19" s="336">
        <f t="shared" ref="N19:N25" si="22">F19*M19</f>
        <v>1000480</v>
      </c>
    </row>
    <row r="20">
      <c r="A20" s="154">
        <v>45699.0</v>
      </c>
      <c r="B20" s="156" t="s">
        <v>13</v>
      </c>
      <c r="C20" s="41">
        <v>156415.0</v>
      </c>
      <c r="D20" s="89">
        <v>156776.0</v>
      </c>
      <c r="E20" s="12">
        <f t="shared" si="17"/>
        <v>361</v>
      </c>
      <c r="F20" s="157">
        <v>50.0</v>
      </c>
      <c r="G20" s="14">
        <f t="shared" si="18"/>
        <v>13.85041551</v>
      </c>
      <c r="H20" s="89">
        <v>8179.0</v>
      </c>
      <c r="I20" s="137">
        <v>8294.0</v>
      </c>
      <c r="J20" s="89">
        <f t="shared" si="19"/>
        <v>115</v>
      </c>
      <c r="K20" s="89">
        <f t="shared" si="20"/>
        <v>50</v>
      </c>
      <c r="L20" s="152">
        <f t="shared" si="21"/>
        <v>43.47826087</v>
      </c>
      <c r="M20" s="126">
        <v>19050.0</v>
      </c>
      <c r="N20" s="338">
        <f t="shared" si="22"/>
        <v>952500</v>
      </c>
    </row>
    <row r="21">
      <c r="A21" s="154">
        <v>45702.0</v>
      </c>
      <c r="B21" s="156" t="s">
        <v>13</v>
      </c>
      <c r="C21" s="89">
        <v>156776.0</v>
      </c>
      <c r="D21" s="89">
        <v>157154.0</v>
      </c>
      <c r="E21" s="12">
        <f t="shared" si="17"/>
        <v>378</v>
      </c>
      <c r="F21" s="157">
        <v>43.0</v>
      </c>
      <c r="G21" s="14">
        <f t="shared" si="18"/>
        <v>11.37566138</v>
      </c>
      <c r="H21" s="89">
        <v>8294.0</v>
      </c>
      <c r="I21" s="137">
        <v>8654.0</v>
      </c>
      <c r="J21" s="89">
        <f t="shared" si="19"/>
        <v>360</v>
      </c>
      <c r="K21" s="89">
        <f t="shared" si="20"/>
        <v>43</v>
      </c>
      <c r="L21" s="152">
        <f t="shared" si="21"/>
        <v>11.94444444</v>
      </c>
      <c r="M21" s="126">
        <v>19070.0</v>
      </c>
      <c r="N21" s="338">
        <f t="shared" si="22"/>
        <v>820010</v>
      </c>
    </row>
    <row r="22">
      <c r="A22" s="154">
        <v>45708.0</v>
      </c>
      <c r="B22" s="156" t="s">
        <v>13</v>
      </c>
      <c r="C22" s="89">
        <v>157154.0</v>
      </c>
      <c r="D22" s="89">
        <v>157492.0</v>
      </c>
      <c r="E22" s="12">
        <f t="shared" si="17"/>
        <v>338</v>
      </c>
      <c r="F22" s="157">
        <v>46.0</v>
      </c>
      <c r="G22" s="14">
        <f t="shared" si="18"/>
        <v>13.60946746</v>
      </c>
      <c r="H22" s="89">
        <v>8654.0</v>
      </c>
      <c r="I22" s="137">
        <v>9062.0</v>
      </c>
      <c r="J22" s="89">
        <f t="shared" si="19"/>
        <v>408</v>
      </c>
      <c r="K22" s="89">
        <f t="shared" si="20"/>
        <v>46</v>
      </c>
      <c r="L22" s="152">
        <f t="shared" si="21"/>
        <v>11.2745098</v>
      </c>
      <c r="M22" s="126">
        <v>19070.0</v>
      </c>
      <c r="N22" s="339">
        <f t="shared" si="22"/>
        <v>877220</v>
      </c>
    </row>
    <row r="23">
      <c r="A23" s="154">
        <v>45714.0</v>
      </c>
      <c r="B23" s="156" t="s">
        <v>13</v>
      </c>
      <c r="C23" s="89">
        <v>157492.0</v>
      </c>
      <c r="D23" s="89">
        <v>157805.0</v>
      </c>
      <c r="E23" s="12">
        <f t="shared" si="17"/>
        <v>313</v>
      </c>
      <c r="F23" s="157">
        <v>44.0</v>
      </c>
      <c r="G23" s="14">
        <f t="shared" si="18"/>
        <v>14.05750799</v>
      </c>
      <c r="H23" s="89">
        <v>9062.0</v>
      </c>
      <c r="I23" s="137">
        <v>9387.0</v>
      </c>
      <c r="J23" s="89">
        <f t="shared" si="19"/>
        <v>325</v>
      </c>
      <c r="K23" s="89">
        <f t="shared" si="20"/>
        <v>44</v>
      </c>
      <c r="L23" s="152">
        <f t="shared" si="21"/>
        <v>13.53846154</v>
      </c>
      <c r="M23" s="126">
        <v>19060.0</v>
      </c>
      <c r="N23" s="339">
        <f t="shared" si="22"/>
        <v>838640</v>
      </c>
    </row>
    <row r="24">
      <c r="A24" s="154"/>
      <c r="B24" s="99" t="s">
        <v>13</v>
      </c>
      <c r="C24" s="89"/>
      <c r="D24" s="89"/>
      <c r="E24" s="12">
        <f t="shared" si="17"/>
        <v>0</v>
      </c>
      <c r="F24" s="157"/>
      <c r="G24" s="14" t="str">
        <f t="shared" si="18"/>
        <v>#DIV/0!</v>
      </c>
      <c r="H24" s="89"/>
      <c r="I24" s="137"/>
      <c r="J24" s="89">
        <f t="shared" si="19"/>
        <v>0</v>
      </c>
      <c r="K24" s="89" t="str">
        <f t="shared" si="20"/>
        <v/>
      </c>
      <c r="L24" s="152" t="str">
        <f t="shared" si="21"/>
        <v>#DIV/0!</v>
      </c>
      <c r="M24" s="126"/>
      <c r="N24" s="367">
        <f t="shared" si="22"/>
        <v>0</v>
      </c>
    </row>
    <row r="25">
      <c r="A25" s="305"/>
      <c r="B25" s="36" t="s">
        <v>13</v>
      </c>
      <c r="C25" s="149"/>
      <c r="D25" s="150"/>
      <c r="E25" s="25">
        <f t="shared" si="17"/>
        <v>0</v>
      </c>
      <c r="F25" s="307"/>
      <c r="G25" s="56" t="str">
        <f t="shared" si="18"/>
        <v>#DIV/0!</v>
      </c>
      <c r="H25" s="149"/>
      <c r="I25" s="151"/>
      <c r="J25" s="149">
        <f t="shared" si="19"/>
        <v>0</v>
      </c>
      <c r="K25" s="149" t="str">
        <f t="shared" si="20"/>
        <v/>
      </c>
      <c r="L25" s="152" t="str">
        <f t="shared" si="21"/>
        <v>#DIV/0!</v>
      </c>
      <c r="M25" s="308"/>
      <c r="N25" s="380">
        <f t="shared" si="22"/>
        <v>0</v>
      </c>
      <c r="Q25" s="80">
        <f>12679200/3169800</f>
        <v>4</v>
      </c>
    </row>
    <row r="26">
      <c r="A26" s="62"/>
      <c r="B26" s="63"/>
      <c r="C26" s="62"/>
      <c r="D26" s="64" t="s">
        <v>19</v>
      </c>
      <c r="E26" s="64">
        <f t="shared" ref="E26:F26" si="23">sum(E19:E25)</f>
        <v>1645</v>
      </c>
      <c r="F26" s="64">
        <f t="shared" si="23"/>
        <v>235</v>
      </c>
      <c r="G26" s="65" t="str">
        <f>average(G19:G25)</f>
        <v>#DIV/0!</v>
      </c>
      <c r="H26" s="62"/>
      <c r="I26" s="66"/>
      <c r="J26" s="64">
        <f t="shared" ref="J26:K26" si="24">sum(J19:J25)</f>
        <v>1660</v>
      </c>
      <c r="K26" s="64">
        <f t="shared" si="24"/>
        <v>235</v>
      </c>
      <c r="L26" s="65" t="str">
        <f>average(L19:L25)</f>
        <v>#DIV/0!</v>
      </c>
      <c r="M26" s="68"/>
      <c r="N26" s="368">
        <f>sum(N19:N25)</f>
        <v>4488850</v>
      </c>
    </row>
    <row r="27">
      <c r="A27" s="70">
        <v>45695.0</v>
      </c>
      <c r="B27" s="302" t="s">
        <v>14</v>
      </c>
      <c r="C27" s="89">
        <v>157588.0</v>
      </c>
      <c r="D27" s="41">
        <v>157998.0</v>
      </c>
      <c r="E27" s="38">
        <f t="shared" ref="E27:E33" si="25">D27-C27</f>
        <v>410</v>
      </c>
      <c r="F27" s="39">
        <v>50.0</v>
      </c>
      <c r="G27" s="14">
        <f t="shared" ref="G27:G33" si="26">(F27/E27)*100</f>
        <v>12.19512195</v>
      </c>
      <c r="H27" s="137"/>
      <c r="I27" s="138">
        <v>639.0</v>
      </c>
      <c r="J27" s="41">
        <f t="shared" ref="J27:J33" si="27">I27-H27</f>
        <v>639</v>
      </c>
      <c r="K27" s="41">
        <f t="shared" ref="K27:K33" si="28">F27</f>
        <v>50</v>
      </c>
      <c r="L27" s="152">
        <f t="shared" ref="L27:L33" si="29">(K27/J27)*100</f>
        <v>7.824726135</v>
      </c>
      <c r="M27" s="72">
        <v>19051.0</v>
      </c>
      <c r="N27" s="336">
        <f t="shared" ref="N27:N33" si="30">F27*M27</f>
        <v>952550</v>
      </c>
    </row>
    <row r="28">
      <c r="A28" s="154">
        <v>45701.0</v>
      </c>
      <c r="B28" s="156" t="s">
        <v>14</v>
      </c>
      <c r="C28" s="89">
        <v>157998.0</v>
      </c>
      <c r="D28" s="89">
        <v>158359.0</v>
      </c>
      <c r="E28" s="12">
        <f t="shared" si="25"/>
        <v>361</v>
      </c>
      <c r="F28" s="157">
        <v>40.0</v>
      </c>
      <c r="G28" s="14">
        <f t="shared" si="26"/>
        <v>11.08033241</v>
      </c>
      <c r="H28" s="89">
        <v>639.0</v>
      </c>
      <c r="I28" s="137">
        <v>1084.0</v>
      </c>
      <c r="J28" s="89">
        <f t="shared" si="27"/>
        <v>445</v>
      </c>
      <c r="K28" s="89">
        <f t="shared" si="28"/>
        <v>40</v>
      </c>
      <c r="L28" s="152">
        <f t="shared" si="29"/>
        <v>8.988764045</v>
      </c>
      <c r="M28" s="126">
        <v>19050.0</v>
      </c>
      <c r="N28" s="338">
        <f t="shared" si="30"/>
        <v>762000</v>
      </c>
    </row>
    <row r="29">
      <c r="A29" s="154">
        <v>45707.0</v>
      </c>
      <c r="B29" s="156" t="s">
        <v>14</v>
      </c>
      <c r="C29" s="89">
        <v>158359.0</v>
      </c>
      <c r="D29" s="89">
        <v>158741.0</v>
      </c>
      <c r="E29" s="12">
        <f t="shared" si="25"/>
        <v>382</v>
      </c>
      <c r="F29" s="157">
        <v>50.0</v>
      </c>
      <c r="G29" s="14">
        <f t="shared" si="26"/>
        <v>13.08900524</v>
      </c>
      <c r="H29" s="89">
        <v>1084.0</v>
      </c>
      <c r="I29" s="137">
        <v>1565.0</v>
      </c>
      <c r="J29" s="89">
        <f t="shared" si="27"/>
        <v>481</v>
      </c>
      <c r="K29" s="89">
        <f t="shared" si="28"/>
        <v>50</v>
      </c>
      <c r="L29" s="152">
        <f t="shared" si="29"/>
        <v>10.3950104</v>
      </c>
      <c r="M29" s="126">
        <v>19070.0</v>
      </c>
      <c r="N29" s="339">
        <f t="shared" si="30"/>
        <v>953500</v>
      </c>
    </row>
    <row r="30">
      <c r="A30" s="272" t="s">
        <v>109</v>
      </c>
      <c r="B30" s="156" t="s">
        <v>14</v>
      </c>
      <c r="C30" s="89">
        <v>158741.0</v>
      </c>
      <c r="D30" s="89">
        <v>159159.0</v>
      </c>
      <c r="E30" s="12">
        <f t="shared" si="25"/>
        <v>418</v>
      </c>
      <c r="F30" s="157">
        <v>50.0</v>
      </c>
      <c r="G30" s="14">
        <f t="shared" si="26"/>
        <v>11.96172249</v>
      </c>
      <c r="H30" s="89">
        <v>1565.0</v>
      </c>
      <c r="I30" s="137"/>
      <c r="J30" s="89">
        <f t="shared" si="27"/>
        <v>-1565</v>
      </c>
      <c r="K30" s="89">
        <f t="shared" si="28"/>
        <v>50</v>
      </c>
      <c r="L30" s="152">
        <f t="shared" si="29"/>
        <v>-3.194888179</v>
      </c>
      <c r="M30" s="126">
        <v>19060.0</v>
      </c>
      <c r="N30" s="339">
        <f t="shared" si="30"/>
        <v>953000</v>
      </c>
    </row>
    <row r="31">
      <c r="A31" s="154"/>
      <c r="B31" s="156" t="s">
        <v>14</v>
      </c>
      <c r="C31" s="89"/>
      <c r="D31" s="89"/>
      <c r="E31" s="12">
        <f t="shared" si="25"/>
        <v>0</v>
      </c>
      <c r="F31" s="157"/>
      <c r="G31" s="14" t="str">
        <f t="shared" si="26"/>
        <v>#DIV/0!</v>
      </c>
      <c r="H31" s="89"/>
      <c r="I31" s="137"/>
      <c r="J31" s="89">
        <f t="shared" si="27"/>
        <v>0</v>
      </c>
      <c r="K31" s="89" t="str">
        <f t="shared" si="28"/>
        <v/>
      </c>
      <c r="L31" s="152" t="str">
        <f t="shared" si="29"/>
        <v>#DIV/0!</v>
      </c>
      <c r="M31" s="126"/>
      <c r="N31" s="367">
        <f t="shared" si="30"/>
        <v>0</v>
      </c>
    </row>
    <row r="32">
      <c r="A32" s="154"/>
      <c r="B32" s="156" t="s">
        <v>14</v>
      </c>
      <c r="C32" s="89"/>
      <c r="D32" s="89"/>
      <c r="E32" s="12">
        <f t="shared" si="25"/>
        <v>0</v>
      </c>
      <c r="F32" s="157"/>
      <c r="G32" s="14" t="str">
        <f t="shared" si="26"/>
        <v>#DIV/0!</v>
      </c>
      <c r="H32" s="89"/>
      <c r="I32" s="137"/>
      <c r="J32" s="89">
        <f t="shared" si="27"/>
        <v>0</v>
      </c>
      <c r="K32" s="89" t="str">
        <f t="shared" si="28"/>
        <v/>
      </c>
      <c r="L32" s="152" t="str">
        <f t="shared" si="29"/>
        <v>#DIV/0!</v>
      </c>
      <c r="M32" s="126"/>
      <c r="N32" s="367">
        <f t="shared" si="30"/>
        <v>0</v>
      </c>
    </row>
    <row r="33">
      <c r="A33" s="305"/>
      <c r="B33" s="306"/>
      <c r="C33" s="149"/>
      <c r="D33" s="150"/>
      <c r="E33" s="25">
        <f t="shared" si="25"/>
        <v>0</v>
      </c>
      <c r="F33" s="307"/>
      <c r="G33" s="56" t="str">
        <f t="shared" si="26"/>
        <v>#DIV/0!</v>
      </c>
      <c r="H33" s="149"/>
      <c r="I33" s="151"/>
      <c r="J33" s="149">
        <f t="shared" si="27"/>
        <v>0</v>
      </c>
      <c r="K33" s="149" t="str">
        <f t="shared" si="28"/>
        <v/>
      </c>
      <c r="L33" s="152" t="str">
        <f t="shared" si="29"/>
        <v>#DIV/0!</v>
      </c>
      <c r="M33" s="308"/>
      <c r="N33" s="380">
        <f t="shared" si="30"/>
        <v>0</v>
      </c>
    </row>
    <row r="34">
      <c r="A34" s="62"/>
      <c r="B34" s="63"/>
      <c r="C34" s="62"/>
      <c r="D34" s="64" t="s">
        <v>19</v>
      </c>
      <c r="E34" s="64">
        <f t="shared" ref="E34:F34" si="31">sum(E27:E33)</f>
        <v>1571</v>
      </c>
      <c r="F34" s="64">
        <f t="shared" si="31"/>
        <v>190</v>
      </c>
      <c r="G34" s="65" t="str">
        <f>average(G27:G33)</f>
        <v>#DIV/0!</v>
      </c>
      <c r="H34" s="62"/>
      <c r="I34" s="66"/>
      <c r="J34" s="64">
        <f t="shared" ref="J34:K34" si="32">sum(J27:J33)</f>
        <v>0</v>
      </c>
      <c r="K34" s="64">
        <f t="shared" si="32"/>
        <v>190</v>
      </c>
      <c r="L34" s="65" t="str">
        <f>average(L27:L33)</f>
        <v>#DIV/0!</v>
      </c>
      <c r="M34" s="68"/>
      <c r="N34" s="368">
        <f>sum(N27:N33)</f>
        <v>3621050</v>
      </c>
    </row>
    <row r="35">
      <c r="A35" s="70">
        <v>45695.0</v>
      </c>
      <c r="B35" s="302" t="s">
        <v>15</v>
      </c>
      <c r="C35" s="89">
        <v>144419.0</v>
      </c>
      <c r="D35" s="41">
        <v>144796.0</v>
      </c>
      <c r="E35" s="38">
        <f t="shared" ref="E35:E41" si="33">D35-C35</f>
        <v>377</v>
      </c>
      <c r="F35" s="39">
        <v>45.0</v>
      </c>
      <c r="G35" s="14">
        <f t="shared" ref="G35:G41" si="34">(F35/E35)*100</f>
        <v>11.93633952</v>
      </c>
      <c r="H35" s="137"/>
      <c r="I35" s="138">
        <v>8362.0</v>
      </c>
      <c r="J35" s="41">
        <f t="shared" ref="J35:J41" si="35">I35-H35</f>
        <v>8362</v>
      </c>
      <c r="K35" s="41">
        <f t="shared" ref="K35:K41" si="36">F35</f>
        <v>45</v>
      </c>
      <c r="L35" s="152">
        <f t="shared" ref="L35:L41" si="37">(K35/J35)*100</f>
        <v>0.5381487682</v>
      </c>
      <c r="M35" s="72">
        <v>19051.0</v>
      </c>
      <c r="N35" s="336">
        <f t="shared" ref="N35:N41" si="38">F35*M35</f>
        <v>857295</v>
      </c>
    </row>
    <row r="36">
      <c r="A36" s="154">
        <v>45701.0</v>
      </c>
      <c r="B36" s="156" t="s">
        <v>15</v>
      </c>
      <c r="C36" s="89">
        <v>144796.0</v>
      </c>
      <c r="D36" s="89">
        <v>145131.0</v>
      </c>
      <c r="E36" s="12">
        <f t="shared" si="33"/>
        <v>335</v>
      </c>
      <c r="F36" s="157">
        <v>40.0</v>
      </c>
      <c r="G36" s="14">
        <f t="shared" si="34"/>
        <v>11.94029851</v>
      </c>
      <c r="H36" s="138">
        <v>8362.0</v>
      </c>
      <c r="I36" s="137">
        <v>8754.0</v>
      </c>
      <c r="J36" s="89">
        <f t="shared" si="35"/>
        <v>392</v>
      </c>
      <c r="K36" s="89">
        <f t="shared" si="36"/>
        <v>40</v>
      </c>
      <c r="L36" s="152">
        <f t="shared" si="37"/>
        <v>10.20408163</v>
      </c>
      <c r="M36" s="126">
        <v>19070.0</v>
      </c>
      <c r="N36" s="338">
        <f t="shared" si="38"/>
        <v>762800</v>
      </c>
    </row>
    <row r="37">
      <c r="A37" s="154">
        <v>45708.0</v>
      </c>
      <c r="B37" s="156" t="s">
        <v>15</v>
      </c>
      <c r="C37" s="89">
        <v>145131.0</v>
      </c>
      <c r="D37" s="89">
        <v>145435.0</v>
      </c>
      <c r="E37" s="12">
        <f t="shared" si="33"/>
        <v>304</v>
      </c>
      <c r="F37" s="157">
        <v>40.0</v>
      </c>
      <c r="G37" s="14">
        <f t="shared" si="34"/>
        <v>13.15789474</v>
      </c>
      <c r="H37" s="89">
        <v>8754.0</v>
      </c>
      <c r="I37" s="137">
        <v>9024.0</v>
      </c>
      <c r="J37" s="89">
        <f t="shared" si="35"/>
        <v>270</v>
      </c>
      <c r="K37" s="89">
        <f t="shared" si="36"/>
        <v>40</v>
      </c>
      <c r="L37" s="152">
        <f t="shared" si="37"/>
        <v>14.81481481</v>
      </c>
      <c r="M37" s="126">
        <v>19070.0</v>
      </c>
      <c r="N37" s="338">
        <f t="shared" si="38"/>
        <v>762800</v>
      </c>
    </row>
    <row r="38">
      <c r="A38" s="154">
        <v>45714.0</v>
      </c>
      <c r="B38" s="156" t="s">
        <v>15</v>
      </c>
      <c r="C38" s="89">
        <v>145435.0</v>
      </c>
      <c r="D38" s="89">
        <v>145748.0</v>
      </c>
      <c r="E38" s="12">
        <f t="shared" si="33"/>
        <v>313</v>
      </c>
      <c r="F38" s="157">
        <v>39.0</v>
      </c>
      <c r="G38" s="14">
        <f t="shared" si="34"/>
        <v>12.4600639</v>
      </c>
      <c r="H38" s="89">
        <v>9024.0</v>
      </c>
      <c r="I38" s="137">
        <v>9513.0</v>
      </c>
      <c r="J38" s="89">
        <f t="shared" si="35"/>
        <v>489</v>
      </c>
      <c r="K38" s="89">
        <f t="shared" si="36"/>
        <v>39</v>
      </c>
      <c r="L38" s="152">
        <f t="shared" si="37"/>
        <v>7.975460123</v>
      </c>
      <c r="M38" s="126">
        <v>19060.0</v>
      </c>
      <c r="N38" s="338">
        <f t="shared" si="38"/>
        <v>743340</v>
      </c>
    </row>
    <row r="39">
      <c r="A39" s="154"/>
      <c r="B39" s="156" t="s">
        <v>15</v>
      </c>
      <c r="C39" s="89"/>
      <c r="D39" s="89"/>
      <c r="E39" s="12">
        <f t="shared" si="33"/>
        <v>0</v>
      </c>
      <c r="F39" s="157"/>
      <c r="G39" s="14" t="str">
        <f t="shared" si="34"/>
        <v>#DIV/0!</v>
      </c>
      <c r="H39" s="89"/>
      <c r="I39" s="137"/>
      <c r="J39" s="89">
        <f t="shared" si="35"/>
        <v>0</v>
      </c>
      <c r="K39" s="89" t="str">
        <f t="shared" si="36"/>
        <v/>
      </c>
      <c r="L39" s="152" t="str">
        <f t="shared" si="37"/>
        <v>#DIV/0!</v>
      </c>
      <c r="M39" s="126"/>
      <c r="N39" s="367">
        <f t="shared" si="38"/>
        <v>0</v>
      </c>
    </row>
    <row r="40">
      <c r="A40" s="312"/>
      <c r="B40" s="156" t="s">
        <v>15</v>
      </c>
      <c r="C40" s="89"/>
      <c r="D40" s="89"/>
      <c r="E40" s="12">
        <f t="shared" si="33"/>
        <v>0</v>
      </c>
      <c r="F40" s="157"/>
      <c r="G40" s="14" t="str">
        <f t="shared" si="34"/>
        <v>#DIV/0!</v>
      </c>
      <c r="H40" s="89"/>
      <c r="I40" s="137"/>
      <c r="J40" s="89">
        <f t="shared" si="35"/>
        <v>0</v>
      </c>
      <c r="K40" s="89" t="str">
        <f t="shared" si="36"/>
        <v/>
      </c>
      <c r="L40" s="152" t="str">
        <f t="shared" si="37"/>
        <v>#DIV/0!</v>
      </c>
      <c r="M40" s="126"/>
      <c r="N40" s="367">
        <f t="shared" si="38"/>
        <v>0</v>
      </c>
    </row>
    <row r="41">
      <c r="A41" s="305"/>
      <c r="B41" s="306"/>
      <c r="C41" s="149"/>
      <c r="D41" s="150"/>
      <c r="E41" s="25">
        <f t="shared" si="33"/>
        <v>0</v>
      </c>
      <c r="F41" s="307"/>
      <c r="G41" s="56" t="str">
        <f t="shared" si="34"/>
        <v>#DIV/0!</v>
      </c>
      <c r="H41" s="149"/>
      <c r="I41" s="151"/>
      <c r="J41" s="149">
        <f t="shared" si="35"/>
        <v>0</v>
      </c>
      <c r="K41" s="149" t="str">
        <f t="shared" si="36"/>
        <v/>
      </c>
      <c r="L41" s="152" t="str">
        <f t="shared" si="37"/>
        <v>#DIV/0!</v>
      </c>
      <c r="M41" s="308"/>
      <c r="N41" s="380">
        <f t="shared" si="38"/>
        <v>0</v>
      </c>
    </row>
    <row r="42">
      <c r="A42" s="62"/>
      <c r="B42" s="63"/>
      <c r="C42" s="62"/>
      <c r="D42" s="64" t="s">
        <v>19</v>
      </c>
      <c r="E42" s="64">
        <f t="shared" ref="E42:F42" si="39">sum(E35:E41)</f>
        <v>1329</v>
      </c>
      <c r="F42" s="64">
        <f t="shared" si="39"/>
        <v>164</v>
      </c>
      <c r="G42" s="65" t="str">
        <f>average(G35:G41)</f>
        <v>#DIV/0!</v>
      </c>
      <c r="H42" s="62"/>
      <c r="I42" s="66"/>
      <c r="J42" s="64">
        <f t="shared" ref="J42:K42" si="40">sum(J35:J41)</f>
        <v>9513</v>
      </c>
      <c r="K42" s="64">
        <f t="shared" si="40"/>
        <v>164</v>
      </c>
      <c r="L42" s="65" t="str">
        <f>average(L35:L41)</f>
        <v>#DIV/0!</v>
      </c>
      <c r="M42" s="68"/>
      <c r="N42" s="368">
        <f>sum(N35:N41)</f>
        <v>3126235</v>
      </c>
    </row>
    <row r="43">
      <c r="A43" s="381">
        <v>45693.0</v>
      </c>
      <c r="B43" s="302" t="s">
        <v>16</v>
      </c>
      <c r="C43" s="89">
        <v>120542.0</v>
      </c>
      <c r="D43" s="41">
        <v>120860.0</v>
      </c>
      <c r="E43" s="38">
        <f t="shared" ref="E43:E49" si="41">D43-C43</f>
        <v>318</v>
      </c>
      <c r="F43" s="39">
        <v>45.0</v>
      </c>
      <c r="G43" s="14">
        <f t="shared" ref="G43:G49" si="42">(F43/E43)*100</f>
        <v>14.1509434</v>
      </c>
      <c r="H43" s="89">
        <v>7642.0</v>
      </c>
      <c r="I43" s="138">
        <v>8086.0</v>
      </c>
      <c r="J43" s="41">
        <f t="shared" ref="J43:J49" si="43">I43-H43</f>
        <v>444</v>
      </c>
      <c r="K43" s="41">
        <f t="shared" ref="K43:K49" si="44">F43</f>
        <v>45</v>
      </c>
      <c r="L43" s="152">
        <f t="shared" ref="L43:L49" si="45">(K43/J43)*100</f>
        <v>10.13513514</v>
      </c>
      <c r="M43" s="72">
        <v>19240.0</v>
      </c>
      <c r="N43" s="336">
        <f t="shared" ref="N43:N49" si="46">F43*M43</f>
        <v>865800</v>
      </c>
    </row>
    <row r="44">
      <c r="A44" s="154">
        <v>45698.0</v>
      </c>
      <c r="B44" s="156" t="s">
        <v>16</v>
      </c>
      <c r="C44" s="89">
        <v>120860.0</v>
      </c>
      <c r="D44" s="89">
        <v>121178.0</v>
      </c>
      <c r="E44" s="12">
        <f t="shared" si="41"/>
        <v>318</v>
      </c>
      <c r="F44" s="313">
        <v>41.0</v>
      </c>
      <c r="G44" s="14">
        <f t="shared" si="42"/>
        <v>12.89308176</v>
      </c>
      <c r="H44" s="89">
        <v>8086.0</v>
      </c>
      <c r="I44" s="137">
        <v>8274.0</v>
      </c>
      <c r="J44" s="89">
        <f t="shared" si="43"/>
        <v>188</v>
      </c>
      <c r="K44" s="89">
        <f t="shared" si="44"/>
        <v>41</v>
      </c>
      <c r="L44" s="152">
        <f t="shared" si="45"/>
        <v>21.80851064</v>
      </c>
      <c r="M44" s="126">
        <v>19050.0</v>
      </c>
      <c r="N44" s="338">
        <f t="shared" si="46"/>
        <v>781050</v>
      </c>
    </row>
    <row r="45">
      <c r="A45" s="154">
        <v>45702.0</v>
      </c>
      <c r="B45" s="156" t="s">
        <v>16</v>
      </c>
      <c r="C45" s="89">
        <v>121178.0</v>
      </c>
      <c r="D45" s="89">
        <v>121509.0</v>
      </c>
      <c r="E45" s="12">
        <f t="shared" si="41"/>
        <v>331</v>
      </c>
      <c r="F45" s="157">
        <v>45.0</v>
      </c>
      <c r="G45" s="14">
        <f t="shared" si="42"/>
        <v>13.59516616</v>
      </c>
      <c r="H45" s="89">
        <v>8274.0</v>
      </c>
      <c r="I45" s="137">
        <v>8619.0</v>
      </c>
      <c r="J45" s="89">
        <f t="shared" si="43"/>
        <v>345</v>
      </c>
      <c r="K45" s="89">
        <f t="shared" si="44"/>
        <v>45</v>
      </c>
      <c r="L45" s="152">
        <f t="shared" si="45"/>
        <v>13.04347826</v>
      </c>
      <c r="M45" s="126">
        <v>19070.0</v>
      </c>
      <c r="N45" s="338">
        <f t="shared" si="46"/>
        <v>858150</v>
      </c>
    </row>
    <row r="46">
      <c r="A46" s="154">
        <v>45707.0</v>
      </c>
      <c r="B46" s="156" t="s">
        <v>16</v>
      </c>
      <c r="C46" s="89">
        <v>121509.0</v>
      </c>
      <c r="D46" s="89">
        <v>121824.0</v>
      </c>
      <c r="E46" s="12">
        <f t="shared" si="41"/>
        <v>315</v>
      </c>
      <c r="F46" s="157">
        <v>40.0</v>
      </c>
      <c r="G46" s="14">
        <f t="shared" si="42"/>
        <v>12.6984127</v>
      </c>
      <c r="H46" s="89">
        <v>8619.0</v>
      </c>
      <c r="I46" s="137">
        <v>8963.0</v>
      </c>
      <c r="J46" s="89">
        <f t="shared" si="43"/>
        <v>344</v>
      </c>
      <c r="K46" s="89">
        <f t="shared" si="44"/>
        <v>40</v>
      </c>
      <c r="L46" s="152">
        <f t="shared" si="45"/>
        <v>11.62790698</v>
      </c>
      <c r="M46" s="126">
        <v>19070.0</v>
      </c>
      <c r="N46" s="338">
        <f t="shared" si="46"/>
        <v>762800</v>
      </c>
      <c r="P46" s="82"/>
    </row>
    <row r="47">
      <c r="A47" s="154">
        <v>45713.0</v>
      </c>
      <c r="B47" s="156" t="s">
        <v>16</v>
      </c>
      <c r="C47" s="89">
        <v>121824.0</v>
      </c>
      <c r="D47" s="89">
        <v>122185.0</v>
      </c>
      <c r="E47" s="12">
        <f t="shared" si="41"/>
        <v>361</v>
      </c>
      <c r="F47" s="157">
        <v>50.0</v>
      </c>
      <c r="G47" s="14">
        <f t="shared" si="42"/>
        <v>13.85041551</v>
      </c>
      <c r="H47" s="89">
        <v>8963.0</v>
      </c>
      <c r="I47" s="137">
        <v>9318.0</v>
      </c>
      <c r="J47" s="89">
        <f t="shared" si="43"/>
        <v>355</v>
      </c>
      <c r="K47" s="89">
        <f t="shared" si="44"/>
        <v>50</v>
      </c>
      <c r="L47" s="152">
        <f t="shared" si="45"/>
        <v>14.08450704</v>
      </c>
      <c r="M47" s="126">
        <v>19060.0</v>
      </c>
      <c r="N47" s="367">
        <f t="shared" si="46"/>
        <v>953000</v>
      </c>
    </row>
    <row r="48">
      <c r="A48" s="155"/>
      <c r="B48" s="99" t="s">
        <v>16</v>
      </c>
      <c r="C48" s="89"/>
      <c r="D48" s="89"/>
      <c r="E48" s="12">
        <f t="shared" si="41"/>
        <v>0</v>
      </c>
      <c r="F48" s="157"/>
      <c r="G48" s="14" t="str">
        <f t="shared" si="42"/>
        <v>#DIV/0!</v>
      </c>
      <c r="H48" s="89"/>
      <c r="I48" s="159"/>
      <c r="J48" s="89">
        <f t="shared" si="43"/>
        <v>0</v>
      </c>
      <c r="K48" s="89" t="str">
        <f t="shared" si="44"/>
        <v/>
      </c>
      <c r="L48" s="152" t="str">
        <f t="shared" si="45"/>
        <v>#DIV/0!</v>
      </c>
      <c r="M48" s="126"/>
      <c r="N48" s="367">
        <f t="shared" si="46"/>
        <v>0</v>
      </c>
    </row>
    <row r="49">
      <c r="A49" s="305"/>
      <c r="B49" s="323"/>
      <c r="C49" s="149"/>
      <c r="D49" s="150"/>
      <c r="E49" s="25">
        <f t="shared" si="41"/>
        <v>0</v>
      </c>
      <c r="F49" s="307"/>
      <c r="G49" s="56" t="str">
        <f t="shared" si="42"/>
        <v>#DIV/0!</v>
      </c>
      <c r="H49" s="149">
        <v>1.0</v>
      </c>
      <c r="I49" s="151"/>
      <c r="J49" s="149">
        <f t="shared" si="43"/>
        <v>-1</v>
      </c>
      <c r="K49" s="149" t="str">
        <f t="shared" si="44"/>
        <v/>
      </c>
      <c r="L49" s="152">
        <f t="shared" si="45"/>
        <v>0</v>
      </c>
      <c r="M49" s="308"/>
      <c r="N49" s="380">
        <f t="shared" si="46"/>
        <v>0</v>
      </c>
    </row>
    <row r="50">
      <c r="A50" s="62"/>
      <c r="B50" s="63"/>
      <c r="C50" s="62"/>
      <c r="D50" s="64" t="s">
        <v>19</v>
      </c>
      <c r="E50" s="64">
        <f t="shared" ref="E50:F50" si="47">sum(E43:E49)</f>
        <v>1643</v>
      </c>
      <c r="F50" s="64">
        <f t="shared" si="47"/>
        <v>221</v>
      </c>
      <c r="G50" s="65" t="str">
        <f>average(G43:G49)</f>
        <v>#DIV/0!</v>
      </c>
      <c r="H50" s="62"/>
      <c r="I50" s="66"/>
      <c r="J50" s="64">
        <f t="shared" ref="J50:K50" si="48">sum(J43:J49)</f>
        <v>1675</v>
      </c>
      <c r="K50" s="64">
        <f t="shared" si="48"/>
        <v>221</v>
      </c>
      <c r="L50" s="65" t="str">
        <f>average(L43:L49)</f>
        <v>#DIV/0!</v>
      </c>
      <c r="M50" s="68"/>
      <c r="N50" s="368">
        <f>sum(N43:N49)</f>
        <v>4220800</v>
      </c>
    </row>
    <row r="51">
      <c r="A51" s="70">
        <v>45693.0</v>
      </c>
      <c r="B51" s="314" t="s">
        <v>18</v>
      </c>
      <c r="C51" s="89">
        <v>125570.0</v>
      </c>
      <c r="D51" s="41">
        <v>125861.0</v>
      </c>
      <c r="E51" s="38">
        <f t="shared" ref="E51:E57" si="49">D51-C51</f>
        <v>291</v>
      </c>
      <c r="F51" s="39">
        <v>40.0</v>
      </c>
      <c r="G51" s="14">
        <f t="shared" ref="G51:G57" si="50">(F51/E51)*100</f>
        <v>13.74570447</v>
      </c>
      <c r="H51" s="315"/>
      <c r="I51" s="138">
        <v>1052.0</v>
      </c>
      <c r="J51" s="41">
        <f t="shared" ref="J51:J57" si="51">I51-H51</f>
        <v>1052</v>
      </c>
      <c r="K51" s="41">
        <f t="shared" ref="K51:K57" si="52">F51</f>
        <v>40</v>
      </c>
      <c r="L51" s="152">
        <f t="shared" ref="L51:L57" si="53">(K51/J51)*100</f>
        <v>3.802281369</v>
      </c>
      <c r="M51" s="72">
        <v>19240.0</v>
      </c>
      <c r="N51" s="336">
        <f t="shared" ref="N51:N57" si="54">F51*M51</f>
        <v>769600</v>
      </c>
    </row>
    <row r="52">
      <c r="A52" s="154">
        <v>45699.0</v>
      </c>
      <c r="B52" s="156" t="s">
        <v>18</v>
      </c>
      <c r="C52" s="89">
        <v>125861.0</v>
      </c>
      <c r="D52" s="89">
        <v>126155.0</v>
      </c>
      <c r="E52" s="12">
        <f t="shared" si="49"/>
        <v>294</v>
      </c>
      <c r="F52" s="157">
        <v>34.0</v>
      </c>
      <c r="G52" s="14">
        <f t="shared" si="50"/>
        <v>11.56462585</v>
      </c>
      <c r="H52" s="89">
        <v>1052.0</v>
      </c>
      <c r="I52" s="137">
        <v>840.0</v>
      </c>
      <c r="J52" s="89">
        <f t="shared" si="51"/>
        <v>-212</v>
      </c>
      <c r="K52" s="89">
        <f t="shared" si="52"/>
        <v>34</v>
      </c>
      <c r="L52" s="152">
        <f t="shared" si="53"/>
        <v>-16.03773585</v>
      </c>
      <c r="M52" s="126">
        <v>19050.0</v>
      </c>
      <c r="N52" s="338">
        <f t="shared" si="54"/>
        <v>647700</v>
      </c>
    </row>
    <row r="53">
      <c r="A53" s="279">
        <v>45702.0</v>
      </c>
      <c r="B53" s="156" t="s">
        <v>18</v>
      </c>
      <c r="C53" s="89">
        <v>126155.0</v>
      </c>
      <c r="D53" s="89">
        <v>126458.0</v>
      </c>
      <c r="E53" s="12">
        <f t="shared" si="49"/>
        <v>303</v>
      </c>
      <c r="F53" s="157">
        <v>37.0</v>
      </c>
      <c r="G53" s="14">
        <f t="shared" si="50"/>
        <v>12.21122112</v>
      </c>
      <c r="H53" s="89">
        <v>840.0</v>
      </c>
      <c r="I53" s="137">
        <v>1158.0</v>
      </c>
      <c r="J53" s="89">
        <f t="shared" si="51"/>
        <v>318</v>
      </c>
      <c r="K53" s="89">
        <f t="shared" si="52"/>
        <v>37</v>
      </c>
      <c r="L53" s="152">
        <f t="shared" si="53"/>
        <v>11.63522013</v>
      </c>
      <c r="M53" s="126">
        <v>19070.0</v>
      </c>
      <c r="N53" s="338">
        <f t="shared" si="54"/>
        <v>705590</v>
      </c>
    </row>
    <row r="54">
      <c r="A54" s="154">
        <v>45709.0</v>
      </c>
      <c r="B54" s="156" t="s">
        <v>18</v>
      </c>
      <c r="C54" s="89">
        <v>126458.0</v>
      </c>
      <c r="D54" s="89">
        <v>126776.0</v>
      </c>
      <c r="E54" s="12">
        <f t="shared" si="49"/>
        <v>318</v>
      </c>
      <c r="F54" s="157">
        <v>42.0</v>
      </c>
      <c r="G54" s="14">
        <f t="shared" si="50"/>
        <v>13.20754717</v>
      </c>
      <c r="H54" s="89">
        <v>1158.0</v>
      </c>
      <c r="I54" s="137">
        <v>1484.0</v>
      </c>
      <c r="J54" s="89">
        <f t="shared" si="51"/>
        <v>326</v>
      </c>
      <c r="K54" s="89">
        <f t="shared" si="52"/>
        <v>42</v>
      </c>
      <c r="L54" s="152">
        <f t="shared" si="53"/>
        <v>12.88343558</v>
      </c>
      <c r="M54" s="126">
        <v>19060.0</v>
      </c>
      <c r="N54" s="339">
        <f t="shared" si="54"/>
        <v>800520</v>
      </c>
    </row>
    <row r="55">
      <c r="A55" s="154">
        <v>45716.0</v>
      </c>
      <c r="B55" s="156" t="s">
        <v>18</v>
      </c>
      <c r="C55" s="89">
        <v>126776.0</v>
      </c>
      <c r="D55" s="89">
        <v>127172.0</v>
      </c>
      <c r="E55" s="12">
        <f t="shared" si="49"/>
        <v>396</v>
      </c>
      <c r="F55" s="157">
        <v>47.0</v>
      </c>
      <c r="G55" s="14">
        <f t="shared" si="50"/>
        <v>11.86868687</v>
      </c>
      <c r="H55" s="89">
        <v>1484.0</v>
      </c>
      <c r="I55" s="137">
        <v>1905.0</v>
      </c>
      <c r="J55" s="89">
        <f t="shared" si="51"/>
        <v>421</v>
      </c>
      <c r="K55" s="89">
        <f t="shared" si="52"/>
        <v>47</v>
      </c>
      <c r="L55" s="152">
        <f t="shared" si="53"/>
        <v>11.16389549</v>
      </c>
      <c r="M55" s="126">
        <v>18950.0</v>
      </c>
      <c r="N55" s="339">
        <f t="shared" si="54"/>
        <v>890650</v>
      </c>
    </row>
    <row r="56">
      <c r="A56" s="312"/>
      <c r="B56" s="156" t="s">
        <v>18</v>
      </c>
      <c r="C56" s="89"/>
      <c r="D56" s="89"/>
      <c r="E56" s="53">
        <f t="shared" si="49"/>
        <v>0</v>
      </c>
      <c r="F56" s="157"/>
      <c r="G56" s="14" t="str">
        <f t="shared" si="50"/>
        <v>#DIV/0!</v>
      </c>
      <c r="H56" s="89"/>
      <c r="I56" s="137"/>
      <c r="J56" s="89">
        <f t="shared" si="51"/>
        <v>0</v>
      </c>
      <c r="K56" s="89" t="str">
        <f t="shared" si="52"/>
        <v/>
      </c>
      <c r="L56" s="152" t="str">
        <f t="shared" si="53"/>
        <v>#DIV/0!</v>
      </c>
      <c r="M56" s="126"/>
      <c r="N56" s="367">
        <f t="shared" si="54"/>
        <v>0</v>
      </c>
      <c r="P56" s="80">
        <f>18950-19060</f>
        <v>-110</v>
      </c>
    </row>
    <row r="57">
      <c r="A57" s="316"/>
      <c r="B57" s="99" t="s">
        <v>18</v>
      </c>
      <c r="C57" s="149"/>
      <c r="D57" s="149"/>
      <c r="E57" s="25">
        <f t="shared" si="49"/>
        <v>0</v>
      </c>
      <c r="F57" s="161"/>
      <c r="G57" s="56" t="str">
        <f t="shared" si="50"/>
        <v>#DIV/0!</v>
      </c>
      <c r="H57" s="149"/>
      <c r="I57" s="151"/>
      <c r="J57" s="149">
        <f t="shared" si="51"/>
        <v>0</v>
      </c>
      <c r="K57" s="149" t="str">
        <f t="shared" si="52"/>
        <v/>
      </c>
      <c r="L57" s="152" t="str">
        <f t="shared" si="53"/>
        <v>#DIV/0!</v>
      </c>
      <c r="M57" s="153"/>
      <c r="N57" s="380">
        <f t="shared" si="54"/>
        <v>0</v>
      </c>
    </row>
    <row r="58">
      <c r="A58" s="62"/>
      <c r="B58" s="63"/>
      <c r="C58" s="62"/>
      <c r="D58" s="64" t="s">
        <v>19</v>
      </c>
      <c r="E58" s="64">
        <f t="shared" ref="E58:F58" si="55">sum(E51:E57)</f>
        <v>1602</v>
      </c>
      <c r="F58" s="64">
        <f t="shared" si="55"/>
        <v>200</v>
      </c>
      <c r="G58" s="65" t="str">
        <f>average(G51:G57)</f>
        <v>#DIV/0!</v>
      </c>
      <c r="H58" s="62"/>
      <c r="I58" s="66"/>
      <c r="J58" s="64">
        <f t="shared" ref="J58:K58" si="56">sum(J51:J57)</f>
        <v>1905</v>
      </c>
      <c r="K58" s="64">
        <f t="shared" si="56"/>
        <v>200</v>
      </c>
      <c r="L58" s="65" t="str">
        <f>average(L51:L57)</f>
        <v>#DIV/0!</v>
      </c>
      <c r="M58" s="68"/>
      <c r="N58" s="368">
        <f>sum(N51:N57)</f>
        <v>3814060</v>
      </c>
    </row>
    <row r="59">
      <c r="A59" s="70">
        <v>45693.0</v>
      </c>
      <c r="B59" s="302" t="s">
        <v>20</v>
      </c>
      <c r="C59" s="89">
        <v>370199.0</v>
      </c>
      <c r="D59" s="41">
        <v>370932.0</v>
      </c>
      <c r="E59" s="38">
        <f t="shared" ref="E59:E65" si="57">D59-C59</f>
        <v>733</v>
      </c>
      <c r="F59" s="39">
        <v>90.0</v>
      </c>
      <c r="G59" s="14">
        <f t="shared" ref="G59:G65" si="58">(F59/E59)*100</f>
        <v>12.27830832</v>
      </c>
      <c r="H59" s="89">
        <v>9332.0</v>
      </c>
      <c r="I59" s="138">
        <v>9776.0</v>
      </c>
      <c r="J59" s="41">
        <f t="shared" ref="J59:J65" si="59">I59-H59</f>
        <v>444</v>
      </c>
      <c r="K59" s="41"/>
      <c r="L59" s="152">
        <f t="shared" ref="L59:L65" si="60">(K59/J59)*100</f>
        <v>0</v>
      </c>
      <c r="M59" s="72">
        <v>19240.0</v>
      </c>
      <c r="N59" s="336">
        <f t="shared" ref="N59:N65" si="61">F59*M59</f>
        <v>1731600</v>
      </c>
    </row>
    <row r="60">
      <c r="A60" s="154">
        <v>45709.0</v>
      </c>
      <c r="B60" s="156" t="s">
        <v>20</v>
      </c>
      <c r="C60" s="89">
        <v>370932.0</v>
      </c>
      <c r="D60" s="89">
        <v>371545.0</v>
      </c>
      <c r="E60" s="12">
        <f t="shared" si="57"/>
        <v>613</v>
      </c>
      <c r="F60" s="157">
        <v>95.0</v>
      </c>
      <c r="G60" s="14">
        <f t="shared" si="58"/>
        <v>15.49755302</v>
      </c>
      <c r="H60" s="89">
        <v>9776.0</v>
      </c>
      <c r="I60" s="137">
        <v>10008.0</v>
      </c>
      <c r="J60" s="89">
        <f t="shared" si="59"/>
        <v>232</v>
      </c>
      <c r="K60" s="268"/>
      <c r="L60" s="152">
        <f t="shared" si="60"/>
        <v>0</v>
      </c>
      <c r="M60" s="126">
        <v>19060.0</v>
      </c>
      <c r="N60" s="338">
        <f t="shared" si="61"/>
        <v>1810700</v>
      </c>
    </row>
    <row r="61">
      <c r="A61" s="154"/>
      <c r="B61" s="156" t="s">
        <v>20</v>
      </c>
      <c r="C61" s="89"/>
      <c r="D61" s="89"/>
      <c r="E61" s="12">
        <f t="shared" si="57"/>
        <v>0</v>
      </c>
      <c r="F61" s="157"/>
      <c r="G61" s="14" t="str">
        <f t="shared" si="58"/>
        <v>#DIV/0!</v>
      </c>
      <c r="H61" s="89"/>
      <c r="I61" s="137"/>
      <c r="J61" s="89">
        <f t="shared" si="59"/>
        <v>0</v>
      </c>
      <c r="K61" s="89"/>
      <c r="L61" s="152" t="str">
        <f t="shared" si="60"/>
        <v>#DIV/0!</v>
      </c>
      <c r="M61" s="126"/>
      <c r="N61" s="367">
        <f t="shared" si="61"/>
        <v>0</v>
      </c>
    </row>
    <row r="62">
      <c r="A62" s="154"/>
      <c r="B62" s="156" t="s">
        <v>20</v>
      </c>
      <c r="C62" s="89"/>
      <c r="D62" s="89"/>
      <c r="E62" s="12">
        <f t="shared" si="57"/>
        <v>0</v>
      </c>
      <c r="F62" s="157"/>
      <c r="G62" s="14" t="str">
        <f t="shared" si="58"/>
        <v>#DIV/0!</v>
      </c>
      <c r="H62" s="89"/>
      <c r="I62" s="137"/>
      <c r="J62" s="89">
        <f t="shared" si="59"/>
        <v>0</v>
      </c>
      <c r="K62" s="89" t="str">
        <f t="shared" ref="K62:K65" si="62">F62</f>
        <v/>
      </c>
      <c r="L62" s="152" t="str">
        <f t="shared" si="60"/>
        <v>#DIV/0!</v>
      </c>
      <c r="M62" s="126"/>
      <c r="N62" s="367">
        <f t="shared" si="61"/>
        <v>0</v>
      </c>
    </row>
    <row r="63">
      <c r="A63" s="154"/>
      <c r="B63" s="156" t="s">
        <v>20</v>
      </c>
      <c r="C63" s="89"/>
      <c r="D63" s="89"/>
      <c r="E63" s="12">
        <f t="shared" si="57"/>
        <v>0</v>
      </c>
      <c r="F63" s="157"/>
      <c r="G63" s="14" t="str">
        <f t="shared" si="58"/>
        <v>#DIV/0!</v>
      </c>
      <c r="H63" s="89"/>
      <c r="I63" s="137"/>
      <c r="J63" s="89">
        <f t="shared" si="59"/>
        <v>0</v>
      </c>
      <c r="K63" s="89" t="str">
        <f t="shared" si="62"/>
        <v/>
      </c>
      <c r="L63" s="152" t="str">
        <f t="shared" si="60"/>
        <v>#DIV/0!</v>
      </c>
      <c r="M63" s="126"/>
      <c r="N63" s="367">
        <f t="shared" si="61"/>
        <v>0</v>
      </c>
    </row>
    <row r="64">
      <c r="A64" s="320"/>
      <c r="B64" s="99" t="s">
        <v>20</v>
      </c>
      <c r="C64" s="89"/>
      <c r="D64" s="158"/>
      <c r="E64" s="12">
        <f t="shared" si="57"/>
        <v>0</v>
      </c>
      <c r="F64" s="321"/>
      <c r="G64" s="14" t="str">
        <f t="shared" si="58"/>
        <v>#DIV/0!</v>
      </c>
      <c r="H64" s="89"/>
      <c r="I64" s="159"/>
      <c r="J64" s="89">
        <f t="shared" si="59"/>
        <v>0</v>
      </c>
      <c r="K64" s="89" t="str">
        <f t="shared" si="62"/>
        <v/>
      </c>
      <c r="L64" s="152" t="str">
        <f t="shared" si="60"/>
        <v>#DIV/0!</v>
      </c>
      <c r="M64" s="322"/>
      <c r="N64" s="367">
        <f t="shared" si="61"/>
        <v>0</v>
      </c>
    </row>
    <row r="65">
      <c r="A65" s="305"/>
      <c r="B65" s="323"/>
      <c r="C65" s="149"/>
      <c r="D65" s="150"/>
      <c r="E65" s="25">
        <f t="shared" si="57"/>
        <v>0</v>
      </c>
      <c r="F65" s="307"/>
      <c r="G65" s="56" t="str">
        <f t="shared" si="58"/>
        <v>#DIV/0!</v>
      </c>
      <c r="H65" s="149"/>
      <c r="I65" s="151"/>
      <c r="J65" s="149">
        <f t="shared" si="59"/>
        <v>0</v>
      </c>
      <c r="K65" s="149" t="str">
        <f t="shared" si="62"/>
        <v/>
      </c>
      <c r="L65" s="152" t="str">
        <f t="shared" si="60"/>
        <v>#DIV/0!</v>
      </c>
      <c r="M65" s="308"/>
      <c r="N65" s="380">
        <f t="shared" si="61"/>
        <v>0</v>
      </c>
    </row>
    <row r="66">
      <c r="A66" s="62"/>
      <c r="B66" s="63"/>
      <c r="C66" s="62"/>
      <c r="D66" s="64" t="s">
        <v>19</v>
      </c>
      <c r="E66" s="64">
        <f t="shared" ref="E66:F66" si="63">sum(E59:E65)</f>
        <v>1346</v>
      </c>
      <c r="F66" s="64">
        <f t="shared" si="63"/>
        <v>185</v>
      </c>
      <c r="G66" s="65" t="str">
        <f>average(G59:G65)</f>
        <v>#DIV/0!</v>
      </c>
      <c r="H66" s="62"/>
      <c r="I66" s="66"/>
      <c r="J66" s="64">
        <f t="shared" ref="J66:K66" si="64">sum(J59:J65)</f>
        <v>676</v>
      </c>
      <c r="K66" s="64">
        <f t="shared" si="64"/>
        <v>0</v>
      </c>
      <c r="L66" s="65" t="str">
        <f>average(L59:L65)</f>
        <v>#DIV/0!</v>
      </c>
      <c r="M66" s="68"/>
      <c r="N66" s="368">
        <f>sum(N59:N65)</f>
        <v>3542300</v>
      </c>
    </row>
    <row r="67">
      <c r="A67" s="70">
        <v>45699.0</v>
      </c>
      <c r="B67" s="302" t="s">
        <v>21</v>
      </c>
      <c r="C67" s="89">
        <v>352649.0</v>
      </c>
      <c r="D67" s="41">
        <v>353186.0</v>
      </c>
      <c r="E67" s="38">
        <f t="shared" ref="E67:E69" si="65">D67-C67</f>
        <v>537</v>
      </c>
      <c r="F67" s="39">
        <v>78.0</v>
      </c>
      <c r="G67" s="14">
        <f t="shared" ref="G67:G69" si="66">(F67/E67)*100</f>
        <v>14.52513966</v>
      </c>
      <c r="H67" s="137"/>
      <c r="I67" s="137">
        <v>716.0</v>
      </c>
      <c r="J67" s="41">
        <f t="shared" ref="J67:J69" si="67">I67-H67</f>
        <v>716</v>
      </c>
      <c r="K67" s="41">
        <f t="shared" ref="K67:K69" si="68">F67</f>
        <v>78</v>
      </c>
      <c r="L67" s="152">
        <f t="shared" ref="L67:L69" si="69">(K67/J67)*100</f>
        <v>10.89385475</v>
      </c>
      <c r="M67" s="72">
        <v>19050.0</v>
      </c>
      <c r="N67" s="336">
        <f t="shared" ref="N67:N69" si="70">F67*M67</f>
        <v>1485900</v>
      </c>
    </row>
    <row r="68">
      <c r="A68" s="154">
        <v>45706.0</v>
      </c>
      <c r="B68" s="156" t="s">
        <v>21</v>
      </c>
      <c r="C68" s="89">
        <v>353186.0</v>
      </c>
      <c r="D68" s="89">
        <v>353631.0</v>
      </c>
      <c r="E68" s="12">
        <f t="shared" si="65"/>
        <v>445</v>
      </c>
      <c r="F68" s="157">
        <v>66.0</v>
      </c>
      <c r="G68" s="14">
        <f t="shared" si="66"/>
        <v>14.83146067</v>
      </c>
      <c r="H68" s="89">
        <v>716.0</v>
      </c>
      <c r="I68" s="137">
        <v>1148.0</v>
      </c>
      <c r="J68" s="89">
        <f t="shared" si="67"/>
        <v>432</v>
      </c>
      <c r="K68" s="89">
        <f t="shared" si="68"/>
        <v>66</v>
      </c>
      <c r="L68" s="152">
        <f t="shared" si="69"/>
        <v>15.27777778</v>
      </c>
      <c r="M68" s="126">
        <v>19070.0</v>
      </c>
      <c r="N68" s="338">
        <f t="shared" si="70"/>
        <v>1258620</v>
      </c>
    </row>
    <row r="69">
      <c r="A69" s="154">
        <v>45713.0</v>
      </c>
      <c r="B69" s="156" t="s">
        <v>21</v>
      </c>
      <c r="C69" s="89">
        <v>353631.0</v>
      </c>
      <c r="D69" s="89">
        <v>61168.0</v>
      </c>
      <c r="E69" s="12">
        <f t="shared" si="65"/>
        <v>-292463</v>
      </c>
      <c r="F69" s="157">
        <v>65.0</v>
      </c>
      <c r="G69" s="14">
        <f t="shared" si="66"/>
        <v>-0.02222503359</v>
      </c>
      <c r="H69" s="89">
        <v>1148.0</v>
      </c>
      <c r="I69" s="137">
        <v>1629.0</v>
      </c>
      <c r="J69" s="89">
        <f t="shared" si="67"/>
        <v>481</v>
      </c>
      <c r="K69" s="89">
        <f t="shared" si="68"/>
        <v>65</v>
      </c>
      <c r="L69" s="152">
        <f t="shared" si="69"/>
        <v>13.51351351</v>
      </c>
      <c r="M69" s="126">
        <v>19060.0</v>
      </c>
      <c r="N69" s="372">
        <f t="shared" si="70"/>
        <v>1238900</v>
      </c>
    </row>
    <row r="70">
      <c r="A70" s="62"/>
      <c r="B70" s="63"/>
      <c r="C70" s="62"/>
      <c r="D70" s="64" t="s">
        <v>19</v>
      </c>
      <c r="E70" s="64">
        <f t="shared" ref="E70:F70" si="71">sum(E67:E69)</f>
        <v>-291481</v>
      </c>
      <c r="F70" s="64">
        <f t="shared" si="71"/>
        <v>209</v>
      </c>
      <c r="G70" s="65">
        <f>average(G67:G69)</f>
        <v>9.778125102</v>
      </c>
      <c r="H70" s="62"/>
      <c r="I70" s="66"/>
      <c r="J70" s="64">
        <f t="shared" ref="J70:K70" si="72">sum(J67:J69)</f>
        <v>1629</v>
      </c>
      <c r="K70" s="64">
        <f t="shared" si="72"/>
        <v>209</v>
      </c>
      <c r="L70" s="65">
        <f>average(L67:L69)</f>
        <v>13.22838201</v>
      </c>
      <c r="M70" s="68"/>
      <c r="N70" s="368">
        <f>sum(N67:N69)</f>
        <v>3983420</v>
      </c>
    </row>
    <row r="71">
      <c r="A71" s="70">
        <v>45695.0</v>
      </c>
      <c r="B71" s="314" t="s">
        <v>100</v>
      </c>
      <c r="C71" s="89">
        <v>187521.0</v>
      </c>
      <c r="D71" s="41">
        <v>188094.0</v>
      </c>
      <c r="E71" s="38">
        <f t="shared" ref="E71:E74" si="73">D71-C71</f>
        <v>573</v>
      </c>
      <c r="F71" s="39">
        <v>72.0</v>
      </c>
      <c r="G71" s="14">
        <f t="shared" ref="G71:G74" si="74">(F71/E71)*100</f>
        <v>12.56544503</v>
      </c>
      <c r="H71" s="137"/>
      <c r="I71" s="138">
        <v>768.0</v>
      </c>
      <c r="J71" s="41">
        <f t="shared" ref="J71:J74" si="75">I71-H71</f>
        <v>768</v>
      </c>
      <c r="K71" s="41">
        <f t="shared" ref="K71:K74" si="76">F71</f>
        <v>72</v>
      </c>
      <c r="L71" s="152">
        <f t="shared" ref="L71:L74" si="77">(K71/J71)*100</f>
        <v>9.375</v>
      </c>
      <c r="M71" s="72">
        <v>19050.0</v>
      </c>
      <c r="N71" s="336">
        <f t="shared" ref="N71:N74" si="78">F71*M71</f>
        <v>1371600</v>
      </c>
    </row>
    <row r="72">
      <c r="A72" s="154">
        <v>45702.0</v>
      </c>
      <c r="B72" s="156" t="s">
        <v>100</v>
      </c>
      <c r="C72" s="89">
        <v>188094.0</v>
      </c>
      <c r="D72" s="89">
        <v>188627.0</v>
      </c>
      <c r="E72" s="12">
        <f t="shared" si="73"/>
        <v>533</v>
      </c>
      <c r="F72" s="157">
        <v>63.0</v>
      </c>
      <c r="G72" s="14">
        <f t="shared" si="74"/>
        <v>11.81988743</v>
      </c>
      <c r="H72" s="89">
        <v>768.0</v>
      </c>
      <c r="I72" s="137">
        <v>1006.0</v>
      </c>
      <c r="J72" s="89">
        <f t="shared" si="75"/>
        <v>238</v>
      </c>
      <c r="K72" s="89">
        <f t="shared" si="76"/>
        <v>63</v>
      </c>
      <c r="L72" s="152">
        <f t="shared" si="77"/>
        <v>26.47058824</v>
      </c>
      <c r="M72" s="126">
        <v>19070.0</v>
      </c>
      <c r="N72" s="338">
        <f t="shared" si="78"/>
        <v>1201410</v>
      </c>
    </row>
    <row r="73">
      <c r="A73" s="154">
        <v>45710.0</v>
      </c>
      <c r="B73" s="156" t="s">
        <v>100</v>
      </c>
      <c r="C73" s="89">
        <v>188627.0</v>
      </c>
      <c r="D73" s="89">
        <v>189236.0</v>
      </c>
      <c r="E73" s="12">
        <f t="shared" si="73"/>
        <v>609</v>
      </c>
      <c r="F73" s="157">
        <v>75.0</v>
      </c>
      <c r="G73" s="14">
        <f t="shared" si="74"/>
        <v>12.31527094</v>
      </c>
      <c r="H73" s="89">
        <v>1006.0</v>
      </c>
      <c r="I73" s="137">
        <v>1904.0</v>
      </c>
      <c r="J73" s="89">
        <f t="shared" si="75"/>
        <v>898</v>
      </c>
      <c r="K73" s="89">
        <f t="shared" si="76"/>
        <v>75</v>
      </c>
      <c r="L73" s="152">
        <f t="shared" si="77"/>
        <v>8.351893096</v>
      </c>
      <c r="M73" s="126">
        <v>19060.0</v>
      </c>
      <c r="N73" s="339">
        <f t="shared" si="78"/>
        <v>1429500</v>
      </c>
    </row>
    <row r="74">
      <c r="A74" s="154">
        <v>45716.0</v>
      </c>
      <c r="B74" s="156" t="s">
        <v>100</v>
      </c>
      <c r="C74" s="89">
        <v>189236.0</v>
      </c>
      <c r="D74" s="89">
        <v>189768.0</v>
      </c>
      <c r="E74" s="12">
        <f t="shared" si="73"/>
        <v>532</v>
      </c>
      <c r="F74" s="157">
        <v>67.0</v>
      </c>
      <c r="G74" s="14">
        <f t="shared" si="74"/>
        <v>12.59398496</v>
      </c>
      <c r="H74" s="89">
        <v>1904.0</v>
      </c>
      <c r="I74" s="137">
        <v>2423.0</v>
      </c>
      <c r="J74" s="89">
        <f t="shared" si="75"/>
        <v>519</v>
      </c>
      <c r="K74" s="89">
        <f t="shared" si="76"/>
        <v>67</v>
      </c>
      <c r="L74" s="152">
        <f t="shared" si="77"/>
        <v>12.90944123</v>
      </c>
      <c r="M74" s="126">
        <v>18950.0</v>
      </c>
      <c r="N74" s="339">
        <f t="shared" si="78"/>
        <v>1269650</v>
      </c>
    </row>
    <row r="75">
      <c r="A75" s="62"/>
      <c r="B75" s="63"/>
      <c r="C75" s="62"/>
      <c r="D75" s="64" t="s">
        <v>19</v>
      </c>
      <c r="E75" s="64">
        <f t="shared" ref="E75:F75" si="79">sum(E71:E74)</f>
        <v>2247</v>
      </c>
      <c r="F75" s="64">
        <f t="shared" si="79"/>
        <v>277</v>
      </c>
      <c r="G75" s="65">
        <f>average(G71:G74)</f>
        <v>12.32364709</v>
      </c>
      <c r="H75" s="62"/>
      <c r="I75" s="66"/>
      <c r="J75" s="64">
        <f t="shared" ref="J75:K75" si="80">sum(J71:J74)</f>
        <v>2423</v>
      </c>
      <c r="K75" s="64">
        <f t="shared" si="80"/>
        <v>277</v>
      </c>
      <c r="L75" s="65">
        <f>average(L71:L74)</f>
        <v>14.27673064</v>
      </c>
      <c r="M75" s="68"/>
      <c r="N75" s="368">
        <f>sum(N71:N74)</f>
        <v>5272160</v>
      </c>
    </row>
    <row r="76">
      <c r="A76" s="382">
        <v>45693.0</v>
      </c>
      <c r="B76" s="156" t="s">
        <v>38</v>
      </c>
      <c r="C76" s="89">
        <v>139409.0</v>
      </c>
      <c r="D76" s="41">
        <v>139984.0</v>
      </c>
      <c r="E76" s="38">
        <f t="shared" ref="E76:E79" si="81">D76-C76</f>
        <v>575</v>
      </c>
      <c r="F76" s="39">
        <v>65.0</v>
      </c>
      <c r="G76" s="14">
        <f t="shared" ref="G76:G79" si="82">(F76/E76)*100</f>
        <v>11.30434783</v>
      </c>
      <c r="H76" s="137"/>
      <c r="I76" s="138"/>
      <c r="J76" s="41">
        <f t="shared" ref="J76:J79" si="83">I76-H76</f>
        <v>0</v>
      </c>
      <c r="K76" s="41">
        <f t="shared" ref="K76:K79" si="84">F76</f>
        <v>65</v>
      </c>
      <c r="L76" s="152" t="str">
        <f t="shared" ref="L76:L79" si="85">(K76/J76)*100</f>
        <v>#DIV/0!</v>
      </c>
      <c r="M76" s="72">
        <v>19240.0</v>
      </c>
      <c r="N76" s="336">
        <f t="shared" ref="N76:N79" si="86">F76*M76</f>
        <v>1250600</v>
      </c>
    </row>
    <row r="77">
      <c r="A77" s="155">
        <v>45699.0</v>
      </c>
      <c r="B77" s="156" t="s">
        <v>38</v>
      </c>
      <c r="C77" s="89">
        <v>139984.0</v>
      </c>
      <c r="D77" s="89">
        <v>140485.0</v>
      </c>
      <c r="E77" s="38">
        <f t="shared" si="81"/>
        <v>501</v>
      </c>
      <c r="F77" s="157">
        <v>65.0</v>
      </c>
      <c r="G77" s="14">
        <f t="shared" si="82"/>
        <v>12.9740519</v>
      </c>
      <c r="H77" s="89"/>
      <c r="I77" s="137"/>
      <c r="J77" s="89">
        <f t="shared" si="83"/>
        <v>0</v>
      </c>
      <c r="K77" s="89">
        <f t="shared" si="84"/>
        <v>65</v>
      </c>
      <c r="L77" s="152" t="str">
        <f t="shared" si="85"/>
        <v>#DIV/0!</v>
      </c>
      <c r="M77" s="126">
        <v>19050.0</v>
      </c>
      <c r="N77" s="336">
        <f t="shared" si="86"/>
        <v>1238250</v>
      </c>
    </row>
    <row r="78">
      <c r="A78" s="272" t="s">
        <v>110</v>
      </c>
      <c r="B78" s="156" t="s">
        <v>38</v>
      </c>
      <c r="C78" s="89">
        <v>140485.0</v>
      </c>
      <c r="D78" s="41">
        <v>141117.0</v>
      </c>
      <c r="E78" s="38">
        <f t="shared" si="81"/>
        <v>632</v>
      </c>
      <c r="F78" s="157">
        <v>70.0</v>
      </c>
      <c r="G78" s="14">
        <f t="shared" si="82"/>
        <v>11.07594937</v>
      </c>
      <c r="H78" s="89"/>
      <c r="I78" s="137">
        <v>1669.0</v>
      </c>
      <c r="J78" s="89">
        <f t="shared" si="83"/>
        <v>1669</v>
      </c>
      <c r="K78" s="89">
        <f t="shared" si="84"/>
        <v>70</v>
      </c>
      <c r="L78" s="152">
        <f t="shared" si="85"/>
        <v>4.19412822</v>
      </c>
      <c r="M78" s="126">
        <v>19070.0</v>
      </c>
      <c r="N78" s="349">
        <f t="shared" si="86"/>
        <v>1334900</v>
      </c>
    </row>
    <row r="79">
      <c r="A79" s="154">
        <v>45715.0</v>
      </c>
      <c r="B79" s="302" t="s">
        <v>38</v>
      </c>
      <c r="C79" s="89">
        <v>141117.0</v>
      </c>
      <c r="D79" s="89">
        <v>141687.0</v>
      </c>
      <c r="E79" s="38">
        <f t="shared" si="81"/>
        <v>570</v>
      </c>
      <c r="F79" s="157">
        <v>74.0</v>
      </c>
      <c r="G79" s="14">
        <f t="shared" si="82"/>
        <v>12.98245614</v>
      </c>
      <c r="H79" s="89">
        <v>1669.0</v>
      </c>
      <c r="I79" s="137">
        <v>2094.0</v>
      </c>
      <c r="J79" s="89">
        <f t="shared" si="83"/>
        <v>425</v>
      </c>
      <c r="K79" s="89">
        <f t="shared" si="84"/>
        <v>74</v>
      </c>
      <c r="L79" s="152">
        <f t="shared" si="85"/>
        <v>17.41176471</v>
      </c>
      <c r="M79" s="126">
        <v>19060.0</v>
      </c>
      <c r="N79" s="349">
        <f t="shared" si="86"/>
        <v>1410440</v>
      </c>
    </row>
    <row r="80">
      <c r="A80" s="352"/>
      <c r="B80" s="375"/>
      <c r="C80" s="353"/>
      <c r="D80" s="354" t="s">
        <v>19</v>
      </c>
      <c r="E80" s="355">
        <f t="shared" ref="E80:F80" si="87">SUM(E76:E79)</f>
        <v>2278</v>
      </c>
      <c r="F80" s="355">
        <f t="shared" si="87"/>
        <v>274</v>
      </c>
      <c r="G80" s="356">
        <f>average(G76:G79)</f>
        <v>12.08420131</v>
      </c>
      <c r="H80" s="353"/>
      <c r="I80" s="357"/>
      <c r="J80" s="354">
        <f t="shared" ref="J80:K80" si="88">sum(J76:J79)</f>
        <v>2094</v>
      </c>
      <c r="K80" s="354">
        <f t="shared" si="88"/>
        <v>274</v>
      </c>
      <c r="L80" s="358" t="str">
        <f>average(L76:L79)</f>
        <v>#DIV/0!</v>
      </c>
      <c r="M80" s="359"/>
      <c r="N80" s="383">
        <f>sum(N76:N79)</f>
        <v>5234190</v>
      </c>
    </row>
    <row r="81">
      <c r="A81" s="122">
        <v>45695.0</v>
      </c>
      <c r="B81" s="323" t="s">
        <v>39</v>
      </c>
      <c r="C81" s="13">
        <v>89089.0</v>
      </c>
      <c r="D81" s="89">
        <v>89741.0</v>
      </c>
      <c r="E81" s="38">
        <f t="shared" ref="E81:E84" si="89">D81-C81</f>
        <v>652</v>
      </c>
      <c r="F81" s="157">
        <v>77.0</v>
      </c>
      <c r="G81" s="124">
        <f t="shared" ref="G81:G84" si="90">(F81/E81)*100</f>
        <v>11.80981595</v>
      </c>
      <c r="H81" s="89"/>
      <c r="I81" s="137"/>
      <c r="J81" s="89">
        <f t="shared" ref="J81:J84" si="91">I81-H81</f>
        <v>0</v>
      </c>
      <c r="K81" s="89">
        <f t="shared" ref="K81:K84" si="92">F81</f>
        <v>77</v>
      </c>
      <c r="L81" s="330" t="str">
        <f t="shared" ref="L81:L84" si="93">(K81/J81)*100</f>
        <v>#DIV/0!</v>
      </c>
      <c r="M81" s="126">
        <v>19050.0</v>
      </c>
      <c r="N81" s="361">
        <f t="shared" ref="N81:N84" si="94">F81*M81</f>
        <v>1466850</v>
      </c>
    </row>
    <row r="82">
      <c r="A82" s="8">
        <v>45702.0</v>
      </c>
      <c r="B82" s="323" t="s">
        <v>39</v>
      </c>
      <c r="C82" s="13">
        <v>89741.0</v>
      </c>
      <c r="D82" s="13">
        <v>90495.0</v>
      </c>
      <c r="E82" s="12">
        <f t="shared" si="89"/>
        <v>754</v>
      </c>
      <c r="F82" s="13">
        <v>75.0</v>
      </c>
      <c r="G82" s="14">
        <f t="shared" si="90"/>
        <v>9.946949602</v>
      </c>
      <c r="H82" s="13"/>
      <c r="I82" s="16">
        <v>2002.0</v>
      </c>
      <c r="J82" s="89">
        <f t="shared" si="91"/>
        <v>2002</v>
      </c>
      <c r="K82" s="89">
        <f t="shared" si="92"/>
        <v>75</v>
      </c>
      <c r="L82" s="330">
        <f t="shared" si="93"/>
        <v>3.746253746</v>
      </c>
      <c r="M82" s="18">
        <v>19070.0</v>
      </c>
      <c r="N82" s="362">
        <f t="shared" si="94"/>
        <v>1430250</v>
      </c>
      <c r="S82" s="257"/>
      <c r="T82" s="257"/>
      <c r="U82" s="257"/>
      <c r="V82" s="257"/>
      <c r="W82" s="257"/>
      <c r="X82" s="257"/>
      <c r="Y82" s="257"/>
      <c r="Z82" s="257"/>
    </row>
    <row r="83">
      <c r="A83" s="154">
        <v>45709.0</v>
      </c>
      <c r="B83" s="323" t="s">
        <v>39</v>
      </c>
      <c r="C83" s="89">
        <v>90495.0</v>
      </c>
      <c r="D83" s="89">
        <v>91312.0</v>
      </c>
      <c r="E83" s="12">
        <f t="shared" si="89"/>
        <v>817</v>
      </c>
      <c r="F83" s="157">
        <v>83.0</v>
      </c>
      <c r="G83" s="14">
        <f t="shared" si="90"/>
        <v>10.15911873</v>
      </c>
      <c r="H83" s="89"/>
      <c r="I83" s="137"/>
      <c r="J83" s="89">
        <f t="shared" si="91"/>
        <v>0</v>
      </c>
      <c r="K83" s="89">
        <f t="shared" si="92"/>
        <v>83</v>
      </c>
      <c r="L83" s="330" t="str">
        <f t="shared" si="93"/>
        <v>#DIV/0!</v>
      </c>
      <c r="M83" s="126">
        <v>19060.0</v>
      </c>
      <c r="N83" s="362">
        <f t="shared" si="94"/>
        <v>1581980</v>
      </c>
    </row>
    <row r="84">
      <c r="A84" s="154">
        <v>45714.0</v>
      </c>
      <c r="B84" s="323" t="s">
        <v>39</v>
      </c>
      <c r="C84" s="89">
        <v>91312.0</v>
      </c>
      <c r="D84" s="89">
        <v>91880.0</v>
      </c>
      <c r="E84" s="12">
        <f t="shared" si="89"/>
        <v>568</v>
      </c>
      <c r="F84" s="157">
        <v>55.0</v>
      </c>
      <c r="G84" s="14">
        <f t="shared" si="90"/>
        <v>9.683098592</v>
      </c>
      <c r="H84" s="89"/>
      <c r="I84" s="137"/>
      <c r="J84" s="89">
        <f t="shared" si="91"/>
        <v>0</v>
      </c>
      <c r="K84" s="89">
        <f t="shared" si="92"/>
        <v>55</v>
      </c>
      <c r="L84" s="152" t="str">
        <f t="shared" si="93"/>
        <v>#DIV/0!</v>
      </c>
      <c r="M84" s="126">
        <v>19060.0</v>
      </c>
      <c r="N84" s="339">
        <f t="shared" si="94"/>
        <v>1048300</v>
      </c>
    </row>
    <row r="85">
      <c r="A85" s="62"/>
      <c r="B85" s="63"/>
      <c r="C85" s="62"/>
      <c r="D85" s="64" t="s">
        <v>19</v>
      </c>
      <c r="E85" s="64">
        <f t="shared" ref="E85:F85" si="95">sum(E76:E84)</f>
        <v>7347</v>
      </c>
      <c r="F85" s="64">
        <f t="shared" si="95"/>
        <v>838</v>
      </c>
      <c r="G85" s="65">
        <f>average(G76:G84)</f>
        <v>11.33555438</v>
      </c>
      <c r="H85" s="62"/>
      <c r="I85" s="66"/>
      <c r="J85" s="64">
        <f t="shared" ref="J85:K85" si="96">sum(J76:J84)</f>
        <v>6190</v>
      </c>
      <c r="K85" s="64">
        <f t="shared" si="96"/>
        <v>838</v>
      </c>
      <c r="L85" s="65" t="str">
        <f>average(L76:L84)</f>
        <v>#DIV/0!</v>
      </c>
      <c r="M85" s="68"/>
      <c r="N85" s="368">
        <f>sum(N81:N84)</f>
        <v>5527380</v>
      </c>
    </row>
    <row r="86">
      <c r="A86" s="70">
        <v>45700.0</v>
      </c>
      <c r="B86" s="156" t="s">
        <v>40</v>
      </c>
      <c r="C86" s="89">
        <v>84274.0</v>
      </c>
      <c r="D86" s="13">
        <v>84866.0</v>
      </c>
      <c r="E86" s="38">
        <f t="shared" ref="E86:E88" si="97">D86-C86</f>
        <v>592</v>
      </c>
      <c r="F86" s="39">
        <v>70.0</v>
      </c>
      <c r="G86" s="14">
        <f t="shared" ref="G86:G88" si="98">(F86/E86)*100</f>
        <v>11.82432432</v>
      </c>
      <c r="H86" s="89">
        <v>83826.0</v>
      </c>
      <c r="I86" s="138">
        <v>84815.0</v>
      </c>
      <c r="J86" s="41">
        <f t="shared" ref="J86:J88" si="99">I86-H86</f>
        <v>989</v>
      </c>
      <c r="K86" s="41">
        <f t="shared" ref="K86:K88" si="100">F86</f>
        <v>70</v>
      </c>
      <c r="L86" s="152">
        <f t="shared" ref="L86:L88" si="101">(K86/J86)*100</f>
        <v>7.077856421</v>
      </c>
      <c r="M86" s="72">
        <v>19050.0</v>
      </c>
      <c r="N86" s="336">
        <f t="shared" ref="N86:N88" si="102">F86*M86</f>
        <v>1333500</v>
      </c>
    </row>
    <row r="87">
      <c r="A87" s="154">
        <v>45707.0</v>
      </c>
      <c r="B87" s="156" t="s">
        <v>40</v>
      </c>
      <c r="C87" s="89">
        <v>84866.0</v>
      </c>
      <c r="D87" s="89">
        <v>85495.0</v>
      </c>
      <c r="E87" s="12">
        <f t="shared" si="97"/>
        <v>629</v>
      </c>
      <c r="F87" s="157">
        <v>70.0</v>
      </c>
      <c r="G87" s="14">
        <f t="shared" si="98"/>
        <v>11.12877583</v>
      </c>
      <c r="H87" s="89">
        <v>84815.0</v>
      </c>
      <c r="I87" s="137">
        <v>85438.0</v>
      </c>
      <c r="J87" s="89">
        <f t="shared" si="99"/>
        <v>623</v>
      </c>
      <c r="K87" s="89">
        <f t="shared" si="100"/>
        <v>70</v>
      </c>
      <c r="L87" s="152">
        <f t="shared" si="101"/>
        <v>11.23595506</v>
      </c>
      <c r="M87" s="126">
        <v>19070.0</v>
      </c>
      <c r="N87" s="338">
        <f t="shared" si="102"/>
        <v>1334900</v>
      </c>
    </row>
    <row r="88">
      <c r="A88" s="154">
        <v>45714.0</v>
      </c>
      <c r="B88" s="156" t="s">
        <v>40</v>
      </c>
      <c r="C88" s="89">
        <v>85495.0</v>
      </c>
      <c r="D88" s="89">
        <v>86237.0</v>
      </c>
      <c r="E88" s="12">
        <f t="shared" si="97"/>
        <v>742</v>
      </c>
      <c r="F88" s="157">
        <v>77.0</v>
      </c>
      <c r="G88" s="14">
        <f t="shared" si="98"/>
        <v>10.37735849</v>
      </c>
      <c r="H88" s="89">
        <v>85438.0</v>
      </c>
      <c r="I88" s="137">
        <v>86102.0</v>
      </c>
      <c r="J88" s="89">
        <f t="shared" si="99"/>
        <v>664</v>
      </c>
      <c r="K88" s="89">
        <f t="shared" si="100"/>
        <v>77</v>
      </c>
      <c r="L88" s="152">
        <f t="shared" si="101"/>
        <v>11.59638554</v>
      </c>
      <c r="M88" s="126">
        <v>19060.0</v>
      </c>
      <c r="N88" s="339">
        <f t="shared" si="102"/>
        <v>1467620</v>
      </c>
    </row>
    <row r="89">
      <c r="A89" s="62"/>
      <c r="B89" s="63"/>
      <c r="C89" s="62"/>
      <c r="D89" s="64" t="s">
        <v>19</v>
      </c>
      <c r="E89" s="64">
        <f t="shared" ref="E89:F89" si="103">sum(E86:E88)</f>
        <v>1963</v>
      </c>
      <c r="F89" s="64">
        <f t="shared" si="103"/>
        <v>217</v>
      </c>
      <c r="G89" s="65">
        <f>average(G86:G88)</f>
        <v>11.11015288</v>
      </c>
      <c r="H89" s="62"/>
      <c r="I89" s="66"/>
      <c r="J89" s="64">
        <f t="shared" ref="J89:K89" si="104">sum(J86:J88)</f>
        <v>2276</v>
      </c>
      <c r="K89" s="64">
        <f t="shared" si="104"/>
        <v>217</v>
      </c>
      <c r="L89" s="65">
        <f>average(L86:L88)</f>
        <v>9.970065673</v>
      </c>
      <c r="M89" s="68"/>
      <c r="N89" s="368">
        <f>sum(N86:N88)</f>
        <v>4136020</v>
      </c>
    </row>
    <row r="90">
      <c r="A90" s="198" t="s">
        <v>64</v>
      </c>
      <c r="B90" s="199"/>
      <c r="C90" s="199"/>
      <c r="D90" s="199"/>
      <c r="E90" s="199"/>
      <c r="F90" s="199"/>
      <c r="G90" s="199"/>
      <c r="H90" s="199"/>
      <c r="I90" s="199"/>
      <c r="J90" s="199"/>
      <c r="K90" s="199"/>
      <c r="L90" s="199"/>
      <c r="M90" s="334"/>
      <c r="N90" s="384">
        <f>N10+N18+N26+N34+N42+N50+N58+N66+N70+N75+N85+N89+N80</f>
        <v>54915075</v>
      </c>
      <c r="P90" s="80">
        <f>19149490+20175140+14944600+7599800</f>
        <v>61869030</v>
      </c>
    </row>
    <row r="91">
      <c r="G91" s="168"/>
      <c r="L91" s="168"/>
    </row>
    <row r="92" ht="31.5" customHeight="1">
      <c r="D92" s="170" t="s">
        <v>45</v>
      </c>
      <c r="E92" s="171"/>
      <c r="G92" s="168"/>
      <c r="L92" s="168"/>
      <c r="Q92" s="80">
        <f>61869030-54915075</f>
        <v>6953955</v>
      </c>
    </row>
    <row r="93">
      <c r="A93" s="248" t="s">
        <v>1</v>
      </c>
      <c r="B93" s="172" t="s">
        <v>2</v>
      </c>
      <c r="C93" s="166" t="s">
        <v>3</v>
      </c>
      <c r="D93" s="166" t="s">
        <v>4</v>
      </c>
      <c r="E93" s="166" t="s">
        <v>5</v>
      </c>
      <c r="F93" s="166" t="s">
        <v>6</v>
      </c>
      <c r="G93" s="173" t="s">
        <v>7</v>
      </c>
      <c r="H93" s="174" t="s">
        <v>8</v>
      </c>
      <c r="I93" s="175" t="s">
        <v>8</v>
      </c>
      <c r="J93" s="166" t="s">
        <v>5</v>
      </c>
      <c r="K93" s="166" t="s">
        <v>6</v>
      </c>
      <c r="L93" s="173" t="s">
        <v>7</v>
      </c>
      <c r="M93" s="166" t="s">
        <v>9</v>
      </c>
      <c r="N93" s="176" t="s">
        <v>10</v>
      </c>
    </row>
    <row r="94">
      <c r="A94" s="70">
        <v>45695.0</v>
      </c>
      <c r="B94" s="156" t="s">
        <v>46</v>
      </c>
      <c r="C94" s="13"/>
      <c r="D94" s="13">
        <v>238000.0</v>
      </c>
      <c r="E94" s="12">
        <f t="shared" ref="E94:E98" si="105">D94-C94</f>
        <v>238000</v>
      </c>
      <c r="F94" s="39">
        <v>436.0</v>
      </c>
      <c r="G94" s="14">
        <f t="shared" ref="G94:G98" si="106">(F94/E94)*100</f>
        <v>0.1831932773</v>
      </c>
      <c r="H94" s="89"/>
      <c r="I94" s="138"/>
      <c r="J94" s="41">
        <f t="shared" ref="J94:J98" si="107">I94-H94</f>
        <v>0</v>
      </c>
      <c r="K94" s="41">
        <f t="shared" ref="K94:K98" si="108">F94</f>
        <v>436</v>
      </c>
      <c r="L94" s="152" t="str">
        <f t="shared" ref="L94:L98" si="109">(K94/J94)*100</f>
        <v>#DIV/0!</v>
      </c>
      <c r="M94" s="72">
        <v>19050.0</v>
      </c>
      <c r="N94" s="366">
        <f t="shared" ref="N94:N98" si="110">F94*M94</f>
        <v>8305800</v>
      </c>
    </row>
    <row r="95">
      <c r="A95" s="154">
        <v>45714.0</v>
      </c>
      <c r="B95" s="156"/>
      <c r="C95" s="89">
        <v>238000.0</v>
      </c>
      <c r="D95" s="12">
        <v>384387.0</v>
      </c>
      <c r="E95" s="12">
        <f t="shared" si="105"/>
        <v>146387</v>
      </c>
      <c r="F95" s="157">
        <v>456.46</v>
      </c>
      <c r="G95" s="14">
        <f t="shared" si="106"/>
        <v>0.3118173062</v>
      </c>
      <c r="H95" s="89">
        <v>1780.0</v>
      </c>
      <c r="I95" s="137"/>
      <c r="J95" s="89">
        <f t="shared" si="107"/>
        <v>-1780</v>
      </c>
      <c r="K95" s="89">
        <f t="shared" si="108"/>
        <v>456.46</v>
      </c>
      <c r="L95" s="152">
        <f t="shared" si="109"/>
        <v>-25.64382022</v>
      </c>
      <c r="M95" s="126">
        <v>19060.0</v>
      </c>
      <c r="N95" s="372">
        <f t="shared" si="110"/>
        <v>8700127.6</v>
      </c>
      <c r="Q95" s="197" t="s">
        <v>111</v>
      </c>
    </row>
    <row r="96">
      <c r="A96" s="154"/>
      <c r="B96" s="156"/>
      <c r="C96" s="89"/>
      <c r="D96" s="89"/>
      <c r="E96" s="12">
        <f t="shared" si="105"/>
        <v>0</v>
      </c>
      <c r="F96" s="157"/>
      <c r="G96" s="14" t="str">
        <f t="shared" si="106"/>
        <v>#DIV/0!</v>
      </c>
      <c r="H96" s="89"/>
      <c r="I96" s="137"/>
      <c r="J96" s="89">
        <f t="shared" si="107"/>
        <v>0</v>
      </c>
      <c r="K96" s="89" t="str">
        <f t="shared" si="108"/>
        <v/>
      </c>
      <c r="L96" s="152" t="str">
        <f t="shared" si="109"/>
        <v>#DIV/0!</v>
      </c>
      <c r="M96" s="126"/>
      <c r="N96" s="367">
        <f t="shared" si="110"/>
        <v>0</v>
      </c>
      <c r="Q96" s="80">
        <f>1238900+1231750+1000000+1143000+1144200+1144200+52000</f>
        <v>6954050</v>
      </c>
    </row>
    <row r="97">
      <c r="A97" s="154"/>
      <c r="B97" s="156"/>
      <c r="C97" s="89"/>
      <c r="D97" s="89"/>
      <c r="E97" s="12">
        <f t="shared" si="105"/>
        <v>0</v>
      </c>
      <c r="F97" s="157"/>
      <c r="G97" s="14" t="str">
        <f t="shared" si="106"/>
        <v>#DIV/0!</v>
      </c>
      <c r="H97" s="89"/>
      <c r="I97" s="137"/>
      <c r="J97" s="89">
        <f t="shared" si="107"/>
        <v>0</v>
      </c>
      <c r="K97" s="89" t="str">
        <f t="shared" si="108"/>
        <v/>
      </c>
      <c r="L97" s="152" t="str">
        <f t="shared" si="109"/>
        <v>#DIV/0!</v>
      </c>
      <c r="M97" s="126"/>
      <c r="N97" s="367">
        <f t="shared" si="110"/>
        <v>0</v>
      </c>
    </row>
    <row r="98">
      <c r="A98" s="154"/>
      <c r="B98" s="156"/>
      <c r="C98" s="89"/>
      <c r="D98" s="89"/>
      <c r="E98" s="12">
        <f t="shared" si="105"/>
        <v>0</v>
      </c>
      <c r="F98" s="157"/>
      <c r="G98" s="14" t="str">
        <f t="shared" si="106"/>
        <v>#DIV/0!</v>
      </c>
      <c r="H98" s="89"/>
      <c r="I98" s="137"/>
      <c r="J98" s="89">
        <f t="shared" si="107"/>
        <v>0</v>
      </c>
      <c r="K98" s="89" t="str">
        <f t="shared" si="108"/>
        <v/>
      </c>
      <c r="L98" s="152" t="str">
        <f t="shared" si="109"/>
        <v>#DIV/0!</v>
      </c>
      <c r="M98" s="126"/>
      <c r="N98" s="367">
        <f t="shared" si="110"/>
        <v>0</v>
      </c>
    </row>
    <row r="99">
      <c r="A99" s="62"/>
      <c r="B99" s="63"/>
      <c r="C99" s="62"/>
      <c r="D99" s="64" t="s">
        <v>19</v>
      </c>
      <c r="E99" s="64">
        <f t="shared" ref="E99:F99" si="111">sum(E94:E98)</f>
        <v>384387</v>
      </c>
      <c r="F99" s="64">
        <f t="shared" si="111"/>
        <v>892.46</v>
      </c>
      <c r="G99" s="65" t="str">
        <f>average(G94:G98)</f>
        <v>#DIV/0!</v>
      </c>
      <c r="H99" s="62"/>
      <c r="I99" s="66"/>
      <c r="J99" s="64">
        <f t="shared" ref="J99:K99" si="112">sum(J94:J98)</f>
        <v>-1780</v>
      </c>
      <c r="K99" s="64">
        <f t="shared" si="112"/>
        <v>892.46</v>
      </c>
      <c r="L99" s="65" t="str">
        <f>average(L94:L98)</f>
        <v>#DIV/0!</v>
      </c>
      <c r="M99" s="68"/>
      <c r="N99" s="368">
        <f>sum(N94:N98)</f>
        <v>17005927.6</v>
      </c>
    </row>
    <row r="100">
      <c r="A100" s="70">
        <v>45698.0</v>
      </c>
      <c r="B100" s="156" t="s">
        <v>48</v>
      </c>
      <c r="C100" s="89">
        <v>447900.0</v>
      </c>
      <c r="D100" s="13">
        <v>448350.0</v>
      </c>
      <c r="E100" s="38">
        <f t="shared" ref="E100:E104" si="113">D100-C100</f>
        <v>450</v>
      </c>
      <c r="F100" s="39">
        <v>299.23</v>
      </c>
      <c r="G100" s="14">
        <f t="shared" ref="G100:G104" si="114">(F100/E100)*100</f>
        <v>66.49555556</v>
      </c>
      <c r="H100" s="89"/>
      <c r="I100" s="138"/>
      <c r="J100" s="41">
        <f t="shared" ref="J100:J104" si="115">I100-H100</f>
        <v>0</v>
      </c>
      <c r="K100" s="41">
        <f t="shared" ref="K100:K104" si="116">F100</f>
        <v>299.23</v>
      </c>
      <c r="L100" s="152" t="str">
        <f t="shared" ref="L100:L104" si="117">(K100/J100)*100</f>
        <v>#DIV/0!</v>
      </c>
      <c r="M100" s="72">
        <v>19050.0</v>
      </c>
      <c r="N100" s="366">
        <f t="shared" ref="N100:N104" si="118">F100*M100</f>
        <v>5700331.5</v>
      </c>
    </row>
    <row r="101">
      <c r="A101" s="154">
        <v>45714.0</v>
      </c>
      <c r="B101" s="156"/>
      <c r="C101" s="89">
        <v>448350.0</v>
      </c>
      <c r="D101" s="89">
        <v>448780.0</v>
      </c>
      <c r="E101" s="12">
        <f t="shared" si="113"/>
        <v>430</v>
      </c>
      <c r="F101" s="157">
        <v>288.5625</v>
      </c>
      <c r="G101" s="14">
        <f t="shared" si="114"/>
        <v>67.10755814</v>
      </c>
      <c r="H101" s="89"/>
      <c r="I101" s="137"/>
      <c r="J101" s="89">
        <f t="shared" si="115"/>
        <v>0</v>
      </c>
      <c r="K101" s="89">
        <f t="shared" si="116"/>
        <v>288.5625</v>
      </c>
      <c r="L101" s="152" t="str">
        <f t="shared" si="117"/>
        <v>#DIV/0!</v>
      </c>
      <c r="M101" s="126">
        <v>19060.0</v>
      </c>
      <c r="N101" s="372">
        <f t="shared" si="118"/>
        <v>5500001.25</v>
      </c>
    </row>
    <row r="102">
      <c r="A102" s="154"/>
      <c r="B102" s="156"/>
      <c r="C102" s="89"/>
      <c r="D102" s="89"/>
      <c r="E102" s="12">
        <f t="shared" si="113"/>
        <v>0</v>
      </c>
      <c r="F102" s="157"/>
      <c r="G102" s="14" t="str">
        <f t="shared" si="114"/>
        <v>#DIV/0!</v>
      </c>
      <c r="H102" s="89"/>
      <c r="I102" s="137"/>
      <c r="J102" s="89">
        <f t="shared" si="115"/>
        <v>0</v>
      </c>
      <c r="K102" s="89" t="str">
        <f t="shared" si="116"/>
        <v/>
      </c>
      <c r="L102" s="152" t="str">
        <f t="shared" si="117"/>
        <v>#DIV/0!</v>
      </c>
      <c r="M102" s="126"/>
      <c r="N102" s="367">
        <f t="shared" si="118"/>
        <v>0</v>
      </c>
    </row>
    <row r="103">
      <c r="A103" s="154"/>
      <c r="B103" s="156"/>
      <c r="C103" s="89"/>
      <c r="D103" s="89"/>
      <c r="E103" s="12">
        <f t="shared" si="113"/>
        <v>0</v>
      </c>
      <c r="F103" s="157"/>
      <c r="G103" s="14" t="str">
        <f t="shared" si="114"/>
        <v>#DIV/0!</v>
      </c>
      <c r="H103" s="89"/>
      <c r="I103" s="137"/>
      <c r="J103" s="89">
        <f t="shared" si="115"/>
        <v>0</v>
      </c>
      <c r="K103" s="89" t="str">
        <f t="shared" si="116"/>
        <v/>
      </c>
      <c r="L103" s="152" t="str">
        <f t="shared" si="117"/>
        <v>#DIV/0!</v>
      </c>
      <c r="M103" s="126"/>
      <c r="N103" s="367">
        <f t="shared" si="118"/>
        <v>0</v>
      </c>
    </row>
    <row r="104">
      <c r="A104" s="154"/>
      <c r="B104" s="156"/>
      <c r="C104" s="89"/>
      <c r="D104" s="89"/>
      <c r="E104" s="12">
        <f t="shared" si="113"/>
        <v>0</v>
      </c>
      <c r="F104" s="157"/>
      <c r="G104" s="14" t="str">
        <f t="shared" si="114"/>
        <v>#DIV/0!</v>
      </c>
      <c r="H104" s="89"/>
      <c r="I104" s="137"/>
      <c r="J104" s="89">
        <f t="shared" si="115"/>
        <v>0</v>
      </c>
      <c r="K104" s="89" t="str">
        <f t="shared" si="116"/>
        <v/>
      </c>
      <c r="L104" s="152" t="str">
        <f t="shared" si="117"/>
        <v>#DIV/0!</v>
      </c>
      <c r="M104" s="126"/>
      <c r="N104" s="367">
        <f t="shared" si="118"/>
        <v>0</v>
      </c>
    </row>
    <row r="105">
      <c r="A105" s="62"/>
      <c r="B105" s="63"/>
      <c r="C105" s="62"/>
      <c r="D105" s="64" t="s">
        <v>19</v>
      </c>
      <c r="E105" s="64">
        <f t="shared" ref="E105:F105" si="119">sum(E100:E104)</f>
        <v>880</v>
      </c>
      <c r="F105" s="64">
        <f t="shared" si="119"/>
        <v>587.7925</v>
      </c>
      <c r="G105" s="65" t="str">
        <f>average(G100:G104)</f>
        <v>#DIV/0!</v>
      </c>
      <c r="H105" s="62"/>
      <c r="I105" s="66"/>
      <c r="J105" s="64">
        <f t="shared" ref="J105:K105" si="120">sum(J100:J104)</f>
        <v>0</v>
      </c>
      <c r="K105" s="64">
        <f t="shared" si="120"/>
        <v>587.7925</v>
      </c>
      <c r="L105" s="65" t="str">
        <f>average(L100:L104)</f>
        <v>#DIV/0!</v>
      </c>
      <c r="M105" s="68"/>
      <c r="N105" s="368">
        <f>sum(N100:N104)</f>
        <v>11200332.75</v>
      </c>
    </row>
    <row r="106">
      <c r="A106" s="70">
        <v>45692.0</v>
      </c>
      <c r="B106" s="156" t="s">
        <v>49</v>
      </c>
      <c r="C106" s="89"/>
      <c r="D106" s="13"/>
      <c r="E106" s="38">
        <f t="shared" ref="E106:E110" si="121">D106-C106</f>
        <v>0</v>
      </c>
      <c r="F106" s="39">
        <v>228.691</v>
      </c>
      <c r="G106" s="14" t="str">
        <f t="shared" ref="G106:G110" si="122">(F106/E106)*100</f>
        <v>#DIV/0!</v>
      </c>
      <c r="H106" s="89"/>
      <c r="I106" s="138"/>
      <c r="J106" s="41">
        <f t="shared" ref="J106:J110" si="123">I106-H106</f>
        <v>0</v>
      </c>
      <c r="K106" s="41">
        <f t="shared" ref="K106:K110" si="124">F106</f>
        <v>228.691</v>
      </c>
      <c r="L106" s="152" t="str">
        <f t="shared" ref="L106:L110" si="125">(K106/J106)*100</f>
        <v>#DIV/0!</v>
      </c>
      <c r="M106" s="72">
        <v>19240.0</v>
      </c>
      <c r="N106" s="366">
        <f t="shared" ref="N106:N110" si="126">F106*M106</f>
        <v>4400014.84</v>
      </c>
    </row>
    <row r="107">
      <c r="A107" s="154">
        <v>45713.0</v>
      </c>
      <c r="B107" s="156"/>
      <c r="C107" s="89"/>
      <c r="D107" s="89"/>
      <c r="E107" s="12">
        <f t="shared" si="121"/>
        <v>0</v>
      </c>
      <c r="F107" s="157">
        <v>241.34</v>
      </c>
      <c r="G107" s="14" t="str">
        <f t="shared" si="122"/>
        <v>#DIV/0!</v>
      </c>
      <c r="H107" s="89"/>
      <c r="I107" s="137"/>
      <c r="J107" s="89">
        <f t="shared" si="123"/>
        <v>0</v>
      </c>
      <c r="K107" s="89">
        <f t="shared" si="124"/>
        <v>241.34</v>
      </c>
      <c r="L107" s="152" t="str">
        <f t="shared" si="125"/>
        <v>#DIV/0!</v>
      </c>
      <c r="M107" s="126">
        <v>19060.0</v>
      </c>
      <c r="N107" s="372">
        <f t="shared" si="126"/>
        <v>4599940.4</v>
      </c>
    </row>
    <row r="108">
      <c r="A108" s="154"/>
      <c r="B108" s="156"/>
      <c r="C108" s="89"/>
      <c r="D108" s="89"/>
      <c r="E108" s="12">
        <f t="shared" si="121"/>
        <v>0</v>
      </c>
      <c r="F108" s="157"/>
      <c r="G108" s="14" t="str">
        <f t="shared" si="122"/>
        <v>#DIV/0!</v>
      </c>
      <c r="H108" s="89"/>
      <c r="I108" s="137"/>
      <c r="J108" s="89">
        <f t="shared" si="123"/>
        <v>0</v>
      </c>
      <c r="K108" s="89" t="str">
        <f t="shared" si="124"/>
        <v/>
      </c>
      <c r="L108" s="152" t="str">
        <f t="shared" si="125"/>
        <v>#DIV/0!</v>
      </c>
      <c r="M108" s="126"/>
      <c r="N108" s="367">
        <f t="shared" si="126"/>
        <v>0</v>
      </c>
    </row>
    <row r="109">
      <c r="A109" s="154"/>
      <c r="B109" s="156"/>
      <c r="C109" s="89"/>
      <c r="D109" s="89"/>
      <c r="E109" s="12">
        <f t="shared" si="121"/>
        <v>0</v>
      </c>
      <c r="F109" s="157"/>
      <c r="G109" s="14" t="str">
        <f t="shared" si="122"/>
        <v>#DIV/0!</v>
      </c>
      <c r="H109" s="89"/>
      <c r="I109" s="137"/>
      <c r="J109" s="89">
        <f t="shared" si="123"/>
        <v>0</v>
      </c>
      <c r="K109" s="89" t="str">
        <f t="shared" si="124"/>
        <v/>
      </c>
      <c r="L109" s="152" t="str">
        <f t="shared" si="125"/>
        <v>#DIV/0!</v>
      </c>
      <c r="M109" s="126"/>
      <c r="N109" s="367">
        <f t="shared" si="126"/>
        <v>0</v>
      </c>
    </row>
    <row r="110">
      <c r="A110" s="154"/>
      <c r="B110" s="156"/>
      <c r="C110" s="89"/>
      <c r="D110" s="89"/>
      <c r="E110" s="12">
        <f t="shared" si="121"/>
        <v>0</v>
      </c>
      <c r="F110" s="157"/>
      <c r="G110" s="14" t="str">
        <f t="shared" si="122"/>
        <v>#DIV/0!</v>
      </c>
      <c r="H110" s="89"/>
      <c r="I110" s="137"/>
      <c r="J110" s="89">
        <f t="shared" si="123"/>
        <v>0</v>
      </c>
      <c r="K110" s="89" t="str">
        <f t="shared" si="124"/>
        <v/>
      </c>
      <c r="L110" s="152" t="str">
        <f t="shared" si="125"/>
        <v>#DIV/0!</v>
      </c>
      <c r="M110" s="126"/>
      <c r="N110" s="367">
        <f t="shared" si="126"/>
        <v>0</v>
      </c>
    </row>
    <row r="111">
      <c r="A111" s="62"/>
      <c r="B111" s="63"/>
      <c r="C111" s="62"/>
      <c r="D111" s="64" t="s">
        <v>19</v>
      </c>
      <c r="E111" s="64">
        <f t="shared" ref="E111:F111" si="127">sum(E106:E110)</f>
        <v>0</v>
      </c>
      <c r="F111" s="64">
        <f t="shared" si="127"/>
        <v>470.031</v>
      </c>
      <c r="G111" s="65" t="str">
        <f>average(G106:G110)</f>
        <v>#DIV/0!</v>
      </c>
      <c r="H111" s="62"/>
      <c r="I111" s="66"/>
      <c r="J111" s="64">
        <f t="shared" ref="J111:K111" si="128">sum(J106:J110)</f>
        <v>0</v>
      </c>
      <c r="K111" s="64">
        <f t="shared" si="128"/>
        <v>470.031</v>
      </c>
      <c r="L111" s="65" t="str">
        <f>average(L106:L110)</f>
        <v>#DIV/0!</v>
      </c>
      <c r="M111" s="68"/>
      <c r="N111" s="368">
        <f>sum(N106:N110)</f>
        <v>8999955.24</v>
      </c>
    </row>
    <row r="112">
      <c r="A112" s="70">
        <v>45691.0</v>
      </c>
      <c r="B112" s="156" t="s">
        <v>50</v>
      </c>
      <c r="C112" s="89"/>
      <c r="D112" s="13">
        <v>345060.0</v>
      </c>
      <c r="E112" s="38">
        <f t="shared" ref="E112:E116" si="129">D112-C112</f>
        <v>345060</v>
      </c>
      <c r="F112" s="39">
        <v>207.91</v>
      </c>
      <c r="G112" s="14">
        <f t="shared" ref="G112:G116" si="130">(F112/E112)*100</f>
        <v>0.06025328928</v>
      </c>
      <c r="H112" s="89"/>
      <c r="I112" s="138"/>
      <c r="J112" s="41">
        <f t="shared" ref="J112:J116" si="131">I112-H112</f>
        <v>0</v>
      </c>
      <c r="K112" s="41">
        <f t="shared" ref="K112:K116" si="132">F112</f>
        <v>207.91</v>
      </c>
      <c r="L112" s="152" t="str">
        <f t="shared" ref="L112:L116" si="133">(K112/J112)*100</f>
        <v>#DIV/0!</v>
      </c>
      <c r="M112" s="72">
        <v>19240.0</v>
      </c>
      <c r="N112" s="366">
        <f t="shared" ref="N112:N116" si="134">F112*M112</f>
        <v>4000188.4</v>
      </c>
    </row>
    <row r="113">
      <c r="A113" s="154"/>
      <c r="B113" s="156"/>
      <c r="C113" s="89"/>
      <c r="D113" s="89"/>
      <c r="E113" s="12">
        <f t="shared" si="129"/>
        <v>0</v>
      </c>
      <c r="F113" s="157"/>
      <c r="G113" s="14" t="str">
        <f t="shared" si="130"/>
        <v>#DIV/0!</v>
      </c>
      <c r="H113" s="89"/>
      <c r="I113" s="137"/>
      <c r="J113" s="89">
        <f t="shared" si="131"/>
        <v>0</v>
      </c>
      <c r="K113" s="89" t="str">
        <f t="shared" si="132"/>
        <v/>
      </c>
      <c r="L113" s="152" t="str">
        <f t="shared" si="133"/>
        <v>#DIV/0!</v>
      </c>
      <c r="M113" s="126"/>
      <c r="N113" s="372">
        <f t="shared" si="134"/>
        <v>0</v>
      </c>
    </row>
    <row r="114">
      <c r="A114" s="154"/>
      <c r="B114" s="156"/>
      <c r="C114" s="89"/>
      <c r="D114" s="89"/>
      <c r="E114" s="12">
        <f t="shared" si="129"/>
        <v>0</v>
      </c>
      <c r="F114" s="157"/>
      <c r="G114" s="14" t="str">
        <f t="shared" si="130"/>
        <v>#DIV/0!</v>
      </c>
      <c r="H114" s="89"/>
      <c r="I114" s="137"/>
      <c r="J114" s="89">
        <f t="shared" si="131"/>
        <v>0</v>
      </c>
      <c r="K114" s="89" t="str">
        <f t="shared" si="132"/>
        <v/>
      </c>
      <c r="L114" s="152" t="str">
        <f t="shared" si="133"/>
        <v>#DIV/0!</v>
      </c>
      <c r="M114" s="126"/>
      <c r="N114" s="367">
        <f t="shared" si="134"/>
        <v>0</v>
      </c>
    </row>
    <row r="115">
      <c r="A115" s="154"/>
      <c r="B115" s="156"/>
      <c r="C115" s="89"/>
      <c r="D115" s="89"/>
      <c r="E115" s="12">
        <f t="shared" si="129"/>
        <v>0</v>
      </c>
      <c r="F115" s="157"/>
      <c r="G115" s="14" t="str">
        <f t="shared" si="130"/>
        <v>#DIV/0!</v>
      </c>
      <c r="H115" s="89"/>
      <c r="I115" s="137"/>
      <c r="J115" s="89">
        <f t="shared" si="131"/>
        <v>0</v>
      </c>
      <c r="K115" s="89" t="str">
        <f t="shared" si="132"/>
        <v/>
      </c>
      <c r="L115" s="152" t="str">
        <f t="shared" si="133"/>
        <v>#DIV/0!</v>
      </c>
      <c r="M115" s="126"/>
      <c r="N115" s="367">
        <f t="shared" si="134"/>
        <v>0</v>
      </c>
    </row>
    <row r="116">
      <c r="A116" s="154"/>
      <c r="B116" s="156"/>
      <c r="C116" s="89"/>
      <c r="D116" s="89"/>
      <c r="E116" s="12">
        <f t="shared" si="129"/>
        <v>0</v>
      </c>
      <c r="F116" s="157"/>
      <c r="G116" s="14" t="str">
        <f t="shared" si="130"/>
        <v>#DIV/0!</v>
      </c>
      <c r="H116" s="89"/>
      <c r="I116" s="137"/>
      <c r="J116" s="89">
        <f t="shared" si="131"/>
        <v>0</v>
      </c>
      <c r="K116" s="89" t="str">
        <f t="shared" si="132"/>
        <v/>
      </c>
      <c r="L116" s="152" t="str">
        <f t="shared" si="133"/>
        <v>#DIV/0!</v>
      </c>
      <c r="M116" s="126"/>
      <c r="N116" s="367">
        <f t="shared" si="134"/>
        <v>0</v>
      </c>
    </row>
    <row r="117">
      <c r="A117" s="62"/>
      <c r="B117" s="63"/>
      <c r="C117" s="62"/>
      <c r="D117" s="64" t="s">
        <v>19</v>
      </c>
      <c r="E117" s="64">
        <f t="shared" ref="E117:F117" si="135">sum(E112:E116)</f>
        <v>345060</v>
      </c>
      <c r="F117" s="64">
        <f t="shared" si="135"/>
        <v>207.91</v>
      </c>
      <c r="G117" s="65" t="str">
        <f>average(G112:G116)</f>
        <v>#DIV/0!</v>
      </c>
      <c r="H117" s="62"/>
      <c r="I117" s="66"/>
      <c r="J117" s="64">
        <f t="shared" ref="J117:K117" si="136">sum(J112:J116)</f>
        <v>0</v>
      </c>
      <c r="K117" s="64">
        <f t="shared" si="136"/>
        <v>207.91</v>
      </c>
      <c r="L117" s="65" t="str">
        <f>average(L112:L116)</f>
        <v>#DIV/0!</v>
      </c>
      <c r="M117" s="68"/>
      <c r="N117" s="368">
        <f>sum(N112:N116)</f>
        <v>4000188.4</v>
      </c>
    </row>
    <row r="118">
      <c r="A118" s="70">
        <v>45696.0</v>
      </c>
      <c r="B118" s="156" t="s">
        <v>107</v>
      </c>
      <c r="C118" s="89">
        <v>295100.0</v>
      </c>
      <c r="D118" s="13">
        <v>295310.0</v>
      </c>
      <c r="E118" s="38">
        <f t="shared" ref="E118:E122" si="137">D118-C118</f>
        <v>210</v>
      </c>
      <c r="F118" s="39">
        <v>146.98</v>
      </c>
      <c r="G118" s="14">
        <f t="shared" ref="G118:G122" si="138">(F118/E118)*100</f>
        <v>69.99047619</v>
      </c>
      <c r="H118" s="89"/>
      <c r="I118" s="138"/>
      <c r="J118" s="41">
        <f t="shared" ref="J118:J122" si="139">I118-H118</f>
        <v>0</v>
      </c>
      <c r="K118" s="41">
        <f t="shared" ref="K118:K122" si="140">F118</f>
        <v>146.98</v>
      </c>
      <c r="L118" s="152" t="str">
        <f t="shared" ref="L118:L122" si="141">(K118/J118)*100</f>
        <v>#DIV/0!</v>
      </c>
      <c r="M118" s="72">
        <v>19050.0</v>
      </c>
      <c r="N118" s="366">
        <f t="shared" ref="N118:N122" si="142">F118*M118</f>
        <v>2799969</v>
      </c>
    </row>
    <row r="119">
      <c r="A119" s="154">
        <v>45713.0</v>
      </c>
      <c r="B119" s="156"/>
      <c r="C119" s="89">
        <v>295310.0</v>
      </c>
      <c r="D119" s="89">
        <v>295530.0</v>
      </c>
      <c r="E119" s="12">
        <f t="shared" si="137"/>
        <v>220</v>
      </c>
      <c r="F119" s="157">
        <v>136.42</v>
      </c>
      <c r="G119" s="14">
        <f t="shared" si="138"/>
        <v>62.00909091</v>
      </c>
      <c r="H119" s="89"/>
      <c r="I119" s="137"/>
      <c r="J119" s="89">
        <f t="shared" si="139"/>
        <v>0</v>
      </c>
      <c r="K119" s="89">
        <f t="shared" si="140"/>
        <v>136.42</v>
      </c>
      <c r="L119" s="152" t="str">
        <f t="shared" si="141"/>
        <v>#DIV/0!</v>
      </c>
      <c r="M119" s="126">
        <v>19060.0</v>
      </c>
      <c r="N119" s="372">
        <f t="shared" si="142"/>
        <v>2600165.2</v>
      </c>
    </row>
    <row r="120">
      <c r="A120" s="154"/>
      <c r="B120" s="156"/>
      <c r="C120" s="89"/>
      <c r="D120" s="89"/>
      <c r="E120" s="12">
        <f t="shared" si="137"/>
        <v>0</v>
      </c>
      <c r="F120" s="157"/>
      <c r="G120" s="14" t="str">
        <f t="shared" si="138"/>
        <v>#DIV/0!</v>
      </c>
      <c r="H120" s="89"/>
      <c r="I120" s="137"/>
      <c r="J120" s="89">
        <f t="shared" si="139"/>
        <v>0</v>
      </c>
      <c r="K120" s="89" t="str">
        <f t="shared" si="140"/>
        <v/>
      </c>
      <c r="L120" s="152" t="str">
        <f t="shared" si="141"/>
        <v>#DIV/0!</v>
      </c>
      <c r="M120" s="126"/>
      <c r="N120" s="367">
        <f t="shared" si="142"/>
        <v>0</v>
      </c>
    </row>
    <row r="121">
      <c r="A121" s="154"/>
      <c r="B121" s="156"/>
      <c r="C121" s="89"/>
      <c r="D121" s="89"/>
      <c r="E121" s="12">
        <f t="shared" si="137"/>
        <v>0</v>
      </c>
      <c r="F121" s="157"/>
      <c r="G121" s="14" t="str">
        <f t="shared" si="138"/>
        <v>#DIV/0!</v>
      </c>
      <c r="H121" s="89"/>
      <c r="I121" s="137"/>
      <c r="J121" s="89">
        <f t="shared" si="139"/>
        <v>0</v>
      </c>
      <c r="K121" s="89" t="str">
        <f t="shared" si="140"/>
        <v/>
      </c>
      <c r="L121" s="152" t="str">
        <f t="shared" si="141"/>
        <v>#DIV/0!</v>
      </c>
      <c r="M121" s="126"/>
      <c r="N121" s="367">
        <f t="shared" si="142"/>
        <v>0</v>
      </c>
    </row>
    <row r="122">
      <c r="A122" s="154"/>
      <c r="B122" s="156"/>
      <c r="C122" s="89"/>
      <c r="D122" s="89"/>
      <c r="E122" s="12">
        <f t="shared" si="137"/>
        <v>0</v>
      </c>
      <c r="F122" s="157"/>
      <c r="G122" s="14" t="str">
        <f t="shared" si="138"/>
        <v>#DIV/0!</v>
      </c>
      <c r="H122" s="89"/>
      <c r="I122" s="137"/>
      <c r="J122" s="89">
        <f t="shared" si="139"/>
        <v>0</v>
      </c>
      <c r="K122" s="89" t="str">
        <f t="shared" si="140"/>
        <v/>
      </c>
      <c r="L122" s="152" t="str">
        <f t="shared" si="141"/>
        <v>#DIV/0!</v>
      </c>
      <c r="M122" s="126"/>
      <c r="N122" s="367">
        <f t="shared" si="142"/>
        <v>0</v>
      </c>
    </row>
    <row r="123">
      <c r="A123" s="62"/>
      <c r="B123" s="63"/>
      <c r="C123" s="62"/>
      <c r="D123" s="64" t="s">
        <v>19</v>
      </c>
      <c r="E123" s="64">
        <f t="shared" ref="E123:F123" si="143">sum(E118:E122)</f>
        <v>430</v>
      </c>
      <c r="F123" s="64">
        <f t="shared" si="143"/>
        <v>283.4</v>
      </c>
      <c r="G123" s="65" t="str">
        <f>average(G118:G122)</f>
        <v>#DIV/0!</v>
      </c>
      <c r="H123" s="62"/>
      <c r="I123" s="66"/>
      <c r="J123" s="64">
        <f t="shared" ref="J123:K123" si="144">sum(J118:J122)</f>
        <v>0</v>
      </c>
      <c r="K123" s="64">
        <f t="shared" si="144"/>
        <v>283.4</v>
      </c>
      <c r="L123" s="65" t="str">
        <f>average(L118:L122)</f>
        <v>#DIV/0!</v>
      </c>
      <c r="M123" s="68"/>
      <c r="N123" s="368">
        <f>sum(N118:N122)</f>
        <v>5400134.2</v>
      </c>
    </row>
    <row r="124">
      <c r="A124" s="70"/>
      <c r="B124" s="156" t="s">
        <v>112</v>
      </c>
      <c r="C124" s="89"/>
      <c r="D124" s="13"/>
      <c r="E124" s="38">
        <f t="shared" ref="E124:E128" si="145">D124-C124</f>
        <v>0</v>
      </c>
      <c r="F124" s="39"/>
      <c r="G124" s="14" t="str">
        <f t="shared" ref="G124:G128" si="146">(F124/E124)*100</f>
        <v>#DIV/0!</v>
      </c>
      <c r="H124" s="89"/>
      <c r="I124" s="138"/>
      <c r="J124" s="41">
        <f t="shared" ref="J124:J128" si="147">I124-H124</f>
        <v>0</v>
      </c>
      <c r="K124" s="41" t="str">
        <f t="shared" ref="K124:K128" si="148">F124</f>
        <v/>
      </c>
      <c r="L124" s="152" t="str">
        <f t="shared" ref="L124:L128" si="149">(K124/J124)*100</f>
        <v>#DIV/0!</v>
      </c>
      <c r="M124" s="72"/>
      <c r="N124" s="366">
        <f t="shared" ref="N124:N128" si="150">F124*M124</f>
        <v>0</v>
      </c>
    </row>
    <row r="125">
      <c r="A125" s="154"/>
      <c r="B125" s="156"/>
      <c r="C125" s="89"/>
      <c r="D125" s="89"/>
      <c r="E125" s="12">
        <f t="shared" si="145"/>
        <v>0</v>
      </c>
      <c r="F125" s="157"/>
      <c r="G125" s="14" t="str">
        <f t="shared" si="146"/>
        <v>#DIV/0!</v>
      </c>
      <c r="H125" s="89"/>
      <c r="I125" s="137"/>
      <c r="J125" s="89">
        <f t="shared" si="147"/>
        <v>0</v>
      </c>
      <c r="K125" s="89" t="str">
        <f t="shared" si="148"/>
        <v/>
      </c>
      <c r="L125" s="152" t="str">
        <f t="shared" si="149"/>
        <v>#DIV/0!</v>
      </c>
      <c r="M125" s="126"/>
      <c r="N125" s="372">
        <f t="shared" si="150"/>
        <v>0</v>
      </c>
    </row>
    <row r="126">
      <c r="A126" s="154"/>
      <c r="B126" s="156"/>
      <c r="C126" s="89"/>
      <c r="D126" s="89"/>
      <c r="E126" s="12">
        <f t="shared" si="145"/>
        <v>0</v>
      </c>
      <c r="F126" s="157"/>
      <c r="G126" s="14" t="str">
        <f t="shared" si="146"/>
        <v>#DIV/0!</v>
      </c>
      <c r="H126" s="89"/>
      <c r="I126" s="137"/>
      <c r="J126" s="89">
        <f t="shared" si="147"/>
        <v>0</v>
      </c>
      <c r="K126" s="89" t="str">
        <f t="shared" si="148"/>
        <v/>
      </c>
      <c r="L126" s="152" t="str">
        <f t="shared" si="149"/>
        <v>#DIV/0!</v>
      </c>
      <c r="M126" s="126"/>
      <c r="N126" s="367">
        <f t="shared" si="150"/>
        <v>0</v>
      </c>
    </row>
    <row r="127">
      <c r="A127" s="154"/>
      <c r="B127" s="156"/>
      <c r="C127" s="89"/>
      <c r="D127" s="89"/>
      <c r="E127" s="12">
        <f t="shared" si="145"/>
        <v>0</v>
      </c>
      <c r="F127" s="157"/>
      <c r="G127" s="14" t="str">
        <f t="shared" si="146"/>
        <v>#DIV/0!</v>
      </c>
      <c r="H127" s="89"/>
      <c r="I127" s="137"/>
      <c r="J127" s="89">
        <f t="shared" si="147"/>
        <v>0</v>
      </c>
      <c r="K127" s="89" t="str">
        <f t="shared" si="148"/>
        <v/>
      </c>
      <c r="L127" s="152" t="str">
        <f t="shared" si="149"/>
        <v>#DIV/0!</v>
      </c>
      <c r="M127" s="126"/>
      <c r="N127" s="367">
        <f t="shared" si="150"/>
        <v>0</v>
      </c>
    </row>
    <row r="128">
      <c r="A128" s="154"/>
      <c r="B128" s="156"/>
      <c r="C128" s="89"/>
      <c r="D128" s="89"/>
      <c r="E128" s="12">
        <f t="shared" si="145"/>
        <v>0</v>
      </c>
      <c r="F128" s="157"/>
      <c r="G128" s="14" t="str">
        <f t="shared" si="146"/>
        <v>#DIV/0!</v>
      </c>
      <c r="H128" s="89"/>
      <c r="I128" s="137"/>
      <c r="J128" s="89">
        <f t="shared" si="147"/>
        <v>0</v>
      </c>
      <c r="K128" s="89" t="str">
        <f t="shared" si="148"/>
        <v/>
      </c>
      <c r="L128" s="152" t="str">
        <f t="shared" si="149"/>
        <v>#DIV/0!</v>
      </c>
      <c r="M128" s="126"/>
      <c r="N128" s="367">
        <f t="shared" si="150"/>
        <v>0</v>
      </c>
    </row>
    <row r="129">
      <c r="A129" s="62"/>
      <c r="B129" s="63"/>
      <c r="C129" s="62"/>
      <c r="D129" s="64"/>
      <c r="E129" s="64">
        <f t="shared" ref="E129:F129" si="151">sum(E124:E128)</f>
        <v>0</v>
      </c>
      <c r="F129" s="64">
        <f t="shared" si="151"/>
        <v>0</v>
      </c>
      <c r="G129" s="65" t="str">
        <f>average(G124:G128)</f>
        <v>#DIV/0!</v>
      </c>
      <c r="H129" s="62"/>
      <c r="I129" s="66"/>
      <c r="J129" s="64">
        <f t="shared" ref="J129:K129" si="152">sum(J124:J128)</f>
        <v>0</v>
      </c>
      <c r="K129" s="64">
        <f t="shared" si="152"/>
        <v>0</v>
      </c>
      <c r="L129" s="65" t="str">
        <f>average(L124:L128)</f>
        <v>#DIV/0!</v>
      </c>
      <c r="M129" s="68"/>
      <c r="N129" s="368">
        <f>sum(N124:N128)</f>
        <v>0</v>
      </c>
    </row>
    <row r="130">
      <c r="A130" s="70"/>
      <c r="B130" s="156" t="s">
        <v>54</v>
      </c>
      <c r="C130" s="89"/>
      <c r="D130" s="13"/>
      <c r="E130" s="38">
        <f t="shared" ref="E130:E134" si="153">D130-C130</f>
        <v>0</v>
      </c>
      <c r="F130" s="39"/>
      <c r="G130" s="14" t="str">
        <f t="shared" ref="G130:G134" si="154">(F130/E130)*100</f>
        <v>#DIV/0!</v>
      </c>
      <c r="H130" s="89"/>
      <c r="I130" s="138"/>
      <c r="J130" s="41">
        <f t="shared" ref="J130:J134" si="155">I130-H130</f>
        <v>0</v>
      </c>
      <c r="K130" s="41" t="str">
        <f t="shared" ref="K130:K134" si="156">F130</f>
        <v/>
      </c>
      <c r="L130" s="152" t="str">
        <f t="shared" ref="L130:L134" si="157">(K130/J130)*100</f>
        <v>#DIV/0!</v>
      </c>
      <c r="M130" s="72"/>
      <c r="N130" s="366">
        <f t="shared" ref="N130:N134" si="158">F130*M130</f>
        <v>0</v>
      </c>
    </row>
    <row r="131">
      <c r="A131" s="154"/>
      <c r="B131" s="156"/>
      <c r="C131" s="89"/>
      <c r="D131" s="89"/>
      <c r="E131" s="12">
        <f t="shared" si="153"/>
        <v>0</v>
      </c>
      <c r="F131" s="157"/>
      <c r="G131" s="14" t="str">
        <f t="shared" si="154"/>
        <v>#DIV/0!</v>
      </c>
      <c r="H131" s="89"/>
      <c r="I131" s="137"/>
      <c r="J131" s="89">
        <f t="shared" si="155"/>
        <v>0</v>
      </c>
      <c r="K131" s="89" t="str">
        <f t="shared" si="156"/>
        <v/>
      </c>
      <c r="L131" s="152" t="str">
        <f t="shared" si="157"/>
        <v>#DIV/0!</v>
      </c>
      <c r="M131" s="126"/>
      <c r="N131" s="372">
        <f t="shared" si="158"/>
        <v>0</v>
      </c>
    </row>
    <row r="132">
      <c r="A132" s="154"/>
      <c r="B132" s="156"/>
      <c r="C132" s="89"/>
      <c r="D132" s="89"/>
      <c r="E132" s="12">
        <f t="shared" si="153"/>
        <v>0</v>
      </c>
      <c r="F132" s="157"/>
      <c r="G132" s="14" t="str">
        <f t="shared" si="154"/>
        <v>#DIV/0!</v>
      </c>
      <c r="H132" s="89"/>
      <c r="I132" s="137"/>
      <c r="J132" s="89">
        <f t="shared" si="155"/>
        <v>0</v>
      </c>
      <c r="K132" s="89" t="str">
        <f t="shared" si="156"/>
        <v/>
      </c>
      <c r="L132" s="152" t="str">
        <f t="shared" si="157"/>
        <v>#DIV/0!</v>
      </c>
      <c r="M132" s="126"/>
      <c r="N132" s="367">
        <f t="shared" si="158"/>
        <v>0</v>
      </c>
    </row>
    <row r="133">
      <c r="A133" s="154"/>
      <c r="B133" s="156"/>
      <c r="C133" s="89"/>
      <c r="D133" s="89"/>
      <c r="E133" s="12">
        <f t="shared" si="153"/>
        <v>0</v>
      </c>
      <c r="F133" s="157"/>
      <c r="G133" s="14" t="str">
        <f t="shared" si="154"/>
        <v>#DIV/0!</v>
      </c>
      <c r="H133" s="89"/>
      <c r="I133" s="137"/>
      <c r="J133" s="89">
        <f t="shared" si="155"/>
        <v>0</v>
      </c>
      <c r="K133" s="89" t="str">
        <f t="shared" si="156"/>
        <v/>
      </c>
      <c r="L133" s="152" t="str">
        <f t="shared" si="157"/>
        <v>#DIV/0!</v>
      </c>
      <c r="M133" s="126"/>
      <c r="N133" s="367">
        <f t="shared" si="158"/>
        <v>0</v>
      </c>
    </row>
    <row r="134">
      <c r="A134" s="154"/>
      <c r="B134" s="156"/>
      <c r="C134" s="89"/>
      <c r="D134" s="89"/>
      <c r="E134" s="12">
        <f t="shared" si="153"/>
        <v>0</v>
      </c>
      <c r="F134" s="157"/>
      <c r="G134" s="14" t="str">
        <f t="shared" si="154"/>
        <v>#DIV/0!</v>
      </c>
      <c r="H134" s="89"/>
      <c r="I134" s="137"/>
      <c r="J134" s="89">
        <f t="shared" si="155"/>
        <v>0</v>
      </c>
      <c r="K134" s="89" t="str">
        <f t="shared" si="156"/>
        <v/>
      </c>
      <c r="L134" s="152" t="str">
        <f t="shared" si="157"/>
        <v>#DIV/0!</v>
      </c>
      <c r="M134" s="126"/>
      <c r="N134" s="367">
        <f t="shared" si="158"/>
        <v>0</v>
      </c>
    </row>
    <row r="135">
      <c r="A135" s="62"/>
      <c r="B135" s="63"/>
      <c r="C135" s="62"/>
      <c r="D135" s="64" t="s">
        <v>19</v>
      </c>
      <c r="E135" s="64">
        <f t="shared" ref="E135:F135" si="159">sum(E130:E134)</f>
        <v>0</v>
      </c>
      <c r="F135" s="64">
        <f t="shared" si="159"/>
        <v>0</v>
      </c>
      <c r="G135" s="65" t="str">
        <f>average(G130:G134)</f>
        <v>#DIV/0!</v>
      </c>
      <c r="H135" s="62"/>
      <c r="I135" s="66"/>
      <c r="J135" s="64">
        <f t="shared" ref="J135:K135" si="160">sum(J130:J134)</f>
        <v>0</v>
      </c>
      <c r="K135" s="64">
        <f t="shared" si="160"/>
        <v>0</v>
      </c>
      <c r="L135" s="65" t="str">
        <f>average(L130:L134)</f>
        <v>#DIV/0!</v>
      </c>
      <c r="M135" s="68"/>
      <c r="N135" s="368">
        <f>sum(N130:N134)</f>
        <v>0</v>
      </c>
    </row>
    <row r="136">
      <c r="G136" s="168"/>
      <c r="L136" s="168"/>
    </row>
    <row r="137">
      <c r="G137" s="168"/>
      <c r="L137" s="168"/>
    </row>
    <row r="138">
      <c r="G138" s="168"/>
      <c r="L138" s="168"/>
    </row>
    <row r="139">
      <c r="G139" s="168"/>
      <c r="L139" s="168"/>
    </row>
    <row r="140">
      <c r="G140" s="168"/>
      <c r="L140" s="168"/>
    </row>
    <row r="141">
      <c r="G141" s="168"/>
      <c r="L141" s="168"/>
    </row>
    <row r="142">
      <c r="G142" s="168"/>
      <c r="L142" s="168"/>
    </row>
    <row r="143">
      <c r="G143" s="168"/>
      <c r="L143" s="168"/>
    </row>
    <row r="144">
      <c r="G144" s="168"/>
      <c r="L144" s="168"/>
    </row>
    <row r="145">
      <c r="G145" s="168"/>
      <c r="L145" s="168"/>
    </row>
    <row r="146">
      <c r="G146" s="168"/>
      <c r="L146" s="168"/>
    </row>
    <row r="147">
      <c r="G147" s="168"/>
      <c r="L147" s="168"/>
    </row>
    <row r="148">
      <c r="G148" s="168"/>
      <c r="L148" s="168"/>
    </row>
    <row r="149">
      <c r="G149" s="168"/>
      <c r="L149" s="168"/>
    </row>
    <row r="150">
      <c r="G150" s="168"/>
      <c r="L150" s="168"/>
    </row>
    <row r="151">
      <c r="G151" s="168"/>
      <c r="L151" s="168"/>
    </row>
    <row r="152">
      <c r="G152" s="168"/>
      <c r="L152" s="168"/>
    </row>
    <row r="153">
      <c r="G153" s="168"/>
      <c r="L153" s="168"/>
    </row>
    <row r="154">
      <c r="G154" s="168"/>
      <c r="L154" s="168"/>
    </row>
    <row r="155">
      <c r="G155" s="168"/>
      <c r="L155" s="168"/>
    </row>
    <row r="156">
      <c r="G156" s="168"/>
      <c r="L156" s="168"/>
    </row>
    <row r="157">
      <c r="G157" s="168"/>
      <c r="L157" s="168"/>
    </row>
    <row r="158">
      <c r="G158" s="168"/>
      <c r="L158" s="168"/>
    </row>
    <row r="159">
      <c r="G159" s="168"/>
      <c r="L159" s="168"/>
    </row>
    <row r="160">
      <c r="G160" s="168"/>
      <c r="L160" s="168"/>
    </row>
    <row r="161">
      <c r="G161" s="168"/>
      <c r="L161" s="168"/>
    </row>
    <row r="162">
      <c r="G162" s="168"/>
      <c r="L162" s="168"/>
    </row>
    <row r="163">
      <c r="G163" s="168"/>
      <c r="L163" s="168"/>
    </row>
    <row r="164">
      <c r="G164" s="168"/>
      <c r="L164" s="168"/>
    </row>
    <row r="165">
      <c r="G165" s="168"/>
      <c r="L165" s="168"/>
    </row>
    <row r="166">
      <c r="G166" s="168"/>
      <c r="L166" s="168"/>
    </row>
    <row r="167">
      <c r="G167" s="168"/>
      <c r="L167" s="168"/>
    </row>
    <row r="168">
      <c r="G168" s="168"/>
      <c r="L168" s="168"/>
    </row>
    <row r="169">
      <c r="G169" s="168"/>
      <c r="L169" s="168"/>
    </row>
    <row r="170">
      <c r="G170" s="168"/>
      <c r="L170" s="168"/>
    </row>
    <row r="171">
      <c r="G171" s="168"/>
      <c r="L171" s="168"/>
    </row>
    <row r="172">
      <c r="G172" s="168"/>
      <c r="L172" s="168"/>
    </row>
    <row r="173">
      <c r="G173" s="168"/>
      <c r="L173" s="168"/>
    </row>
    <row r="174">
      <c r="G174" s="168"/>
      <c r="L174" s="168"/>
    </row>
    <row r="175">
      <c r="G175" s="168"/>
      <c r="L175" s="168"/>
    </row>
    <row r="176">
      <c r="G176" s="168"/>
      <c r="L176" s="168"/>
    </row>
    <row r="177">
      <c r="G177" s="168"/>
      <c r="L177" s="168"/>
    </row>
    <row r="178">
      <c r="G178" s="168"/>
      <c r="L178" s="168"/>
    </row>
    <row r="179">
      <c r="G179" s="168"/>
      <c r="L179" s="168"/>
    </row>
    <row r="180">
      <c r="G180" s="168"/>
      <c r="L180" s="168"/>
    </row>
    <row r="181">
      <c r="G181" s="168"/>
      <c r="L181" s="168"/>
    </row>
    <row r="182">
      <c r="G182" s="168"/>
      <c r="L182" s="168"/>
    </row>
    <row r="183">
      <c r="G183" s="168"/>
      <c r="L183" s="168"/>
    </row>
    <row r="184">
      <c r="G184" s="168"/>
      <c r="L184" s="168"/>
    </row>
    <row r="185">
      <c r="G185" s="168"/>
      <c r="L185" s="168"/>
    </row>
    <row r="186">
      <c r="G186" s="168"/>
      <c r="L186" s="168"/>
    </row>
    <row r="187">
      <c r="G187" s="168"/>
      <c r="L187" s="168"/>
    </row>
    <row r="188">
      <c r="G188" s="168"/>
      <c r="L188" s="168"/>
    </row>
    <row r="189">
      <c r="G189" s="168"/>
      <c r="L189" s="168"/>
    </row>
    <row r="190">
      <c r="G190" s="168"/>
      <c r="L190" s="168"/>
    </row>
    <row r="191">
      <c r="G191" s="168"/>
      <c r="L191" s="168"/>
    </row>
    <row r="192">
      <c r="G192" s="168"/>
      <c r="L192" s="168"/>
    </row>
    <row r="193">
      <c r="G193" s="168"/>
      <c r="L193" s="168"/>
    </row>
    <row r="194">
      <c r="G194" s="168"/>
      <c r="L194" s="168"/>
    </row>
    <row r="195">
      <c r="G195" s="168"/>
      <c r="L195" s="168"/>
    </row>
    <row r="196">
      <c r="G196" s="168"/>
      <c r="L196" s="168"/>
    </row>
    <row r="197">
      <c r="G197" s="168"/>
      <c r="L197" s="168"/>
    </row>
    <row r="198">
      <c r="G198" s="168"/>
      <c r="L198" s="168"/>
    </row>
    <row r="199">
      <c r="G199" s="168"/>
      <c r="L199" s="168"/>
    </row>
    <row r="200">
      <c r="G200" s="168"/>
      <c r="L200" s="168"/>
    </row>
    <row r="201">
      <c r="G201" s="168"/>
      <c r="L201" s="168"/>
    </row>
    <row r="202">
      <c r="G202" s="168"/>
      <c r="L202" s="168"/>
    </row>
    <row r="203">
      <c r="G203" s="168"/>
      <c r="L203" s="168"/>
    </row>
    <row r="204">
      <c r="G204" s="168"/>
      <c r="L204" s="168"/>
    </row>
    <row r="205">
      <c r="G205" s="168"/>
      <c r="L205" s="168"/>
    </row>
    <row r="206">
      <c r="G206" s="168"/>
      <c r="L206" s="168"/>
    </row>
    <row r="207">
      <c r="G207" s="168"/>
      <c r="L207" s="168"/>
    </row>
    <row r="208">
      <c r="G208" s="168"/>
      <c r="L208" s="168"/>
    </row>
    <row r="209">
      <c r="G209" s="168"/>
      <c r="L209" s="168"/>
    </row>
    <row r="210">
      <c r="G210" s="168"/>
      <c r="L210" s="168"/>
    </row>
    <row r="211">
      <c r="G211" s="168"/>
      <c r="L211" s="168"/>
    </row>
    <row r="212">
      <c r="G212" s="168"/>
      <c r="L212" s="168"/>
    </row>
    <row r="213">
      <c r="G213" s="168"/>
      <c r="L213" s="168"/>
    </row>
    <row r="214">
      <c r="G214" s="168"/>
      <c r="L214" s="168"/>
    </row>
    <row r="215">
      <c r="G215" s="168"/>
      <c r="L215" s="168"/>
    </row>
    <row r="216">
      <c r="G216" s="168"/>
      <c r="L216" s="168"/>
    </row>
    <row r="217">
      <c r="G217" s="168"/>
      <c r="L217" s="168"/>
    </row>
    <row r="218">
      <c r="G218" s="168"/>
      <c r="L218" s="168"/>
    </row>
    <row r="219">
      <c r="G219" s="168"/>
      <c r="L219" s="168"/>
    </row>
    <row r="220">
      <c r="G220" s="168"/>
      <c r="L220" s="168"/>
    </row>
    <row r="221">
      <c r="G221" s="168"/>
      <c r="L221" s="168"/>
    </row>
    <row r="222">
      <c r="G222" s="168"/>
      <c r="L222" s="168"/>
    </row>
    <row r="223">
      <c r="G223" s="168"/>
      <c r="L223" s="168"/>
    </row>
    <row r="224">
      <c r="G224" s="168"/>
      <c r="L224" s="168"/>
    </row>
    <row r="225">
      <c r="G225" s="168"/>
      <c r="L225" s="168"/>
    </row>
    <row r="226">
      <c r="G226" s="168"/>
      <c r="L226" s="168"/>
    </row>
    <row r="227">
      <c r="G227" s="168"/>
      <c r="L227" s="168"/>
    </row>
    <row r="228">
      <c r="G228" s="168"/>
      <c r="L228" s="168"/>
    </row>
    <row r="229">
      <c r="G229" s="168"/>
      <c r="L229" s="168"/>
    </row>
    <row r="230">
      <c r="G230" s="168"/>
      <c r="L230" s="168"/>
    </row>
    <row r="231">
      <c r="G231" s="168"/>
      <c r="L231" s="168"/>
    </row>
    <row r="232">
      <c r="G232" s="168"/>
      <c r="L232" s="168"/>
    </row>
    <row r="233">
      <c r="G233" s="168"/>
      <c r="L233" s="168"/>
    </row>
    <row r="234">
      <c r="G234" s="168"/>
      <c r="L234" s="168"/>
    </row>
    <row r="235">
      <c r="G235" s="168"/>
      <c r="L235" s="168"/>
    </row>
    <row r="236">
      <c r="G236" s="168"/>
      <c r="L236" s="168"/>
    </row>
    <row r="237">
      <c r="G237" s="168"/>
      <c r="L237" s="168"/>
    </row>
    <row r="238">
      <c r="G238" s="168"/>
      <c r="L238" s="168"/>
    </row>
    <row r="239">
      <c r="G239" s="168"/>
      <c r="L239" s="168"/>
    </row>
    <row r="240">
      <c r="G240" s="168"/>
      <c r="L240" s="168"/>
    </row>
    <row r="241">
      <c r="G241" s="168"/>
      <c r="L241" s="168"/>
    </row>
    <row r="242">
      <c r="G242" s="168"/>
      <c r="L242" s="168"/>
    </row>
    <row r="243">
      <c r="G243" s="168"/>
      <c r="L243" s="168"/>
    </row>
    <row r="244">
      <c r="G244" s="168"/>
      <c r="L244" s="168"/>
    </row>
    <row r="245">
      <c r="G245" s="168"/>
      <c r="L245" s="168"/>
    </row>
    <row r="246">
      <c r="G246" s="168"/>
      <c r="L246" s="168"/>
    </row>
    <row r="247">
      <c r="G247" s="168"/>
      <c r="L247" s="168"/>
    </row>
    <row r="248">
      <c r="G248" s="168"/>
      <c r="L248" s="168"/>
    </row>
    <row r="249">
      <c r="G249" s="168"/>
      <c r="L249" s="168"/>
    </row>
    <row r="250">
      <c r="G250" s="168"/>
      <c r="L250" s="168"/>
    </row>
    <row r="251">
      <c r="G251" s="168"/>
      <c r="L251" s="168"/>
    </row>
    <row r="252">
      <c r="G252" s="168"/>
      <c r="L252" s="168"/>
    </row>
    <row r="253">
      <c r="G253" s="168"/>
      <c r="L253" s="168"/>
    </row>
    <row r="254">
      <c r="G254" s="168"/>
      <c r="L254" s="168"/>
    </row>
    <row r="255">
      <c r="G255" s="168"/>
      <c r="L255" s="168"/>
    </row>
    <row r="256">
      <c r="G256" s="168"/>
      <c r="L256" s="168"/>
    </row>
    <row r="257">
      <c r="G257" s="168"/>
      <c r="L257" s="168"/>
    </row>
    <row r="258">
      <c r="G258" s="168"/>
      <c r="L258" s="168"/>
    </row>
    <row r="259">
      <c r="G259" s="168"/>
      <c r="L259" s="168"/>
    </row>
    <row r="260">
      <c r="G260" s="168"/>
      <c r="L260" s="168"/>
    </row>
    <row r="261">
      <c r="G261" s="168"/>
      <c r="L261" s="168"/>
    </row>
    <row r="262">
      <c r="G262" s="168"/>
      <c r="L262" s="168"/>
    </row>
    <row r="263">
      <c r="G263" s="168"/>
      <c r="L263" s="168"/>
    </row>
    <row r="264">
      <c r="G264" s="168"/>
      <c r="L264" s="168"/>
    </row>
    <row r="265">
      <c r="G265" s="168"/>
      <c r="L265" s="168"/>
    </row>
    <row r="266">
      <c r="G266" s="168"/>
      <c r="L266" s="168"/>
    </row>
    <row r="267">
      <c r="G267" s="168"/>
      <c r="L267" s="168"/>
    </row>
    <row r="268">
      <c r="G268" s="168"/>
      <c r="L268" s="168"/>
    </row>
    <row r="269">
      <c r="G269" s="168"/>
      <c r="L269" s="168"/>
    </row>
    <row r="270">
      <c r="G270" s="168"/>
      <c r="L270" s="168"/>
    </row>
    <row r="271">
      <c r="G271" s="168"/>
      <c r="L271" s="168"/>
    </row>
    <row r="272">
      <c r="G272" s="168"/>
      <c r="L272" s="168"/>
    </row>
    <row r="273">
      <c r="G273" s="168"/>
      <c r="L273" s="168"/>
    </row>
    <row r="274">
      <c r="G274" s="168"/>
      <c r="L274" s="168"/>
    </row>
    <row r="275">
      <c r="G275" s="168"/>
      <c r="L275" s="168"/>
    </row>
    <row r="276">
      <c r="G276" s="168"/>
      <c r="L276" s="168"/>
    </row>
    <row r="277">
      <c r="G277" s="168"/>
      <c r="L277" s="168"/>
    </row>
    <row r="278">
      <c r="G278" s="168"/>
      <c r="L278" s="168"/>
    </row>
    <row r="279">
      <c r="G279" s="168"/>
      <c r="L279" s="168"/>
    </row>
    <row r="280">
      <c r="G280" s="168"/>
      <c r="L280" s="168"/>
    </row>
    <row r="281">
      <c r="G281" s="168"/>
      <c r="L281" s="168"/>
    </row>
    <row r="282">
      <c r="G282" s="168"/>
      <c r="L282" s="168"/>
    </row>
    <row r="283">
      <c r="G283" s="168"/>
      <c r="L283" s="168"/>
    </row>
    <row r="284">
      <c r="G284" s="168"/>
      <c r="L284" s="168"/>
    </row>
    <row r="285">
      <c r="G285" s="168"/>
      <c r="L285" s="168"/>
    </row>
    <row r="286">
      <c r="G286" s="168"/>
      <c r="L286" s="168"/>
    </row>
    <row r="287">
      <c r="G287" s="168"/>
      <c r="L287" s="168"/>
    </row>
    <row r="288">
      <c r="G288" s="168"/>
      <c r="L288" s="168"/>
    </row>
    <row r="289">
      <c r="G289" s="168"/>
      <c r="L289" s="168"/>
    </row>
    <row r="290">
      <c r="G290" s="168"/>
      <c r="L290" s="168"/>
    </row>
    <row r="291">
      <c r="G291" s="168"/>
      <c r="L291" s="168"/>
    </row>
    <row r="292">
      <c r="G292" s="168"/>
      <c r="L292" s="168"/>
    </row>
    <row r="293">
      <c r="G293" s="168"/>
      <c r="L293" s="168"/>
    </row>
    <row r="294">
      <c r="G294" s="168"/>
      <c r="L294" s="168"/>
    </row>
    <row r="295">
      <c r="G295" s="168"/>
      <c r="L295" s="168"/>
    </row>
    <row r="296">
      <c r="G296" s="168"/>
      <c r="L296" s="168"/>
    </row>
    <row r="297">
      <c r="G297" s="168"/>
      <c r="L297" s="168"/>
    </row>
    <row r="298">
      <c r="G298" s="168"/>
      <c r="L298" s="168"/>
    </row>
    <row r="299">
      <c r="G299" s="168"/>
      <c r="L299" s="168"/>
    </row>
    <row r="300">
      <c r="G300" s="168"/>
      <c r="L300" s="168"/>
    </row>
    <row r="301">
      <c r="G301" s="168"/>
      <c r="L301" s="168"/>
    </row>
    <row r="302">
      <c r="G302" s="168"/>
      <c r="L302" s="168"/>
    </row>
    <row r="303">
      <c r="G303" s="168"/>
      <c r="L303" s="168"/>
    </row>
    <row r="304">
      <c r="G304" s="168"/>
      <c r="L304" s="168"/>
    </row>
    <row r="305">
      <c r="G305" s="168"/>
      <c r="L305" s="168"/>
    </row>
    <row r="306">
      <c r="G306" s="168"/>
      <c r="L306" s="168"/>
    </row>
    <row r="307">
      <c r="G307" s="168"/>
      <c r="L307" s="168"/>
    </row>
    <row r="308">
      <c r="G308" s="168"/>
      <c r="L308" s="168"/>
    </row>
    <row r="309">
      <c r="G309" s="168"/>
      <c r="L309" s="168"/>
    </row>
    <row r="310">
      <c r="G310" s="168"/>
      <c r="L310" s="168"/>
    </row>
    <row r="311">
      <c r="G311" s="168"/>
      <c r="L311" s="168"/>
    </row>
    <row r="312">
      <c r="G312" s="168"/>
      <c r="L312" s="168"/>
    </row>
    <row r="313">
      <c r="G313" s="168"/>
      <c r="L313" s="168"/>
    </row>
    <row r="314">
      <c r="G314" s="168"/>
      <c r="L314" s="168"/>
    </row>
    <row r="315">
      <c r="G315" s="168"/>
      <c r="L315" s="168"/>
    </row>
    <row r="316">
      <c r="G316" s="168"/>
      <c r="L316" s="168"/>
    </row>
    <row r="317">
      <c r="G317" s="168"/>
      <c r="L317" s="168"/>
    </row>
    <row r="318">
      <c r="G318" s="168"/>
      <c r="L318" s="168"/>
    </row>
    <row r="319">
      <c r="G319" s="168"/>
      <c r="L319" s="168"/>
    </row>
    <row r="320">
      <c r="G320" s="168"/>
      <c r="L320" s="168"/>
    </row>
    <row r="321">
      <c r="G321" s="168"/>
      <c r="L321" s="168"/>
    </row>
    <row r="322">
      <c r="G322" s="168"/>
      <c r="L322" s="168"/>
    </row>
    <row r="323">
      <c r="G323" s="168"/>
      <c r="L323" s="168"/>
    </row>
    <row r="324">
      <c r="G324" s="168"/>
      <c r="L324" s="168"/>
    </row>
    <row r="325">
      <c r="G325" s="168"/>
      <c r="L325" s="168"/>
    </row>
    <row r="326">
      <c r="G326" s="168"/>
      <c r="L326" s="168"/>
    </row>
    <row r="327">
      <c r="G327" s="168"/>
      <c r="L327" s="168"/>
    </row>
    <row r="328">
      <c r="G328" s="168"/>
      <c r="L328" s="168"/>
    </row>
    <row r="329">
      <c r="G329" s="168"/>
      <c r="L329" s="168"/>
    </row>
    <row r="330">
      <c r="G330" s="168"/>
      <c r="L330" s="168"/>
    </row>
    <row r="331">
      <c r="G331" s="168"/>
      <c r="L331" s="168"/>
    </row>
    <row r="332">
      <c r="G332" s="168"/>
      <c r="L332" s="168"/>
    </row>
    <row r="333">
      <c r="G333" s="168"/>
      <c r="L333" s="168"/>
    </row>
    <row r="334">
      <c r="G334" s="168"/>
      <c r="L334" s="168"/>
    </row>
    <row r="335">
      <c r="G335" s="168"/>
      <c r="L335" s="168"/>
    </row>
    <row r="336">
      <c r="G336" s="168"/>
      <c r="L336" s="168"/>
    </row>
    <row r="337">
      <c r="G337" s="168"/>
      <c r="L337" s="168"/>
    </row>
    <row r="338">
      <c r="G338" s="168"/>
      <c r="L338" s="168"/>
    </row>
    <row r="339">
      <c r="G339" s="168"/>
      <c r="L339" s="168"/>
    </row>
    <row r="340">
      <c r="G340" s="168"/>
      <c r="L340" s="168"/>
    </row>
    <row r="341">
      <c r="G341" s="168"/>
      <c r="L341" s="168"/>
    </row>
    <row r="342">
      <c r="G342" s="168"/>
      <c r="L342" s="168"/>
    </row>
    <row r="343">
      <c r="G343" s="168"/>
      <c r="L343" s="168"/>
    </row>
    <row r="344">
      <c r="G344" s="168"/>
      <c r="L344" s="168"/>
    </row>
    <row r="345">
      <c r="G345" s="168"/>
      <c r="L345" s="168"/>
    </row>
    <row r="346">
      <c r="G346" s="168"/>
      <c r="L346" s="168"/>
    </row>
    <row r="347">
      <c r="G347" s="168"/>
      <c r="L347" s="168"/>
    </row>
    <row r="348">
      <c r="G348" s="168"/>
      <c r="L348" s="168"/>
    </row>
    <row r="349">
      <c r="G349" s="168"/>
      <c r="L349" s="168"/>
    </row>
    <row r="350">
      <c r="G350" s="168"/>
      <c r="L350" s="168"/>
    </row>
    <row r="351">
      <c r="G351" s="168"/>
      <c r="L351" s="168"/>
    </row>
    <row r="352">
      <c r="G352" s="168"/>
      <c r="L352" s="168"/>
    </row>
    <row r="353">
      <c r="G353" s="168"/>
      <c r="L353" s="168"/>
    </row>
    <row r="354">
      <c r="G354" s="168"/>
      <c r="L354" s="168"/>
    </row>
    <row r="355">
      <c r="G355" s="168"/>
      <c r="L355" s="168"/>
    </row>
    <row r="356">
      <c r="G356" s="168"/>
      <c r="L356" s="168"/>
    </row>
    <row r="357">
      <c r="G357" s="168"/>
      <c r="L357" s="168"/>
    </row>
    <row r="358">
      <c r="G358" s="168"/>
      <c r="L358" s="168"/>
    </row>
    <row r="359">
      <c r="G359" s="168"/>
      <c r="L359" s="168"/>
    </row>
    <row r="360">
      <c r="G360" s="168"/>
      <c r="L360" s="168"/>
    </row>
    <row r="361">
      <c r="G361" s="168"/>
      <c r="L361" s="168"/>
    </row>
    <row r="362">
      <c r="G362" s="168"/>
      <c r="L362" s="168"/>
    </row>
    <row r="363">
      <c r="G363" s="168"/>
      <c r="L363" s="168"/>
    </row>
    <row r="364">
      <c r="G364" s="168"/>
      <c r="L364" s="168"/>
    </row>
    <row r="365">
      <c r="G365" s="168"/>
      <c r="L365" s="168"/>
    </row>
    <row r="366">
      <c r="G366" s="168"/>
      <c r="L366" s="168"/>
    </row>
    <row r="367">
      <c r="G367" s="168"/>
      <c r="L367" s="168"/>
    </row>
    <row r="368">
      <c r="G368" s="168"/>
      <c r="L368" s="168"/>
    </row>
    <row r="369">
      <c r="G369" s="168"/>
      <c r="L369" s="168"/>
    </row>
    <row r="370">
      <c r="G370" s="168"/>
      <c r="L370" s="168"/>
    </row>
    <row r="371">
      <c r="G371" s="168"/>
      <c r="L371" s="168"/>
    </row>
    <row r="372">
      <c r="G372" s="168"/>
      <c r="L372" s="168"/>
    </row>
    <row r="373">
      <c r="G373" s="168"/>
      <c r="L373" s="168"/>
    </row>
    <row r="374">
      <c r="G374" s="168"/>
      <c r="L374" s="168"/>
    </row>
    <row r="375">
      <c r="G375" s="168"/>
      <c r="L375" s="168"/>
    </row>
    <row r="376">
      <c r="G376" s="168"/>
      <c r="L376" s="168"/>
    </row>
    <row r="377">
      <c r="G377" s="168"/>
      <c r="L377" s="168"/>
    </row>
    <row r="378">
      <c r="G378" s="168"/>
      <c r="L378" s="168"/>
    </row>
    <row r="379">
      <c r="G379" s="168"/>
      <c r="L379" s="168"/>
    </row>
    <row r="380">
      <c r="G380" s="168"/>
      <c r="L380" s="168"/>
    </row>
    <row r="381">
      <c r="G381" s="168"/>
      <c r="L381" s="168"/>
    </row>
    <row r="382">
      <c r="G382" s="168"/>
      <c r="L382" s="168"/>
    </row>
    <row r="383">
      <c r="G383" s="168"/>
      <c r="L383" s="168"/>
    </row>
    <row r="384">
      <c r="G384" s="168"/>
      <c r="L384" s="168"/>
    </row>
    <row r="385">
      <c r="G385" s="168"/>
      <c r="L385" s="168"/>
    </row>
    <row r="386">
      <c r="G386" s="168"/>
      <c r="L386" s="168"/>
    </row>
    <row r="387">
      <c r="G387" s="168"/>
      <c r="L387" s="168"/>
    </row>
    <row r="388">
      <c r="G388" s="168"/>
      <c r="L388" s="168"/>
    </row>
    <row r="389">
      <c r="G389" s="168"/>
      <c r="L389" s="168"/>
    </row>
    <row r="390">
      <c r="G390" s="168"/>
      <c r="L390" s="168"/>
    </row>
    <row r="391">
      <c r="G391" s="168"/>
      <c r="L391" s="168"/>
    </row>
    <row r="392">
      <c r="G392" s="168"/>
      <c r="L392" s="168"/>
    </row>
    <row r="393">
      <c r="G393" s="168"/>
      <c r="L393" s="168"/>
    </row>
    <row r="394">
      <c r="G394" s="168"/>
      <c r="L394" s="168"/>
    </row>
    <row r="395">
      <c r="G395" s="168"/>
      <c r="L395" s="168"/>
    </row>
    <row r="396">
      <c r="G396" s="168"/>
      <c r="L396" s="168"/>
    </row>
    <row r="397">
      <c r="G397" s="168"/>
      <c r="L397" s="168"/>
    </row>
    <row r="398">
      <c r="G398" s="168"/>
      <c r="L398" s="168"/>
    </row>
    <row r="399">
      <c r="G399" s="168"/>
      <c r="L399" s="168"/>
    </row>
    <row r="400">
      <c r="G400" s="168"/>
      <c r="L400" s="168"/>
    </row>
    <row r="401">
      <c r="G401" s="168"/>
      <c r="L401" s="168"/>
    </row>
    <row r="402">
      <c r="G402" s="168"/>
      <c r="L402" s="168"/>
    </row>
    <row r="403">
      <c r="G403" s="168"/>
      <c r="L403" s="168"/>
    </row>
    <row r="404">
      <c r="G404" s="168"/>
      <c r="L404" s="168"/>
    </row>
    <row r="405">
      <c r="G405" s="168"/>
      <c r="L405" s="168"/>
    </row>
    <row r="406">
      <c r="G406" s="168"/>
      <c r="L406" s="168"/>
    </row>
    <row r="407">
      <c r="G407" s="168"/>
      <c r="L407" s="168"/>
    </row>
    <row r="408">
      <c r="G408" s="168"/>
      <c r="L408" s="168"/>
    </row>
    <row r="409">
      <c r="G409" s="168"/>
      <c r="L409" s="168"/>
    </row>
    <row r="410">
      <c r="G410" s="168"/>
      <c r="L410" s="168"/>
    </row>
    <row r="411">
      <c r="G411" s="168"/>
      <c r="L411" s="168"/>
    </row>
    <row r="412">
      <c r="G412" s="168"/>
      <c r="L412" s="168"/>
    </row>
    <row r="413">
      <c r="G413" s="168"/>
      <c r="L413" s="168"/>
    </row>
    <row r="414">
      <c r="G414" s="168"/>
      <c r="L414" s="168"/>
    </row>
    <row r="415">
      <c r="G415" s="168"/>
      <c r="L415" s="168"/>
    </row>
    <row r="416">
      <c r="G416" s="168"/>
      <c r="L416" s="168"/>
    </row>
    <row r="417">
      <c r="G417" s="168"/>
      <c r="L417" s="168"/>
    </row>
    <row r="418">
      <c r="G418" s="168"/>
      <c r="L418" s="168"/>
    </row>
    <row r="419">
      <c r="G419" s="168"/>
      <c r="L419" s="168"/>
    </row>
    <row r="420">
      <c r="G420" s="168"/>
      <c r="L420" s="168"/>
    </row>
    <row r="421">
      <c r="G421" s="168"/>
      <c r="L421" s="168"/>
    </row>
    <row r="422">
      <c r="G422" s="168"/>
      <c r="L422" s="168"/>
    </row>
    <row r="423">
      <c r="G423" s="168"/>
      <c r="L423" s="168"/>
    </row>
    <row r="424">
      <c r="G424" s="168"/>
      <c r="L424" s="168"/>
    </row>
    <row r="425">
      <c r="G425" s="168"/>
      <c r="L425" s="168"/>
    </row>
    <row r="426">
      <c r="G426" s="168"/>
      <c r="L426" s="168"/>
    </row>
    <row r="427">
      <c r="G427" s="168"/>
      <c r="L427" s="168"/>
    </row>
    <row r="428">
      <c r="G428" s="168"/>
      <c r="L428" s="168"/>
    </row>
    <row r="429">
      <c r="G429" s="168"/>
      <c r="L429" s="168"/>
    </row>
    <row r="430">
      <c r="G430" s="168"/>
      <c r="L430" s="168"/>
    </row>
    <row r="431">
      <c r="G431" s="168"/>
      <c r="L431" s="168"/>
    </row>
    <row r="432">
      <c r="G432" s="168"/>
      <c r="L432" s="168"/>
    </row>
    <row r="433">
      <c r="G433" s="168"/>
      <c r="L433" s="168"/>
    </row>
    <row r="434">
      <c r="G434" s="168"/>
      <c r="L434" s="168"/>
    </row>
    <row r="435">
      <c r="G435" s="168"/>
      <c r="L435" s="168"/>
    </row>
    <row r="436">
      <c r="G436" s="168"/>
      <c r="L436" s="168"/>
    </row>
    <row r="437">
      <c r="G437" s="168"/>
      <c r="L437" s="168"/>
    </row>
    <row r="438">
      <c r="G438" s="168"/>
      <c r="L438" s="168"/>
    </row>
    <row r="439">
      <c r="G439" s="168"/>
      <c r="L439" s="168"/>
    </row>
    <row r="440">
      <c r="G440" s="168"/>
      <c r="L440" s="168"/>
    </row>
    <row r="441">
      <c r="G441" s="168"/>
      <c r="L441" s="168"/>
    </row>
    <row r="442">
      <c r="G442" s="168"/>
      <c r="L442" s="168"/>
    </row>
    <row r="443">
      <c r="G443" s="168"/>
      <c r="L443" s="168"/>
    </row>
    <row r="444">
      <c r="G444" s="168"/>
      <c r="L444" s="168"/>
    </row>
    <row r="445">
      <c r="G445" s="168"/>
      <c r="L445" s="168"/>
    </row>
    <row r="446">
      <c r="G446" s="168"/>
      <c r="L446" s="168"/>
    </row>
    <row r="447">
      <c r="G447" s="168"/>
      <c r="L447" s="168"/>
    </row>
    <row r="448">
      <c r="G448" s="168"/>
      <c r="L448" s="168"/>
    </row>
    <row r="449">
      <c r="G449" s="168"/>
      <c r="L449" s="168"/>
    </row>
    <row r="450">
      <c r="G450" s="168"/>
      <c r="L450" s="168"/>
    </row>
    <row r="451">
      <c r="G451" s="168"/>
      <c r="L451" s="168"/>
    </row>
    <row r="452">
      <c r="G452" s="168"/>
      <c r="L452" s="168"/>
    </row>
    <row r="453">
      <c r="G453" s="168"/>
      <c r="L453" s="168"/>
    </row>
    <row r="454">
      <c r="G454" s="168"/>
      <c r="L454" s="168"/>
    </row>
    <row r="455">
      <c r="G455" s="168"/>
      <c r="L455" s="168"/>
    </row>
    <row r="456">
      <c r="G456" s="168"/>
      <c r="L456" s="168"/>
    </row>
    <row r="457">
      <c r="G457" s="168"/>
      <c r="L457" s="168"/>
    </row>
    <row r="458">
      <c r="G458" s="168"/>
      <c r="L458" s="168"/>
    </row>
    <row r="459">
      <c r="G459" s="168"/>
      <c r="L459" s="168"/>
    </row>
    <row r="460">
      <c r="G460" s="168"/>
      <c r="L460" s="168"/>
    </row>
    <row r="461">
      <c r="G461" s="168"/>
      <c r="L461" s="168"/>
    </row>
    <row r="462">
      <c r="G462" s="168"/>
      <c r="L462" s="168"/>
    </row>
    <row r="463">
      <c r="G463" s="168"/>
      <c r="L463" s="168"/>
    </row>
    <row r="464">
      <c r="G464" s="168"/>
      <c r="L464" s="168"/>
    </row>
    <row r="465">
      <c r="G465" s="168"/>
      <c r="L465" s="168"/>
    </row>
    <row r="466">
      <c r="G466" s="168"/>
      <c r="L466" s="168"/>
    </row>
    <row r="467">
      <c r="G467" s="168"/>
      <c r="L467" s="168"/>
    </row>
    <row r="468">
      <c r="G468" s="168"/>
      <c r="L468" s="168"/>
    </row>
    <row r="469">
      <c r="G469" s="168"/>
      <c r="L469" s="168"/>
    </row>
    <row r="470">
      <c r="G470" s="168"/>
      <c r="L470" s="168"/>
    </row>
    <row r="471">
      <c r="G471" s="168"/>
      <c r="L471" s="168"/>
    </row>
    <row r="472">
      <c r="G472" s="168"/>
      <c r="L472" s="168"/>
    </row>
    <row r="473">
      <c r="G473" s="168"/>
      <c r="L473" s="168"/>
    </row>
    <row r="474">
      <c r="G474" s="168"/>
      <c r="L474" s="168"/>
    </row>
    <row r="475">
      <c r="G475" s="168"/>
      <c r="L475" s="168"/>
    </row>
    <row r="476">
      <c r="G476" s="168"/>
      <c r="L476" s="168"/>
    </row>
    <row r="477">
      <c r="G477" s="168"/>
      <c r="L477" s="168"/>
    </row>
    <row r="478">
      <c r="G478" s="168"/>
      <c r="L478" s="168"/>
    </row>
    <row r="479">
      <c r="G479" s="168"/>
      <c r="L479" s="168"/>
    </row>
    <row r="480">
      <c r="G480" s="168"/>
      <c r="L480" s="168"/>
    </row>
    <row r="481">
      <c r="G481" s="168"/>
      <c r="L481" s="168"/>
    </row>
    <row r="482">
      <c r="G482" s="168"/>
      <c r="L482" s="168"/>
    </row>
    <row r="483">
      <c r="G483" s="168"/>
      <c r="L483" s="168"/>
    </row>
    <row r="484">
      <c r="G484" s="168"/>
      <c r="L484" s="168"/>
    </row>
    <row r="485">
      <c r="G485" s="168"/>
      <c r="L485" s="168"/>
    </row>
    <row r="486">
      <c r="G486" s="168"/>
      <c r="L486" s="168"/>
    </row>
    <row r="487">
      <c r="G487" s="168"/>
      <c r="L487" s="168"/>
    </row>
    <row r="488">
      <c r="G488" s="168"/>
      <c r="L488" s="168"/>
    </row>
    <row r="489">
      <c r="G489" s="168"/>
      <c r="L489" s="168"/>
    </row>
    <row r="490">
      <c r="G490" s="168"/>
      <c r="L490" s="168"/>
    </row>
    <row r="491">
      <c r="G491" s="168"/>
      <c r="L491" s="168"/>
    </row>
    <row r="492">
      <c r="G492" s="168"/>
      <c r="L492" s="168"/>
    </row>
    <row r="493">
      <c r="G493" s="168"/>
      <c r="L493" s="168"/>
    </row>
    <row r="494">
      <c r="G494" s="168"/>
      <c r="L494" s="168"/>
    </row>
    <row r="495">
      <c r="G495" s="168"/>
      <c r="L495" s="168"/>
    </row>
    <row r="496">
      <c r="G496" s="168"/>
      <c r="L496" s="168"/>
    </row>
    <row r="497">
      <c r="G497" s="168"/>
      <c r="L497" s="168"/>
    </row>
    <row r="498">
      <c r="G498" s="168"/>
      <c r="L498" s="168"/>
    </row>
    <row r="499">
      <c r="G499" s="168"/>
      <c r="L499" s="168"/>
    </row>
    <row r="500">
      <c r="G500" s="168"/>
      <c r="L500" s="168"/>
    </row>
    <row r="501">
      <c r="G501" s="168"/>
      <c r="L501" s="168"/>
    </row>
    <row r="502">
      <c r="G502" s="168"/>
      <c r="L502" s="168"/>
    </row>
    <row r="503">
      <c r="G503" s="168"/>
      <c r="L503" s="168"/>
    </row>
    <row r="504">
      <c r="G504" s="168"/>
      <c r="L504" s="168"/>
    </row>
    <row r="505">
      <c r="G505" s="168"/>
      <c r="L505" s="168"/>
    </row>
    <row r="506">
      <c r="G506" s="168"/>
      <c r="L506" s="168"/>
    </row>
    <row r="507">
      <c r="G507" s="168"/>
      <c r="L507" s="168"/>
    </row>
    <row r="508">
      <c r="G508" s="168"/>
      <c r="L508" s="168"/>
    </row>
    <row r="509">
      <c r="G509" s="168"/>
      <c r="L509" s="168"/>
    </row>
    <row r="510">
      <c r="G510" s="168"/>
      <c r="L510" s="168"/>
    </row>
    <row r="511">
      <c r="G511" s="168"/>
      <c r="L511" s="168"/>
    </row>
    <row r="512">
      <c r="G512" s="168"/>
      <c r="L512" s="168"/>
    </row>
    <row r="513">
      <c r="G513" s="168"/>
      <c r="L513" s="168"/>
    </row>
    <row r="514">
      <c r="G514" s="168"/>
      <c r="L514" s="168"/>
    </row>
    <row r="515">
      <c r="G515" s="168"/>
      <c r="L515" s="168"/>
    </row>
    <row r="516">
      <c r="G516" s="168"/>
      <c r="L516" s="168"/>
    </row>
    <row r="517">
      <c r="G517" s="168"/>
      <c r="L517" s="168"/>
    </row>
    <row r="518">
      <c r="G518" s="168"/>
      <c r="L518" s="168"/>
    </row>
    <row r="519">
      <c r="G519" s="168"/>
      <c r="L519" s="168"/>
    </row>
    <row r="520">
      <c r="G520" s="168"/>
      <c r="L520" s="168"/>
    </row>
    <row r="521">
      <c r="G521" s="168"/>
      <c r="L521" s="168"/>
    </row>
    <row r="522">
      <c r="G522" s="168"/>
      <c r="L522" s="168"/>
    </row>
    <row r="523">
      <c r="G523" s="168"/>
      <c r="L523" s="168"/>
    </row>
    <row r="524">
      <c r="G524" s="168"/>
      <c r="L524" s="168"/>
    </row>
    <row r="525">
      <c r="G525" s="168"/>
      <c r="L525" s="168"/>
    </row>
    <row r="526">
      <c r="G526" s="168"/>
      <c r="L526" s="168"/>
    </row>
    <row r="527">
      <c r="G527" s="168"/>
      <c r="L527" s="168"/>
    </row>
    <row r="528">
      <c r="G528" s="168"/>
      <c r="L528" s="168"/>
    </row>
    <row r="529">
      <c r="G529" s="168"/>
      <c r="L529" s="168"/>
    </row>
    <row r="530">
      <c r="G530" s="168"/>
      <c r="L530" s="168"/>
    </row>
    <row r="531">
      <c r="G531" s="168"/>
      <c r="L531" s="168"/>
    </row>
    <row r="532">
      <c r="G532" s="168"/>
      <c r="L532" s="168"/>
    </row>
    <row r="533">
      <c r="G533" s="168"/>
      <c r="L533" s="168"/>
    </row>
    <row r="534">
      <c r="G534" s="168"/>
      <c r="L534" s="168"/>
    </row>
    <row r="535">
      <c r="G535" s="168"/>
      <c r="L535" s="168"/>
    </row>
    <row r="536">
      <c r="G536" s="168"/>
      <c r="L536" s="168"/>
    </row>
    <row r="537">
      <c r="G537" s="168"/>
      <c r="L537" s="168"/>
    </row>
    <row r="538">
      <c r="G538" s="168"/>
      <c r="L538" s="168"/>
    </row>
    <row r="539">
      <c r="G539" s="168"/>
      <c r="L539" s="168"/>
    </row>
    <row r="540">
      <c r="G540" s="168"/>
      <c r="L540" s="168"/>
    </row>
    <row r="541">
      <c r="G541" s="168"/>
      <c r="L541" s="168"/>
    </row>
    <row r="542">
      <c r="G542" s="168"/>
      <c r="L542" s="168"/>
    </row>
    <row r="543">
      <c r="G543" s="168"/>
      <c r="L543" s="168"/>
    </row>
    <row r="544">
      <c r="G544" s="168"/>
      <c r="L544" s="168"/>
    </row>
    <row r="545">
      <c r="G545" s="168"/>
      <c r="L545" s="168"/>
    </row>
    <row r="546">
      <c r="G546" s="168"/>
      <c r="L546" s="168"/>
    </row>
    <row r="547">
      <c r="G547" s="168"/>
      <c r="L547" s="168"/>
    </row>
    <row r="548">
      <c r="G548" s="168"/>
      <c r="L548" s="168"/>
    </row>
    <row r="549">
      <c r="G549" s="168"/>
      <c r="L549" s="168"/>
    </row>
    <row r="550">
      <c r="G550" s="168"/>
      <c r="L550" s="168"/>
    </row>
    <row r="551">
      <c r="G551" s="168"/>
      <c r="L551" s="168"/>
    </row>
    <row r="552">
      <c r="G552" s="168"/>
      <c r="L552" s="168"/>
    </row>
    <row r="553">
      <c r="G553" s="168"/>
      <c r="L553" s="168"/>
    </row>
    <row r="554">
      <c r="G554" s="168"/>
      <c r="L554" s="168"/>
    </row>
    <row r="555">
      <c r="G555" s="168"/>
      <c r="L555" s="168"/>
    </row>
    <row r="556">
      <c r="G556" s="168"/>
      <c r="L556" s="168"/>
    </row>
    <row r="557">
      <c r="G557" s="168"/>
      <c r="L557" s="168"/>
    </row>
    <row r="558">
      <c r="G558" s="168"/>
      <c r="L558" s="168"/>
    </row>
    <row r="559">
      <c r="G559" s="168"/>
      <c r="L559" s="168"/>
    </row>
    <row r="560">
      <c r="G560" s="168"/>
      <c r="L560" s="168"/>
    </row>
    <row r="561">
      <c r="G561" s="168"/>
      <c r="L561" s="168"/>
    </row>
    <row r="562">
      <c r="G562" s="168"/>
      <c r="L562" s="168"/>
    </row>
    <row r="563">
      <c r="G563" s="168"/>
      <c r="L563" s="168"/>
    </row>
    <row r="564">
      <c r="G564" s="168"/>
      <c r="L564" s="168"/>
    </row>
    <row r="565">
      <c r="G565" s="168"/>
      <c r="L565" s="168"/>
    </row>
    <row r="566">
      <c r="G566" s="168"/>
      <c r="L566" s="168"/>
    </row>
    <row r="567">
      <c r="G567" s="168"/>
      <c r="L567" s="168"/>
    </row>
    <row r="568">
      <c r="G568" s="168"/>
      <c r="L568" s="168"/>
    </row>
    <row r="569">
      <c r="G569" s="168"/>
      <c r="L569" s="168"/>
    </row>
    <row r="570">
      <c r="G570" s="168"/>
      <c r="L570" s="168"/>
    </row>
    <row r="571">
      <c r="G571" s="168"/>
      <c r="L571" s="168"/>
    </row>
    <row r="572">
      <c r="G572" s="168"/>
      <c r="L572" s="168"/>
    </row>
    <row r="573">
      <c r="G573" s="168"/>
      <c r="L573" s="168"/>
    </row>
    <row r="574">
      <c r="G574" s="168"/>
      <c r="L574" s="168"/>
    </row>
    <row r="575">
      <c r="G575" s="168"/>
      <c r="L575" s="168"/>
    </row>
    <row r="576">
      <c r="G576" s="168"/>
      <c r="L576" s="168"/>
    </row>
    <row r="577">
      <c r="G577" s="168"/>
      <c r="L577" s="168"/>
    </row>
    <row r="578">
      <c r="G578" s="168"/>
      <c r="L578" s="168"/>
    </row>
    <row r="579">
      <c r="G579" s="168"/>
      <c r="L579" s="168"/>
    </row>
    <row r="580">
      <c r="G580" s="168"/>
      <c r="L580" s="168"/>
    </row>
    <row r="581">
      <c r="G581" s="168"/>
      <c r="L581" s="168"/>
    </row>
    <row r="582">
      <c r="G582" s="168"/>
      <c r="L582" s="168"/>
    </row>
    <row r="583">
      <c r="G583" s="168"/>
      <c r="L583" s="168"/>
    </row>
    <row r="584">
      <c r="G584" s="168"/>
      <c r="L584" s="168"/>
    </row>
    <row r="585">
      <c r="G585" s="168"/>
      <c r="L585" s="168"/>
    </row>
    <row r="586">
      <c r="G586" s="168"/>
      <c r="L586" s="168"/>
    </row>
    <row r="587">
      <c r="G587" s="168"/>
      <c r="L587" s="168"/>
    </row>
    <row r="588">
      <c r="G588" s="168"/>
      <c r="L588" s="168"/>
    </row>
    <row r="589">
      <c r="G589" s="168"/>
      <c r="L589" s="168"/>
    </row>
    <row r="590">
      <c r="G590" s="168"/>
      <c r="L590" s="168"/>
    </row>
    <row r="591">
      <c r="G591" s="168"/>
      <c r="L591" s="168"/>
    </row>
    <row r="592">
      <c r="G592" s="168"/>
      <c r="L592" s="168"/>
    </row>
    <row r="593">
      <c r="G593" s="168"/>
      <c r="L593" s="168"/>
    </row>
    <row r="594">
      <c r="G594" s="168"/>
      <c r="L594" s="168"/>
    </row>
    <row r="595">
      <c r="G595" s="168"/>
      <c r="L595" s="168"/>
    </row>
    <row r="596">
      <c r="G596" s="168"/>
      <c r="L596" s="168"/>
    </row>
    <row r="597">
      <c r="G597" s="168"/>
      <c r="L597" s="168"/>
    </row>
    <row r="598">
      <c r="G598" s="168"/>
      <c r="L598" s="168"/>
    </row>
    <row r="599">
      <c r="G599" s="168"/>
      <c r="L599" s="168"/>
    </row>
    <row r="600">
      <c r="G600" s="168"/>
      <c r="L600" s="168"/>
    </row>
    <row r="601">
      <c r="G601" s="168"/>
      <c r="L601" s="168"/>
    </row>
    <row r="602">
      <c r="G602" s="168"/>
      <c r="L602" s="168"/>
    </row>
    <row r="603">
      <c r="G603" s="168"/>
      <c r="L603" s="168"/>
    </row>
    <row r="604">
      <c r="G604" s="168"/>
      <c r="L604" s="168"/>
    </row>
    <row r="605">
      <c r="G605" s="168"/>
      <c r="L605" s="168"/>
    </row>
    <row r="606">
      <c r="G606" s="168"/>
      <c r="L606" s="168"/>
    </row>
    <row r="607">
      <c r="G607" s="168"/>
      <c r="L607" s="168"/>
    </row>
    <row r="608">
      <c r="G608" s="168"/>
      <c r="L608" s="168"/>
    </row>
    <row r="609">
      <c r="G609" s="168"/>
      <c r="L609" s="168"/>
    </row>
    <row r="610">
      <c r="G610" s="168"/>
      <c r="L610" s="168"/>
    </row>
    <row r="611">
      <c r="G611" s="168"/>
      <c r="L611" s="168"/>
    </row>
    <row r="612">
      <c r="G612" s="168"/>
      <c r="L612" s="168"/>
    </row>
    <row r="613">
      <c r="G613" s="168"/>
      <c r="L613" s="168"/>
    </row>
    <row r="614">
      <c r="G614" s="168"/>
      <c r="L614" s="168"/>
    </row>
    <row r="615">
      <c r="G615" s="168"/>
      <c r="L615" s="168"/>
    </row>
    <row r="616">
      <c r="G616" s="168"/>
      <c r="L616" s="168"/>
    </row>
    <row r="617">
      <c r="G617" s="168"/>
      <c r="L617" s="168"/>
    </row>
    <row r="618">
      <c r="G618" s="168"/>
      <c r="L618" s="168"/>
    </row>
    <row r="619">
      <c r="G619" s="168"/>
      <c r="L619" s="168"/>
    </row>
    <row r="620">
      <c r="G620" s="168"/>
      <c r="L620" s="168"/>
    </row>
    <row r="621">
      <c r="G621" s="168"/>
      <c r="L621" s="168"/>
    </row>
    <row r="622">
      <c r="G622" s="168"/>
      <c r="L622" s="168"/>
    </row>
    <row r="623">
      <c r="G623" s="168"/>
      <c r="L623" s="168"/>
    </row>
    <row r="624">
      <c r="G624" s="168"/>
      <c r="L624" s="168"/>
    </row>
    <row r="625">
      <c r="G625" s="168"/>
      <c r="L625" s="168"/>
    </row>
    <row r="626">
      <c r="G626" s="168"/>
      <c r="L626" s="168"/>
    </row>
    <row r="627">
      <c r="G627" s="168"/>
      <c r="L627" s="168"/>
    </row>
    <row r="628">
      <c r="G628" s="168"/>
      <c r="L628" s="168"/>
    </row>
    <row r="629">
      <c r="G629" s="168"/>
      <c r="L629" s="168"/>
    </row>
    <row r="630">
      <c r="G630" s="168"/>
      <c r="L630" s="168"/>
    </row>
    <row r="631">
      <c r="G631" s="168"/>
      <c r="L631" s="168"/>
    </row>
    <row r="632">
      <c r="G632" s="168"/>
      <c r="L632" s="168"/>
    </row>
    <row r="633">
      <c r="G633" s="168"/>
      <c r="L633" s="168"/>
    </row>
    <row r="634">
      <c r="G634" s="168"/>
      <c r="L634" s="168"/>
    </row>
    <row r="635">
      <c r="G635" s="168"/>
      <c r="L635" s="168"/>
    </row>
    <row r="636">
      <c r="G636" s="168"/>
      <c r="L636" s="168"/>
    </row>
    <row r="637">
      <c r="G637" s="168"/>
      <c r="L637" s="168"/>
    </row>
    <row r="638">
      <c r="G638" s="168"/>
      <c r="L638" s="168"/>
    </row>
    <row r="639">
      <c r="G639" s="168"/>
      <c r="L639" s="168"/>
    </row>
    <row r="640">
      <c r="G640" s="168"/>
      <c r="L640" s="168"/>
    </row>
    <row r="641">
      <c r="G641" s="168"/>
      <c r="L641" s="168"/>
    </row>
    <row r="642">
      <c r="G642" s="168"/>
      <c r="L642" s="168"/>
    </row>
    <row r="643">
      <c r="G643" s="168"/>
      <c r="L643" s="168"/>
    </row>
    <row r="644">
      <c r="G644" s="168"/>
      <c r="L644" s="168"/>
    </row>
    <row r="645">
      <c r="G645" s="168"/>
      <c r="L645" s="168"/>
    </row>
    <row r="646">
      <c r="G646" s="168"/>
      <c r="L646" s="168"/>
    </row>
    <row r="647">
      <c r="G647" s="168"/>
      <c r="L647" s="168"/>
    </row>
    <row r="648">
      <c r="G648" s="168"/>
      <c r="L648" s="168"/>
    </row>
    <row r="649">
      <c r="G649" s="168"/>
      <c r="L649" s="168"/>
    </row>
    <row r="650">
      <c r="G650" s="168"/>
      <c r="L650" s="168"/>
    </row>
    <row r="651">
      <c r="G651" s="168"/>
      <c r="L651" s="168"/>
    </row>
    <row r="652">
      <c r="G652" s="168"/>
      <c r="L652" s="168"/>
    </row>
    <row r="653">
      <c r="G653" s="168"/>
      <c r="L653" s="168"/>
    </row>
    <row r="654">
      <c r="G654" s="168"/>
      <c r="L654" s="168"/>
    </row>
    <row r="655">
      <c r="G655" s="168"/>
      <c r="L655" s="168"/>
    </row>
    <row r="656">
      <c r="G656" s="168"/>
      <c r="L656" s="168"/>
    </row>
    <row r="657">
      <c r="G657" s="168"/>
      <c r="L657" s="168"/>
    </row>
    <row r="658">
      <c r="G658" s="168"/>
      <c r="L658" s="168"/>
    </row>
    <row r="659">
      <c r="G659" s="168"/>
      <c r="L659" s="168"/>
    </row>
    <row r="660">
      <c r="G660" s="168"/>
      <c r="L660" s="168"/>
    </row>
    <row r="661">
      <c r="G661" s="168"/>
      <c r="L661" s="168"/>
    </row>
    <row r="662">
      <c r="G662" s="168"/>
      <c r="L662" s="168"/>
    </row>
    <row r="663">
      <c r="G663" s="168"/>
      <c r="L663" s="168"/>
    </row>
    <row r="664">
      <c r="G664" s="168"/>
      <c r="L664" s="168"/>
    </row>
    <row r="665">
      <c r="G665" s="168"/>
      <c r="L665" s="168"/>
    </row>
    <row r="666">
      <c r="G666" s="168"/>
      <c r="L666" s="168"/>
    </row>
    <row r="667">
      <c r="G667" s="168"/>
      <c r="L667" s="168"/>
    </row>
    <row r="668">
      <c r="G668" s="168"/>
      <c r="L668" s="168"/>
    </row>
    <row r="669">
      <c r="G669" s="168"/>
      <c r="L669" s="168"/>
    </row>
    <row r="670">
      <c r="G670" s="168"/>
      <c r="L670" s="168"/>
    </row>
    <row r="671">
      <c r="G671" s="168"/>
      <c r="L671" s="168"/>
    </row>
    <row r="672">
      <c r="G672" s="168"/>
      <c r="L672" s="168"/>
    </row>
    <row r="673">
      <c r="G673" s="168"/>
      <c r="L673" s="168"/>
    </row>
    <row r="674">
      <c r="G674" s="168"/>
      <c r="L674" s="168"/>
    </row>
    <row r="675">
      <c r="G675" s="168"/>
      <c r="L675" s="168"/>
    </row>
    <row r="676">
      <c r="G676" s="168"/>
      <c r="L676" s="168"/>
    </row>
    <row r="677">
      <c r="G677" s="168"/>
      <c r="L677" s="168"/>
    </row>
    <row r="678">
      <c r="G678" s="168"/>
      <c r="L678" s="168"/>
    </row>
    <row r="679">
      <c r="G679" s="168"/>
      <c r="L679" s="168"/>
    </row>
    <row r="680">
      <c r="G680" s="168"/>
      <c r="L680" s="168"/>
    </row>
    <row r="681">
      <c r="G681" s="168"/>
      <c r="L681" s="168"/>
    </row>
    <row r="682">
      <c r="G682" s="168"/>
      <c r="L682" s="168"/>
    </row>
    <row r="683">
      <c r="G683" s="168"/>
      <c r="L683" s="168"/>
    </row>
    <row r="684">
      <c r="G684" s="168"/>
      <c r="L684" s="168"/>
    </row>
    <row r="685">
      <c r="G685" s="168"/>
      <c r="L685" s="168"/>
    </row>
    <row r="686">
      <c r="G686" s="168"/>
      <c r="L686" s="168"/>
    </row>
    <row r="687">
      <c r="G687" s="168"/>
      <c r="L687" s="168"/>
    </row>
    <row r="688">
      <c r="G688" s="168"/>
      <c r="L688" s="168"/>
    </row>
    <row r="689">
      <c r="G689" s="168"/>
      <c r="L689" s="168"/>
    </row>
    <row r="690">
      <c r="G690" s="168"/>
      <c r="L690" s="168"/>
    </row>
    <row r="691">
      <c r="G691" s="168"/>
      <c r="L691" s="168"/>
    </row>
    <row r="692">
      <c r="G692" s="168"/>
      <c r="L692" s="168"/>
    </row>
    <row r="693">
      <c r="G693" s="168"/>
      <c r="L693" s="168"/>
    </row>
    <row r="694">
      <c r="G694" s="168"/>
      <c r="L694" s="168"/>
    </row>
    <row r="695">
      <c r="G695" s="168"/>
      <c r="L695" s="168"/>
    </row>
    <row r="696">
      <c r="G696" s="168"/>
      <c r="L696" s="168"/>
    </row>
    <row r="697">
      <c r="G697" s="168"/>
      <c r="L697" s="168"/>
    </row>
    <row r="698">
      <c r="G698" s="168"/>
      <c r="L698" s="168"/>
    </row>
    <row r="699">
      <c r="G699" s="168"/>
      <c r="L699" s="168"/>
    </row>
    <row r="700">
      <c r="G700" s="168"/>
      <c r="L700" s="168"/>
    </row>
    <row r="701">
      <c r="G701" s="168"/>
      <c r="L701" s="168"/>
    </row>
    <row r="702">
      <c r="G702" s="168"/>
      <c r="L702" s="168"/>
    </row>
    <row r="703">
      <c r="G703" s="168"/>
      <c r="L703" s="168"/>
    </row>
    <row r="704">
      <c r="G704" s="168"/>
      <c r="L704" s="168"/>
    </row>
    <row r="705">
      <c r="G705" s="168"/>
      <c r="L705" s="168"/>
    </row>
    <row r="706">
      <c r="G706" s="168"/>
      <c r="L706" s="168"/>
    </row>
    <row r="707">
      <c r="G707" s="168"/>
      <c r="L707" s="168"/>
    </row>
    <row r="708">
      <c r="G708" s="168"/>
      <c r="L708" s="168"/>
    </row>
    <row r="709">
      <c r="G709" s="168"/>
      <c r="L709" s="168"/>
    </row>
    <row r="710">
      <c r="G710" s="168"/>
      <c r="L710" s="168"/>
    </row>
    <row r="711">
      <c r="G711" s="168"/>
      <c r="L711" s="168"/>
    </row>
    <row r="712">
      <c r="G712" s="168"/>
      <c r="L712" s="168"/>
    </row>
    <row r="713">
      <c r="G713" s="168"/>
      <c r="L713" s="168"/>
    </row>
    <row r="714">
      <c r="G714" s="168"/>
      <c r="L714" s="168"/>
    </row>
    <row r="715">
      <c r="G715" s="168"/>
      <c r="L715" s="168"/>
    </row>
    <row r="716">
      <c r="G716" s="168"/>
      <c r="L716" s="168"/>
    </row>
    <row r="717">
      <c r="G717" s="168"/>
      <c r="L717" s="168"/>
    </row>
    <row r="718">
      <c r="G718" s="168"/>
      <c r="L718" s="168"/>
    </row>
    <row r="719">
      <c r="G719" s="168"/>
      <c r="L719" s="168"/>
    </row>
    <row r="720">
      <c r="G720" s="168"/>
      <c r="L720" s="168"/>
    </row>
    <row r="721">
      <c r="G721" s="168"/>
      <c r="L721" s="168"/>
    </row>
    <row r="722">
      <c r="G722" s="168"/>
      <c r="L722" s="168"/>
    </row>
    <row r="723">
      <c r="G723" s="168"/>
      <c r="L723" s="168"/>
    </row>
    <row r="724">
      <c r="G724" s="168"/>
      <c r="L724" s="168"/>
    </row>
    <row r="725">
      <c r="G725" s="168"/>
      <c r="L725" s="168"/>
    </row>
    <row r="726">
      <c r="G726" s="168"/>
      <c r="L726" s="168"/>
    </row>
    <row r="727">
      <c r="G727" s="168"/>
      <c r="L727" s="168"/>
    </row>
    <row r="728">
      <c r="G728" s="168"/>
      <c r="L728" s="168"/>
    </row>
    <row r="729">
      <c r="G729" s="168"/>
      <c r="L729" s="168"/>
    </row>
    <row r="730">
      <c r="G730" s="168"/>
      <c r="L730" s="168"/>
    </row>
    <row r="731">
      <c r="G731" s="168"/>
      <c r="L731" s="168"/>
    </row>
    <row r="732">
      <c r="G732" s="168"/>
      <c r="L732" s="168"/>
    </row>
    <row r="733">
      <c r="G733" s="168"/>
      <c r="L733" s="168"/>
    </row>
    <row r="734">
      <c r="G734" s="168"/>
      <c r="L734" s="168"/>
    </row>
    <row r="735">
      <c r="G735" s="168"/>
      <c r="L735" s="168"/>
    </row>
    <row r="736">
      <c r="G736" s="168"/>
      <c r="L736" s="168"/>
    </row>
    <row r="737">
      <c r="G737" s="168"/>
      <c r="L737" s="168"/>
    </row>
    <row r="738">
      <c r="G738" s="168"/>
      <c r="L738" s="168"/>
    </row>
    <row r="739">
      <c r="G739" s="168"/>
      <c r="L739" s="168"/>
    </row>
    <row r="740">
      <c r="G740" s="168"/>
      <c r="L740" s="168"/>
    </row>
    <row r="741">
      <c r="G741" s="168"/>
      <c r="L741" s="168"/>
    </row>
    <row r="742">
      <c r="G742" s="168"/>
      <c r="L742" s="168"/>
    </row>
    <row r="743">
      <c r="G743" s="168"/>
      <c r="L743" s="168"/>
    </row>
    <row r="744">
      <c r="G744" s="168"/>
      <c r="L744" s="168"/>
    </row>
    <row r="745">
      <c r="G745" s="168"/>
      <c r="L745" s="168"/>
    </row>
    <row r="746">
      <c r="G746" s="168"/>
      <c r="L746" s="168"/>
    </row>
    <row r="747">
      <c r="G747" s="168"/>
      <c r="L747" s="168"/>
    </row>
    <row r="748">
      <c r="G748" s="168"/>
      <c r="L748" s="168"/>
    </row>
    <row r="749">
      <c r="G749" s="168"/>
      <c r="L749" s="168"/>
    </row>
    <row r="750">
      <c r="G750" s="168"/>
      <c r="L750" s="168"/>
    </row>
    <row r="751">
      <c r="G751" s="168"/>
      <c r="L751" s="168"/>
    </row>
    <row r="752">
      <c r="G752" s="168"/>
      <c r="L752" s="168"/>
    </row>
    <row r="753">
      <c r="G753" s="168"/>
      <c r="L753" s="168"/>
    </row>
    <row r="754">
      <c r="G754" s="168"/>
      <c r="L754" s="168"/>
    </row>
    <row r="755">
      <c r="G755" s="168"/>
      <c r="L755" s="168"/>
    </row>
    <row r="756">
      <c r="G756" s="168"/>
      <c r="L756" s="168"/>
    </row>
    <row r="757">
      <c r="G757" s="168"/>
      <c r="L757" s="168"/>
    </row>
    <row r="758">
      <c r="G758" s="168"/>
      <c r="L758" s="168"/>
    </row>
    <row r="759">
      <c r="G759" s="168"/>
      <c r="L759" s="168"/>
    </row>
    <row r="760">
      <c r="G760" s="168"/>
      <c r="L760" s="168"/>
    </row>
    <row r="761">
      <c r="G761" s="168"/>
      <c r="L761" s="168"/>
    </row>
    <row r="762">
      <c r="G762" s="168"/>
      <c r="L762" s="168"/>
    </row>
    <row r="763">
      <c r="G763" s="168"/>
      <c r="L763" s="168"/>
    </row>
    <row r="764">
      <c r="G764" s="168"/>
      <c r="L764" s="168"/>
    </row>
    <row r="765">
      <c r="G765" s="168"/>
      <c r="L765" s="168"/>
    </row>
    <row r="766">
      <c r="G766" s="168"/>
      <c r="L766" s="168"/>
    </row>
    <row r="767">
      <c r="G767" s="168"/>
      <c r="L767" s="168"/>
    </row>
    <row r="768">
      <c r="G768" s="168"/>
      <c r="L768" s="168"/>
    </row>
    <row r="769">
      <c r="G769" s="168"/>
      <c r="L769" s="168"/>
    </row>
    <row r="770">
      <c r="G770" s="168"/>
      <c r="L770" s="168"/>
    </row>
    <row r="771">
      <c r="G771" s="168"/>
      <c r="L771" s="168"/>
    </row>
    <row r="772">
      <c r="G772" s="168"/>
      <c r="L772" s="168"/>
    </row>
    <row r="773">
      <c r="G773" s="168"/>
      <c r="L773" s="168"/>
    </row>
    <row r="774">
      <c r="G774" s="168"/>
      <c r="L774" s="168"/>
    </row>
    <row r="775">
      <c r="G775" s="168"/>
      <c r="L775" s="168"/>
    </row>
    <row r="776">
      <c r="G776" s="168"/>
      <c r="L776" s="168"/>
    </row>
    <row r="777">
      <c r="G777" s="168"/>
      <c r="L777" s="168"/>
    </row>
    <row r="778">
      <c r="G778" s="168"/>
      <c r="L778" s="168"/>
    </row>
    <row r="779">
      <c r="G779" s="168"/>
      <c r="L779" s="168"/>
    </row>
    <row r="780">
      <c r="G780" s="168"/>
      <c r="L780" s="168"/>
    </row>
    <row r="781">
      <c r="G781" s="168"/>
      <c r="L781" s="168"/>
    </row>
    <row r="782">
      <c r="G782" s="168"/>
      <c r="L782" s="168"/>
    </row>
    <row r="783">
      <c r="G783" s="168"/>
      <c r="L783" s="168"/>
    </row>
    <row r="784">
      <c r="G784" s="168"/>
      <c r="L784" s="168"/>
    </row>
    <row r="785">
      <c r="G785" s="168"/>
      <c r="L785" s="168"/>
    </row>
    <row r="786">
      <c r="G786" s="168"/>
      <c r="L786" s="168"/>
    </row>
    <row r="787">
      <c r="G787" s="168"/>
      <c r="L787" s="168"/>
    </row>
    <row r="788">
      <c r="G788" s="168"/>
      <c r="L788" s="168"/>
    </row>
    <row r="789">
      <c r="G789" s="168"/>
      <c r="L789" s="168"/>
    </row>
    <row r="790">
      <c r="G790" s="168"/>
      <c r="L790" s="168"/>
    </row>
    <row r="791">
      <c r="G791" s="168"/>
      <c r="L791" s="168"/>
    </row>
    <row r="792">
      <c r="G792" s="168"/>
      <c r="L792" s="168"/>
    </row>
    <row r="793">
      <c r="G793" s="168"/>
      <c r="L793" s="168"/>
    </row>
    <row r="794">
      <c r="G794" s="168"/>
      <c r="L794" s="168"/>
    </row>
    <row r="795">
      <c r="G795" s="168"/>
      <c r="L795" s="168"/>
    </row>
    <row r="796">
      <c r="G796" s="168"/>
      <c r="L796" s="168"/>
    </row>
    <row r="797">
      <c r="G797" s="168"/>
      <c r="L797" s="168"/>
    </row>
    <row r="798">
      <c r="G798" s="168"/>
      <c r="L798" s="168"/>
    </row>
    <row r="799">
      <c r="G799" s="168"/>
      <c r="L799" s="168"/>
    </row>
    <row r="800">
      <c r="G800" s="168"/>
      <c r="L800" s="168"/>
    </row>
    <row r="801">
      <c r="G801" s="168"/>
      <c r="L801" s="168"/>
    </row>
    <row r="802">
      <c r="G802" s="168"/>
      <c r="L802" s="168"/>
    </row>
    <row r="803">
      <c r="G803" s="168"/>
      <c r="L803" s="168"/>
    </row>
    <row r="804">
      <c r="G804" s="168"/>
      <c r="L804" s="168"/>
    </row>
    <row r="805">
      <c r="G805" s="168"/>
      <c r="L805" s="168"/>
    </row>
    <row r="806">
      <c r="G806" s="168"/>
      <c r="L806" s="168"/>
    </row>
    <row r="807">
      <c r="G807" s="168"/>
      <c r="L807" s="168"/>
    </row>
    <row r="808">
      <c r="G808" s="168"/>
      <c r="L808" s="168"/>
    </row>
    <row r="809">
      <c r="G809" s="168"/>
      <c r="L809" s="168"/>
    </row>
    <row r="810">
      <c r="G810" s="168"/>
      <c r="L810" s="168"/>
    </row>
    <row r="811">
      <c r="G811" s="168"/>
      <c r="L811" s="168"/>
    </row>
    <row r="812">
      <c r="G812" s="168"/>
      <c r="L812" s="168"/>
    </row>
    <row r="813">
      <c r="G813" s="168"/>
      <c r="L813" s="168"/>
    </row>
    <row r="814">
      <c r="G814" s="168"/>
      <c r="L814" s="168"/>
    </row>
    <row r="815">
      <c r="G815" s="168"/>
      <c r="L815" s="168"/>
    </row>
    <row r="816">
      <c r="G816" s="168"/>
      <c r="L816" s="168"/>
    </row>
    <row r="817">
      <c r="G817" s="168"/>
      <c r="L817" s="168"/>
    </row>
    <row r="818">
      <c r="G818" s="168"/>
      <c r="L818" s="168"/>
    </row>
    <row r="819">
      <c r="G819" s="168"/>
      <c r="L819" s="168"/>
    </row>
    <row r="820">
      <c r="G820" s="168"/>
      <c r="L820" s="168"/>
    </row>
    <row r="821">
      <c r="G821" s="168"/>
      <c r="L821" s="168"/>
    </row>
    <row r="822">
      <c r="G822" s="168"/>
      <c r="L822" s="168"/>
    </row>
    <row r="823">
      <c r="G823" s="168"/>
      <c r="L823" s="168"/>
    </row>
    <row r="824">
      <c r="G824" s="168"/>
      <c r="L824" s="168"/>
    </row>
    <row r="825">
      <c r="G825" s="168"/>
      <c r="L825" s="168"/>
    </row>
    <row r="826">
      <c r="G826" s="168"/>
      <c r="L826" s="168"/>
    </row>
    <row r="827">
      <c r="G827" s="168"/>
      <c r="L827" s="168"/>
    </row>
    <row r="828">
      <c r="G828" s="168"/>
      <c r="L828" s="168"/>
    </row>
    <row r="829">
      <c r="G829" s="168"/>
      <c r="L829" s="168"/>
    </row>
    <row r="830">
      <c r="G830" s="168"/>
      <c r="L830" s="168"/>
    </row>
    <row r="831">
      <c r="G831" s="168"/>
      <c r="L831" s="168"/>
    </row>
    <row r="832">
      <c r="G832" s="168"/>
      <c r="L832" s="168"/>
    </row>
    <row r="833">
      <c r="G833" s="168"/>
      <c r="L833" s="168"/>
    </row>
    <row r="834">
      <c r="G834" s="168"/>
      <c r="L834" s="168"/>
    </row>
    <row r="835">
      <c r="G835" s="168"/>
      <c r="L835" s="168"/>
    </row>
    <row r="836">
      <c r="G836" s="168"/>
      <c r="L836" s="168"/>
    </row>
    <row r="837">
      <c r="G837" s="168"/>
      <c r="L837" s="168"/>
    </row>
    <row r="838">
      <c r="G838" s="168"/>
      <c r="L838" s="168"/>
    </row>
    <row r="839">
      <c r="G839" s="168"/>
      <c r="L839" s="168"/>
    </row>
    <row r="840">
      <c r="G840" s="168"/>
      <c r="L840" s="168"/>
    </row>
    <row r="841">
      <c r="G841" s="168"/>
      <c r="L841" s="168"/>
    </row>
    <row r="842">
      <c r="G842" s="168"/>
      <c r="L842" s="168"/>
    </row>
    <row r="843">
      <c r="G843" s="168"/>
      <c r="L843" s="168"/>
    </row>
    <row r="844">
      <c r="G844" s="168"/>
      <c r="L844" s="168"/>
    </row>
    <row r="845">
      <c r="G845" s="168"/>
      <c r="L845" s="168"/>
    </row>
    <row r="846">
      <c r="G846" s="168"/>
      <c r="L846" s="168"/>
    </row>
    <row r="847">
      <c r="G847" s="168"/>
      <c r="L847" s="168"/>
    </row>
    <row r="848">
      <c r="G848" s="168"/>
      <c r="L848" s="168"/>
    </row>
    <row r="849">
      <c r="G849" s="168"/>
      <c r="L849" s="168"/>
    </row>
    <row r="850">
      <c r="G850" s="168"/>
      <c r="L850" s="168"/>
    </row>
    <row r="851">
      <c r="G851" s="168"/>
      <c r="L851" s="168"/>
    </row>
    <row r="852">
      <c r="G852" s="168"/>
      <c r="L852" s="168"/>
    </row>
    <row r="853">
      <c r="G853" s="168"/>
      <c r="L853" s="168"/>
    </row>
    <row r="854">
      <c r="G854" s="168"/>
      <c r="L854" s="168"/>
    </row>
    <row r="855">
      <c r="G855" s="168"/>
      <c r="L855" s="168"/>
    </row>
    <row r="856">
      <c r="G856" s="168"/>
      <c r="L856" s="168"/>
    </row>
    <row r="857">
      <c r="G857" s="168"/>
      <c r="L857" s="168"/>
    </row>
    <row r="858">
      <c r="G858" s="168"/>
      <c r="L858" s="168"/>
    </row>
    <row r="859">
      <c r="G859" s="168"/>
      <c r="L859" s="168"/>
    </row>
    <row r="860">
      <c r="G860" s="168"/>
      <c r="L860" s="168"/>
    </row>
    <row r="861">
      <c r="G861" s="168"/>
      <c r="L861" s="168"/>
    </row>
    <row r="862">
      <c r="G862" s="168"/>
      <c r="L862" s="168"/>
    </row>
    <row r="863">
      <c r="G863" s="168"/>
      <c r="L863" s="168"/>
    </row>
    <row r="864">
      <c r="G864" s="168"/>
      <c r="L864" s="168"/>
    </row>
    <row r="865">
      <c r="G865" s="168"/>
      <c r="L865" s="168"/>
    </row>
    <row r="866">
      <c r="G866" s="168"/>
      <c r="L866" s="168"/>
    </row>
    <row r="867">
      <c r="G867" s="168"/>
      <c r="L867" s="168"/>
    </row>
    <row r="868">
      <c r="G868" s="168"/>
      <c r="L868" s="168"/>
    </row>
    <row r="869">
      <c r="G869" s="168"/>
      <c r="L869" s="168"/>
    </row>
    <row r="870">
      <c r="G870" s="168"/>
      <c r="L870" s="168"/>
    </row>
    <row r="871">
      <c r="G871" s="168"/>
      <c r="L871" s="168"/>
    </row>
    <row r="872">
      <c r="G872" s="168"/>
      <c r="L872" s="168"/>
    </row>
    <row r="873">
      <c r="G873" s="168"/>
      <c r="L873" s="168"/>
    </row>
    <row r="874">
      <c r="G874" s="168"/>
      <c r="L874" s="168"/>
    </row>
    <row r="875">
      <c r="G875" s="168"/>
      <c r="L875" s="168"/>
    </row>
    <row r="876">
      <c r="G876" s="168"/>
      <c r="L876" s="168"/>
    </row>
    <row r="877">
      <c r="G877" s="168"/>
      <c r="L877" s="168"/>
    </row>
    <row r="878">
      <c r="G878" s="168"/>
      <c r="L878" s="168"/>
    </row>
    <row r="879">
      <c r="G879" s="168"/>
      <c r="L879" s="168"/>
    </row>
    <row r="880">
      <c r="G880" s="168"/>
      <c r="L880" s="168"/>
    </row>
    <row r="881">
      <c r="G881" s="168"/>
      <c r="L881" s="168"/>
    </row>
    <row r="882">
      <c r="G882" s="168"/>
      <c r="L882" s="168"/>
    </row>
    <row r="883">
      <c r="G883" s="168"/>
      <c r="L883" s="168"/>
    </row>
    <row r="884">
      <c r="G884" s="168"/>
      <c r="L884" s="168"/>
    </row>
    <row r="885">
      <c r="G885" s="168"/>
      <c r="L885" s="168"/>
    </row>
    <row r="886">
      <c r="G886" s="168"/>
      <c r="L886" s="168"/>
    </row>
    <row r="887">
      <c r="G887" s="168"/>
      <c r="L887" s="168"/>
    </row>
    <row r="888">
      <c r="G888" s="168"/>
      <c r="L888" s="168"/>
    </row>
    <row r="889">
      <c r="G889" s="168"/>
      <c r="L889" s="168"/>
    </row>
    <row r="890">
      <c r="G890" s="168"/>
      <c r="L890" s="168"/>
    </row>
    <row r="891">
      <c r="G891" s="168"/>
      <c r="L891" s="168"/>
    </row>
    <row r="892">
      <c r="G892" s="168"/>
      <c r="L892" s="168"/>
    </row>
    <row r="893">
      <c r="G893" s="168"/>
      <c r="L893" s="168"/>
    </row>
    <row r="894">
      <c r="G894" s="168"/>
      <c r="L894" s="168"/>
    </row>
    <row r="895">
      <c r="G895" s="168"/>
      <c r="L895" s="168"/>
    </row>
    <row r="896">
      <c r="G896" s="168"/>
      <c r="L896" s="168"/>
    </row>
    <row r="897">
      <c r="G897" s="168"/>
      <c r="L897" s="168"/>
    </row>
    <row r="898">
      <c r="G898" s="168"/>
      <c r="L898" s="168"/>
    </row>
    <row r="899">
      <c r="G899" s="168"/>
      <c r="L899" s="168"/>
    </row>
    <row r="900">
      <c r="G900" s="168"/>
      <c r="L900" s="168"/>
    </row>
    <row r="901">
      <c r="G901" s="168"/>
      <c r="L901" s="168"/>
    </row>
    <row r="902">
      <c r="G902" s="168"/>
      <c r="L902" s="168"/>
    </row>
    <row r="903">
      <c r="G903" s="168"/>
      <c r="L903" s="168"/>
    </row>
    <row r="904">
      <c r="G904" s="168"/>
      <c r="L904" s="168"/>
    </row>
    <row r="905">
      <c r="G905" s="168"/>
      <c r="L905" s="168"/>
    </row>
    <row r="906">
      <c r="G906" s="168"/>
      <c r="L906" s="168"/>
    </row>
    <row r="907">
      <c r="G907" s="168"/>
      <c r="L907" s="168"/>
    </row>
    <row r="908">
      <c r="G908" s="168"/>
      <c r="L908" s="168"/>
    </row>
    <row r="909">
      <c r="G909" s="168"/>
      <c r="L909" s="168"/>
    </row>
    <row r="910">
      <c r="G910" s="168"/>
      <c r="L910" s="168"/>
    </row>
    <row r="911">
      <c r="G911" s="168"/>
      <c r="L911" s="168"/>
    </row>
    <row r="912">
      <c r="G912" s="168"/>
      <c r="L912" s="168"/>
    </row>
    <row r="913">
      <c r="G913" s="168"/>
      <c r="L913" s="168"/>
    </row>
    <row r="914">
      <c r="G914" s="168"/>
      <c r="L914" s="168"/>
    </row>
    <row r="915">
      <c r="G915" s="168"/>
      <c r="L915" s="168"/>
    </row>
    <row r="916">
      <c r="G916" s="168"/>
      <c r="L916" s="168"/>
    </row>
    <row r="917">
      <c r="G917" s="168"/>
      <c r="L917" s="168"/>
    </row>
    <row r="918">
      <c r="G918" s="168"/>
      <c r="L918" s="168"/>
    </row>
    <row r="919">
      <c r="G919" s="168"/>
      <c r="L919" s="168"/>
    </row>
    <row r="920">
      <c r="G920" s="168"/>
      <c r="L920" s="168"/>
    </row>
    <row r="921">
      <c r="G921" s="168"/>
      <c r="L921" s="168"/>
    </row>
    <row r="922">
      <c r="G922" s="168"/>
      <c r="L922" s="168"/>
    </row>
    <row r="923">
      <c r="G923" s="168"/>
      <c r="L923" s="168"/>
    </row>
    <row r="924">
      <c r="G924" s="168"/>
      <c r="L924" s="168"/>
    </row>
    <row r="925">
      <c r="G925" s="168"/>
      <c r="L925" s="168"/>
    </row>
    <row r="926">
      <c r="G926" s="168"/>
      <c r="L926" s="168"/>
    </row>
    <row r="927">
      <c r="G927" s="168"/>
      <c r="L927" s="168"/>
    </row>
    <row r="928">
      <c r="G928" s="168"/>
      <c r="L928" s="168"/>
    </row>
    <row r="929">
      <c r="G929" s="168"/>
      <c r="L929" s="168"/>
    </row>
    <row r="930">
      <c r="G930" s="168"/>
      <c r="L930" s="168"/>
    </row>
    <row r="931">
      <c r="G931" s="168"/>
      <c r="L931" s="168"/>
    </row>
    <row r="932">
      <c r="G932" s="168"/>
      <c r="L932" s="168"/>
    </row>
    <row r="933">
      <c r="G933" s="168"/>
      <c r="L933" s="168"/>
    </row>
    <row r="934">
      <c r="G934" s="168"/>
      <c r="L934" s="168"/>
    </row>
    <row r="935">
      <c r="G935" s="168"/>
      <c r="L935" s="168"/>
    </row>
    <row r="936">
      <c r="G936" s="168"/>
      <c r="L936" s="168"/>
    </row>
    <row r="937">
      <c r="G937" s="168"/>
      <c r="L937" s="168"/>
    </row>
    <row r="938">
      <c r="G938" s="168"/>
      <c r="L938" s="168"/>
    </row>
    <row r="939">
      <c r="G939" s="168"/>
      <c r="L939" s="168"/>
    </row>
    <row r="940">
      <c r="G940" s="168"/>
      <c r="L940" s="168"/>
    </row>
    <row r="941">
      <c r="G941" s="168"/>
      <c r="L941" s="168"/>
    </row>
    <row r="942">
      <c r="G942" s="168"/>
      <c r="L942" s="168"/>
    </row>
    <row r="943">
      <c r="G943" s="168"/>
      <c r="L943" s="168"/>
    </row>
    <row r="944">
      <c r="G944" s="168"/>
      <c r="L944" s="168"/>
    </row>
    <row r="945">
      <c r="G945" s="168"/>
      <c r="L945" s="168"/>
    </row>
    <row r="946">
      <c r="G946" s="168"/>
      <c r="L946" s="168"/>
    </row>
    <row r="947">
      <c r="G947" s="168"/>
      <c r="L947" s="168"/>
    </row>
    <row r="948">
      <c r="G948" s="168"/>
      <c r="L948" s="168"/>
    </row>
    <row r="949">
      <c r="G949" s="168"/>
      <c r="L949" s="168"/>
    </row>
    <row r="950">
      <c r="G950" s="168"/>
      <c r="L950" s="168"/>
    </row>
    <row r="951">
      <c r="G951" s="168"/>
      <c r="L951" s="168"/>
    </row>
    <row r="952">
      <c r="G952" s="168"/>
      <c r="L952" s="168"/>
    </row>
    <row r="953">
      <c r="G953" s="168"/>
      <c r="L953" s="168"/>
    </row>
    <row r="954">
      <c r="G954" s="168"/>
      <c r="L954" s="168"/>
    </row>
    <row r="955">
      <c r="G955" s="168"/>
      <c r="L955" s="168"/>
    </row>
    <row r="956">
      <c r="G956" s="168"/>
      <c r="L956" s="168"/>
    </row>
    <row r="957">
      <c r="G957" s="168"/>
      <c r="L957" s="168"/>
    </row>
    <row r="958">
      <c r="G958" s="168"/>
      <c r="L958" s="168"/>
    </row>
    <row r="959">
      <c r="G959" s="168"/>
      <c r="L959" s="168"/>
    </row>
    <row r="960">
      <c r="G960" s="168"/>
      <c r="L960" s="168"/>
    </row>
    <row r="961">
      <c r="G961" s="168"/>
      <c r="L961" s="168"/>
    </row>
    <row r="962">
      <c r="G962" s="168"/>
      <c r="L962" s="168"/>
    </row>
    <row r="963">
      <c r="G963" s="168"/>
      <c r="L963" s="168"/>
    </row>
    <row r="964">
      <c r="G964" s="168"/>
      <c r="L964" s="168"/>
    </row>
    <row r="965">
      <c r="G965" s="168"/>
      <c r="L965" s="168"/>
    </row>
    <row r="966">
      <c r="G966" s="168"/>
      <c r="L966" s="168"/>
    </row>
    <row r="967">
      <c r="G967" s="168"/>
      <c r="L967" s="168"/>
    </row>
    <row r="968">
      <c r="G968" s="168"/>
      <c r="L968" s="168"/>
    </row>
    <row r="969">
      <c r="G969" s="168"/>
      <c r="L969" s="168"/>
    </row>
    <row r="970">
      <c r="G970" s="168"/>
      <c r="L970" s="168"/>
    </row>
    <row r="971">
      <c r="G971" s="168"/>
      <c r="L971" s="168"/>
    </row>
    <row r="972">
      <c r="G972" s="168"/>
      <c r="L972" s="168"/>
    </row>
    <row r="973">
      <c r="G973" s="168"/>
      <c r="L973" s="168"/>
    </row>
    <row r="974">
      <c r="G974" s="168"/>
      <c r="L974" s="168"/>
    </row>
    <row r="975">
      <c r="G975" s="168"/>
      <c r="L975" s="168"/>
    </row>
    <row r="976">
      <c r="G976" s="168"/>
      <c r="L976" s="168"/>
    </row>
    <row r="977">
      <c r="G977" s="168"/>
      <c r="L977" s="168"/>
    </row>
    <row r="978">
      <c r="G978" s="168"/>
      <c r="L978" s="168"/>
    </row>
    <row r="979">
      <c r="G979" s="168"/>
      <c r="L979" s="168"/>
    </row>
    <row r="980">
      <c r="G980" s="168"/>
      <c r="L980" s="168"/>
    </row>
    <row r="981">
      <c r="G981" s="168"/>
      <c r="L981" s="168"/>
    </row>
    <row r="982">
      <c r="G982" s="168"/>
      <c r="L982" s="168"/>
    </row>
    <row r="983">
      <c r="G983" s="168"/>
      <c r="L983" s="168"/>
    </row>
    <row r="984">
      <c r="G984" s="168"/>
      <c r="L984" s="168"/>
    </row>
    <row r="985">
      <c r="G985" s="168"/>
      <c r="L985" s="168"/>
    </row>
    <row r="986">
      <c r="G986" s="168"/>
      <c r="L986" s="168"/>
    </row>
    <row r="987">
      <c r="G987" s="168"/>
      <c r="L987" s="168"/>
    </row>
    <row r="988">
      <c r="G988" s="168"/>
      <c r="L988" s="168"/>
    </row>
    <row r="989">
      <c r="G989" s="168"/>
      <c r="L989" s="168"/>
    </row>
    <row r="990">
      <c r="G990" s="168"/>
      <c r="L990" s="168"/>
    </row>
    <row r="991">
      <c r="G991" s="168"/>
      <c r="L991" s="168"/>
    </row>
    <row r="992">
      <c r="G992" s="168"/>
      <c r="L992" s="168"/>
    </row>
    <row r="993">
      <c r="G993" s="168"/>
      <c r="L993" s="168"/>
    </row>
    <row r="994">
      <c r="G994" s="168"/>
      <c r="L994" s="168"/>
    </row>
    <row r="995">
      <c r="G995" s="168"/>
      <c r="L995" s="168"/>
    </row>
  </sheetData>
  <mergeCells count="2">
    <mergeCell ref="A1:N1"/>
    <mergeCell ref="A90:M90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108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</row>
    <row r="3">
      <c r="A3" s="70">
        <v>45660.0</v>
      </c>
      <c r="B3" s="302" t="s">
        <v>11</v>
      </c>
      <c r="C3" s="89">
        <v>173098.0</v>
      </c>
      <c r="D3" s="41">
        <v>173442.0</v>
      </c>
      <c r="E3" s="38">
        <f t="shared" ref="E3:E9" si="1">D3-C3</f>
        <v>344</v>
      </c>
      <c r="F3" s="39">
        <v>50.0</v>
      </c>
      <c r="G3" s="14">
        <f t="shared" ref="G3:G9" si="2">(F3/E3)*100</f>
        <v>14.53488372</v>
      </c>
      <c r="H3" s="137">
        <v>10801.0</v>
      </c>
      <c r="I3" s="138">
        <v>11221.0</v>
      </c>
      <c r="J3" s="41">
        <f t="shared" ref="J3:J9" si="3">I3-H3</f>
        <v>420</v>
      </c>
      <c r="K3" s="41">
        <f t="shared" ref="K3:K9" si="4">F3</f>
        <v>50</v>
      </c>
      <c r="L3" s="303">
        <f t="shared" ref="L3:L9" si="5">(K3/J3)*100</f>
        <v>11.9047619</v>
      </c>
      <c r="M3" s="72">
        <v>18750.0</v>
      </c>
      <c r="N3" s="366">
        <f t="shared" ref="N3:N9" si="6">F3*M3</f>
        <v>937500</v>
      </c>
    </row>
    <row r="4">
      <c r="A4" s="154">
        <v>45667.0</v>
      </c>
      <c r="B4" s="156" t="s">
        <v>11</v>
      </c>
      <c r="C4" s="89">
        <v>173442.0</v>
      </c>
      <c r="D4" s="89">
        <v>173811.0</v>
      </c>
      <c r="E4" s="12">
        <f t="shared" si="1"/>
        <v>369</v>
      </c>
      <c r="F4" s="157">
        <v>50.0</v>
      </c>
      <c r="G4" s="14">
        <f t="shared" si="2"/>
        <v>13.5501355</v>
      </c>
      <c r="H4" s="89">
        <v>11221.0</v>
      </c>
      <c r="I4" s="137">
        <v>11589.0</v>
      </c>
      <c r="J4" s="89">
        <f t="shared" si="3"/>
        <v>368</v>
      </c>
      <c r="K4" s="89">
        <f t="shared" si="4"/>
        <v>50</v>
      </c>
      <c r="L4" s="152">
        <f t="shared" si="5"/>
        <v>13.58695652</v>
      </c>
      <c r="M4" s="126">
        <v>19240.0</v>
      </c>
      <c r="N4" s="372">
        <f t="shared" si="6"/>
        <v>962000</v>
      </c>
    </row>
    <row r="5">
      <c r="A5" s="154">
        <v>45671.0</v>
      </c>
      <c r="B5" s="156" t="s">
        <v>11</v>
      </c>
      <c r="C5" s="89">
        <v>173811.0</v>
      </c>
      <c r="D5" s="89">
        <v>174164.0</v>
      </c>
      <c r="E5" s="12">
        <f t="shared" si="1"/>
        <v>353</v>
      </c>
      <c r="F5" s="157">
        <v>40.0</v>
      </c>
      <c r="G5" s="14">
        <f t="shared" si="2"/>
        <v>11.33144476</v>
      </c>
      <c r="H5" s="89">
        <v>11589.0</v>
      </c>
      <c r="I5" s="137">
        <v>11932.0</v>
      </c>
      <c r="J5" s="89">
        <f t="shared" si="3"/>
        <v>343</v>
      </c>
      <c r="K5" s="89">
        <f t="shared" si="4"/>
        <v>40</v>
      </c>
      <c r="L5" s="152">
        <f t="shared" si="5"/>
        <v>11.66180758</v>
      </c>
      <c r="M5" s="126">
        <v>19240.0</v>
      </c>
      <c r="N5" s="372">
        <f t="shared" si="6"/>
        <v>769600</v>
      </c>
    </row>
    <row r="6">
      <c r="A6" s="279">
        <v>45673.0</v>
      </c>
      <c r="B6" s="156" t="s">
        <v>11</v>
      </c>
      <c r="C6" s="89">
        <v>174164.0</v>
      </c>
      <c r="D6" s="89">
        <v>174510.0</v>
      </c>
      <c r="E6" s="12">
        <f t="shared" si="1"/>
        <v>346</v>
      </c>
      <c r="F6" s="157">
        <v>50.0</v>
      </c>
      <c r="G6" s="14">
        <f t="shared" si="2"/>
        <v>14.45086705</v>
      </c>
      <c r="H6" s="89">
        <v>11932.0</v>
      </c>
      <c r="I6" s="137">
        <v>12335.0</v>
      </c>
      <c r="J6" s="89">
        <f t="shared" si="3"/>
        <v>403</v>
      </c>
      <c r="K6" s="89">
        <f t="shared" si="4"/>
        <v>50</v>
      </c>
      <c r="L6" s="152">
        <f t="shared" si="5"/>
        <v>12.40694789</v>
      </c>
      <c r="M6" s="126">
        <v>19780.0</v>
      </c>
      <c r="N6" s="372">
        <f t="shared" si="6"/>
        <v>989000</v>
      </c>
    </row>
    <row r="7">
      <c r="A7" s="154">
        <v>45678.0</v>
      </c>
      <c r="B7" s="156" t="s">
        <v>11</v>
      </c>
      <c r="C7" s="89">
        <v>174510.0</v>
      </c>
      <c r="D7" s="89">
        <v>174840.0</v>
      </c>
      <c r="E7" s="12">
        <f t="shared" si="1"/>
        <v>330</v>
      </c>
      <c r="F7" s="157">
        <v>40.0</v>
      </c>
      <c r="G7" s="14">
        <f t="shared" si="2"/>
        <v>12.12121212</v>
      </c>
      <c r="H7" s="89">
        <v>12335.0</v>
      </c>
      <c r="I7" s="137"/>
      <c r="J7" s="89">
        <f t="shared" si="3"/>
        <v>-12335</v>
      </c>
      <c r="K7" s="89">
        <f t="shared" si="4"/>
        <v>40</v>
      </c>
      <c r="L7" s="152">
        <f t="shared" si="5"/>
        <v>-0.3242805026</v>
      </c>
      <c r="M7" s="126">
        <v>19780.0</v>
      </c>
      <c r="N7" s="372">
        <f t="shared" si="6"/>
        <v>791200</v>
      </c>
    </row>
    <row r="8">
      <c r="A8" s="154"/>
      <c r="B8" s="99" t="s">
        <v>11</v>
      </c>
      <c r="C8" s="89"/>
      <c r="D8" s="89"/>
      <c r="E8" s="12">
        <f t="shared" si="1"/>
        <v>0</v>
      </c>
      <c r="F8" s="157"/>
      <c r="G8" s="14" t="str">
        <f t="shared" si="2"/>
        <v>#DIV/0!</v>
      </c>
      <c r="H8" s="89"/>
      <c r="I8" s="137"/>
      <c r="J8" s="89">
        <f t="shared" si="3"/>
        <v>0</v>
      </c>
      <c r="K8" s="89" t="str">
        <f t="shared" si="4"/>
        <v/>
      </c>
      <c r="L8" s="152" t="str">
        <f t="shared" si="5"/>
        <v>#DIV/0!</v>
      </c>
      <c r="M8" s="126"/>
      <c r="N8" s="367">
        <f t="shared" si="6"/>
        <v>0</v>
      </c>
    </row>
    <row r="9">
      <c r="A9" s="305"/>
      <c r="B9" s="323"/>
      <c r="C9" s="149"/>
      <c r="D9" s="150"/>
      <c r="E9" s="25">
        <f t="shared" si="1"/>
        <v>0</v>
      </c>
      <c r="F9" s="307"/>
      <c r="G9" s="56" t="str">
        <f t="shared" si="2"/>
        <v>#DIV/0!</v>
      </c>
      <c r="H9" s="149"/>
      <c r="I9" s="151"/>
      <c r="J9" s="149">
        <f t="shared" si="3"/>
        <v>0</v>
      </c>
      <c r="K9" s="149" t="str">
        <f t="shared" si="4"/>
        <v/>
      </c>
      <c r="L9" s="71" t="str">
        <f t="shared" si="5"/>
        <v>#DIV/0!</v>
      </c>
      <c r="M9" s="308"/>
      <c r="N9" s="380">
        <f t="shared" si="6"/>
        <v>0</v>
      </c>
    </row>
    <row r="10">
      <c r="A10" s="62"/>
      <c r="B10" s="63"/>
      <c r="C10" s="62"/>
      <c r="D10" s="64" t="s">
        <v>19</v>
      </c>
      <c r="E10" s="64">
        <f t="shared" ref="E10:F10" si="7">sum(E3:E9)</f>
        <v>1742</v>
      </c>
      <c r="F10" s="64">
        <f t="shared" si="7"/>
        <v>230</v>
      </c>
      <c r="G10" s="65" t="str">
        <f>average(G3:G9)</f>
        <v>#DIV/0!</v>
      </c>
      <c r="H10" s="62"/>
      <c r="I10" s="66"/>
      <c r="J10" s="64">
        <f t="shared" ref="J10:K10" si="8">sum(J3:J9)</f>
        <v>-10801</v>
      </c>
      <c r="K10" s="64">
        <f t="shared" si="8"/>
        <v>230</v>
      </c>
      <c r="L10" s="65" t="str">
        <f>average(L3:L9)</f>
        <v>#DIV/0!</v>
      </c>
      <c r="M10" s="68"/>
      <c r="N10" s="368">
        <f>sum(N3:N9)</f>
        <v>4449300</v>
      </c>
    </row>
    <row r="11">
      <c r="A11" s="70">
        <v>45660.0</v>
      </c>
      <c r="B11" s="302" t="s">
        <v>12</v>
      </c>
      <c r="C11" s="89">
        <v>136284.0</v>
      </c>
      <c r="D11" s="41">
        <v>136704.0</v>
      </c>
      <c r="E11" s="38">
        <f t="shared" ref="E11:E17" si="9">D11-C11</f>
        <v>420</v>
      </c>
      <c r="F11" s="39">
        <v>60.0</v>
      </c>
      <c r="G11" s="14">
        <f t="shared" ref="G11:G17" si="10">(F11/E11)*100</f>
        <v>14.28571429</v>
      </c>
      <c r="H11" s="137">
        <v>9622.0</v>
      </c>
      <c r="I11" s="138">
        <v>10266.0</v>
      </c>
      <c r="J11" s="41">
        <f t="shared" ref="J11:J17" si="11">I11-H11</f>
        <v>644</v>
      </c>
      <c r="K11" s="41">
        <f t="shared" ref="K11:K17" si="12">F11</f>
        <v>60</v>
      </c>
      <c r="L11" s="303">
        <f t="shared" ref="L11:L17" si="13">(K11/J11)*100</f>
        <v>9.316770186</v>
      </c>
      <c r="M11" s="72">
        <v>18750.0</v>
      </c>
      <c r="N11" s="366">
        <f t="shared" ref="N11:N17" si="14">F11*M11</f>
        <v>1125000</v>
      </c>
    </row>
    <row r="12">
      <c r="A12" s="154">
        <v>45666.0</v>
      </c>
      <c r="B12" s="156" t="s">
        <v>12</v>
      </c>
      <c r="C12" s="89">
        <v>136704.0</v>
      </c>
      <c r="D12" s="89">
        <v>137101.0</v>
      </c>
      <c r="E12" s="12">
        <f t="shared" si="9"/>
        <v>397</v>
      </c>
      <c r="F12" s="157">
        <v>59.0</v>
      </c>
      <c r="G12" s="14">
        <f t="shared" si="10"/>
        <v>14.86146096</v>
      </c>
      <c r="H12" s="89">
        <v>10266.0</v>
      </c>
      <c r="I12" s="137">
        <v>10455.0</v>
      </c>
      <c r="J12" s="89">
        <f t="shared" si="11"/>
        <v>189</v>
      </c>
      <c r="K12" s="89">
        <f t="shared" si="12"/>
        <v>59</v>
      </c>
      <c r="L12" s="152">
        <f t="shared" si="13"/>
        <v>31.21693122</v>
      </c>
      <c r="M12" s="126">
        <v>18750.0</v>
      </c>
      <c r="N12" s="372">
        <f t="shared" si="14"/>
        <v>1106250</v>
      </c>
    </row>
    <row r="13">
      <c r="A13" s="154">
        <v>45671.0</v>
      </c>
      <c r="B13" s="156" t="s">
        <v>12</v>
      </c>
      <c r="C13" s="89">
        <v>137101.0</v>
      </c>
      <c r="D13" s="89">
        <v>137467.0</v>
      </c>
      <c r="E13" s="12">
        <f t="shared" si="9"/>
        <v>366</v>
      </c>
      <c r="F13" s="157">
        <v>54.0</v>
      </c>
      <c r="G13" s="14">
        <f t="shared" si="10"/>
        <v>14.75409836</v>
      </c>
      <c r="H13" s="89">
        <v>10455.0</v>
      </c>
      <c r="I13" s="137">
        <v>10841.0</v>
      </c>
      <c r="J13" s="89">
        <f t="shared" si="11"/>
        <v>386</v>
      </c>
      <c r="K13" s="89">
        <f t="shared" si="12"/>
        <v>54</v>
      </c>
      <c r="L13" s="152">
        <f t="shared" si="13"/>
        <v>13.98963731</v>
      </c>
      <c r="M13" s="126">
        <v>19240.0</v>
      </c>
      <c r="N13" s="372">
        <f t="shared" si="14"/>
        <v>1038960</v>
      </c>
    </row>
    <row r="14">
      <c r="A14" s="154">
        <v>45675.0</v>
      </c>
      <c r="B14" s="156" t="s">
        <v>12</v>
      </c>
      <c r="C14" s="89">
        <v>137467.0</v>
      </c>
      <c r="D14" s="89">
        <v>137811.0</v>
      </c>
      <c r="E14" s="12">
        <f t="shared" si="9"/>
        <v>344</v>
      </c>
      <c r="F14" s="157">
        <v>50.0</v>
      </c>
      <c r="G14" s="14">
        <f t="shared" si="10"/>
        <v>14.53488372</v>
      </c>
      <c r="H14" s="89">
        <v>10841.0</v>
      </c>
      <c r="I14" s="137"/>
      <c r="J14" s="89">
        <f t="shared" si="11"/>
        <v>-10841</v>
      </c>
      <c r="K14" s="89">
        <f t="shared" si="12"/>
        <v>50</v>
      </c>
      <c r="L14" s="152">
        <f t="shared" si="13"/>
        <v>-0.4612120653</v>
      </c>
      <c r="M14" s="126">
        <v>19780.0</v>
      </c>
      <c r="N14" s="372">
        <f t="shared" si="14"/>
        <v>989000</v>
      </c>
    </row>
    <row r="15">
      <c r="A15" s="154">
        <v>45679.0</v>
      </c>
      <c r="B15" s="156" t="s">
        <v>12</v>
      </c>
      <c r="C15" s="89">
        <v>137811.0</v>
      </c>
      <c r="D15" s="89">
        <v>138185.0</v>
      </c>
      <c r="E15" s="12">
        <f t="shared" si="9"/>
        <v>374</v>
      </c>
      <c r="F15" s="157">
        <v>50.0</v>
      </c>
      <c r="G15" s="14">
        <f t="shared" si="10"/>
        <v>13.36898396</v>
      </c>
      <c r="H15" s="89"/>
      <c r="I15" s="137"/>
      <c r="J15" s="89">
        <f t="shared" si="11"/>
        <v>0</v>
      </c>
      <c r="K15" s="89">
        <f t="shared" si="12"/>
        <v>50</v>
      </c>
      <c r="L15" s="152" t="str">
        <f t="shared" si="13"/>
        <v>#DIV/0!</v>
      </c>
      <c r="M15" s="126">
        <v>19780.0</v>
      </c>
      <c r="N15" s="372">
        <f t="shared" si="14"/>
        <v>989000</v>
      </c>
    </row>
    <row r="16">
      <c r="A16" s="320"/>
      <c r="B16" s="156" t="s">
        <v>12</v>
      </c>
      <c r="C16" s="89"/>
      <c r="D16" s="158"/>
      <c r="E16" s="12">
        <f t="shared" si="9"/>
        <v>0</v>
      </c>
      <c r="F16" s="321"/>
      <c r="G16" s="14" t="str">
        <f t="shared" si="10"/>
        <v>#DIV/0!</v>
      </c>
      <c r="H16" s="89"/>
      <c r="I16" s="159"/>
      <c r="J16" s="89">
        <f t="shared" si="11"/>
        <v>0</v>
      </c>
      <c r="K16" s="89" t="str">
        <f t="shared" si="12"/>
        <v/>
      </c>
      <c r="L16" s="152" t="str">
        <f t="shared" si="13"/>
        <v>#DIV/0!</v>
      </c>
      <c r="M16" s="322"/>
      <c r="N16" s="367">
        <f t="shared" si="14"/>
        <v>0</v>
      </c>
    </row>
    <row r="17">
      <c r="A17" s="305"/>
      <c r="B17" s="306"/>
      <c r="C17" s="149"/>
      <c r="D17" s="150"/>
      <c r="E17" s="25">
        <f t="shared" si="9"/>
        <v>0</v>
      </c>
      <c r="F17" s="307"/>
      <c r="G17" s="56" t="str">
        <f t="shared" si="10"/>
        <v>#DIV/0!</v>
      </c>
      <c r="H17" s="149"/>
      <c r="I17" s="151"/>
      <c r="J17" s="149">
        <f t="shared" si="11"/>
        <v>0</v>
      </c>
      <c r="K17" s="149" t="str">
        <f t="shared" si="12"/>
        <v/>
      </c>
      <c r="L17" s="71" t="str">
        <f t="shared" si="13"/>
        <v>#DIV/0!</v>
      </c>
      <c r="M17" s="308"/>
      <c r="N17" s="380">
        <f t="shared" si="14"/>
        <v>0</v>
      </c>
    </row>
    <row r="18">
      <c r="A18" s="62"/>
      <c r="B18" s="63"/>
      <c r="C18" s="62"/>
      <c r="D18" s="64" t="s">
        <v>19</v>
      </c>
      <c r="E18" s="64">
        <f t="shared" ref="E18:F18" si="15">sum(E11:E17)</f>
        <v>1901</v>
      </c>
      <c r="F18" s="64">
        <f t="shared" si="15"/>
        <v>273</v>
      </c>
      <c r="G18" s="65" t="str">
        <f>average(G11:G17)</f>
        <v>#DIV/0!</v>
      </c>
      <c r="H18" s="62"/>
      <c r="I18" s="66"/>
      <c r="J18" s="64">
        <f t="shared" ref="J18:K18" si="16">sum(J11:J17)</f>
        <v>-9622</v>
      </c>
      <c r="K18" s="64">
        <f t="shared" si="16"/>
        <v>273</v>
      </c>
      <c r="L18" s="65" t="str">
        <f>average(L11:L17)</f>
        <v>#DIV/0!</v>
      </c>
      <c r="M18" s="68"/>
      <c r="N18" s="368">
        <f>sum(N11:N17)</f>
        <v>5248210</v>
      </c>
    </row>
    <row r="19">
      <c r="A19" s="70">
        <v>45661.0</v>
      </c>
      <c r="B19" s="302" t="s">
        <v>13</v>
      </c>
      <c r="C19" s="89">
        <v>154388.0</v>
      </c>
      <c r="D19" s="41">
        <v>154735.0</v>
      </c>
      <c r="E19" s="38">
        <f t="shared" ref="E19:E25" si="17">D19-C19</f>
        <v>347</v>
      </c>
      <c r="F19" s="39">
        <v>49.0</v>
      </c>
      <c r="G19" s="14">
        <f t="shared" ref="G19:G25" si="18">(F19/E19)*100</f>
        <v>14.12103746</v>
      </c>
      <c r="H19" s="137">
        <v>10399.0</v>
      </c>
      <c r="I19" s="138">
        <v>10773.0</v>
      </c>
      <c r="J19" s="41">
        <f t="shared" ref="J19:J25" si="19">I19-H19</f>
        <v>374</v>
      </c>
      <c r="K19" s="41">
        <f t="shared" ref="K19:K25" si="20">F19</f>
        <v>49</v>
      </c>
      <c r="L19" s="152">
        <f t="shared" ref="L19:L25" si="21">(K19/J19)*100</f>
        <v>13.10160428</v>
      </c>
      <c r="M19" s="72">
        <v>18750.0</v>
      </c>
      <c r="N19" s="366">
        <f t="shared" ref="N19:N25" si="22">F19*M19</f>
        <v>918750</v>
      </c>
    </row>
    <row r="20">
      <c r="A20" s="154">
        <v>45667.0</v>
      </c>
      <c r="B20" s="156" t="s">
        <v>13</v>
      </c>
      <c r="C20" s="41">
        <v>154735.0</v>
      </c>
      <c r="D20" s="89">
        <v>155114.0</v>
      </c>
      <c r="E20" s="12">
        <f t="shared" si="17"/>
        <v>379</v>
      </c>
      <c r="F20" s="157">
        <v>49.0</v>
      </c>
      <c r="G20" s="14">
        <f t="shared" si="18"/>
        <v>12.92875989</v>
      </c>
      <c r="H20" s="89">
        <v>10773.0</v>
      </c>
      <c r="I20" s="137">
        <v>11212.0</v>
      </c>
      <c r="J20" s="89">
        <f t="shared" si="19"/>
        <v>439</v>
      </c>
      <c r="K20" s="89">
        <f t="shared" si="20"/>
        <v>49</v>
      </c>
      <c r="L20" s="152">
        <f t="shared" si="21"/>
        <v>11.16173121</v>
      </c>
      <c r="M20" s="126">
        <v>19240.0</v>
      </c>
      <c r="N20" s="372">
        <f t="shared" si="22"/>
        <v>942760</v>
      </c>
    </row>
    <row r="21">
      <c r="A21" s="154">
        <v>45671.0</v>
      </c>
      <c r="B21" s="156" t="s">
        <v>13</v>
      </c>
      <c r="C21" s="89">
        <v>155114.0</v>
      </c>
      <c r="D21" s="89">
        <v>155474.0</v>
      </c>
      <c r="E21" s="12">
        <f t="shared" si="17"/>
        <v>360</v>
      </c>
      <c r="F21" s="157">
        <v>50.0</v>
      </c>
      <c r="G21" s="14">
        <f t="shared" si="18"/>
        <v>13.88888889</v>
      </c>
      <c r="H21" s="89">
        <v>11212.0</v>
      </c>
      <c r="I21" s="137">
        <v>11575.0</v>
      </c>
      <c r="J21" s="89">
        <f t="shared" si="19"/>
        <v>363</v>
      </c>
      <c r="K21" s="89">
        <f t="shared" si="20"/>
        <v>50</v>
      </c>
      <c r="L21" s="152">
        <f t="shared" si="21"/>
        <v>13.77410468</v>
      </c>
      <c r="M21" s="126">
        <v>19240.0</v>
      </c>
      <c r="N21" s="372">
        <f t="shared" si="22"/>
        <v>962000</v>
      </c>
    </row>
    <row r="22">
      <c r="A22" s="154">
        <v>45675.0</v>
      </c>
      <c r="B22" s="156" t="s">
        <v>13</v>
      </c>
      <c r="C22" s="89">
        <v>155474.0</v>
      </c>
      <c r="D22" s="89">
        <v>155823.0</v>
      </c>
      <c r="E22" s="12">
        <f t="shared" si="17"/>
        <v>349</v>
      </c>
      <c r="F22" s="157">
        <v>50.0</v>
      </c>
      <c r="G22" s="14">
        <f t="shared" si="18"/>
        <v>14.32664756</v>
      </c>
      <c r="H22" s="89">
        <v>11575.0</v>
      </c>
      <c r="I22" s="137">
        <v>7727.0</v>
      </c>
      <c r="J22" s="89">
        <f t="shared" si="19"/>
        <v>-3848</v>
      </c>
      <c r="K22" s="89">
        <f t="shared" si="20"/>
        <v>50</v>
      </c>
      <c r="L22" s="152">
        <f t="shared" si="21"/>
        <v>-1.299376299</v>
      </c>
      <c r="M22" s="126">
        <v>19780.0</v>
      </c>
      <c r="N22" s="372">
        <f t="shared" si="22"/>
        <v>989000</v>
      </c>
    </row>
    <row r="23">
      <c r="A23" s="154">
        <v>45679.0</v>
      </c>
      <c r="B23" s="156" t="s">
        <v>13</v>
      </c>
      <c r="C23" s="89">
        <v>155823.0</v>
      </c>
      <c r="D23" s="89">
        <v>156160.0</v>
      </c>
      <c r="E23" s="12">
        <f t="shared" si="17"/>
        <v>337</v>
      </c>
      <c r="F23" s="157">
        <v>47.0</v>
      </c>
      <c r="G23" s="14">
        <f t="shared" si="18"/>
        <v>13.94658754</v>
      </c>
      <c r="H23" s="89">
        <v>7727.0</v>
      </c>
      <c r="I23" s="137"/>
      <c r="J23" s="89">
        <f t="shared" si="19"/>
        <v>-7727</v>
      </c>
      <c r="K23" s="89">
        <f t="shared" si="20"/>
        <v>47</v>
      </c>
      <c r="L23" s="152">
        <f t="shared" si="21"/>
        <v>-0.608256762</v>
      </c>
      <c r="M23" s="126">
        <v>19780.0</v>
      </c>
      <c r="N23" s="372">
        <f t="shared" si="22"/>
        <v>929660</v>
      </c>
    </row>
    <row r="24">
      <c r="A24" s="154"/>
      <c r="B24" s="99" t="s">
        <v>13</v>
      </c>
      <c r="C24" s="89"/>
      <c r="D24" s="89"/>
      <c r="E24" s="12">
        <f t="shared" si="17"/>
        <v>0</v>
      </c>
      <c r="F24" s="157"/>
      <c r="G24" s="14" t="str">
        <f t="shared" si="18"/>
        <v>#DIV/0!</v>
      </c>
      <c r="H24" s="89"/>
      <c r="I24" s="137"/>
      <c r="J24" s="89">
        <f t="shared" si="19"/>
        <v>0</v>
      </c>
      <c r="K24" s="89" t="str">
        <f t="shared" si="20"/>
        <v/>
      </c>
      <c r="L24" s="152" t="str">
        <f t="shared" si="21"/>
        <v>#DIV/0!</v>
      </c>
      <c r="M24" s="126"/>
      <c r="N24" s="367">
        <f t="shared" si="22"/>
        <v>0</v>
      </c>
    </row>
    <row r="25">
      <c r="A25" s="305"/>
      <c r="B25" s="36" t="s">
        <v>13</v>
      </c>
      <c r="C25" s="149"/>
      <c r="D25" s="150"/>
      <c r="E25" s="25">
        <f t="shared" si="17"/>
        <v>0</v>
      </c>
      <c r="F25" s="307"/>
      <c r="G25" s="56" t="str">
        <f t="shared" si="18"/>
        <v>#DIV/0!</v>
      </c>
      <c r="H25" s="149"/>
      <c r="I25" s="151"/>
      <c r="J25" s="149">
        <f t="shared" si="19"/>
        <v>0</v>
      </c>
      <c r="K25" s="149" t="str">
        <f t="shared" si="20"/>
        <v/>
      </c>
      <c r="L25" s="152" t="str">
        <f t="shared" si="21"/>
        <v>#DIV/0!</v>
      </c>
      <c r="M25" s="308"/>
      <c r="N25" s="380">
        <f t="shared" si="22"/>
        <v>0</v>
      </c>
    </row>
    <row r="26">
      <c r="A26" s="62"/>
      <c r="B26" s="63"/>
      <c r="C26" s="62"/>
      <c r="D26" s="64" t="s">
        <v>19</v>
      </c>
      <c r="E26" s="64">
        <f t="shared" ref="E26:F26" si="23">sum(E19:E25)</f>
        <v>1772</v>
      </c>
      <c r="F26" s="64">
        <f t="shared" si="23"/>
        <v>245</v>
      </c>
      <c r="G26" s="65" t="str">
        <f>average(G19:G25)</f>
        <v>#DIV/0!</v>
      </c>
      <c r="H26" s="62"/>
      <c r="I26" s="66"/>
      <c r="J26" s="64">
        <f t="shared" ref="J26:K26" si="24">sum(J19:J25)</f>
        <v>-10399</v>
      </c>
      <c r="K26" s="64">
        <f t="shared" si="24"/>
        <v>245</v>
      </c>
      <c r="L26" s="65" t="str">
        <f>average(L19:L25)</f>
        <v>#DIV/0!</v>
      </c>
      <c r="M26" s="68"/>
      <c r="N26" s="368">
        <f>sum(N19:N25)</f>
        <v>4742170</v>
      </c>
    </row>
    <row r="27">
      <c r="A27" s="70">
        <v>45666.0</v>
      </c>
      <c r="B27" s="302" t="s">
        <v>14</v>
      </c>
      <c r="C27" s="89">
        <v>155969.0</v>
      </c>
      <c r="D27" s="41">
        <v>156361.0</v>
      </c>
      <c r="E27" s="38">
        <f t="shared" ref="E27:E33" si="25">D27-C27</f>
        <v>392</v>
      </c>
      <c r="F27" s="39">
        <v>50.0</v>
      </c>
      <c r="G27" s="14">
        <f t="shared" ref="G27:G33" si="26">(F27/E27)*100</f>
        <v>12.75510204</v>
      </c>
      <c r="H27" s="137">
        <v>10665.0</v>
      </c>
      <c r="I27" s="138">
        <v>11087.0</v>
      </c>
      <c r="J27" s="41">
        <f t="shared" ref="J27:J33" si="27">I27-H27</f>
        <v>422</v>
      </c>
      <c r="K27" s="41">
        <f t="shared" ref="K27:K33" si="28">F27</f>
        <v>50</v>
      </c>
      <c r="L27" s="152">
        <f t="shared" ref="L27:L33" si="29">(K27/J27)*100</f>
        <v>11.84834123</v>
      </c>
      <c r="M27" s="72">
        <v>18750.0</v>
      </c>
      <c r="N27" s="366">
        <f t="shared" ref="N27:N33" si="30">F27*M27</f>
        <v>937500</v>
      </c>
    </row>
    <row r="28">
      <c r="A28" s="154">
        <v>45671.0</v>
      </c>
      <c r="B28" s="156" t="s">
        <v>14</v>
      </c>
      <c r="C28" s="89">
        <v>156361.0</v>
      </c>
      <c r="D28" s="89">
        <v>156753.0</v>
      </c>
      <c r="E28" s="12">
        <f t="shared" si="25"/>
        <v>392</v>
      </c>
      <c r="F28" s="157">
        <v>50.0</v>
      </c>
      <c r="G28" s="14">
        <f t="shared" si="26"/>
        <v>12.75510204</v>
      </c>
      <c r="H28" s="89">
        <v>11087.0</v>
      </c>
      <c r="I28" s="137">
        <v>11474.0</v>
      </c>
      <c r="J28" s="89">
        <f t="shared" si="27"/>
        <v>387</v>
      </c>
      <c r="K28" s="89">
        <f t="shared" si="28"/>
        <v>50</v>
      </c>
      <c r="L28" s="152">
        <f t="shared" si="29"/>
        <v>12.91989664</v>
      </c>
      <c r="M28" s="126">
        <v>19240.0</v>
      </c>
      <c r="N28" s="372">
        <f t="shared" si="30"/>
        <v>962000</v>
      </c>
    </row>
    <row r="29">
      <c r="A29" s="154">
        <v>45678.0</v>
      </c>
      <c r="B29" s="156" t="s">
        <v>14</v>
      </c>
      <c r="C29" s="89">
        <v>156753.0</v>
      </c>
      <c r="D29" s="89">
        <v>157149.0</v>
      </c>
      <c r="E29" s="12">
        <f t="shared" si="25"/>
        <v>396</v>
      </c>
      <c r="F29" s="157">
        <v>50.0</v>
      </c>
      <c r="G29" s="14">
        <f t="shared" si="26"/>
        <v>12.62626263</v>
      </c>
      <c r="H29" s="89">
        <v>11474.0</v>
      </c>
      <c r="I29" s="137"/>
      <c r="J29" s="89">
        <f t="shared" si="27"/>
        <v>-11474</v>
      </c>
      <c r="K29" s="89">
        <f t="shared" si="28"/>
        <v>50</v>
      </c>
      <c r="L29" s="152">
        <f t="shared" si="29"/>
        <v>-0.4357678229</v>
      </c>
      <c r="M29" s="126">
        <v>19780.0</v>
      </c>
      <c r="N29" s="372">
        <f t="shared" si="30"/>
        <v>989000</v>
      </c>
    </row>
    <row r="30">
      <c r="A30" s="154">
        <v>45682.0</v>
      </c>
      <c r="B30" s="156" t="s">
        <v>14</v>
      </c>
      <c r="C30" s="89">
        <v>157149.0</v>
      </c>
      <c r="D30" s="89">
        <v>157588.0</v>
      </c>
      <c r="E30" s="12">
        <f t="shared" si="25"/>
        <v>439</v>
      </c>
      <c r="F30" s="157">
        <v>50.0</v>
      </c>
      <c r="G30" s="14">
        <f t="shared" si="26"/>
        <v>11.38952164</v>
      </c>
      <c r="H30" s="89"/>
      <c r="I30" s="137"/>
      <c r="J30" s="89">
        <f t="shared" si="27"/>
        <v>0</v>
      </c>
      <c r="K30" s="89">
        <f t="shared" si="28"/>
        <v>50</v>
      </c>
      <c r="L30" s="152" t="str">
        <f t="shared" si="29"/>
        <v>#DIV/0!</v>
      </c>
      <c r="M30" s="126">
        <v>20190.0</v>
      </c>
      <c r="N30" s="372">
        <f t="shared" si="30"/>
        <v>1009500</v>
      </c>
    </row>
    <row r="31">
      <c r="A31" s="154"/>
      <c r="B31" s="156" t="s">
        <v>14</v>
      </c>
      <c r="C31" s="89"/>
      <c r="D31" s="89"/>
      <c r="E31" s="12">
        <f t="shared" si="25"/>
        <v>0</v>
      </c>
      <c r="F31" s="157"/>
      <c r="G31" s="14" t="str">
        <f t="shared" si="26"/>
        <v>#DIV/0!</v>
      </c>
      <c r="H31" s="89"/>
      <c r="I31" s="137"/>
      <c r="J31" s="89">
        <f t="shared" si="27"/>
        <v>0</v>
      </c>
      <c r="K31" s="89" t="str">
        <f t="shared" si="28"/>
        <v/>
      </c>
      <c r="L31" s="152" t="str">
        <f t="shared" si="29"/>
        <v>#DIV/0!</v>
      </c>
      <c r="M31" s="126"/>
      <c r="N31" s="367">
        <f t="shared" si="30"/>
        <v>0</v>
      </c>
    </row>
    <row r="32">
      <c r="A32" s="154"/>
      <c r="B32" s="156" t="s">
        <v>14</v>
      </c>
      <c r="C32" s="89"/>
      <c r="D32" s="89"/>
      <c r="E32" s="12">
        <f t="shared" si="25"/>
        <v>0</v>
      </c>
      <c r="F32" s="157"/>
      <c r="G32" s="14" t="str">
        <f t="shared" si="26"/>
        <v>#DIV/0!</v>
      </c>
      <c r="H32" s="89"/>
      <c r="I32" s="137"/>
      <c r="J32" s="89">
        <f t="shared" si="27"/>
        <v>0</v>
      </c>
      <c r="K32" s="89" t="str">
        <f t="shared" si="28"/>
        <v/>
      </c>
      <c r="L32" s="152" t="str">
        <f t="shared" si="29"/>
        <v>#DIV/0!</v>
      </c>
      <c r="M32" s="126"/>
      <c r="N32" s="367">
        <f t="shared" si="30"/>
        <v>0</v>
      </c>
    </row>
    <row r="33">
      <c r="A33" s="305"/>
      <c r="B33" s="306"/>
      <c r="C33" s="149"/>
      <c r="D33" s="150"/>
      <c r="E33" s="25">
        <f t="shared" si="25"/>
        <v>0</v>
      </c>
      <c r="F33" s="307"/>
      <c r="G33" s="56" t="str">
        <f t="shared" si="26"/>
        <v>#DIV/0!</v>
      </c>
      <c r="H33" s="149"/>
      <c r="I33" s="151"/>
      <c r="J33" s="149">
        <f t="shared" si="27"/>
        <v>0</v>
      </c>
      <c r="K33" s="149" t="str">
        <f t="shared" si="28"/>
        <v/>
      </c>
      <c r="L33" s="152" t="str">
        <f t="shared" si="29"/>
        <v>#DIV/0!</v>
      </c>
      <c r="M33" s="308"/>
      <c r="N33" s="380">
        <f t="shared" si="30"/>
        <v>0</v>
      </c>
    </row>
    <row r="34">
      <c r="A34" s="62"/>
      <c r="B34" s="63"/>
      <c r="C34" s="62"/>
      <c r="D34" s="64" t="s">
        <v>19</v>
      </c>
      <c r="E34" s="64">
        <f t="shared" ref="E34:F34" si="31">sum(E27:E33)</f>
        <v>1619</v>
      </c>
      <c r="F34" s="64">
        <f t="shared" si="31"/>
        <v>200</v>
      </c>
      <c r="G34" s="65" t="str">
        <f>average(G27:G33)</f>
        <v>#DIV/0!</v>
      </c>
      <c r="H34" s="62"/>
      <c r="I34" s="66"/>
      <c r="J34" s="64">
        <f t="shared" ref="J34:K34" si="32">sum(J27:J33)</f>
        <v>-10665</v>
      </c>
      <c r="K34" s="64">
        <f t="shared" si="32"/>
        <v>200</v>
      </c>
      <c r="L34" s="65" t="str">
        <f>average(L27:L33)</f>
        <v>#DIV/0!</v>
      </c>
      <c r="M34" s="68"/>
      <c r="N34" s="368">
        <f>sum(N27:N33)</f>
        <v>3898000</v>
      </c>
    </row>
    <row r="35">
      <c r="A35" s="70">
        <v>45660.0</v>
      </c>
      <c r="B35" s="302" t="s">
        <v>15</v>
      </c>
      <c r="C35" s="89">
        <v>142577.0</v>
      </c>
      <c r="D35" s="41">
        <v>142824.0</v>
      </c>
      <c r="E35" s="38">
        <f t="shared" ref="E35:E41" si="33">D35-C35</f>
        <v>247</v>
      </c>
      <c r="F35" s="39">
        <v>30.0</v>
      </c>
      <c r="G35" s="14">
        <f t="shared" ref="G35:G41" si="34">(F35/E35)*100</f>
        <v>12.14574899</v>
      </c>
      <c r="H35" s="137">
        <v>10105.0</v>
      </c>
      <c r="I35" s="138">
        <v>10424.0</v>
      </c>
      <c r="J35" s="41">
        <f t="shared" ref="J35:J41" si="35">I35-H35</f>
        <v>319</v>
      </c>
      <c r="K35" s="41">
        <f t="shared" ref="K35:K41" si="36">F35</f>
        <v>30</v>
      </c>
      <c r="L35" s="152">
        <f t="shared" ref="L35:L41" si="37">(K35/J35)*100</f>
        <v>9.404388715</v>
      </c>
      <c r="M35" s="72">
        <v>18750.0</v>
      </c>
      <c r="N35" s="366">
        <f t="shared" ref="N35:N41" si="38">F35*M35</f>
        <v>562500</v>
      </c>
    </row>
    <row r="36">
      <c r="A36" s="154">
        <v>45665.0</v>
      </c>
      <c r="B36" s="156" t="s">
        <v>15</v>
      </c>
      <c r="C36" s="89">
        <v>142824.0</v>
      </c>
      <c r="D36" s="89">
        <v>143082.0</v>
      </c>
      <c r="E36" s="12">
        <f t="shared" si="33"/>
        <v>258</v>
      </c>
      <c r="F36" s="157">
        <v>32.0</v>
      </c>
      <c r="G36" s="14">
        <f t="shared" si="34"/>
        <v>12.40310078</v>
      </c>
      <c r="H36" s="138">
        <v>10424.0</v>
      </c>
      <c r="I36" s="137">
        <v>10806.0</v>
      </c>
      <c r="J36" s="89">
        <f t="shared" si="35"/>
        <v>382</v>
      </c>
      <c r="K36" s="89">
        <f t="shared" si="36"/>
        <v>32</v>
      </c>
      <c r="L36" s="152">
        <f t="shared" si="37"/>
        <v>8.376963351</v>
      </c>
      <c r="M36" s="126">
        <v>18750.0</v>
      </c>
      <c r="N36" s="372">
        <f t="shared" si="38"/>
        <v>600000</v>
      </c>
    </row>
    <row r="37">
      <c r="A37" s="154">
        <v>45667.0</v>
      </c>
      <c r="B37" s="156" t="s">
        <v>15</v>
      </c>
      <c r="C37" s="89">
        <v>143082.0</v>
      </c>
      <c r="D37" s="89">
        <v>143392.0</v>
      </c>
      <c r="E37" s="12">
        <f t="shared" si="33"/>
        <v>310</v>
      </c>
      <c r="F37" s="157">
        <v>42.0</v>
      </c>
      <c r="G37" s="14">
        <f t="shared" si="34"/>
        <v>13.5483871</v>
      </c>
      <c r="H37" s="89">
        <v>10806.0</v>
      </c>
      <c r="I37" s="137">
        <v>11028.0</v>
      </c>
      <c r="J37" s="89">
        <f t="shared" si="35"/>
        <v>222</v>
      </c>
      <c r="K37" s="89">
        <f t="shared" si="36"/>
        <v>42</v>
      </c>
      <c r="L37" s="152">
        <f t="shared" si="37"/>
        <v>18.91891892</v>
      </c>
      <c r="M37" s="126">
        <v>19240.0</v>
      </c>
      <c r="N37" s="372">
        <f t="shared" si="38"/>
        <v>808080</v>
      </c>
    </row>
    <row r="38">
      <c r="A38" s="154">
        <v>45671.0</v>
      </c>
      <c r="B38" s="156" t="s">
        <v>15</v>
      </c>
      <c r="C38" s="89">
        <v>143392.0</v>
      </c>
      <c r="D38" s="89">
        <v>143700.0</v>
      </c>
      <c r="E38" s="12">
        <f t="shared" si="33"/>
        <v>308</v>
      </c>
      <c r="F38" s="157">
        <v>43.0</v>
      </c>
      <c r="G38" s="14">
        <f t="shared" si="34"/>
        <v>13.96103896</v>
      </c>
      <c r="H38" s="89">
        <v>11028.0</v>
      </c>
      <c r="I38" s="137">
        <v>11331.0</v>
      </c>
      <c r="J38" s="89">
        <f t="shared" si="35"/>
        <v>303</v>
      </c>
      <c r="K38" s="89">
        <f t="shared" si="36"/>
        <v>43</v>
      </c>
      <c r="L38" s="152">
        <f t="shared" si="37"/>
        <v>14.19141914</v>
      </c>
      <c r="M38" s="126">
        <v>19240.0</v>
      </c>
      <c r="N38" s="372">
        <f t="shared" si="38"/>
        <v>827320</v>
      </c>
    </row>
    <row r="39">
      <c r="A39" s="154">
        <v>45677.0</v>
      </c>
      <c r="B39" s="156" t="s">
        <v>15</v>
      </c>
      <c r="C39" s="89">
        <v>143700.0</v>
      </c>
      <c r="D39" s="89">
        <v>144060.0</v>
      </c>
      <c r="E39" s="12">
        <f t="shared" si="33"/>
        <v>360</v>
      </c>
      <c r="F39" s="157">
        <v>48.0</v>
      </c>
      <c r="G39" s="14">
        <f t="shared" si="34"/>
        <v>13.33333333</v>
      </c>
      <c r="H39" s="89">
        <v>11331.0</v>
      </c>
      <c r="I39" s="137"/>
      <c r="J39" s="89">
        <f t="shared" si="35"/>
        <v>-11331</v>
      </c>
      <c r="K39" s="89">
        <f t="shared" si="36"/>
        <v>48</v>
      </c>
      <c r="L39" s="152">
        <f t="shared" si="37"/>
        <v>-0.423616627</v>
      </c>
      <c r="M39" s="126">
        <v>19780.0</v>
      </c>
      <c r="N39" s="372">
        <f t="shared" si="38"/>
        <v>949440</v>
      </c>
    </row>
    <row r="40">
      <c r="A40" s="312">
        <v>45680.0</v>
      </c>
      <c r="B40" s="156" t="s">
        <v>15</v>
      </c>
      <c r="C40" s="89">
        <v>144060.0</v>
      </c>
      <c r="D40" s="89">
        <v>144419.0</v>
      </c>
      <c r="E40" s="12">
        <f t="shared" si="33"/>
        <v>359</v>
      </c>
      <c r="F40" s="157">
        <v>44.0</v>
      </c>
      <c r="G40" s="14">
        <f t="shared" si="34"/>
        <v>12.25626741</v>
      </c>
      <c r="H40" s="89"/>
      <c r="I40" s="137"/>
      <c r="J40" s="89">
        <f t="shared" si="35"/>
        <v>0</v>
      </c>
      <c r="K40" s="89">
        <f t="shared" si="36"/>
        <v>44</v>
      </c>
      <c r="L40" s="152" t="str">
        <f t="shared" si="37"/>
        <v>#DIV/0!</v>
      </c>
      <c r="M40" s="126">
        <v>19780.0</v>
      </c>
      <c r="N40" s="372">
        <f t="shared" si="38"/>
        <v>870320</v>
      </c>
    </row>
    <row r="41">
      <c r="A41" s="305"/>
      <c r="B41" s="306"/>
      <c r="C41" s="149"/>
      <c r="D41" s="150"/>
      <c r="E41" s="25">
        <f t="shared" si="33"/>
        <v>0</v>
      </c>
      <c r="F41" s="307"/>
      <c r="G41" s="56" t="str">
        <f t="shared" si="34"/>
        <v>#DIV/0!</v>
      </c>
      <c r="H41" s="149"/>
      <c r="I41" s="151"/>
      <c r="J41" s="149">
        <f t="shared" si="35"/>
        <v>0</v>
      </c>
      <c r="K41" s="149" t="str">
        <f t="shared" si="36"/>
        <v/>
      </c>
      <c r="L41" s="152" t="str">
        <f t="shared" si="37"/>
        <v>#DIV/0!</v>
      </c>
      <c r="M41" s="308"/>
      <c r="N41" s="380">
        <f t="shared" si="38"/>
        <v>0</v>
      </c>
    </row>
    <row r="42">
      <c r="A42" s="62"/>
      <c r="B42" s="63"/>
      <c r="C42" s="62"/>
      <c r="D42" s="64" t="s">
        <v>19</v>
      </c>
      <c r="E42" s="64">
        <f t="shared" ref="E42:F42" si="39">sum(E35:E41)</f>
        <v>1842</v>
      </c>
      <c r="F42" s="64">
        <f t="shared" si="39"/>
        <v>239</v>
      </c>
      <c r="G42" s="65" t="str">
        <f>average(G35:G41)</f>
        <v>#DIV/0!</v>
      </c>
      <c r="H42" s="62"/>
      <c r="I42" s="66"/>
      <c r="J42" s="64">
        <f t="shared" ref="J42:K42" si="40">sum(J35:J41)</f>
        <v>-10105</v>
      </c>
      <c r="K42" s="64">
        <f t="shared" si="40"/>
        <v>239</v>
      </c>
      <c r="L42" s="65" t="str">
        <f>average(L35:L41)</f>
        <v>#DIV/0!</v>
      </c>
      <c r="M42" s="68"/>
      <c r="N42" s="368">
        <f>sum(N35:N41)</f>
        <v>4617660</v>
      </c>
    </row>
    <row r="43">
      <c r="A43" s="381">
        <v>45659.0</v>
      </c>
      <c r="B43" s="302" t="s">
        <v>16</v>
      </c>
      <c r="C43" s="89">
        <v>118707.0</v>
      </c>
      <c r="D43" s="41">
        <v>119004.0</v>
      </c>
      <c r="E43" s="38">
        <f t="shared" ref="E43:E49" si="41">D43-C43</f>
        <v>297</v>
      </c>
      <c r="F43" s="39">
        <v>40.0</v>
      </c>
      <c r="G43" s="14">
        <f t="shared" ref="G43:G49" si="42">(F43/E43)*100</f>
        <v>13.46801347</v>
      </c>
      <c r="H43" s="137">
        <v>10086.0</v>
      </c>
      <c r="I43" s="138">
        <v>10356.0</v>
      </c>
      <c r="J43" s="41">
        <f t="shared" ref="J43:J49" si="43">I43-H43</f>
        <v>270</v>
      </c>
      <c r="K43" s="41">
        <f t="shared" ref="K43:K49" si="44">F43</f>
        <v>40</v>
      </c>
      <c r="L43" s="152">
        <f t="shared" ref="L43:L49" si="45">(K43/J43)*100</f>
        <v>14.81481481</v>
      </c>
      <c r="M43" s="72">
        <v>18630.0</v>
      </c>
      <c r="N43" s="366">
        <f t="shared" ref="N43:N49" si="46">F43*M43</f>
        <v>745200</v>
      </c>
    </row>
    <row r="44">
      <c r="A44" s="154">
        <v>45664.0</v>
      </c>
      <c r="B44" s="156" t="s">
        <v>16</v>
      </c>
      <c r="C44" s="89">
        <v>119004.0</v>
      </c>
      <c r="D44" s="89">
        <v>119312.0</v>
      </c>
      <c r="E44" s="12">
        <f t="shared" si="41"/>
        <v>308</v>
      </c>
      <c r="F44" s="313">
        <v>48.0</v>
      </c>
      <c r="G44" s="14">
        <f t="shared" si="42"/>
        <v>15.58441558</v>
      </c>
      <c r="H44" s="89">
        <v>10356.0</v>
      </c>
      <c r="I44" s="137">
        <v>10645.0</v>
      </c>
      <c r="J44" s="89">
        <f t="shared" si="43"/>
        <v>289</v>
      </c>
      <c r="K44" s="89">
        <f t="shared" si="44"/>
        <v>48</v>
      </c>
      <c r="L44" s="152">
        <f t="shared" si="45"/>
        <v>16.60899654</v>
      </c>
      <c r="M44" s="126">
        <v>18750.0</v>
      </c>
      <c r="N44" s="372">
        <f t="shared" si="46"/>
        <v>900000</v>
      </c>
    </row>
    <row r="45">
      <c r="A45" s="154">
        <v>45668.0</v>
      </c>
      <c r="B45" s="156" t="s">
        <v>16</v>
      </c>
      <c r="C45" s="89">
        <v>119312.0</v>
      </c>
      <c r="D45" s="89">
        <v>119618.0</v>
      </c>
      <c r="E45" s="12">
        <f t="shared" si="41"/>
        <v>306</v>
      </c>
      <c r="F45" s="157">
        <v>40.0</v>
      </c>
      <c r="G45" s="14">
        <f t="shared" si="42"/>
        <v>13.07189542</v>
      </c>
      <c r="H45" s="89">
        <v>10645.0</v>
      </c>
      <c r="I45" s="137">
        <v>10992.0</v>
      </c>
      <c r="J45" s="89">
        <f t="shared" si="43"/>
        <v>347</v>
      </c>
      <c r="K45" s="89">
        <f t="shared" si="44"/>
        <v>40</v>
      </c>
      <c r="L45" s="152">
        <f t="shared" si="45"/>
        <v>11.52737752</v>
      </c>
      <c r="M45" s="126">
        <v>19240.0</v>
      </c>
      <c r="N45" s="372">
        <f t="shared" si="46"/>
        <v>769600</v>
      </c>
    </row>
    <row r="46">
      <c r="A46" s="154">
        <v>45671.0</v>
      </c>
      <c r="B46" s="156" t="s">
        <v>16</v>
      </c>
      <c r="C46" s="89">
        <v>119618.0</v>
      </c>
      <c r="D46" s="89">
        <v>119882.0</v>
      </c>
      <c r="E46" s="12">
        <f t="shared" si="41"/>
        <v>264</v>
      </c>
      <c r="F46" s="157">
        <v>39.0</v>
      </c>
      <c r="G46" s="14">
        <f t="shared" si="42"/>
        <v>14.77272727</v>
      </c>
      <c r="H46" s="89">
        <v>10992.0</v>
      </c>
      <c r="I46" s="137">
        <v>11290.0</v>
      </c>
      <c r="J46" s="89">
        <f t="shared" si="43"/>
        <v>298</v>
      </c>
      <c r="K46" s="89">
        <f t="shared" si="44"/>
        <v>39</v>
      </c>
      <c r="L46" s="152">
        <f t="shared" si="45"/>
        <v>13.08724832</v>
      </c>
      <c r="M46" s="126">
        <v>19240.0</v>
      </c>
      <c r="N46" s="372">
        <f t="shared" si="46"/>
        <v>750360</v>
      </c>
      <c r="P46" s="82"/>
    </row>
    <row r="47">
      <c r="A47" s="154">
        <v>45677.0</v>
      </c>
      <c r="B47" s="156" t="s">
        <v>16</v>
      </c>
      <c r="C47" s="89">
        <v>119882.0</v>
      </c>
      <c r="D47" s="89">
        <v>120216.0</v>
      </c>
      <c r="E47" s="12">
        <f t="shared" si="41"/>
        <v>334</v>
      </c>
      <c r="F47" s="157">
        <v>40.0</v>
      </c>
      <c r="G47" s="14">
        <f t="shared" si="42"/>
        <v>11.9760479</v>
      </c>
      <c r="H47" s="89">
        <v>11290.0</v>
      </c>
      <c r="I47" s="137"/>
      <c r="J47" s="89">
        <f t="shared" si="43"/>
        <v>-11290</v>
      </c>
      <c r="K47" s="89">
        <f t="shared" si="44"/>
        <v>40</v>
      </c>
      <c r="L47" s="152">
        <f t="shared" si="45"/>
        <v>-0.354295837</v>
      </c>
      <c r="M47" s="126">
        <v>19780.0</v>
      </c>
      <c r="N47" s="372">
        <f t="shared" si="46"/>
        <v>791200</v>
      </c>
    </row>
    <row r="48">
      <c r="A48" s="155">
        <v>45681.0</v>
      </c>
      <c r="B48" s="99" t="s">
        <v>16</v>
      </c>
      <c r="C48" s="89">
        <v>120216.0</v>
      </c>
      <c r="D48" s="89">
        <v>120542.0</v>
      </c>
      <c r="E48" s="12">
        <f t="shared" si="41"/>
        <v>326</v>
      </c>
      <c r="F48" s="157">
        <v>50.0</v>
      </c>
      <c r="G48" s="14">
        <f t="shared" si="42"/>
        <v>15.33742331</v>
      </c>
      <c r="H48" s="89">
        <v>7642.0</v>
      </c>
      <c r="I48" s="159"/>
      <c r="J48" s="89">
        <f t="shared" si="43"/>
        <v>-7642</v>
      </c>
      <c r="K48" s="89">
        <f t="shared" si="44"/>
        <v>50</v>
      </c>
      <c r="L48" s="152">
        <f t="shared" si="45"/>
        <v>-0.6542789846</v>
      </c>
      <c r="M48" s="126">
        <v>20190.0</v>
      </c>
      <c r="N48" s="372">
        <f t="shared" si="46"/>
        <v>1009500</v>
      </c>
    </row>
    <row r="49">
      <c r="A49" s="305"/>
      <c r="B49" s="323"/>
      <c r="C49" s="149"/>
      <c r="D49" s="150"/>
      <c r="E49" s="25">
        <f t="shared" si="41"/>
        <v>0</v>
      </c>
      <c r="F49" s="307"/>
      <c r="G49" s="56" t="str">
        <f t="shared" si="42"/>
        <v>#DIV/0!</v>
      </c>
      <c r="H49" s="149">
        <v>1.0</v>
      </c>
      <c r="I49" s="151"/>
      <c r="J49" s="149">
        <f t="shared" si="43"/>
        <v>-1</v>
      </c>
      <c r="K49" s="149" t="str">
        <f t="shared" si="44"/>
        <v/>
      </c>
      <c r="L49" s="152">
        <f t="shared" si="45"/>
        <v>0</v>
      </c>
      <c r="M49" s="308"/>
      <c r="N49" s="380">
        <f t="shared" si="46"/>
        <v>0</v>
      </c>
    </row>
    <row r="50">
      <c r="A50" s="62"/>
      <c r="B50" s="63"/>
      <c r="C50" s="62"/>
      <c r="D50" s="64" t="s">
        <v>19</v>
      </c>
      <c r="E50" s="64">
        <f t="shared" ref="E50:F50" si="47">sum(E43:E49)</f>
        <v>1835</v>
      </c>
      <c r="F50" s="64">
        <f t="shared" si="47"/>
        <v>257</v>
      </c>
      <c r="G50" s="65" t="str">
        <f>average(G43:G49)</f>
        <v>#DIV/0!</v>
      </c>
      <c r="H50" s="62"/>
      <c r="I50" s="66"/>
      <c r="J50" s="64">
        <f t="shared" ref="J50:K50" si="48">sum(J43:J49)</f>
        <v>-17729</v>
      </c>
      <c r="K50" s="64">
        <f t="shared" si="48"/>
        <v>257</v>
      </c>
      <c r="L50" s="65">
        <f>average(L43:L49)</f>
        <v>7.861408911</v>
      </c>
      <c r="M50" s="68"/>
      <c r="N50" s="368">
        <f>sum(N43:N49)</f>
        <v>4965860</v>
      </c>
    </row>
    <row r="51">
      <c r="A51" s="70">
        <v>45664.0</v>
      </c>
      <c r="B51" s="314" t="s">
        <v>18</v>
      </c>
      <c r="C51" s="149">
        <v>124048.0</v>
      </c>
      <c r="D51" s="41">
        <v>124408.0</v>
      </c>
      <c r="E51" s="38">
        <f t="shared" ref="E51:E57" si="49">D51-C51</f>
        <v>360</v>
      </c>
      <c r="F51" s="39">
        <v>41.0</v>
      </c>
      <c r="G51" s="14">
        <f t="shared" ref="G51:G57" si="50">(F51/E51)*100</f>
        <v>11.38888889</v>
      </c>
      <c r="H51" s="315">
        <v>10879.0</v>
      </c>
      <c r="I51" s="138">
        <v>11228.0</v>
      </c>
      <c r="J51" s="41">
        <f t="shared" ref="J51:J57" si="51">I51-H51</f>
        <v>349</v>
      </c>
      <c r="K51" s="41">
        <f t="shared" ref="K51:K57" si="52">F51</f>
        <v>41</v>
      </c>
      <c r="L51" s="152">
        <f t="shared" ref="L51:L57" si="53">(K51/J51)*100</f>
        <v>11.747851</v>
      </c>
      <c r="M51" s="72">
        <v>18750.0</v>
      </c>
      <c r="N51" s="366">
        <f t="shared" ref="N51:N57" si="54">F51*M51</f>
        <v>768750</v>
      </c>
    </row>
    <row r="52">
      <c r="A52" s="154">
        <v>45668.0</v>
      </c>
      <c r="B52" s="156" t="s">
        <v>18</v>
      </c>
      <c r="C52" s="89">
        <v>124408.0</v>
      </c>
      <c r="D52" s="89">
        <v>124641.0</v>
      </c>
      <c r="E52" s="12">
        <f t="shared" si="49"/>
        <v>233</v>
      </c>
      <c r="F52" s="157">
        <v>29.0</v>
      </c>
      <c r="G52" s="14">
        <f t="shared" si="50"/>
        <v>12.44635193</v>
      </c>
      <c r="H52" s="89">
        <v>11228.0</v>
      </c>
      <c r="I52" s="137">
        <v>11604.0</v>
      </c>
      <c r="J52" s="89">
        <f t="shared" si="51"/>
        <v>376</v>
      </c>
      <c r="K52" s="89">
        <f t="shared" si="52"/>
        <v>29</v>
      </c>
      <c r="L52" s="152">
        <f t="shared" si="53"/>
        <v>7.712765957</v>
      </c>
      <c r="M52" s="126">
        <v>19240.0</v>
      </c>
      <c r="N52" s="372">
        <f t="shared" si="54"/>
        <v>557960</v>
      </c>
    </row>
    <row r="53">
      <c r="A53" s="279">
        <v>45673.0</v>
      </c>
      <c r="B53" s="156" t="s">
        <v>18</v>
      </c>
      <c r="C53" s="89">
        <v>124641.0</v>
      </c>
      <c r="D53" s="89">
        <v>124957.0</v>
      </c>
      <c r="E53" s="12">
        <f t="shared" si="49"/>
        <v>316</v>
      </c>
      <c r="F53" s="157">
        <v>44.0</v>
      </c>
      <c r="G53" s="14">
        <f t="shared" si="50"/>
        <v>13.92405063</v>
      </c>
      <c r="H53" s="89">
        <v>11604.0</v>
      </c>
      <c r="I53" s="137">
        <v>11852.0</v>
      </c>
      <c r="J53" s="89">
        <f t="shared" si="51"/>
        <v>248</v>
      </c>
      <c r="K53" s="89">
        <f t="shared" si="52"/>
        <v>44</v>
      </c>
      <c r="L53" s="152">
        <f t="shared" si="53"/>
        <v>17.74193548</v>
      </c>
      <c r="M53" s="126">
        <v>19780.0</v>
      </c>
      <c r="N53" s="372">
        <f t="shared" si="54"/>
        <v>870320</v>
      </c>
    </row>
    <row r="54">
      <c r="A54" s="154">
        <v>45677.0</v>
      </c>
      <c r="B54" s="156" t="s">
        <v>18</v>
      </c>
      <c r="C54" s="89">
        <v>124957.0</v>
      </c>
      <c r="D54" s="89">
        <v>125232.0</v>
      </c>
      <c r="E54" s="12">
        <f t="shared" si="49"/>
        <v>275</v>
      </c>
      <c r="F54" s="157">
        <v>38.0</v>
      </c>
      <c r="G54" s="14">
        <f t="shared" si="50"/>
        <v>13.81818182</v>
      </c>
      <c r="H54" s="89">
        <v>11852.0</v>
      </c>
      <c r="I54" s="137"/>
      <c r="J54" s="89">
        <f t="shared" si="51"/>
        <v>-11852</v>
      </c>
      <c r="K54" s="89">
        <f t="shared" si="52"/>
        <v>38</v>
      </c>
      <c r="L54" s="152">
        <f t="shared" si="53"/>
        <v>-0.3206209922</v>
      </c>
      <c r="M54" s="126">
        <v>19780.0</v>
      </c>
      <c r="N54" s="372">
        <f t="shared" si="54"/>
        <v>751640</v>
      </c>
    </row>
    <row r="55">
      <c r="A55" s="154">
        <v>45680.0</v>
      </c>
      <c r="B55" s="156" t="s">
        <v>18</v>
      </c>
      <c r="C55" s="89">
        <v>125232.0</v>
      </c>
      <c r="D55" s="89">
        <v>125570.0</v>
      </c>
      <c r="E55" s="12">
        <f t="shared" si="49"/>
        <v>338</v>
      </c>
      <c r="F55" s="157">
        <v>40.0</v>
      </c>
      <c r="G55" s="14">
        <f t="shared" si="50"/>
        <v>11.83431953</v>
      </c>
      <c r="H55" s="89"/>
      <c r="I55" s="137"/>
      <c r="J55" s="89">
        <f t="shared" si="51"/>
        <v>0</v>
      </c>
      <c r="K55" s="89">
        <f t="shared" si="52"/>
        <v>40</v>
      </c>
      <c r="L55" s="152" t="str">
        <f t="shared" si="53"/>
        <v>#DIV/0!</v>
      </c>
      <c r="M55" s="311">
        <v>20190.0</v>
      </c>
      <c r="N55" s="348">
        <f t="shared" si="54"/>
        <v>807600</v>
      </c>
    </row>
    <row r="56">
      <c r="A56" s="312"/>
      <c r="B56" s="156" t="s">
        <v>18</v>
      </c>
      <c r="C56" s="89"/>
      <c r="D56" s="89"/>
      <c r="E56" s="53">
        <f t="shared" si="49"/>
        <v>0</v>
      </c>
      <c r="F56" s="157"/>
      <c r="G56" s="14" t="str">
        <f t="shared" si="50"/>
        <v>#DIV/0!</v>
      </c>
      <c r="H56" s="89"/>
      <c r="I56" s="137"/>
      <c r="J56" s="89">
        <f t="shared" si="51"/>
        <v>0</v>
      </c>
      <c r="K56" s="89" t="str">
        <f t="shared" si="52"/>
        <v/>
      </c>
      <c r="L56" s="152" t="str">
        <f t="shared" si="53"/>
        <v>#DIV/0!</v>
      </c>
      <c r="M56" s="126"/>
      <c r="N56" s="367">
        <f t="shared" si="54"/>
        <v>0</v>
      </c>
    </row>
    <row r="57">
      <c r="A57" s="316"/>
      <c r="B57" s="99" t="s">
        <v>18</v>
      </c>
      <c r="C57" s="149"/>
      <c r="D57" s="149"/>
      <c r="E57" s="25">
        <f t="shared" si="49"/>
        <v>0</v>
      </c>
      <c r="F57" s="161"/>
      <c r="G57" s="56" t="str">
        <f t="shared" si="50"/>
        <v>#DIV/0!</v>
      </c>
      <c r="H57" s="149"/>
      <c r="I57" s="151"/>
      <c r="J57" s="149">
        <f t="shared" si="51"/>
        <v>0</v>
      </c>
      <c r="K57" s="149" t="str">
        <f t="shared" si="52"/>
        <v/>
      </c>
      <c r="L57" s="152" t="str">
        <f t="shared" si="53"/>
        <v>#DIV/0!</v>
      </c>
      <c r="M57" s="153"/>
      <c r="N57" s="380">
        <f t="shared" si="54"/>
        <v>0</v>
      </c>
    </row>
    <row r="58">
      <c r="A58" s="62"/>
      <c r="B58" s="63"/>
      <c r="C58" s="62"/>
      <c r="D58" s="64" t="s">
        <v>19</v>
      </c>
      <c r="E58" s="64">
        <f t="shared" ref="E58:F58" si="55">sum(E51:E57)</f>
        <v>1522</v>
      </c>
      <c r="F58" s="64">
        <f t="shared" si="55"/>
        <v>192</v>
      </c>
      <c r="G58" s="65" t="str">
        <f>average(G51:G57)</f>
        <v>#DIV/0!</v>
      </c>
      <c r="H58" s="62"/>
      <c r="I58" s="66"/>
      <c r="J58" s="64">
        <f t="shared" ref="J58:K58" si="56">sum(J51:J57)</f>
        <v>-10879</v>
      </c>
      <c r="K58" s="64">
        <f t="shared" si="56"/>
        <v>192</v>
      </c>
      <c r="L58" s="65" t="str">
        <f>average(L51:L57)</f>
        <v>#DIV/0!</v>
      </c>
      <c r="M58" s="68"/>
      <c r="N58" s="368">
        <f>sum(N51:N57)</f>
        <v>3756270</v>
      </c>
    </row>
    <row r="59">
      <c r="A59" s="70">
        <v>45660.0</v>
      </c>
      <c r="B59" s="302" t="s">
        <v>20</v>
      </c>
      <c r="C59" s="89">
        <v>368013.0</v>
      </c>
      <c r="D59" s="41">
        <v>368743.0</v>
      </c>
      <c r="E59" s="38">
        <f t="shared" ref="E59:E65" si="57">D59-C59</f>
        <v>730</v>
      </c>
      <c r="F59" s="39">
        <v>87.0</v>
      </c>
      <c r="G59" s="14">
        <f t="shared" ref="G59:G65" si="58">(F59/E59)*100</f>
        <v>11.91780822</v>
      </c>
      <c r="H59" s="137">
        <v>11333.0</v>
      </c>
      <c r="I59" s="138">
        <v>12044.0</v>
      </c>
      <c r="J59" s="41">
        <f t="shared" ref="J59:J65" si="59">I59-H59</f>
        <v>711</v>
      </c>
      <c r="K59" s="41">
        <f>F59</f>
        <v>87</v>
      </c>
      <c r="L59" s="152">
        <f t="shared" ref="L59:L65" si="60">(K59/J59)*100</f>
        <v>12.23628692</v>
      </c>
      <c r="M59" s="72">
        <v>18750.0</v>
      </c>
      <c r="N59" s="366">
        <f t="shared" ref="N59:N65" si="61">F59*M59</f>
        <v>1631250</v>
      </c>
    </row>
    <row r="60">
      <c r="A60" s="154">
        <v>45668.0</v>
      </c>
      <c r="B60" s="156" t="s">
        <v>20</v>
      </c>
      <c r="C60" s="89">
        <v>368743.0</v>
      </c>
      <c r="D60" s="89">
        <v>369428.0</v>
      </c>
      <c r="E60" s="12">
        <f t="shared" si="57"/>
        <v>685</v>
      </c>
      <c r="F60" s="157">
        <v>75.0</v>
      </c>
      <c r="G60" s="14">
        <f t="shared" si="58"/>
        <v>10.94890511</v>
      </c>
      <c r="H60" s="89">
        <v>12044.0</v>
      </c>
      <c r="I60" s="137">
        <v>12830.0</v>
      </c>
      <c r="J60" s="89">
        <f t="shared" si="59"/>
        <v>786</v>
      </c>
      <c r="K60" s="268">
        <v>75.0</v>
      </c>
      <c r="L60" s="152">
        <f t="shared" si="60"/>
        <v>9.541984733</v>
      </c>
      <c r="M60" s="126">
        <v>19240.0</v>
      </c>
      <c r="N60" s="348">
        <f t="shared" si="61"/>
        <v>1443000</v>
      </c>
    </row>
    <row r="61">
      <c r="A61" s="154">
        <v>45675.0</v>
      </c>
      <c r="B61" s="156" t="s">
        <v>20</v>
      </c>
      <c r="C61" s="89">
        <v>369428.0</v>
      </c>
      <c r="D61" s="89">
        <v>370199.0</v>
      </c>
      <c r="E61" s="12">
        <f t="shared" si="57"/>
        <v>771</v>
      </c>
      <c r="F61" s="157">
        <v>95.0</v>
      </c>
      <c r="G61" s="14">
        <f t="shared" si="58"/>
        <v>12.32166018</v>
      </c>
      <c r="H61" s="89">
        <v>12830.0</v>
      </c>
      <c r="I61" s="137"/>
      <c r="J61" s="89">
        <f t="shared" si="59"/>
        <v>-12830</v>
      </c>
      <c r="K61" s="89">
        <f t="shared" ref="K61:K65" si="62">F61</f>
        <v>95</v>
      </c>
      <c r="L61" s="152">
        <f t="shared" si="60"/>
        <v>-0.7404520655</v>
      </c>
      <c r="M61" s="126">
        <v>19780.0</v>
      </c>
      <c r="N61" s="372">
        <f t="shared" si="61"/>
        <v>1879100</v>
      </c>
    </row>
    <row r="62">
      <c r="A62" s="154"/>
      <c r="B62" s="156" t="s">
        <v>20</v>
      </c>
      <c r="C62" s="89"/>
      <c r="D62" s="89"/>
      <c r="E62" s="12">
        <f t="shared" si="57"/>
        <v>0</v>
      </c>
      <c r="F62" s="157"/>
      <c r="G62" s="14" t="str">
        <f t="shared" si="58"/>
        <v>#DIV/0!</v>
      </c>
      <c r="H62" s="89"/>
      <c r="I62" s="137"/>
      <c r="J62" s="89">
        <f t="shared" si="59"/>
        <v>0</v>
      </c>
      <c r="K62" s="89" t="str">
        <f t="shared" si="62"/>
        <v/>
      </c>
      <c r="L62" s="152" t="str">
        <f t="shared" si="60"/>
        <v>#DIV/0!</v>
      </c>
      <c r="M62" s="126"/>
      <c r="N62" s="367">
        <f t="shared" si="61"/>
        <v>0</v>
      </c>
    </row>
    <row r="63">
      <c r="A63" s="154"/>
      <c r="B63" s="156" t="s">
        <v>20</v>
      </c>
      <c r="C63" s="89"/>
      <c r="D63" s="89"/>
      <c r="E63" s="12">
        <f t="shared" si="57"/>
        <v>0</v>
      </c>
      <c r="F63" s="157"/>
      <c r="G63" s="14" t="str">
        <f t="shared" si="58"/>
        <v>#DIV/0!</v>
      </c>
      <c r="H63" s="89"/>
      <c r="I63" s="137"/>
      <c r="J63" s="89">
        <f t="shared" si="59"/>
        <v>0</v>
      </c>
      <c r="K63" s="89" t="str">
        <f t="shared" si="62"/>
        <v/>
      </c>
      <c r="L63" s="152" t="str">
        <f t="shared" si="60"/>
        <v>#DIV/0!</v>
      </c>
      <c r="M63" s="126"/>
      <c r="N63" s="367">
        <f t="shared" si="61"/>
        <v>0</v>
      </c>
    </row>
    <row r="64">
      <c r="A64" s="320"/>
      <c r="B64" s="99" t="s">
        <v>20</v>
      </c>
      <c r="C64" s="89"/>
      <c r="D64" s="158"/>
      <c r="E64" s="12">
        <f t="shared" si="57"/>
        <v>0</v>
      </c>
      <c r="F64" s="321"/>
      <c r="G64" s="14" t="str">
        <f t="shared" si="58"/>
        <v>#DIV/0!</v>
      </c>
      <c r="H64" s="89"/>
      <c r="I64" s="159"/>
      <c r="J64" s="89">
        <f t="shared" si="59"/>
        <v>0</v>
      </c>
      <c r="K64" s="89" t="str">
        <f t="shared" si="62"/>
        <v/>
      </c>
      <c r="L64" s="152" t="str">
        <f t="shared" si="60"/>
        <v>#DIV/0!</v>
      </c>
      <c r="M64" s="322"/>
      <c r="N64" s="367">
        <f t="shared" si="61"/>
        <v>0</v>
      </c>
    </row>
    <row r="65">
      <c r="A65" s="305"/>
      <c r="B65" s="323"/>
      <c r="C65" s="149"/>
      <c r="D65" s="150"/>
      <c r="E65" s="25">
        <f t="shared" si="57"/>
        <v>0</v>
      </c>
      <c r="F65" s="307"/>
      <c r="G65" s="56" t="str">
        <f t="shared" si="58"/>
        <v>#DIV/0!</v>
      </c>
      <c r="H65" s="149"/>
      <c r="I65" s="151"/>
      <c r="J65" s="149">
        <f t="shared" si="59"/>
        <v>0</v>
      </c>
      <c r="K65" s="149" t="str">
        <f t="shared" si="62"/>
        <v/>
      </c>
      <c r="L65" s="152" t="str">
        <f t="shared" si="60"/>
        <v>#DIV/0!</v>
      </c>
      <c r="M65" s="308"/>
      <c r="N65" s="380">
        <f t="shared" si="61"/>
        <v>0</v>
      </c>
    </row>
    <row r="66">
      <c r="A66" s="62"/>
      <c r="B66" s="63"/>
      <c r="C66" s="62"/>
      <c r="D66" s="64" t="s">
        <v>19</v>
      </c>
      <c r="E66" s="64">
        <f t="shared" ref="E66:F66" si="63">sum(E59:E65)</f>
        <v>2186</v>
      </c>
      <c r="F66" s="64">
        <f t="shared" si="63"/>
        <v>257</v>
      </c>
      <c r="G66" s="65" t="str">
        <f>average(G59:G65)</f>
        <v>#DIV/0!</v>
      </c>
      <c r="H66" s="62"/>
      <c r="I66" s="66"/>
      <c r="J66" s="64">
        <f t="shared" ref="J66:K66" si="64">sum(J59:J65)</f>
        <v>-11333</v>
      </c>
      <c r="K66" s="64">
        <f t="shared" si="64"/>
        <v>257</v>
      </c>
      <c r="L66" s="65" t="str">
        <f>average(L59:L65)</f>
        <v>#DIV/0!</v>
      </c>
      <c r="M66" s="68"/>
      <c r="N66" s="368">
        <f>sum(N59:N65)</f>
        <v>4953350</v>
      </c>
    </row>
    <row r="67">
      <c r="A67" s="70">
        <v>45659.0</v>
      </c>
      <c r="B67" s="302" t="s">
        <v>21</v>
      </c>
      <c r="C67" s="89">
        <v>349832.0</v>
      </c>
      <c r="D67" s="41">
        <v>350302.0</v>
      </c>
      <c r="E67" s="38">
        <f t="shared" ref="E67:E73" si="65">D67-C67</f>
        <v>470</v>
      </c>
      <c r="F67" s="39">
        <v>61.0</v>
      </c>
      <c r="G67" s="14">
        <f t="shared" ref="G67:G73" si="66">(F67/E67)*100</f>
        <v>12.9787234</v>
      </c>
      <c r="H67" s="137">
        <v>11110.0</v>
      </c>
      <c r="I67" s="137">
        <v>11295.0</v>
      </c>
      <c r="J67" s="41">
        <f t="shared" ref="J67:J73" si="67">I67-H67</f>
        <v>185</v>
      </c>
      <c r="K67" s="41">
        <f t="shared" ref="K67:K73" si="68">F67</f>
        <v>61</v>
      </c>
      <c r="L67" s="152">
        <f t="shared" ref="L67:L73" si="69">(K67/J67)*100</f>
        <v>32.97297297</v>
      </c>
      <c r="M67" s="72">
        <v>18630.0</v>
      </c>
      <c r="N67" s="366">
        <f t="shared" ref="N67:N73" si="70">F67*M67</f>
        <v>1136430</v>
      </c>
    </row>
    <row r="68">
      <c r="A68" s="154">
        <v>45665.0</v>
      </c>
      <c r="B68" s="156" t="s">
        <v>21</v>
      </c>
      <c r="C68" s="89">
        <v>350302.0</v>
      </c>
      <c r="D68" s="89">
        <v>350733.0</v>
      </c>
      <c r="E68" s="12">
        <f t="shared" si="65"/>
        <v>431</v>
      </c>
      <c r="F68" s="157">
        <v>65.0</v>
      </c>
      <c r="G68" s="14">
        <f t="shared" si="66"/>
        <v>15.0812065</v>
      </c>
      <c r="H68" s="89">
        <v>11295.0</v>
      </c>
      <c r="I68" s="137">
        <v>11856.0</v>
      </c>
      <c r="J68" s="89">
        <f t="shared" si="67"/>
        <v>561</v>
      </c>
      <c r="K68" s="89">
        <f t="shared" si="68"/>
        <v>65</v>
      </c>
      <c r="L68" s="152">
        <f t="shared" si="69"/>
        <v>11.58645276</v>
      </c>
      <c r="M68" s="126">
        <v>18750.0</v>
      </c>
      <c r="N68" s="372">
        <f t="shared" si="70"/>
        <v>1218750</v>
      </c>
    </row>
    <row r="69">
      <c r="A69" s="154">
        <v>45668.0</v>
      </c>
      <c r="B69" s="156" t="s">
        <v>21</v>
      </c>
      <c r="C69" s="89">
        <v>350733.0</v>
      </c>
      <c r="D69" s="89">
        <v>351214.0</v>
      </c>
      <c r="E69" s="12">
        <f t="shared" si="65"/>
        <v>481</v>
      </c>
      <c r="F69" s="157">
        <v>65.0</v>
      </c>
      <c r="G69" s="14">
        <f t="shared" si="66"/>
        <v>13.51351351</v>
      </c>
      <c r="H69" s="89">
        <v>11856.0</v>
      </c>
      <c r="I69" s="137">
        <v>12303.0</v>
      </c>
      <c r="J69" s="89">
        <f t="shared" si="67"/>
        <v>447</v>
      </c>
      <c r="K69" s="89">
        <f t="shared" si="68"/>
        <v>65</v>
      </c>
      <c r="L69" s="152">
        <f t="shared" si="69"/>
        <v>14.54138702</v>
      </c>
      <c r="M69" s="126">
        <v>19240.0</v>
      </c>
      <c r="N69" s="372">
        <f t="shared" si="70"/>
        <v>1250600</v>
      </c>
    </row>
    <row r="70">
      <c r="A70" s="324">
        <v>45673.0</v>
      </c>
      <c r="B70" s="156" t="s">
        <v>21</v>
      </c>
      <c r="C70" s="89">
        <v>351214.0</v>
      </c>
      <c r="D70" s="89">
        <v>351635.0</v>
      </c>
      <c r="E70" s="12">
        <f t="shared" si="65"/>
        <v>421</v>
      </c>
      <c r="F70" s="157">
        <v>65.0</v>
      </c>
      <c r="G70" s="14">
        <f t="shared" si="66"/>
        <v>15.43942993</v>
      </c>
      <c r="H70" s="89">
        <v>12303.0</v>
      </c>
      <c r="I70" s="137">
        <v>12753.0</v>
      </c>
      <c r="J70" s="89">
        <f t="shared" si="67"/>
        <v>450</v>
      </c>
      <c r="K70" s="89">
        <f t="shared" si="68"/>
        <v>65</v>
      </c>
      <c r="L70" s="152">
        <f t="shared" si="69"/>
        <v>14.44444444</v>
      </c>
      <c r="M70" s="126">
        <v>19240.0</v>
      </c>
      <c r="N70" s="372">
        <f t="shared" si="70"/>
        <v>1250600</v>
      </c>
    </row>
    <row r="71">
      <c r="A71" s="154">
        <v>45677.0</v>
      </c>
      <c r="B71" s="156" t="s">
        <v>21</v>
      </c>
      <c r="C71" s="89">
        <v>351635.0</v>
      </c>
      <c r="D71" s="89">
        <v>352133.0</v>
      </c>
      <c r="E71" s="12">
        <f t="shared" si="65"/>
        <v>498</v>
      </c>
      <c r="F71" s="157">
        <v>77.0</v>
      </c>
      <c r="G71" s="14">
        <f t="shared" si="66"/>
        <v>15.46184739</v>
      </c>
      <c r="H71" s="89">
        <v>12753.0</v>
      </c>
      <c r="I71" s="137"/>
      <c r="J71" s="89">
        <f t="shared" si="67"/>
        <v>-12753</v>
      </c>
      <c r="K71" s="89">
        <f t="shared" si="68"/>
        <v>77</v>
      </c>
      <c r="L71" s="152">
        <f t="shared" si="69"/>
        <v>-0.6037795029</v>
      </c>
      <c r="M71" s="126">
        <v>19780.0</v>
      </c>
      <c r="N71" s="372">
        <f t="shared" si="70"/>
        <v>1523060</v>
      </c>
    </row>
    <row r="72">
      <c r="A72" s="155">
        <v>45682.0</v>
      </c>
      <c r="B72" s="99" t="s">
        <v>37</v>
      </c>
      <c r="C72" s="89">
        <v>352133.0</v>
      </c>
      <c r="D72" s="89">
        <v>352649.0</v>
      </c>
      <c r="E72" s="12">
        <f t="shared" si="65"/>
        <v>516</v>
      </c>
      <c r="F72" s="157">
        <v>70.0</v>
      </c>
      <c r="G72" s="14">
        <f t="shared" si="66"/>
        <v>13.56589147</v>
      </c>
      <c r="H72" s="89"/>
      <c r="I72" s="159"/>
      <c r="J72" s="89">
        <f t="shared" si="67"/>
        <v>0</v>
      </c>
      <c r="K72" s="89">
        <f t="shared" si="68"/>
        <v>70</v>
      </c>
      <c r="L72" s="152" t="str">
        <f t="shared" si="69"/>
        <v>#DIV/0!</v>
      </c>
      <c r="M72" s="126">
        <v>20190.0</v>
      </c>
      <c r="N72" s="372">
        <f t="shared" si="70"/>
        <v>1413300</v>
      </c>
    </row>
    <row r="73">
      <c r="A73" s="305"/>
      <c r="B73" s="323"/>
      <c r="C73" s="149"/>
      <c r="D73" s="150"/>
      <c r="E73" s="25">
        <f t="shared" si="65"/>
        <v>0</v>
      </c>
      <c r="F73" s="307"/>
      <c r="G73" s="56" t="str">
        <f t="shared" si="66"/>
        <v>#DIV/0!</v>
      </c>
      <c r="H73" s="149">
        <v>1.0</v>
      </c>
      <c r="I73" s="151"/>
      <c r="J73" s="149">
        <f t="shared" si="67"/>
        <v>-1</v>
      </c>
      <c r="K73" s="149" t="str">
        <f t="shared" si="68"/>
        <v/>
      </c>
      <c r="L73" s="152">
        <f t="shared" si="69"/>
        <v>0</v>
      </c>
      <c r="M73" s="308"/>
      <c r="N73" s="380">
        <f t="shared" si="70"/>
        <v>0</v>
      </c>
    </row>
    <row r="74">
      <c r="A74" s="62"/>
      <c r="B74" s="63"/>
      <c r="C74" s="62"/>
      <c r="D74" s="64" t="s">
        <v>19</v>
      </c>
      <c r="E74" s="64">
        <f t="shared" ref="E74:F74" si="71">sum(E67:E73)</f>
        <v>2817</v>
      </c>
      <c r="F74" s="64">
        <f t="shared" si="71"/>
        <v>403</v>
      </c>
      <c r="G74" s="65" t="str">
        <f>average(G67:G73)</f>
        <v>#DIV/0!</v>
      </c>
      <c r="H74" s="62"/>
      <c r="I74" s="66"/>
      <c r="J74" s="64">
        <f t="shared" ref="J74:K74" si="72">sum(J67:J73)</f>
        <v>-11111</v>
      </c>
      <c r="K74" s="64">
        <f t="shared" si="72"/>
        <v>403</v>
      </c>
      <c r="L74" s="65" t="str">
        <f>average(L67:L73)</f>
        <v>#DIV/0!</v>
      </c>
      <c r="M74" s="68"/>
      <c r="N74" s="368">
        <f>sum(N67:N73)</f>
        <v>7792740</v>
      </c>
    </row>
    <row r="75">
      <c r="A75" s="70">
        <v>45664.0</v>
      </c>
      <c r="B75" s="314" t="s">
        <v>100</v>
      </c>
      <c r="C75" s="89">
        <v>184832.0</v>
      </c>
      <c r="D75" s="41">
        <v>185949.0</v>
      </c>
      <c r="E75" s="38">
        <f t="shared" ref="E75:E81" si="73">D75-C75</f>
        <v>1117</v>
      </c>
      <c r="F75" s="39">
        <v>72.0</v>
      </c>
      <c r="G75" s="14">
        <f t="shared" ref="G75:G81" si="74">(F75/E75)*100</f>
        <v>6.445837064</v>
      </c>
      <c r="H75" s="137">
        <v>14930.0</v>
      </c>
      <c r="I75" s="138">
        <v>15595.0</v>
      </c>
      <c r="J75" s="41">
        <f t="shared" ref="J75:J81" si="75">I75-H75</f>
        <v>665</v>
      </c>
      <c r="K75" s="41">
        <f t="shared" ref="K75:K81" si="76">F75</f>
        <v>72</v>
      </c>
      <c r="L75" s="152">
        <f t="shared" ref="L75:L81" si="77">(K75/J75)*100</f>
        <v>10.82706767</v>
      </c>
      <c r="M75" s="72">
        <v>18750.0</v>
      </c>
      <c r="N75" s="366">
        <f t="shared" ref="N75:N81" si="78">F75*M75</f>
        <v>1350000</v>
      </c>
    </row>
    <row r="76">
      <c r="A76" s="154">
        <v>45669.0</v>
      </c>
      <c r="B76" s="156" t="s">
        <v>100</v>
      </c>
      <c r="C76" s="89">
        <v>185949.0</v>
      </c>
      <c r="D76" s="89">
        <v>186477.0</v>
      </c>
      <c r="E76" s="12">
        <f t="shared" si="73"/>
        <v>528</v>
      </c>
      <c r="F76" s="157">
        <v>64.0</v>
      </c>
      <c r="G76" s="14">
        <f t="shared" si="74"/>
        <v>12.12121212</v>
      </c>
      <c r="H76" s="89">
        <v>15595.0</v>
      </c>
      <c r="I76" s="137">
        <v>16146.0</v>
      </c>
      <c r="J76" s="89">
        <f t="shared" si="75"/>
        <v>551</v>
      </c>
      <c r="K76" s="89">
        <f t="shared" si="76"/>
        <v>64</v>
      </c>
      <c r="L76" s="152">
        <f t="shared" si="77"/>
        <v>11.61524501</v>
      </c>
      <c r="M76" s="126">
        <v>19240.0</v>
      </c>
      <c r="N76" s="372">
        <f t="shared" si="78"/>
        <v>1231360</v>
      </c>
    </row>
    <row r="77">
      <c r="A77" s="154">
        <v>45674.0</v>
      </c>
      <c r="B77" s="156" t="s">
        <v>100</v>
      </c>
      <c r="C77" s="89">
        <v>186477.0</v>
      </c>
      <c r="D77" s="89">
        <v>186976.0</v>
      </c>
      <c r="E77" s="12">
        <f t="shared" si="73"/>
        <v>499</v>
      </c>
      <c r="F77" s="157">
        <v>62.0</v>
      </c>
      <c r="G77" s="14">
        <f t="shared" si="74"/>
        <v>12.4248497</v>
      </c>
      <c r="H77" s="89">
        <v>16146.0</v>
      </c>
      <c r="I77" s="137">
        <v>16566.0</v>
      </c>
      <c r="J77" s="89">
        <f t="shared" si="75"/>
        <v>420</v>
      </c>
      <c r="K77" s="89">
        <f t="shared" si="76"/>
        <v>62</v>
      </c>
      <c r="L77" s="152">
        <f t="shared" si="77"/>
        <v>14.76190476</v>
      </c>
      <c r="M77" s="126">
        <v>19780.0</v>
      </c>
      <c r="N77" s="372">
        <f t="shared" si="78"/>
        <v>1226360</v>
      </c>
    </row>
    <row r="78">
      <c r="A78" s="154">
        <v>45679.0</v>
      </c>
      <c r="B78" s="156" t="s">
        <v>100</v>
      </c>
      <c r="C78" s="89">
        <v>186976.0</v>
      </c>
      <c r="D78" s="89">
        <v>187521.0</v>
      </c>
      <c r="E78" s="12">
        <f t="shared" si="73"/>
        <v>545</v>
      </c>
      <c r="F78" s="157">
        <v>67.0</v>
      </c>
      <c r="G78" s="14">
        <f t="shared" si="74"/>
        <v>12.29357798</v>
      </c>
      <c r="H78" s="89">
        <v>16566.0</v>
      </c>
      <c r="I78" s="137"/>
      <c r="J78" s="89">
        <f t="shared" si="75"/>
        <v>-16566</v>
      </c>
      <c r="K78" s="89">
        <f t="shared" si="76"/>
        <v>67</v>
      </c>
      <c r="L78" s="152">
        <f t="shared" si="77"/>
        <v>-0.4044428347</v>
      </c>
      <c r="M78" s="126">
        <v>19780.0</v>
      </c>
      <c r="N78" s="372">
        <f t="shared" si="78"/>
        <v>1325260</v>
      </c>
    </row>
    <row r="79">
      <c r="A79" s="154"/>
      <c r="B79" s="156" t="s">
        <v>100</v>
      </c>
      <c r="C79" s="89"/>
      <c r="D79" s="89"/>
      <c r="E79" s="12">
        <f t="shared" si="73"/>
        <v>0</v>
      </c>
      <c r="F79" s="157"/>
      <c r="G79" s="14" t="str">
        <f t="shared" si="74"/>
        <v>#DIV/0!</v>
      </c>
      <c r="H79" s="89"/>
      <c r="I79" s="137"/>
      <c r="J79" s="89">
        <f t="shared" si="75"/>
        <v>0</v>
      </c>
      <c r="K79" s="89" t="str">
        <f t="shared" si="76"/>
        <v/>
      </c>
      <c r="L79" s="152" t="str">
        <f t="shared" si="77"/>
        <v>#DIV/0!</v>
      </c>
      <c r="M79" s="126"/>
      <c r="N79" s="367">
        <f t="shared" si="78"/>
        <v>0</v>
      </c>
    </row>
    <row r="80">
      <c r="A80" s="320"/>
      <c r="B80" s="156" t="s">
        <v>100</v>
      </c>
      <c r="C80" s="89"/>
      <c r="D80" s="158"/>
      <c r="E80" s="12">
        <f t="shared" si="73"/>
        <v>0</v>
      </c>
      <c r="F80" s="321"/>
      <c r="G80" s="14" t="str">
        <f t="shared" si="74"/>
        <v>#DIV/0!</v>
      </c>
      <c r="H80" s="89"/>
      <c r="I80" s="159"/>
      <c r="J80" s="89">
        <f t="shared" si="75"/>
        <v>0</v>
      </c>
      <c r="K80" s="89" t="str">
        <f t="shared" si="76"/>
        <v/>
      </c>
      <c r="L80" s="152" t="str">
        <f t="shared" si="77"/>
        <v>#DIV/0!</v>
      </c>
      <c r="M80" s="322"/>
      <c r="N80" s="367">
        <f t="shared" si="78"/>
        <v>0</v>
      </c>
    </row>
    <row r="81">
      <c r="A81" s="305"/>
      <c r="B81" s="306"/>
      <c r="C81" s="149"/>
      <c r="D81" s="150"/>
      <c r="E81" s="25">
        <f t="shared" si="73"/>
        <v>0</v>
      </c>
      <c r="F81" s="307"/>
      <c r="G81" s="56" t="str">
        <f t="shared" si="74"/>
        <v>#DIV/0!</v>
      </c>
      <c r="H81" s="149">
        <v>1.0</v>
      </c>
      <c r="I81" s="151"/>
      <c r="J81" s="149">
        <f t="shared" si="75"/>
        <v>-1</v>
      </c>
      <c r="K81" s="149" t="str">
        <f t="shared" si="76"/>
        <v/>
      </c>
      <c r="L81" s="152">
        <f t="shared" si="77"/>
        <v>0</v>
      </c>
      <c r="M81" s="308"/>
      <c r="N81" s="380">
        <f t="shared" si="78"/>
        <v>0</v>
      </c>
    </row>
    <row r="82">
      <c r="A82" s="62"/>
      <c r="B82" s="63"/>
      <c r="C82" s="62"/>
      <c r="D82" s="64" t="s">
        <v>19</v>
      </c>
      <c r="E82" s="64">
        <f t="shared" ref="E82:F82" si="79">sum(E75:E81)</f>
        <v>2689</v>
      </c>
      <c r="F82" s="64">
        <f t="shared" si="79"/>
        <v>265</v>
      </c>
      <c r="G82" s="65" t="str">
        <f>average(G75:G81)</f>
        <v>#DIV/0!</v>
      </c>
      <c r="H82" s="62"/>
      <c r="I82" s="66"/>
      <c r="J82" s="64">
        <f t="shared" ref="J82:K82" si="80">sum(J75:J81)</f>
        <v>-14931</v>
      </c>
      <c r="K82" s="64">
        <f t="shared" si="80"/>
        <v>265</v>
      </c>
      <c r="L82" s="65" t="str">
        <f>average(L75:L81)</f>
        <v>#DIV/0!</v>
      </c>
      <c r="M82" s="68"/>
      <c r="N82" s="368">
        <f>sum(N75:N81)</f>
        <v>5132980</v>
      </c>
    </row>
    <row r="83">
      <c r="A83" s="70">
        <v>45663.0</v>
      </c>
      <c r="B83" s="302" t="s">
        <v>38</v>
      </c>
      <c r="C83" s="89">
        <v>136948.0</v>
      </c>
      <c r="D83" s="41">
        <v>138188.0</v>
      </c>
      <c r="E83" s="38">
        <f t="shared" ref="E83:E88" si="81">D83-C83</f>
        <v>1240</v>
      </c>
      <c r="F83" s="39">
        <v>78.0</v>
      </c>
      <c r="G83" s="14">
        <f t="shared" ref="G83:G88" si="82">(F83/E83)*100</f>
        <v>6.290322581</v>
      </c>
      <c r="H83" s="137">
        <v>10841.0</v>
      </c>
      <c r="I83" s="138"/>
      <c r="J83" s="41">
        <f t="shared" ref="J83:J85" si="83">I83-H83</f>
        <v>-10841</v>
      </c>
      <c r="K83" s="41">
        <f t="shared" ref="K83:K88" si="84">F83</f>
        <v>78</v>
      </c>
      <c r="L83" s="152">
        <f t="shared" ref="L83:L88" si="85">(K83/J83)*100</f>
        <v>-0.7194908219</v>
      </c>
      <c r="M83" s="72">
        <v>18750.0</v>
      </c>
      <c r="N83" s="366">
        <f t="shared" ref="N83:N88" si="86">F83*M83</f>
        <v>1462500</v>
      </c>
    </row>
    <row r="84">
      <c r="A84" s="272" t="s">
        <v>113</v>
      </c>
      <c r="B84" s="156" t="s">
        <v>38</v>
      </c>
      <c r="C84" s="89">
        <v>138188.0</v>
      </c>
      <c r="D84" s="89">
        <v>138778.0</v>
      </c>
      <c r="E84" s="38">
        <f t="shared" si="81"/>
        <v>590</v>
      </c>
      <c r="F84" s="157">
        <v>75.0</v>
      </c>
      <c r="G84" s="14">
        <f t="shared" si="82"/>
        <v>12.71186441</v>
      </c>
      <c r="H84" s="89"/>
      <c r="I84" s="137"/>
      <c r="J84" s="89">
        <f t="shared" si="83"/>
        <v>0</v>
      </c>
      <c r="K84" s="89">
        <f t="shared" si="84"/>
        <v>75</v>
      </c>
      <c r="L84" s="152" t="str">
        <f t="shared" si="85"/>
        <v>#DIV/0!</v>
      </c>
      <c r="M84" s="126">
        <v>19240.0</v>
      </c>
      <c r="N84" s="366">
        <f t="shared" si="86"/>
        <v>1443000</v>
      </c>
    </row>
    <row r="85">
      <c r="A85" s="154">
        <v>45678.0</v>
      </c>
      <c r="B85" s="156" t="s">
        <v>38</v>
      </c>
      <c r="C85" s="89">
        <v>138788.0</v>
      </c>
      <c r="D85" s="89">
        <v>139409.0</v>
      </c>
      <c r="E85" s="38">
        <f t="shared" si="81"/>
        <v>621</v>
      </c>
      <c r="F85" s="157">
        <v>80.0</v>
      </c>
      <c r="G85" s="14">
        <f t="shared" si="82"/>
        <v>12.88244767</v>
      </c>
      <c r="H85" s="89"/>
      <c r="I85" s="137"/>
      <c r="J85" s="89">
        <f t="shared" si="83"/>
        <v>0</v>
      </c>
      <c r="K85" s="89">
        <f t="shared" si="84"/>
        <v>80</v>
      </c>
      <c r="L85" s="152" t="str">
        <f t="shared" si="85"/>
        <v>#DIV/0!</v>
      </c>
      <c r="M85" s="126">
        <v>19780.0</v>
      </c>
      <c r="N85" s="366">
        <f t="shared" si="86"/>
        <v>1582400</v>
      </c>
    </row>
    <row r="86">
      <c r="A86" s="154"/>
      <c r="B86" s="156"/>
      <c r="C86" s="89"/>
      <c r="D86" s="89"/>
      <c r="E86" s="38">
        <f t="shared" si="81"/>
        <v>0</v>
      </c>
      <c r="F86" s="157"/>
      <c r="G86" s="14" t="str">
        <f t="shared" si="82"/>
        <v>#DIV/0!</v>
      </c>
      <c r="H86" s="89"/>
      <c r="I86" s="137"/>
      <c r="J86" s="89"/>
      <c r="K86" s="89" t="str">
        <f t="shared" si="84"/>
        <v/>
      </c>
      <c r="L86" s="152" t="str">
        <f t="shared" si="85"/>
        <v>#DIV/0!</v>
      </c>
      <c r="M86" s="126"/>
      <c r="N86" s="385">
        <f t="shared" si="86"/>
        <v>0</v>
      </c>
    </row>
    <row r="87">
      <c r="A87" s="154"/>
      <c r="B87" s="156"/>
      <c r="C87" s="89"/>
      <c r="D87" s="89"/>
      <c r="E87" s="38">
        <f t="shared" si="81"/>
        <v>0</v>
      </c>
      <c r="F87" s="157"/>
      <c r="G87" s="14" t="str">
        <f t="shared" si="82"/>
        <v>#DIV/0!</v>
      </c>
      <c r="H87" s="89"/>
      <c r="I87" s="137"/>
      <c r="J87" s="89"/>
      <c r="K87" s="89" t="str">
        <f t="shared" si="84"/>
        <v/>
      </c>
      <c r="L87" s="152" t="str">
        <f t="shared" si="85"/>
        <v>#DIV/0!</v>
      </c>
      <c r="M87" s="126"/>
      <c r="N87" s="385">
        <f t="shared" si="86"/>
        <v>0</v>
      </c>
    </row>
    <row r="88">
      <c r="A88" s="154"/>
      <c r="B88" s="306"/>
      <c r="C88" s="89"/>
      <c r="D88" s="89"/>
      <c r="E88" s="38">
        <f t="shared" si="81"/>
        <v>0</v>
      </c>
      <c r="F88" s="157"/>
      <c r="G88" s="14" t="str">
        <f t="shared" si="82"/>
        <v>#DIV/0!</v>
      </c>
      <c r="H88" s="89"/>
      <c r="I88" s="137"/>
      <c r="J88" s="89"/>
      <c r="K88" s="89" t="str">
        <f t="shared" si="84"/>
        <v/>
      </c>
      <c r="L88" s="351" t="str">
        <f t="shared" si="85"/>
        <v>#DIV/0!</v>
      </c>
      <c r="M88" s="126"/>
      <c r="N88" s="385">
        <f t="shared" si="86"/>
        <v>0</v>
      </c>
    </row>
    <row r="89">
      <c r="A89" s="352"/>
      <c r="B89" s="375"/>
      <c r="C89" s="353"/>
      <c r="D89" s="354" t="s">
        <v>19</v>
      </c>
      <c r="E89" s="355">
        <f t="shared" ref="E89:F89" si="87">SUM(E83:E88)</f>
        <v>2451</v>
      </c>
      <c r="F89" s="355">
        <f t="shared" si="87"/>
        <v>233</v>
      </c>
      <c r="G89" s="356" t="str">
        <f>average(G83:G88)</f>
        <v>#DIV/0!</v>
      </c>
      <c r="H89" s="353"/>
      <c r="I89" s="357"/>
      <c r="J89" s="354">
        <f t="shared" ref="J89:K89" si="88">sum(J83:J88)</f>
        <v>-10841</v>
      </c>
      <c r="K89" s="354">
        <f t="shared" si="88"/>
        <v>233</v>
      </c>
      <c r="L89" s="358" t="str">
        <f>average(L83:L88)</f>
        <v>#DIV/0!</v>
      </c>
      <c r="M89" s="359"/>
      <c r="N89" s="383">
        <f>sum(N83:N88)</f>
        <v>4487900</v>
      </c>
    </row>
    <row r="90">
      <c r="A90" s="122">
        <v>45674.0</v>
      </c>
      <c r="B90" s="323" t="s">
        <v>39</v>
      </c>
      <c r="C90" s="89">
        <v>88403.0</v>
      </c>
      <c r="D90" s="89"/>
      <c r="E90" s="38">
        <f t="shared" ref="E90:E96" si="89">D90-C90</f>
        <v>-88403</v>
      </c>
      <c r="F90" s="157">
        <v>90.0</v>
      </c>
      <c r="G90" s="124">
        <f t="shared" ref="G90:G96" si="90">(F90/E90)*100</f>
        <v>-0.1018064998</v>
      </c>
      <c r="H90" s="89"/>
      <c r="I90" s="137"/>
      <c r="J90" s="89">
        <f t="shared" ref="J90:J96" si="91">I90-H90</f>
        <v>0</v>
      </c>
      <c r="K90" s="89">
        <f t="shared" ref="K90:K96" si="92">F90</f>
        <v>90</v>
      </c>
      <c r="L90" s="330" t="str">
        <f t="shared" ref="L90:L96" si="93">(K90/J90)*100</f>
        <v>#DIV/0!</v>
      </c>
      <c r="M90" s="126">
        <v>19780.0</v>
      </c>
      <c r="N90" s="386">
        <f t="shared" ref="N90:N96" si="94">F90*M90</f>
        <v>1780200</v>
      </c>
    </row>
    <row r="91">
      <c r="A91" s="8">
        <v>45682.0</v>
      </c>
      <c r="B91" s="323" t="s">
        <v>39</v>
      </c>
      <c r="C91" s="13">
        <v>88403.0</v>
      </c>
      <c r="D91" s="13">
        <v>89089.0</v>
      </c>
      <c r="E91" s="12">
        <f t="shared" si="89"/>
        <v>686</v>
      </c>
      <c r="F91" s="13">
        <v>78.0</v>
      </c>
      <c r="G91" s="14">
        <f t="shared" si="90"/>
        <v>11.37026239</v>
      </c>
      <c r="H91" s="13">
        <v>1194.0</v>
      </c>
      <c r="I91" s="16"/>
      <c r="J91" s="89">
        <f t="shared" si="91"/>
        <v>-1194</v>
      </c>
      <c r="K91" s="89">
        <f t="shared" si="92"/>
        <v>78</v>
      </c>
      <c r="L91" s="330">
        <f t="shared" si="93"/>
        <v>-6.532663317</v>
      </c>
      <c r="M91" s="18">
        <v>20190.0</v>
      </c>
      <c r="N91" s="387">
        <f t="shared" si="94"/>
        <v>1574820</v>
      </c>
      <c r="S91" s="257"/>
      <c r="T91" s="257"/>
      <c r="U91" s="257"/>
      <c r="V91" s="257"/>
      <c r="W91" s="257"/>
      <c r="X91" s="257"/>
      <c r="Y91" s="257"/>
      <c r="Z91" s="257"/>
    </row>
    <row r="92">
      <c r="A92" s="154"/>
      <c r="B92" s="162"/>
      <c r="C92" s="89"/>
      <c r="D92" s="89"/>
      <c r="E92" s="12">
        <f t="shared" si="89"/>
        <v>0</v>
      </c>
      <c r="F92" s="157"/>
      <c r="G92" s="14" t="str">
        <f t="shared" si="90"/>
        <v>#DIV/0!</v>
      </c>
      <c r="H92" s="89"/>
      <c r="I92" s="137"/>
      <c r="J92" s="89">
        <f t="shared" si="91"/>
        <v>0</v>
      </c>
      <c r="K92" s="89" t="str">
        <f t="shared" si="92"/>
        <v/>
      </c>
      <c r="L92" s="330" t="str">
        <f t="shared" si="93"/>
        <v>#DIV/0!</v>
      </c>
      <c r="M92" s="126"/>
      <c r="N92" s="388">
        <f t="shared" si="94"/>
        <v>0</v>
      </c>
    </row>
    <row r="93">
      <c r="A93" s="154"/>
      <c r="B93" s="156"/>
      <c r="C93" s="89"/>
      <c r="D93" s="89"/>
      <c r="E93" s="12">
        <f t="shared" si="89"/>
        <v>0</v>
      </c>
      <c r="F93" s="157"/>
      <c r="G93" s="14" t="str">
        <f t="shared" si="90"/>
        <v>#DIV/0!</v>
      </c>
      <c r="H93" s="89"/>
      <c r="I93" s="137"/>
      <c r="J93" s="89">
        <f t="shared" si="91"/>
        <v>0</v>
      </c>
      <c r="K93" s="89" t="str">
        <f t="shared" si="92"/>
        <v/>
      </c>
      <c r="L93" s="152" t="str">
        <f t="shared" si="93"/>
        <v>#DIV/0!</v>
      </c>
      <c r="M93" s="126"/>
      <c r="N93" s="367">
        <f t="shared" si="94"/>
        <v>0</v>
      </c>
    </row>
    <row r="94">
      <c r="A94" s="154"/>
      <c r="B94" s="156"/>
      <c r="C94" s="89"/>
      <c r="D94" s="89"/>
      <c r="E94" s="12">
        <f t="shared" si="89"/>
        <v>0</v>
      </c>
      <c r="F94" s="157"/>
      <c r="G94" s="14" t="str">
        <f t="shared" si="90"/>
        <v>#DIV/0!</v>
      </c>
      <c r="H94" s="89"/>
      <c r="I94" s="137"/>
      <c r="J94" s="89">
        <f t="shared" si="91"/>
        <v>0</v>
      </c>
      <c r="K94" s="89" t="str">
        <f t="shared" si="92"/>
        <v/>
      </c>
      <c r="L94" s="152" t="str">
        <f t="shared" si="93"/>
        <v>#DIV/0!</v>
      </c>
      <c r="M94" s="126"/>
      <c r="N94" s="367">
        <f t="shared" si="94"/>
        <v>0</v>
      </c>
    </row>
    <row r="95">
      <c r="A95" s="320"/>
      <c r="B95" s="99"/>
      <c r="C95" s="89"/>
      <c r="D95" s="158"/>
      <c r="E95" s="12">
        <f t="shared" si="89"/>
        <v>0</v>
      </c>
      <c r="F95" s="321"/>
      <c r="G95" s="14" t="str">
        <f t="shared" si="90"/>
        <v>#DIV/0!</v>
      </c>
      <c r="H95" s="89"/>
      <c r="I95" s="159"/>
      <c r="J95" s="89">
        <f t="shared" si="91"/>
        <v>0</v>
      </c>
      <c r="K95" s="89" t="str">
        <f t="shared" si="92"/>
        <v/>
      </c>
      <c r="L95" s="152" t="str">
        <f t="shared" si="93"/>
        <v>#DIV/0!</v>
      </c>
      <c r="M95" s="322"/>
      <c r="N95" s="367">
        <f t="shared" si="94"/>
        <v>0</v>
      </c>
    </row>
    <row r="96">
      <c r="A96" s="305"/>
      <c r="B96" s="323"/>
      <c r="C96" s="149"/>
      <c r="D96" s="150"/>
      <c r="E96" s="25">
        <f t="shared" si="89"/>
        <v>0</v>
      </c>
      <c r="F96" s="307"/>
      <c r="G96" s="56" t="str">
        <f t="shared" si="90"/>
        <v>#DIV/0!</v>
      </c>
      <c r="H96" s="149"/>
      <c r="I96" s="151"/>
      <c r="J96" s="149">
        <f t="shared" si="91"/>
        <v>0</v>
      </c>
      <c r="K96" s="149" t="str">
        <f t="shared" si="92"/>
        <v/>
      </c>
      <c r="L96" s="152" t="str">
        <f t="shared" si="93"/>
        <v>#DIV/0!</v>
      </c>
      <c r="M96" s="308"/>
      <c r="N96" s="380">
        <f t="shared" si="94"/>
        <v>0</v>
      </c>
    </row>
    <row r="97">
      <c r="A97" s="62"/>
      <c r="B97" s="63"/>
      <c r="C97" s="62"/>
      <c r="D97" s="64" t="s">
        <v>19</v>
      </c>
      <c r="E97" s="64">
        <f t="shared" ref="E97:F97" si="95">sum(E83:E96)</f>
        <v>-82815</v>
      </c>
      <c r="F97" s="64">
        <f t="shared" si="95"/>
        <v>634</v>
      </c>
      <c r="G97" s="65" t="str">
        <f>average(G83:G96)</f>
        <v>#DIV/0!</v>
      </c>
      <c r="H97" s="62"/>
      <c r="I97" s="66"/>
      <c r="J97" s="64">
        <f t="shared" ref="J97:K97" si="96">sum(J83:J96)</f>
        <v>-22876</v>
      </c>
      <c r="K97" s="64">
        <f t="shared" si="96"/>
        <v>634</v>
      </c>
      <c r="L97" s="65" t="str">
        <f>average(L83:L96)</f>
        <v>#DIV/0!</v>
      </c>
      <c r="M97" s="68"/>
      <c r="N97" s="368">
        <f>sum(N90:N96)</f>
        <v>3355020</v>
      </c>
    </row>
    <row r="98">
      <c r="A98" s="70">
        <v>45664.0</v>
      </c>
      <c r="B98" s="156" t="s">
        <v>40</v>
      </c>
      <c r="C98" s="89">
        <v>81877.0</v>
      </c>
      <c r="D98" s="13">
        <v>82464.0</v>
      </c>
      <c r="E98" s="38">
        <f t="shared" ref="E98:E104" si="97">D98-C98</f>
        <v>587</v>
      </c>
      <c r="F98" s="39">
        <v>65.0</v>
      </c>
      <c r="G98" s="14">
        <f t="shared" ref="G98:G104" si="98">(F98/E98)*100</f>
        <v>11.07325383</v>
      </c>
      <c r="H98" s="137">
        <v>81923.0</v>
      </c>
      <c r="I98" s="138">
        <v>82522.0</v>
      </c>
      <c r="J98" s="41">
        <f t="shared" ref="J98:J104" si="99">I98-H98</f>
        <v>599</v>
      </c>
      <c r="K98" s="41">
        <f t="shared" ref="K98:K104" si="100">F98</f>
        <v>65</v>
      </c>
      <c r="L98" s="152">
        <f t="shared" ref="L98:L104" si="101">(K98/J98)*100</f>
        <v>10.85141903</v>
      </c>
      <c r="M98" s="72">
        <v>18750.0</v>
      </c>
      <c r="N98" s="366">
        <f t="shared" ref="N98:N104" si="102">F98*M98</f>
        <v>1218750</v>
      </c>
    </row>
    <row r="99">
      <c r="A99" s="154">
        <v>45671.0</v>
      </c>
      <c r="B99" s="156" t="s">
        <v>40</v>
      </c>
      <c r="C99" s="89">
        <v>82464.0</v>
      </c>
      <c r="D99" s="89">
        <v>83174.0</v>
      </c>
      <c r="E99" s="12">
        <f t="shared" si="97"/>
        <v>710</v>
      </c>
      <c r="F99" s="157">
        <v>77.0</v>
      </c>
      <c r="G99" s="14">
        <f t="shared" si="98"/>
        <v>10.84507042</v>
      </c>
      <c r="H99" s="89">
        <v>82522.0</v>
      </c>
      <c r="I99" s="137">
        <v>83159.0</v>
      </c>
      <c r="J99" s="89">
        <f t="shared" si="99"/>
        <v>637</v>
      </c>
      <c r="K99" s="89">
        <f t="shared" si="100"/>
        <v>77</v>
      </c>
      <c r="L99" s="152">
        <f t="shared" si="101"/>
        <v>12.08791209</v>
      </c>
      <c r="M99" s="126">
        <v>19240.0</v>
      </c>
      <c r="N99" s="372">
        <f t="shared" si="102"/>
        <v>1481480</v>
      </c>
    </row>
    <row r="100">
      <c r="A100" s="154">
        <v>45675.0</v>
      </c>
      <c r="B100" s="156" t="s">
        <v>40</v>
      </c>
      <c r="C100" s="89">
        <v>83174.0</v>
      </c>
      <c r="D100" s="89">
        <v>83724.0</v>
      </c>
      <c r="E100" s="12">
        <f t="shared" si="97"/>
        <v>550</v>
      </c>
      <c r="F100" s="157">
        <v>63.0</v>
      </c>
      <c r="G100" s="14">
        <f t="shared" si="98"/>
        <v>11.45454545</v>
      </c>
      <c r="H100" s="89">
        <v>83159.0</v>
      </c>
      <c r="I100" s="137">
        <v>83826.0</v>
      </c>
      <c r="J100" s="89">
        <f t="shared" si="99"/>
        <v>667</v>
      </c>
      <c r="K100" s="89">
        <f t="shared" si="100"/>
        <v>63</v>
      </c>
      <c r="L100" s="152">
        <f t="shared" si="101"/>
        <v>9.445277361</v>
      </c>
      <c r="M100" s="126">
        <v>19780.0</v>
      </c>
      <c r="N100" s="372">
        <f t="shared" si="102"/>
        <v>1246140</v>
      </c>
    </row>
    <row r="101">
      <c r="A101" s="154">
        <v>45681.0</v>
      </c>
      <c r="B101" s="156" t="s">
        <v>40</v>
      </c>
      <c r="C101" s="89">
        <v>83742.0</v>
      </c>
      <c r="D101" s="89">
        <v>84274.0</v>
      </c>
      <c r="E101" s="12">
        <f t="shared" si="97"/>
        <v>532</v>
      </c>
      <c r="F101" s="157">
        <v>60.0</v>
      </c>
      <c r="G101" s="14">
        <f t="shared" si="98"/>
        <v>11.27819549</v>
      </c>
      <c r="H101" s="89">
        <v>83826.0</v>
      </c>
      <c r="I101" s="137"/>
      <c r="J101" s="89">
        <f t="shared" si="99"/>
        <v>-83826</v>
      </c>
      <c r="K101" s="89">
        <f t="shared" si="100"/>
        <v>60</v>
      </c>
      <c r="L101" s="152">
        <f t="shared" si="101"/>
        <v>-0.07157683774</v>
      </c>
      <c r="M101" s="126">
        <v>20190.0</v>
      </c>
      <c r="N101" s="372">
        <f t="shared" si="102"/>
        <v>1211400</v>
      </c>
    </row>
    <row r="102">
      <c r="A102" s="154"/>
      <c r="B102" s="156" t="s">
        <v>40</v>
      </c>
      <c r="C102" s="89"/>
      <c r="D102" s="89"/>
      <c r="E102" s="12">
        <f t="shared" si="97"/>
        <v>0</v>
      </c>
      <c r="F102" s="157"/>
      <c r="G102" s="14" t="str">
        <f t="shared" si="98"/>
        <v>#DIV/0!</v>
      </c>
      <c r="H102" s="89"/>
      <c r="I102" s="137"/>
      <c r="J102" s="89">
        <f t="shared" si="99"/>
        <v>0</v>
      </c>
      <c r="K102" s="89" t="str">
        <f t="shared" si="100"/>
        <v/>
      </c>
      <c r="L102" s="152" t="str">
        <f t="shared" si="101"/>
        <v>#DIV/0!</v>
      </c>
      <c r="M102" s="126"/>
      <c r="N102" s="367">
        <f t="shared" si="102"/>
        <v>0</v>
      </c>
    </row>
    <row r="103">
      <c r="A103" s="320"/>
      <c r="B103" s="123"/>
      <c r="C103" s="89"/>
      <c r="D103" s="158"/>
      <c r="E103" s="12">
        <f t="shared" si="97"/>
        <v>0</v>
      </c>
      <c r="F103" s="321"/>
      <c r="G103" s="14" t="str">
        <f t="shared" si="98"/>
        <v>#DIV/0!</v>
      </c>
      <c r="H103" s="89"/>
      <c r="I103" s="159"/>
      <c r="J103" s="89">
        <f t="shared" si="99"/>
        <v>0</v>
      </c>
      <c r="K103" s="89" t="str">
        <f t="shared" si="100"/>
        <v/>
      </c>
      <c r="L103" s="152" t="str">
        <f t="shared" si="101"/>
        <v>#DIV/0!</v>
      </c>
      <c r="M103" s="322"/>
      <c r="N103" s="367">
        <f t="shared" si="102"/>
        <v>0</v>
      </c>
    </row>
    <row r="104">
      <c r="A104" s="305"/>
      <c r="B104" s="323"/>
      <c r="C104" s="149"/>
      <c r="D104" s="150"/>
      <c r="E104" s="25">
        <f t="shared" si="97"/>
        <v>0</v>
      </c>
      <c r="F104" s="307"/>
      <c r="G104" s="56" t="str">
        <f t="shared" si="98"/>
        <v>#DIV/0!</v>
      </c>
      <c r="H104" s="149"/>
      <c r="I104" s="151"/>
      <c r="J104" s="149">
        <f t="shared" si="99"/>
        <v>0</v>
      </c>
      <c r="K104" s="149" t="str">
        <f t="shared" si="100"/>
        <v/>
      </c>
      <c r="L104" s="152" t="str">
        <f t="shared" si="101"/>
        <v>#DIV/0!</v>
      </c>
      <c r="M104" s="308"/>
      <c r="N104" s="380">
        <f t="shared" si="102"/>
        <v>0</v>
      </c>
    </row>
    <row r="105">
      <c r="A105" s="62"/>
      <c r="B105" s="63"/>
      <c r="C105" s="62"/>
      <c r="D105" s="64" t="s">
        <v>19</v>
      </c>
      <c r="E105" s="64">
        <f t="shared" ref="E105:F105" si="103">sum(E98:E104)</f>
        <v>2379</v>
      </c>
      <c r="F105" s="64">
        <f t="shared" si="103"/>
        <v>265</v>
      </c>
      <c r="G105" s="65" t="str">
        <f>average(G98:G104)</f>
        <v>#DIV/0!</v>
      </c>
      <c r="H105" s="62"/>
      <c r="I105" s="66"/>
      <c r="J105" s="64">
        <f t="shared" ref="J105:K105" si="104">sum(J98:J104)</f>
        <v>-81923</v>
      </c>
      <c r="K105" s="64">
        <f t="shared" si="104"/>
        <v>265</v>
      </c>
      <c r="L105" s="65" t="str">
        <f>average(L98:L104)</f>
        <v>#DIV/0!</v>
      </c>
      <c r="M105" s="68"/>
      <c r="N105" s="368">
        <f>sum(N98:N104)</f>
        <v>5157770</v>
      </c>
    </row>
    <row r="106">
      <c r="A106" s="198" t="s">
        <v>64</v>
      </c>
      <c r="B106" s="199"/>
      <c r="C106" s="199"/>
      <c r="D106" s="199"/>
      <c r="E106" s="199"/>
      <c r="F106" s="199"/>
      <c r="G106" s="199"/>
      <c r="H106" s="199"/>
      <c r="I106" s="199"/>
      <c r="J106" s="199"/>
      <c r="K106" s="199"/>
      <c r="L106" s="199"/>
      <c r="M106" s="334"/>
      <c r="N106" s="384">
        <f>N10+N18+N26+N34+N42+N50+N58+N66+N74+N82+N97+N105+N89</f>
        <v>62557230</v>
      </c>
      <c r="P106" s="251">
        <f>N10+N18+N26+N34+N42+N50+N58+N66+N74+N82+N89+N97+N105</f>
        <v>62557230</v>
      </c>
    </row>
    <row r="107">
      <c r="G107" s="168"/>
      <c r="L107" s="168"/>
    </row>
    <row r="108">
      <c r="G108" s="168"/>
      <c r="L108" s="168"/>
    </row>
    <row r="109">
      <c r="G109" s="168"/>
      <c r="L109" s="168"/>
    </row>
    <row r="110">
      <c r="G110" s="168"/>
      <c r="L110" s="168"/>
      <c r="M110" s="80">
        <f>17561890+18367240+21419080+5261020</f>
        <v>62609230</v>
      </c>
    </row>
    <row r="111">
      <c r="G111" s="168"/>
      <c r="L111" s="168"/>
    </row>
    <row r="112">
      <c r="G112" s="168"/>
      <c r="L112" s="168"/>
    </row>
    <row r="113">
      <c r="G113" s="168"/>
      <c r="L113" s="168"/>
    </row>
    <row r="114">
      <c r="G114" s="168"/>
      <c r="L114" s="168"/>
    </row>
    <row r="115">
      <c r="G115" s="168"/>
      <c r="L115" s="168"/>
    </row>
    <row r="116">
      <c r="G116" s="168"/>
      <c r="L116" s="168"/>
    </row>
    <row r="117">
      <c r="G117" s="168"/>
      <c r="L117" s="168"/>
    </row>
    <row r="118">
      <c r="G118" s="168"/>
      <c r="L118" s="168"/>
    </row>
    <row r="119">
      <c r="G119" s="168"/>
      <c r="L119" s="168"/>
    </row>
    <row r="120">
      <c r="G120" s="168"/>
      <c r="L120" s="168"/>
    </row>
    <row r="121">
      <c r="G121" s="168"/>
      <c r="L121" s="168"/>
    </row>
    <row r="122">
      <c r="G122" s="168"/>
      <c r="L122" s="168"/>
    </row>
    <row r="123">
      <c r="G123" s="168"/>
      <c r="L123" s="168"/>
    </row>
    <row r="124">
      <c r="G124" s="168"/>
      <c r="L124" s="168"/>
    </row>
    <row r="125">
      <c r="G125" s="168"/>
      <c r="L125" s="168"/>
    </row>
    <row r="126">
      <c r="G126" s="168"/>
      <c r="L126" s="168"/>
    </row>
    <row r="127">
      <c r="G127" s="168"/>
      <c r="L127" s="168"/>
    </row>
    <row r="128">
      <c r="G128" s="168"/>
      <c r="L128" s="168"/>
    </row>
    <row r="129">
      <c r="G129" s="168"/>
      <c r="L129" s="168"/>
    </row>
    <row r="130">
      <c r="G130" s="168"/>
      <c r="L130" s="168"/>
    </row>
    <row r="131">
      <c r="G131" s="168"/>
      <c r="L131" s="168"/>
    </row>
    <row r="132">
      <c r="G132" s="168"/>
      <c r="L132" s="168"/>
    </row>
    <row r="133">
      <c r="G133" s="168"/>
      <c r="L133" s="168"/>
    </row>
    <row r="134">
      <c r="G134" s="168"/>
      <c r="L134" s="168"/>
    </row>
    <row r="135">
      <c r="G135" s="168"/>
      <c r="L135" s="168"/>
    </row>
    <row r="136">
      <c r="G136" s="168"/>
      <c r="L136" s="168"/>
    </row>
    <row r="137">
      <c r="G137" s="168"/>
      <c r="L137" s="168"/>
    </row>
    <row r="138">
      <c r="G138" s="168"/>
      <c r="L138" s="168"/>
    </row>
    <row r="139">
      <c r="G139" s="168"/>
      <c r="L139" s="168"/>
    </row>
    <row r="140">
      <c r="G140" s="168"/>
      <c r="L140" s="168"/>
    </row>
    <row r="141">
      <c r="G141" s="168"/>
      <c r="L141" s="168"/>
    </row>
    <row r="142">
      <c r="G142" s="168"/>
      <c r="L142" s="168"/>
    </row>
    <row r="143">
      <c r="G143" s="168"/>
      <c r="L143" s="168"/>
    </row>
    <row r="144">
      <c r="G144" s="168"/>
      <c r="L144" s="168"/>
    </row>
    <row r="145">
      <c r="G145" s="168"/>
      <c r="L145" s="168"/>
    </row>
    <row r="146">
      <c r="G146" s="168"/>
      <c r="L146" s="168"/>
    </row>
    <row r="147">
      <c r="G147" s="168"/>
      <c r="L147" s="168"/>
    </row>
    <row r="148">
      <c r="G148" s="168"/>
      <c r="L148" s="168"/>
    </row>
    <row r="149">
      <c r="G149" s="168"/>
      <c r="L149" s="168"/>
    </row>
    <row r="150">
      <c r="G150" s="168"/>
      <c r="L150" s="168"/>
    </row>
    <row r="151">
      <c r="G151" s="168"/>
      <c r="L151" s="168"/>
    </row>
    <row r="152">
      <c r="G152" s="168"/>
      <c r="L152" s="168"/>
    </row>
    <row r="153">
      <c r="G153" s="168"/>
      <c r="L153" s="168"/>
    </row>
    <row r="154">
      <c r="G154" s="168"/>
      <c r="L154" s="168"/>
    </row>
    <row r="155">
      <c r="G155" s="168"/>
      <c r="L155" s="168"/>
    </row>
    <row r="156">
      <c r="G156" s="168"/>
      <c r="L156" s="168"/>
    </row>
    <row r="157">
      <c r="G157" s="168"/>
      <c r="L157" s="168"/>
    </row>
    <row r="158">
      <c r="G158" s="168"/>
      <c r="L158" s="168"/>
    </row>
    <row r="159">
      <c r="G159" s="168"/>
      <c r="L159" s="168"/>
    </row>
    <row r="160">
      <c r="G160" s="168"/>
      <c r="L160" s="168"/>
    </row>
    <row r="161">
      <c r="G161" s="168"/>
      <c r="L161" s="168"/>
    </row>
    <row r="162">
      <c r="G162" s="168"/>
      <c r="L162" s="168"/>
    </row>
    <row r="163">
      <c r="G163" s="168"/>
      <c r="L163" s="168"/>
    </row>
    <row r="164">
      <c r="G164" s="168"/>
      <c r="L164" s="168"/>
    </row>
    <row r="165">
      <c r="G165" s="168"/>
      <c r="L165" s="168"/>
    </row>
    <row r="166">
      <c r="G166" s="168"/>
      <c r="L166" s="168"/>
    </row>
    <row r="167">
      <c r="G167" s="168"/>
      <c r="L167" s="168"/>
    </row>
    <row r="168">
      <c r="G168" s="168"/>
      <c r="L168" s="168"/>
    </row>
    <row r="169">
      <c r="G169" s="168"/>
      <c r="L169" s="168"/>
    </row>
    <row r="170">
      <c r="G170" s="168"/>
      <c r="L170" s="168"/>
    </row>
    <row r="171">
      <c r="G171" s="168"/>
      <c r="L171" s="168"/>
    </row>
    <row r="172">
      <c r="G172" s="168"/>
      <c r="L172" s="168"/>
    </row>
    <row r="173">
      <c r="G173" s="168"/>
      <c r="L173" s="168"/>
    </row>
    <row r="174">
      <c r="G174" s="168"/>
      <c r="L174" s="168"/>
    </row>
    <row r="175">
      <c r="G175" s="168"/>
      <c r="L175" s="168"/>
    </row>
    <row r="176">
      <c r="G176" s="168"/>
      <c r="L176" s="168"/>
    </row>
    <row r="177">
      <c r="G177" s="168"/>
      <c r="L177" s="168"/>
    </row>
    <row r="178">
      <c r="G178" s="168"/>
      <c r="L178" s="168"/>
    </row>
    <row r="179">
      <c r="G179" s="168"/>
      <c r="L179" s="168"/>
    </row>
    <row r="180">
      <c r="G180" s="168"/>
      <c r="L180" s="168"/>
    </row>
    <row r="181">
      <c r="G181" s="168"/>
      <c r="L181" s="168"/>
    </row>
    <row r="182">
      <c r="G182" s="168"/>
      <c r="L182" s="168"/>
    </row>
    <row r="183">
      <c r="G183" s="168"/>
      <c r="L183" s="168"/>
    </row>
    <row r="184">
      <c r="G184" s="168"/>
      <c r="L184" s="168"/>
    </row>
    <row r="185">
      <c r="G185" s="168"/>
      <c r="L185" s="168"/>
    </row>
    <row r="186">
      <c r="G186" s="168"/>
      <c r="L186" s="168"/>
    </row>
    <row r="187">
      <c r="G187" s="168"/>
      <c r="L187" s="168"/>
    </row>
    <row r="188">
      <c r="G188" s="168"/>
      <c r="L188" s="168"/>
    </row>
    <row r="189">
      <c r="G189" s="168"/>
      <c r="L189" s="168"/>
    </row>
    <row r="190">
      <c r="G190" s="168"/>
      <c r="L190" s="168"/>
    </row>
    <row r="191">
      <c r="G191" s="168"/>
      <c r="L191" s="168"/>
    </row>
    <row r="192">
      <c r="G192" s="168"/>
      <c r="L192" s="168"/>
    </row>
    <row r="193">
      <c r="G193" s="168"/>
      <c r="L193" s="168"/>
    </row>
    <row r="194">
      <c r="G194" s="168"/>
      <c r="L194" s="168"/>
    </row>
    <row r="195">
      <c r="G195" s="168"/>
      <c r="L195" s="168"/>
    </row>
    <row r="196">
      <c r="G196" s="168"/>
      <c r="L196" s="168"/>
    </row>
    <row r="197">
      <c r="G197" s="168"/>
      <c r="L197" s="168"/>
    </row>
    <row r="198">
      <c r="G198" s="168"/>
      <c r="L198" s="168"/>
    </row>
    <row r="199">
      <c r="G199" s="168"/>
      <c r="L199" s="168"/>
    </row>
    <row r="200">
      <c r="G200" s="168"/>
      <c r="L200" s="168"/>
    </row>
    <row r="201">
      <c r="G201" s="168"/>
      <c r="L201" s="168"/>
    </row>
    <row r="202">
      <c r="G202" s="168"/>
      <c r="L202" s="168"/>
    </row>
    <row r="203">
      <c r="G203" s="168"/>
      <c r="L203" s="168"/>
    </row>
    <row r="204">
      <c r="G204" s="168"/>
      <c r="L204" s="168"/>
    </row>
    <row r="205">
      <c r="G205" s="168"/>
      <c r="L205" s="168"/>
    </row>
    <row r="206">
      <c r="G206" s="168"/>
      <c r="L206" s="168"/>
    </row>
    <row r="207">
      <c r="G207" s="168"/>
      <c r="L207" s="168"/>
    </row>
    <row r="208">
      <c r="G208" s="168"/>
      <c r="L208" s="168"/>
    </row>
    <row r="209">
      <c r="G209" s="168"/>
      <c r="L209" s="168"/>
    </row>
    <row r="210">
      <c r="G210" s="168"/>
      <c r="L210" s="168"/>
    </row>
    <row r="211">
      <c r="G211" s="168"/>
      <c r="L211" s="168"/>
    </row>
    <row r="212">
      <c r="G212" s="168"/>
      <c r="L212" s="168"/>
    </row>
    <row r="213">
      <c r="G213" s="168"/>
      <c r="L213" s="168"/>
    </row>
    <row r="214">
      <c r="G214" s="168"/>
      <c r="L214" s="168"/>
    </row>
    <row r="215">
      <c r="G215" s="168"/>
      <c r="L215" s="168"/>
    </row>
    <row r="216">
      <c r="G216" s="168"/>
      <c r="L216" s="168"/>
    </row>
    <row r="217">
      <c r="G217" s="168"/>
      <c r="L217" s="168"/>
    </row>
    <row r="218">
      <c r="G218" s="168"/>
      <c r="L218" s="168"/>
    </row>
    <row r="219">
      <c r="G219" s="168"/>
      <c r="L219" s="168"/>
    </row>
    <row r="220">
      <c r="G220" s="168"/>
      <c r="L220" s="168"/>
    </row>
    <row r="221">
      <c r="G221" s="168"/>
      <c r="L221" s="168"/>
    </row>
    <row r="222">
      <c r="G222" s="168"/>
      <c r="L222" s="168"/>
    </row>
    <row r="223">
      <c r="G223" s="168"/>
      <c r="L223" s="168"/>
    </row>
    <row r="224">
      <c r="G224" s="168"/>
      <c r="L224" s="168"/>
    </row>
    <row r="225">
      <c r="G225" s="168"/>
      <c r="L225" s="168"/>
    </row>
    <row r="226">
      <c r="G226" s="168"/>
      <c r="L226" s="168"/>
    </row>
    <row r="227">
      <c r="G227" s="168"/>
      <c r="L227" s="168"/>
    </row>
    <row r="228">
      <c r="G228" s="168"/>
      <c r="L228" s="168"/>
    </row>
    <row r="229">
      <c r="G229" s="168"/>
      <c r="L229" s="168"/>
    </row>
    <row r="230">
      <c r="G230" s="168"/>
      <c r="L230" s="168"/>
    </row>
    <row r="231">
      <c r="G231" s="168"/>
      <c r="L231" s="168"/>
    </row>
    <row r="232">
      <c r="G232" s="168"/>
      <c r="L232" s="168"/>
    </row>
    <row r="233">
      <c r="G233" s="168"/>
      <c r="L233" s="168"/>
    </row>
    <row r="234">
      <c r="G234" s="168"/>
      <c r="L234" s="168"/>
    </row>
    <row r="235">
      <c r="G235" s="168"/>
      <c r="L235" s="168"/>
    </row>
    <row r="236">
      <c r="G236" s="168"/>
      <c r="L236" s="168"/>
    </row>
    <row r="237">
      <c r="G237" s="168"/>
      <c r="L237" s="168"/>
    </row>
    <row r="238">
      <c r="G238" s="168"/>
      <c r="L238" s="168"/>
    </row>
    <row r="239">
      <c r="G239" s="168"/>
      <c r="L239" s="168"/>
    </row>
    <row r="240">
      <c r="G240" s="168"/>
      <c r="L240" s="168"/>
    </row>
    <row r="241">
      <c r="G241" s="168"/>
      <c r="L241" s="168"/>
    </row>
    <row r="242">
      <c r="G242" s="168"/>
      <c r="L242" s="168"/>
    </row>
    <row r="243">
      <c r="G243" s="168"/>
      <c r="L243" s="168"/>
    </row>
    <row r="244">
      <c r="G244" s="168"/>
      <c r="L244" s="168"/>
    </row>
    <row r="245">
      <c r="G245" s="168"/>
      <c r="L245" s="168"/>
    </row>
    <row r="246">
      <c r="G246" s="168"/>
      <c r="L246" s="168"/>
    </row>
    <row r="247">
      <c r="G247" s="168"/>
      <c r="L247" s="168"/>
    </row>
    <row r="248">
      <c r="G248" s="168"/>
      <c r="L248" s="168"/>
    </row>
    <row r="249">
      <c r="G249" s="168"/>
      <c r="L249" s="168"/>
    </row>
    <row r="250">
      <c r="G250" s="168"/>
      <c r="L250" s="168"/>
    </row>
    <row r="251">
      <c r="G251" s="168"/>
      <c r="L251" s="168"/>
    </row>
    <row r="252">
      <c r="G252" s="168"/>
      <c r="L252" s="168"/>
    </row>
    <row r="253">
      <c r="G253" s="168"/>
      <c r="L253" s="168"/>
    </row>
    <row r="254">
      <c r="G254" s="168"/>
      <c r="L254" s="168"/>
    </row>
    <row r="255">
      <c r="G255" s="168"/>
      <c r="L255" s="168"/>
    </row>
    <row r="256">
      <c r="G256" s="168"/>
      <c r="L256" s="168"/>
    </row>
    <row r="257">
      <c r="G257" s="168"/>
      <c r="L257" s="168"/>
    </row>
    <row r="258">
      <c r="G258" s="168"/>
      <c r="L258" s="168"/>
    </row>
    <row r="259">
      <c r="G259" s="168"/>
      <c r="L259" s="168"/>
    </row>
    <row r="260">
      <c r="G260" s="168"/>
      <c r="L260" s="168"/>
    </row>
    <row r="261">
      <c r="G261" s="168"/>
      <c r="L261" s="168"/>
    </row>
    <row r="262">
      <c r="G262" s="168"/>
      <c r="L262" s="168"/>
    </row>
    <row r="263">
      <c r="G263" s="168"/>
      <c r="L263" s="168"/>
    </row>
    <row r="264">
      <c r="G264" s="168"/>
      <c r="L264" s="168"/>
    </row>
    <row r="265">
      <c r="G265" s="168"/>
      <c r="L265" s="168"/>
    </row>
    <row r="266">
      <c r="G266" s="168"/>
      <c r="L266" s="168"/>
    </row>
    <row r="267">
      <c r="G267" s="168"/>
      <c r="L267" s="168"/>
    </row>
    <row r="268">
      <c r="G268" s="168"/>
      <c r="L268" s="168"/>
    </row>
    <row r="269">
      <c r="G269" s="168"/>
      <c r="L269" s="168"/>
    </row>
    <row r="270">
      <c r="G270" s="168"/>
      <c r="L270" s="168"/>
    </row>
    <row r="271">
      <c r="G271" s="168"/>
      <c r="L271" s="168"/>
    </row>
    <row r="272">
      <c r="G272" s="168"/>
      <c r="L272" s="168"/>
    </row>
    <row r="273">
      <c r="G273" s="168"/>
      <c r="L273" s="168"/>
    </row>
    <row r="274">
      <c r="G274" s="168"/>
      <c r="L274" s="168"/>
    </row>
    <row r="275">
      <c r="G275" s="168"/>
      <c r="L275" s="168"/>
    </row>
    <row r="276">
      <c r="G276" s="168"/>
      <c r="L276" s="168"/>
    </row>
    <row r="277">
      <c r="G277" s="168"/>
      <c r="L277" s="168"/>
    </row>
    <row r="278">
      <c r="G278" s="168"/>
      <c r="L278" s="168"/>
    </row>
    <row r="279">
      <c r="G279" s="168"/>
      <c r="L279" s="168"/>
    </row>
    <row r="280">
      <c r="G280" s="168"/>
      <c r="L280" s="168"/>
    </row>
    <row r="281">
      <c r="G281" s="168"/>
      <c r="L281" s="168"/>
    </row>
    <row r="282">
      <c r="G282" s="168"/>
      <c r="L282" s="168"/>
    </row>
    <row r="283">
      <c r="G283" s="168"/>
      <c r="L283" s="168"/>
    </row>
    <row r="284">
      <c r="G284" s="168"/>
      <c r="L284" s="168"/>
    </row>
    <row r="285">
      <c r="G285" s="168"/>
      <c r="L285" s="168"/>
    </row>
    <row r="286">
      <c r="G286" s="168"/>
      <c r="L286" s="168"/>
    </row>
    <row r="287">
      <c r="G287" s="168"/>
      <c r="L287" s="168"/>
    </row>
    <row r="288">
      <c r="G288" s="168"/>
      <c r="L288" s="168"/>
    </row>
    <row r="289">
      <c r="G289" s="168"/>
      <c r="L289" s="168"/>
    </row>
    <row r="290">
      <c r="G290" s="168"/>
      <c r="L290" s="168"/>
    </row>
    <row r="291">
      <c r="G291" s="168"/>
      <c r="L291" s="168"/>
    </row>
    <row r="292">
      <c r="G292" s="168"/>
      <c r="L292" s="168"/>
    </row>
    <row r="293">
      <c r="G293" s="168"/>
      <c r="L293" s="168"/>
    </row>
    <row r="294">
      <c r="G294" s="168"/>
      <c r="L294" s="168"/>
    </row>
    <row r="295">
      <c r="G295" s="168"/>
      <c r="L295" s="168"/>
    </row>
    <row r="296">
      <c r="G296" s="168"/>
      <c r="L296" s="168"/>
    </row>
    <row r="297">
      <c r="G297" s="168"/>
      <c r="L297" s="168"/>
    </row>
    <row r="298">
      <c r="G298" s="168"/>
      <c r="L298" s="168"/>
    </row>
    <row r="299">
      <c r="G299" s="168"/>
      <c r="L299" s="168"/>
    </row>
    <row r="300">
      <c r="G300" s="168"/>
      <c r="L300" s="168"/>
    </row>
    <row r="301">
      <c r="G301" s="168"/>
      <c r="L301" s="168"/>
    </row>
    <row r="302">
      <c r="G302" s="168"/>
      <c r="L302" s="168"/>
    </row>
    <row r="303">
      <c r="G303" s="168"/>
      <c r="L303" s="168"/>
    </row>
    <row r="304">
      <c r="G304" s="168"/>
      <c r="L304" s="168"/>
    </row>
    <row r="305">
      <c r="G305" s="168"/>
      <c r="L305" s="168"/>
    </row>
    <row r="306">
      <c r="G306" s="168"/>
      <c r="L306" s="168"/>
    </row>
    <row r="307">
      <c r="G307" s="168"/>
      <c r="L307" s="168"/>
    </row>
    <row r="308">
      <c r="G308" s="168"/>
      <c r="L308" s="168"/>
    </row>
    <row r="309">
      <c r="G309" s="168"/>
      <c r="L309" s="168"/>
    </row>
    <row r="310">
      <c r="G310" s="168"/>
      <c r="L310" s="168"/>
    </row>
    <row r="311">
      <c r="G311" s="168"/>
      <c r="L311" s="168"/>
    </row>
    <row r="312">
      <c r="G312" s="168"/>
      <c r="L312" s="168"/>
    </row>
    <row r="313">
      <c r="G313" s="168"/>
      <c r="L313" s="168"/>
    </row>
    <row r="314">
      <c r="G314" s="168"/>
      <c r="L314" s="168"/>
    </row>
    <row r="315">
      <c r="G315" s="168"/>
      <c r="L315" s="168"/>
    </row>
    <row r="316">
      <c r="G316" s="168"/>
      <c r="L316" s="168"/>
    </row>
    <row r="317">
      <c r="G317" s="168"/>
      <c r="L317" s="168"/>
    </row>
    <row r="318">
      <c r="G318" s="168"/>
      <c r="L318" s="168"/>
    </row>
    <row r="319">
      <c r="G319" s="168"/>
      <c r="L319" s="168"/>
    </row>
    <row r="320">
      <c r="G320" s="168"/>
      <c r="L320" s="168"/>
    </row>
    <row r="321">
      <c r="G321" s="168"/>
      <c r="L321" s="168"/>
    </row>
    <row r="322">
      <c r="G322" s="168"/>
      <c r="L322" s="168"/>
    </row>
    <row r="323">
      <c r="G323" s="168"/>
      <c r="L323" s="168"/>
    </row>
    <row r="324">
      <c r="G324" s="168"/>
      <c r="L324" s="168"/>
    </row>
    <row r="325">
      <c r="G325" s="168"/>
      <c r="L325" s="168"/>
    </row>
    <row r="326">
      <c r="G326" s="168"/>
      <c r="L326" s="168"/>
    </row>
    <row r="327">
      <c r="G327" s="168"/>
      <c r="L327" s="168"/>
    </row>
    <row r="328">
      <c r="G328" s="168"/>
      <c r="L328" s="168"/>
    </row>
    <row r="329">
      <c r="G329" s="168"/>
      <c r="L329" s="168"/>
    </row>
    <row r="330">
      <c r="G330" s="168"/>
      <c r="L330" s="168"/>
    </row>
    <row r="331">
      <c r="G331" s="168"/>
      <c r="L331" s="168"/>
    </row>
    <row r="332">
      <c r="G332" s="168"/>
      <c r="L332" s="168"/>
    </row>
    <row r="333">
      <c r="G333" s="168"/>
      <c r="L333" s="168"/>
    </row>
    <row r="334">
      <c r="G334" s="168"/>
      <c r="L334" s="168"/>
    </row>
    <row r="335">
      <c r="G335" s="168"/>
      <c r="L335" s="168"/>
    </row>
    <row r="336">
      <c r="G336" s="168"/>
      <c r="L336" s="168"/>
    </row>
    <row r="337">
      <c r="G337" s="168"/>
      <c r="L337" s="168"/>
    </row>
    <row r="338">
      <c r="G338" s="168"/>
      <c r="L338" s="168"/>
    </row>
    <row r="339">
      <c r="G339" s="168"/>
      <c r="L339" s="168"/>
    </row>
    <row r="340">
      <c r="G340" s="168"/>
      <c r="L340" s="168"/>
    </row>
    <row r="341">
      <c r="G341" s="168"/>
      <c r="L341" s="168"/>
    </row>
    <row r="342">
      <c r="G342" s="168"/>
      <c r="L342" s="168"/>
    </row>
    <row r="343">
      <c r="G343" s="168"/>
      <c r="L343" s="168"/>
    </row>
    <row r="344">
      <c r="G344" s="168"/>
      <c r="L344" s="168"/>
    </row>
    <row r="345">
      <c r="G345" s="168"/>
      <c r="L345" s="168"/>
    </row>
    <row r="346">
      <c r="G346" s="168"/>
      <c r="L346" s="168"/>
    </row>
    <row r="347">
      <c r="G347" s="168"/>
      <c r="L347" s="168"/>
    </row>
    <row r="348">
      <c r="G348" s="168"/>
      <c r="L348" s="168"/>
    </row>
    <row r="349">
      <c r="G349" s="168"/>
      <c r="L349" s="168"/>
    </row>
    <row r="350">
      <c r="G350" s="168"/>
      <c r="L350" s="168"/>
    </row>
    <row r="351">
      <c r="G351" s="168"/>
      <c r="L351" s="168"/>
    </row>
    <row r="352">
      <c r="G352" s="168"/>
      <c r="L352" s="168"/>
    </row>
    <row r="353">
      <c r="G353" s="168"/>
      <c r="L353" s="168"/>
    </row>
    <row r="354">
      <c r="G354" s="168"/>
      <c r="L354" s="168"/>
    </row>
    <row r="355">
      <c r="G355" s="168"/>
      <c r="L355" s="168"/>
    </row>
    <row r="356">
      <c r="G356" s="168"/>
      <c r="L356" s="168"/>
    </row>
    <row r="357">
      <c r="G357" s="168"/>
      <c r="L357" s="168"/>
    </row>
    <row r="358">
      <c r="G358" s="168"/>
      <c r="L358" s="168"/>
    </row>
    <row r="359">
      <c r="G359" s="168"/>
      <c r="L359" s="168"/>
    </row>
    <row r="360">
      <c r="G360" s="168"/>
      <c r="L360" s="168"/>
    </row>
    <row r="361">
      <c r="G361" s="168"/>
      <c r="L361" s="168"/>
    </row>
    <row r="362">
      <c r="G362" s="168"/>
      <c r="L362" s="168"/>
    </row>
    <row r="363">
      <c r="G363" s="168"/>
      <c r="L363" s="168"/>
    </row>
    <row r="364">
      <c r="G364" s="168"/>
      <c r="L364" s="168"/>
    </row>
    <row r="365">
      <c r="G365" s="168"/>
      <c r="L365" s="168"/>
    </row>
    <row r="366">
      <c r="G366" s="168"/>
      <c r="L366" s="168"/>
    </row>
    <row r="367">
      <c r="G367" s="168"/>
      <c r="L367" s="168"/>
    </row>
    <row r="368">
      <c r="G368" s="168"/>
      <c r="L368" s="168"/>
    </row>
    <row r="369">
      <c r="G369" s="168"/>
      <c r="L369" s="168"/>
    </row>
    <row r="370">
      <c r="G370" s="168"/>
      <c r="L370" s="168"/>
    </row>
    <row r="371">
      <c r="G371" s="168"/>
      <c r="L371" s="168"/>
    </row>
    <row r="372">
      <c r="G372" s="168"/>
      <c r="L372" s="168"/>
    </row>
    <row r="373">
      <c r="G373" s="168"/>
      <c r="L373" s="168"/>
    </row>
    <row r="374">
      <c r="G374" s="168"/>
      <c r="L374" s="168"/>
    </row>
    <row r="375">
      <c r="G375" s="168"/>
      <c r="L375" s="168"/>
    </row>
    <row r="376">
      <c r="G376" s="168"/>
      <c r="L376" s="168"/>
    </row>
    <row r="377">
      <c r="G377" s="168"/>
      <c r="L377" s="168"/>
    </row>
    <row r="378">
      <c r="G378" s="168"/>
      <c r="L378" s="168"/>
    </row>
    <row r="379">
      <c r="G379" s="168"/>
      <c r="L379" s="168"/>
    </row>
    <row r="380">
      <c r="G380" s="168"/>
      <c r="L380" s="168"/>
    </row>
    <row r="381">
      <c r="G381" s="168"/>
      <c r="L381" s="168"/>
    </row>
    <row r="382">
      <c r="G382" s="168"/>
      <c r="L382" s="168"/>
    </row>
    <row r="383">
      <c r="G383" s="168"/>
      <c r="L383" s="168"/>
    </row>
    <row r="384">
      <c r="G384" s="168"/>
      <c r="L384" s="168"/>
    </row>
    <row r="385">
      <c r="G385" s="168"/>
      <c r="L385" s="168"/>
    </row>
    <row r="386">
      <c r="G386" s="168"/>
      <c r="L386" s="168"/>
    </row>
    <row r="387">
      <c r="G387" s="168"/>
      <c r="L387" s="168"/>
    </row>
    <row r="388">
      <c r="G388" s="168"/>
      <c r="L388" s="168"/>
    </row>
    <row r="389">
      <c r="G389" s="168"/>
      <c r="L389" s="168"/>
    </row>
    <row r="390">
      <c r="G390" s="168"/>
      <c r="L390" s="168"/>
    </row>
    <row r="391">
      <c r="G391" s="168"/>
      <c r="L391" s="168"/>
    </row>
    <row r="392">
      <c r="G392" s="168"/>
      <c r="L392" s="168"/>
    </row>
    <row r="393">
      <c r="G393" s="168"/>
      <c r="L393" s="168"/>
    </row>
    <row r="394">
      <c r="G394" s="168"/>
      <c r="L394" s="168"/>
    </row>
    <row r="395">
      <c r="G395" s="168"/>
      <c r="L395" s="168"/>
    </row>
    <row r="396">
      <c r="G396" s="168"/>
      <c r="L396" s="168"/>
    </row>
    <row r="397">
      <c r="G397" s="168"/>
      <c r="L397" s="168"/>
    </row>
    <row r="398">
      <c r="G398" s="168"/>
      <c r="L398" s="168"/>
    </row>
    <row r="399">
      <c r="G399" s="168"/>
      <c r="L399" s="168"/>
    </row>
    <row r="400">
      <c r="G400" s="168"/>
      <c r="L400" s="168"/>
    </row>
    <row r="401">
      <c r="G401" s="168"/>
      <c r="L401" s="168"/>
    </row>
    <row r="402">
      <c r="G402" s="168"/>
      <c r="L402" s="168"/>
    </row>
    <row r="403">
      <c r="G403" s="168"/>
      <c r="L403" s="168"/>
    </row>
    <row r="404">
      <c r="G404" s="168"/>
      <c r="L404" s="168"/>
    </row>
    <row r="405">
      <c r="G405" s="168"/>
      <c r="L405" s="168"/>
    </row>
    <row r="406">
      <c r="G406" s="168"/>
      <c r="L406" s="168"/>
    </row>
    <row r="407">
      <c r="G407" s="168"/>
      <c r="L407" s="168"/>
    </row>
    <row r="408">
      <c r="G408" s="168"/>
      <c r="L408" s="168"/>
    </row>
    <row r="409">
      <c r="G409" s="168"/>
      <c r="L409" s="168"/>
    </row>
    <row r="410">
      <c r="G410" s="168"/>
      <c r="L410" s="168"/>
    </row>
    <row r="411">
      <c r="G411" s="168"/>
      <c r="L411" s="168"/>
    </row>
    <row r="412">
      <c r="G412" s="168"/>
      <c r="L412" s="168"/>
    </row>
    <row r="413">
      <c r="G413" s="168"/>
      <c r="L413" s="168"/>
    </row>
    <row r="414">
      <c r="G414" s="168"/>
      <c r="L414" s="168"/>
    </row>
    <row r="415">
      <c r="G415" s="168"/>
      <c r="L415" s="168"/>
    </row>
    <row r="416">
      <c r="G416" s="168"/>
      <c r="L416" s="168"/>
    </row>
    <row r="417">
      <c r="G417" s="168"/>
      <c r="L417" s="168"/>
    </row>
    <row r="418">
      <c r="G418" s="168"/>
      <c r="L418" s="168"/>
    </row>
    <row r="419">
      <c r="G419" s="168"/>
      <c r="L419" s="168"/>
    </row>
    <row r="420">
      <c r="G420" s="168"/>
      <c r="L420" s="168"/>
    </row>
    <row r="421">
      <c r="G421" s="168"/>
      <c r="L421" s="168"/>
    </row>
    <row r="422">
      <c r="G422" s="168"/>
      <c r="L422" s="168"/>
    </row>
    <row r="423">
      <c r="G423" s="168"/>
      <c r="L423" s="168"/>
    </row>
    <row r="424">
      <c r="G424" s="168"/>
      <c r="L424" s="168"/>
    </row>
    <row r="425">
      <c r="G425" s="168"/>
      <c r="L425" s="168"/>
    </row>
    <row r="426">
      <c r="G426" s="168"/>
      <c r="L426" s="168"/>
    </row>
    <row r="427">
      <c r="G427" s="168"/>
      <c r="L427" s="168"/>
    </row>
    <row r="428">
      <c r="G428" s="168"/>
      <c r="L428" s="168"/>
    </row>
    <row r="429">
      <c r="G429" s="168"/>
      <c r="L429" s="168"/>
    </row>
    <row r="430">
      <c r="G430" s="168"/>
      <c r="L430" s="168"/>
    </row>
    <row r="431">
      <c r="G431" s="168"/>
      <c r="L431" s="168"/>
    </row>
    <row r="432">
      <c r="G432" s="168"/>
      <c r="L432" s="168"/>
    </row>
    <row r="433">
      <c r="G433" s="168"/>
      <c r="L433" s="168"/>
    </row>
    <row r="434">
      <c r="G434" s="168"/>
      <c r="L434" s="168"/>
    </row>
    <row r="435">
      <c r="G435" s="168"/>
      <c r="L435" s="168"/>
    </row>
    <row r="436">
      <c r="G436" s="168"/>
      <c r="L436" s="168"/>
    </row>
    <row r="437">
      <c r="G437" s="168"/>
      <c r="L437" s="168"/>
    </row>
    <row r="438">
      <c r="G438" s="168"/>
      <c r="L438" s="168"/>
    </row>
    <row r="439">
      <c r="G439" s="168"/>
      <c r="L439" s="168"/>
    </row>
    <row r="440">
      <c r="G440" s="168"/>
      <c r="L440" s="168"/>
    </row>
    <row r="441">
      <c r="G441" s="168"/>
      <c r="L441" s="168"/>
    </row>
    <row r="442">
      <c r="G442" s="168"/>
      <c r="L442" s="168"/>
    </row>
    <row r="443">
      <c r="G443" s="168"/>
      <c r="L443" s="168"/>
    </row>
    <row r="444">
      <c r="G444" s="168"/>
      <c r="L444" s="168"/>
    </row>
    <row r="445">
      <c r="G445" s="168"/>
      <c r="L445" s="168"/>
    </row>
    <row r="446">
      <c r="G446" s="168"/>
      <c r="L446" s="168"/>
    </row>
    <row r="447">
      <c r="G447" s="168"/>
      <c r="L447" s="168"/>
    </row>
    <row r="448">
      <c r="G448" s="168"/>
      <c r="L448" s="168"/>
    </row>
    <row r="449">
      <c r="G449" s="168"/>
      <c r="L449" s="168"/>
    </row>
    <row r="450">
      <c r="G450" s="168"/>
      <c r="L450" s="168"/>
    </row>
    <row r="451">
      <c r="G451" s="168"/>
      <c r="L451" s="168"/>
    </row>
    <row r="452">
      <c r="G452" s="168"/>
      <c r="L452" s="168"/>
    </row>
    <row r="453">
      <c r="G453" s="168"/>
      <c r="L453" s="168"/>
    </row>
    <row r="454">
      <c r="G454" s="168"/>
      <c r="L454" s="168"/>
    </row>
    <row r="455">
      <c r="G455" s="168"/>
      <c r="L455" s="168"/>
    </row>
    <row r="456">
      <c r="G456" s="168"/>
      <c r="L456" s="168"/>
    </row>
    <row r="457">
      <c r="G457" s="168"/>
      <c r="L457" s="168"/>
    </row>
    <row r="458">
      <c r="G458" s="168"/>
      <c r="L458" s="168"/>
    </row>
    <row r="459">
      <c r="G459" s="168"/>
      <c r="L459" s="168"/>
    </row>
    <row r="460">
      <c r="G460" s="168"/>
      <c r="L460" s="168"/>
    </row>
    <row r="461">
      <c r="G461" s="168"/>
      <c r="L461" s="168"/>
    </row>
    <row r="462">
      <c r="G462" s="168"/>
      <c r="L462" s="168"/>
    </row>
    <row r="463">
      <c r="G463" s="168"/>
      <c r="L463" s="168"/>
    </row>
    <row r="464">
      <c r="G464" s="168"/>
      <c r="L464" s="168"/>
    </row>
    <row r="465">
      <c r="G465" s="168"/>
      <c r="L465" s="168"/>
    </row>
    <row r="466">
      <c r="G466" s="168"/>
      <c r="L466" s="168"/>
    </row>
    <row r="467">
      <c r="G467" s="168"/>
      <c r="L467" s="168"/>
    </row>
    <row r="468">
      <c r="G468" s="168"/>
      <c r="L468" s="168"/>
    </row>
    <row r="469">
      <c r="G469" s="168"/>
      <c r="L469" s="168"/>
    </row>
    <row r="470">
      <c r="G470" s="168"/>
      <c r="L470" s="168"/>
    </row>
    <row r="471">
      <c r="G471" s="168"/>
      <c r="L471" s="168"/>
    </row>
    <row r="472">
      <c r="G472" s="168"/>
      <c r="L472" s="168"/>
    </row>
    <row r="473">
      <c r="G473" s="168"/>
      <c r="L473" s="168"/>
    </row>
    <row r="474">
      <c r="G474" s="168"/>
      <c r="L474" s="168"/>
    </row>
    <row r="475">
      <c r="G475" s="168"/>
      <c r="L475" s="168"/>
    </row>
    <row r="476">
      <c r="G476" s="168"/>
      <c r="L476" s="168"/>
    </row>
    <row r="477">
      <c r="G477" s="168"/>
      <c r="L477" s="168"/>
    </row>
    <row r="478">
      <c r="G478" s="168"/>
      <c r="L478" s="168"/>
    </row>
    <row r="479">
      <c r="G479" s="168"/>
      <c r="L479" s="168"/>
    </row>
    <row r="480">
      <c r="G480" s="168"/>
      <c r="L480" s="168"/>
    </row>
    <row r="481">
      <c r="G481" s="168"/>
      <c r="L481" s="168"/>
    </row>
    <row r="482">
      <c r="G482" s="168"/>
      <c r="L482" s="168"/>
    </row>
    <row r="483">
      <c r="G483" s="168"/>
      <c r="L483" s="168"/>
    </row>
    <row r="484">
      <c r="G484" s="168"/>
      <c r="L484" s="168"/>
    </row>
    <row r="485">
      <c r="G485" s="168"/>
      <c r="L485" s="168"/>
    </row>
    <row r="486">
      <c r="G486" s="168"/>
      <c r="L486" s="168"/>
    </row>
    <row r="487">
      <c r="G487" s="168"/>
      <c r="L487" s="168"/>
    </row>
    <row r="488">
      <c r="G488" s="168"/>
      <c r="L488" s="168"/>
    </row>
    <row r="489">
      <c r="G489" s="168"/>
      <c r="L489" s="168"/>
    </row>
    <row r="490">
      <c r="G490" s="168"/>
      <c r="L490" s="168"/>
    </row>
    <row r="491">
      <c r="G491" s="168"/>
      <c r="L491" s="168"/>
    </row>
    <row r="492">
      <c r="G492" s="168"/>
      <c r="L492" s="168"/>
    </row>
    <row r="493">
      <c r="G493" s="168"/>
      <c r="L493" s="168"/>
    </row>
    <row r="494">
      <c r="G494" s="168"/>
      <c r="L494" s="168"/>
    </row>
    <row r="495">
      <c r="G495" s="168"/>
      <c r="L495" s="168"/>
    </row>
    <row r="496">
      <c r="G496" s="168"/>
      <c r="L496" s="168"/>
    </row>
    <row r="497">
      <c r="G497" s="168"/>
      <c r="L497" s="168"/>
    </row>
    <row r="498">
      <c r="G498" s="168"/>
      <c r="L498" s="168"/>
    </row>
    <row r="499">
      <c r="G499" s="168"/>
      <c r="L499" s="168"/>
    </row>
    <row r="500">
      <c r="G500" s="168"/>
      <c r="L500" s="168"/>
    </row>
    <row r="501">
      <c r="G501" s="168"/>
      <c r="L501" s="168"/>
    </row>
    <row r="502">
      <c r="G502" s="168"/>
      <c r="L502" s="168"/>
    </row>
    <row r="503">
      <c r="G503" s="168"/>
      <c r="L503" s="168"/>
    </row>
    <row r="504">
      <c r="G504" s="168"/>
      <c r="L504" s="168"/>
    </row>
    <row r="505">
      <c r="G505" s="168"/>
      <c r="L505" s="168"/>
    </row>
    <row r="506">
      <c r="G506" s="168"/>
      <c r="L506" s="168"/>
    </row>
    <row r="507">
      <c r="G507" s="168"/>
      <c r="L507" s="168"/>
    </row>
    <row r="508">
      <c r="G508" s="168"/>
      <c r="L508" s="168"/>
    </row>
    <row r="509">
      <c r="G509" s="168"/>
      <c r="L509" s="168"/>
    </row>
    <row r="510">
      <c r="G510" s="168"/>
      <c r="L510" s="168"/>
    </row>
    <row r="511">
      <c r="G511" s="168"/>
      <c r="L511" s="168"/>
    </row>
    <row r="512">
      <c r="G512" s="168"/>
      <c r="L512" s="168"/>
    </row>
    <row r="513">
      <c r="G513" s="168"/>
      <c r="L513" s="168"/>
    </row>
    <row r="514">
      <c r="G514" s="168"/>
      <c r="L514" s="168"/>
    </row>
    <row r="515">
      <c r="G515" s="168"/>
      <c r="L515" s="168"/>
    </row>
    <row r="516">
      <c r="G516" s="168"/>
      <c r="L516" s="168"/>
    </row>
    <row r="517">
      <c r="G517" s="168"/>
      <c r="L517" s="168"/>
    </row>
    <row r="518">
      <c r="G518" s="168"/>
      <c r="L518" s="168"/>
    </row>
    <row r="519">
      <c r="G519" s="168"/>
      <c r="L519" s="168"/>
    </row>
    <row r="520">
      <c r="G520" s="168"/>
      <c r="L520" s="168"/>
    </row>
    <row r="521">
      <c r="G521" s="168"/>
      <c r="L521" s="168"/>
    </row>
    <row r="522">
      <c r="G522" s="168"/>
      <c r="L522" s="168"/>
    </row>
    <row r="523">
      <c r="G523" s="168"/>
      <c r="L523" s="168"/>
    </row>
    <row r="524">
      <c r="G524" s="168"/>
      <c r="L524" s="168"/>
    </row>
    <row r="525">
      <c r="G525" s="168"/>
      <c r="L525" s="168"/>
    </row>
    <row r="526">
      <c r="G526" s="168"/>
      <c r="L526" s="168"/>
    </row>
    <row r="527">
      <c r="G527" s="168"/>
      <c r="L527" s="168"/>
    </row>
    <row r="528">
      <c r="G528" s="168"/>
      <c r="L528" s="168"/>
    </row>
    <row r="529">
      <c r="G529" s="168"/>
      <c r="L529" s="168"/>
    </row>
    <row r="530">
      <c r="G530" s="168"/>
      <c r="L530" s="168"/>
    </row>
    <row r="531">
      <c r="G531" s="168"/>
      <c r="L531" s="168"/>
    </row>
    <row r="532">
      <c r="G532" s="168"/>
      <c r="L532" s="168"/>
    </row>
    <row r="533">
      <c r="G533" s="168"/>
      <c r="L533" s="168"/>
    </row>
    <row r="534">
      <c r="G534" s="168"/>
      <c r="L534" s="168"/>
    </row>
    <row r="535">
      <c r="G535" s="168"/>
      <c r="L535" s="168"/>
    </row>
    <row r="536">
      <c r="G536" s="168"/>
      <c r="L536" s="168"/>
    </row>
    <row r="537">
      <c r="G537" s="168"/>
      <c r="L537" s="168"/>
    </row>
    <row r="538">
      <c r="G538" s="168"/>
      <c r="L538" s="168"/>
    </row>
    <row r="539">
      <c r="G539" s="168"/>
      <c r="L539" s="168"/>
    </row>
    <row r="540">
      <c r="G540" s="168"/>
      <c r="L540" s="168"/>
    </row>
    <row r="541">
      <c r="G541" s="168"/>
      <c r="L541" s="168"/>
    </row>
    <row r="542">
      <c r="G542" s="168"/>
      <c r="L542" s="168"/>
    </row>
    <row r="543">
      <c r="G543" s="168"/>
      <c r="L543" s="168"/>
    </row>
    <row r="544">
      <c r="G544" s="168"/>
      <c r="L544" s="168"/>
    </row>
    <row r="545">
      <c r="G545" s="168"/>
      <c r="L545" s="168"/>
    </row>
    <row r="546">
      <c r="G546" s="168"/>
      <c r="L546" s="168"/>
    </row>
    <row r="547">
      <c r="G547" s="168"/>
      <c r="L547" s="168"/>
    </row>
    <row r="548">
      <c r="G548" s="168"/>
      <c r="L548" s="168"/>
    </row>
    <row r="549">
      <c r="G549" s="168"/>
      <c r="L549" s="168"/>
    </row>
    <row r="550">
      <c r="G550" s="168"/>
      <c r="L550" s="168"/>
    </row>
    <row r="551">
      <c r="G551" s="168"/>
      <c r="L551" s="168"/>
    </row>
    <row r="552">
      <c r="G552" s="168"/>
      <c r="L552" s="168"/>
    </row>
    <row r="553">
      <c r="G553" s="168"/>
      <c r="L553" s="168"/>
    </row>
    <row r="554">
      <c r="G554" s="168"/>
      <c r="L554" s="168"/>
    </row>
    <row r="555">
      <c r="G555" s="168"/>
      <c r="L555" s="168"/>
    </row>
    <row r="556">
      <c r="G556" s="168"/>
      <c r="L556" s="168"/>
    </row>
    <row r="557">
      <c r="G557" s="168"/>
      <c r="L557" s="168"/>
    </row>
    <row r="558">
      <c r="G558" s="168"/>
      <c r="L558" s="168"/>
    </row>
    <row r="559">
      <c r="G559" s="168"/>
      <c r="L559" s="168"/>
    </row>
    <row r="560">
      <c r="G560" s="168"/>
      <c r="L560" s="168"/>
    </row>
    <row r="561">
      <c r="G561" s="168"/>
      <c r="L561" s="168"/>
    </row>
    <row r="562">
      <c r="G562" s="168"/>
      <c r="L562" s="168"/>
    </row>
    <row r="563">
      <c r="G563" s="168"/>
      <c r="L563" s="168"/>
    </row>
    <row r="564">
      <c r="G564" s="168"/>
      <c r="L564" s="168"/>
    </row>
    <row r="565">
      <c r="G565" s="168"/>
      <c r="L565" s="168"/>
    </row>
    <row r="566">
      <c r="G566" s="168"/>
      <c r="L566" s="168"/>
    </row>
    <row r="567">
      <c r="G567" s="168"/>
      <c r="L567" s="168"/>
    </row>
    <row r="568">
      <c r="G568" s="168"/>
      <c r="L568" s="168"/>
    </row>
    <row r="569">
      <c r="G569" s="168"/>
      <c r="L569" s="168"/>
    </row>
    <row r="570">
      <c r="G570" s="168"/>
      <c r="L570" s="168"/>
    </row>
    <row r="571">
      <c r="G571" s="168"/>
      <c r="L571" s="168"/>
    </row>
    <row r="572">
      <c r="G572" s="168"/>
      <c r="L572" s="168"/>
    </row>
    <row r="573">
      <c r="G573" s="168"/>
      <c r="L573" s="168"/>
    </row>
    <row r="574">
      <c r="G574" s="168"/>
      <c r="L574" s="168"/>
    </row>
    <row r="575">
      <c r="G575" s="168"/>
      <c r="L575" s="168"/>
    </row>
    <row r="576">
      <c r="G576" s="168"/>
      <c r="L576" s="168"/>
    </row>
    <row r="577">
      <c r="G577" s="168"/>
      <c r="L577" s="168"/>
    </row>
    <row r="578">
      <c r="G578" s="168"/>
      <c r="L578" s="168"/>
    </row>
    <row r="579">
      <c r="G579" s="168"/>
      <c r="L579" s="168"/>
    </row>
    <row r="580">
      <c r="G580" s="168"/>
      <c r="L580" s="168"/>
    </row>
    <row r="581">
      <c r="G581" s="168"/>
      <c r="L581" s="168"/>
    </row>
    <row r="582">
      <c r="G582" s="168"/>
      <c r="L582" s="168"/>
    </row>
    <row r="583">
      <c r="G583" s="168"/>
      <c r="L583" s="168"/>
    </row>
    <row r="584">
      <c r="G584" s="168"/>
      <c r="L584" s="168"/>
    </row>
    <row r="585">
      <c r="G585" s="168"/>
      <c r="L585" s="168"/>
    </row>
    <row r="586">
      <c r="G586" s="168"/>
      <c r="L586" s="168"/>
    </row>
    <row r="587">
      <c r="G587" s="168"/>
      <c r="L587" s="168"/>
    </row>
    <row r="588">
      <c r="G588" s="168"/>
      <c r="L588" s="168"/>
    </row>
    <row r="589">
      <c r="G589" s="168"/>
      <c r="L589" s="168"/>
    </row>
    <row r="590">
      <c r="G590" s="168"/>
      <c r="L590" s="168"/>
    </row>
    <row r="591">
      <c r="G591" s="168"/>
      <c r="L591" s="168"/>
    </row>
    <row r="592">
      <c r="G592" s="168"/>
      <c r="L592" s="168"/>
    </row>
    <row r="593">
      <c r="G593" s="168"/>
      <c r="L593" s="168"/>
    </row>
    <row r="594">
      <c r="G594" s="168"/>
      <c r="L594" s="168"/>
    </row>
    <row r="595">
      <c r="G595" s="168"/>
      <c r="L595" s="168"/>
    </row>
    <row r="596">
      <c r="G596" s="168"/>
      <c r="L596" s="168"/>
    </row>
    <row r="597">
      <c r="G597" s="168"/>
      <c r="L597" s="168"/>
    </row>
    <row r="598">
      <c r="G598" s="168"/>
      <c r="L598" s="168"/>
    </row>
    <row r="599">
      <c r="G599" s="168"/>
      <c r="L599" s="168"/>
    </row>
    <row r="600">
      <c r="G600" s="168"/>
      <c r="L600" s="168"/>
    </row>
    <row r="601">
      <c r="G601" s="168"/>
      <c r="L601" s="168"/>
    </row>
    <row r="602">
      <c r="G602" s="168"/>
      <c r="L602" s="168"/>
    </row>
    <row r="603">
      <c r="G603" s="168"/>
      <c r="L603" s="168"/>
    </row>
    <row r="604">
      <c r="G604" s="168"/>
      <c r="L604" s="168"/>
    </row>
    <row r="605">
      <c r="G605" s="168"/>
      <c r="L605" s="168"/>
    </row>
    <row r="606">
      <c r="G606" s="168"/>
      <c r="L606" s="168"/>
    </row>
    <row r="607">
      <c r="G607" s="168"/>
      <c r="L607" s="168"/>
    </row>
    <row r="608">
      <c r="G608" s="168"/>
      <c r="L608" s="168"/>
    </row>
    <row r="609">
      <c r="G609" s="168"/>
      <c r="L609" s="168"/>
    </row>
    <row r="610">
      <c r="G610" s="168"/>
      <c r="L610" s="168"/>
    </row>
    <row r="611">
      <c r="G611" s="168"/>
      <c r="L611" s="168"/>
    </row>
    <row r="612">
      <c r="G612" s="168"/>
      <c r="L612" s="168"/>
    </row>
    <row r="613">
      <c r="G613" s="168"/>
      <c r="L613" s="168"/>
    </row>
    <row r="614">
      <c r="G614" s="168"/>
      <c r="L614" s="168"/>
    </row>
    <row r="615">
      <c r="G615" s="168"/>
      <c r="L615" s="168"/>
    </row>
    <row r="616">
      <c r="G616" s="168"/>
      <c r="L616" s="168"/>
    </row>
    <row r="617">
      <c r="G617" s="168"/>
      <c r="L617" s="168"/>
    </row>
    <row r="618">
      <c r="G618" s="168"/>
      <c r="L618" s="168"/>
    </row>
    <row r="619">
      <c r="G619" s="168"/>
      <c r="L619" s="168"/>
    </row>
    <row r="620">
      <c r="G620" s="168"/>
      <c r="L620" s="168"/>
    </row>
    <row r="621">
      <c r="G621" s="168"/>
      <c r="L621" s="168"/>
    </row>
    <row r="622">
      <c r="G622" s="168"/>
      <c r="L622" s="168"/>
    </row>
    <row r="623">
      <c r="G623" s="168"/>
      <c r="L623" s="168"/>
    </row>
    <row r="624">
      <c r="G624" s="168"/>
      <c r="L624" s="168"/>
    </row>
    <row r="625">
      <c r="G625" s="168"/>
      <c r="L625" s="168"/>
    </row>
    <row r="626">
      <c r="G626" s="168"/>
      <c r="L626" s="168"/>
    </row>
    <row r="627">
      <c r="G627" s="168"/>
      <c r="L627" s="168"/>
    </row>
    <row r="628">
      <c r="G628" s="168"/>
      <c r="L628" s="168"/>
    </row>
    <row r="629">
      <c r="G629" s="168"/>
      <c r="L629" s="168"/>
    </row>
    <row r="630">
      <c r="G630" s="168"/>
      <c r="L630" s="168"/>
    </row>
    <row r="631">
      <c r="G631" s="168"/>
      <c r="L631" s="168"/>
    </row>
    <row r="632">
      <c r="G632" s="168"/>
      <c r="L632" s="168"/>
    </row>
    <row r="633">
      <c r="G633" s="168"/>
      <c r="L633" s="168"/>
    </row>
    <row r="634">
      <c r="G634" s="168"/>
      <c r="L634" s="168"/>
    </row>
    <row r="635">
      <c r="G635" s="168"/>
      <c r="L635" s="168"/>
    </row>
    <row r="636">
      <c r="G636" s="168"/>
      <c r="L636" s="168"/>
    </row>
    <row r="637">
      <c r="G637" s="168"/>
      <c r="L637" s="168"/>
    </row>
    <row r="638">
      <c r="G638" s="168"/>
      <c r="L638" s="168"/>
    </row>
    <row r="639">
      <c r="G639" s="168"/>
      <c r="L639" s="168"/>
    </row>
    <row r="640">
      <c r="G640" s="168"/>
      <c r="L640" s="168"/>
    </row>
    <row r="641">
      <c r="G641" s="168"/>
      <c r="L641" s="168"/>
    </row>
    <row r="642">
      <c r="G642" s="168"/>
      <c r="L642" s="168"/>
    </row>
    <row r="643">
      <c r="G643" s="168"/>
      <c r="L643" s="168"/>
    </row>
    <row r="644">
      <c r="G644" s="168"/>
      <c r="L644" s="168"/>
    </row>
    <row r="645">
      <c r="G645" s="168"/>
      <c r="L645" s="168"/>
    </row>
    <row r="646">
      <c r="G646" s="168"/>
      <c r="L646" s="168"/>
    </row>
    <row r="647">
      <c r="G647" s="168"/>
      <c r="L647" s="168"/>
    </row>
    <row r="648">
      <c r="G648" s="168"/>
      <c r="L648" s="168"/>
    </row>
    <row r="649">
      <c r="G649" s="168"/>
      <c r="L649" s="168"/>
    </row>
    <row r="650">
      <c r="G650" s="168"/>
      <c r="L650" s="168"/>
    </row>
    <row r="651">
      <c r="G651" s="168"/>
      <c r="L651" s="168"/>
    </row>
    <row r="652">
      <c r="G652" s="168"/>
      <c r="L652" s="168"/>
    </row>
    <row r="653">
      <c r="G653" s="168"/>
      <c r="L653" s="168"/>
    </row>
    <row r="654">
      <c r="G654" s="168"/>
      <c r="L654" s="168"/>
    </row>
    <row r="655">
      <c r="G655" s="168"/>
      <c r="L655" s="168"/>
    </row>
    <row r="656">
      <c r="G656" s="168"/>
      <c r="L656" s="168"/>
    </row>
    <row r="657">
      <c r="G657" s="168"/>
      <c r="L657" s="168"/>
    </row>
    <row r="658">
      <c r="G658" s="168"/>
      <c r="L658" s="168"/>
    </row>
    <row r="659">
      <c r="G659" s="168"/>
      <c r="L659" s="168"/>
    </row>
    <row r="660">
      <c r="G660" s="168"/>
      <c r="L660" s="168"/>
    </row>
    <row r="661">
      <c r="G661" s="168"/>
      <c r="L661" s="168"/>
    </row>
    <row r="662">
      <c r="G662" s="168"/>
      <c r="L662" s="168"/>
    </row>
    <row r="663">
      <c r="G663" s="168"/>
      <c r="L663" s="168"/>
    </row>
    <row r="664">
      <c r="G664" s="168"/>
      <c r="L664" s="168"/>
    </row>
    <row r="665">
      <c r="G665" s="168"/>
      <c r="L665" s="168"/>
    </row>
    <row r="666">
      <c r="G666" s="168"/>
      <c r="L666" s="168"/>
    </row>
    <row r="667">
      <c r="G667" s="168"/>
      <c r="L667" s="168"/>
    </row>
    <row r="668">
      <c r="G668" s="168"/>
      <c r="L668" s="168"/>
    </row>
    <row r="669">
      <c r="G669" s="168"/>
      <c r="L669" s="168"/>
    </row>
    <row r="670">
      <c r="G670" s="168"/>
      <c r="L670" s="168"/>
    </row>
    <row r="671">
      <c r="G671" s="168"/>
      <c r="L671" s="168"/>
    </row>
    <row r="672">
      <c r="G672" s="168"/>
      <c r="L672" s="168"/>
    </row>
    <row r="673">
      <c r="G673" s="168"/>
      <c r="L673" s="168"/>
    </row>
    <row r="674">
      <c r="G674" s="168"/>
      <c r="L674" s="168"/>
    </row>
    <row r="675">
      <c r="G675" s="168"/>
      <c r="L675" s="168"/>
    </row>
    <row r="676">
      <c r="G676" s="168"/>
      <c r="L676" s="168"/>
    </row>
    <row r="677">
      <c r="G677" s="168"/>
      <c r="L677" s="168"/>
    </row>
    <row r="678">
      <c r="G678" s="168"/>
      <c r="L678" s="168"/>
    </row>
    <row r="679">
      <c r="G679" s="168"/>
      <c r="L679" s="168"/>
    </row>
    <row r="680">
      <c r="G680" s="168"/>
      <c r="L680" s="168"/>
    </row>
    <row r="681">
      <c r="G681" s="168"/>
      <c r="L681" s="168"/>
    </row>
    <row r="682">
      <c r="G682" s="168"/>
      <c r="L682" s="168"/>
    </row>
    <row r="683">
      <c r="G683" s="168"/>
      <c r="L683" s="168"/>
    </row>
    <row r="684">
      <c r="G684" s="168"/>
      <c r="L684" s="168"/>
    </row>
    <row r="685">
      <c r="G685" s="168"/>
      <c r="L685" s="168"/>
    </row>
    <row r="686">
      <c r="G686" s="168"/>
      <c r="L686" s="168"/>
    </row>
    <row r="687">
      <c r="G687" s="168"/>
      <c r="L687" s="168"/>
    </row>
    <row r="688">
      <c r="G688" s="168"/>
      <c r="L688" s="168"/>
    </row>
    <row r="689">
      <c r="G689" s="168"/>
      <c r="L689" s="168"/>
    </row>
    <row r="690">
      <c r="G690" s="168"/>
      <c r="L690" s="168"/>
    </row>
    <row r="691">
      <c r="G691" s="168"/>
      <c r="L691" s="168"/>
    </row>
    <row r="692">
      <c r="G692" s="168"/>
      <c r="L692" s="168"/>
    </row>
    <row r="693">
      <c r="G693" s="168"/>
      <c r="L693" s="168"/>
    </row>
    <row r="694">
      <c r="G694" s="168"/>
      <c r="L694" s="168"/>
    </row>
    <row r="695">
      <c r="G695" s="168"/>
      <c r="L695" s="168"/>
    </row>
    <row r="696">
      <c r="G696" s="168"/>
      <c r="L696" s="168"/>
    </row>
    <row r="697">
      <c r="G697" s="168"/>
      <c r="L697" s="168"/>
    </row>
    <row r="698">
      <c r="G698" s="168"/>
      <c r="L698" s="168"/>
    </row>
    <row r="699">
      <c r="G699" s="168"/>
      <c r="L699" s="168"/>
    </row>
    <row r="700">
      <c r="G700" s="168"/>
      <c r="L700" s="168"/>
    </row>
    <row r="701">
      <c r="G701" s="168"/>
      <c r="L701" s="168"/>
    </row>
    <row r="702">
      <c r="G702" s="168"/>
      <c r="L702" s="168"/>
    </row>
    <row r="703">
      <c r="G703" s="168"/>
      <c r="L703" s="168"/>
    </row>
    <row r="704">
      <c r="G704" s="168"/>
      <c r="L704" s="168"/>
    </row>
    <row r="705">
      <c r="G705" s="168"/>
      <c r="L705" s="168"/>
    </row>
    <row r="706">
      <c r="G706" s="168"/>
      <c r="L706" s="168"/>
    </row>
    <row r="707">
      <c r="G707" s="168"/>
      <c r="L707" s="168"/>
    </row>
    <row r="708">
      <c r="G708" s="168"/>
      <c r="L708" s="168"/>
    </row>
    <row r="709">
      <c r="G709" s="168"/>
      <c r="L709" s="168"/>
    </row>
    <row r="710">
      <c r="G710" s="168"/>
      <c r="L710" s="168"/>
    </row>
    <row r="711">
      <c r="G711" s="168"/>
      <c r="L711" s="168"/>
    </row>
    <row r="712">
      <c r="G712" s="168"/>
      <c r="L712" s="168"/>
    </row>
    <row r="713">
      <c r="G713" s="168"/>
      <c r="L713" s="168"/>
    </row>
    <row r="714">
      <c r="G714" s="168"/>
      <c r="L714" s="168"/>
    </row>
    <row r="715">
      <c r="G715" s="168"/>
      <c r="L715" s="168"/>
    </row>
    <row r="716">
      <c r="G716" s="168"/>
      <c r="L716" s="168"/>
    </row>
    <row r="717">
      <c r="G717" s="168"/>
      <c r="L717" s="168"/>
    </row>
    <row r="718">
      <c r="G718" s="168"/>
      <c r="L718" s="168"/>
    </row>
    <row r="719">
      <c r="G719" s="168"/>
      <c r="L719" s="168"/>
    </row>
    <row r="720">
      <c r="G720" s="168"/>
      <c r="L720" s="168"/>
    </row>
    <row r="721">
      <c r="G721" s="168"/>
      <c r="L721" s="168"/>
    </row>
    <row r="722">
      <c r="G722" s="168"/>
      <c r="L722" s="168"/>
    </row>
    <row r="723">
      <c r="G723" s="168"/>
      <c r="L723" s="168"/>
    </row>
    <row r="724">
      <c r="G724" s="168"/>
      <c r="L724" s="168"/>
    </row>
    <row r="725">
      <c r="G725" s="168"/>
      <c r="L725" s="168"/>
    </row>
    <row r="726">
      <c r="G726" s="168"/>
      <c r="L726" s="168"/>
    </row>
    <row r="727">
      <c r="G727" s="168"/>
      <c r="L727" s="168"/>
    </row>
    <row r="728">
      <c r="G728" s="168"/>
      <c r="L728" s="168"/>
    </row>
    <row r="729">
      <c r="G729" s="168"/>
      <c r="L729" s="168"/>
    </row>
    <row r="730">
      <c r="G730" s="168"/>
      <c r="L730" s="168"/>
    </row>
    <row r="731">
      <c r="G731" s="168"/>
      <c r="L731" s="168"/>
    </row>
    <row r="732">
      <c r="G732" s="168"/>
      <c r="L732" s="168"/>
    </row>
    <row r="733">
      <c r="G733" s="168"/>
      <c r="L733" s="168"/>
    </row>
    <row r="734">
      <c r="G734" s="168"/>
      <c r="L734" s="168"/>
    </row>
    <row r="735">
      <c r="G735" s="168"/>
      <c r="L735" s="168"/>
    </row>
    <row r="736">
      <c r="G736" s="168"/>
      <c r="L736" s="168"/>
    </row>
    <row r="737">
      <c r="G737" s="168"/>
      <c r="L737" s="168"/>
    </row>
    <row r="738">
      <c r="G738" s="168"/>
      <c r="L738" s="168"/>
    </row>
    <row r="739">
      <c r="G739" s="168"/>
      <c r="L739" s="168"/>
    </row>
    <row r="740">
      <c r="G740" s="168"/>
      <c r="L740" s="168"/>
    </row>
    <row r="741">
      <c r="G741" s="168"/>
      <c r="L741" s="168"/>
    </row>
    <row r="742">
      <c r="G742" s="168"/>
      <c r="L742" s="168"/>
    </row>
    <row r="743">
      <c r="G743" s="168"/>
      <c r="L743" s="168"/>
    </row>
    <row r="744">
      <c r="G744" s="168"/>
      <c r="L744" s="168"/>
    </row>
    <row r="745">
      <c r="G745" s="168"/>
      <c r="L745" s="168"/>
    </row>
    <row r="746">
      <c r="G746" s="168"/>
      <c r="L746" s="168"/>
    </row>
    <row r="747">
      <c r="G747" s="168"/>
      <c r="L747" s="168"/>
    </row>
    <row r="748">
      <c r="G748" s="168"/>
      <c r="L748" s="168"/>
    </row>
    <row r="749">
      <c r="G749" s="168"/>
      <c r="L749" s="168"/>
    </row>
    <row r="750">
      <c r="G750" s="168"/>
      <c r="L750" s="168"/>
    </row>
    <row r="751">
      <c r="G751" s="168"/>
      <c r="L751" s="168"/>
    </row>
    <row r="752">
      <c r="G752" s="168"/>
      <c r="L752" s="168"/>
    </row>
    <row r="753">
      <c r="G753" s="168"/>
      <c r="L753" s="168"/>
    </row>
    <row r="754">
      <c r="G754" s="168"/>
      <c r="L754" s="168"/>
    </row>
    <row r="755">
      <c r="G755" s="168"/>
      <c r="L755" s="168"/>
    </row>
    <row r="756">
      <c r="G756" s="168"/>
      <c r="L756" s="168"/>
    </row>
    <row r="757">
      <c r="G757" s="168"/>
      <c r="L757" s="168"/>
    </row>
    <row r="758">
      <c r="G758" s="168"/>
      <c r="L758" s="168"/>
    </row>
    <row r="759">
      <c r="G759" s="168"/>
      <c r="L759" s="168"/>
    </row>
    <row r="760">
      <c r="G760" s="168"/>
      <c r="L760" s="168"/>
    </row>
    <row r="761">
      <c r="G761" s="168"/>
      <c r="L761" s="168"/>
    </row>
    <row r="762">
      <c r="G762" s="168"/>
      <c r="L762" s="168"/>
    </row>
    <row r="763">
      <c r="G763" s="168"/>
      <c r="L763" s="168"/>
    </row>
    <row r="764">
      <c r="G764" s="168"/>
      <c r="L764" s="168"/>
    </row>
    <row r="765">
      <c r="G765" s="168"/>
      <c r="L765" s="168"/>
    </row>
    <row r="766">
      <c r="G766" s="168"/>
      <c r="L766" s="168"/>
    </row>
    <row r="767">
      <c r="G767" s="168"/>
      <c r="L767" s="168"/>
    </row>
    <row r="768">
      <c r="G768" s="168"/>
      <c r="L768" s="168"/>
    </row>
    <row r="769">
      <c r="G769" s="168"/>
      <c r="L769" s="168"/>
    </row>
    <row r="770">
      <c r="G770" s="168"/>
      <c r="L770" s="168"/>
    </row>
    <row r="771">
      <c r="G771" s="168"/>
      <c r="L771" s="168"/>
    </row>
    <row r="772">
      <c r="G772" s="168"/>
      <c r="L772" s="168"/>
    </row>
    <row r="773">
      <c r="G773" s="168"/>
      <c r="L773" s="168"/>
    </row>
    <row r="774">
      <c r="G774" s="168"/>
      <c r="L774" s="168"/>
    </row>
    <row r="775">
      <c r="G775" s="168"/>
      <c r="L775" s="168"/>
    </row>
    <row r="776">
      <c r="G776" s="168"/>
      <c r="L776" s="168"/>
    </row>
    <row r="777">
      <c r="G777" s="168"/>
      <c r="L777" s="168"/>
    </row>
    <row r="778">
      <c r="G778" s="168"/>
      <c r="L778" s="168"/>
    </row>
    <row r="779">
      <c r="G779" s="168"/>
      <c r="L779" s="168"/>
    </row>
    <row r="780">
      <c r="G780" s="168"/>
      <c r="L780" s="168"/>
    </row>
    <row r="781">
      <c r="G781" s="168"/>
      <c r="L781" s="168"/>
    </row>
    <row r="782">
      <c r="G782" s="168"/>
      <c r="L782" s="168"/>
    </row>
    <row r="783">
      <c r="G783" s="168"/>
      <c r="L783" s="168"/>
    </row>
    <row r="784">
      <c r="G784" s="168"/>
      <c r="L784" s="168"/>
    </row>
    <row r="785">
      <c r="G785" s="168"/>
      <c r="L785" s="168"/>
    </row>
    <row r="786">
      <c r="G786" s="168"/>
      <c r="L786" s="168"/>
    </row>
    <row r="787">
      <c r="G787" s="168"/>
      <c r="L787" s="168"/>
    </row>
    <row r="788">
      <c r="G788" s="168"/>
      <c r="L788" s="168"/>
    </row>
    <row r="789">
      <c r="G789" s="168"/>
      <c r="L789" s="168"/>
    </row>
    <row r="790">
      <c r="G790" s="168"/>
      <c r="L790" s="168"/>
    </row>
    <row r="791">
      <c r="G791" s="168"/>
      <c r="L791" s="168"/>
    </row>
    <row r="792">
      <c r="G792" s="168"/>
      <c r="L792" s="168"/>
    </row>
    <row r="793">
      <c r="G793" s="168"/>
      <c r="L793" s="168"/>
    </row>
    <row r="794">
      <c r="G794" s="168"/>
      <c r="L794" s="168"/>
    </row>
    <row r="795">
      <c r="G795" s="168"/>
      <c r="L795" s="168"/>
    </row>
    <row r="796">
      <c r="G796" s="168"/>
      <c r="L796" s="168"/>
    </row>
    <row r="797">
      <c r="G797" s="168"/>
      <c r="L797" s="168"/>
    </row>
    <row r="798">
      <c r="G798" s="168"/>
      <c r="L798" s="168"/>
    </row>
    <row r="799">
      <c r="G799" s="168"/>
      <c r="L799" s="168"/>
    </row>
    <row r="800">
      <c r="G800" s="168"/>
      <c r="L800" s="168"/>
    </row>
    <row r="801">
      <c r="G801" s="168"/>
      <c r="L801" s="168"/>
    </row>
    <row r="802">
      <c r="G802" s="168"/>
      <c r="L802" s="168"/>
    </row>
    <row r="803">
      <c r="G803" s="168"/>
      <c r="L803" s="168"/>
    </row>
    <row r="804">
      <c r="G804" s="168"/>
      <c r="L804" s="168"/>
    </row>
    <row r="805">
      <c r="G805" s="168"/>
      <c r="L805" s="168"/>
    </row>
    <row r="806">
      <c r="G806" s="168"/>
      <c r="L806" s="168"/>
    </row>
    <row r="807">
      <c r="G807" s="168"/>
      <c r="L807" s="168"/>
    </row>
    <row r="808">
      <c r="G808" s="168"/>
      <c r="L808" s="168"/>
    </row>
    <row r="809">
      <c r="G809" s="168"/>
      <c r="L809" s="168"/>
    </row>
    <row r="810">
      <c r="G810" s="168"/>
      <c r="L810" s="168"/>
    </row>
    <row r="811">
      <c r="G811" s="168"/>
      <c r="L811" s="168"/>
    </row>
    <row r="812">
      <c r="G812" s="168"/>
      <c r="L812" s="168"/>
    </row>
    <row r="813">
      <c r="G813" s="168"/>
      <c r="L813" s="168"/>
    </row>
    <row r="814">
      <c r="G814" s="168"/>
      <c r="L814" s="168"/>
    </row>
    <row r="815">
      <c r="G815" s="168"/>
      <c r="L815" s="168"/>
    </row>
    <row r="816">
      <c r="G816" s="168"/>
      <c r="L816" s="168"/>
    </row>
    <row r="817">
      <c r="G817" s="168"/>
      <c r="L817" s="168"/>
    </row>
    <row r="818">
      <c r="G818" s="168"/>
      <c r="L818" s="168"/>
    </row>
    <row r="819">
      <c r="G819" s="168"/>
      <c r="L819" s="168"/>
    </row>
    <row r="820">
      <c r="G820" s="168"/>
      <c r="L820" s="168"/>
    </row>
    <row r="821">
      <c r="G821" s="168"/>
      <c r="L821" s="168"/>
    </row>
    <row r="822">
      <c r="G822" s="168"/>
      <c r="L822" s="168"/>
    </row>
    <row r="823">
      <c r="G823" s="168"/>
      <c r="L823" s="168"/>
    </row>
    <row r="824">
      <c r="G824" s="168"/>
      <c r="L824" s="168"/>
    </row>
    <row r="825">
      <c r="G825" s="168"/>
      <c r="L825" s="168"/>
    </row>
    <row r="826">
      <c r="G826" s="168"/>
      <c r="L826" s="168"/>
    </row>
    <row r="827">
      <c r="G827" s="168"/>
      <c r="L827" s="168"/>
    </row>
    <row r="828">
      <c r="G828" s="168"/>
      <c r="L828" s="168"/>
    </row>
    <row r="829">
      <c r="G829" s="168"/>
      <c r="L829" s="168"/>
    </row>
    <row r="830">
      <c r="G830" s="168"/>
      <c r="L830" s="168"/>
    </row>
    <row r="831">
      <c r="G831" s="168"/>
      <c r="L831" s="168"/>
    </row>
    <row r="832">
      <c r="G832" s="168"/>
      <c r="L832" s="168"/>
    </row>
    <row r="833">
      <c r="G833" s="168"/>
      <c r="L833" s="168"/>
    </row>
    <row r="834">
      <c r="G834" s="168"/>
      <c r="L834" s="168"/>
    </row>
    <row r="835">
      <c r="G835" s="168"/>
      <c r="L835" s="168"/>
    </row>
    <row r="836">
      <c r="G836" s="168"/>
      <c r="L836" s="168"/>
    </row>
    <row r="837">
      <c r="G837" s="168"/>
      <c r="L837" s="168"/>
    </row>
    <row r="838">
      <c r="G838" s="168"/>
      <c r="L838" s="168"/>
    </row>
    <row r="839">
      <c r="G839" s="168"/>
      <c r="L839" s="168"/>
    </row>
    <row r="840">
      <c r="G840" s="168"/>
      <c r="L840" s="168"/>
    </row>
    <row r="841">
      <c r="G841" s="168"/>
      <c r="L841" s="168"/>
    </row>
    <row r="842">
      <c r="G842" s="168"/>
      <c r="L842" s="168"/>
    </row>
    <row r="843">
      <c r="G843" s="168"/>
      <c r="L843" s="168"/>
    </row>
    <row r="844">
      <c r="G844" s="168"/>
      <c r="L844" s="168"/>
    </row>
    <row r="845">
      <c r="G845" s="168"/>
      <c r="L845" s="168"/>
    </row>
    <row r="846">
      <c r="G846" s="168"/>
      <c r="L846" s="168"/>
    </row>
    <row r="847">
      <c r="G847" s="168"/>
      <c r="L847" s="168"/>
    </row>
    <row r="848">
      <c r="G848" s="168"/>
      <c r="L848" s="168"/>
    </row>
    <row r="849">
      <c r="G849" s="168"/>
      <c r="L849" s="168"/>
    </row>
    <row r="850">
      <c r="G850" s="168"/>
      <c r="L850" s="168"/>
    </row>
    <row r="851">
      <c r="G851" s="168"/>
      <c r="L851" s="168"/>
    </row>
    <row r="852">
      <c r="G852" s="168"/>
      <c r="L852" s="168"/>
    </row>
    <row r="853">
      <c r="G853" s="168"/>
      <c r="L853" s="168"/>
    </row>
    <row r="854">
      <c r="G854" s="168"/>
      <c r="L854" s="168"/>
    </row>
    <row r="855">
      <c r="G855" s="168"/>
      <c r="L855" s="168"/>
    </row>
    <row r="856">
      <c r="G856" s="168"/>
      <c r="L856" s="168"/>
    </row>
    <row r="857">
      <c r="G857" s="168"/>
      <c r="L857" s="168"/>
    </row>
    <row r="858">
      <c r="G858" s="168"/>
      <c r="L858" s="168"/>
    </row>
    <row r="859">
      <c r="G859" s="168"/>
      <c r="L859" s="168"/>
    </row>
    <row r="860">
      <c r="G860" s="168"/>
      <c r="L860" s="168"/>
    </row>
    <row r="861">
      <c r="G861" s="168"/>
      <c r="L861" s="168"/>
    </row>
    <row r="862">
      <c r="G862" s="168"/>
      <c r="L862" s="168"/>
    </row>
    <row r="863">
      <c r="G863" s="168"/>
      <c r="L863" s="168"/>
    </row>
    <row r="864">
      <c r="G864" s="168"/>
      <c r="L864" s="168"/>
    </row>
    <row r="865">
      <c r="G865" s="168"/>
      <c r="L865" s="168"/>
    </row>
    <row r="866">
      <c r="G866" s="168"/>
      <c r="L866" s="168"/>
    </row>
    <row r="867">
      <c r="G867" s="168"/>
      <c r="L867" s="168"/>
    </row>
    <row r="868">
      <c r="G868" s="168"/>
      <c r="L868" s="168"/>
    </row>
    <row r="869">
      <c r="G869" s="168"/>
      <c r="L869" s="168"/>
    </row>
    <row r="870">
      <c r="G870" s="168"/>
      <c r="L870" s="168"/>
    </row>
    <row r="871">
      <c r="G871" s="168"/>
      <c r="L871" s="168"/>
    </row>
    <row r="872">
      <c r="G872" s="168"/>
      <c r="L872" s="168"/>
    </row>
    <row r="873">
      <c r="G873" s="168"/>
      <c r="L873" s="168"/>
    </row>
    <row r="874">
      <c r="G874" s="168"/>
      <c r="L874" s="168"/>
    </row>
    <row r="875">
      <c r="G875" s="168"/>
      <c r="L875" s="168"/>
    </row>
    <row r="876">
      <c r="G876" s="168"/>
      <c r="L876" s="168"/>
    </row>
    <row r="877">
      <c r="G877" s="168"/>
      <c r="L877" s="168"/>
    </row>
    <row r="878">
      <c r="G878" s="168"/>
      <c r="L878" s="168"/>
    </row>
    <row r="879">
      <c r="G879" s="168"/>
      <c r="L879" s="168"/>
    </row>
    <row r="880">
      <c r="G880" s="168"/>
      <c r="L880" s="168"/>
    </row>
    <row r="881">
      <c r="G881" s="168"/>
      <c r="L881" s="168"/>
    </row>
    <row r="882">
      <c r="G882" s="168"/>
      <c r="L882" s="168"/>
    </row>
    <row r="883">
      <c r="G883" s="168"/>
      <c r="L883" s="168"/>
    </row>
    <row r="884">
      <c r="G884" s="168"/>
      <c r="L884" s="168"/>
    </row>
    <row r="885">
      <c r="G885" s="168"/>
      <c r="L885" s="168"/>
    </row>
    <row r="886">
      <c r="G886" s="168"/>
      <c r="L886" s="168"/>
    </row>
    <row r="887">
      <c r="G887" s="168"/>
      <c r="L887" s="168"/>
    </row>
    <row r="888">
      <c r="G888" s="168"/>
      <c r="L888" s="168"/>
    </row>
    <row r="889">
      <c r="G889" s="168"/>
      <c r="L889" s="168"/>
    </row>
    <row r="890">
      <c r="G890" s="168"/>
      <c r="L890" s="168"/>
    </row>
    <row r="891">
      <c r="G891" s="168"/>
      <c r="L891" s="168"/>
    </row>
    <row r="892">
      <c r="G892" s="168"/>
      <c r="L892" s="168"/>
    </row>
    <row r="893">
      <c r="G893" s="168"/>
      <c r="L893" s="168"/>
    </row>
    <row r="894">
      <c r="G894" s="168"/>
      <c r="L894" s="168"/>
    </row>
    <row r="895">
      <c r="G895" s="168"/>
      <c r="L895" s="168"/>
    </row>
    <row r="896">
      <c r="G896" s="168"/>
      <c r="L896" s="168"/>
    </row>
    <row r="897">
      <c r="G897" s="168"/>
      <c r="L897" s="168"/>
    </row>
    <row r="898">
      <c r="G898" s="168"/>
      <c r="L898" s="168"/>
    </row>
    <row r="899">
      <c r="G899" s="168"/>
      <c r="L899" s="168"/>
    </row>
    <row r="900">
      <c r="G900" s="168"/>
      <c r="L900" s="168"/>
    </row>
    <row r="901">
      <c r="G901" s="168"/>
      <c r="L901" s="168"/>
    </row>
    <row r="902">
      <c r="G902" s="168"/>
      <c r="L902" s="168"/>
    </row>
    <row r="903">
      <c r="G903" s="168"/>
      <c r="L903" s="168"/>
    </row>
    <row r="904">
      <c r="G904" s="168"/>
      <c r="L904" s="168"/>
    </row>
    <row r="905">
      <c r="G905" s="168"/>
      <c r="L905" s="168"/>
    </row>
    <row r="906">
      <c r="G906" s="168"/>
      <c r="L906" s="168"/>
    </row>
    <row r="907">
      <c r="G907" s="168"/>
      <c r="L907" s="168"/>
    </row>
    <row r="908">
      <c r="G908" s="168"/>
      <c r="L908" s="168"/>
    </row>
    <row r="909">
      <c r="G909" s="168"/>
      <c r="L909" s="168"/>
    </row>
    <row r="910">
      <c r="G910" s="168"/>
      <c r="L910" s="168"/>
    </row>
    <row r="911">
      <c r="G911" s="168"/>
      <c r="L911" s="168"/>
    </row>
    <row r="912">
      <c r="G912" s="168"/>
      <c r="L912" s="168"/>
    </row>
    <row r="913">
      <c r="G913" s="168"/>
      <c r="L913" s="168"/>
    </row>
    <row r="914">
      <c r="G914" s="168"/>
      <c r="L914" s="168"/>
    </row>
    <row r="915">
      <c r="G915" s="168"/>
      <c r="L915" s="168"/>
    </row>
    <row r="916">
      <c r="G916" s="168"/>
      <c r="L916" s="168"/>
    </row>
    <row r="917">
      <c r="G917" s="168"/>
      <c r="L917" s="168"/>
    </row>
    <row r="918">
      <c r="G918" s="168"/>
      <c r="L918" s="168"/>
    </row>
    <row r="919">
      <c r="G919" s="168"/>
      <c r="L919" s="168"/>
    </row>
    <row r="920">
      <c r="G920" s="168"/>
      <c r="L920" s="168"/>
    </row>
    <row r="921">
      <c r="G921" s="168"/>
      <c r="L921" s="168"/>
    </row>
    <row r="922">
      <c r="G922" s="168"/>
      <c r="L922" s="168"/>
    </row>
    <row r="923">
      <c r="G923" s="168"/>
      <c r="L923" s="168"/>
    </row>
    <row r="924">
      <c r="G924" s="168"/>
      <c r="L924" s="168"/>
    </row>
    <row r="925">
      <c r="G925" s="168"/>
      <c r="L925" s="168"/>
    </row>
    <row r="926">
      <c r="G926" s="168"/>
      <c r="L926" s="168"/>
    </row>
    <row r="927">
      <c r="G927" s="168"/>
      <c r="L927" s="168"/>
    </row>
    <row r="928">
      <c r="G928" s="168"/>
      <c r="L928" s="168"/>
    </row>
    <row r="929">
      <c r="G929" s="168"/>
      <c r="L929" s="168"/>
    </row>
    <row r="930">
      <c r="G930" s="168"/>
      <c r="L930" s="168"/>
    </row>
    <row r="931">
      <c r="G931" s="168"/>
      <c r="L931" s="168"/>
    </row>
    <row r="932">
      <c r="G932" s="168"/>
      <c r="L932" s="168"/>
    </row>
    <row r="933">
      <c r="G933" s="168"/>
      <c r="L933" s="168"/>
    </row>
    <row r="934">
      <c r="G934" s="168"/>
      <c r="L934" s="168"/>
    </row>
    <row r="935">
      <c r="G935" s="168"/>
      <c r="L935" s="168"/>
    </row>
    <row r="936">
      <c r="G936" s="168"/>
      <c r="L936" s="168"/>
    </row>
    <row r="937">
      <c r="G937" s="168"/>
      <c r="L937" s="168"/>
    </row>
    <row r="938">
      <c r="G938" s="168"/>
      <c r="L938" s="168"/>
    </row>
    <row r="939">
      <c r="G939" s="168"/>
      <c r="L939" s="168"/>
    </row>
    <row r="940">
      <c r="G940" s="168"/>
      <c r="L940" s="168"/>
    </row>
    <row r="941">
      <c r="G941" s="168"/>
      <c r="L941" s="168"/>
    </row>
    <row r="942">
      <c r="G942" s="168"/>
      <c r="L942" s="168"/>
    </row>
    <row r="943">
      <c r="G943" s="168"/>
      <c r="L943" s="168"/>
    </row>
    <row r="944">
      <c r="G944" s="168"/>
      <c r="L944" s="168"/>
    </row>
    <row r="945">
      <c r="G945" s="168"/>
      <c r="L945" s="168"/>
    </row>
    <row r="946">
      <c r="G946" s="168"/>
      <c r="L946" s="168"/>
    </row>
    <row r="947">
      <c r="G947" s="168"/>
      <c r="L947" s="168"/>
    </row>
    <row r="948">
      <c r="G948" s="168"/>
      <c r="L948" s="168"/>
    </row>
    <row r="949">
      <c r="G949" s="168"/>
      <c r="L949" s="168"/>
    </row>
    <row r="950">
      <c r="G950" s="168"/>
      <c r="L950" s="168"/>
    </row>
    <row r="951">
      <c r="G951" s="168"/>
      <c r="L951" s="168"/>
    </row>
    <row r="952">
      <c r="G952" s="168"/>
      <c r="L952" s="168"/>
    </row>
    <row r="953">
      <c r="G953" s="168"/>
      <c r="L953" s="168"/>
    </row>
    <row r="954">
      <c r="G954" s="168"/>
      <c r="L954" s="168"/>
    </row>
    <row r="955">
      <c r="G955" s="168"/>
      <c r="L955" s="168"/>
    </row>
    <row r="956">
      <c r="G956" s="168"/>
      <c r="L956" s="168"/>
    </row>
    <row r="957">
      <c r="G957" s="168"/>
      <c r="L957" s="168"/>
    </row>
    <row r="958">
      <c r="G958" s="168"/>
      <c r="L958" s="168"/>
    </row>
    <row r="959">
      <c r="G959" s="168"/>
      <c r="L959" s="168"/>
    </row>
    <row r="960">
      <c r="G960" s="168"/>
      <c r="L960" s="168"/>
    </row>
    <row r="961">
      <c r="G961" s="168"/>
      <c r="L961" s="168"/>
    </row>
    <row r="962">
      <c r="G962" s="168"/>
      <c r="L962" s="168"/>
    </row>
    <row r="963">
      <c r="G963" s="168"/>
      <c r="L963" s="168"/>
    </row>
    <row r="964">
      <c r="G964" s="168"/>
      <c r="L964" s="168"/>
    </row>
    <row r="965">
      <c r="G965" s="168"/>
      <c r="L965" s="168"/>
    </row>
    <row r="966">
      <c r="G966" s="168"/>
      <c r="L966" s="168"/>
    </row>
    <row r="967">
      <c r="G967" s="168"/>
      <c r="L967" s="168"/>
    </row>
    <row r="968">
      <c r="G968" s="168"/>
      <c r="L968" s="168"/>
    </row>
    <row r="969">
      <c r="G969" s="168"/>
      <c r="L969" s="168"/>
    </row>
    <row r="970">
      <c r="G970" s="168"/>
      <c r="L970" s="168"/>
    </row>
    <row r="971">
      <c r="G971" s="168"/>
      <c r="L971" s="168"/>
    </row>
    <row r="972">
      <c r="G972" s="168"/>
      <c r="L972" s="168"/>
    </row>
    <row r="973">
      <c r="G973" s="168"/>
      <c r="L973" s="168"/>
    </row>
    <row r="974">
      <c r="G974" s="168"/>
      <c r="L974" s="168"/>
    </row>
    <row r="975">
      <c r="G975" s="168"/>
      <c r="L975" s="168"/>
    </row>
    <row r="976">
      <c r="G976" s="168"/>
      <c r="L976" s="168"/>
    </row>
    <row r="977">
      <c r="G977" s="168"/>
      <c r="L977" s="168"/>
    </row>
    <row r="978">
      <c r="G978" s="168"/>
      <c r="L978" s="168"/>
    </row>
    <row r="979">
      <c r="G979" s="168"/>
      <c r="L979" s="168"/>
    </row>
    <row r="980">
      <c r="G980" s="168"/>
      <c r="L980" s="168"/>
    </row>
    <row r="981">
      <c r="G981" s="168"/>
      <c r="L981" s="168"/>
    </row>
    <row r="982">
      <c r="G982" s="168"/>
      <c r="L982" s="168"/>
    </row>
    <row r="983">
      <c r="G983" s="168"/>
      <c r="L983" s="168"/>
    </row>
    <row r="984">
      <c r="G984" s="168"/>
      <c r="L984" s="168"/>
    </row>
    <row r="985">
      <c r="G985" s="168"/>
      <c r="L985" s="168"/>
    </row>
    <row r="986">
      <c r="G986" s="168"/>
      <c r="L986" s="168"/>
    </row>
    <row r="987">
      <c r="G987" s="168"/>
      <c r="L987" s="168"/>
    </row>
    <row r="988">
      <c r="G988" s="168"/>
      <c r="L988" s="168"/>
    </row>
    <row r="989">
      <c r="G989" s="168"/>
      <c r="L989" s="168"/>
    </row>
    <row r="990">
      <c r="G990" s="168"/>
      <c r="L990" s="168"/>
    </row>
    <row r="991">
      <c r="G991" s="168"/>
      <c r="L991" s="168"/>
    </row>
    <row r="992">
      <c r="G992" s="168"/>
      <c r="L992" s="168"/>
    </row>
    <row r="993">
      <c r="G993" s="168"/>
      <c r="L993" s="168"/>
    </row>
    <row r="994">
      <c r="G994" s="168"/>
      <c r="L994" s="168"/>
    </row>
    <row r="995">
      <c r="G995" s="168"/>
      <c r="L995" s="168"/>
    </row>
    <row r="996">
      <c r="G996" s="168"/>
      <c r="L996" s="168"/>
    </row>
    <row r="997">
      <c r="G997" s="168"/>
      <c r="L997" s="168"/>
    </row>
    <row r="998">
      <c r="G998" s="168"/>
      <c r="L998" s="168"/>
    </row>
    <row r="999">
      <c r="G999" s="168"/>
      <c r="L999" s="168"/>
    </row>
    <row r="1000">
      <c r="G1000" s="168"/>
      <c r="L1000" s="168"/>
    </row>
    <row r="1001">
      <c r="G1001" s="168"/>
      <c r="L1001" s="168"/>
    </row>
    <row r="1002">
      <c r="G1002" s="168"/>
      <c r="L1002" s="168"/>
    </row>
    <row r="1003">
      <c r="G1003" s="168"/>
      <c r="L1003" s="168"/>
    </row>
    <row r="1004">
      <c r="G1004" s="168"/>
      <c r="L1004" s="168"/>
    </row>
    <row r="1005">
      <c r="G1005" s="168"/>
      <c r="L1005" s="168"/>
    </row>
    <row r="1006">
      <c r="G1006" s="168"/>
      <c r="L1006" s="168"/>
    </row>
    <row r="1007">
      <c r="G1007" s="168"/>
      <c r="L1007" s="168"/>
    </row>
    <row r="1008">
      <c r="G1008" s="168"/>
      <c r="L1008" s="168"/>
    </row>
    <row r="1009">
      <c r="G1009" s="168"/>
      <c r="L1009" s="168"/>
    </row>
    <row r="1010">
      <c r="G1010" s="168"/>
      <c r="L1010" s="168"/>
    </row>
  </sheetData>
  <mergeCells count="2">
    <mergeCell ref="A1:N1"/>
    <mergeCell ref="A106:M10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114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</row>
    <row r="3">
      <c r="A3" s="70">
        <v>45599.0</v>
      </c>
      <c r="B3" s="302" t="s">
        <v>11</v>
      </c>
      <c r="C3" s="89">
        <v>170971.0</v>
      </c>
      <c r="D3" s="41">
        <v>171299.0</v>
      </c>
      <c r="E3" s="38">
        <f t="shared" ref="E3:E8" si="1">D3-C3</f>
        <v>328</v>
      </c>
      <c r="F3" s="39">
        <v>50.0</v>
      </c>
      <c r="G3" s="14">
        <f t="shared" ref="G3:G8" si="2">(F3/E3)*100</f>
        <v>15.24390244</v>
      </c>
      <c r="H3" s="137">
        <v>8494.0</v>
      </c>
      <c r="I3" s="138">
        <v>8845.0</v>
      </c>
      <c r="J3" s="41">
        <f t="shared" ref="J3:J8" si="3">I3-H3</f>
        <v>351</v>
      </c>
      <c r="K3" s="41">
        <f t="shared" ref="K3:K8" si="4">F3</f>
        <v>50</v>
      </c>
      <c r="L3" s="303">
        <f t="shared" ref="L3:L8" si="5">(K3/J3)*100</f>
        <v>14.24501425</v>
      </c>
      <c r="M3" s="72">
        <v>18770.0</v>
      </c>
      <c r="N3" s="385">
        <f t="shared" ref="N3:N8" si="6">F3*M3</f>
        <v>938500</v>
      </c>
    </row>
    <row r="4">
      <c r="A4" s="154">
        <v>45635.0</v>
      </c>
      <c r="B4" s="156" t="s">
        <v>11</v>
      </c>
      <c r="C4" s="89">
        <v>171299.0</v>
      </c>
      <c r="D4" s="89">
        <v>171669.0</v>
      </c>
      <c r="E4" s="12">
        <f t="shared" si="1"/>
        <v>370</v>
      </c>
      <c r="F4" s="157">
        <v>50.0</v>
      </c>
      <c r="G4" s="14">
        <f t="shared" si="2"/>
        <v>13.51351351</v>
      </c>
      <c r="H4" s="89">
        <v>8845.0</v>
      </c>
      <c r="I4" s="137">
        <v>9273.0</v>
      </c>
      <c r="J4" s="89">
        <f t="shared" si="3"/>
        <v>428</v>
      </c>
      <c r="K4" s="89">
        <f t="shared" si="4"/>
        <v>50</v>
      </c>
      <c r="L4" s="152">
        <f t="shared" si="5"/>
        <v>11.68224299</v>
      </c>
      <c r="M4" s="126">
        <v>18380.0</v>
      </c>
      <c r="N4" s="367">
        <f t="shared" si="6"/>
        <v>919000</v>
      </c>
    </row>
    <row r="5">
      <c r="A5" s="154">
        <v>45639.0</v>
      </c>
      <c r="B5" s="156" t="s">
        <v>11</v>
      </c>
      <c r="C5" s="89">
        <v>171669.0</v>
      </c>
      <c r="D5" s="89">
        <v>172012.0</v>
      </c>
      <c r="E5" s="12">
        <f t="shared" si="1"/>
        <v>343</v>
      </c>
      <c r="F5" s="157">
        <v>50.0</v>
      </c>
      <c r="G5" s="14">
        <f t="shared" si="2"/>
        <v>14.57725948</v>
      </c>
      <c r="H5" s="89">
        <v>9273.0</v>
      </c>
      <c r="I5" s="137">
        <v>9644.0</v>
      </c>
      <c r="J5" s="89">
        <f t="shared" si="3"/>
        <v>371</v>
      </c>
      <c r="K5" s="89">
        <f t="shared" si="4"/>
        <v>50</v>
      </c>
      <c r="L5" s="152">
        <f t="shared" si="5"/>
        <v>13.47708895</v>
      </c>
      <c r="M5" s="126">
        <v>18250.0</v>
      </c>
      <c r="N5" s="367">
        <f t="shared" si="6"/>
        <v>912500</v>
      </c>
    </row>
    <row r="6">
      <c r="A6" s="154">
        <v>45644.0</v>
      </c>
      <c r="B6" s="156" t="s">
        <v>11</v>
      </c>
      <c r="C6" s="89">
        <v>172012.0</v>
      </c>
      <c r="D6" s="89">
        <v>172389.0</v>
      </c>
      <c r="E6" s="12">
        <f t="shared" si="1"/>
        <v>377</v>
      </c>
      <c r="F6" s="157">
        <v>50.0</v>
      </c>
      <c r="G6" s="14">
        <f t="shared" si="2"/>
        <v>13.26259947</v>
      </c>
      <c r="H6" s="89">
        <v>9644.0</v>
      </c>
      <c r="I6" s="137">
        <v>10015.0</v>
      </c>
      <c r="J6" s="89">
        <f t="shared" si="3"/>
        <v>371</v>
      </c>
      <c r="K6" s="89">
        <f t="shared" si="4"/>
        <v>50</v>
      </c>
      <c r="L6" s="152">
        <f t="shared" si="5"/>
        <v>13.47708895</v>
      </c>
      <c r="M6" s="126">
        <v>18250.0</v>
      </c>
      <c r="N6" s="367">
        <f t="shared" si="6"/>
        <v>912500</v>
      </c>
    </row>
    <row r="7">
      <c r="A7" s="154">
        <v>45650.0</v>
      </c>
      <c r="B7" s="156" t="s">
        <v>11</v>
      </c>
      <c r="C7" s="89">
        <v>172389.0</v>
      </c>
      <c r="D7" s="89">
        <v>172738.0</v>
      </c>
      <c r="E7" s="12">
        <f t="shared" si="1"/>
        <v>349</v>
      </c>
      <c r="F7" s="157">
        <v>50.0</v>
      </c>
      <c r="G7" s="14">
        <f t="shared" si="2"/>
        <v>14.32664756</v>
      </c>
      <c r="H7" s="89">
        <v>10015.0</v>
      </c>
      <c r="I7" s="137">
        <v>10376.0</v>
      </c>
      <c r="J7" s="89">
        <f t="shared" si="3"/>
        <v>361</v>
      </c>
      <c r="K7" s="89">
        <f t="shared" si="4"/>
        <v>50</v>
      </c>
      <c r="L7" s="152">
        <f t="shared" si="5"/>
        <v>13.85041551</v>
      </c>
      <c r="M7" s="126">
        <v>18730.0</v>
      </c>
      <c r="N7" s="367">
        <f t="shared" si="6"/>
        <v>936500</v>
      </c>
    </row>
    <row r="8">
      <c r="A8" s="154">
        <v>45654.0</v>
      </c>
      <c r="B8" s="99" t="s">
        <v>11</v>
      </c>
      <c r="C8" s="89">
        <v>172738.0</v>
      </c>
      <c r="D8" s="89">
        <v>173098.0</v>
      </c>
      <c r="E8" s="12">
        <f t="shared" si="1"/>
        <v>360</v>
      </c>
      <c r="F8" s="157">
        <v>50.0</v>
      </c>
      <c r="G8" s="14">
        <f t="shared" si="2"/>
        <v>13.88888889</v>
      </c>
      <c r="H8" s="89">
        <v>10376.0</v>
      </c>
      <c r="I8" s="137">
        <v>10801.0</v>
      </c>
      <c r="J8" s="89">
        <f t="shared" si="3"/>
        <v>425</v>
      </c>
      <c r="K8" s="89">
        <f t="shared" si="4"/>
        <v>50</v>
      </c>
      <c r="L8" s="152">
        <f t="shared" si="5"/>
        <v>11.76470588</v>
      </c>
      <c r="M8" s="126">
        <v>18630.0</v>
      </c>
      <c r="N8" s="367">
        <f t="shared" si="6"/>
        <v>931500</v>
      </c>
    </row>
    <row r="9">
      <c r="A9" s="62"/>
      <c r="B9" s="63"/>
      <c r="C9" s="62"/>
      <c r="D9" s="64" t="s">
        <v>19</v>
      </c>
      <c r="E9" s="64">
        <f t="shared" ref="E9:F9" si="7">sum(E3:E8)</f>
        <v>2127</v>
      </c>
      <c r="F9" s="64">
        <f t="shared" si="7"/>
        <v>300</v>
      </c>
      <c r="G9" s="65">
        <f>average(G3:G8)</f>
        <v>14.13546856</v>
      </c>
      <c r="H9" s="62"/>
      <c r="I9" s="66"/>
      <c r="J9" s="64">
        <f t="shared" ref="J9:K9" si="8">sum(J3:J8)</f>
        <v>2307</v>
      </c>
      <c r="K9" s="64">
        <f t="shared" si="8"/>
        <v>300</v>
      </c>
      <c r="L9" s="65">
        <f>average(L3:L8)</f>
        <v>13.08275942</v>
      </c>
      <c r="M9" s="68"/>
      <c r="N9" s="389">
        <f>sum(N3:N8)</f>
        <v>5550500</v>
      </c>
    </row>
    <row r="10">
      <c r="A10" s="70">
        <v>45629.0</v>
      </c>
      <c r="B10" s="302" t="s">
        <v>12</v>
      </c>
      <c r="C10" s="89">
        <v>134459.0</v>
      </c>
      <c r="D10" s="41">
        <v>134772.0</v>
      </c>
      <c r="E10" s="38">
        <f t="shared" ref="E10:E14" si="9">D10-C10</f>
        <v>313</v>
      </c>
      <c r="F10" s="39">
        <v>50.0</v>
      </c>
      <c r="G10" s="14">
        <f t="shared" ref="G10:G14" si="10">(F10/E10)*100</f>
        <v>15.97444089</v>
      </c>
      <c r="H10" s="137">
        <v>7694.0</v>
      </c>
      <c r="I10" s="138">
        <v>8012.0</v>
      </c>
      <c r="J10" s="41">
        <f t="shared" ref="J10:J14" si="11">I10-H10</f>
        <v>318</v>
      </c>
      <c r="K10" s="41">
        <f t="shared" ref="K10:K14" si="12">F10</f>
        <v>50</v>
      </c>
      <c r="L10" s="303">
        <f t="shared" ref="L10:L14" si="13">(K10/J10)*100</f>
        <v>15.72327044</v>
      </c>
      <c r="M10" s="72">
        <v>18770.0</v>
      </c>
      <c r="N10" s="385">
        <f t="shared" ref="N10:N14" si="14">F10*M10</f>
        <v>938500</v>
      </c>
    </row>
    <row r="11">
      <c r="A11" s="154">
        <v>45635.0</v>
      </c>
      <c r="B11" s="156" t="s">
        <v>12</v>
      </c>
      <c r="C11" s="89">
        <v>134772.0</v>
      </c>
      <c r="D11" s="89">
        <v>135165.0</v>
      </c>
      <c r="E11" s="12">
        <f t="shared" si="9"/>
        <v>393</v>
      </c>
      <c r="F11" s="157">
        <v>59.0</v>
      </c>
      <c r="G11" s="14">
        <f t="shared" si="10"/>
        <v>15.01272265</v>
      </c>
      <c r="H11" s="89">
        <v>8012.0</v>
      </c>
      <c r="I11" s="137">
        <v>8450.0</v>
      </c>
      <c r="J11" s="89">
        <f t="shared" si="11"/>
        <v>438</v>
      </c>
      <c r="K11" s="89">
        <f t="shared" si="12"/>
        <v>59</v>
      </c>
      <c r="L11" s="152">
        <f t="shared" si="13"/>
        <v>13.47031963</v>
      </c>
      <c r="M11" s="126">
        <v>18380.0</v>
      </c>
      <c r="N11" s="367">
        <f t="shared" si="14"/>
        <v>1084420</v>
      </c>
    </row>
    <row r="12">
      <c r="A12" s="154">
        <v>45640.0</v>
      </c>
      <c r="B12" s="156" t="s">
        <v>12</v>
      </c>
      <c r="C12" s="89">
        <v>135165.0</v>
      </c>
      <c r="D12" s="89">
        <v>135521.0</v>
      </c>
      <c r="E12" s="12">
        <f t="shared" si="9"/>
        <v>356</v>
      </c>
      <c r="F12" s="157">
        <v>55.0</v>
      </c>
      <c r="G12" s="14">
        <f t="shared" si="10"/>
        <v>15.4494382</v>
      </c>
      <c r="H12" s="89">
        <v>8450.0</v>
      </c>
      <c r="I12" s="137">
        <v>8889.0</v>
      </c>
      <c r="J12" s="89">
        <f t="shared" si="11"/>
        <v>439</v>
      </c>
      <c r="K12" s="89">
        <f t="shared" si="12"/>
        <v>55</v>
      </c>
      <c r="L12" s="152">
        <f t="shared" si="13"/>
        <v>12.5284738</v>
      </c>
      <c r="M12" s="126">
        <v>18250.0</v>
      </c>
      <c r="N12" s="367">
        <f t="shared" si="14"/>
        <v>1003750</v>
      </c>
    </row>
    <row r="13">
      <c r="A13" s="154">
        <v>45645.0</v>
      </c>
      <c r="B13" s="156" t="s">
        <v>12</v>
      </c>
      <c r="C13" s="89">
        <v>135521.0</v>
      </c>
      <c r="D13" s="89">
        <v>135914.0</v>
      </c>
      <c r="E13" s="12">
        <f t="shared" si="9"/>
        <v>393</v>
      </c>
      <c r="F13" s="157">
        <v>55.0</v>
      </c>
      <c r="G13" s="14">
        <f t="shared" si="10"/>
        <v>13.99491094</v>
      </c>
      <c r="H13" s="89">
        <v>8889.0</v>
      </c>
      <c r="I13" s="137">
        <v>9193.0</v>
      </c>
      <c r="J13" s="89">
        <f t="shared" si="11"/>
        <v>304</v>
      </c>
      <c r="K13" s="89">
        <f t="shared" si="12"/>
        <v>55</v>
      </c>
      <c r="L13" s="152">
        <f t="shared" si="13"/>
        <v>18.09210526</v>
      </c>
      <c r="M13" s="126">
        <v>18250.0</v>
      </c>
      <c r="N13" s="367">
        <f t="shared" si="14"/>
        <v>1003750</v>
      </c>
    </row>
    <row r="14">
      <c r="A14" s="154">
        <v>45651.0</v>
      </c>
      <c r="B14" s="156" t="s">
        <v>12</v>
      </c>
      <c r="C14" s="89">
        <v>135914.0</v>
      </c>
      <c r="D14" s="89">
        <v>136284.0</v>
      </c>
      <c r="E14" s="12">
        <f t="shared" si="9"/>
        <v>370</v>
      </c>
      <c r="F14" s="157">
        <v>59.0</v>
      </c>
      <c r="G14" s="14">
        <f t="shared" si="10"/>
        <v>15.94594595</v>
      </c>
      <c r="H14" s="89">
        <v>9193.0</v>
      </c>
      <c r="I14" s="137">
        <v>9622.0</v>
      </c>
      <c r="J14" s="89">
        <f t="shared" si="11"/>
        <v>429</v>
      </c>
      <c r="K14" s="89">
        <f t="shared" si="12"/>
        <v>59</v>
      </c>
      <c r="L14" s="152">
        <f t="shared" si="13"/>
        <v>13.75291375</v>
      </c>
      <c r="M14" s="126">
        <v>18730.0</v>
      </c>
      <c r="N14" s="367">
        <f t="shared" si="14"/>
        <v>1105070</v>
      </c>
    </row>
    <row r="15">
      <c r="A15" s="62"/>
      <c r="B15" s="63"/>
      <c r="C15" s="62"/>
      <c r="D15" s="64" t="s">
        <v>19</v>
      </c>
      <c r="E15" s="64">
        <f t="shared" ref="E15:F15" si="15">sum(E10:E14)</f>
        <v>1825</v>
      </c>
      <c r="F15" s="64">
        <f t="shared" si="15"/>
        <v>278</v>
      </c>
      <c r="G15" s="65">
        <f>average(G10:G14)</f>
        <v>15.27549173</v>
      </c>
      <c r="H15" s="62"/>
      <c r="I15" s="66"/>
      <c r="J15" s="64">
        <f t="shared" ref="J15:K15" si="16">sum(J10:J14)</f>
        <v>1928</v>
      </c>
      <c r="K15" s="64">
        <f t="shared" si="16"/>
        <v>278</v>
      </c>
      <c r="L15" s="65">
        <f>average(L10:L14)</f>
        <v>14.71341658</v>
      </c>
      <c r="M15" s="68"/>
      <c r="N15" s="389">
        <f>sum(N10:N14)</f>
        <v>5135490</v>
      </c>
    </row>
    <row r="16">
      <c r="A16" s="70">
        <v>45629.0</v>
      </c>
      <c r="B16" s="302" t="s">
        <v>13</v>
      </c>
      <c r="C16" s="89">
        <v>152231.0</v>
      </c>
      <c r="D16" s="41">
        <v>152589.0</v>
      </c>
      <c r="E16" s="38">
        <f t="shared" ref="E16:E22" si="17">D16-C16</f>
        <v>358</v>
      </c>
      <c r="F16" s="39">
        <v>50.0</v>
      </c>
      <c r="G16" s="14">
        <f t="shared" ref="G16:G22" si="18">(F16/E16)*100</f>
        <v>13.96648045</v>
      </c>
      <c r="H16" s="137">
        <v>8000.0</v>
      </c>
      <c r="I16" s="138">
        <v>8381.0</v>
      </c>
      <c r="J16" s="41">
        <f t="shared" ref="J16:J22" si="19">I16-H16</f>
        <v>381</v>
      </c>
      <c r="K16" s="41">
        <f t="shared" ref="K16:K22" si="20">F16</f>
        <v>50</v>
      </c>
      <c r="L16" s="152">
        <f t="shared" ref="L16:L22" si="21">(K16/J16)*100</f>
        <v>13.12335958</v>
      </c>
      <c r="M16" s="72">
        <v>18770.0</v>
      </c>
      <c r="N16" s="385">
        <f t="shared" ref="N16:N22" si="22">F16*M16</f>
        <v>938500</v>
      </c>
    </row>
    <row r="17">
      <c r="A17" s="154">
        <v>45633.0</v>
      </c>
      <c r="B17" s="156" t="s">
        <v>13</v>
      </c>
      <c r="C17" s="41">
        <v>152589.0</v>
      </c>
      <c r="D17" s="89">
        <v>152950.0</v>
      </c>
      <c r="E17" s="12">
        <f t="shared" si="17"/>
        <v>361</v>
      </c>
      <c r="F17" s="157">
        <v>52.0</v>
      </c>
      <c r="G17" s="14">
        <f t="shared" si="18"/>
        <v>14.40443213</v>
      </c>
      <c r="H17" s="89">
        <v>8381.0</v>
      </c>
      <c r="I17" s="137">
        <v>8703.0</v>
      </c>
      <c r="J17" s="89">
        <f t="shared" si="19"/>
        <v>322</v>
      </c>
      <c r="K17" s="89">
        <f t="shared" si="20"/>
        <v>52</v>
      </c>
      <c r="L17" s="152">
        <f t="shared" si="21"/>
        <v>16.14906832</v>
      </c>
      <c r="M17" s="126">
        <v>18380.0</v>
      </c>
      <c r="N17" s="367">
        <f t="shared" si="22"/>
        <v>955760</v>
      </c>
    </row>
    <row r="18">
      <c r="A18" s="154">
        <v>45639.0</v>
      </c>
      <c r="B18" s="156" t="s">
        <v>13</v>
      </c>
      <c r="C18" s="89">
        <v>152950.0</v>
      </c>
      <c r="D18" s="89">
        <v>153310.0</v>
      </c>
      <c r="E18" s="12">
        <f t="shared" si="17"/>
        <v>360</v>
      </c>
      <c r="F18" s="157">
        <v>52.0</v>
      </c>
      <c r="G18" s="14">
        <f t="shared" si="18"/>
        <v>14.44444444</v>
      </c>
      <c r="H18" s="89">
        <v>8703.0</v>
      </c>
      <c r="I18" s="137">
        <v>9025.0</v>
      </c>
      <c r="J18" s="89">
        <f t="shared" si="19"/>
        <v>322</v>
      </c>
      <c r="K18" s="89">
        <f t="shared" si="20"/>
        <v>52</v>
      </c>
      <c r="L18" s="152">
        <f t="shared" si="21"/>
        <v>16.14906832</v>
      </c>
      <c r="M18" s="126">
        <v>18250.0</v>
      </c>
      <c r="N18" s="367">
        <f t="shared" si="22"/>
        <v>949000</v>
      </c>
    </row>
    <row r="19">
      <c r="A19" s="154">
        <v>45645.0</v>
      </c>
      <c r="B19" s="156" t="s">
        <v>13</v>
      </c>
      <c r="C19" s="89">
        <v>153310.0</v>
      </c>
      <c r="D19" s="89">
        <v>153714.0</v>
      </c>
      <c r="E19" s="12">
        <f t="shared" si="17"/>
        <v>404</v>
      </c>
      <c r="F19" s="157">
        <v>52.0</v>
      </c>
      <c r="G19" s="14">
        <f t="shared" si="18"/>
        <v>12.87128713</v>
      </c>
      <c r="H19" s="89">
        <v>9025.0</v>
      </c>
      <c r="I19" s="137">
        <v>9619.0</v>
      </c>
      <c r="J19" s="89">
        <f t="shared" si="19"/>
        <v>594</v>
      </c>
      <c r="K19" s="89">
        <f t="shared" si="20"/>
        <v>52</v>
      </c>
      <c r="L19" s="152">
        <f t="shared" si="21"/>
        <v>8.754208754</v>
      </c>
      <c r="M19" s="126">
        <v>18250.0</v>
      </c>
      <c r="N19" s="367">
        <f t="shared" si="22"/>
        <v>949000</v>
      </c>
    </row>
    <row r="20">
      <c r="A20" s="154">
        <v>45650.0</v>
      </c>
      <c r="B20" s="156" t="s">
        <v>13</v>
      </c>
      <c r="C20" s="89">
        <v>153714.0</v>
      </c>
      <c r="D20" s="89">
        <v>154024.0</v>
      </c>
      <c r="E20" s="12">
        <f t="shared" si="17"/>
        <v>310</v>
      </c>
      <c r="F20" s="157">
        <v>47.0</v>
      </c>
      <c r="G20" s="14">
        <f t="shared" si="18"/>
        <v>15.16129032</v>
      </c>
      <c r="H20" s="89">
        <v>9619.0</v>
      </c>
      <c r="I20" s="137">
        <v>9954.0</v>
      </c>
      <c r="J20" s="89">
        <f t="shared" si="19"/>
        <v>335</v>
      </c>
      <c r="K20" s="89">
        <f t="shared" si="20"/>
        <v>47</v>
      </c>
      <c r="L20" s="152">
        <f t="shared" si="21"/>
        <v>14.02985075</v>
      </c>
      <c r="M20" s="126">
        <v>18730.0</v>
      </c>
      <c r="N20" s="367">
        <f t="shared" si="22"/>
        <v>880310</v>
      </c>
    </row>
    <row r="21">
      <c r="A21" s="154">
        <v>45656.0</v>
      </c>
      <c r="B21" s="99" t="s">
        <v>13</v>
      </c>
      <c r="C21" s="89">
        <v>154024.0</v>
      </c>
      <c r="D21" s="89">
        <v>154388.0</v>
      </c>
      <c r="E21" s="12">
        <f t="shared" si="17"/>
        <v>364</v>
      </c>
      <c r="F21" s="157">
        <v>50.0</v>
      </c>
      <c r="G21" s="14">
        <f t="shared" si="18"/>
        <v>13.73626374</v>
      </c>
      <c r="H21" s="89">
        <v>9954.0</v>
      </c>
      <c r="I21" s="137">
        <v>10399.0</v>
      </c>
      <c r="J21" s="89">
        <f t="shared" si="19"/>
        <v>445</v>
      </c>
      <c r="K21" s="89">
        <f t="shared" si="20"/>
        <v>50</v>
      </c>
      <c r="L21" s="152">
        <f t="shared" si="21"/>
        <v>11.23595506</v>
      </c>
      <c r="M21" s="126">
        <v>18630.0</v>
      </c>
      <c r="N21" s="367">
        <f t="shared" si="22"/>
        <v>931500</v>
      </c>
    </row>
    <row r="22">
      <c r="A22" s="305"/>
      <c r="B22" s="36" t="s">
        <v>13</v>
      </c>
      <c r="C22" s="149"/>
      <c r="D22" s="150"/>
      <c r="E22" s="25">
        <f t="shared" si="17"/>
        <v>0</v>
      </c>
      <c r="F22" s="307"/>
      <c r="G22" s="56" t="str">
        <f t="shared" si="18"/>
        <v>#DIV/0!</v>
      </c>
      <c r="H22" s="149"/>
      <c r="I22" s="151"/>
      <c r="J22" s="149">
        <f t="shared" si="19"/>
        <v>0</v>
      </c>
      <c r="K22" s="149" t="str">
        <f t="shared" si="20"/>
        <v/>
      </c>
      <c r="L22" s="152" t="str">
        <f t="shared" si="21"/>
        <v>#DIV/0!</v>
      </c>
      <c r="M22" s="308"/>
      <c r="N22" s="380">
        <f t="shared" si="22"/>
        <v>0</v>
      </c>
    </row>
    <row r="23">
      <c r="A23" s="62"/>
      <c r="B23" s="63"/>
      <c r="C23" s="62"/>
      <c r="D23" s="64" t="s">
        <v>19</v>
      </c>
      <c r="E23" s="64">
        <f t="shared" ref="E23:F23" si="23">sum(E16:E22)</f>
        <v>2157</v>
      </c>
      <c r="F23" s="64">
        <f t="shared" si="23"/>
        <v>303</v>
      </c>
      <c r="G23" s="65" t="str">
        <f>average(G16:G22)</f>
        <v>#DIV/0!</v>
      </c>
      <c r="H23" s="62"/>
      <c r="I23" s="66"/>
      <c r="J23" s="64">
        <f t="shared" ref="J23:K23" si="24">sum(J16:J22)</f>
        <v>2399</v>
      </c>
      <c r="K23" s="64">
        <f t="shared" si="24"/>
        <v>303</v>
      </c>
      <c r="L23" s="65" t="str">
        <f>average(L16:L22)</f>
        <v>#DIV/0!</v>
      </c>
      <c r="M23" s="68"/>
      <c r="N23" s="389">
        <f>sum(N16:N22)</f>
        <v>5604070</v>
      </c>
    </row>
    <row r="24">
      <c r="A24" s="70">
        <v>45599.0</v>
      </c>
      <c r="B24" s="302" t="s">
        <v>14</v>
      </c>
      <c r="C24" s="89">
        <v>153414.0</v>
      </c>
      <c r="D24" s="41">
        <v>153856.0</v>
      </c>
      <c r="E24" s="38">
        <f t="shared" ref="E24:E30" si="25">D24-C24</f>
        <v>442</v>
      </c>
      <c r="F24" s="39">
        <v>50.0</v>
      </c>
      <c r="G24" s="14">
        <f t="shared" ref="G24:G30" si="26">(F24/E24)*100</f>
        <v>11.31221719</v>
      </c>
      <c r="H24" s="137">
        <v>7955.0</v>
      </c>
      <c r="I24" s="138">
        <v>8386.0</v>
      </c>
      <c r="J24" s="41">
        <f t="shared" ref="J24:J30" si="27">I24-H24</f>
        <v>431</v>
      </c>
      <c r="K24" s="41">
        <f t="shared" ref="K24:K30" si="28">F24</f>
        <v>50</v>
      </c>
      <c r="L24" s="152">
        <f t="shared" ref="L24:L30" si="29">(K24/J24)*100</f>
        <v>11.60092807</v>
      </c>
      <c r="M24" s="72">
        <v>18770.0</v>
      </c>
      <c r="N24" s="385">
        <f t="shared" ref="N24:N30" si="30">F24*M24</f>
        <v>938500</v>
      </c>
    </row>
    <row r="25">
      <c r="A25" s="154">
        <v>45635.0</v>
      </c>
      <c r="B25" s="156" t="s">
        <v>14</v>
      </c>
      <c r="C25" s="89">
        <v>153856.0</v>
      </c>
      <c r="D25" s="89">
        <v>154298.0</v>
      </c>
      <c r="E25" s="12">
        <f t="shared" si="25"/>
        <v>442</v>
      </c>
      <c r="F25" s="157">
        <v>50.0</v>
      </c>
      <c r="G25" s="14">
        <f t="shared" si="26"/>
        <v>11.31221719</v>
      </c>
      <c r="H25" s="89">
        <v>8386.0</v>
      </c>
      <c r="I25" s="137">
        <v>8862.0</v>
      </c>
      <c r="J25" s="89">
        <f t="shared" si="27"/>
        <v>476</v>
      </c>
      <c r="K25" s="89">
        <f t="shared" si="28"/>
        <v>50</v>
      </c>
      <c r="L25" s="152">
        <f t="shared" si="29"/>
        <v>10.50420168</v>
      </c>
      <c r="M25" s="126">
        <v>18380.0</v>
      </c>
      <c r="N25" s="367">
        <f t="shared" si="30"/>
        <v>919000</v>
      </c>
    </row>
    <row r="26">
      <c r="A26" s="154">
        <v>45640.0</v>
      </c>
      <c r="B26" s="156" t="s">
        <v>14</v>
      </c>
      <c r="C26" s="89">
        <v>154298.0</v>
      </c>
      <c r="D26" s="89">
        <v>154738.0</v>
      </c>
      <c r="E26" s="12">
        <f t="shared" si="25"/>
        <v>440</v>
      </c>
      <c r="F26" s="157">
        <v>50.0</v>
      </c>
      <c r="G26" s="14">
        <f t="shared" si="26"/>
        <v>11.36363636</v>
      </c>
      <c r="H26" s="89">
        <v>8862.0</v>
      </c>
      <c r="I26" s="137">
        <v>9395.0</v>
      </c>
      <c r="J26" s="89">
        <f t="shared" si="27"/>
        <v>533</v>
      </c>
      <c r="K26" s="89">
        <f t="shared" si="28"/>
        <v>50</v>
      </c>
      <c r="L26" s="152">
        <f t="shared" si="29"/>
        <v>9.380863039</v>
      </c>
      <c r="M26" s="126">
        <v>18250.0</v>
      </c>
      <c r="N26" s="367">
        <f t="shared" si="30"/>
        <v>912500</v>
      </c>
    </row>
    <row r="27">
      <c r="A27" s="154">
        <v>45646.0</v>
      </c>
      <c r="B27" s="156" t="s">
        <v>14</v>
      </c>
      <c r="C27" s="89">
        <v>154738.0</v>
      </c>
      <c r="D27" s="89">
        <v>155159.0</v>
      </c>
      <c r="E27" s="12">
        <f t="shared" si="25"/>
        <v>421</v>
      </c>
      <c r="F27" s="157">
        <v>50.0</v>
      </c>
      <c r="G27" s="14">
        <f t="shared" si="26"/>
        <v>11.87648456</v>
      </c>
      <c r="H27" s="89">
        <v>9395.0</v>
      </c>
      <c r="I27" s="137">
        <v>9774.0</v>
      </c>
      <c r="J27" s="89">
        <f t="shared" si="27"/>
        <v>379</v>
      </c>
      <c r="K27" s="89">
        <f t="shared" si="28"/>
        <v>50</v>
      </c>
      <c r="L27" s="152">
        <f t="shared" si="29"/>
        <v>13.19261214</v>
      </c>
      <c r="M27" s="126">
        <v>18730.0</v>
      </c>
      <c r="N27" s="367">
        <f t="shared" si="30"/>
        <v>936500</v>
      </c>
    </row>
    <row r="28">
      <c r="A28" s="154">
        <v>45652.0</v>
      </c>
      <c r="B28" s="156" t="s">
        <v>14</v>
      </c>
      <c r="C28" s="89">
        <v>155159.0</v>
      </c>
      <c r="D28" s="89">
        <v>155546.0</v>
      </c>
      <c r="E28" s="12">
        <f t="shared" si="25"/>
        <v>387</v>
      </c>
      <c r="F28" s="157">
        <v>50.0</v>
      </c>
      <c r="G28" s="14">
        <f t="shared" si="26"/>
        <v>12.91989664</v>
      </c>
      <c r="H28" s="89">
        <v>9774.0</v>
      </c>
      <c r="I28" s="137">
        <v>10192.0</v>
      </c>
      <c r="J28" s="89">
        <f t="shared" si="27"/>
        <v>418</v>
      </c>
      <c r="K28" s="89">
        <f t="shared" si="28"/>
        <v>50</v>
      </c>
      <c r="L28" s="152">
        <f t="shared" si="29"/>
        <v>11.96172249</v>
      </c>
      <c r="M28" s="126">
        <v>18730.0</v>
      </c>
      <c r="N28" s="367">
        <f t="shared" si="30"/>
        <v>936500</v>
      </c>
    </row>
    <row r="29">
      <c r="A29" s="154">
        <v>45657.0</v>
      </c>
      <c r="B29" s="156" t="s">
        <v>14</v>
      </c>
      <c r="C29" s="89">
        <v>155546.0</v>
      </c>
      <c r="D29" s="89">
        <v>155969.0</v>
      </c>
      <c r="E29" s="12">
        <f t="shared" si="25"/>
        <v>423</v>
      </c>
      <c r="F29" s="157">
        <v>50.0</v>
      </c>
      <c r="G29" s="14">
        <f t="shared" si="26"/>
        <v>11.82033097</v>
      </c>
      <c r="H29" s="89">
        <v>10192.0</v>
      </c>
      <c r="I29" s="137">
        <v>10665.0</v>
      </c>
      <c r="J29" s="89">
        <f t="shared" si="27"/>
        <v>473</v>
      </c>
      <c r="K29" s="89">
        <f t="shared" si="28"/>
        <v>50</v>
      </c>
      <c r="L29" s="152">
        <f t="shared" si="29"/>
        <v>10.57082452</v>
      </c>
      <c r="M29" s="126">
        <v>18630.0</v>
      </c>
      <c r="N29" s="367">
        <f t="shared" si="30"/>
        <v>931500</v>
      </c>
    </row>
    <row r="30">
      <c r="A30" s="305"/>
      <c r="B30" s="306"/>
      <c r="C30" s="149"/>
      <c r="D30" s="150"/>
      <c r="E30" s="25">
        <f t="shared" si="25"/>
        <v>0</v>
      </c>
      <c r="F30" s="307"/>
      <c r="G30" s="56" t="str">
        <f t="shared" si="26"/>
        <v>#DIV/0!</v>
      </c>
      <c r="H30" s="149"/>
      <c r="I30" s="151"/>
      <c r="J30" s="149">
        <f t="shared" si="27"/>
        <v>0</v>
      </c>
      <c r="K30" s="149" t="str">
        <f t="shared" si="28"/>
        <v/>
      </c>
      <c r="L30" s="152" t="str">
        <f t="shared" si="29"/>
        <v>#DIV/0!</v>
      </c>
      <c r="M30" s="308"/>
      <c r="N30" s="380">
        <f t="shared" si="30"/>
        <v>0</v>
      </c>
    </row>
    <row r="31">
      <c r="A31" s="62"/>
      <c r="B31" s="63"/>
      <c r="C31" s="62"/>
      <c r="D31" s="64" t="s">
        <v>19</v>
      </c>
      <c r="E31" s="64">
        <f t="shared" ref="E31:F31" si="31">sum(E24:E30)</f>
        <v>2555</v>
      </c>
      <c r="F31" s="64">
        <f t="shared" si="31"/>
        <v>300</v>
      </c>
      <c r="G31" s="65" t="str">
        <f>average(G24:G30)</f>
        <v>#DIV/0!</v>
      </c>
      <c r="H31" s="62"/>
      <c r="I31" s="66"/>
      <c r="J31" s="64">
        <f t="shared" ref="J31:K31" si="32">sum(J24:J30)</f>
        <v>2710</v>
      </c>
      <c r="K31" s="64">
        <f t="shared" si="32"/>
        <v>300</v>
      </c>
      <c r="L31" s="65" t="str">
        <f>average(L24:L30)</f>
        <v>#DIV/0!</v>
      </c>
      <c r="M31" s="68"/>
      <c r="N31" s="389">
        <f>sum(N24:N30)</f>
        <v>5574500</v>
      </c>
    </row>
    <row r="32">
      <c r="A32" s="70">
        <v>45629.0</v>
      </c>
      <c r="B32" s="302" t="s">
        <v>15</v>
      </c>
      <c r="C32" s="89">
        <v>140622.0</v>
      </c>
      <c r="D32" s="41">
        <v>140943.0</v>
      </c>
      <c r="E32" s="38">
        <f t="shared" ref="E32:E38" si="33">D32-C32</f>
        <v>321</v>
      </c>
      <c r="F32" s="39">
        <v>41.0</v>
      </c>
      <c r="G32" s="14">
        <f t="shared" ref="G32:G38" si="34">(F32/E32)*100</f>
        <v>12.77258567</v>
      </c>
      <c r="H32" s="137">
        <v>7969.0</v>
      </c>
      <c r="I32" s="138">
        <v>8339.0</v>
      </c>
      <c r="J32" s="41">
        <f t="shared" ref="J32:J38" si="35">I32-H32</f>
        <v>370</v>
      </c>
      <c r="K32" s="41">
        <f t="shared" ref="K32:K38" si="36">F32</f>
        <v>41</v>
      </c>
      <c r="L32" s="152">
        <f t="shared" ref="L32:L38" si="37">(K32/J32)*100</f>
        <v>11.08108108</v>
      </c>
      <c r="M32" s="72">
        <v>18770.0</v>
      </c>
      <c r="N32" s="385">
        <f t="shared" ref="N32:N38" si="38">F32*M32</f>
        <v>769570</v>
      </c>
    </row>
    <row r="33">
      <c r="A33" s="154">
        <v>45635.0</v>
      </c>
      <c r="B33" s="156" t="s">
        <v>15</v>
      </c>
      <c r="C33" s="89">
        <v>140943.0</v>
      </c>
      <c r="D33" s="89">
        <v>141283.0</v>
      </c>
      <c r="E33" s="12">
        <f t="shared" si="33"/>
        <v>340</v>
      </c>
      <c r="F33" s="157">
        <v>45.0</v>
      </c>
      <c r="G33" s="14">
        <f t="shared" si="34"/>
        <v>13.23529412</v>
      </c>
      <c r="H33" s="138">
        <v>8339.0</v>
      </c>
      <c r="I33" s="137">
        <v>8748.0</v>
      </c>
      <c r="J33" s="89">
        <f t="shared" si="35"/>
        <v>409</v>
      </c>
      <c r="K33" s="89">
        <f t="shared" si="36"/>
        <v>45</v>
      </c>
      <c r="L33" s="152">
        <f t="shared" si="37"/>
        <v>11.00244499</v>
      </c>
      <c r="M33" s="126">
        <v>18380.0</v>
      </c>
      <c r="N33" s="367">
        <f t="shared" si="38"/>
        <v>827100</v>
      </c>
    </row>
    <row r="34">
      <c r="A34" s="154">
        <v>45639.0</v>
      </c>
      <c r="B34" s="156" t="s">
        <v>15</v>
      </c>
      <c r="C34" s="89">
        <v>141283.0</v>
      </c>
      <c r="D34" s="89">
        <v>141591.0</v>
      </c>
      <c r="E34" s="12">
        <f t="shared" si="33"/>
        <v>308</v>
      </c>
      <c r="F34" s="157">
        <v>45.0</v>
      </c>
      <c r="G34" s="14">
        <f t="shared" si="34"/>
        <v>14.61038961</v>
      </c>
      <c r="H34" s="89">
        <v>8748.0</v>
      </c>
      <c r="I34" s="137">
        <v>9024.0</v>
      </c>
      <c r="J34" s="89">
        <f t="shared" si="35"/>
        <v>276</v>
      </c>
      <c r="K34" s="89">
        <f t="shared" si="36"/>
        <v>45</v>
      </c>
      <c r="L34" s="152">
        <f t="shared" si="37"/>
        <v>16.30434783</v>
      </c>
      <c r="M34" s="126">
        <v>18250.0</v>
      </c>
      <c r="N34" s="367">
        <f t="shared" si="38"/>
        <v>821250</v>
      </c>
    </row>
    <row r="35">
      <c r="A35" s="154">
        <v>45645.0</v>
      </c>
      <c r="B35" s="156" t="s">
        <v>15</v>
      </c>
      <c r="C35" s="89">
        <v>141591.0</v>
      </c>
      <c r="D35" s="89">
        <v>141905.0</v>
      </c>
      <c r="E35" s="12">
        <f t="shared" si="33"/>
        <v>314</v>
      </c>
      <c r="F35" s="157">
        <v>42.0</v>
      </c>
      <c r="G35" s="14">
        <f t="shared" si="34"/>
        <v>13.37579618</v>
      </c>
      <c r="H35" s="89">
        <v>9024.0</v>
      </c>
      <c r="I35" s="137">
        <v>9370.0</v>
      </c>
      <c r="J35" s="89">
        <f t="shared" si="35"/>
        <v>346</v>
      </c>
      <c r="K35" s="89">
        <f t="shared" si="36"/>
        <v>42</v>
      </c>
      <c r="L35" s="152">
        <f t="shared" si="37"/>
        <v>12.13872832</v>
      </c>
      <c r="M35" s="126">
        <v>18290.0</v>
      </c>
      <c r="N35" s="367">
        <f t="shared" si="38"/>
        <v>768180</v>
      </c>
    </row>
    <row r="36">
      <c r="A36" s="154">
        <v>45650.0</v>
      </c>
      <c r="B36" s="156" t="s">
        <v>15</v>
      </c>
      <c r="C36" s="89">
        <v>141905.0</v>
      </c>
      <c r="D36" s="89">
        <v>142231.0</v>
      </c>
      <c r="E36" s="12">
        <f t="shared" si="33"/>
        <v>326</v>
      </c>
      <c r="F36" s="157">
        <v>43.0</v>
      </c>
      <c r="G36" s="14">
        <f t="shared" si="34"/>
        <v>13.19018405</v>
      </c>
      <c r="H36" s="89">
        <v>9370.0</v>
      </c>
      <c r="I36" s="137">
        <v>9717.0</v>
      </c>
      <c r="J36" s="89">
        <f t="shared" si="35"/>
        <v>347</v>
      </c>
      <c r="K36" s="89">
        <f t="shared" si="36"/>
        <v>43</v>
      </c>
      <c r="L36" s="152">
        <f t="shared" si="37"/>
        <v>12.39193084</v>
      </c>
      <c r="M36" s="126">
        <v>18730.0</v>
      </c>
      <c r="N36" s="367">
        <f t="shared" si="38"/>
        <v>805390</v>
      </c>
    </row>
    <row r="37">
      <c r="A37" s="312">
        <v>45656.0</v>
      </c>
      <c r="B37" s="156" t="s">
        <v>15</v>
      </c>
      <c r="C37" s="89">
        <v>142231.0</v>
      </c>
      <c r="D37" s="89">
        <v>142577.0</v>
      </c>
      <c r="E37" s="12">
        <f t="shared" si="33"/>
        <v>346</v>
      </c>
      <c r="F37" s="157">
        <v>44.0</v>
      </c>
      <c r="G37" s="14">
        <f t="shared" si="34"/>
        <v>12.71676301</v>
      </c>
      <c r="H37" s="89">
        <v>9717.0</v>
      </c>
      <c r="I37" s="137">
        <v>10105.0</v>
      </c>
      <c r="J37" s="89">
        <f t="shared" si="35"/>
        <v>388</v>
      </c>
      <c r="K37" s="89">
        <f t="shared" si="36"/>
        <v>44</v>
      </c>
      <c r="L37" s="152">
        <f t="shared" si="37"/>
        <v>11.34020619</v>
      </c>
      <c r="M37" s="126">
        <v>18630.0</v>
      </c>
      <c r="N37" s="367">
        <f t="shared" si="38"/>
        <v>819720</v>
      </c>
    </row>
    <row r="38">
      <c r="A38" s="305"/>
      <c r="B38" s="306"/>
      <c r="C38" s="149"/>
      <c r="D38" s="150"/>
      <c r="E38" s="25">
        <f t="shared" si="33"/>
        <v>0</v>
      </c>
      <c r="F38" s="307"/>
      <c r="G38" s="56" t="str">
        <f t="shared" si="34"/>
        <v>#DIV/0!</v>
      </c>
      <c r="H38" s="149"/>
      <c r="I38" s="151"/>
      <c r="J38" s="149">
        <f t="shared" si="35"/>
        <v>0</v>
      </c>
      <c r="K38" s="149" t="str">
        <f t="shared" si="36"/>
        <v/>
      </c>
      <c r="L38" s="152" t="str">
        <f t="shared" si="37"/>
        <v>#DIV/0!</v>
      </c>
      <c r="M38" s="308"/>
      <c r="N38" s="380">
        <f t="shared" si="38"/>
        <v>0</v>
      </c>
    </row>
    <row r="39">
      <c r="A39" s="62"/>
      <c r="B39" s="63"/>
      <c r="C39" s="62"/>
      <c r="D39" s="64" t="s">
        <v>19</v>
      </c>
      <c r="E39" s="64">
        <f t="shared" ref="E39:F39" si="39">sum(E32:E38)</f>
        <v>1955</v>
      </c>
      <c r="F39" s="64">
        <f t="shared" si="39"/>
        <v>260</v>
      </c>
      <c r="G39" s="65" t="str">
        <f>average(G32:G38)</f>
        <v>#DIV/0!</v>
      </c>
      <c r="H39" s="62"/>
      <c r="I39" s="66"/>
      <c r="J39" s="64">
        <f t="shared" ref="J39:K39" si="40">sum(J32:J38)</f>
        <v>2136</v>
      </c>
      <c r="K39" s="64">
        <f t="shared" si="40"/>
        <v>260</v>
      </c>
      <c r="L39" s="65" t="str">
        <f>average(L32:L38)</f>
        <v>#DIV/0!</v>
      </c>
      <c r="M39" s="68"/>
      <c r="N39" s="389">
        <f>sum(N32:N38)</f>
        <v>4811210</v>
      </c>
    </row>
    <row r="40">
      <c r="A40" s="390">
        <v>45629.0</v>
      </c>
      <c r="B40" s="302" t="s">
        <v>16</v>
      </c>
      <c r="C40" s="89">
        <v>116719.0</v>
      </c>
      <c r="D40" s="41">
        <v>117031.0</v>
      </c>
      <c r="E40" s="38">
        <f t="shared" ref="E40:E46" si="41">D40-C40</f>
        <v>312</v>
      </c>
      <c r="F40" s="39">
        <v>50.0</v>
      </c>
      <c r="G40" s="14">
        <f t="shared" ref="G40:G46" si="42">(F40/E40)*100</f>
        <v>16.02564103</v>
      </c>
      <c r="H40" s="137">
        <v>7856.0</v>
      </c>
      <c r="I40" s="138">
        <v>8222.0</v>
      </c>
      <c r="J40" s="41">
        <f t="shared" ref="J40:J46" si="43">I40-H40</f>
        <v>366</v>
      </c>
      <c r="K40" s="41">
        <f t="shared" ref="K40:K46" si="44">F40</f>
        <v>50</v>
      </c>
      <c r="L40" s="152">
        <f t="shared" ref="L40:L46" si="45">(K40/J40)*100</f>
        <v>13.66120219</v>
      </c>
      <c r="M40" s="72">
        <v>18770.0</v>
      </c>
      <c r="N40" s="385">
        <f t="shared" ref="N40:N46" si="46">F40*M40</f>
        <v>938500</v>
      </c>
    </row>
    <row r="41">
      <c r="A41" s="154">
        <v>45633.0</v>
      </c>
      <c r="B41" s="156" t="s">
        <v>16</v>
      </c>
      <c r="C41" s="89">
        <v>117031.0</v>
      </c>
      <c r="D41" s="89">
        <v>117422.0</v>
      </c>
      <c r="E41" s="12">
        <f t="shared" si="41"/>
        <v>391</v>
      </c>
      <c r="F41" s="157">
        <v>51.0</v>
      </c>
      <c r="G41" s="14">
        <f t="shared" si="42"/>
        <v>13.04347826</v>
      </c>
      <c r="H41" s="89">
        <v>8222.0</v>
      </c>
      <c r="I41" s="137">
        <v>8628.0</v>
      </c>
      <c r="J41" s="89">
        <f t="shared" si="43"/>
        <v>406</v>
      </c>
      <c r="K41" s="89">
        <f t="shared" si="44"/>
        <v>51</v>
      </c>
      <c r="L41" s="152">
        <f t="shared" si="45"/>
        <v>12.56157635</v>
      </c>
      <c r="M41" s="126">
        <v>18380.0</v>
      </c>
      <c r="N41" s="367">
        <f t="shared" si="46"/>
        <v>937380</v>
      </c>
    </row>
    <row r="42">
      <c r="A42" s="154">
        <v>45644.0</v>
      </c>
      <c r="B42" s="156" t="s">
        <v>16</v>
      </c>
      <c r="C42" s="89">
        <v>117422.0</v>
      </c>
      <c r="D42" s="89">
        <v>118086.0</v>
      </c>
      <c r="E42" s="12">
        <f t="shared" si="41"/>
        <v>664</v>
      </c>
      <c r="F42" s="157">
        <v>49.0</v>
      </c>
      <c r="G42" s="14">
        <f t="shared" si="42"/>
        <v>7.379518072</v>
      </c>
      <c r="H42" s="89">
        <v>8628.0</v>
      </c>
      <c r="I42" s="137">
        <v>9440.0</v>
      </c>
      <c r="J42" s="89">
        <f t="shared" si="43"/>
        <v>812</v>
      </c>
      <c r="K42" s="89">
        <f t="shared" si="44"/>
        <v>49</v>
      </c>
      <c r="L42" s="152">
        <f t="shared" si="45"/>
        <v>6.034482759</v>
      </c>
      <c r="M42" s="126">
        <v>18250.0</v>
      </c>
      <c r="N42" s="367">
        <f t="shared" si="46"/>
        <v>894250</v>
      </c>
    </row>
    <row r="43">
      <c r="A43" s="154">
        <v>45648.0</v>
      </c>
      <c r="B43" s="156" t="s">
        <v>16</v>
      </c>
      <c r="C43" s="89">
        <v>118086.0</v>
      </c>
      <c r="D43" s="89">
        <v>118392.0</v>
      </c>
      <c r="E43" s="12">
        <f t="shared" si="41"/>
        <v>306</v>
      </c>
      <c r="F43" s="157">
        <v>46.0</v>
      </c>
      <c r="G43" s="14">
        <f t="shared" si="42"/>
        <v>15.03267974</v>
      </c>
      <c r="H43" s="89">
        <v>9440.0</v>
      </c>
      <c r="I43" s="137">
        <v>9717.0</v>
      </c>
      <c r="J43" s="89">
        <f t="shared" si="43"/>
        <v>277</v>
      </c>
      <c r="K43" s="89">
        <f t="shared" si="44"/>
        <v>46</v>
      </c>
      <c r="L43" s="152">
        <f t="shared" si="45"/>
        <v>16.60649819</v>
      </c>
      <c r="M43" s="126">
        <v>18730.0</v>
      </c>
      <c r="N43" s="367">
        <f t="shared" si="46"/>
        <v>861580</v>
      </c>
      <c r="P43" s="82"/>
    </row>
    <row r="44">
      <c r="A44" s="154">
        <v>45652.0</v>
      </c>
      <c r="B44" s="156" t="s">
        <v>16</v>
      </c>
      <c r="C44" s="89">
        <v>118392.0</v>
      </c>
      <c r="D44" s="89">
        <v>118707.0</v>
      </c>
      <c r="E44" s="12">
        <f t="shared" si="41"/>
        <v>315</v>
      </c>
      <c r="F44" s="157">
        <v>40.0</v>
      </c>
      <c r="G44" s="14">
        <f t="shared" si="42"/>
        <v>12.6984127</v>
      </c>
      <c r="H44" s="89">
        <v>9717.0</v>
      </c>
      <c r="I44" s="137">
        <v>10086.0</v>
      </c>
      <c r="J44" s="89">
        <f t="shared" si="43"/>
        <v>369</v>
      </c>
      <c r="K44" s="89">
        <f t="shared" si="44"/>
        <v>40</v>
      </c>
      <c r="L44" s="152">
        <f t="shared" si="45"/>
        <v>10.8401084</v>
      </c>
      <c r="M44" s="126">
        <v>18630.0</v>
      </c>
      <c r="N44" s="367">
        <f t="shared" si="46"/>
        <v>745200</v>
      </c>
    </row>
    <row r="45">
      <c r="A45" s="320"/>
      <c r="B45" s="99" t="s">
        <v>16</v>
      </c>
      <c r="C45" s="89"/>
      <c r="D45" s="158"/>
      <c r="E45" s="12">
        <f t="shared" si="41"/>
        <v>0</v>
      </c>
      <c r="F45" s="321"/>
      <c r="G45" s="14" t="str">
        <f t="shared" si="42"/>
        <v>#DIV/0!</v>
      </c>
      <c r="H45" s="89"/>
      <c r="I45" s="159"/>
      <c r="J45" s="89">
        <f t="shared" si="43"/>
        <v>0</v>
      </c>
      <c r="K45" s="89" t="str">
        <f t="shared" si="44"/>
        <v/>
      </c>
      <c r="L45" s="152" t="str">
        <f t="shared" si="45"/>
        <v>#DIV/0!</v>
      </c>
      <c r="M45" s="322"/>
      <c r="N45" s="367">
        <f t="shared" si="46"/>
        <v>0</v>
      </c>
    </row>
    <row r="46">
      <c r="A46" s="305"/>
      <c r="B46" s="323"/>
      <c r="C46" s="149"/>
      <c r="D46" s="150"/>
      <c r="E46" s="25">
        <f t="shared" si="41"/>
        <v>0</v>
      </c>
      <c r="F46" s="307"/>
      <c r="G46" s="56" t="str">
        <f t="shared" si="42"/>
        <v>#DIV/0!</v>
      </c>
      <c r="H46" s="149">
        <v>1.0</v>
      </c>
      <c r="I46" s="151"/>
      <c r="J46" s="149">
        <f t="shared" si="43"/>
        <v>-1</v>
      </c>
      <c r="K46" s="149" t="str">
        <f t="shared" si="44"/>
        <v/>
      </c>
      <c r="L46" s="152">
        <f t="shared" si="45"/>
        <v>0</v>
      </c>
      <c r="M46" s="308"/>
      <c r="N46" s="380">
        <f t="shared" si="46"/>
        <v>0</v>
      </c>
    </row>
    <row r="47">
      <c r="A47" s="62"/>
      <c r="B47" s="63"/>
      <c r="C47" s="62"/>
      <c r="D47" s="64" t="s">
        <v>19</v>
      </c>
      <c r="E47" s="64">
        <f t="shared" ref="E47:F47" si="47">sum(E40:E46)</f>
        <v>1988</v>
      </c>
      <c r="F47" s="64">
        <f t="shared" si="47"/>
        <v>236</v>
      </c>
      <c r="G47" s="65" t="str">
        <f>average(G40:G46)</f>
        <v>#DIV/0!</v>
      </c>
      <c r="H47" s="62"/>
      <c r="I47" s="66"/>
      <c r="J47" s="64">
        <f t="shared" ref="J47:K47" si="48">sum(J40:J46)</f>
        <v>2229</v>
      </c>
      <c r="K47" s="64">
        <f t="shared" si="48"/>
        <v>236</v>
      </c>
      <c r="L47" s="65" t="str">
        <f>average(L40:L46)</f>
        <v>#DIV/0!</v>
      </c>
      <c r="M47" s="68"/>
      <c r="N47" s="389">
        <f>sum(N40:N46)</f>
        <v>4376910</v>
      </c>
    </row>
    <row r="48">
      <c r="A48" s="70">
        <v>45633.0</v>
      </c>
      <c r="B48" s="314" t="s">
        <v>18</v>
      </c>
      <c r="C48" s="89">
        <v>121741.0</v>
      </c>
      <c r="D48" s="41">
        <v>122141.0</v>
      </c>
      <c r="E48" s="38">
        <f t="shared" ref="E48:E54" si="49">D48-C48</f>
        <v>400</v>
      </c>
      <c r="F48" s="39">
        <v>52.0</v>
      </c>
      <c r="G48" s="14">
        <f t="shared" ref="G48:G54" si="50">(F48/E48)*100</f>
        <v>13</v>
      </c>
      <c r="H48" s="137">
        <v>8354.0</v>
      </c>
      <c r="I48" s="138">
        <v>8871.0</v>
      </c>
      <c r="J48" s="41">
        <f t="shared" ref="J48:J54" si="51">I48-H48</f>
        <v>517</v>
      </c>
      <c r="K48" s="41">
        <f t="shared" ref="K48:K54" si="52">F48</f>
        <v>52</v>
      </c>
      <c r="L48" s="152">
        <f t="shared" ref="L48:L54" si="53">(K48/J48)*100</f>
        <v>10.05802708</v>
      </c>
      <c r="M48" s="72">
        <v>18380.0</v>
      </c>
      <c r="N48" s="385">
        <f t="shared" ref="N48:N54" si="54">F48*M48</f>
        <v>955760</v>
      </c>
    </row>
    <row r="49">
      <c r="A49" s="154">
        <v>45636.0</v>
      </c>
      <c r="B49" s="156" t="s">
        <v>18</v>
      </c>
      <c r="C49" s="89">
        <v>122141.0</v>
      </c>
      <c r="D49" s="89">
        <v>122448.0</v>
      </c>
      <c r="E49" s="12">
        <f t="shared" si="49"/>
        <v>307</v>
      </c>
      <c r="F49" s="157">
        <v>39.0</v>
      </c>
      <c r="G49" s="14">
        <f t="shared" si="50"/>
        <v>12.70358306</v>
      </c>
      <c r="H49" s="89">
        <v>8871.0</v>
      </c>
      <c r="I49" s="137">
        <v>9212.0</v>
      </c>
      <c r="J49" s="89">
        <f t="shared" si="51"/>
        <v>341</v>
      </c>
      <c r="K49" s="89">
        <f t="shared" si="52"/>
        <v>39</v>
      </c>
      <c r="L49" s="152">
        <f t="shared" si="53"/>
        <v>11.43695015</v>
      </c>
      <c r="M49" s="126">
        <v>18380.0</v>
      </c>
      <c r="N49" s="367">
        <f t="shared" si="54"/>
        <v>716820</v>
      </c>
    </row>
    <row r="50">
      <c r="A50" s="154">
        <v>45642.0</v>
      </c>
      <c r="B50" s="156" t="s">
        <v>18</v>
      </c>
      <c r="C50" s="89">
        <v>122448.0</v>
      </c>
      <c r="D50" s="89">
        <v>122866.0</v>
      </c>
      <c r="E50" s="12">
        <f t="shared" si="49"/>
        <v>418</v>
      </c>
      <c r="F50" s="157">
        <v>52.0</v>
      </c>
      <c r="G50" s="14">
        <f t="shared" si="50"/>
        <v>12.44019139</v>
      </c>
      <c r="H50" s="89">
        <v>9212.0</v>
      </c>
      <c r="I50" s="137">
        <v>9552.0</v>
      </c>
      <c r="J50" s="89">
        <f t="shared" si="51"/>
        <v>340</v>
      </c>
      <c r="K50" s="89">
        <f t="shared" si="52"/>
        <v>52</v>
      </c>
      <c r="L50" s="152">
        <f t="shared" si="53"/>
        <v>15.29411765</v>
      </c>
      <c r="M50" s="126">
        <v>18250.0</v>
      </c>
      <c r="N50" s="367">
        <f t="shared" si="54"/>
        <v>949000</v>
      </c>
    </row>
    <row r="51">
      <c r="A51" s="154">
        <v>45647.0</v>
      </c>
      <c r="B51" s="156" t="s">
        <v>18</v>
      </c>
      <c r="C51" s="89">
        <v>122866.0</v>
      </c>
      <c r="D51" s="89">
        <v>123148.0</v>
      </c>
      <c r="E51" s="12">
        <f t="shared" si="49"/>
        <v>282</v>
      </c>
      <c r="F51" s="157">
        <v>37.0</v>
      </c>
      <c r="G51" s="14">
        <f t="shared" si="50"/>
        <v>13.12056738</v>
      </c>
      <c r="H51" s="89">
        <v>9552.0</v>
      </c>
      <c r="I51" s="137">
        <v>10115.0</v>
      </c>
      <c r="J51" s="89">
        <f t="shared" si="51"/>
        <v>563</v>
      </c>
      <c r="K51" s="89">
        <f t="shared" si="52"/>
        <v>37</v>
      </c>
      <c r="L51" s="152">
        <f t="shared" si="53"/>
        <v>6.571936057</v>
      </c>
      <c r="M51" s="126">
        <v>18730.0</v>
      </c>
      <c r="N51" s="367">
        <f t="shared" si="54"/>
        <v>693010</v>
      </c>
    </row>
    <row r="52">
      <c r="A52" s="154">
        <v>45649.0</v>
      </c>
      <c r="B52" s="156" t="s">
        <v>18</v>
      </c>
      <c r="C52" s="89">
        <v>123148.0</v>
      </c>
      <c r="D52" s="89">
        <v>123456.0</v>
      </c>
      <c r="E52" s="12">
        <f t="shared" si="49"/>
        <v>308</v>
      </c>
      <c r="F52" s="157">
        <v>40.0</v>
      </c>
      <c r="G52" s="14">
        <f t="shared" si="50"/>
        <v>12.98701299</v>
      </c>
      <c r="H52" s="89">
        <v>10115.0</v>
      </c>
      <c r="I52" s="137">
        <v>10196.0</v>
      </c>
      <c r="J52" s="89">
        <f t="shared" si="51"/>
        <v>81</v>
      </c>
      <c r="K52" s="89">
        <f t="shared" si="52"/>
        <v>40</v>
      </c>
      <c r="L52" s="152">
        <f t="shared" si="53"/>
        <v>49.38271605</v>
      </c>
      <c r="M52" s="126">
        <v>18730.0</v>
      </c>
      <c r="N52" s="367">
        <f t="shared" si="54"/>
        <v>749200</v>
      </c>
    </row>
    <row r="53">
      <c r="A53" s="312">
        <v>45654.0</v>
      </c>
      <c r="B53" s="156" t="s">
        <v>18</v>
      </c>
      <c r="C53" s="89">
        <v>123456.0</v>
      </c>
      <c r="D53" s="89">
        <v>123766.0</v>
      </c>
      <c r="E53" s="12">
        <f t="shared" si="49"/>
        <v>310</v>
      </c>
      <c r="F53" s="157">
        <v>38.0</v>
      </c>
      <c r="G53" s="14">
        <f t="shared" si="50"/>
        <v>12.25806452</v>
      </c>
      <c r="H53" s="89">
        <v>10196.0</v>
      </c>
      <c r="I53" s="137">
        <v>10732.0</v>
      </c>
      <c r="J53" s="89">
        <f t="shared" si="51"/>
        <v>536</v>
      </c>
      <c r="K53" s="89">
        <f t="shared" si="52"/>
        <v>38</v>
      </c>
      <c r="L53" s="152">
        <f t="shared" si="53"/>
        <v>7.089552239</v>
      </c>
      <c r="M53" s="126">
        <v>18630.0</v>
      </c>
      <c r="N53" s="367">
        <f t="shared" si="54"/>
        <v>707940</v>
      </c>
    </row>
    <row r="54">
      <c r="A54" s="316">
        <v>46022.0</v>
      </c>
      <c r="B54" s="99" t="s">
        <v>18</v>
      </c>
      <c r="C54" s="149">
        <v>123766.0</v>
      </c>
      <c r="D54" s="149">
        <v>124048.0</v>
      </c>
      <c r="E54" s="25">
        <f t="shared" si="49"/>
        <v>282</v>
      </c>
      <c r="F54" s="161">
        <v>40.0</v>
      </c>
      <c r="G54" s="56">
        <f t="shared" si="50"/>
        <v>14.18439716</v>
      </c>
      <c r="H54" s="149">
        <v>10732.0</v>
      </c>
      <c r="I54" s="315">
        <v>10879.0</v>
      </c>
      <c r="J54" s="149">
        <f t="shared" si="51"/>
        <v>147</v>
      </c>
      <c r="K54" s="149">
        <f t="shared" si="52"/>
        <v>40</v>
      </c>
      <c r="L54" s="152">
        <f t="shared" si="53"/>
        <v>27.21088435</v>
      </c>
      <c r="M54" s="153">
        <v>18630.0</v>
      </c>
      <c r="N54" s="380">
        <f t="shared" si="54"/>
        <v>745200</v>
      </c>
    </row>
    <row r="55">
      <c r="A55" s="62"/>
      <c r="B55" s="63"/>
      <c r="C55" s="62"/>
      <c r="D55" s="64" t="s">
        <v>19</v>
      </c>
      <c r="E55" s="64">
        <f t="shared" ref="E55:F55" si="55">sum(E48:E54)</f>
        <v>2307</v>
      </c>
      <c r="F55" s="64">
        <f t="shared" si="55"/>
        <v>298</v>
      </c>
      <c r="G55" s="65">
        <f>average(G48:G54)</f>
        <v>12.9562595</v>
      </c>
      <c r="H55" s="62"/>
      <c r="I55" s="66"/>
      <c r="J55" s="64">
        <f t="shared" ref="J55:K55" si="56">sum(J48:J54)</f>
        <v>2525</v>
      </c>
      <c r="K55" s="64">
        <f t="shared" si="56"/>
        <v>298</v>
      </c>
      <c r="L55" s="65">
        <f>average(L48:L54)</f>
        <v>18.14916908</v>
      </c>
      <c r="M55" s="68"/>
      <c r="N55" s="389">
        <f>sum(N48:N54)</f>
        <v>5516930</v>
      </c>
    </row>
    <row r="56">
      <c r="A56" s="70">
        <v>45629.0</v>
      </c>
      <c r="B56" s="302" t="s">
        <v>20</v>
      </c>
      <c r="C56" s="89">
        <v>365769.0</v>
      </c>
      <c r="D56" s="41">
        <v>366474.0</v>
      </c>
      <c r="E56" s="38">
        <f t="shared" ref="E56:E62" si="57">D56-C56</f>
        <v>705</v>
      </c>
      <c r="F56" s="39">
        <v>95.0</v>
      </c>
      <c r="G56" s="14">
        <f t="shared" ref="G56:G62" si="58">(F56/E56)*100</f>
        <v>13.4751773</v>
      </c>
      <c r="H56" s="137">
        <v>9186.0</v>
      </c>
      <c r="I56" s="138">
        <v>9858.0</v>
      </c>
      <c r="J56" s="41">
        <f t="shared" ref="J56:J62" si="59">I56-H56</f>
        <v>672</v>
      </c>
      <c r="K56" s="41">
        <f t="shared" ref="K56:K62" si="60">F56</f>
        <v>95</v>
      </c>
      <c r="L56" s="152">
        <f t="shared" ref="L56:L62" si="61">(K56/J56)*100</f>
        <v>14.13690476</v>
      </c>
      <c r="M56" s="72">
        <v>18770.0</v>
      </c>
      <c r="N56" s="385">
        <f t="shared" ref="N56:N62" si="62">F56*M56</f>
        <v>1783150</v>
      </c>
    </row>
    <row r="57">
      <c r="A57" s="154">
        <v>45642.0</v>
      </c>
      <c r="B57" s="156" t="s">
        <v>20</v>
      </c>
      <c r="C57" s="89">
        <v>366474.0</v>
      </c>
      <c r="D57" s="89">
        <v>367276.0</v>
      </c>
      <c r="E57" s="12">
        <f t="shared" si="57"/>
        <v>802</v>
      </c>
      <c r="F57" s="157">
        <v>100.0</v>
      </c>
      <c r="G57" s="14">
        <f t="shared" si="58"/>
        <v>12.46882793</v>
      </c>
      <c r="H57" s="89">
        <v>9858.0</v>
      </c>
      <c r="I57" s="137">
        <v>10622.0</v>
      </c>
      <c r="J57" s="89">
        <f t="shared" si="59"/>
        <v>764</v>
      </c>
      <c r="K57" s="89">
        <f t="shared" si="60"/>
        <v>100</v>
      </c>
      <c r="L57" s="152">
        <f t="shared" si="61"/>
        <v>13.08900524</v>
      </c>
      <c r="M57" s="126">
        <v>18250.0</v>
      </c>
      <c r="N57" s="367">
        <f t="shared" si="62"/>
        <v>1825000</v>
      </c>
    </row>
    <row r="58">
      <c r="A58" s="154">
        <v>45650.0</v>
      </c>
      <c r="B58" s="156" t="s">
        <v>20</v>
      </c>
      <c r="C58" s="89">
        <v>367276.0</v>
      </c>
      <c r="D58" s="89">
        <v>368013.0</v>
      </c>
      <c r="E58" s="12">
        <f t="shared" si="57"/>
        <v>737</v>
      </c>
      <c r="F58" s="157">
        <v>90.0</v>
      </c>
      <c r="G58" s="14">
        <f t="shared" si="58"/>
        <v>12.21166893</v>
      </c>
      <c r="H58" s="89">
        <v>10622.0</v>
      </c>
      <c r="I58" s="137">
        <v>11333.0</v>
      </c>
      <c r="J58" s="89">
        <f t="shared" si="59"/>
        <v>711</v>
      </c>
      <c r="K58" s="89">
        <f t="shared" si="60"/>
        <v>90</v>
      </c>
      <c r="L58" s="152">
        <f t="shared" si="61"/>
        <v>12.65822785</v>
      </c>
      <c r="M58" s="126">
        <v>18730.0</v>
      </c>
      <c r="N58" s="367">
        <f t="shared" si="62"/>
        <v>1685700</v>
      </c>
    </row>
    <row r="59">
      <c r="A59" s="154"/>
      <c r="B59" s="156" t="s">
        <v>20</v>
      </c>
      <c r="C59" s="89"/>
      <c r="D59" s="89"/>
      <c r="E59" s="12">
        <f t="shared" si="57"/>
        <v>0</v>
      </c>
      <c r="F59" s="157"/>
      <c r="G59" s="14" t="str">
        <f t="shared" si="58"/>
        <v>#DIV/0!</v>
      </c>
      <c r="H59" s="89"/>
      <c r="I59" s="137"/>
      <c r="J59" s="89">
        <f t="shared" si="59"/>
        <v>0</v>
      </c>
      <c r="K59" s="89" t="str">
        <f t="shared" si="60"/>
        <v/>
      </c>
      <c r="L59" s="152" t="str">
        <f t="shared" si="61"/>
        <v>#DIV/0!</v>
      </c>
      <c r="M59" s="126"/>
      <c r="N59" s="367">
        <f t="shared" si="62"/>
        <v>0</v>
      </c>
    </row>
    <row r="60">
      <c r="A60" s="154"/>
      <c r="B60" s="156" t="s">
        <v>20</v>
      </c>
      <c r="C60" s="89"/>
      <c r="D60" s="89"/>
      <c r="E60" s="12">
        <f t="shared" si="57"/>
        <v>0</v>
      </c>
      <c r="F60" s="157"/>
      <c r="G60" s="14" t="str">
        <f t="shared" si="58"/>
        <v>#DIV/0!</v>
      </c>
      <c r="H60" s="89"/>
      <c r="I60" s="137"/>
      <c r="J60" s="89">
        <f t="shared" si="59"/>
        <v>0</v>
      </c>
      <c r="K60" s="89" t="str">
        <f t="shared" si="60"/>
        <v/>
      </c>
      <c r="L60" s="152" t="str">
        <f t="shared" si="61"/>
        <v>#DIV/0!</v>
      </c>
      <c r="M60" s="126"/>
      <c r="N60" s="367">
        <f t="shared" si="62"/>
        <v>0</v>
      </c>
    </row>
    <row r="61">
      <c r="A61" s="320"/>
      <c r="B61" s="99" t="s">
        <v>20</v>
      </c>
      <c r="C61" s="89"/>
      <c r="D61" s="158"/>
      <c r="E61" s="12">
        <f t="shared" si="57"/>
        <v>0</v>
      </c>
      <c r="F61" s="321"/>
      <c r="G61" s="14" t="str">
        <f t="shared" si="58"/>
        <v>#DIV/0!</v>
      </c>
      <c r="H61" s="89"/>
      <c r="I61" s="159"/>
      <c r="J61" s="89">
        <f t="shared" si="59"/>
        <v>0</v>
      </c>
      <c r="K61" s="89" t="str">
        <f t="shared" si="60"/>
        <v/>
      </c>
      <c r="L61" s="152" t="str">
        <f t="shared" si="61"/>
        <v>#DIV/0!</v>
      </c>
      <c r="M61" s="322"/>
      <c r="N61" s="367">
        <f t="shared" si="62"/>
        <v>0</v>
      </c>
    </row>
    <row r="62">
      <c r="A62" s="305"/>
      <c r="B62" s="323"/>
      <c r="C62" s="149"/>
      <c r="D62" s="150"/>
      <c r="E62" s="25">
        <f t="shared" si="57"/>
        <v>0</v>
      </c>
      <c r="F62" s="307"/>
      <c r="G62" s="56" t="str">
        <f t="shared" si="58"/>
        <v>#DIV/0!</v>
      </c>
      <c r="H62" s="149"/>
      <c r="I62" s="151"/>
      <c r="J62" s="149">
        <f t="shared" si="59"/>
        <v>0</v>
      </c>
      <c r="K62" s="149" t="str">
        <f t="shared" si="60"/>
        <v/>
      </c>
      <c r="L62" s="152" t="str">
        <f t="shared" si="61"/>
        <v>#DIV/0!</v>
      </c>
      <c r="M62" s="308"/>
      <c r="N62" s="380">
        <f t="shared" si="62"/>
        <v>0</v>
      </c>
    </row>
    <row r="63">
      <c r="A63" s="62"/>
      <c r="B63" s="63"/>
      <c r="C63" s="62"/>
      <c r="D63" s="64" t="s">
        <v>19</v>
      </c>
      <c r="E63" s="64">
        <f t="shared" ref="E63:F63" si="63">sum(E56:E62)</f>
        <v>2244</v>
      </c>
      <c r="F63" s="64">
        <f t="shared" si="63"/>
        <v>285</v>
      </c>
      <c r="G63" s="65" t="str">
        <f>average(G56:G62)</f>
        <v>#DIV/0!</v>
      </c>
      <c r="H63" s="62"/>
      <c r="I63" s="66"/>
      <c r="J63" s="64">
        <f t="shared" ref="J63:K63" si="64">sum(J56:J62)</f>
        <v>2147</v>
      </c>
      <c r="K63" s="64">
        <f t="shared" si="64"/>
        <v>285</v>
      </c>
      <c r="L63" s="65" t="str">
        <f>average(L56:L62)</f>
        <v>#DIV/0!</v>
      </c>
      <c r="M63" s="68"/>
      <c r="N63" s="389">
        <f>sum(N56:N62)</f>
        <v>5293850</v>
      </c>
    </row>
    <row r="64">
      <c r="A64" s="70">
        <v>45628.0</v>
      </c>
      <c r="B64" s="302" t="s">
        <v>21</v>
      </c>
      <c r="C64" s="89">
        <v>347392.0</v>
      </c>
      <c r="D64" s="41">
        <v>348006.0</v>
      </c>
      <c r="E64" s="38">
        <f t="shared" ref="E64:E70" si="65">D64-C64</f>
        <v>614</v>
      </c>
      <c r="F64" s="39">
        <v>75.0</v>
      </c>
      <c r="G64" s="14">
        <f t="shared" ref="G64:G70" si="66">(F64/E64)*100</f>
        <v>12.21498371</v>
      </c>
      <c r="H64" s="41">
        <v>8427.0</v>
      </c>
      <c r="I64" s="137">
        <v>9035.0</v>
      </c>
      <c r="J64" s="41">
        <f t="shared" ref="J64:J70" si="67">I64-H64</f>
        <v>608</v>
      </c>
      <c r="K64" s="41">
        <f t="shared" ref="K64:K70" si="68">F64</f>
        <v>75</v>
      </c>
      <c r="L64" s="152">
        <f t="shared" ref="L64:L70" si="69">(K64/J64)*100</f>
        <v>12.33552632</v>
      </c>
      <c r="M64" s="72">
        <v>18770.0</v>
      </c>
      <c r="N64" s="385">
        <f t="shared" ref="N64:N70" si="70">F64*M64</f>
        <v>1407750</v>
      </c>
    </row>
    <row r="65">
      <c r="A65" s="154">
        <v>45637.0</v>
      </c>
      <c r="B65" s="156" t="s">
        <v>21</v>
      </c>
      <c r="C65" s="89">
        <v>348006.0</v>
      </c>
      <c r="D65" s="89">
        <v>348450.0</v>
      </c>
      <c r="E65" s="12">
        <f t="shared" si="65"/>
        <v>444</v>
      </c>
      <c r="F65" s="157">
        <v>63.0</v>
      </c>
      <c r="G65" s="14">
        <f t="shared" si="66"/>
        <v>14.18918919</v>
      </c>
      <c r="H65" s="89">
        <v>9035.0</v>
      </c>
      <c r="I65" s="137">
        <v>9596.0</v>
      </c>
      <c r="J65" s="89">
        <f t="shared" si="67"/>
        <v>561</v>
      </c>
      <c r="K65" s="89">
        <f t="shared" si="68"/>
        <v>63</v>
      </c>
      <c r="L65" s="152">
        <f t="shared" si="69"/>
        <v>11.22994652</v>
      </c>
      <c r="M65" s="126">
        <v>18380.0</v>
      </c>
      <c r="N65" s="367">
        <f t="shared" si="70"/>
        <v>1157940</v>
      </c>
    </row>
    <row r="66">
      <c r="A66" s="154">
        <v>45646.0</v>
      </c>
      <c r="B66" s="156" t="s">
        <v>21</v>
      </c>
      <c r="C66" s="89">
        <v>348450.0</v>
      </c>
      <c r="D66" s="89">
        <v>349339.0</v>
      </c>
      <c r="E66" s="12">
        <f t="shared" si="65"/>
        <v>889</v>
      </c>
      <c r="F66" s="157">
        <v>78.0</v>
      </c>
      <c r="G66" s="14">
        <f t="shared" si="66"/>
        <v>8.773903262</v>
      </c>
      <c r="H66" s="89">
        <v>9596.0</v>
      </c>
      <c r="I66" s="137">
        <v>10348.0</v>
      </c>
      <c r="J66" s="89">
        <f t="shared" si="67"/>
        <v>752</v>
      </c>
      <c r="K66" s="89">
        <f t="shared" si="68"/>
        <v>78</v>
      </c>
      <c r="L66" s="152">
        <f t="shared" si="69"/>
        <v>10.37234043</v>
      </c>
      <c r="M66" s="126">
        <v>18730.0</v>
      </c>
      <c r="N66" s="367">
        <f t="shared" si="70"/>
        <v>1460940</v>
      </c>
    </row>
    <row r="67">
      <c r="A67" s="154">
        <v>45651.0</v>
      </c>
      <c r="B67" s="156" t="s">
        <v>21</v>
      </c>
      <c r="C67" s="89">
        <v>349339.0</v>
      </c>
      <c r="D67" s="89">
        <v>349832.0</v>
      </c>
      <c r="E67" s="12">
        <f t="shared" si="65"/>
        <v>493</v>
      </c>
      <c r="F67" s="157">
        <v>70.0</v>
      </c>
      <c r="G67" s="14">
        <f t="shared" si="66"/>
        <v>14.19878296</v>
      </c>
      <c r="H67" s="89">
        <v>10348.0</v>
      </c>
      <c r="I67" s="137">
        <v>11110.0</v>
      </c>
      <c r="J67" s="89">
        <f t="shared" si="67"/>
        <v>762</v>
      </c>
      <c r="K67" s="89">
        <f t="shared" si="68"/>
        <v>70</v>
      </c>
      <c r="L67" s="152">
        <f t="shared" si="69"/>
        <v>9.186351706</v>
      </c>
      <c r="M67" s="126">
        <v>18730.0</v>
      </c>
      <c r="N67" s="367">
        <f t="shared" si="70"/>
        <v>1311100</v>
      </c>
    </row>
    <row r="68">
      <c r="A68" s="154"/>
      <c r="B68" s="156" t="s">
        <v>21</v>
      </c>
      <c r="C68" s="89"/>
      <c r="D68" s="89"/>
      <c r="E68" s="12">
        <f t="shared" si="65"/>
        <v>0</v>
      </c>
      <c r="F68" s="157"/>
      <c r="G68" s="14" t="str">
        <f t="shared" si="66"/>
        <v>#DIV/0!</v>
      </c>
      <c r="H68" s="89"/>
      <c r="I68" s="137"/>
      <c r="J68" s="89">
        <f t="shared" si="67"/>
        <v>0</v>
      </c>
      <c r="K68" s="89" t="str">
        <f t="shared" si="68"/>
        <v/>
      </c>
      <c r="L68" s="152" t="str">
        <f t="shared" si="69"/>
        <v>#DIV/0!</v>
      </c>
      <c r="M68" s="126"/>
      <c r="N68" s="367">
        <f t="shared" si="70"/>
        <v>0</v>
      </c>
    </row>
    <row r="69">
      <c r="A69" s="320"/>
      <c r="B69" s="99"/>
      <c r="C69" s="89"/>
      <c r="D69" s="158"/>
      <c r="E69" s="12">
        <f t="shared" si="65"/>
        <v>0</v>
      </c>
      <c r="F69" s="321"/>
      <c r="G69" s="14" t="str">
        <f t="shared" si="66"/>
        <v>#DIV/0!</v>
      </c>
      <c r="H69" s="89"/>
      <c r="I69" s="159"/>
      <c r="J69" s="89">
        <f t="shared" si="67"/>
        <v>0</v>
      </c>
      <c r="K69" s="89" t="str">
        <f t="shared" si="68"/>
        <v/>
      </c>
      <c r="L69" s="152" t="str">
        <f t="shared" si="69"/>
        <v>#DIV/0!</v>
      </c>
      <c r="M69" s="322"/>
      <c r="N69" s="367">
        <f t="shared" si="70"/>
        <v>0</v>
      </c>
    </row>
    <row r="70">
      <c r="A70" s="305"/>
      <c r="B70" s="323"/>
      <c r="C70" s="149"/>
      <c r="D70" s="150"/>
      <c r="E70" s="25">
        <f t="shared" si="65"/>
        <v>0</v>
      </c>
      <c r="F70" s="307"/>
      <c r="G70" s="56" t="str">
        <f t="shared" si="66"/>
        <v>#DIV/0!</v>
      </c>
      <c r="H70" s="149">
        <v>1.0</v>
      </c>
      <c r="I70" s="151"/>
      <c r="J70" s="149">
        <f t="shared" si="67"/>
        <v>-1</v>
      </c>
      <c r="K70" s="149" t="str">
        <f t="shared" si="68"/>
        <v/>
      </c>
      <c r="L70" s="152">
        <f t="shared" si="69"/>
        <v>0</v>
      </c>
      <c r="M70" s="308"/>
      <c r="N70" s="380">
        <f t="shared" si="70"/>
        <v>0</v>
      </c>
    </row>
    <row r="71">
      <c r="A71" s="62"/>
      <c r="B71" s="63"/>
      <c r="C71" s="62"/>
      <c r="D71" s="64" t="s">
        <v>19</v>
      </c>
      <c r="E71" s="64">
        <f t="shared" ref="E71:F71" si="71">sum(E64:E70)</f>
        <v>2440</v>
      </c>
      <c r="F71" s="64">
        <f t="shared" si="71"/>
        <v>286</v>
      </c>
      <c r="G71" s="65" t="str">
        <f>average(G64:G70)</f>
        <v>#DIV/0!</v>
      </c>
      <c r="H71" s="62"/>
      <c r="I71" s="66"/>
      <c r="J71" s="64">
        <f t="shared" ref="J71:K71" si="72">sum(J64:J70)</f>
        <v>2682</v>
      </c>
      <c r="K71" s="64">
        <f t="shared" si="72"/>
        <v>286</v>
      </c>
      <c r="L71" s="65" t="str">
        <f>average(L64:L70)</f>
        <v>#DIV/0!</v>
      </c>
      <c r="M71" s="68"/>
      <c r="N71" s="389">
        <f>sum(N64:N70)</f>
        <v>5337730</v>
      </c>
    </row>
    <row r="72">
      <c r="A72" s="70">
        <v>45633.0</v>
      </c>
      <c r="B72" s="314" t="s">
        <v>100</v>
      </c>
      <c r="C72" s="89">
        <v>182379.0</v>
      </c>
      <c r="D72" s="41">
        <v>182997.0</v>
      </c>
      <c r="E72" s="38">
        <f t="shared" ref="E72:E78" si="73">D72-C72</f>
        <v>618</v>
      </c>
      <c r="F72" s="39">
        <v>72.0</v>
      </c>
      <c r="G72" s="14">
        <f t="shared" ref="G72:G78" si="74">(F72/E72)*100</f>
        <v>11.65048544</v>
      </c>
      <c r="H72" s="137">
        <v>11996.0</v>
      </c>
      <c r="I72" s="138">
        <v>12600.0</v>
      </c>
      <c r="J72" s="41">
        <f t="shared" ref="J72:J78" si="75">I72-H72</f>
        <v>604</v>
      </c>
      <c r="K72" s="41">
        <f t="shared" ref="K72:K78" si="76">F72</f>
        <v>72</v>
      </c>
      <c r="L72" s="152">
        <f t="shared" ref="L72:L78" si="77">(K72/J72)*100</f>
        <v>11.9205298</v>
      </c>
      <c r="M72" s="72">
        <v>18380.0</v>
      </c>
      <c r="N72" s="385">
        <f t="shared" ref="N72:N78" si="78">F72*M72</f>
        <v>1323360</v>
      </c>
    </row>
    <row r="73">
      <c r="A73" s="154">
        <v>45639.0</v>
      </c>
      <c r="B73" s="156" t="s">
        <v>100</v>
      </c>
      <c r="C73" s="89">
        <v>182997.0</v>
      </c>
      <c r="D73" s="89">
        <v>183604.0</v>
      </c>
      <c r="E73" s="12">
        <f t="shared" si="73"/>
        <v>607</v>
      </c>
      <c r="F73" s="157">
        <v>75.0</v>
      </c>
      <c r="G73" s="14">
        <f t="shared" si="74"/>
        <v>12.35584843</v>
      </c>
      <c r="H73" s="89">
        <v>12600.0</v>
      </c>
      <c r="I73" s="137">
        <v>13221.0</v>
      </c>
      <c r="J73" s="89">
        <f t="shared" si="75"/>
        <v>621</v>
      </c>
      <c r="K73" s="89">
        <f t="shared" si="76"/>
        <v>75</v>
      </c>
      <c r="L73" s="152">
        <f t="shared" si="77"/>
        <v>12.07729469</v>
      </c>
      <c r="M73" s="126">
        <v>18250.0</v>
      </c>
      <c r="N73" s="367">
        <f t="shared" si="78"/>
        <v>1368750</v>
      </c>
    </row>
    <row r="74">
      <c r="A74" s="154">
        <v>45645.0</v>
      </c>
      <c r="B74" s="156" t="s">
        <v>100</v>
      </c>
      <c r="C74" s="89">
        <v>183604.0</v>
      </c>
      <c r="D74" s="89">
        <v>184192.0</v>
      </c>
      <c r="E74" s="12">
        <f t="shared" si="73"/>
        <v>588</v>
      </c>
      <c r="F74" s="157">
        <v>69.0</v>
      </c>
      <c r="G74" s="14">
        <f t="shared" si="74"/>
        <v>11.73469388</v>
      </c>
      <c r="H74" s="89">
        <v>12600.0</v>
      </c>
      <c r="I74" s="137">
        <v>13807.0</v>
      </c>
      <c r="J74" s="89">
        <f t="shared" si="75"/>
        <v>1207</v>
      </c>
      <c r="K74" s="89">
        <f t="shared" si="76"/>
        <v>69</v>
      </c>
      <c r="L74" s="152">
        <f t="shared" si="77"/>
        <v>5.716652858</v>
      </c>
      <c r="M74" s="126">
        <v>18250.0</v>
      </c>
      <c r="N74" s="367">
        <f t="shared" si="78"/>
        <v>1259250</v>
      </c>
    </row>
    <row r="75">
      <c r="A75" s="154">
        <v>45650.0</v>
      </c>
      <c r="B75" s="156" t="s">
        <v>100</v>
      </c>
      <c r="C75" s="89">
        <v>184192.0</v>
      </c>
      <c r="D75" s="89">
        <v>184832.0</v>
      </c>
      <c r="E75" s="12">
        <f t="shared" si="73"/>
        <v>640</v>
      </c>
      <c r="F75" s="157">
        <v>72.0</v>
      </c>
      <c r="G75" s="14">
        <f t="shared" si="74"/>
        <v>11.25</v>
      </c>
      <c r="H75" s="89">
        <v>13807.0</v>
      </c>
      <c r="I75" s="137">
        <v>14415.0</v>
      </c>
      <c r="J75" s="89">
        <f t="shared" si="75"/>
        <v>608</v>
      </c>
      <c r="K75" s="89">
        <f t="shared" si="76"/>
        <v>72</v>
      </c>
      <c r="L75" s="152">
        <f t="shared" si="77"/>
        <v>11.84210526</v>
      </c>
      <c r="M75" s="126">
        <v>18730.0</v>
      </c>
      <c r="N75" s="367">
        <f t="shared" si="78"/>
        <v>1348560</v>
      </c>
    </row>
    <row r="76">
      <c r="A76" s="154">
        <v>45656.0</v>
      </c>
      <c r="B76" s="156" t="s">
        <v>100</v>
      </c>
      <c r="C76" s="89">
        <v>184832.0</v>
      </c>
      <c r="D76" s="89">
        <v>184832.0</v>
      </c>
      <c r="E76" s="12">
        <f t="shared" si="73"/>
        <v>0</v>
      </c>
      <c r="F76" s="157">
        <v>72.0</v>
      </c>
      <c r="G76" s="14" t="str">
        <f t="shared" si="74"/>
        <v>#DIV/0!</v>
      </c>
      <c r="H76" s="89">
        <v>14415.0</v>
      </c>
      <c r="I76" s="137">
        <v>14930.0</v>
      </c>
      <c r="J76" s="89">
        <f t="shared" si="75"/>
        <v>515</v>
      </c>
      <c r="K76" s="89">
        <f t="shared" si="76"/>
        <v>72</v>
      </c>
      <c r="L76" s="152">
        <f t="shared" si="77"/>
        <v>13.98058252</v>
      </c>
      <c r="M76" s="126">
        <v>18630.0</v>
      </c>
      <c r="N76" s="367">
        <f t="shared" si="78"/>
        <v>1341360</v>
      </c>
    </row>
    <row r="77">
      <c r="A77" s="320"/>
      <c r="B77" s="156" t="s">
        <v>100</v>
      </c>
      <c r="C77" s="89"/>
      <c r="D77" s="158"/>
      <c r="E77" s="12">
        <f t="shared" si="73"/>
        <v>0</v>
      </c>
      <c r="F77" s="321"/>
      <c r="G77" s="14" t="str">
        <f t="shared" si="74"/>
        <v>#DIV/0!</v>
      </c>
      <c r="H77" s="89"/>
      <c r="I77" s="159"/>
      <c r="J77" s="89">
        <f t="shared" si="75"/>
        <v>0</v>
      </c>
      <c r="K77" s="89" t="str">
        <f t="shared" si="76"/>
        <v/>
      </c>
      <c r="L77" s="152" t="str">
        <f t="shared" si="77"/>
        <v>#DIV/0!</v>
      </c>
      <c r="M77" s="322"/>
      <c r="N77" s="367">
        <f t="shared" si="78"/>
        <v>0</v>
      </c>
    </row>
    <row r="78">
      <c r="A78" s="305"/>
      <c r="B78" s="306"/>
      <c r="C78" s="149"/>
      <c r="D78" s="150"/>
      <c r="E78" s="25">
        <f t="shared" si="73"/>
        <v>0</v>
      </c>
      <c r="F78" s="307"/>
      <c r="G78" s="56" t="str">
        <f t="shared" si="74"/>
        <v>#DIV/0!</v>
      </c>
      <c r="H78" s="149">
        <v>1.0</v>
      </c>
      <c r="I78" s="151"/>
      <c r="J78" s="149">
        <f t="shared" si="75"/>
        <v>-1</v>
      </c>
      <c r="K78" s="149" t="str">
        <f t="shared" si="76"/>
        <v/>
      </c>
      <c r="L78" s="152">
        <f t="shared" si="77"/>
        <v>0</v>
      </c>
      <c r="M78" s="308"/>
      <c r="N78" s="380">
        <f t="shared" si="78"/>
        <v>0</v>
      </c>
    </row>
    <row r="79">
      <c r="A79" s="62"/>
      <c r="B79" s="63"/>
      <c r="C79" s="62"/>
      <c r="D79" s="64" t="s">
        <v>19</v>
      </c>
      <c r="E79" s="64">
        <f t="shared" ref="E79:F79" si="79">sum(E72:E78)</f>
        <v>2453</v>
      </c>
      <c r="F79" s="64">
        <f t="shared" si="79"/>
        <v>360</v>
      </c>
      <c r="G79" s="65" t="str">
        <f>average(G72:G78)</f>
        <v>#DIV/0!</v>
      </c>
      <c r="H79" s="62"/>
      <c r="I79" s="66"/>
      <c r="J79" s="64">
        <f t="shared" ref="J79:K79" si="80">sum(J72:J78)</f>
        <v>3554</v>
      </c>
      <c r="K79" s="64">
        <f t="shared" si="80"/>
        <v>360</v>
      </c>
      <c r="L79" s="65" t="str">
        <f>average(L72:L78)</f>
        <v>#DIV/0!</v>
      </c>
      <c r="M79" s="68"/>
      <c r="N79" s="389">
        <f>sum(N72:N78)</f>
        <v>6641280</v>
      </c>
    </row>
    <row r="80">
      <c r="A80" s="70">
        <v>45635.0</v>
      </c>
      <c r="B80" s="302" t="s">
        <v>38</v>
      </c>
      <c r="C80" s="41">
        <v>134435.0</v>
      </c>
      <c r="D80" s="41">
        <v>135553.0</v>
      </c>
      <c r="E80" s="38">
        <f t="shared" ref="E80:E86" si="81">D80-C80</f>
        <v>1118</v>
      </c>
      <c r="F80" s="39">
        <v>70.0</v>
      </c>
      <c r="G80" s="14">
        <f t="shared" ref="G80:G86" si="82">(F80/E80)*100</f>
        <v>6.26118068</v>
      </c>
      <c r="H80" s="138">
        <v>8342.0</v>
      </c>
      <c r="I80" s="138">
        <v>9474.0</v>
      </c>
      <c r="J80" s="41">
        <f t="shared" ref="J80:J86" si="83">I80-H80</f>
        <v>1132</v>
      </c>
      <c r="K80" s="41">
        <f t="shared" ref="K80:K86" si="84">F80</f>
        <v>70</v>
      </c>
      <c r="L80" s="152">
        <f t="shared" ref="L80:L86" si="85">(K80/J80)*100</f>
        <v>6.183745583</v>
      </c>
      <c r="M80" s="72">
        <v>18380.0</v>
      </c>
      <c r="N80" s="385">
        <f t="shared" ref="N80:N86" si="86">F80*M80</f>
        <v>1286600</v>
      </c>
    </row>
    <row r="81">
      <c r="A81" s="154">
        <v>45640.0</v>
      </c>
      <c r="B81" s="156" t="s">
        <v>38</v>
      </c>
      <c r="C81" s="89">
        <v>135553.0</v>
      </c>
      <c r="D81" s="89">
        <v>136285.0</v>
      </c>
      <c r="E81" s="12">
        <f t="shared" si="81"/>
        <v>732</v>
      </c>
      <c r="F81" s="157">
        <v>78.0</v>
      </c>
      <c r="G81" s="14">
        <f t="shared" si="82"/>
        <v>10.6557377</v>
      </c>
      <c r="H81" s="89">
        <v>9474.0</v>
      </c>
      <c r="I81" s="137">
        <v>10149.0</v>
      </c>
      <c r="J81" s="89">
        <f t="shared" si="83"/>
        <v>675</v>
      </c>
      <c r="K81" s="89">
        <f t="shared" si="84"/>
        <v>78</v>
      </c>
      <c r="L81" s="152">
        <f t="shared" si="85"/>
        <v>11.55555556</v>
      </c>
      <c r="M81" s="126">
        <v>18250.0</v>
      </c>
      <c r="N81" s="367">
        <f t="shared" si="86"/>
        <v>1423500</v>
      </c>
    </row>
    <row r="82">
      <c r="A82" s="154">
        <v>45646.0</v>
      </c>
      <c r="B82" s="156" t="s">
        <v>38</v>
      </c>
      <c r="C82" s="89">
        <v>136285.0</v>
      </c>
      <c r="D82" s="89">
        <v>136948.0</v>
      </c>
      <c r="E82" s="12">
        <f t="shared" si="81"/>
        <v>663</v>
      </c>
      <c r="F82" s="157">
        <v>77.0</v>
      </c>
      <c r="G82" s="14">
        <f t="shared" si="82"/>
        <v>11.61387632</v>
      </c>
      <c r="H82" s="89">
        <v>10149.0</v>
      </c>
      <c r="I82" s="137">
        <v>10841.0</v>
      </c>
      <c r="J82" s="89">
        <f t="shared" si="83"/>
        <v>692</v>
      </c>
      <c r="K82" s="89">
        <f t="shared" si="84"/>
        <v>77</v>
      </c>
      <c r="L82" s="152">
        <f t="shared" si="85"/>
        <v>11.12716763</v>
      </c>
      <c r="M82" s="126">
        <v>18730.0</v>
      </c>
      <c r="N82" s="367">
        <f t="shared" si="86"/>
        <v>1442210</v>
      </c>
    </row>
    <row r="83">
      <c r="A83" s="154"/>
      <c r="B83" s="156"/>
      <c r="C83" s="89"/>
      <c r="D83" s="89"/>
      <c r="E83" s="12">
        <f t="shared" si="81"/>
        <v>0</v>
      </c>
      <c r="F83" s="157"/>
      <c r="G83" s="14" t="str">
        <f t="shared" si="82"/>
        <v>#DIV/0!</v>
      </c>
      <c r="H83" s="89"/>
      <c r="I83" s="137"/>
      <c r="J83" s="89">
        <f t="shared" si="83"/>
        <v>0</v>
      </c>
      <c r="K83" s="89" t="str">
        <f t="shared" si="84"/>
        <v/>
      </c>
      <c r="L83" s="152" t="str">
        <f t="shared" si="85"/>
        <v>#DIV/0!</v>
      </c>
      <c r="M83" s="126"/>
      <c r="N83" s="367">
        <f t="shared" si="86"/>
        <v>0</v>
      </c>
    </row>
    <row r="84">
      <c r="A84" s="154"/>
      <c r="B84" s="156"/>
      <c r="C84" s="89"/>
      <c r="D84" s="89"/>
      <c r="E84" s="12">
        <f t="shared" si="81"/>
        <v>0</v>
      </c>
      <c r="F84" s="157"/>
      <c r="G84" s="14" t="str">
        <f t="shared" si="82"/>
        <v>#DIV/0!</v>
      </c>
      <c r="H84" s="89"/>
      <c r="I84" s="137"/>
      <c r="J84" s="89">
        <f t="shared" si="83"/>
        <v>0</v>
      </c>
      <c r="K84" s="89" t="str">
        <f t="shared" si="84"/>
        <v/>
      </c>
      <c r="L84" s="152" t="str">
        <f t="shared" si="85"/>
        <v>#DIV/0!</v>
      </c>
      <c r="M84" s="126"/>
      <c r="N84" s="367">
        <f t="shared" si="86"/>
        <v>0</v>
      </c>
    </row>
    <row r="85">
      <c r="A85" s="320"/>
      <c r="B85" s="99"/>
      <c r="C85" s="89"/>
      <c r="D85" s="158"/>
      <c r="E85" s="12">
        <f t="shared" si="81"/>
        <v>0</v>
      </c>
      <c r="F85" s="321"/>
      <c r="G85" s="14" t="str">
        <f t="shared" si="82"/>
        <v>#DIV/0!</v>
      </c>
      <c r="H85" s="89"/>
      <c r="I85" s="159"/>
      <c r="J85" s="89">
        <f t="shared" si="83"/>
        <v>0</v>
      </c>
      <c r="K85" s="89" t="str">
        <f t="shared" si="84"/>
        <v/>
      </c>
      <c r="L85" s="152" t="str">
        <f t="shared" si="85"/>
        <v>#DIV/0!</v>
      </c>
      <c r="M85" s="322"/>
      <c r="N85" s="367">
        <f t="shared" si="86"/>
        <v>0</v>
      </c>
    </row>
    <row r="86">
      <c r="A86" s="305"/>
      <c r="B86" s="323"/>
      <c r="C86" s="149"/>
      <c r="D86" s="150"/>
      <c r="E86" s="25">
        <f t="shared" si="81"/>
        <v>0</v>
      </c>
      <c r="F86" s="307"/>
      <c r="G86" s="56" t="str">
        <f t="shared" si="82"/>
        <v>#DIV/0!</v>
      </c>
      <c r="H86" s="149"/>
      <c r="I86" s="151"/>
      <c r="J86" s="149">
        <f t="shared" si="83"/>
        <v>0</v>
      </c>
      <c r="K86" s="149" t="str">
        <f t="shared" si="84"/>
        <v/>
      </c>
      <c r="L86" s="152" t="str">
        <f t="shared" si="85"/>
        <v>#DIV/0!</v>
      </c>
      <c r="M86" s="308"/>
      <c r="N86" s="380">
        <f t="shared" si="86"/>
        <v>0</v>
      </c>
    </row>
    <row r="87">
      <c r="A87" s="62"/>
      <c r="B87" s="63"/>
      <c r="C87" s="62"/>
      <c r="D87" s="64" t="s">
        <v>19</v>
      </c>
      <c r="E87" s="64">
        <f t="shared" ref="E87:F87" si="87">sum(E80:E86)</f>
        <v>2513</v>
      </c>
      <c r="F87" s="64">
        <f t="shared" si="87"/>
        <v>225</v>
      </c>
      <c r="G87" s="65" t="str">
        <f>average(G80:G86)</f>
        <v>#DIV/0!</v>
      </c>
      <c r="H87" s="62"/>
      <c r="I87" s="66"/>
      <c r="J87" s="64">
        <f t="shared" ref="J87:K87" si="88">sum(J80:J86)</f>
        <v>2499</v>
      </c>
      <c r="K87" s="64">
        <f t="shared" si="88"/>
        <v>225</v>
      </c>
      <c r="L87" s="65" t="str">
        <f>average(L80:L86)</f>
        <v>#DIV/0!</v>
      </c>
      <c r="M87" s="68"/>
      <c r="N87" s="389">
        <f>sum(N80:N86)</f>
        <v>4152310</v>
      </c>
    </row>
    <row r="88">
      <c r="A88" s="70">
        <v>45629.0</v>
      </c>
      <c r="B88" s="302" t="s">
        <v>115</v>
      </c>
      <c r="C88" s="89">
        <v>79866.0</v>
      </c>
      <c r="D88" s="13">
        <v>80631.0</v>
      </c>
      <c r="E88" s="38">
        <f t="shared" ref="E88:E94" si="89">D88-C88</f>
        <v>765</v>
      </c>
      <c r="F88" s="39">
        <v>87.0</v>
      </c>
      <c r="G88" s="14">
        <f t="shared" ref="G88:G94" si="90">(F88/E88)*100</f>
        <v>11.37254902</v>
      </c>
      <c r="H88" s="137">
        <v>79934.0</v>
      </c>
      <c r="I88" s="138">
        <v>80696.0</v>
      </c>
      <c r="J88" s="41">
        <f t="shared" ref="J88:J94" si="91">I88-H88</f>
        <v>762</v>
      </c>
      <c r="K88" s="41">
        <f t="shared" ref="K88:K94" si="92">F88</f>
        <v>87</v>
      </c>
      <c r="L88" s="152">
        <f t="shared" ref="L88:L94" si="93">(K88/J88)*100</f>
        <v>11.41732283</v>
      </c>
      <c r="M88" s="72">
        <v>18770.0</v>
      </c>
      <c r="N88" s="385">
        <f t="shared" ref="N88:N94" si="94">F88*M88</f>
        <v>1632990</v>
      </c>
    </row>
    <row r="89">
      <c r="A89" s="154">
        <v>45648.0</v>
      </c>
      <c r="B89" s="156" t="s">
        <v>40</v>
      </c>
      <c r="C89" s="89">
        <v>80631.0</v>
      </c>
      <c r="D89" s="89">
        <v>81250.0</v>
      </c>
      <c r="E89" s="12">
        <f t="shared" si="89"/>
        <v>619</v>
      </c>
      <c r="F89" s="157">
        <v>74.0</v>
      </c>
      <c r="G89" s="14">
        <f t="shared" si="90"/>
        <v>11.95476575</v>
      </c>
      <c r="H89" s="89">
        <v>80696.0</v>
      </c>
      <c r="I89" s="137">
        <v>81324.0</v>
      </c>
      <c r="J89" s="89">
        <f t="shared" si="91"/>
        <v>628</v>
      </c>
      <c r="K89" s="89">
        <f t="shared" si="92"/>
        <v>74</v>
      </c>
      <c r="L89" s="152">
        <f t="shared" si="93"/>
        <v>11.78343949</v>
      </c>
      <c r="M89" s="126">
        <v>18730.0</v>
      </c>
      <c r="N89" s="367">
        <f t="shared" si="94"/>
        <v>1386020</v>
      </c>
    </row>
    <row r="90">
      <c r="A90" s="154">
        <v>45654.0</v>
      </c>
      <c r="B90" s="156" t="s">
        <v>40</v>
      </c>
      <c r="C90" s="89">
        <v>81250.0</v>
      </c>
      <c r="D90" s="89">
        <v>81877.0</v>
      </c>
      <c r="E90" s="12">
        <f t="shared" si="89"/>
        <v>627</v>
      </c>
      <c r="F90" s="157">
        <v>70.0</v>
      </c>
      <c r="G90" s="14">
        <f t="shared" si="90"/>
        <v>11.16427432</v>
      </c>
      <c r="H90" s="89">
        <v>81324.0</v>
      </c>
      <c r="I90" s="137"/>
      <c r="J90" s="89">
        <f t="shared" si="91"/>
        <v>-81324</v>
      </c>
      <c r="K90" s="89">
        <f t="shared" si="92"/>
        <v>70</v>
      </c>
      <c r="L90" s="152">
        <f t="shared" si="93"/>
        <v>-0.08607545128</v>
      </c>
      <c r="M90" s="126">
        <v>18630.0</v>
      </c>
      <c r="N90" s="367">
        <f t="shared" si="94"/>
        <v>1304100</v>
      </c>
    </row>
    <row r="91">
      <c r="A91" s="154"/>
      <c r="B91" s="156" t="s">
        <v>115</v>
      </c>
      <c r="C91" s="89"/>
      <c r="D91" s="89"/>
      <c r="E91" s="12">
        <f t="shared" si="89"/>
        <v>0</v>
      </c>
      <c r="F91" s="157"/>
      <c r="G91" s="14" t="str">
        <f t="shared" si="90"/>
        <v>#DIV/0!</v>
      </c>
      <c r="H91" s="89"/>
      <c r="I91" s="137"/>
      <c r="J91" s="89">
        <f t="shared" si="91"/>
        <v>0</v>
      </c>
      <c r="K91" s="89" t="str">
        <f t="shared" si="92"/>
        <v/>
      </c>
      <c r="L91" s="152" t="str">
        <f t="shared" si="93"/>
        <v>#DIV/0!</v>
      </c>
      <c r="M91" s="126"/>
      <c r="N91" s="367">
        <f t="shared" si="94"/>
        <v>0</v>
      </c>
    </row>
    <row r="92">
      <c r="A92" s="154"/>
      <c r="B92" s="99" t="s">
        <v>115</v>
      </c>
      <c r="C92" s="89"/>
      <c r="D92" s="89"/>
      <c r="E92" s="12">
        <f t="shared" si="89"/>
        <v>0</v>
      </c>
      <c r="F92" s="157"/>
      <c r="G92" s="14" t="str">
        <f t="shared" si="90"/>
        <v>#DIV/0!</v>
      </c>
      <c r="H92" s="89"/>
      <c r="I92" s="137"/>
      <c r="J92" s="89">
        <f t="shared" si="91"/>
        <v>0</v>
      </c>
      <c r="K92" s="89" t="str">
        <f t="shared" si="92"/>
        <v/>
      </c>
      <c r="L92" s="152" t="str">
        <f t="shared" si="93"/>
        <v>#DIV/0!</v>
      </c>
      <c r="M92" s="126"/>
      <c r="N92" s="367">
        <f t="shared" si="94"/>
        <v>0</v>
      </c>
    </row>
    <row r="93">
      <c r="A93" s="320"/>
      <c r="B93" s="123"/>
      <c r="C93" s="89"/>
      <c r="D93" s="158"/>
      <c r="E93" s="12">
        <f t="shared" si="89"/>
        <v>0</v>
      </c>
      <c r="F93" s="321"/>
      <c r="G93" s="14" t="str">
        <f t="shared" si="90"/>
        <v>#DIV/0!</v>
      </c>
      <c r="H93" s="89"/>
      <c r="I93" s="159"/>
      <c r="J93" s="89">
        <f t="shared" si="91"/>
        <v>0</v>
      </c>
      <c r="K93" s="89" t="str">
        <f t="shared" si="92"/>
        <v/>
      </c>
      <c r="L93" s="152" t="str">
        <f t="shared" si="93"/>
        <v>#DIV/0!</v>
      </c>
      <c r="M93" s="322"/>
      <c r="N93" s="367">
        <f t="shared" si="94"/>
        <v>0</v>
      </c>
    </row>
    <row r="94">
      <c r="A94" s="305"/>
      <c r="B94" s="323"/>
      <c r="C94" s="149"/>
      <c r="D94" s="150"/>
      <c r="E94" s="25">
        <f t="shared" si="89"/>
        <v>0</v>
      </c>
      <c r="F94" s="307"/>
      <c r="G94" s="56" t="str">
        <f t="shared" si="90"/>
        <v>#DIV/0!</v>
      </c>
      <c r="H94" s="149"/>
      <c r="I94" s="151"/>
      <c r="J94" s="149">
        <f t="shared" si="91"/>
        <v>0</v>
      </c>
      <c r="K94" s="149" t="str">
        <f t="shared" si="92"/>
        <v/>
      </c>
      <c r="L94" s="152" t="str">
        <f t="shared" si="93"/>
        <v>#DIV/0!</v>
      </c>
      <c r="M94" s="308"/>
      <c r="N94" s="380">
        <f t="shared" si="94"/>
        <v>0</v>
      </c>
    </row>
    <row r="95">
      <c r="A95" s="62"/>
      <c r="B95" s="63"/>
      <c r="C95" s="62"/>
      <c r="D95" s="64" t="s">
        <v>19</v>
      </c>
      <c r="E95" s="64">
        <f t="shared" ref="E95:F95" si="95">sum(E88:E94)</f>
        <v>2011</v>
      </c>
      <c r="F95" s="64">
        <f t="shared" si="95"/>
        <v>231</v>
      </c>
      <c r="G95" s="65" t="str">
        <f>average(G88:G94)</f>
        <v>#DIV/0!</v>
      </c>
      <c r="H95" s="62"/>
      <c r="I95" s="66"/>
      <c r="J95" s="64">
        <f t="shared" ref="J95:K95" si="96">sum(J88:J94)</f>
        <v>-79934</v>
      </c>
      <c r="K95" s="64">
        <f t="shared" si="96"/>
        <v>231</v>
      </c>
      <c r="L95" s="65" t="str">
        <f>average(L88:L94)</f>
        <v>#DIV/0!</v>
      </c>
      <c r="M95" s="68"/>
      <c r="N95" s="389">
        <f>sum(N88:N94)</f>
        <v>4323110</v>
      </c>
    </row>
    <row r="96">
      <c r="A96" s="198" t="s">
        <v>64</v>
      </c>
      <c r="B96" s="199"/>
      <c r="C96" s="199"/>
      <c r="D96" s="199"/>
      <c r="E96" s="199"/>
      <c r="F96" s="199"/>
      <c r="G96" s="199"/>
      <c r="H96" s="199"/>
      <c r="I96" s="199"/>
      <c r="J96" s="199"/>
      <c r="K96" s="199"/>
      <c r="L96" s="199"/>
      <c r="M96" s="334"/>
      <c r="N96" s="384">
        <f>N9+N15+N23+N31+N39+N47+N55+N63+N71+N79+N87+N95</f>
        <v>62317890</v>
      </c>
    </row>
    <row r="97">
      <c r="G97" s="168"/>
      <c r="L97" s="168"/>
    </row>
    <row r="98">
      <c r="G98" s="168"/>
      <c r="L98" s="168"/>
    </row>
    <row r="99">
      <c r="G99" s="168"/>
      <c r="L99" s="168"/>
    </row>
    <row r="100">
      <c r="G100" s="168"/>
      <c r="L100" s="168"/>
    </row>
    <row r="101">
      <c r="G101" s="168"/>
      <c r="L101" s="168"/>
    </row>
    <row r="102">
      <c r="G102" s="168"/>
      <c r="L102" s="168"/>
    </row>
    <row r="103">
      <c r="G103" s="168"/>
      <c r="L103" s="168"/>
    </row>
    <row r="104">
      <c r="G104" s="168"/>
      <c r="L104" s="168"/>
    </row>
    <row r="105">
      <c r="G105" s="168"/>
      <c r="L105" s="168"/>
    </row>
    <row r="106">
      <c r="G106" s="168"/>
      <c r="L106" s="168"/>
    </row>
    <row r="107">
      <c r="G107" s="168"/>
      <c r="L107" s="168"/>
    </row>
    <row r="108">
      <c r="G108" s="168"/>
      <c r="L108" s="168"/>
    </row>
    <row r="109">
      <c r="G109" s="168"/>
      <c r="L109" s="168"/>
    </row>
    <row r="110">
      <c r="G110" s="168"/>
      <c r="L110" s="168"/>
    </row>
    <row r="111">
      <c r="G111" s="168"/>
      <c r="L111" s="168"/>
    </row>
    <row r="112">
      <c r="G112" s="168"/>
      <c r="L112" s="168"/>
    </row>
    <row r="113">
      <c r="G113" s="168"/>
      <c r="L113" s="168"/>
    </row>
    <row r="114">
      <c r="G114" s="168"/>
      <c r="L114" s="168"/>
    </row>
    <row r="115">
      <c r="G115" s="168"/>
      <c r="L115" s="168"/>
    </row>
    <row r="116">
      <c r="G116" s="168"/>
      <c r="L116" s="168"/>
    </row>
    <row r="117">
      <c r="G117" s="168"/>
      <c r="L117" s="168"/>
    </row>
    <row r="118">
      <c r="G118" s="168"/>
      <c r="L118" s="168"/>
    </row>
    <row r="119">
      <c r="G119" s="168"/>
      <c r="L119" s="168"/>
    </row>
    <row r="120">
      <c r="G120" s="168"/>
      <c r="L120" s="168"/>
    </row>
    <row r="121">
      <c r="G121" s="168"/>
      <c r="L121" s="168"/>
    </row>
    <row r="122">
      <c r="G122" s="168"/>
      <c r="L122" s="168"/>
    </row>
    <row r="123">
      <c r="G123" s="168"/>
      <c r="L123" s="168"/>
    </row>
    <row r="124">
      <c r="G124" s="168"/>
      <c r="L124" s="168"/>
    </row>
    <row r="125">
      <c r="G125" s="168"/>
      <c r="L125" s="168"/>
    </row>
    <row r="126">
      <c r="G126" s="168"/>
      <c r="L126" s="168"/>
    </row>
    <row r="127">
      <c r="G127" s="168"/>
      <c r="L127" s="168"/>
    </row>
    <row r="128">
      <c r="G128" s="168"/>
      <c r="L128" s="168"/>
    </row>
    <row r="129">
      <c r="G129" s="168"/>
      <c r="L129" s="168"/>
    </row>
    <row r="130">
      <c r="G130" s="168"/>
      <c r="L130" s="168"/>
    </row>
    <row r="131">
      <c r="G131" s="168"/>
      <c r="L131" s="168"/>
    </row>
    <row r="132">
      <c r="G132" s="168"/>
      <c r="L132" s="168"/>
    </row>
    <row r="133">
      <c r="G133" s="168"/>
      <c r="L133" s="168"/>
    </row>
    <row r="134">
      <c r="G134" s="168"/>
      <c r="L134" s="168"/>
    </row>
    <row r="135">
      <c r="G135" s="168"/>
      <c r="L135" s="168"/>
    </row>
    <row r="136">
      <c r="G136" s="168"/>
      <c r="L136" s="168"/>
    </row>
    <row r="137">
      <c r="G137" s="168"/>
      <c r="L137" s="168"/>
    </row>
    <row r="138">
      <c r="G138" s="168"/>
      <c r="L138" s="168"/>
    </row>
    <row r="139">
      <c r="G139" s="168"/>
      <c r="L139" s="168"/>
    </row>
    <row r="140">
      <c r="G140" s="168"/>
      <c r="L140" s="168"/>
    </row>
    <row r="141">
      <c r="G141" s="168"/>
      <c r="L141" s="168"/>
    </row>
    <row r="142">
      <c r="G142" s="168"/>
      <c r="L142" s="168"/>
    </row>
    <row r="143">
      <c r="G143" s="168"/>
      <c r="L143" s="168"/>
    </row>
    <row r="144">
      <c r="G144" s="168"/>
      <c r="L144" s="168"/>
    </row>
    <row r="145">
      <c r="G145" s="168"/>
      <c r="L145" s="168"/>
    </row>
    <row r="146">
      <c r="G146" s="168"/>
      <c r="L146" s="168"/>
    </row>
    <row r="147">
      <c r="G147" s="168"/>
      <c r="L147" s="168"/>
    </row>
    <row r="148">
      <c r="G148" s="168"/>
      <c r="L148" s="168"/>
    </row>
    <row r="149">
      <c r="G149" s="168"/>
      <c r="L149" s="168"/>
    </row>
    <row r="150">
      <c r="G150" s="168"/>
      <c r="L150" s="168"/>
    </row>
    <row r="151">
      <c r="G151" s="168"/>
      <c r="L151" s="168"/>
    </row>
    <row r="152">
      <c r="G152" s="168"/>
      <c r="L152" s="168"/>
    </row>
    <row r="153">
      <c r="G153" s="168"/>
      <c r="L153" s="168"/>
    </row>
    <row r="154">
      <c r="G154" s="168"/>
      <c r="L154" s="168"/>
    </row>
    <row r="155">
      <c r="G155" s="168"/>
      <c r="L155" s="168"/>
    </row>
    <row r="156">
      <c r="G156" s="168"/>
      <c r="L156" s="168"/>
    </row>
    <row r="157">
      <c r="G157" s="168"/>
      <c r="L157" s="168"/>
    </row>
    <row r="158">
      <c r="G158" s="168"/>
      <c r="L158" s="168"/>
    </row>
    <row r="159">
      <c r="G159" s="168"/>
      <c r="L159" s="168"/>
    </row>
    <row r="160">
      <c r="G160" s="168"/>
      <c r="L160" s="168"/>
    </row>
    <row r="161">
      <c r="G161" s="168"/>
      <c r="L161" s="168"/>
    </row>
    <row r="162">
      <c r="G162" s="168"/>
      <c r="L162" s="168"/>
    </row>
    <row r="163">
      <c r="G163" s="168"/>
      <c r="L163" s="168"/>
    </row>
    <row r="164">
      <c r="G164" s="168"/>
      <c r="L164" s="168"/>
    </row>
    <row r="165">
      <c r="G165" s="168"/>
      <c r="L165" s="168"/>
    </row>
    <row r="166">
      <c r="G166" s="168"/>
      <c r="L166" s="168"/>
    </row>
    <row r="167">
      <c r="G167" s="168"/>
      <c r="L167" s="168"/>
    </row>
    <row r="168">
      <c r="G168" s="168"/>
      <c r="L168" s="168"/>
    </row>
    <row r="169">
      <c r="G169" s="168"/>
      <c r="L169" s="168"/>
    </row>
    <row r="170">
      <c r="G170" s="168"/>
      <c r="L170" s="168"/>
    </row>
    <row r="171">
      <c r="G171" s="168"/>
      <c r="L171" s="168"/>
    </row>
    <row r="172">
      <c r="G172" s="168"/>
      <c r="L172" s="168"/>
    </row>
    <row r="173">
      <c r="G173" s="168"/>
      <c r="L173" s="168"/>
    </row>
    <row r="174">
      <c r="G174" s="168"/>
      <c r="L174" s="168"/>
    </row>
    <row r="175">
      <c r="G175" s="168"/>
      <c r="L175" s="168"/>
    </row>
    <row r="176">
      <c r="G176" s="168"/>
      <c r="L176" s="168"/>
    </row>
    <row r="177">
      <c r="G177" s="168"/>
      <c r="L177" s="168"/>
    </row>
    <row r="178">
      <c r="G178" s="168"/>
      <c r="L178" s="168"/>
    </row>
    <row r="179">
      <c r="G179" s="168"/>
      <c r="L179" s="168"/>
    </row>
    <row r="180">
      <c r="G180" s="168"/>
      <c r="L180" s="168"/>
    </row>
    <row r="181">
      <c r="G181" s="168"/>
      <c r="L181" s="168"/>
    </row>
    <row r="182">
      <c r="G182" s="168"/>
      <c r="L182" s="168"/>
    </row>
    <row r="183">
      <c r="G183" s="168"/>
      <c r="L183" s="168"/>
    </row>
    <row r="184">
      <c r="G184" s="168"/>
      <c r="L184" s="168"/>
    </row>
    <row r="185">
      <c r="G185" s="168"/>
      <c r="L185" s="168"/>
    </row>
    <row r="186">
      <c r="G186" s="168"/>
      <c r="L186" s="168"/>
    </row>
    <row r="187">
      <c r="G187" s="168"/>
      <c r="L187" s="168"/>
    </row>
    <row r="188">
      <c r="G188" s="168"/>
      <c r="L188" s="168"/>
    </row>
    <row r="189">
      <c r="G189" s="168"/>
      <c r="L189" s="168"/>
    </row>
    <row r="190">
      <c r="G190" s="168"/>
      <c r="L190" s="168"/>
    </row>
    <row r="191">
      <c r="G191" s="168"/>
      <c r="L191" s="168"/>
    </row>
    <row r="192">
      <c r="G192" s="168"/>
      <c r="L192" s="168"/>
    </row>
    <row r="193">
      <c r="G193" s="168"/>
      <c r="L193" s="168"/>
    </row>
    <row r="194">
      <c r="G194" s="168"/>
      <c r="L194" s="168"/>
    </row>
    <row r="195">
      <c r="G195" s="168"/>
      <c r="L195" s="168"/>
    </row>
    <row r="196">
      <c r="G196" s="168"/>
      <c r="L196" s="168"/>
    </row>
    <row r="197">
      <c r="G197" s="168"/>
      <c r="L197" s="168"/>
    </row>
    <row r="198">
      <c r="G198" s="168"/>
      <c r="L198" s="168"/>
    </row>
    <row r="199">
      <c r="G199" s="168"/>
      <c r="L199" s="168"/>
    </row>
    <row r="200">
      <c r="G200" s="168"/>
      <c r="L200" s="168"/>
    </row>
    <row r="201">
      <c r="G201" s="168"/>
      <c r="L201" s="168"/>
    </row>
    <row r="202">
      <c r="G202" s="168"/>
      <c r="L202" s="168"/>
    </row>
    <row r="203">
      <c r="G203" s="168"/>
      <c r="L203" s="168"/>
    </row>
    <row r="204">
      <c r="G204" s="168"/>
      <c r="L204" s="168"/>
    </row>
    <row r="205">
      <c r="G205" s="168"/>
      <c r="L205" s="168"/>
    </row>
    <row r="206">
      <c r="G206" s="168"/>
      <c r="L206" s="168"/>
    </row>
    <row r="207">
      <c r="G207" s="168"/>
      <c r="L207" s="168"/>
    </row>
    <row r="208">
      <c r="G208" s="168"/>
      <c r="L208" s="168"/>
    </row>
    <row r="209">
      <c r="G209" s="168"/>
      <c r="L209" s="168"/>
    </row>
    <row r="210">
      <c r="G210" s="168"/>
      <c r="L210" s="168"/>
    </row>
    <row r="211">
      <c r="G211" s="168"/>
      <c r="L211" s="168"/>
    </row>
    <row r="212">
      <c r="G212" s="168"/>
      <c r="L212" s="168"/>
    </row>
    <row r="213">
      <c r="G213" s="168"/>
      <c r="L213" s="168"/>
    </row>
    <row r="214">
      <c r="G214" s="168"/>
      <c r="L214" s="168"/>
    </row>
    <row r="215">
      <c r="G215" s="168"/>
      <c r="L215" s="168"/>
    </row>
    <row r="216">
      <c r="G216" s="168"/>
      <c r="L216" s="168"/>
    </row>
    <row r="217">
      <c r="G217" s="168"/>
      <c r="L217" s="168"/>
    </row>
    <row r="218">
      <c r="G218" s="168"/>
      <c r="L218" s="168"/>
    </row>
    <row r="219">
      <c r="G219" s="168"/>
      <c r="L219" s="168"/>
    </row>
    <row r="220">
      <c r="G220" s="168"/>
      <c r="L220" s="168"/>
    </row>
    <row r="221">
      <c r="G221" s="168"/>
      <c r="L221" s="168"/>
    </row>
    <row r="222">
      <c r="G222" s="168"/>
      <c r="L222" s="168"/>
    </row>
    <row r="223">
      <c r="G223" s="168"/>
      <c r="L223" s="168"/>
    </row>
    <row r="224">
      <c r="G224" s="168"/>
      <c r="L224" s="168"/>
    </row>
    <row r="225">
      <c r="G225" s="168"/>
      <c r="L225" s="168"/>
    </row>
    <row r="226">
      <c r="G226" s="168"/>
      <c r="L226" s="168"/>
    </row>
    <row r="227">
      <c r="G227" s="168"/>
      <c r="L227" s="168"/>
    </row>
    <row r="228">
      <c r="G228" s="168"/>
      <c r="L228" s="168"/>
    </row>
    <row r="229">
      <c r="G229" s="168"/>
      <c r="L229" s="168"/>
    </row>
    <row r="230">
      <c r="G230" s="168"/>
      <c r="L230" s="168"/>
    </row>
    <row r="231">
      <c r="G231" s="168"/>
      <c r="L231" s="168"/>
    </row>
    <row r="232">
      <c r="G232" s="168"/>
      <c r="L232" s="168"/>
    </row>
    <row r="233">
      <c r="G233" s="168"/>
      <c r="L233" s="168"/>
    </row>
    <row r="234">
      <c r="G234" s="168"/>
      <c r="L234" s="168"/>
    </row>
    <row r="235">
      <c r="G235" s="168"/>
      <c r="L235" s="168"/>
    </row>
    <row r="236">
      <c r="G236" s="168"/>
      <c r="L236" s="168"/>
    </row>
    <row r="237">
      <c r="G237" s="168"/>
      <c r="L237" s="168"/>
    </row>
    <row r="238">
      <c r="G238" s="168"/>
      <c r="L238" s="168"/>
    </row>
    <row r="239">
      <c r="G239" s="168"/>
      <c r="L239" s="168"/>
    </row>
    <row r="240">
      <c r="G240" s="168"/>
      <c r="L240" s="168"/>
    </row>
    <row r="241">
      <c r="G241" s="168"/>
      <c r="L241" s="168"/>
    </row>
    <row r="242">
      <c r="G242" s="168"/>
      <c r="L242" s="168"/>
    </row>
    <row r="243">
      <c r="G243" s="168"/>
      <c r="L243" s="168"/>
    </row>
    <row r="244">
      <c r="G244" s="168"/>
      <c r="L244" s="168"/>
    </row>
    <row r="245">
      <c r="G245" s="168"/>
      <c r="L245" s="168"/>
    </row>
    <row r="246">
      <c r="G246" s="168"/>
      <c r="L246" s="168"/>
    </row>
    <row r="247">
      <c r="G247" s="168"/>
      <c r="L247" s="168"/>
    </row>
    <row r="248">
      <c r="G248" s="168"/>
      <c r="L248" s="168"/>
    </row>
    <row r="249">
      <c r="G249" s="168"/>
      <c r="L249" s="168"/>
    </row>
    <row r="250">
      <c r="G250" s="168"/>
      <c r="L250" s="168"/>
    </row>
    <row r="251">
      <c r="G251" s="168"/>
      <c r="L251" s="168"/>
    </row>
    <row r="252">
      <c r="G252" s="168"/>
      <c r="L252" s="168"/>
    </row>
    <row r="253">
      <c r="G253" s="168"/>
      <c r="L253" s="168"/>
    </row>
    <row r="254">
      <c r="G254" s="168"/>
      <c r="L254" s="168"/>
    </row>
    <row r="255">
      <c r="G255" s="168"/>
      <c r="L255" s="168"/>
    </row>
    <row r="256">
      <c r="G256" s="168"/>
      <c r="L256" s="168"/>
    </row>
    <row r="257">
      <c r="G257" s="168"/>
      <c r="L257" s="168"/>
    </row>
    <row r="258">
      <c r="G258" s="168"/>
      <c r="L258" s="168"/>
    </row>
    <row r="259">
      <c r="G259" s="168"/>
      <c r="L259" s="168"/>
    </row>
    <row r="260">
      <c r="G260" s="168"/>
      <c r="L260" s="168"/>
    </row>
    <row r="261">
      <c r="G261" s="168"/>
      <c r="L261" s="168"/>
    </row>
    <row r="262">
      <c r="G262" s="168"/>
      <c r="L262" s="168"/>
    </row>
    <row r="263">
      <c r="G263" s="168"/>
      <c r="L263" s="168"/>
    </row>
    <row r="264">
      <c r="G264" s="168"/>
      <c r="L264" s="168"/>
    </row>
    <row r="265">
      <c r="G265" s="168"/>
      <c r="L265" s="168"/>
    </row>
    <row r="266">
      <c r="G266" s="168"/>
      <c r="L266" s="168"/>
    </row>
    <row r="267">
      <c r="G267" s="168"/>
      <c r="L267" s="168"/>
    </row>
    <row r="268">
      <c r="G268" s="168"/>
      <c r="L268" s="168"/>
    </row>
    <row r="269">
      <c r="G269" s="168"/>
      <c r="L269" s="168"/>
    </row>
    <row r="270">
      <c r="G270" s="168"/>
      <c r="L270" s="168"/>
    </row>
    <row r="271">
      <c r="G271" s="168"/>
      <c r="L271" s="168"/>
    </row>
    <row r="272">
      <c r="G272" s="168"/>
      <c r="L272" s="168"/>
    </row>
    <row r="273">
      <c r="G273" s="168"/>
      <c r="L273" s="168"/>
    </row>
    <row r="274">
      <c r="G274" s="168"/>
      <c r="L274" s="168"/>
    </row>
    <row r="275">
      <c r="G275" s="168"/>
      <c r="L275" s="168"/>
    </row>
    <row r="276">
      <c r="G276" s="168"/>
      <c r="L276" s="168"/>
    </row>
    <row r="277">
      <c r="G277" s="168"/>
      <c r="L277" s="168"/>
    </row>
    <row r="278">
      <c r="G278" s="168"/>
      <c r="L278" s="168"/>
    </row>
    <row r="279">
      <c r="G279" s="168"/>
      <c r="L279" s="168"/>
    </row>
    <row r="280">
      <c r="G280" s="168"/>
      <c r="L280" s="168"/>
    </row>
    <row r="281">
      <c r="G281" s="168"/>
      <c r="L281" s="168"/>
    </row>
    <row r="282">
      <c r="G282" s="168"/>
      <c r="L282" s="168"/>
    </row>
    <row r="283">
      <c r="G283" s="168"/>
      <c r="L283" s="168"/>
    </row>
    <row r="284">
      <c r="G284" s="168"/>
      <c r="L284" s="168"/>
    </row>
    <row r="285">
      <c r="G285" s="168"/>
      <c r="L285" s="168"/>
    </row>
    <row r="286">
      <c r="G286" s="168"/>
      <c r="L286" s="168"/>
    </row>
    <row r="287">
      <c r="G287" s="168"/>
      <c r="L287" s="168"/>
    </row>
    <row r="288">
      <c r="G288" s="168"/>
      <c r="L288" s="168"/>
    </row>
    <row r="289">
      <c r="G289" s="168"/>
      <c r="L289" s="168"/>
    </row>
    <row r="290">
      <c r="G290" s="168"/>
      <c r="L290" s="168"/>
    </row>
    <row r="291">
      <c r="G291" s="168"/>
      <c r="L291" s="168"/>
    </row>
    <row r="292">
      <c r="G292" s="168"/>
      <c r="L292" s="168"/>
    </row>
    <row r="293">
      <c r="G293" s="168"/>
      <c r="L293" s="168"/>
    </row>
    <row r="294">
      <c r="G294" s="168"/>
      <c r="L294" s="168"/>
    </row>
    <row r="295">
      <c r="G295" s="168"/>
      <c r="L295" s="168"/>
    </row>
    <row r="296">
      <c r="G296" s="168"/>
      <c r="L296" s="168"/>
    </row>
    <row r="297">
      <c r="G297" s="168"/>
      <c r="L297" s="168"/>
    </row>
    <row r="298">
      <c r="G298" s="168"/>
      <c r="L298" s="168"/>
    </row>
    <row r="299">
      <c r="G299" s="168"/>
      <c r="L299" s="168"/>
    </row>
    <row r="300">
      <c r="G300" s="168"/>
      <c r="L300" s="168"/>
    </row>
    <row r="301">
      <c r="G301" s="168"/>
      <c r="L301" s="168"/>
    </row>
    <row r="302">
      <c r="G302" s="168"/>
      <c r="L302" s="168"/>
    </row>
    <row r="303">
      <c r="G303" s="168"/>
      <c r="L303" s="168"/>
    </row>
    <row r="304">
      <c r="G304" s="168"/>
      <c r="L304" s="168"/>
    </row>
    <row r="305">
      <c r="G305" s="168"/>
      <c r="L305" s="168"/>
    </row>
    <row r="306">
      <c r="G306" s="168"/>
      <c r="L306" s="168"/>
    </row>
    <row r="307">
      <c r="G307" s="168"/>
      <c r="L307" s="168"/>
    </row>
    <row r="308">
      <c r="G308" s="168"/>
      <c r="L308" s="168"/>
    </row>
    <row r="309">
      <c r="G309" s="168"/>
      <c r="L309" s="168"/>
    </row>
    <row r="310">
      <c r="G310" s="168"/>
      <c r="L310" s="168"/>
    </row>
    <row r="311">
      <c r="G311" s="168"/>
      <c r="L311" s="168"/>
    </row>
    <row r="312">
      <c r="G312" s="168"/>
      <c r="L312" s="168"/>
    </row>
    <row r="313">
      <c r="G313" s="168"/>
      <c r="L313" s="168"/>
    </row>
    <row r="314">
      <c r="G314" s="168"/>
      <c r="L314" s="168"/>
    </row>
    <row r="315">
      <c r="G315" s="168"/>
      <c r="L315" s="168"/>
    </row>
    <row r="316">
      <c r="G316" s="168"/>
      <c r="L316" s="168"/>
    </row>
    <row r="317">
      <c r="G317" s="168"/>
      <c r="L317" s="168"/>
    </row>
    <row r="318">
      <c r="G318" s="168"/>
      <c r="L318" s="168"/>
    </row>
    <row r="319">
      <c r="G319" s="168"/>
      <c r="L319" s="168"/>
    </row>
    <row r="320">
      <c r="G320" s="168"/>
      <c r="L320" s="168"/>
    </row>
    <row r="321">
      <c r="G321" s="168"/>
      <c r="L321" s="168"/>
    </row>
    <row r="322">
      <c r="G322" s="168"/>
      <c r="L322" s="168"/>
    </row>
    <row r="323">
      <c r="G323" s="168"/>
      <c r="L323" s="168"/>
    </row>
    <row r="324">
      <c r="G324" s="168"/>
      <c r="L324" s="168"/>
    </row>
    <row r="325">
      <c r="G325" s="168"/>
      <c r="L325" s="168"/>
    </row>
    <row r="326">
      <c r="G326" s="168"/>
      <c r="L326" s="168"/>
    </row>
    <row r="327">
      <c r="G327" s="168"/>
      <c r="L327" s="168"/>
    </row>
    <row r="328">
      <c r="G328" s="168"/>
      <c r="L328" s="168"/>
    </row>
    <row r="329">
      <c r="G329" s="168"/>
      <c r="L329" s="168"/>
    </row>
    <row r="330">
      <c r="G330" s="168"/>
      <c r="L330" s="168"/>
    </row>
    <row r="331">
      <c r="G331" s="168"/>
      <c r="L331" s="168"/>
    </row>
    <row r="332">
      <c r="G332" s="168"/>
      <c r="L332" s="168"/>
    </row>
    <row r="333">
      <c r="G333" s="168"/>
      <c r="L333" s="168"/>
    </row>
    <row r="334">
      <c r="G334" s="168"/>
      <c r="L334" s="168"/>
    </row>
    <row r="335">
      <c r="G335" s="168"/>
      <c r="L335" s="168"/>
    </row>
    <row r="336">
      <c r="G336" s="168"/>
      <c r="L336" s="168"/>
    </row>
    <row r="337">
      <c r="G337" s="168"/>
      <c r="L337" s="168"/>
    </row>
    <row r="338">
      <c r="G338" s="168"/>
      <c r="L338" s="168"/>
    </row>
    <row r="339">
      <c r="G339" s="168"/>
      <c r="L339" s="168"/>
    </row>
    <row r="340">
      <c r="G340" s="168"/>
      <c r="L340" s="168"/>
    </row>
    <row r="341">
      <c r="G341" s="168"/>
      <c r="L341" s="168"/>
    </row>
    <row r="342">
      <c r="G342" s="168"/>
      <c r="L342" s="168"/>
    </row>
    <row r="343">
      <c r="G343" s="168"/>
      <c r="L343" s="168"/>
    </row>
    <row r="344">
      <c r="G344" s="168"/>
      <c r="L344" s="168"/>
    </row>
    <row r="345">
      <c r="G345" s="168"/>
      <c r="L345" s="168"/>
    </row>
    <row r="346">
      <c r="G346" s="168"/>
      <c r="L346" s="168"/>
    </row>
    <row r="347">
      <c r="G347" s="168"/>
      <c r="L347" s="168"/>
    </row>
    <row r="348">
      <c r="G348" s="168"/>
      <c r="L348" s="168"/>
    </row>
    <row r="349">
      <c r="G349" s="168"/>
      <c r="L349" s="168"/>
    </row>
    <row r="350">
      <c r="G350" s="168"/>
      <c r="L350" s="168"/>
    </row>
    <row r="351">
      <c r="G351" s="168"/>
      <c r="L351" s="168"/>
    </row>
    <row r="352">
      <c r="G352" s="168"/>
      <c r="L352" s="168"/>
    </row>
    <row r="353">
      <c r="G353" s="168"/>
      <c r="L353" s="168"/>
    </row>
    <row r="354">
      <c r="G354" s="168"/>
      <c r="L354" s="168"/>
    </row>
    <row r="355">
      <c r="G355" s="168"/>
      <c r="L355" s="168"/>
    </row>
    <row r="356">
      <c r="G356" s="168"/>
      <c r="L356" s="168"/>
    </row>
    <row r="357">
      <c r="G357" s="168"/>
      <c r="L357" s="168"/>
    </row>
    <row r="358">
      <c r="G358" s="168"/>
      <c r="L358" s="168"/>
    </row>
    <row r="359">
      <c r="G359" s="168"/>
      <c r="L359" s="168"/>
    </row>
    <row r="360">
      <c r="G360" s="168"/>
      <c r="L360" s="168"/>
    </row>
    <row r="361">
      <c r="G361" s="168"/>
      <c r="L361" s="168"/>
    </row>
    <row r="362">
      <c r="G362" s="168"/>
      <c r="L362" s="168"/>
    </row>
    <row r="363">
      <c r="G363" s="168"/>
      <c r="L363" s="168"/>
    </row>
    <row r="364">
      <c r="G364" s="168"/>
      <c r="L364" s="168"/>
    </row>
    <row r="365">
      <c r="G365" s="168"/>
      <c r="L365" s="168"/>
    </row>
    <row r="366">
      <c r="G366" s="168"/>
      <c r="L366" s="168"/>
    </row>
    <row r="367">
      <c r="G367" s="168"/>
      <c r="L367" s="168"/>
    </row>
    <row r="368">
      <c r="G368" s="168"/>
      <c r="L368" s="168"/>
    </row>
    <row r="369">
      <c r="G369" s="168"/>
      <c r="L369" s="168"/>
    </row>
    <row r="370">
      <c r="G370" s="168"/>
      <c r="L370" s="168"/>
    </row>
    <row r="371">
      <c r="G371" s="168"/>
      <c r="L371" s="168"/>
    </row>
    <row r="372">
      <c r="G372" s="168"/>
      <c r="L372" s="168"/>
    </row>
    <row r="373">
      <c r="G373" s="168"/>
      <c r="L373" s="168"/>
    </row>
    <row r="374">
      <c r="G374" s="168"/>
      <c r="L374" s="168"/>
    </row>
    <row r="375">
      <c r="G375" s="168"/>
      <c r="L375" s="168"/>
    </row>
    <row r="376">
      <c r="G376" s="168"/>
      <c r="L376" s="168"/>
    </row>
    <row r="377">
      <c r="G377" s="168"/>
      <c r="L377" s="168"/>
    </row>
    <row r="378">
      <c r="G378" s="168"/>
      <c r="L378" s="168"/>
    </row>
    <row r="379">
      <c r="G379" s="168"/>
      <c r="L379" s="168"/>
    </row>
    <row r="380">
      <c r="G380" s="168"/>
      <c r="L380" s="168"/>
    </row>
    <row r="381">
      <c r="G381" s="168"/>
      <c r="L381" s="168"/>
    </row>
    <row r="382">
      <c r="G382" s="168"/>
      <c r="L382" s="168"/>
    </row>
    <row r="383">
      <c r="G383" s="168"/>
      <c r="L383" s="168"/>
    </row>
    <row r="384">
      <c r="G384" s="168"/>
      <c r="L384" s="168"/>
    </row>
    <row r="385">
      <c r="G385" s="168"/>
      <c r="L385" s="168"/>
    </row>
    <row r="386">
      <c r="G386" s="168"/>
      <c r="L386" s="168"/>
    </row>
    <row r="387">
      <c r="G387" s="168"/>
      <c r="L387" s="168"/>
    </row>
    <row r="388">
      <c r="G388" s="168"/>
      <c r="L388" s="168"/>
    </row>
    <row r="389">
      <c r="G389" s="168"/>
      <c r="L389" s="168"/>
    </row>
    <row r="390">
      <c r="G390" s="168"/>
      <c r="L390" s="168"/>
    </row>
    <row r="391">
      <c r="G391" s="168"/>
      <c r="L391" s="168"/>
    </row>
    <row r="392">
      <c r="G392" s="168"/>
      <c r="L392" s="168"/>
    </row>
    <row r="393">
      <c r="G393" s="168"/>
      <c r="L393" s="168"/>
    </row>
    <row r="394">
      <c r="G394" s="168"/>
      <c r="L394" s="168"/>
    </row>
    <row r="395">
      <c r="G395" s="168"/>
      <c r="L395" s="168"/>
    </row>
    <row r="396">
      <c r="G396" s="168"/>
      <c r="L396" s="168"/>
    </row>
    <row r="397">
      <c r="G397" s="168"/>
      <c r="L397" s="168"/>
    </row>
    <row r="398">
      <c r="G398" s="168"/>
      <c r="L398" s="168"/>
    </row>
    <row r="399">
      <c r="G399" s="168"/>
      <c r="L399" s="168"/>
    </row>
    <row r="400">
      <c r="G400" s="168"/>
      <c r="L400" s="168"/>
    </row>
    <row r="401">
      <c r="G401" s="168"/>
      <c r="L401" s="168"/>
    </row>
    <row r="402">
      <c r="G402" s="168"/>
      <c r="L402" s="168"/>
    </row>
    <row r="403">
      <c r="G403" s="168"/>
      <c r="L403" s="168"/>
    </row>
    <row r="404">
      <c r="G404" s="168"/>
      <c r="L404" s="168"/>
    </row>
    <row r="405">
      <c r="G405" s="168"/>
      <c r="L405" s="168"/>
    </row>
    <row r="406">
      <c r="G406" s="168"/>
      <c r="L406" s="168"/>
    </row>
    <row r="407">
      <c r="G407" s="168"/>
      <c r="L407" s="168"/>
    </row>
    <row r="408">
      <c r="G408" s="168"/>
      <c r="L408" s="168"/>
    </row>
    <row r="409">
      <c r="G409" s="168"/>
      <c r="L409" s="168"/>
    </row>
    <row r="410">
      <c r="G410" s="168"/>
      <c r="L410" s="168"/>
    </row>
    <row r="411">
      <c r="G411" s="168"/>
      <c r="L411" s="168"/>
    </row>
    <row r="412">
      <c r="G412" s="168"/>
      <c r="L412" s="168"/>
    </row>
    <row r="413">
      <c r="G413" s="168"/>
      <c r="L413" s="168"/>
    </row>
    <row r="414">
      <c r="G414" s="168"/>
      <c r="L414" s="168"/>
    </row>
    <row r="415">
      <c r="G415" s="168"/>
      <c r="L415" s="168"/>
    </row>
    <row r="416">
      <c r="G416" s="168"/>
      <c r="L416" s="168"/>
    </row>
    <row r="417">
      <c r="G417" s="168"/>
      <c r="L417" s="168"/>
    </row>
    <row r="418">
      <c r="G418" s="168"/>
      <c r="L418" s="168"/>
    </row>
    <row r="419">
      <c r="G419" s="168"/>
      <c r="L419" s="168"/>
    </row>
    <row r="420">
      <c r="G420" s="168"/>
      <c r="L420" s="168"/>
    </row>
    <row r="421">
      <c r="G421" s="168"/>
      <c r="L421" s="168"/>
    </row>
    <row r="422">
      <c r="G422" s="168"/>
      <c r="L422" s="168"/>
    </row>
    <row r="423">
      <c r="G423" s="168"/>
      <c r="L423" s="168"/>
    </row>
    <row r="424">
      <c r="G424" s="168"/>
      <c r="L424" s="168"/>
    </row>
    <row r="425">
      <c r="G425" s="168"/>
      <c r="L425" s="168"/>
    </row>
    <row r="426">
      <c r="G426" s="168"/>
      <c r="L426" s="168"/>
    </row>
    <row r="427">
      <c r="G427" s="168"/>
      <c r="L427" s="168"/>
    </row>
    <row r="428">
      <c r="G428" s="168"/>
      <c r="L428" s="168"/>
    </row>
    <row r="429">
      <c r="G429" s="168"/>
      <c r="L429" s="168"/>
    </row>
    <row r="430">
      <c r="G430" s="168"/>
      <c r="L430" s="168"/>
    </row>
    <row r="431">
      <c r="G431" s="168"/>
      <c r="L431" s="168"/>
    </row>
    <row r="432">
      <c r="G432" s="168"/>
      <c r="L432" s="168"/>
    </row>
    <row r="433">
      <c r="G433" s="168"/>
      <c r="L433" s="168"/>
    </row>
    <row r="434">
      <c r="G434" s="168"/>
      <c r="L434" s="168"/>
    </row>
    <row r="435">
      <c r="G435" s="168"/>
      <c r="L435" s="168"/>
    </row>
    <row r="436">
      <c r="G436" s="168"/>
      <c r="L436" s="168"/>
    </row>
    <row r="437">
      <c r="G437" s="168"/>
      <c r="L437" s="168"/>
    </row>
    <row r="438">
      <c r="G438" s="168"/>
      <c r="L438" s="168"/>
    </row>
    <row r="439">
      <c r="G439" s="168"/>
      <c r="L439" s="168"/>
    </row>
    <row r="440">
      <c r="G440" s="168"/>
      <c r="L440" s="168"/>
    </row>
    <row r="441">
      <c r="G441" s="168"/>
      <c r="L441" s="168"/>
    </row>
    <row r="442">
      <c r="G442" s="168"/>
      <c r="L442" s="168"/>
    </row>
    <row r="443">
      <c r="G443" s="168"/>
      <c r="L443" s="168"/>
    </row>
    <row r="444">
      <c r="G444" s="168"/>
      <c r="L444" s="168"/>
    </row>
    <row r="445">
      <c r="G445" s="168"/>
      <c r="L445" s="168"/>
    </row>
    <row r="446">
      <c r="G446" s="168"/>
      <c r="L446" s="168"/>
    </row>
    <row r="447">
      <c r="G447" s="168"/>
      <c r="L447" s="168"/>
    </row>
    <row r="448">
      <c r="G448" s="168"/>
      <c r="L448" s="168"/>
    </row>
    <row r="449">
      <c r="G449" s="168"/>
      <c r="L449" s="168"/>
    </row>
    <row r="450">
      <c r="G450" s="168"/>
      <c r="L450" s="168"/>
    </row>
    <row r="451">
      <c r="G451" s="168"/>
      <c r="L451" s="168"/>
    </row>
    <row r="452">
      <c r="G452" s="168"/>
      <c r="L452" s="168"/>
    </row>
    <row r="453">
      <c r="G453" s="168"/>
      <c r="L453" s="168"/>
    </row>
    <row r="454">
      <c r="G454" s="168"/>
      <c r="L454" s="168"/>
    </row>
    <row r="455">
      <c r="G455" s="168"/>
      <c r="L455" s="168"/>
    </row>
    <row r="456">
      <c r="G456" s="168"/>
      <c r="L456" s="168"/>
    </row>
    <row r="457">
      <c r="G457" s="168"/>
      <c r="L457" s="168"/>
    </row>
    <row r="458">
      <c r="G458" s="168"/>
      <c r="L458" s="168"/>
    </row>
    <row r="459">
      <c r="G459" s="168"/>
      <c r="L459" s="168"/>
    </row>
    <row r="460">
      <c r="G460" s="168"/>
      <c r="L460" s="168"/>
    </row>
    <row r="461">
      <c r="G461" s="168"/>
      <c r="L461" s="168"/>
    </row>
    <row r="462">
      <c r="G462" s="168"/>
      <c r="L462" s="168"/>
    </row>
    <row r="463">
      <c r="G463" s="168"/>
      <c r="L463" s="168"/>
    </row>
    <row r="464">
      <c r="G464" s="168"/>
      <c r="L464" s="168"/>
    </row>
    <row r="465">
      <c r="G465" s="168"/>
      <c r="L465" s="168"/>
    </row>
    <row r="466">
      <c r="G466" s="168"/>
      <c r="L466" s="168"/>
    </row>
    <row r="467">
      <c r="G467" s="168"/>
      <c r="L467" s="168"/>
    </row>
    <row r="468">
      <c r="G468" s="168"/>
      <c r="L468" s="168"/>
    </row>
    <row r="469">
      <c r="G469" s="168"/>
      <c r="L469" s="168"/>
    </row>
    <row r="470">
      <c r="G470" s="168"/>
      <c r="L470" s="168"/>
    </row>
    <row r="471">
      <c r="G471" s="168"/>
      <c r="L471" s="168"/>
    </row>
    <row r="472">
      <c r="G472" s="168"/>
      <c r="L472" s="168"/>
    </row>
    <row r="473">
      <c r="G473" s="168"/>
      <c r="L473" s="168"/>
    </row>
    <row r="474">
      <c r="G474" s="168"/>
      <c r="L474" s="168"/>
    </row>
    <row r="475">
      <c r="G475" s="168"/>
      <c r="L475" s="168"/>
    </row>
    <row r="476">
      <c r="G476" s="168"/>
      <c r="L476" s="168"/>
    </row>
    <row r="477">
      <c r="G477" s="168"/>
      <c r="L477" s="168"/>
    </row>
    <row r="478">
      <c r="G478" s="168"/>
      <c r="L478" s="168"/>
    </row>
    <row r="479">
      <c r="G479" s="168"/>
      <c r="L479" s="168"/>
    </row>
    <row r="480">
      <c r="G480" s="168"/>
      <c r="L480" s="168"/>
    </row>
    <row r="481">
      <c r="G481" s="168"/>
      <c r="L481" s="168"/>
    </row>
    <row r="482">
      <c r="G482" s="168"/>
      <c r="L482" s="168"/>
    </row>
    <row r="483">
      <c r="G483" s="168"/>
      <c r="L483" s="168"/>
    </row>
    <row r="484">
      <c r="G484" s="168"/>
      <c r="L484" s="168"/>
    </row>
    <row r="485">
      <c r="G485" s="168"/>
      <c r="L485" s="168"/>
    </row>
    <row r="486">
      <c r="G486" s="168"/>
      <c r="L486" s="168"/>
    </row>
    <row r="487">
      <c r="G487" s="168"/>
      <c r="L487" s="168"/>
    </row>
    <row r="488">
      <c r="G488" s="168"/>
      <c r="L488" s="168"/>
    </row>
    <row r="489">
      <c r="G489" s="168"/>
      <c r="L489" s="168"/>
    </row>
    <row r="490">
      <c r="G490" s="168"/>
      <c r="L490" s="168"/>
    </row>
    <row r="491">
      <c r="G491" s="168"/>
      <c r="L491" s="168"/>
    </row>
    <row r="492">
      <c r="G492" s="168"/>
      <c r="L492" s="168"/>
    </row>
    <row r="493">
      <c r="G493" s="168"/>
      <c r="L493" s="168"/>
    </row>
    <row r="494">
      <c r="G494" s="168"/>
      <c r="L494" s="168"/>
    </row>
    <row r="495">
      <c r="G495" s="168"/>
      <c r="L495" s="168"/>
    </row>
    <row r="496">
      <c r="G496" s="168"/>
      <c r="L496" s="168"/>
    </row>
    <row r="497">
      <c r="G497" s="168"/>
      <c r="L497" s="168"/>
    </row>
    <row r="498">
      <c r="G498" s="168"/>
      <c r="L498" s="168"/>
    </row>
    <row r="499">
      <c r="G499" s="168"/>
      <c r="L499" s="168"/>
    </row>
    <row r="500">
      <c r="G500" s="168"/>
      <c r="L500" s="168"/>
    </row>
    <row r="501">
      <c r="G501" s="168"/>
      <c r="L501" s="168"/>
    </row>
    <row r="502">
      <c r="G502" s="168"/>
      <c r="L502" s="168"/>
    </row>
    <row r="503">
      <c r="G503" s="168"/>
      <c r="L503" s="168"/>
    </row>
    <row r="504">
      <c r="G504" s="168"/>
      <c r="L504" s="168"/>
    </row>
    <row r="505">
      <c r="G505" s="168"/>
      <c r="L505" s="168"/>
    </row>
    <row r="506">
      <c r="G506" s="168"/>
      <c r="L506" s="168"/>
    </row>
    <row r="507">
      <c r="G507" s="168"/>
      <c r="L507" s="168"/>
    </row>
    <row r="508">
      <c r="G508" s="168"/>
      <c r="L508" s="168"/>
    </row>
    <row r="509">
      <c r="G509" s="168"/>
      <c r="L509" s="168"/>
    </row>
    <row r="510">
      <c r="G510" s="168"/>
      <c r="L510" s="168"/>
    </row>
    <row r="511">
      <c r="G511" s="168"/>
      <c r="L511" s="168"/>
    </row>
    <row r="512">
      <c r="G512" s="168"/>
      <c r="L512" s="168"/>
    </row>
    <row r="513">
      <c r="G513" s="168"/>
      <c r="L513" s="168"/>
    </row>
    <row r="514">
      <c r="G514" s="168"/>
      <c r="L514" s="168"/>
    </row>
    <row r="515">
      <c r="G515" s="168"/>
      <c r="L515" s="168"/>
    </row>
    <row r="516">
      <c r="G516" s="168"/>
      <c r="L516" s="168"/>
    </row>
    <row r="517">
      <c r="G517" s="168"/>
      <c r="L517" s="168"/>
    </row>
    <row r="518">
      <c r="G518" s="168"/>
      <c r="L518" s="168"/>
    </row>
    <row r="519">
      <c r="G519" s="168"/>
      <c r="L519" s="168"/>
    </row>
    <row r="520">
      <c r="G520" s="168"/>
      <c r="L520" s="168"/>
    </row>
    <row r="521">
      <c r="G521" s="168"/>
      <c r="L521" s="168"/>
    </row>
    <row r="522">
      <c r="G522" s="168"/>
      <c r="L522" s="168"/>
    </row>
    <row r="523">
      <c r="G523" s="168"/>
      <c r="L523" s="168"/>
    </row>
    <row r="524">
      <c r="G524" s="168"/>
      <c r="L524" s="168"/>
    </row>
    <row r="525">
      <c r="G525" s="168"/>
      <c r="L525" s="168"/>
    </row>
    <row r="526">
      <c r="G526" s="168"/>
      <c r="L526" s="168"/>
    </row>
    <row r="527">
      <c r="G527" s="168"/>
      <c r="L527" s="168"/>
    </row>
    <row r="528">
      <c r="G528" s="168"/>
      <c r="L528" s="168"/>
    </row>
    <row r="529">
      <c r="G529" s="168"/>
      <c r="L529" s="168"/>
    </row>
    <row r="530">
      <c r="G530" s="168"/>
      <c r="L530" s="168"/>
    </row>
    <row r="531">
      <c r="G531" s="168"/>
      <c r="L531" s="168"/>
    </row>
    <row r="532">
      <c r="G532" s="168"/>
      <c r="L532" s="168"/>
    </row>
    <row r="533">
      <c r="G533" s="168"/>
      <c r="L533" s="168"/>
    </row>
    <row r="534">
      <c r="G534" s="168"/>
      <c r="L534" s="168"/>
    </row>
    <row r="535">
      <c r="G535" s="168"/>
      <c r="L535" s="168"/>
    </row>
    <row r="536">
      <c r="G536" s="168"/>
      <c r="L536" s="168"/>
    </row>
    <row r="537">
      <c r="G537" s="168"/>
      <c r="L537" s="168"/>
    </row>
    <row r="538">
      <c r="G538" s="168"/>
      <c r="L538" s="168"/>
    </row>
    <row r="539">
      <c r="G539" s="168"/>
      <c r="L539" s="168"/>
    </row>
    <row r="540">
      <c r="G540" s="168"/>
      <c r="L540" s="168"/>
    </row>
    <row r="541">
      <c r="G541" s="168"/>
      <c r="L541" s="168"/>
    </row>
    <row r="542">
      <c r="G542" s="168"/>
      <c r="L542" s="168"/>
    </row>
    <row r="543">
      <c r="G543" s="168"/>
      <c r="L543" s="168"/>
    </row>
    <row r="544">
      <c r="G544" s="168"/>
      <c r="L544" s="168"/>
    </row>
    <row r="545">
      <c r="G545" s="168"/>
      <c r="L545" s="168"/>
    </row>
    <row r="546">
      <c r="G546" s="168"/>
      <c r="L546" s="168"/>
    </row>
    <row r="547">
      <c r="G547" s="168"/>
      <c r="L547" s="168"/>
    </row>
    <row r="548">
      <c r="G548" s="168"/>
      <c r="L548" s="168"/>
    </row>
    <row r="549">
      <c r="G549" s="168"/>
      <c r="L549" s="168"/>
    </row>
    <row r="550">
      <c r="G550" s="168"/>
      <c r="L550" s="168"/>
    </row>
    <row r="551">
      <c r="G551" s="168"/>
      <c r="L551" s="168"/>
    </row>
    <row r="552">
      <c r="G552" s="168"/>
      <c r="L552" s="168"/>
    </row>
    <row r="553">
      <c r="G553" s="168"/>
      <c r="L553" s="168"/>
    </row>
    <row r="554">
      <c r="G554" s="168"/>
      <c r="L554" s="168"/>
    </row>
    <row r="555">
      <c r="G555" s="168"/>
      <c r="L555" s="168"/>
    </row>
    <row r="556">
      <c r="G556" s="168"/>
      <c r="L556" s="168"/>
    </row>
    <row r="557">
      <c r="G557" s="168"/>
      <c r="L557" s="168"/>
    </row>
    <row r="558">
      <c r="G558" s="168"/>
      <c r="L558" s="168"/>
    </row>
    <row r="559">
      <c r="G559" s="168"/>
      <c r="L559" s="168"/>
    </row>
    <row r="560">
      <c r="G560" s="168"/>
      <c r="L560" s="168"/>
    </row>
    <row r="561">
      <c r="G561" s="168"/>
      <c r="L561" s="168"/>
    </row>
    <row r="562">
      <c r="G562" s="168"/>
      <c r="L562" s="168"/>
    </row>
    <row r="563">
      <c r="G563" s="168"/>
      <c r="L563" s="168"/>
    </row>
    <row r="564">
      <c r="G564" s="168"/>
      <c r="L564" s="168"/>
    </row>
    <row r="565">
      <c r="G565" s="168"/>
      <c r="L565" s="168"/>
    </row>
    <row r="566">
      <c r="G566" s="168"/>
      <c r="L566" s="168"/>
    </row>
    <row r="567">
      <c r="G567" s="168"/>
      <c r="L567" s="168"/>
    </row>
    <row r="568">
      <c r="G568" s="168"/>
      <c r="L568" s="168"/>
    </row>
    <row r="569">
      <c r="G569" s="168"/>
      <c r="L569" s="168"/>
    </row>
    <row r="570">
      <c r="G570" s="168"/>
      <c r="L570" s="168"/>
    </row>
    <row r="571">
      <c r="G571" s="168"/>
      <c r="L571" s="168"/>
    </row>
    <row r="572">
      <c r="G572" s="168"/>
      <c r="L572" s="168"/>
    </row>
    <row r="573">
      <c r="G573" s="168"/>
      <c r="L573" s="168"/>
    </row>
    <row r="574">
      <c r="G574" s="168"/>
      <c r="L574" s="168"/>
    </row>
    <row r="575">
      <c r="G575" s="168"/>
      <c r="L575" s="168"/>
    </row>
    <row r="576">
      <c r="G576" s="168"/>
      <c r="L576" s="168"/>
    </row>
    <row r="577">
      <c r="G577" s="168"/>
      <c r="L577" s="168"/>
    </row>
    <row r="578">
      <c r="G578" s="168"/>
      <c r="L578" s="168"/>
    </row>
    <row r="579">
      <c r="G579" s="168"/>
      <c r="L579" s="168"/>
    </row>
    <row r="580">
      <c r="G580" s="168"/>
      <c r="L580" s="168"/>
    </row>
    <row r="581">
      <c r="G581" s="168"/>
      <c r="L581" s="168"/>
    </row>
    <row r="582">
      <c r="G582" s="168"/>
      <c r="L582" s="168"/>
    </row>
    <row r="583">
      <c r="G583" s="168"/>
      <c r="L583" s="168"/>
    </row>
    <row r="584">
      <c r="G584" s="168"/>
      <c r="L584" s="168"/>
    </row>
    <row r="585">
      <c r="G585" s="168"/>
      <c r="L585" s="168"/>
    </row>
    <row r="586">
      <c r="G586" s="168"/>
      <c r="L586" s="168"/>
    </row>
    <row r="587">
      <c r="G587" s="168"/>
      <c r="L587" s="168"/>
    </row>
    <row r="588">
      <c r="G588" s="168"/>
      <c r="L588" s="168"/>
    </row>
    <row r="589">
      <c r="G589" s="168"/>
      <c r="L589" s="168"/>
    </row>
    <row r="590">
      <c r="G590" s="168"/>
      <c r="L590" s="168"/>
    </row>
    <row r="591">
      <c r="G591" s="168"/>
      <c r="L591" s="168"/>
    </row>
    <row r="592">
      <c r="G592" s="168"/>
      <c r="L592" s="168"/>
    </row>
    <row r="593">
      <c r="G593" s="168"/>
      <c r="L593" s="168"/>
    </row>
    <row r="594">
      <c r="G594" s="168"/>
      <c r="L594" s="168"/>
    </row>
    <row r="595">
      <c r="G595" s="168"/>
      <c r="L595" s="168"/>
    </row>
    <row r="596">
      <c r="G596" s="168"/>
      <c r="L596" s="168"/>
    </row>
    <row r="597">
      <c r="G597" s="168"/>
      <c r="L597" s="168"/>
    </row>
    <row r="598">
      <c r="G598" s="168"/>
      <c r="L598" s="168"/>
    </row>
    <row r="599">
      <c r="G599" s="168"/>
      <c r="L599" s="168"/>
    </row>
    <row r="600">
      <c r="G600" s="168"/>
      <c r="L600" s="168"/>
    </row>
    <row r="601">
      <c r="G601" s="168"/>
      <c r="L601" s="168"/>
    </row>
    <row r="602">
      <c r="G602" s="168"/>
      <c r="L602" s="168"/>
    </row>
    <row r="603">
      <c r="G603" s="168"/>
      <c r="L603" s="168"/>
    </row>
    <row r="604">
      <c r="G604" s="168"/>
      <c r="L604" s="168"/>
    </row>
    <row r="605">
      <c r="G605" s="168"/>
      <c r="L605" s="168"/>
    </row>
    <row r="606">
      <c r="G606" s="168"/>
      <c r="L606" s="168"/>
    </row>
    <row r="607">
      <c r="G607" s="168"/>
      <c r="L607" s="168"/>
    </row>
    <row r="608">
      <c r="G608" s="168"/>
      <c r="L608" s="168"/>
    </row>
    <row r="609">
      <c r="G609" s="168"/>
      <c r="L609" s="168"/>
    </row>
    <row r="610">
      <c r="G610" s="168"/>
      <c r="L610" s="168"/>
    </row>
    <row r="611">
      <c r="G611" s="168"/>
      <c r="L611" s="168"/>
    </row>
    <row r="612">
      <c r="G612" s="168"/>
      <c r="L612" s="168"/>
    </row>
    <row r="613">
      <c r="G613" s="168"/>
      <c r="L613" s="168"/>
    </row>
    <row r="614">
      <c r="G614" s="168"/>
      <c r="L614" s="168"/>
    </row>
    <row r="615">
      <c r="G615" s="168"/>
      <c r="L615" s="168"/>
    </row>
    <row r="616">
      <c r="G616" s="168"/>
      <c r="L616" s="168"/>
    </row>
    <row r="617">
      <c r="G617" s="168"/>
      <c r="L617" s="168"/>
    </row>
    <row r="618">
      <c r="G618" s="168"/>
      <c r="L618" s="168"/>
    </row>
    <row r="619">
      <c r="G619" s="168"/>
      <c r="L619" s="168"/>
    </row>
    <row r="620">
      <c r="G620" s="168"/>
      <c r="L620" s="168"/>
    </row>
    <row r="621">
      <c r="G621" s="168"/>
      <c r="L621" s="168"/>
    </row>
    <row r="622">
      <c r="G622" s="168"/>
      <c r="L622" s="168"/>
    </row>
    <row r="623">
      <c r="G623" s="168"/>
      <c r="L623" s="168"/>
    </row>
    <row r="624">
      <c r="G624" s="168"/>
      <c r="L624" s="168"/>
    </row>
    <row r="625">
      <c r="G625" s="168"/>
      <c r="L625" s="168"/>
    </row>
    <row r="626">
      <c r="G626" s="168"/>
      <c r="L626" s="168"/>
    </row>
    <row r="627">
      <c r="G627" s="168"/>
      <c r="L627" s="168"/>
    </row>
    <row r="628">
      <c r="G628" s="168"/>
      <c r="L628" s="168"/>
    </row>
    <row r="629">
      <c r="G629" s="168"/>
      <c r="L629" s="168"/>
    </row>
    <row r="630">
      <c r="G630" s="168"/>
      <c r="L630" s="168"/>
    </row>
    <row r="631">
      <c r="G631" s="168"/>
      <c r="L631" s="168"/>
    </row>
    <row r="632">
      <c r="G632" s="168"/>
      <c r="L632" s="168"/>
    </row>
    <row r="633">
      <c r="G633" s="168"/>
      <c r="L633" s="168"/>
    </row>
    <row r="634">
      <c r="G634" s="168"/>
      <c r="L634" s="168"/>
    </row>
    <row r="635">
      <c r="G635" s="168"/>
      <c r="L635" s="168"/>
    </row>
    <row r="636">
      <c r="G636" s="168"/>
      <c r="L636" s="168"/>
    </row>
    <row r="637">
      <c r="G637" s="168"/>
      <c r="L637" s="168"/>
    </row>
    <row r="638">
      <c r="G638" s="168"/>
      <c r="L638" s="168"/>
    </row>
    <row r="639">
      <c r="G639" s="168"/>
      <c r="L639" s="168"/>
    </row>
    <row r="640">
      <c r="G640" s="168"/>
      <c r="L640" s="168"/>
    </row>
    <row r="641">
      <c r="G641" s="168"/>
      <c r="L641" s="168"/>
    </row>
    <row r="642">
      <c r="G642" s="168"/>
      <c r="L642" s="168"/>
    </row>
    <row r="643">
      <c r="G643" s="168"/>
      <c r="L643" s="168"/>
    </row>
    <row r="644">
      <c r="G644" s="168"/>
      <c r="L644" s="168"/>
    </row>
    <row r="645">
      <c r="G645" s="168"/>
      <c r="L645" s="168"/>
    </row>
    <row r="646">
      <c r="G646" s="168"/>
      <c r="L646" s="168"/>
    </row>
    <row r="647">
      <c r="G647" s="168"/>
      <c r="L647" s="168"/>
    </row>
    <row r="648">
      <c r="G648" s="168"/>
      <c r="L648" s="168"/>
    </row>
    <row r="649">
      <c r="G649" s="168"/>
      <c r="L649" s="168"/>
    </row>
    <row r="650">
      <c r="G650" s="168"/>
      <c r="L650" s="168"/>
    </row>
    <row r="651">
      <c r="G651" s="168"/>
      <c r="L651" s="168"/>
    </row>
    <row r="652">
      <c r="G652" s="168"/>
      <c r="L652" s="168"/>
    </row>
    <row r="653">
      <c r="G653" s="168"/>
      <c r="L653" s="168"/>
    </row>
    <row r="654">
      <c r="G654" s="168"/>
      <c r="L654" s="168"/>
    </row>
    <row r="655">
      <c r="G655" s="168"/>
      <c r="L655" s="168"/>
    </row>
    <row r="656">
      <c r="G656" s="168"/>
      <c r="L656" s="168"/>
    </row>
    <row r="657">
      <c r="G657" s="168"/>
      <c r="L657" s="168"/>
    </row>
    <row r="658">
      <c r="G658" s="168"/>
      <c r="L658" s="168"/>
    </row>
    <row r="659">
      <c r="G659" s="168"/>
      <c r="L659" s="168"/>
    </row>
    <row r="660">
      <c r="G660" s="168"/>
      <c r="L660" s="168"/>
    </row>
    <row r="661">
      <c r="G661" s="168"/>
      <c r="L661" s="168"/>
    </row>
    <row r="662">
      <c r="G662" s="168"/>
      <c r="L662" s="168"/>
    </row>
    <row r="663">
      <c r="G663" s="168"/>
      <c r="L663" s="168"/>
    </row>
    <row r="664">
      <c r="G664" s="168"/>
      <c r="L664" s="168"/>
    </row>
    <row r="665">
      <c r="G665" s="168"/>
      <c r="L665" s="168"/>
    </row>
    <row r="666">
      <c r="G666" s="168"/>
      <c r="L666" s="168"/>
    </row>
    <row r="667">
      <c r="G667" s="168"/>
      <c r="L667" s="168"/>
    </row>
    <row r="668">
      <c r="G668" s="168"/>
      <c r="L668" s="168"/>
    </row>
    <row r="669">
      <c r="G669" s="168"/>
      <c r="L669" s="168"/>
    </row>
    <row r="670">
      <c r="G670" s="168"/>
      <c r="L670" s="168"/>
    </row>
    <row r="671">
      <c r="G671" s="168"/>
      <c r="L671" s="168"/>
    </row>
    <row r="672">
      <c r="G672" s="168"/>
      <c r="L672" s="168"/>
    </row>
    <row r="673">
      <c r="G673" s="168"/>
      <c r="L673" s="168"/>
    </row>
    <row r="674">
      <c r="G674" s="168"/>
      <c r="L674" s="168"/>
    </row>
    <row r="675">
      <c r="G675" s="168"/>
      <c r="L675" s="168"/>
    </row>
    <row r="676">
      <c r="G676" s="168"/>
      <c r="L676" s="168"/>
    </row>
    <row r="677">
      <c r="G677" s="168"/>
      <c r="L677" s="168"/>
    </row>
    <row r="678">
      <c r="G678" s="168"/>
      <c r="L678" s="168"/>
    </row>
    <row r="679">
      <c r="G679" s="168"/>
      <c r="L679" s="168"/>
    </row>
    <row r="680">
      <c r="G680" s="168"/>
      <c r="L680" s="168"/>
    </row>
    <row r="681">
      <c r="G681" s="168"/>
      <c r="L681" s="168"/>
    </row>
    <row r="682">
      <c r="G682" s="168"/>
      <c r="L682" s="168"/>
    </row>
    <row r="683">
      <c r="G683" s="168"/>
      <c r="L683" s="168"/>
    </row>
    <row r="684">
      <c r="G684" s="168"/>
      <c r="L684" s="168"/>
    </row>
    <row r="685">
      <c r="G685" s="168"/>
      <c r="L685" s="168"/>
    </row>
    <row r="686">
      <c r="G686" s="168"/>
      <c r="L686" s="168"/>
    </row>
    <row r="687">
      <c r="G687" s="168"/>
      <c r="L687" s="168"/>
    </row>
    <row r="688">
      <c r="G688" s="168"/>
      <c r="L688" s="168"/>
    </row>
    <row r="689">
      <c r="G689" s="168"/>
      <c r="L689" s="168"/>
    </row>
    <row r="690">
      <c r="G690" s="168"/>
      <c r="L690" s="168"/>
    </row>
    <row r="691">
      <c r="G691" s="168"/>
      <c r="L691" s="168"/>
    </row>
    <row r="692">
      <c r="G692" s="168"/>
      <c r="L692" s="168"/>
    </row>
    <row r="693">
      <c r="G693" s="168"/>
      <c r="L693" s="168"/>
    </row>
    <row r="694">
      <c r="G694" s="168"/>
      <c r="L694" s="168"/>
    </row>
    <row r="695">
      <c r="G695" s="168"/>
      <c r="L695" s="168"/>
    </row>
    <row r="696">
      <c r="G696" s="168"/>
      <c r="L696" s="168"/>
    </row>
    <row r="697">
      <c r="G697" s="168"/>
      <c r="L697" s="168"/>
    </row>
    <row r="698">
      <c r="G698" s="168"/>
      <c r="L698" s="168"/>
    </row>
    <row r="699">
      <c r="G699" s="168"/>
      <c r="L699" s="168"/>
    </row>
    <row r="700">
      <c r="G700" s="168"/>
      <c r="L700" s="168"/>
    </row>
    <row r="701">
      <c r="G701" s="168"/>
      <c r="L701" s="168"/>
    </row>
    <row r="702">
      <c r="G702" s="168"/>
      <c r="L702" s="168"/>
    </row>
    <row r="703">
      <c r="G703" s="168"/>
      <c r="L703" s="168"/>
    </row>
    <row r="704">
      <c r="G704" s="168"/>
      <c r="L704" s="168"/>
    </row>
    <row r="705">
      <c r="G705" s="168"/>
      <c r="L705" s="168"/>
    </row>
    <row r="706">
      <c r="G706" s="168"/>
      <c r="L706" s="168"/>
    </row>
    <row r="707">
      <c r="G707" s="168"/>
      <c r="L707" s="168"/>
    </row>
    <row r="708">
      <c r="G708" s="168"/>
      <c r="L708" s="168"/>
    </row>
    <row r="709">
      <c r="G709" s="168"/>
      <c r="L709" s="168"/>
    </row>
    <row r="710">
      <c r="G710" s="168"/>
      <c r="L710" s="168"/>
    </row>
    <row r="711">
      <c r="G711" s="168"/>
      <c r="L711" s="168"/>
    </row>
    <row r="712">
      <c r="G712" s="168"/>
      <c r="L712" s="168"/>
    </row>
    <row r="713">
      <c r="G713" s="168"/>
      <c r="L713" s="168"/>
    </row>
    <row r="714">
      <c r="G714" s="168"/>
      <c r="L714" s="168"/>
    </row>
    <row r="715">
      <c r="G715" s="168"/>
      <c r="L715" s="168"/>
    </row>
    <row r="716">
      <c r="G716" s="168"/>
      <c r="L716" s="168"/>
    </row>
    <row r="717">
      <c r="G717" s="168"/>
      <c r="L717" s="168"/>
    </row>
    <row r="718">
      <c r="G718" s="168"/>
      <c r="L718" s="168"/>
    </row>
    <row r="719">
      <c r="G719" s="168"/>
      <c r="L719" s="168"/>
    </row>
    <row r="720">
      <c r="G720" s="168"/>
      <c r="L720" s="168"/>
    </row>
    <row r="721">
      <c r="G721" s="168"/>
      <c r="L721" s="168"/>
    </row>
    <row r="722">
      <c r="G722" s="168"/>
      <c r="L722" s="168"/>
    </row>
    <row r="723">
      <c r="G723" s="168"/>
      <c r="L723" s="168"/>
    </row>
    <row r="724">
      <c r="G724" s="168"/>
      <c r="L724" s="168"/>
    </row>
    <row r="725">
      <c r="G725" s="168"/>
      <c r="L725" s="168"/>
    </row>
    <row r="726">
      <c r="G726" s="168"/>
      <c r="L726" s="168"/>
    </row>
    <row r="727">
      <c r="G727" s="168"/>
      <c r="L727" s="168"/>
    </row>
    <row r="728">
      <c r="G728" s="168"/>
      <c r="L728" s="168"/>
    </row>
    <row r="729">
      <c r="G729" s="168"/>
      <c r="L729" s="168"/>
    </row>
    <row r="730">
      <c r="G730" s="168"/>
      <c r="L730" s="168"/>
    </row>
    <row r="731">
      <c r="G731" s="168"/>
      <c r="L731" s="168"/>
    </row>
    <row r="732">
      <c r="G732" s="168"/>
      <c r="L732" s="168"/>
    </row>
    <row r="733">
      <c r="G733" s="168"/>
      <c r="L733" s="168"/>
    </row>
    <row r="734">
      <c r="G734" s="168"/>
      <c r="L734" s="168"/>
    </row>
    <row r="735">
      <c r="G735" s="168"/>
      <c r="L735" s="168"/>
    </row>
    <row r="736">
      <c r="G736" s="168"/>
      <c r="L736" s="168"/>
    </row>
    <row r="737">
      <c r="G737" s="168"/>
      <c r="L737" s="168"/>
    </row>
    <row r="738">
      <c r="G738" s="168"/>
      <c r="L738" s="168"/>
    </row>
    <row r="739">
      <c r="G739" s="168"/>
      <c r="L739" s="168"/>
    </row>
    <row r="740">
      <c r="G740" s="168"/>
      <c r="L740" s="168"/>
    </row>
    <row r="741">
      <c r="G741" s="168"/>
      <c r="L741" s="168"/>
    </row>
    <row r="742">
      <c r="G742" s="168"/>
      <c r="L742" s="168"/>
    </row>
    <row r="743">
      <c r="G743" s="168"/>
      <c r="L743" s="168"/>
    </row>
    <row r="744">
      <c r="G744" s="168"/>
      <c r="L744" s="168"/>
    </row>
    <row r="745">
      <c r="G745" s="168"/>
      <c r="L745" s="168"/>
    </row>
    <row r="746">
      <c r="G746" s="168"/>
      <c r="L746" s="168"/>
    </row>
    <row r="747">
      <c r="G747" s="168"/>
      <c r="L747" s="168"/>
    </row>
    <row r="748">
      <c r="G748" s="168"/>
      <c r="L748" s="168"/>
    </row>
    <row r="749">
      <c r="G749" s="168"/>
      <c r="L749" s="168"/>
    </row>
    <row r="750">
      <c r="G750" s="168"/>
      <c r="L750" s="168"/>
    </row>
    <row r="751">
      <c r="G751" s="168"/>
      <c r="L751" s="168"/>
    </row>
    <row r="752">
      <c r="G752" s="168"/>
      <c r="L752" s="168"/>
    </row>
    <row r="753">
      <c r="G753" s="168"/>
      <c r="L753" s="168"/>
    </row>
    <row r="754">
      <c r="G754" s="168"/>
      <c r="L754" s="168"/>
    </row>
    <row r="755">
      <c r="G755" s="168"/>
      <c r="L755" s="168"/>
    </row>
    <row r="756">
      <c r="G756" s="168"/>
      <c r="L756" s="168"/>
    </row>
    <row r="757">
      <c r="G757" s="168"/>
      <c r="L757" s="168"/>
    </row>
    <row r="758">
      <c r="G758" s="168"/>
      <c r="L758" s="168"/>
    </row>
    <row r="759">
      <c r="G759" s="168"/>
      <c r="L759" s="168"/>
    </row>
    <row r="760">
      <c r="G760" s="168"/>
      <c r="L760" s="168"/>
    </row>
    <row r="761">
      <c r="G761" s="168"/>
      <c r="L761" s="168"/>
    </row>
    <row r="762">
      <c r="G762" s="168"/>
      <c r="L762" s="168"/>
    </row>
    <row r="763">
      <c r="G763" s="168"/>
      <c r="L763" s="168"/>
    </row>
    <row r="764">
      <c r="G764" s="168"/>
      <c r="L764" s="168"/>
    </row>
    <row r="765">
      <c r="G765" s="168"/>
      <c r="L765" s="168"/>
    </row>
    <row r="766">
      <c r="G766" s="168"/>
      <c r="L766" s="168"/>
    </row>
    <row r="767">
      <c r="G767" s="168"/>
      <c r="L767" s="168"/>
    </row>
    <row r="768">
      <c r="G768" s="168"/>
      <c r="L768" s="168"/>
    </row>
    <row r="769">
      <c r="G769" s="168"/>
      <c r="L769" s="168"/>
    </row>
    <row r="770">
      <c r="G770" s="168"/>
      <c r="L770" s="168"/>
    </row>
    <row r="771">
      <c r="G771" s="168"/>
      <c r="L771" s="168"/>
    </row>
    <row r="772">
      <c r="G772" s="168"/>
      <c r="L772" s="168"/>
    </row>
    <row r="773">
      <c r="G773" s="168"/>
      <c r="L773" s="168"/>
    </row>
    <row r="774">
      <c r="G774" s="168"/>
      <c r="L774" s="168"/>
    </row>
    <row r="775">
      <c r="G775" s="168"/>
      <c r="L775" s="168"/>
    </row>
    <row r="776">
      <c r="G776" s="168"/>
      <c r="L776" s="168"/>
    </row>
    <row r="777">
      <c r="G777" s="168"/>
      <c r="L777" s="168"/>
    </row>
    <row r="778">
      <c r="G778" s="168"/>
      <c r="L778" s="168"/>
    </row>
    <row r="779">
      <c r="G779" s="168"/>
      <c r="L779" s="168"/>
    </row>
    <row r="780">
      <c r="G780" s="168"/>
      <c r="L780" s="168"/>
    </row>
    <row r="781">
      <c r="G781" s="168"/>
      <c r="L781" s="168"/>
    </row>
    <row r="782">
      <c r="G782" s="168"/>
      <c r="L782" s="168"/>
    </row>
    <row r="783">
      <c r="G783" s="168"/>
      <c r="L783" s="168"/>
    </row>
    <row r="784">
      <c r="G784" s="168"/>
      <c r="L784" s="168"/>
    </row>
    <row r="785">
      <c r="G785" s="168"/>
      <c r="L785" s="168"/>
    </row>
    <row r="786">
      <c r="G786" s="168"/>
      <c r="L786" s="168"/>
    </row>
    <row r="787">
      <c r="G787" s="168"/>
      <c r="L787" s="168"/>
    </row>
    <row r="788">
      <c r="G788" s="168"/>
      <c r="L788" s="168"/>
    </row>
    <row r="789">
      <c r="G789" s="168"/>
      <c r="L789" s="168"/>
    </row>
    <row r="790">
      <c r="G790" s="168"/>
      <c r="L790" s="168"/>
    </row>
    <row r="791">
      <c r="G791" s="168"/>
      <c r="L791" s="168"/>
    </row>
    <row r="792">
      <c r="G792" s="168"/>
      <c r="L792" s="168"/>
    </row>
    <row r="793">
      <c r="G793" s="168"/>
      <c r="L793" s="168"/>
    </row>
    <row r="794">
      <c r="G794" s="168"/>
      <c r="L794" s="168"/>
    </row>
    <row r="795">
      <c r="G795" s="168"/>
      <c r="L795" s="168"/>
    </row>
    <row r="796">
      <c r="G796" s="168"/>
      <c r="L796" s="168"/>
    </row>
    <row r="797">
      <c r="G797" s="168"/>
      <c r="L797" s="168"/>
    </row>
    <row r="798">
      <c r="G798" s="168"/>
      <c r="L798" s="168"/>
    </row>
    <row r="799">
      <c r="G799" s="168"/>
      <c r="L799" s="168"/>
    </row>
    <row r="800">
      <c r="G800" s="168"/>
      <c r="L800" s="168"/>
    </row>
    <row r="801">
      <c r="G801" s="168"/>
      <c r="L801" s="168"/>
    </row>
    <row r="802">
      <c r="G802" s="168"/>
      <c r="L802" s="168"/>
    </row>
    <row r="803">
      <c r="G803" s="168"/>
      <c r="L803" s="168"/>
    </row>
    <row r="804">
      <c r="G804" s="168"/>
      <c r="L804" s="168"/>
    </row>
    <row r="805">
      <c r="G805" s="168"/>
      <c r="L805" s="168"/>
    </row>
    <row r="806">
      <c r="G806" s="168"/>
      <c r="L806" s="168"/>
    </row>
    <row r="807">
      <c r="G807" s="168"/>
      <c r="L807" s="168"/>
    </row>
    <row r="808">
      <c r="G808" s="168"/>
      <c r="L808" s="168"/>
    </row>
    <row r="809">
      <c r="G809" s="168"/>
      <c r="L809" s="168"/>
    </row>
    <row r="810">
      <c r="G810" s="168"/>
      <c r="L810" s="168"/>
    </row>
    <row r="811">
      <c r="G811" s="168"/>
      <c r="L811" s="168"/>
    </row>
    <row r="812">
      <c r="G812" s="168"/>
      <c r="L812" s="168"/>
    </row>
    <row r="813">
      <c r="G813" s="168"/>
      <c r="L813" s="168"/>
    </row>
    <row r="814">
      <c r="G814" s="168"/>
      <c r="L814" s="168"/>
    </row>
    <row r="815">
      <c r="G815" s="168"/>
      <c r="L815" s="168"/>
    </row>
    <row r="816">
      <c r="G816" s="168"/>
      <c r="L816" s="168"/>
    </row>
    <row r="817">
      <c r="G817" s="168"/>
      <c r="L817" s="168"/>
    </row>
    <row r="818">
      <c r="G818" s="168"/>
      <c r="L818" s="168"/>
    </row>
    <row r="819">
      <c r="G819" s="168"/>
      <c r="L819" s="168"/>
    </row>
    <row r="820">
      <c r="G820" s="168"/>
      <c r="L820" s="168"/>
    </row>
    <row r="821">
      <c r="G821" s="168"/>
      <c r="L821" s="168"/>
    </row>
    <row r="822">
      <c r="G822" s="168"/>
      <c r="L822" s="168"/>
    </row>
    <row r="823">
      <c r="G823" s="168"/>
      <c r="L823" s="168"/>
    </row>
    <row r="824">
      <c r="G824" s="168"/>
      <c r="L824" s="168"/>
    </row>
    <row r="825">
      <c r="G825" s="168"/>
      <c r="L825" s="168"/>
    </row>
    <row r="826">
      <c r="G826" s="168"/>
      <c r="L826" s="168"/>
    </row>
    <row r="827">
      <c r="G827" s="168"/>
      <c r="L827" s="168"/>
    </row>
    <row r="828">
      <c r="G828" s="168"/>
      <c r="L828" s="168"/>
    </row>
    <row r="829">
      <c r="G829" s="168"/>
      <c r="L829" s="168"/>
    </row>
    <row r="830">
      <c r="G830" s="168"/>
      <c r="L830" s="168"/>
    </row>
    <row r="831">
      <c r="G831" s="168"/>
      <c r="L831" s="168"/>
    </row>
    <row r="832">
      <c r="G832" s="168"/>
      <c r="L832" s="168"/>
    </row>
    <row r="833">
      <c r="G833" s="168"/>
      <c r="L833" s="168"/>
    </row>
    <row r="834">
      <c r="G834" s="168"/>
      <c r="L834" s="168"/>
    </row>
    <row r="835">
      <c r="G835" s="168"/>
      <c r="L835" s="168"/>
    </row>
    <row r="836">
      <c r="G836" s="168"/>
      <c r="L836" s="168"/>
    </row>
    <row r="837">
      <c r="G837" s="168"/>
      <c r="L837" s="168"/>
    </row>
    <row r="838">
      <c r="G838" s="168"/>
      <c r="L838" s="168"/>
    </row>
    <row r="839">
      <c r="G839" s="168"/>
      <c r="L839" s="168"/>
    </row>
    <row r="840">
      <c r="G840" s="168"/>
      <c r="L840" s="168"/>
    </row>
    <row r="841">
      <c r="G841" s="168"/>
      <c r="L841" s="168"/>
    </row>
    <row r="842">
      <c r="G842" s="168"/>
      <c r="L842" s="168"/>
    </row>
    <row r="843">
      <c r="G843" s="168"/>
      <c r="L843" s="168"/>
    </row>
    <row r="844">
      <c r="G844" s="168"/>
      <c r="L844" s="168"/>
    </row>
    <row r="845">
      <c r="G845" s="168"/>
      <c r="L845" s="168"/>
    </row>
    <row r="846">
      <c r="G846" s="168"/>
      <c r="L846" s="168"/>
    </row>
    <row r="847">
      <c r="G847" s="168"/>
      <c r="L847" s="168"/>
    </row>
    <row r="848">
      <c r="G848" s="168"/>
      <c r="L848" s="168"/>
    </row>
    <row r="849">
      <c r="G849" s="168"/>
      <c r="L849" s="168"/>
    </row>
    <row r="850">
      <c r="G850" s="168"/>
      <c r="L850" s="168"/>
    </row>
    <row r="851">
      <c r="G851" s="168"/>
      <c r="L851" s="168"/>
    </row>
    <row r="852">
      <c r="G852" s="168"/>
      <c r="L852" s="168"/>
    </row>
    <row r="853">
      <c r="G853" s="168"/>
      <c r="L853" s="168"/>
    </row>
    <row r="854">
      <c r="G854" s="168"/>
      <c r="L854" s="168"/>
    </row>
    <row r="855">
      <c r="G855" s="168"/>
      <c r="L855" s="168"/>
    </row>
    <row r="856">
      <c r="G856" s="168"/>
      <c r="L856" s="168"/>
    </row>
    <row r="857">
      <c r="G857" s="168"/>
      <c r="L857" s="168"/>
    </row>
    <row r="858">
      <c r="G858" s="168"/>
      <c r="L858" s="168"/>
    </row>
    <row r="859">
      <c r="G859" s="168"/>
      <c r="L859" s="168"/>
    </row>
    <row r="860">
      <c r="G860" s="168"/>
      <c r="L860" s="168"/>
    </row>
    <row r="861">
      <c r="G861" s="168"/>
      <c r="L861" s="168"/>
    </row>
    <row r="862">
      <c r="G862" s="168"/>
      <c r="L862" s="168"/>
    </row>
    <row r="863">
      <c r="G863" s="168"/>
      <c r="L863" s="168"/>
    </row>
    <row r="864">
      <c r="G864" s="168"/>
      <c r="L864" s="168"/>
    </row>
    <row r="865">
      <c r="G865" s="168"/>
      <c r="L865" s="168"/>
    </row>
    <row r="866">
      <c r="G866" s="168"/>
      <c r="L866" s="168"/>
    </row>
    <row r="867">
      <c r="G867" s="168"/>
      <c r="L867" s="168"/>
    </row>
    <row r="868">
      <c r="G868" s="168"/>
      <c r="L868" s="168"/>
    </row>
    <row r="869">
      <c r="G869" s="168"/>
      <c r="L869" s="168"/>
    </row>
    <row r="870">
      <c r="G870" s="168"/>
      <c r="L870" s="168"/>
    </row>
    <row r="871">
      <c r="G871" s="168"/>
      <c r="L871" s="168"/>
    </row>
    <row r="872">
      <c r="G872" s="168"/>
      <c r="L872" s="168"/>
    </row>
    <row r="873">
      <c r="G873" s="168"/>
      <c r="L873" s="168"/>
    </row>
    <row r="874">
      <c r="G874" s="168"/>
      <c r="L874" s="168"/>
    </row>
    <row r="875">
      <c r="G875" s="168"/>
      <c r="L875" s="168"/>
    </row>
    <row r="876">
      <c r="G876" s="168"/>
      <c r="L876" s="168"/>
    </row>
    <row r="877">
      <c r="G877" s="168"/>
      <c r="L877" s="168"/>
    </row>
    <row r="878">
      <c r="G878" s="168"/>
      <c r="L878" s="168"/>
    </row>
    <row r="879">
      <c r="G879" s="168"/>
      <c r="L879" s="168"/>
    </row>
    <row r="880">
      <c r="G880" s="168"/>
      <c r="L880" s="168"/>
    </row>
    <row r="881">
      <c r="G881" s="168"/>
      <c r="L881" s="168"/>
    </row>
    <row r="882">
      <c r="G882" s="168"/>
      <c r="L882" s="168"/>
    </row>
    <row r="883">
      <c r="G883" s="168"/>
      <c r="L883" s="168"/>
    </row>
    <row r="884">
      <c r="G884" s="168"/>
      <c r="L884" s="168"/>
    </row>
    <row r="885">
      <c r="G885" s="168"/>
      <c r="L885" s="168"/>
    </row>
    <row r="886">
      <c r="G886" s="168"/>
      <c r="L886" s="168"/>
    </row>
    <row r="887">
      <c r="G887" s="168"/>
      <c r="L887" s="168"/>
    </row>
    <row r="888">
      <c r="G888" s="168"/>
      <c r="L888" s="168"/>
    </row>
    <row r="889">
      <c r="G889" s="168"/>
      <c r="L889" s="168"/>
    </row>
    <row r="890">
      <c r="G890" s="168"/>
      <c r="L890" s="168"/>
    </row>
    <row r="891">
      <c r="G891" s="168"/>
      <c r="L891" s="168"/>
    </row>
    <row r="892">
      <c r="G892" s="168"/>
      <c r="L892" s="168"/>
    </row>
    <row r="893">
      <c r="G893" s="168"/>
      <c r="L893" s="168"/>
    </row>
    <row r="894">
      <c r="G894" s="168"/>
      <c r="L894" s="168"/>
    </row>
    <row r="895">
      <c r="G895" s="168"/>
      <c r="L895" s="168"/>
    </row>
    <row r="896">
      <c r="G896" s="168"/>
      <c r="L896" s="168"/>
    </row>
    <row r="897">
      <c r="G897" s="168"/>
      <c r="L897" s="168"/>
    </row>
    <row r="898">
      <c r="G898" s="168"/>
      <c r="L898" s="168"/>
    </row>
    <row r="899">
      <c r="G899" s="168"/>
      <c r="L899" s="168"/>
    </row>
    <row r="900">
      <c r="G900" s="168"/>
      <c r="L900" s="168"/>
    </row>
    <row r="901">
      <c r="G901" s="168"/>
      <c r="L901" s="168"/>
    </row>
    <row r="902">
      <c r="G902" s="168"/>
      <c r="L902" s="168"/>
    </row>
    <row r="903">
      <c r="G903" s="168"/>
      <c r="L903" s="168"/>
    </row>
    <row r="904">
      <c r="G904" s="168"/>
      <c r="L904" s="168"/>
    </row>
    <row r="905">
      <c r="G905" s="168"/>
      <c r="L905" s="168"/>
    </row>
    <row r="906">
      <c r="G906" s="168"/>
      <c r="L906" s="168"/>
    </row>
    <row r="907">
      <c r="G907" s="168"/>
      <c r="L907" s="168"/>
    </row>
    <row r="908">
      <c r="G908" s="168"/>
      <c r="L908" s="168"/>
    </row>
    <row r="909">
      <c r="G909" s="168"/>
      <c r="L909" s="168"/>
    </row>
    <row r="910">
      <c r="G910" s="168"/>
      <c r="L910" s="168"/>
    </row>
    <row r="911">
      <c r="G911" s="168"/>
      <c r="L911" s="168"/>
    </row>
    <row r="912">
      <c r="G912" s="168"/>
      <c r="L912" s="168"/>
    </row>
    <row r="913">
      <c r="G913" s="168"/>
      <c r="L913" s="168"/>
    </row>
    <row r="914">
      <c r="G914" s="168"/>
      <c r="L914" s="168"/>
    </row>
    <row r="915">
      <c r="G915" s="168"/>
      <c r="L915" s="168"/>
    </row>
    <row r="916">
      <c r="G916" s="168"/>
      <c r="L916" s="168"/>
    </row>
    <row r="917">
      <c r="G917" s="168"/>
      <c r="L917" s="168"/>
    </row>
    <row r="918">
      <c r="G918" s="168"/>
      <c r="L918" s="168"/>
    </row>
    <row r="919">
      <c r="G919" s="168"/>
      <c r="L919" s="168"/>
    </row>
    <row r="920">
      <c r="G920" s="168"/>
      <c r="L920" s="168"/>
    </row>
    <row r="921">
      <c r="G921" s="168"/>
      <c r="L921" s="168"/>
    </row>
    <row r="922">
      <c r="G922" s="168"/>
      <c r="L922" s="168"/>
    </row>
    <row r="923">
      <c r="G923" s="168"/>
      <c r="L923" s="168"/>
    </row>
    <row r="924">
      <c r="G924" s="168"/>
      <c r="L924" s="168"/>
    </row>
    <row r="925">
      <c r="G925" s="168"/>
      <c r="L925" s="168"/>
    </row>
    <row r="926">
      <c r="G926" s="168"/>
      <c r="L926" s="168"/>
    </row>
    <row r="927">
      <c r="G927" s="168"/>
      <c r="L927" s="168"/>
    </row>
    <row r="928">
      <c r="G928" s="168"/>
      <c r="L928" s="168"/>
    </row>
    <row r="929">
      <c r="G929" s="168"/>
      <c r="L929" s="168"/>
    </row>
    <row r="930">
      <c r="G930" s="168"/>
      <c r="L930" s="168"/>
    </row>
    <row r="931">
      <c r="G931" s="168"/>
      <c r="L931" s="168"/>
    </row>
    <row r="932">
      <c r="G932" s="168"/>
      <c r="L932" s="168"/>
    </row>
    <row r="933">
      <c r="G933" s="168"/>
      <c r="L933" s="168"/>
    </row>
    <row r="934">
      <c r="G934" s="168"/>
      <c r="L934" s="168"/>
    </row>
    <row r="935">
      <c r="G935" s="168"/>
      <c r="L935" s="168"/>
    </row>
    <row r="936">
      <c r="G936" s="168"/>
      <c r="L936" s="168"/>
    </row>
    <row r="937">
      <c r="G937" s="168"/>
      <c r="L937" s="168"/>
    </row>
    <row r="938">
      <c r="G938" s="168"/>
      <c r="L938" s="168"/>
    </row>
    <row r="939">
      <c r="G939" s="168"/>
      <c r="L939" s="168"/>
    </row>
    <row r="940">
      <c r="G940" s="168"/>
      <c r="L940" s="168"/>
    </row>
    <row r="941">
      <c r="G941" s="168"/>
      <c r="L941" s="168"/>
    </row>
    <row r="942">
      <c r="G942" s="168"/>
      <c r="L942" s="168"/>
    </row>
    <row r="943">
      <c r="G943" s="168"/>
      <c r="L943" s="168"/>
    </row>
    <row r="944">
      <c r="G944" s="168"/>
      <c r="L944" s="168"/>
    </row>
    <row r="945">
      <c r="G945" s="168"/>
      <c r="L945" s="168"/>
    </row>
    <row r="946">
      <c r="G946" s="168"/>
      <c r="L946" s="168"/>
    </row>
    <row r="947">
      <c r="G947" s="168"/>
      <c r="L947" s="168"/>
    </row>
    <row r="948">
      <c r="G948" s="168"/>
      <c r="L948" s="168"/>
    </row>
    <row r="949">
      <c r="G949" s="168"/>
      <c r="L949" s="168"/>
    </row>
    <row r="950">
      <c r="G950" s="168"/>
      <c r="L950" s="168"/>
    </row>
    <row r="951">
      <c r="G951" s="168"/>
      <c r="L951" s="168"/>
    </row>
    <row r="952">
      <c r="G952" s="168"/>
      <c r="L952" s="168"/>
    </row>
    <row r="953">
      <c r="G953" s="168"/>
      <c r="L953" s="168"/>
    </row>
    <row r="954">
      <c r="G954" s="168"/>
      <c r="L954" s="168"/>
    </row>
    <row r="955">
      <c r="G955" s="168"/>
      <c r="L955" s="168"/>
    </row>
    <row r="956">
      <c r="G956" s="168"/>
      <c r="L956" s="168"/>
    </row>
    <row r="957">
      <c r="G957" s="168"/>
      <c r="L957" s="168"/>
    </row>
    <row r="958">
      <c r="G958" s="168"/>
      <c r="L958" s="168"/>
    </row>
    <row r="959">
      <c r="G959" s="168"/>
      <c r="L959" s="168"/>
    </row>
    <row r="960">
      <c r="G960" s="168"/>
      <c r="L960" s="168"/>
    </row>
    <row r="961">
      <c r="G961" s="168"/>
      <c r="L961" s="168"/>
    </row>
    <row r="962">
      <c r="G962" s="168"/>
      <c r="L962" s="168"/>
    </row>
    <row r="963">
      <c r="G963" s="168"/>
      <c r="L963" s="168"/>
    </row>
    <row r="964">
      <c r="G964" s="168"/>
      <c r="L964" s="168"/>
    </row>
    <row r="965">
      <c r="G965" s="168"/>
      <c r="L965" s="168"/>
    </row>
    <row r="966">
      <c r="G966" s="168"/>
      <c r="L966" s="168"/>
    </row>
    <row r="967">
      <c r="G967" s="168"/>
      <c r="L967" s="168"/>
    </row>
    <row r="968">
      <c r="G968" s="168"/>
      <c r="L968" s="168"/>
    </row>
    <row r="969">
      <c r="G969" s="168"/>
      <c r="L969" s="168"/>
    </row>
    <row r="970">
      <c r="G970" s="168"/>
      <c r="L970" s="168"/>
    </row>
    <row r="971">
      <c r="G971" s="168"/>
      <c r="L971" s="168"/>
    </row>
    <row r="972">
      <c r="G972" s="168"/>
      <c r="L972" s="168"/>
    </row>
    <row r="973">
      <c r="G973" s="168"/>
      <c r="L973" s="168"/>
    </row>
    <row r="974">
      <c r="G974" s="168"/>
      <c r="L974" s="168"/>
    </row>
    <row r="975">
      <c r="G975" s="168"/>
      <c r="L975" s="168"/>
    </row>
    <row r="976">
      <c r="G976" s="168"/>
      <c r="L976" s="168"/>
    </row>
    <row r="977">
      <c r="G977" s="168"/>
      <c r="L977" s="168"/>
    </row>
    <row r="978">
      <c r="G978" s="168"/>
      <c r="L978" s="168"/>
    </row>
    <row r="979">
      <c r="G979" s="168"/>
      <c r="L979" s="168"/>
    </row>
    <row r="980">
      <c r="G980" s="168"/>
      <c r="L980" s="168"/>
    </row>
    <row r="981">
      <c r="G981" s="168"/>
      <c r="L981" s="168"/>
    </row>
    <row r="982">
      <c r="G982" s="168"/>
      <c r="L982" s="168"/>
    </row>
    <row r="983">
      <c r="G983" s="168"/>
      <c r="L983" s="168"/>
    </row>
    <row r="984">
      <c r="G984" s="168"/>
      <c r="L984" s="168"/>
    </row>
    <row r="985">
      <c r="G985" s="168"/>
      <c r="L985" s="168"/>
    </row>
    <row r="986">
      <c r="G986" s="168"/>
      <c r="L986" s="168"/>
    </row>
    <row r="987">
      <c r="G987" s="168"/>
      <c r="L987" s="168"/>
    </row>
    <row r="988">
      <c r="G988" s="168"/>
      <c r="L988" s="168"/>
    </row>
    <row r="989">
      <c r="G989" s="168"/>
      <c r="L989" s="168"/>
    </row>
    <row r="990">
      <c r="G990" s="168"/>
      <c r="L990" s="168"/>
    </row>
    <row r="991">
      <c r="G991" s="168"/>
      <c r="L991" s="168"/>
    </row>
    <row r="992">
      <c r="G992" s="168"/>
      <c r="L992" s="168"/>
    </row>
    <row r="993">
      <c r="G993" s="168"/>
      <c r="L993" s="168"/>
    </row>
    <row r="994">
      <c r="G994" s="168"/>
      <c r="L994" s="168"/>
    </row>
    <row r="995">
      <c r="G995" s="168"/>
      <c r="L995" s="168"/>
    </row>
    <row r="996">
      <c r="G996" s="168"/>
      <c r="L996" s="168"/>
    </row>
    <row r="997">
      <c r="G997" s="168"/>
      <c r="L997" s="168"/>
    </row>
    <row r="998">
      <c r="G998" s="168"/>
      <c r="L998" s="168"/>
    </row>
    <row r="999">
      <c r="G999" s="168"/>
      <c r="L999" s="168"/>
    </row>
    <row r="1000">
      <c r="G1000" s="168"/>
      <c r="L1000" s="168"/>
    </row>
  </sheetData>
  <mergeCells count="2">
    <mergeCell ref="A1:N1"/>
    <mergeCell ref="A96:M96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114</v>
      </c>
    </row>
    <row r="2">
      <c r="A2" s="248" t="s">
        <v>1</v>
      </c>
      <c r="B2" s="172" t="s">
        <v>2</v>
      </c>
      <c r="C2" s="166" t="s">
        <v>3</v>
      </c>
      <c r="D2" s="166" t="s">
        <v>4</v>
      </c>
      <c r="E2" s="166" t="s">
        <v>5</v>
      </c>
      <c r="F2" s="166" t="s">
        <v>6</v>
      </c>
      <c r="G2" s="173" t="s">
        <v>7</v>
      </c>
      <c r="H2" s="174" t="s">
        <v>8</v>
      </c>
      <c r="I2" s="175" t="s">
        <v>8</v>
      </c>
      <c r="J2" s="166" t="s">
        <v>5</v>
      </c>
      <c r="K2" s="166" t="s">
        <v>6</v>
      </c>
      <c r="L2" s="173" t="s">
        <v>7</v>
      </c>
      <c r="M2" s="166" t="s">
        <v>9</v>
      </c>
      <c r="N2" s="176" t="s">
        <v>10</v>
      </c>
    </row>
    <row r="3">
      <c r="A3" s="70">
        <v>45598.0</v>
      </c>
      <c r="B3" s="302" t="s">
        <v>11</v>
      </c>
      <c r="C3" s="41">
        <v>16839.0</v>
      </c>
      <c r="D3" s="41">
        <v>16932.0</v>
      </c>
      <c r="E3" s="38">
        <f t="shared" ref="E3:E9" si="1">D3-C3</f>
        <v>93</v>
      </c>
      <c r="F3" s="39">
        <v>45.0</v>
      </c>
      <c r="G3" s="14">
        <f t="shared" ref="G3:G9" si="2">(F3/E3)*100</f>
        <v>48.38709677</v>
      </c>
      <c r="H3" s="41">
        <v>6304.0</v>
      </c>
      <c r="I3" s="138">
        <v>6736.0</v>
      </c>
      <c r="J3" s="41">
        <f t="shared" ref="J3:J9" si="3">I3-H3</f>
        <v>432</v>
      </c>
      <c r="K3" s="41">
        <f t="shared" ref="K3:K9" si="4">F3</f>
        <v>45</v>
      </c>
      <c r="L3" s="303">
        <f t="shared" ref="L3:L9" si="5">(K3/J3)*100</f>
        <v>10.41666667</v>
      </c>
      <c r="M3" s="72">
        <v>18140.0</v>
      </c>
      <c r="N3" s="366">
        <f t="shared" ref="N3:N9" si="6">F3*M3</f>
        <v>816300</v>
      </c>
    </row>
    <row r="4">
      <c r="A4" s="154">
        <v>45603.0</v>
      </c>
      <c r="B4" s="156" t="s">
        <v>11</v>
      </c>
      <c r="C4" s="89">
        <v>169326.0</v>
      </c>
      <c r="D4" s="89">
        <v>169648.0</v>
      </c>
      <c r="E4" s="12">
        <f t="shared" si="1"/>
        <v>322</v>
      </c>
      <c r="F4" s="157">
        <v>40.0</v>
      </c>
      <c r="G4" s="14">
        <f t="shared" si="2"/>
        <v>12.42236025</v>
      </c>
      <c r="H4" s="89">
        <v>6736.0</v>
      </c>
      <c r="I4" s="137">
        <v>7105.0</v>
      </c>
      <c r="J4" s="89">
        <f t="shared" si="3"/>
        <v>369</v>
      </c>
      <c r="K4" s="89">
        <f t="shared" si="4"/>
        <v>40</v>
      </c>
      <c r="L4" s="152">
        <f t="shared" si="5"/>
        <v>10.8401084</v>
      </c>
      <c r="M4" s="126">
        <v>18910.0</v>
      </c>
      <c r="N4" s="372">
        <f t="shared" si="6"/>
        <v>756400</v>
      </c>
    </row>
    <row r="5">
      <c r="A5" s="154">
        <v>45608.0</v>
      </c>
      <c r="B5" s="156" t="s">
        <v>11</v>
      </c>
      <c r="C5" s="89">
        <v>169648.0</v>
      </c>
      <c r="D5" s="89">
        <v>169929.0</v>
      </c>
      <c r="E5" s="12">
        <f t="shared" si="1"/>
        <v>281</v>
      </c>
      <c r="F5" s="157">
        <v>42.0</v>
      </c>
      <c r="G5" s="14">
        <f t="shared" si="2"/>
        <v>14.94661922</v>
      </c>
      <c r="H5" s="89">
        <v>7105.0</v>
      </c>
      <c r="I5" s="137">
        <v>7368.0</v>
      </c>
      <c r="J5" s="89">
        <f t="shared" si="3"/>
        <v>263</v>
      </c>
      <c r="K5" s="89">
        <f t="shared" si="4"/>
        <v>42</v>
      </c>
      <c r="L5" s="152">
        <f t="shared" si="5"/>
        <v>15.96958175</v>
      </c>
      <c r="M5" s="126">
        <v>18910.0</v>
      </c>
      <c r="N5" s="372">
        <f t="shared" si="6"/>
        <v>794220</v>
      </c>
    </row>
    <row r="6">
      <c r="A6" s="154">
        <v>45614.0</v>
      </c>
      <c r="B6" s="156" t="s">
        <v>11</v>
      </c>
      <c r="C6" s="89">
        <v>169929.0</v>
      </c>
      <c r="D6" s="89">
        <v>170297.0</v>
      </c>
      <c r="E6" s="12">
        <f t="shared" si="1"/>
        <v>368</v>
      </c>
      <c r="F6" s="157">
        <v>44.0</v>
      </c>
      <c r="G6" s="14">
        <f t="shared" si="2"/>
        <v>11.95652174</v>
      </c>
      <c r="H6" s="89">
        <v>7368.0</v>
      </c>
      <c r="I6" s="137">
        <v>7832.0</v>
      </c>
      <c r="J6" s="89">
        <f t="shared" si="3"/>
        <v>464</v>
      </c>
      <c r="K6" s="89">
        <f t="shared" si="4"/>
        <v>44</v>
      </c>
      <c r="L6" s="152">
        <f t="shared" si="5"/>
        <v>9.482758621</v>
      </c>
      <c r="M6" s="126">
        <v>18570.0</v>
      </c>
      <c r="N6" s="372">
        <f t="shared" si="6"/>
        <v>817080</v>
      </c>
    </row>
    <row r="7">
      <c r="A7" s="154">
        <v>45618.0</v>
      </c>
      <c r="B7" s="156" t="s">
        <v>11</v>
      </c>
      <c r="C7" s="89">
        <v>170297.0</v>
      </c>
      <c r="D7" s="89">
        <v>170628.0</v>
      </c>
      <c r="E7" s="12">
        <f t="shared" si="1"/>
        <v>331</v>
      </c>
      <c r="F7" s="157">
        <v>50.0</v>
      </c>
      <c r="G7" s="14">
        <f t="shared" si="2"/>
        <v>15.10574018</v>
      </c>
      <c r="H7" s="89">
        <v>7832.0</v>
      </c>
      <c r="I7" s="137">
        <v>8218.0</v>
      </c>
      <c r="J7" s="89">
        <f t="shared" si="3"/>
        <v>386</v>
      </c>
      <c r="K7" s="89">
        <f t="shared" si="4"/>
        <v>50</v>
      </c>
      <c r="L7" s="152">
        <f t="shared" si="5"/>
        <v>12.95336788</v>
      </c>
      <c r="M7" s="126">
        <v>18500.0</v>
      </c>
      <c r="N7" s="372">
        <f t="shared" si="6"/>
        <v>925000</v>
      </c>
    </row>
    <row r="8">
      <c r="A8" s="154">
        <v>45623.0</v>
      </c>
      <c r="B8" s="99" t="s">
        <v>11</v>
      </c>
      <c r="C8" s="89">
        <v>170628.0</v>
      </c>
      <c r="D8" s="89">
        <v>170971.0</v>
      </c>
      <c r="E8" s="12">
        <f t="shared" si="1"/>
        <v>343</v>
      </c>
      <c r="F8" s="157">
        <v>40.0</v>
      </c>
      <c r="G8" s="14">
        <f t="shared" si="2"/>
        <v>11.66180758</v>
      </c>
      <c r="H8" s="89">
        <v>8218.0</v>
      </c>
      <c r="I8" s="137">
        <v>8494.0</v>
      </c>
      <c r="J8" s="89">
        <f t="shared" si="3"/>
        <v>276</v>
      </c>
      <c r="K8" s="89">
        <f t="shared" si="4"/>
        <v>40</v>
      </c>
      <c r="L8" s="152">
        <f t="shared" si="5"/>
        <v>14.49275362</v>
      </c>
      <c r="M8" s="126">
        <v>18500.0</v>
      </c>
      <c r="N8" s="372">
        <f t="shared" si="6"/>
        <v>740000</v>
      </c>
    </row>
    <row r="9">
      <c r="A9" s="305"/>
      <c r="B9" s="323"/>
      <c r="C9" s="149">
        <v>1.0</v>
      </c>
      <c r="D9" s="150"/>
      <c r="E9" s="25">
        <f t="shared" si="1"/>
        <v>-1</v>
      </c>
      <c r="F9" s="307"/>
      <c r="G9" s="56">
        <f t="shared" si="2"/>
        <v>0</v>
      </c>
      <c r="H9" s="149">
        <v>1.0</v>
      </c>
      <c r="I9" s="151"/>
      <c r="J9" s="149">
        <f t="shared" si="3"/>
        <v>-1</v>
      </c>
      <c r="K9" s="149" t="str">
        <f t="shared" si="4"/>
        <v/>
      </c>
      <c r="L9" s="71">
        <f t="shared" si="5"/>
        <v>0</v>
      </c>
      <c r="M9" s="308"/>
      <c r="N9" s="380">
        <f t="shared" si="6"/>
        <v>0</v>
      </c>
    </row>
    <row r="10">
      <c r="A10" s="62"/>
      <c r="B10" s="63"/>
      <c r="C10" s="62"/>
      <c r="D10" s="64" t="s">
        <v>19</v>
      </c>
      <c r="E10" s="64">
        <f t="shared" ref="E10:F10" si="7">sum(E3:E9)</f>
        <v>1737</v>
      </c>
      <c r="F10" s="64">
        <f t="shared" si="7"/>
        <v>261</v>
      </c>
      <c r="G10" s="65">
        <f>average(G3:G9)</f>
        <v>16.35430653</v>
      </c>
      <c r="H10" s="62"/>
      <c r="I10" s="66"/>
      <c r="J10" s="64">
        <f t="shared" ref="J10:K10" si="8">sum(J3:J9)</f>
        <v>2189</v>
      </c>
      <c r="K10" s="64">
        <f t="shared" si="8"/>
        <v>261</v>
      </c>
      <c r="L10" s="65">
        <f>average(L3:L9)</f>
        <v>10.59360528</v>
      </c>
      <c r="M10" s="68"/>
      <c r="N10" s="389">
        <f>sum(N3:N9)</f>
        <v>4849000</v>
      </c>
      <c r="O10" s="251">
        <f>N10+N15+N22+N30+N37+N45+N50+N54+N60+N68+N76+N84</f>
        <v>55275390</v>
      </c>
    </row>
    <row r="11">
      <c r="A11" s="70">
        <v>45603.0</v>
      </c>
      <c r="B11" s="302" t="s">
        <v>12</v>
      </c>
      <c r="C11" s="41">
        <v>132511.0</v>
      </c>
      <c r="D11" s="41">
        <v>133307.0</v>
      </c>
      <c r="E11" s="38">
        <f t="shared" ref="E11:E14" si="9">D11-C11</f>
        <v>796</v>
      </c>
      <c r="F11" s="39">
        <v>57.0</v>
      </c>
      <c r="G11" s="14">
        <f t="shared" ref="G11:G14" si="10">(F11/E11)*100</f>
        <v>7.16080402</v>
      </c>
      <c r="H11" s="41">
        <v>5595.0</v>
      </c>
      <c r="I11" s="138">
        <v>6436.0</v>
      </c>
      <c r="J11" s="41">
        <f t="shared" ref="J11:J14" si="11">I11-H11</f>
        <v>841</v>
      </c>
      <c r="K11" s="41">
        <f t="shared" ref="K11:K14" si="12">F11</f>
        <v>57</v>
      </c>
      <c r="L11" s="303">
        <f t="shared" ref="L11:L14" si="13">(K11/J11)*100</f>
        <v>6.77764566</v>
      </c>
      <c r="M11" s="72">
        <v>18140.0</v>
      </c>
      <c r="N11" s="366">
        <f t="shared" ref="N11:N14" si="14">F11*M11</f>
        <v>1033980</v>
      </c>
    </row>
    <row r="12">
      <c r="A12" s="154">
        <v>45610.0</v>
      </c>
      <c r="B12" s="156" t="s">
        <v>12</v>
      </c>
      <c r="C12" s="89">
        <v>133307.0</v>
      </c>
      <c r="D12" s="89">
        <v>133705.0</v>
      </c>
      <c r="E12" s="12">
        <f t="shared" si="9"/>
        <v>398</v>
      </c>
      <c r="F12" s="157">
        <v>57.0</v>
      </c>
      <c r="G12" s="14">
        <f t="shared" si="10"/>
        <v>14.32160804</v>
      </c>
      <c r="H12" s="89">
        <v>6436.0</v>
      </c>
      <c r="I12" s="137">
        <v>6932.0</v>
      </c>
      <c r="J12" s="89">
        <f t="shared" si="11"/>
        <v>496</v>
      </c>
      <c r="K12" s="89">
        <f t="shared" si="12"/>
        <v>57</v>
      </c>
      <c r="L12" s="152">
        <f t="shared" si="13"/>
        <v>11.49193548</v>
      </c>
      <c r="M12" s="126">
        <v>18910.0</v>
      </c>
      <c r="N12" s="372">
        <f t="shared" si="14"/>
        <v>1077870</v>
      </c>
    </row>
    <row r="13">
      <c r="A13" s="154">
        <v>45616.0</v>
      </c>
      <c r="B13" s="156" t="s">
        <v>12</v>
      </c>
      <c r="C13" s="89">
        <v>133705.0</v>
      </c>
      <c r="D13" s="89">
        <v>134095.0</v>
      </c>
      <c r="E13" s="12">
        <f t="shared" si="9"/>
        <v>390</v>
      </c>
      <c r="F13" s="157">
        <v>60.0</v>
      </c>
      <c r="G13" s="14">
        <f t="shared" si="10"/>
        <v>15.38461538</v>
      </c>
      <c r="H13" s="89">
        <v>6932.0</v>
      </c>
      <c r="I13" s="137">
        <v>7268.0</v>
      </c>
      <c r="J13" s="89">
        <f t="shared" si="11"/>
        <v>336</v>
      </c>
      <c r="K13" s="89">
        <f t="shared" si="12"/>
        <v>60</v>
      </c>
      <c r="L13" s="152">
        <f t="shared" si="13"/>
        <v>17.85714286</v>
      </c>
      <c r="M13" s="126">
        <v>18570.0</v>
      </c>
      <c r="N13" s="372">
        <f t="shared" si="14"/>
        <v>1114200</v>
      </c>
    </row>
    <row r="14">
      <c r="A14" s="154">
        <v>45623.0</v>
      </c>
      <c r="B14" s="156" t="s">
        <v>12</v>
      </c>
      <c r="C14" s="89">
        <v>134095.0</v>
      </c>
      <c r="D14" s="89">
        <v>134459.0</v>
      </c>
      <c r="E14" s="12">
        <f t="shared" si="9"/>
        <v>364</v>
      </c>
      <c r="F14" s="157">
        <v>50.0</v>
      </c>
      <c r="G14" s="14">
        <f t="shared" si="10"/>
        <v>13.73626374</v>
      </c>
      <c r="H14" s="89">
        <v>7268.0</v>
      </c>
      <c r="I14" s="137">
        <v>7694.0</v>
      </c>
      <c r="J14" s="89">
        <f t="shared" si="11"/>
        <v>426</v>
      </c>
      <c r="K14" s="89">
        <f t="shared" si="12"/>
        <v>50</v>
      </c>
      <c r="L14" s="152">
        <f t="shared" si="13"/>
        <v>11.7370892</v>
      </c>
      <c r="M14" s="126">
        <v>18500.0</v>
      </c>
      <c r="N14" s="372">
        <f t="shared" si="14"/>
        <v>925000</v>
      </c>
    </row>
    <row r="15">
      <c r="A15" s="62"/>
      <c r="B15" s="63"/>
      <c r="C15" s="62"/>
      <c r="D15" s="64" t="s">
        <v>19</v>
      </c>
      <c r="E15" s="64">
        <f t="shared" ref="E15:F15" si="15">sum(E11:E14)</f>
        <v>1948</v>
      </c>
      <c r="F15" s="64">
        <f t="shared" si="15"/>
        <v>224</v>
      </c>
      <c r="G15" s="65">
        <f>average(G11:G14)</f>
        <v>12.6508228</v>
      </c>
      <c r="H15" s="62"/>
      <c r="I15" s="66"/>
      <c r="J15" s="64">
        <f t="shared" ref="J15:K15" si="16">sum(J11:J14)</f>
        <v>2099</v>
      </c>
      <c r="K15" s="64">
        <f t="shared" si="16"/>
        <v>224</v>
      </c>
      <c r="L15" s="65">
        <f>average(L11:L14)</f>
        <v>11.9659533</v>
      </c>
      <c r="M15" s="68"/>
      <c r="N15" s="389">
        <f>sum(N11:N14)</f>
        <v>4151050</v>
      </c>
    </row>
    <row r="16">
      <c r="A16" s="70">
        <v>45597.0</v>
      </c>
      <c r="B16" s="302" t="s">
        <v>13</v>
      </c>
      <c r="C16" s="41">
        <v>150066.0</v>
      </c>
      <c r="D16" s="41">
        <v>150456.0</v>
      </c>
      <c r="E16" s="38">
        <f t="shared" ref="E16:E21" si="17">D16-C16</f>
        <v>390</v>
      </c>
      <c r="F16" s="39"/>
      <c r="G16" s="14">
        <f t="shared" ref="G16:G21" si="18">(F16/E16)*100</f>
        <v>0</v>
      </c>
      <c r="H16" s="41">
        <v>5610.0</v>
      </c>
      <c r="I16" s="138">
        <v>6126.0</v>
      </c>
      <c r="J16" s="41">
        <f t="shared" ref="J16:J21" si="19">I16-H16</f>
        <v>516</v>
      </c>
      <c r="K16" s="41" t="str">
        <f t="shared" ref="K16:K21" si="20">F16</f>
        <v/>
      </c>
      <c r="L16" s="152">
        <f t="shared" ref="L16:L21" si="21">(K16/J16)*100</f>
        <v>0</v>
      </c>
      <c r="M16" s="72">
        <v>18140.0</v>
      </c>
      <c r="N16" s="385">
        <f t="shared" ref="N16:N21" si="22">F16*M16</f>
        <v>0</v>
      </c>
    </row>
    <row r="17">
      <c r="A17" s="154">
        <v>45604.0</v>
      </c>
      <c r="B17" s="156" t="s">
        <v>13</v>
      </c>
      <c r="C17" s="41">
        <v>150456.0</v>
      </c>
      <c r="D17" s="89">
        <v>150840.0</v>
      </c>
      <c r="E17" s="12">
        <f t="shared" si="17"/>
        <v>384</v>
      </c>
      <c r="F17" s="157">
        <v>50.0</v>
      </c>
      <c r="G17" s="14">
        <f t="shared" si="18"/>
        <v>13.02083333</v>
      </c>
      <c r="H17" s="89">
        <v>6126.0</v>
      </c>
      <c r="I17" s="137">
        <v>6475.0</v>
      </c>
      <c r="J17" s="89">
        <f t="shared" si="19"/>
        <v>349</v>
      </c>
      <c r="K17" s="89">
        <f t="shared" si="20"/>
        <v>50</v>
      </c>
      <c r="L17" s="152">
        <f t="shared" si="21"/>
        <v>14.32664756</v>
      </c>
      <c r="M17" s="126">
        <v>18140.0</v>
      </c>
      <c r="N17" s="372">
        <f t="shared" si="22"/>
        <v>907000</v>
      </c>
    </row>
    <row r="18">
      <c r="A18" s="154">
        <v>45609.0</v>
      </c>
      <c r="B18" s="156" t="s">
        <v>13</v>
      </c>
      <c r="C18" s="89">
        <v>150840.0</v>
      </c>
      <c r="D18" s="89">
        <v>151213.0</v>
      </c>
      <c r="E18" s="12">
        <f t="shared" si="17"/>
        <v>373</v>
      </c>
      <c r="F18" s="157">
        <v>50.0</v>
      </c>
      <c r="G18" s="14">
        <f t="shared" si="18"/>
        <v>13.40482574</v>
      </c>
      <c r="H18" s="89">
        <v>6475.0</v>
      </c>
      <c r="I18" s="137">
        <v>6947.0</v>
      </c>
      <c r="J18" s="89">
        <f t="shared" si="19"/>
        <v>472</v>
      </c>
      <c r="K18" s="89">
        <f t="shared" si="20"/>
        <v>50</v>
      </c>
      <c r="L18" s="152">
        <f t="shared" si="21"/>
        <v>10.59322034</v>
      </c>
      <c r="M18" s="126">
        <v>18910.0</v>
      </c>
      <c r="N18" s="372">
        <f t="shared" si="22"/>
        <v>945500</v>
      </c>
    </row>
    <row r="19">
      <c r="A19" s="154">
        <v>45614.0</v>
      </c>
      <c r="B19" s="156" t="s">
        <v>13</v>
      </c>
      <c r="C19" s="89">
        <v>151213.0</v>
      </c>
      <c r="D19" s="89">
        <v>151585.0</v>
      </c>
      <c r="E19" s="12">
        <f t="shared" si="17"/>
        <v>372</v>
      </c>
      <c r="F19" s="157">
        <v>50.0</v>
      </c>
      <c r="G19" s="14">
        <f t="shared" si="18"/>
        <v>13.44086022</v>
      </c>
      <c r="H19" s="89">
        <v>6947.0</v>
      </c>
      <c r="I19" s="137">
        <v>7282.0</v>
      </c>
      <c r="J19" s="89">
        <f t="shared" si="19"/>
        <v>335</v>
      </c>
      <c r="K19" s="89">
        <f t="shared" si="20"/>
        <v>50</v>
      </c>
      <c r="L19" s="152">
        <f t="shared" si="21"/>
        <v>14.92537313</v>
      </c>
      <c r="M19" s="126">
        <v>18570.0</v>
      </c>
      <c r="N19" s="372">
        <f t="shared" si="22"/>
        <v>928500</v>
      </c>
    </row>
    <row r="20">
      <c r="A20" s="154">
        <v>45617.0</v>
      </c>
      <c r="B20" s="156" t="s">
        <v>13</v>
      </c>
      <c r="C20" s="89">
        <v>151585.0</v>
      </c>
      <c r="D20" s="89">
        <v>151888.0</v>
      </c>
      <c r="E20" s="12">
        <f t="shared" si="17"/>
        <v>303</v>
      </c>
      <c r="F20" s="157">
        <v>40.0</v>
      </c>
      <c r="G20" s="14">
        <f t="shared" si="18"/>
        <v>13.20132013</v>
      </c>
      <c r="H20" s="89">
        <v>7282.0</v>
      </c>
      <c r="I20" s="137">
        <v>7687.0</v>
      </c>
      <c r="J20" s="89">
        <f t="shared" si="19"/>
        <v>405</v>
      </c>
      <c r="K20" s="89">
        <f t="shared" si="20"/>
        <v>40</v>
      </c>
      <c r="L20" s="152">
        <f t="shared" si="21"/>
        <v>9.87654321</v>
      </c>
      <c r="M20" s="126">
        <v>18500.0</v>
      </c>
      <c r="N20" s="372">
        <f t="shared" si="22"/>
        <v>740000</v>
      </c>
    </row>
    <row r="21">
      <c r="A21" s="154">
        <v>45623.0</v>
      </c>
      <c r="B21" s="99" t="s">
        <v>13</v>
      </c>
      <c r="C21" s="89">
        <v>151888.0</v>
      </c>
      <c r="D21" s="89">
        <v>152231.0</v>
      </c>
      <c r="E21" s="12">
        <f t="shared" si="17"/>
        <v>343</v>
      </c>
      <c r="F21" s="157">
        <v>50.0</v>
      </c>
      <c r="G21" s="14">
        <f t="shared" si="18"/>
        <v>14.57725948</v>
      </c>
      <c r="H21" s="89">
        <v>7687.0</v>
      </c>
      <c r="I21" s="137">
        <v>8000.0</v>
      </c>
      <c r="J21" s="89">
        <f t="shared" si="19"/>
        <v>313</v>
      </c>
      <c r="K21" s="89">
        <f t="shared" si="20"/>
        <v>50</v>
      </c>
      <c r="L21" s="152">
        <f t="shared" si="21"/>
        <v>15.97444089</v>
      </c>
      <c r="M21" s="126">
        <v>18500.0</v>
      </c>
      <c r="N21" s="372">
        <f t="shared" si="22"/>
        <v>925000</v>
      </c>
    </row>
    <row r="22">
      <c r="A22" s="62"/>
      <c r="B22" s="63"/>
      <c r="C22" s="62"/>
      <c r="D22" s="64" t="s">
        <v>19</v>
      </c>
      <c r="E22" s="64">
        <f t="shared" ref="E22:F22" si="23">sum(E16:E21)</f>
        <v>2165</v>
      </c>
      <c r="F22" s="64">
        <f t="shared" si="23"/>
        <v>240</v>
      </c>
      <c r="G22" s="65">
        <f>average(G16:G21)</f>
        <v>11.27418315</v>
      </c>
      <c r="H22" s="62"/>
      <c r="I22" s="66"/>
      <c r="J22" s="64">
        <f t="shared" ref="J22:K22" si="24">sum(J16:J21)</f>
        <v>2390</v>
      </c>
      <c r="K22" s="64">
        <f t="shared" si="24"/>
        <v>240</v>
      </c>
      <c r="L22" s="65">
        <f>average(L16:L21)</f>
        <v>10.94937086</v>
      </c>
      <c r="M22" s="68"/>
      <c r="N22" s="389">
        <f>sum(N16:N21)</f>
        <v>4446000</v>
      </c>
    </row>
    <row r="23">
      <c r="A23" s="70">
        <v>45598.0</v>
      </c>
      <c r="B23" s="391" t="s">
        <v>14</v>
      </c>
      <c r="C23" s="41">
        <v>151090.0</v>
      </c>
      <c r="D23" s="41">
        <v>151522.0</v>
      </c>
      <c r="E23" s="38">
        <f t="shared" ref="E23:E28" si="25">D23-C23</f>
        <v>432</v>
      </c>
      <c r="F23" s="39">
        <v>50.0</v>
      </c>
      <c r="G23" s="14">
        <f t="shared" ref="G23:G28" si="26">(F23/E23)*100</f>
        <v>11.57407407</v>
      </c>
      <c r="H23" s="41">
        <v>5437.0</v>
      </c>
      <c r="I23" s="138">
        <v>5951.0</v>
      </c>
      <c r="J23" s="41">
        <f t="shared" ref="J23:J28" si="27">I23-H23</f>
        <v>514</v>
      </c>
      <c r="K23" s="41">
        <f t="shared" ref="K23:K28" si="28">F23</f>
        <v>50</v>
      </c>
      <c r="L23" s="152">
        <f t="shared" ref="L23:L28" si="29">(K23/J23)*100</f>
        <v>9.727626459</v>
      </c>
      <c r="M23" s="72">
        <v>18140.0</v>
      </c>
      <c r="N23" s="366">
        <f t="shared" ref="N23:N29" si="30">F23*M23</f>
        <v>907000</v>
      </c>
    </row>
    <row r="24">
      <c r="A24" s="154">
        <v>45603.0</v>
      </c>
      <c r="B24" s="156" t="s">
        <v>14</v>
      </c>
      <c r="C24" s="89">
        <v>151522.0</v>
      </c>
      <c r="D24" s="89">
        <v>151903.0</v>
      </c>
      <c r="E24" s="12">
        <f t="shared" si="25"/>
        <v>381</v>
      </c>
      <c r="F24" s="157">
        <v>51.0</v>
      </c>
      <c r="G24" s="14">
        <f t="shared" si="26"/>
        <v>13.38582677</v>
      </c>
      <c r="H24" s="89">
        <v>5951.0</v>
      </c>
      <c r="I24" s="137">
        <v>6331.0</v>
      </c>
      <c r="J24" s="89">
        <f t="shared" si="27"/>
        <v>380</v>
      </c>
      <c r="K24" s="89">
        <f t="shared" si="28"/>
        <v>51</v>
      </c>
      <c r="L24" s="152">
        <f t="shared" si="29"/>
        <v>13.42105263</v>
      </c>
      <c r="M24" s="126">
        <v>18910.0</v>
      </c>
      <c r="N24" s="372">
        <f t="shared" si="30"/>
        <v>964410</v>
      </c>
    </row>
    <row r="25">
      <c r="A25" s="154">
        <v>45608.0</v>
      </c>
      <c r="B25" s="156" t="s">
        <v>14</v>
      </c>
      <c r="C25" s="89">
        <v>151903.0</v>
      </c>
      <c r="D25" s="89">
        <v>152256.0</v>
      </c>
      <c r="E25" s="12">
        <f t="shared" si="25"/>
        <v>353</v>
      </c>
      <c r="F25" s="157">
        <v>40.0</v>
      </c>
      <c r="G25" s="14">
        <f t="shared" si="26"/>
        <v>11.33144476</v>
      </c>
      <c r="H25" s="89">
        <v>6331.0</v>
      </c>
      <c r="I25" s="137">
        <v>6712.0</v>
      </c>
      <c r="J25" s="89">
        <f t="shared" si="27"/>
        <v>381</v>
      </c>
      <c r="K25" s="89">
        <f t="shared" si="28"/>
        <v>40</v>
      </c>
      <c r="L25" s="152">
        <f t="shared" si="29"/>
        <v>10.49868766</v>
      </c>
      <c r="M25" s="126">
        <v>18910.0</v>
      </c>
      <c r="N25" s="372">
        <f t="shared" si="30"/>
        <v>756400</v>
      </c>
    </row>
    <row r="26">
      <c r="A26" s="154">
        <v>45611.0</v>
      </c>
      <c r="B26" s="156" t="s">
        <v>14</v>
      </c>
      <c r="C26" s="89">
        <v>152256.0</v>
      </c>
      <c r="D26" s="89">
        <v>152619.0</v>
      </c>
      <c r="E26" s="12">
        <f t="shared" si="25"/>
        <v>363</v>
      </c>
      <c r="F26" s="157">
        <v>50.0</v>
      </c>
      <c r="G26" s="14">
        <f t="shared" si="26"/>
        <v>13.77410468</v>
      </c>
      <c r="H26" s="89">
        <v>6712.0</v>
      </c>
      <c r="I26" s="137">
        <v>7074.0</v>
      </c>
      <c r="J26" s="89">
        <f t="shared" si="27"/>
        <v>362</v>
      </c>
      <c r="K26" s="89">
        <f t="shared" si="28"/>
        <v>50</v>
      </c>
      <c r="L26" s="152">
        <f t="shared" si="29"/>
        <v>13.8121547</v>
      </c>
      <c r="M26" s="126">
        <v>18570.0</v>
      </c>
      <c r="N26" s="372">
        <f t="shared" si="30"/>
        <v>928500</v>
      </c>
    </row>
    <row r="27">
      <c r="A27" s="154">
        <v>45617.0</v>
      </c>
      <c r="B27" s="156" t="s">
        <v>14</v>
      </c>
      <c r="C27" s="89">
        <v>152619.0</v>
      </c>
      <c r="D27" s="89">
        <v>153035.0</v>
      </c>
      <c r="E27" s="12">
        <f t="shared" si="25"/>
        <v>416</v>
      </c>
      <c r="F27" s="157">
        <v>50.0</v>
      </c>
      <c r="G27" s="14">
        <f t="shared" si="26"/>
        <v>12.01923077</v>
      </c>
      <c r="H27" s="89">
        <v>7074.0</v>
      </c>
      <c r="I27" s="137">
        <v>7553.0</v>
      </c>
      <c r="J27" s="89">
        <f t="shared" si="27"/>
        <v>479</v>
      </c>
      <c r="K27" s="89">
        <f t="shared" si="28"/>
        <v>50</v>
      </c>
      <c r="L27" s="152">
        <f t="shared" si="29"/>
        <v>10.43841336</v>
      </c>
      <c r="M27" s="126">
        <v>18500.0</v>
      </c>
      <c r="N27" s="372">
        <f t="shared" si="30"/>
        <v>925000</v>
      </c>
    </row>
    <row r="28">
      <c r="A28" s="154">
        <v>45624.0</v>
      </c>
      <c r="B28" s="156" t="s">
        <v>14</v>
      </c>
      <c r="C28" s="89">
        <v>153035.0</v>
      </c>
      <c r="D28" s="89">
        <v>153414.0</v>
      </c>
      <c r="E28" s="12">
        <f t="shared" si="25"/>
        <v>379</v>
      </c>
      <c r="F28" s="157">
        <v>50.0</v>
      </c>
      <c r="G28" s="14">
        <f t="shared" si="26"/>
        <v>13.19261214</v>
      </c>
      <c r="H28" s="89">
        <v>7553.0</v>
      </c>
      <c r="I28" s="137">
        <v>7955.0</v>
      </c>
      <c r="J28" s="89">
        <f t="shared" si="27"/>
        <v>402</v>
      </c>
      <c r="K28" s="89">
        <f t="shared" si="28"/>
        <v>50</v>
      </c>
      <c r="L28" s="152">
        <f t="shared" si="29"/>
        <v>12.43781095</v>
      </c>
      <c r="M28" s="126">
        <v>18500.0</v>
      </c>
      <c r="N28" s="372">
        <f t="shared" si="30"/>
        <v>925000</v>
      </c>
    </row>
    <row r="29">
      <c r="A29" s="154"/>
      <c r="B29" s="156"/>
      <c r="C29" s="89"/>
      <c r="D29" s="89"/>
      <c r="E29" s="12"/>
      <c r="F29" s="157"/>
      <c r="G29" s="14"/>
      <c r="H29" s="89"/>
      <c r="I29" s="137"/>
      <c r="J29" s="89"/>
      <c r="K29" s="89"/>
      <c r="L29" s="152"/>
      <c r="M29" s="126"/>
      <c r="N29" s="372">
        <f t="shared" si="30"/>
        <v>0</v>
      </c>
    </row>
    <row r="30">
      <c r="A30" s="62"/>
      <c r="B30" s="63"/>
      <c r="C30" s="62"/>
      <c r="D30" s="64" t="s">
        <v>19</v>
      </c>
      <c r="E30" s="64">
        <f t="shared" ref="E30:F30" si="31">sum(E23:E29)</f>
        <v>2324</v>
      </c>
      <c r="F30" s="64">
        <f t="shared" si="31"/>
        <v>291</v>
      </c>
      <c r="G30" s="65">
        <f>average(G23:G29)</f>
        <v>12.54621553</v>
      </c>
      <c r="H30" s="62"/>
      <c r="I30" s="66"/>
      <c r="J30" s="64">
        <f t="shared" ref="J30:K30" si="32">sum(J23:J29)</f>
        <v>2518</v>
      </c>
      <c r="K30" s="64">
        <f t="shared" si="32"/>
        <v>291</v>
      </c>
      <c r="L30" s="65">
        <f>average(L23:L29)</f>
        <v>11.72262429</v>
      </c>
      <c r="M30" s="68"/>
      <c r="N30" s="389">
        <f>sum(N23:N29)</f>
        <v>5406310</v>
      </c>
    </row>
    <row r="31">
      <c r="A31" s="70">
        <v>45601.0</v>
      </c>
      <c r="B31" s="302" t="s">
        <v>15</v>
      </c>
      <c r="C31" s="41">
        <v>138458.0</v>
      </c>
      <c r="D31" s="41">
        <v>139063.0</v>
      </c>
      <c r="E31" s="38">
        <f t="shared" ref="E31:E36" si="33">D31-C31</f>
        <v>605</v>
      </c>
      <c r="F31" s="39">
        <v>32.0</v>
      </c>
      <c r="G31" s="14">
        <f t="shared" ref="G31:G36" si="34">(F31/E31)*100</f>
        <v>5.289256198</v>
      </c>
      <c r="H31" s="41">
        <v>5659.0</v>
      </c>
      <c r="I31" s="138">
        <v>6298.0</v>
      </c>
      <c r="J31" s="41">
        <f t="shared" ref="J31:J36" si="35">I31-H31</f>
        <v>639</v>
      </c>
      <c r="K31" s="41">
        <f t="shared" ref="K31:K36" si="36">F31</f>
        <v>32</v>
      </c>
      <c r="L31" s="152">
        <f t="shared" ref="L31:L36" si="37">(K31/J31)*100</f>
        <v>5.007824726</v>
      </c>
      <c r="M31" s="72">
        <v>18140.0</v>
      </c>
      <c r="N31" s="366">
        <f t="shared" ref="N31:N36" si="38">F31*M31</f>
        <v>580480</v>
      </c>
    </row>
    <row r="32">
      <c r="A32" s="154">
        <v>45604.0</v>
      </c>
      <c r="B32" s="156" t="s">
        <v>15</v>
      </c>
      <c r="C32" s="89">
        <v>139063.0</v>
      </c>
      <c r="D32" s="89">
        <v>139370.0</v>
      </c>
      <c r="E32" s="12">
        <f t="shared" si="33"/>
        <v>307</v>
      </c>
      <c r="F32" s="157">
        <v>40.0</v>
      </c>
      <c r="G32" s="14">
        <f t="shared" si="34"/>
        <v>13.02931596</v>
      </c>
      <c r="H32" s="138">
        <v>6298.0</v>
      </c>
      <c r="I32" s="137">
        <v>6624.0</v>
      </c>
      <c r="J32" s="89">
        <f t="shared" si="35"/>
        <v>326</v>
      </c>
      <c r="K32" s="89">
        <f t="shared" si="36"/>
        <v>40</v>
      </c>
      <c r="L32" s="152">
        <f t="shared" si="37"/>
        <v>12.26993865</v>
      </c>
      <c r="M32" s="126">
        <v>18910.0</v>
      </c>
      <c r="N32" s="372">
        <f t="shared" si="38"/>
        <v>756400</v>
      </c>
    </row>
    <row r="33">
      <c r="A33" s="154">
        <v>45608.0</v>
      </c>
      <c r="B33" s="156" t="s">
        <v>15</v>
      </c>
      <c r="C33" s="89">
        <v>139370.0</v>
      </c>
      <c r="D33" s="89">
        <v>139647.0</v>
      </c>
      <c r="E33" s="12">
        <f t="shared" si="33"/>
        <v>277</v>
      </c>
      <c r="F33" s="157">
        <v>33.0</v>
      </c>
      <c r="G33" s="14">
        <f t="shared" si="34"/>
        <v>11.9133574</v>
      </c>
      <c r="H33" s="89">
        <v>6624.0</v>
      </c>
      <c r="I33" s="137">
        <v>6937.0</v>
      </c>
      <c r="J33" s="89">
        <f t="shared" si="35"/>
        <v>313</v>
      </c>
      <c r="K33" s="89">
        <f t="shared" si="36"/>
        <v>33</v>
      </c>
      <c r="L33" s="152">
        <f t="shared" si="37"/>
        <v>10.54313099</v>
      </c>
      <c r="M33" s="126">
        <v>18910.0</v>
      </c>
      <c r="N33" s="372">
        <f t="shared" si="38"/>
        <v>624030</v>
      </c>
      <c r="Q33" s="80">
        <f>5180000+1258000+1406000+1202500+5050500+925000+2289940</f>
        <v>17311940</v>
      </c>
    </row>
    <row r="34">
      <c r="A34" s="154">
        <v>45614.0</v>
      </c>
      <c r="B34" s="156" t="s">
        <v>15</v>
      </c>
      <c r="C34" s="89">
        <v>139647.0</v>
      </c>
      <c r="D34" s="89">
        <v>139979.0</v>
      </c>
      <c r="E34" s="12">
        <f t="shared" si="33"/>
        <v>332</v>
      </c>
      <c r="F34" s="157">
        <v>46.0</v>
      </c>
      <c r="G34" s="14">
        <f t="shared" si="34"/>
        <v>13.85542169</v>
      </c>
      <c r="H34" s="89">
        <v>6937.0</v>
      </c>
      <c r="I34" s="137">
        <v>7280.0</v>
      </c>
      <c r="J34" s="89">
        <f t="shared" si="35"/>
        <v>343</v>
      </c>
      <c r="K34" s="89">
        <f t="shared" si="36"/>
        <v>46</v>
      </c>
      <c r="L34" s="152">
        <f t="shared" si="37"/>
        <v>13.41107872</v>
      </c>
      <c r="M34" s="126">
        <v>18570.0</v>
      </c>
      <c r="N34" s="372">
        <f t="shared" si="38"/>
        <v>854220</v>
      </c>
      <c r="Q34" s="80">
        <f>2079840+1857000+2525520+2618370+2228400+1717000</f>
        <v>13026130</v>
      </c>
    </row>
    <row r="35">
      <c r="A35" s="154">
        <v>45618.0</v>
      </c>
      <c r="B35" s="156" t="s">
        <v>15</v>
      </c>
      <c r="C35" s="89">
        <v>139979.0</v>
      </c>
      <c r="D35" s="89">
        <v>140304.0</v>
      </c>
      <c r="E35" s="12">
        <f t="shared" si="33"/>
        <v>325</v>
      </c>
      <c r="F35" s="157">
        <v>45.0</v>
      </c>
      <c r="G35" s="14">
        <f t="shared" si="34"/>
        <v>13.84615385</v>
      </c>
      <c r="H35" s="89">
        <v>7280.0</v>
      </c>
      <c r="I35" s="137">
        <v>7696.0</v>
      </c>
      <c r="J35" s="89">
        <f t="shared" si="35"/>
        <v>416</v>
      </c>
      <c r="K35" s="89">
        <f t="shared" si="36"/>
        <v>45</v>
      </c>
      <c r="L35" s="152">
        <f t="shared" si="37"/>
        <v>10.81730769</v>
      </c>
      <c r="M35" s="126">
        <v>18500.0</v>
      </c>
      <c r="N35" s="372">
        <f t="shared" si="38"/>
        <v>832500</v>
      </c>
      <c r="Q35" s="80">
        <f>756400+3876550+3403800+3630720+681000</f>
        <v>12348470</v>
      </c>
    </row>
    <row r="36">
      <c r="A36" s="312">
        <v>45623.0</v>
      </c>
      <c r="B36" s="156" t="s">
        <v>15</v>
      </c>
      <c r="C36" s="89">
        <v>140304.0</v>
      </c>
      <c r="D36" s="89">
        <v>140622.0</v>
      </c>
      <c r="E36" s="12">
        <f t="shared" si="33"/>
        <v>318</v>
      </c>
      <c r="F36" s="157">
        <v>40.0</v>
      </c>
      <c r="G36" s="14">
        <f t="shared" si="34"/>
        <v>12.57861635</v>
      </c>
      <c r="H36" s="89">
        <v>7696.0</v>
      </c>
      <c r="I36" s="137">
        <v>7969.0</v>
      </c>
      <c r="J36" s="89">
        <f t="shared" si="35"/>
        <v>273</v>
      </c>
      <c r="K36" s="89">
        <f t="shared" si="36"/>
        <v>40</v>
      </c>
      <c r="L36" s="152">
        <f t="shared" si="37"/>
        <v>14.65201465</v>
      </c>
      <c r="M36" s="126">
        <v>18500.0</v>
      </c>
      <c r="N36" s="372">
        <f t="shared" si="38"/>
        <v>740000</v>
      </c>
      <c r="Q36" s="80">
        <f>1360500+1723300+2412620+1668880+1814000+3661790</f>
        <v>12641090</v>
      </c>
    </row>
    <row r="37">
      <c r="A37" s="62"/>
      <c r="B37" s="63"/>
      <c r="C37" s="62"/>
      <c r="D37" s="64" t="s">
        <v>19</v>
      </c>
      <c r="E37" s="64">
        <f t="shared" ref="E37:F37" si="39">sum(E31:E36)</f>
        <v>2164</v>
      </c>
      <c r="F37" s="64">
        <f t="shared" si="39"/>
        <v>236</v>
      </c>
      <c r="G37" s="65">
        <f>average(G31:G36)</f>
        <v>11.75202024</v>
      </c>
      <c r="H37" s="62"/>
      <c r="I37" s="66"/>
      <c r="J37" s="64">
        <f t="shared" ref="J37:K37" si="40">sum(J31:J36)</f>
        <v>2310</v>
      </c>
      <c r="K37" s="64">
        <f t="shared" si="40"/>
        <v>236</v>
      </c>
      <c r="L37" s="65">
        <f>average(L31:L36)</f>
        <v>11.11688257</v>
      </c>
      <c r="M37" s="68"/>
      <c r="N37" s="389">
        <f>sum(N31:N36)</f>
        <v>4387630</v>
      </c>
    </row>
    <row r="38">
      <c r="A38" s="390">
        <v>45618.0</v>
      </c>
      <c r="B38" s="302" t="s">
        <v>16</v>
      </c>
      <c r="C38" s="41">
        <v>115441.0</v>
      </c>
      <c r="D38" s="41">
        <v>116357.0</v>
      </c>
      <c r="E38" s="38">
        <f t="shared" ref="E38:E44" si="41">D38-C38</f>
        <v>916</v>
      </c>
      <c r="F38" s="39">
        <v>48.0</v>
      </c>
      <c r="G38" s="14">
        <f t="shared" ref="G38:G44" si="42">(F38/E38)*100</f>
        <v>5.240174672</v>
      </c>
      <c r="H38" s="41">
        <v>6474.0</v>
      </c>
      <c r="I38" s="138">
        <v>7165.0</v>
      </c>
      <c r="J38" s="41">
        <f t="shared" ref="J38:J44" si="43">I38-H38</f>
        <v>691</v>
      </c>
      <c r="K38" s="41">
        <f t="shared" ref="K38:K44" si="44">F38</f>
        <v>48</v>
      </c>
      <c r="L38" s="152">
        <f t="shared" ref="L38:L44" si="45">(K38/J38)*100</f>
        <v>6.946454414</v>
      </c>
      <c r="M38" s="72">
        <v>18500.0</v>
      </c>
      <c r="N38" s="366">
        <f t="shared" ref="N38:N41" si="46">F38*M38</f>
        <v>888000</v>
      </c>
    </row>
    <row r="39">
      <c r="A39" s="154">
        <v>45623.0</v>
      </c>
      <c r="B39" s="156" t="s">
        <v>16</v>
      </c>
      <c r="C39" s="89">
        <v>116357.0</v>
      </c>
      <c r="D39" s="89">
        <v>116719.0</v>
      </c>
      <c r="E39" s="12">
        <f t="shared" si="41"/>
        <v>362</v>
      </c>
      <c r="F39" s="157">
        <v>50.0</v>
      </c>
      <c r="G39" s="14">
        <f t="shared" si="42"/>
        <v>13.8121547</v>
      </c>
      <c r="H39" s="89">
        <v>7165.0</v>
      </c>
      <c r="I39" s="137">
        <v>7856.0</v>
      </c>
      <c r="J39" s="89">
        <f t="shared" si="43"/>
        <v>691</v>
      </c>
      <c r="K39" s="89">
        <f t="shared" si="44"/>
        <v>50</v>
      </c>
      <c r="L39" s="152">
        <f t="shared" si="45"/>
        <v>7.235890014</v>
      </c>
      <c r="M39" s="126">
        <v>18500.0</v>
      </c>
      <c r="N39" s="372">
        <f t="shared" si="46"/>
        <v>925000</v>
      </c>
    </row>
    <row r="40">
      <c r="A40" s="154">
        <v>45610.0</v>
      </c>
      <c r="B40" s="156" t="s">
        <v>16</v>
      </c>
      <c r="C40" s="89"/>
      <c r="D40" s="89"/>
      <c r="E40" s="12">
        <f t="shared" si="41"/>
        <v>0</v>
      </c>
      <c r="F40" s="157">
        <v>36.0</v>
      </c>
      <c r="G40" s="14" t="str">
        <f t="shared" si="42"/>
        <v>#DIV/0!</v>
      </c>
      <c r="H40" s="89"/>
      <c r="I40" s="137"/>
      <c r="J40" s="89">
        <f t="shared" si="43"/>
        <v>0</v>
      </c>
      <c r="K40" s="89">
        <f t="shared" si="44"/>
        <v>36</v>
      </c>
      <c r="L40" s="152" t="str">
        <f t="shared" si="45"/>
        <v>#DIV/0!</v>
      </c>
      <c r="M40" s="126">
        <v>18910.0</v>
      </c>
      <c r="N40" s="338">
        <f t="shared" si="46"/>
        <v>680760</v>
      </c>
    </row>
    <row r="41">
      <c r="A41" s="154">
        <v>45614.0</v>
      </c>
      <c r="B41" s="156" t="s">
        <v>16</v>
      </c>
      <c r="C41" s="89"/>
      <c r="D41" s="89"/>
      <c r="E41" s="12">
        <f t="shared" si="41"/>
        <v>0</v>
      </c>
      <c r="F41" s="157">
        <v>51.0</v>
      </c>
      <c r="G41" s="14" t="str">
        <f t="shared" si="42"/>
        <v>#DIV/0!</v>
      </c>
      <c r="H41" s="89"/>
      <c r="I41" s="137"/>
      <c r="J41" s="89">
        <f t="shared" si="43"/>
        <v>0</v>
      </c>
      <c r="K41" s="89">
        <f t="shared" si="44"/>
        <v>51</v>
      </c>
      <c r="L41" s="152" t="str">
        <f t="shared" si="45"/>
        <v>#DIV/0!</v>
      </c>
      <c r="M41" s="126">
        <v>18570.0</v>
      </c>
      <c r="N41" s="339">
        <f t="shared" si="46"/>
        <v>947070</v>
      </c>
      <c r="P41" s="82"/>
    </row>
    <row r="42">
      <c r="A42" s="154"/>
      <c r="B42" s="156" t="s">
        <v>16</v>
      </c>
      <c r="C42" s="89"/>
      <c r="D42" s="89"/>
      <c r="E42" s="12">
        <f t="shared" si="41"/>
        <v>0</v>
      </c>
      <c r="F42" s="157">
        <v>48.0</v>
      </c>
      <c r="G42" s="14" t="str">
        <f t="shared" si="42"/>
        <v>#DIV/0!</v>
      </c>
      <c r="H42" s="89"/>
      <c r="I42" s="137"/>
      <c r="J42" s="89">
        <f t="shared" si="43"/>
        <v>0</v>
      </c>
      <c r="K42" s="89">
        <f t="shared" si="44"/>
        <v>48</v>
      </c>
      <c r="L42" s="152" t="str">
        <f t="shared" si="45"/>
        <v>#DIV/0!</v>
      </c>
      <c r="M42" s="126"/>
      <c r="N42" s="372"/>
    </row>
    <row r="43">
      <c r="A43" s="320"/>
      <c r="B43" s="99" t="s">
        <v>16</v>
      </c>
      <c r="C43" s="89">
        <v>1.0</v>
      </c>
      <c r="D43" s="158"/>
      <c r="E43" s="12">
        <f t="shared" si="41"/>
        <v>-1</v>
      </c>
      <c r="F43" s="321"/>
      <c r="G43" s="14">
        <f t="shared" si="42"/>
        <v>0</v>
      </c>
      <c r="H43" s="89"/>
      <c r="I43" s="159"/>
      <c r="J43" s="89">
        <f t="shared" si="43"/>
        <v>0</v>
      </c>
      <c r="K43" s="89" t="str">
        <f t="shared" si="44"/>
        <v/>
      </c>
      <c r="L43" s="152" t="str">
        <f t="shared" si="45"/>
        <v>#DIV/0!</v>
      </c>
      <c r="M43" s="322"/>
      <c r="N43" s="367">
        <f t="shared" ref="N43:N44" si="47">F43*M43</f>
        <v>0</v>
      </c>
    </row>
    <row r="44">
      <c r="A44" s="305"/>
      <c r="B44" s="323"/>
      <c r="C44" s="149">
        <v>1.0</v>
      </c>
      <c r="D44" s="150"/>
      <c r="E44" s="25">
        <f t="shared" si="41"/>
        <v>-1</v>
      </c>
      <c r="F44" s="307"/>
      <c r="G44" s="56">
        <f t="shared" si="42"/>
        <v>0</v>
      </c>
      <c r="H44" s="149">
        <v>1.0</v>
      </c>
      <c r="I44" s="151"/>
      <c r="J44" s="149">
        <f t="shared" si="43"/>
        <v>-1</v>
      </c>
      <c r="K44" s="149" t="str">
        <f t="shared" si="44"/>
        <v/>
      </c>
      <c r="L44" s="152">
        <f t="shared" si="45"/>
        <v>0</v>
      </c>
      <c r="M44" s="308"/>
      <c r="N44" s="380">
        <f t="shared" si="47"/>
        <v>0</v>
      </c>
    </row>
    <row r="45">
      <c r="A45" s="62"/>
      <c r="B45" s="63"/>
      <c r="C45" s="62"/>
      <c r="D45" s="64" t="s">
        <v>19</v>
      </c>
      <c r="E45" s="64">
        <f t="shared" ref="E45:F45" si="48">sum(E38:E44)</f>
        <v>1276</v>
      </c>
      <c r="F45" s="64">
        <f t="shared" si="48"/>
        <v>233</v>
      </c>
      <c r="G45" s="65" t="str">
        <f>average(G38:G44)</f>
        <v>#DIV/0!</v>
      </c>
      <c r="H45" s="62"/>
      <c r="I45" s="66"/>
      <c r="J45" s="64">
        <f t="shared" ref="J45:K45" si="49">sum(J38:J44)</f>
        <v>1381</v>
      </c>
      <c r="K45" s="64">
        <f t="shared" si="49"/>
        <v>233</v>
      </c>
      <c r="L45" s="65" t="str">
        <f>average(L38:L44)</f>
        <v>#DIV/0!</v>
      </c>
      <c r="M45" s="68"/>
      <c r="N45" s="389">
        <f>sum(N38:N44)</f>
        <v>3440830</v>
      </c>
    </row>
    <row r="46">
      <c r="A46" s="70">
        <v>45611.0</v>
      </c>
      <c r="B46" s="302" t="s">
        <v>18</v>
      </c>
      <c r="C46" s="41">
        <v>120340.0</v>
      </c>
      <c r="D46" s="41">
        <v>120696.0</v>
      </c>
      <c r="E46" s="38">
        <f t="shared" ref="E46:E49" si="50">D46-C46</f>
        <v>356</v>
      </c>
      <c r="F46" s="39">
        <v>47.0</v>
      </c>
      <c r="G46" s="14">
        <f t="shared" ref="G46:G49" si="51">(F46/E46)*100</f>
        <v>13.20224719</v>
      </c>
      <c r="H46" s="41">
        <v>6846.0</v>
      </c>
      <c r="I46" s="138">
        <v>7235.0</v>
      </c>
      <c r="J46" s="41">
        <f t="shared" ref="J46:J49" si="52">I46-H46</f>
        <v>389</v>
      </c>
      <c r="K46" s="41">
        <f t="shared" ref="K46:K49" si="53">F46</f>
        <v>47</v>
      </c>
      <c r="L46" s="152">
        <f t="shared" ref="L46:L49" si="54">(K46/J46)*100</f>
        <v>12.08226221</v>
      </c>
      <c r="M46" s="72">
        <v>18570.0</v>
      </c>
      <c r="N46" s="392">
        <f t="shared" ref="N46:N49" si="55">F46*M46</f>
        <v>872790</v>
      </c>
    </row>
    <row r="47">
      <c r="A47" s="154">
        <v>45618.0</v>
      </c>
      <c r="B47" s="156" t="s">
        <v>18</v>
      </c>
      <c r="C47" s="89">
        <v>120696.0</v>
      </c>
      <c r="D47" s="89">
        <v>121037.0</v>
      </c>
      <c r="E47" s="12">
        <f t="shared" si="50"/>
        <v>341</v>
      </c>
      <c r="F47" s="157">
        <v>47.0</v>
      </c>
      <c r="G47" s="14">
        <f t="shared" si="51"/>
        <v>13.7829912</v>
      </c>
      <c r="H47" s="89">
        <v>7235.0</v>
      </c>
      <c r="I47" s="137">
        <v>7609.0</v>
      </c>
      <c r="J47" s="89">
        <f t="shared" si="52"/>
        <v>374</v>
      </c>
      <c r="K47" s="89">
        <f t="shared" si="53"/>
        <v>47</v>
      </c>
      <c r="L47" s="152">
        <f t="shared" si="54"/>
        <v>12.56684492</v>
      </c>
      <c r="M47" s="126">
        <v>18500.0</v>
      </c>
      <c r="N47" s="369">
        <f t="shared" si="55"/>
        <v>869500</v>
      </c>
    </row>
    <row r="48">
      <c r="A48" s="154">
        <v>45623.0</v>
      </c>
      <c r="B48" s="156" t="s">
        <v>18</v>
      </c>
      <c r="C48" s="89">
        <v>121037.0</v>
      </c>
      <c r="D48" s="89">
        <v>121391.0</v>
      </c>
      <c r="E48" s="12">
        <f t="shared" si="50"/>
        <v>354</v>
      </c>
      <c r="F48" s="157">
        <v>43.0</v>
      </c>
      <c r="G48" s="14">
        <f t="shared" si="51"/>
        <v>12.14689266</v>
      </c>
      <c r="H48" s="89">
        <v>7609.0</v>
      </c>
      <c r="I48" s="137">
        <v>7946.0</v>
      </c>
      <c r="J48" s="89">
        <f t="shared" si="52"/>
        <v>337</v>
      </c>
      <c r="K48" s="89">
        <f t="shared" si="53"/>
        <v>43</v>
      </c>
      <c r="L48" s="152">
        <f t="shared" si="54"/>
        <v>12.75964392</v>
      </c>
      <c r="M48" s="126">
        <v>18500.0</v>
      </c>
      <c r="N48" s="369">
        <f t="shared" si="55"/>
        <v>795500</v>
      </c>
    </row>
    <row r="49">
      <c r="A49" s="154">
        <v>45626.0</v>
      </c>
      <c r="B49" s="156" t="s">
        <v>18</v>
      </c>
      <c r="C49" s="89">
        <v>121391.0</v>
      </c>
      <c r="D49" s="89">
        <v>121741.0</v>
      </c>
      <c r="E49" s="12">
        <f t="shared" si="50"/>
        <v>350</v>
      </c>
      <c r="F49" s="157">
        <v>45.0</v>
      </c>
      <c r="G49" s="14">
        <f t="shared" si="51"/>
        <v>12.85714286</v>
      </c>
      <c r="H49" s="89">
        <v>7946.0</v>
      </c>
      <c r="I49" s="137">
        <v>8354.0</v>
      </c>
      <c r="J49" s="89">
        <f t="shared" si="52"/>
        <v>408</v>
      </c>
      <c r="K49" s="89">
        <f t="shared" si="53"/>
        <v>45</v>
      </c>
      <c r="L49" s="152">
        <f t="shared" si="54"/>
        <v>11.02941176</v>
      </c>
      <c r="M49" s="126">
        <v>18770.0</v>
      </c>
      <c r="N49" s="369">
        <f t="shared" si="55"/>
        <v>844650</v>
      </c>
    </row>
    <row r="50">
      <c r="A50" s="62"/>
      <c r="B50" s="63"/>
      <c r="C50" s="62"/>
      <c r="D50" s="64" t="s">
        <v>19</v>
      </c>
      <c r="E50" s="64">
        <f t="shared" ref="E50:F50" si="56">sum(E46:E49)</f>
        <v>1401</v>
      </c>
      <c r="F50" s="64">
        <f t="shared" si="56"/>
        <v>182</v>
      </c>
      <c r="G50" s="65">
        <f>average(G46:G49)</f>
        <v>12.99731848</v>
      </c>
      <c r="H50" s="62"/>
      <c r="I50" s="66"/>
      <c r="J50" s="64">
        <f t="shared" ref="J50:K50" si="57">sum(J46:J49)</f>
        <v>1508</v>
      </c>
      <c r="K50" s="64">
        <f t="shared" si="57"/>
        <v>182</v>
      </c>
      <c r="L50" s="65">
        <f>average(L46:L49)</f>
        <v>12.1095407</v>
      </c>
      <c r="M50" s="68"/>
      <c r="N50" s="389">
        <f>sum(N46:N49)</f>
        <v>3382440</v>
      </c>
    </row>
    <row r="51">
      <c r="A51" s="70">
        <v>45602.0</v>
      </c>
      <c r="B51" s="302" t="s">
        <v>20</v>
      </c>
      <c r="C51" s="41">
        <v>363563.0</v>
      </c>
      <c r="D51" s="41">
        <v>364377.0</v>
      </c>
      <c r="E51" s="38">
        <f t="shared" ref="E51:E53" si="58">D51-C51</f>
        <v>814</v>
      </c>
      <c r="F51" s="39">
        <v>100.0</v>
      </c>
      <c r="G51" s="14">
        <f t="shared" ref="G51:G53" si="59">(F51/E51)*100</f>
        <v>12.28501229</v>
      </c>
      <c r="H51" s="41">
        <v>7024.0</v>
      </c>
      <c r="I51" s="138">
        <v>7812.0</v>
      </c>
      <c r="J51" s="41">
        <f t="shared" ref="J51:J53" si="60">I51-H51</f>
        <v>788</v>
      </c>
      <c r="K51" s="41">
        <f t="shared" ref="K51:K53" si="61">F51</f>
        <v>100</v>
      </c>
      <c r="L51" s="152">
        <f t="shared" ref="L51:L53" si="62">(K51/J51)*100</f>
        <v>12.69035533</v>
      </c>
      <c r="M51" s="72">
        <v>18140.0</v>
      </c>
      <c r="N51" s="366">
        <f t="shared" ref="N51:N53" si="63">F51*M51</f>
        <v>1814000</v>
      </c>
    </row>
    <row r="52">
      <c r="A52" s="154">
        <v>45610.0</v>
      </c>
      <c r="B52" s="156" t="s">
        <v>20</v>
      </c>
      <c r="C52" s="89">
        <v>364377.0</v>
      </c>
      <c r="D52" s="89">
        <v>365065.0</v>
      </c>
      <c r="E52" s="12">
        <f t="shared" si="58"/>
        <v>688</v>
      </c>
      <c r="F52" s="157">
        <v>85.0</v>
      </c>
      <c r="G52" s="14">
        <f t="shared" si="59"/>
        <v>12.35465116</v>
      </c>
      <c r="H52" s="89">
        <v>7812.0</v>
      </c>
      <c r="I52" s="137">
        <v>8564.0</v>
      </c>
      <c r="J52" s="89">
        <f t="shared" si="60"/>
        <v>752</v>
      </c>
      <c r="K52" s="89">
        <f t="shared" si="61"/>
        <v>85</v>
      </c>
      <c r="L52" s="152">
        <f t="shared" si="62"/>
        <v>11.30319149</v>
      </c>
      <c r="M52" s="126">
        <v>18910.0</v>
      </c>
      <c r="N52" s="372">
        <f t="shared" si="63"/>
        <v>1607350</v>
      </c>
    </row>
    <row r="53">
      <c r="A53" s="154">
        <v>45618.0</v>
      </c>
      <c r="B53" s="156" t="s">
        <v>20</v>
      </c>
      <c r="C53" s="89">
        <v>365065.0</v>
      </c>
      <c r="D53" s="89">
        <v>365769.0</v>
      </c>
      <c r="E53" s="12">
        <f t="shared" si="58"/>
        <v>704</v>
      </c>
      <c r="F53" s="157">
        <v>90.0</v>
      </c>
      <c r="G53" s="14">
        <f t="shared" si="59"/>
        <v>12.78409091</v>
      </c>
      <c r="H53" s="89">
        <v>8564.0</v>
      </c>
      <c r="I53" s="137">
        <v>9186.0</v>
      </c>
      <c r="J53" s="89">
        <f t="shared" si="60"/>
        <v>622</v>
      </c>
      <c r="K53" s="89">
        <f t="shared" si="61"/>
        <v>90</v>
      </c>
      <c r="L53" s="152">
        <f t="shared" si="62"/>
        <v>14.46945338</v>
      </c>
      <c r="M53" s="126">
        <v>18500.0</v>
      </c>
      <c r="N53" s="372">
        <f t="shared" si="63"/>
        <v>1665000</v>
      </c>
    </row>
    <row r="54">
      <c r="A54" s="62"/>
      <c r="B54" s="63"/>
      <c r="C54" s="62"/>
      <c r="D54" s="64" t="s">
        <v>19</v>
      </c>
      <c r="E54" s="64">
        <f t="shared" ref="E54:F54" si="64">sum(E51:E53)</f>
        <v>2206</v>
      </c>
      <c r="F54" s="64">
        <f t="shared" si="64"/>
        <v>275</v>
      </c>
      <c r="G54" s="65">
        <f>average(G51:G53)</f>
        <v>12.47458479</v>
      </c>
      <c r="H54" s="62"/>
      <c r="I54" s="66"/>
      <c r="J54" s="64">
        <f t="shared" ref="J54:K54" si="65">sum(J51:J53)</f>
        <v>2162</v>
      </c>
      <c r="K54" s="64">
        <f t="shared" si="65"/>
        <v>275</v>
      </c>
      <c r="L54" s="65">
        <f>average(L51:L53)</f>
        <v>12.82100007</v>
      </c>
      <c r="M54" s="68"/>
      <c r="N54" s="389">
        <f>sum(N51:N53)</f>
        <v>5086350</v>
      </c>
    </row>
    <row r="55">
      <c r="A55" s="70">
        <v>45601.0</v>
      </c>
      <c r="B55" s="302" t="s">
        <v>21</v>
      </c>
      <c r="C55" s="41">
        <v>344845.0</v>
      </c>
      <c r="D55" s="41">
        <v>345637.0</v>
      </c>
      <c r="E55" s="38">
        <f t="shared" ref="E55:E59" si="66">D55-C55</f>
        <v>792</v>
      </c>
      <c r="F55" s="39">
        <v>61.0</v>
      </c>
      <c r="G55" s="14">
        <f t="shared" ref="G55:G59" si="67">(F55/E55)*100</f>
        <v>7.702020202</v>
      </c>
      <c r="H55" s="41">
        <v>5950.0</v>
      </c>
      <c r="I55" s="138">
        <v>6760.0</v>
      </c>
      <c r="J55" s="41">
        <f t="shared" ref="J55:J59" si="68">I55-H55</f>
        <v>810</v>
      </c>
      <c r="K55" s="41">
        <f t="shared" ref="K55:K59" si="69">F55</f>
        <v>61</v>
      </c>
      <c r="L55" s="152">
        <f t="shared" ref="L55:L59" si="70">(K55/J55)*100</f>
        <v>7.530864198</v>
      </c>
      <c r="M55" s="72">
        <v>18140.0</v>
      </c>
      <c r="N55" s="366">
        <f t="shared" ref="N55:N59" si="71">F55*M55</f>
        <v>1106540</v>
      </c>
    </row>
    <row r="56">
      <c r="A56" s="154">
        <v>45606.0</v>
      </c>
      <c r="B56" s="156" t="s">
        <v>21</v>
      </c>
      <c r="C56" s="89">
        <v>345637.0</v>
      </c>
      <c r="D56" s="89">
        <v>346098.0</v>
      </c>
      <c r="E56" s="12">
        <f t="shared" si="66"/>
        <v>461</v>
      </c>
      <c r="F56" s="157">
        <v>67.0</v>
      </c>
      <c r="G56" s="14">
        <f t="shared" si="67"/>
        <v>14.53362256</v>
      </c>
      <c r="H56" s="89">
        <v>6760.0</v>
      </c>
      <c r="I56" s="137">
        <v>7123.0</v>
      </c>
      <c r="J56" s="89">
        <f t="shared" si="68"/>
        <v>363</v>
      </c>
      <c r="K56" s="89">
        <f t="shared" si="69"/>
        <v>67</v>
      </c>
      <c r="L56" s="152">
        <f t="shared" si="70"/>
        <v>18.45730028</v>
      </c>
      <c r="M56" s="126">
        <v>18910.0</v>
      </c>
      <c r="N56" s="372">
        <f t="shared" si="71"/>
        <v>1266970</v>
      </c>
    </row>
    <row r="57">
      <c r="A57" s="154">
        <v>45611.0</v>
      </c>
      <c r="B57" s="156" t="s">
        <v>21</v>
      </c>
      <c r="C57" s="89">
        <v>346098.0</v>
      </c>
      <c r="D57" s="89">
        <v>346566.0</v>
      </c>
      <c r="E57" s="12">
        <f t="shared" si="66"/>
        <v>468</v>
      </c>
      <c r="F57" s="157">
        <v>65.0</v>
      </c>
      <c r="G57" s="14">
        <f t="shared" si="67"/>
        <v>13.88888889</v>
      </c>
      <c r="H57" s="89">
        <v>7123.0</v>
      </c>
      <c r="I57" s="137">
        <v>7797.0</v>
      </c>
      <c r="J57" s="89">
        <f t="shared" si="68"/>
        <v>674</v>
      </c>
      <c r="K57" s="89">
        <f t="shared" si="69"/>
        <v>65</v>
      </c>
      <c r="L57" s="152">
        <f t="shared" si="70"/>
        <v>9.643916914</v>
      </c>
      <c r="M57" s="126">
        <v>18570.0</v>
      </c>
      <c r="N57" s="372">
        <f t="shared" si="71"/>
        <v>1207050</v>
      </c>
    </row>
    <row r="58">
      <c r="A58" s="154">
        <v>45617.0</v>
      </c>
      <c r="B58" s="156" t="s">
        <v>21</v>
      </c>
      <c r="C58" s="89">
        <v>346566.0</v>
      </c>
      <c r="D58" s="89">
        <v>346937.0</v>
      </c>
      <c r="E58" s="12">
        <f t="shared" si="66"/>
        <v>371</v>
      </c>
      <c r="F58" s="157">
        <v>60.0</v>
      </c>
      <c r="G58" s="14">
        <f t="shared" si="67"/>
        <v>16.17250674</v>
      </c>
      <c r="H58" s="89">
        <v>7797.0</v>
      </c>
      <c r="I58" s="137">
        <v>8086.0</v>
      </c>
      <c r="J58" s="89">
        <f t="shared" si="68"/>
        <v>289</v>
      </c>
      <c r="K58" s="89">
        <f t="shared" si="69"/>
        <v>60</v>
      </c>
      <c r="L58" s="152">
        <f t="shared" si="70"/>
        <v>20.76124567</v>
      </c>
      <c r="M58" s="126">
        <v>18570.0</v>
      </c>
      <c r="N58" s="372">
        <f t="shared" si="71"/>
        <v>1114200</v>
      </c>
    </row>
    <row r="59">
      <c r="A59" s="154">
        <v>45621.0</v>
      </c>
      <c r="B59" s="156" t="s">
        <v>21</v>
      </c>
      <c r="C59" s="89">
        <v>346937.0</v>
      </c>
      <c r="D59" s="89">
        <v>347392.0</v>
      </c>
      <c r="E59" s="12">
        <f t="shared" si="66"/>
        <v>455</v>
      </c>
      <c r="F59" s="157">
        <v>65.0</v>
      </c>
      <c r="G59" s="14">
        <f t="shared" si="67"/>
        <v>14.28571429</v>
      </c>
      <c r="H59" s="89">
        <v>8086.0</v>
      </c>
      <c r="I59" s="137">
        <v>8427.0</v>
      </c>
      <c r="J59" s="89">
        <f t="shared" si="68"/>
        <v>341</v>
      </c>
      <c r="K59" s="89">
        <f t="shared" si="69"/>
        <v>65</v>
      </c>
      <c r="L59" s="152">
        <f t="shared" si="70"/>
        <v>19.06158358</v>
      </c>
      <c r="M59" s="126">
        <v>18500.0</v>
      </c>
      <c r="N59" s="372">
        <f t="shared" si="71"/>
        <v>1202500</v>
      </c>
    </row>
    <row r="60">
      <c r="A60" s="62"/>
      <c r="B60" s="63"/>
      <c r="C60" s="62"/>
      <c r="D60" s="64" t="s">
        <v>19</v>
      </c>
      <c r="E60" s="64">
        <f t="shared" ref="E60:F60" si="72">sum(E55:E59)</f>
        <v>2547</v>
      </c>
      <c r="F60" s="64">
        <f t="shared" si="72"/>
        <v>318</v>
      </c>
      <c r="G60" s="65">
        <f>average(G55:G59)</f>
        <v>13.31655053</v>
      </c>
      <c r="H60" s="62"/>
      <c r="I60" s="66"/>
      <c r="J60" s="64">
        <f t="shared" ref="J60:K60" si="73">sum(J55:J59)</f>
        <v>2477</v>
      </c>
      <c r="K60" s="64">
        <f t="shared" si="73"/>
        <v>318</v>
      </c>
      <c r="L60" s="65">
        <f>average(L55:L59)</f>
        <v>15.09098213</v>
      </c>
      <c r="M60" s="68"/>
      <c r="N60" s="389">
        <f>sum(N55:N59)</f>
        <v>5897260</v>
      </c>
    </row>
    <row r="61">
      <c r="A61" s="70">
        <v>45602.0</v>
      </c>
      <c r="B61" s="302" t="s">
        <v>100</v>
      </c>
      <c r="C61" s="13">
        <v>179684.0</v>
      </c>
      <c r="D61" s="41">
        <v>180185.0</v>
      </c>
      <c r="E61" s="38">
        <f t="shared" ref="E61:E67" si="74">D61-C61</f>
        <v>501</v>
      </c>
      <c r="F61" s="39">
        <v>60.0</v>
      </c>
      <c r="G61" s="14">
        <f t="shared" ref="G61:G67" si="75">(F61/E61)*100</f>
        <v>11.9760479</v>
      </c>
      <c r="H61" s="16">
        <v>9134.0</v>
      </c>
      <c r="I61" s="138">
        <v>9831.0</v>
      </c>
      <c r="J61" s="41">
        <f t="shared" ref="J61:J67" si="76">I61-H61</f>
        <v>697</v>
      </c>
      <c r="K61" s="41">
        <f t="shared" ref="K61:K67" si="77">F61</f>
        <v>60</v>
      </c>
      <c r="L61" s="152">
        <f t="shared" ref="L61:L67" si="78">(K61/J61)*100</f>
        <v>8.608321377</v>
      </c>
      <c r="M61" s="72">
        <v>18140.0</v>
      </c>
      <c r="N61" s="366">
        <f t="shared" ref="N61:N67" si="79">F61*M61</f>
        <v>1088400</v>
      </c>
    </row>
    <row r="62">
      <c r="A62" s="154">
        <v>45608.0</v>
      </c>
      <c r="B62" s="156" t="s">
        <v>100</v>
      </c>
      <c r="C62" s="89">
        <v>180185.0</v>
      </c>
      <c r="D62" s="89">
        <v>180724.0</v>
      </c>
      <c r="E62" s="12">
        <f t="shared" si="74"/>
        <v>539</v>
      </c>
      <c r="F62" s="157">
        <v>65.0</v>
      </c>
      <c r="G62" s="14">
        <f t="shared" si="75"/>
        <v>12.0593692</v>
      </c>
      <c r="H62" s="89">
        <v>9831.0</v>
      </c>
      <c r="I62" s="137">
        <v>10347.0</v>
      </c>
      <c r="J62" s="89">
        <f t="shared" si="76"/>
        <v>516</v>
      </c>
      <c r="K62" s="89">
        <f t="shared" si="77"/>
        <v>65</v>
      </c>
      <c r="L62" s="152">
        <f t="shared" si="78"/>
        <v>12.59689922</v>
      </c>
      <c r="M62" s="126">
        <v>18910.0</v>
      </c>
      <c r="N62" s="372">
        <f t="shared" si="79"/>
        <v>1229150</v>
      </c>
    </row>
    <row r="63">
      <c r="A63" s="154">
        <v>45612.0</v>
      </c>
      <c r="B63" s="156" t="s">
        <v>100</v>
      </c>
      <c r="C63" s="89">
        <v>180724.0</v>
      </c>
      <c r="D63" s="89">
        <v>181235.0</v>
      </c>
      <c r="E63" s="12">
        <f t="shared" si="74"/>
        <v>511</v>
      </c>
      <c r="F63" s="157">
        <v>63.0</v>
      </c>
      <c r="G63" s="14">
        <f t="shared" si="75"/>
        <v>12.32876712</v>
      </c>
      <c r="H63" s="89">
        <v>10347.0</v>
      </c>
      <c r="I63" s="137">
        <v>10854.0</v>
      </c>
      <c r="J63" s="89">
        <f t="shared" si="76"/>
        <v>507</v>
      </c>
      <c r="K63" s="89">
        <f t="shared" si="77"/>
        <v>63</v>
      </c>
      <c r="L63" s="152">
        <f t="shared" si="78"/>
        <v>12.4260355</v>
      </c>
      <c r="M63" s="126">
        <v>18570.0</v>
      </c>
      <c r="N63" s="372">
        <f t="shared" si="79"/>
        <v>1169910</v>
      </c>
    </row>
    <row r="64">
      <c r="A64" s="154">
        <v>45619.0</v>
      </c>
      <c r="B64" s="156" t="s">
        <v>100</v>
      </c>
      <c r="C64" s="89">
        <v>181234.0</v>
      </c>
      <c r="D64" s="89">
        <v>181750.0</v>
      </c>
      <c r="E64" s="12">
        <f t="shared" si="74"/>
        <v>516</v>
      </c>
      <c r="F64" s="157">
        <v>68.0</v>
      </c>
      <c r="G64" s="14">
        <f t="shared" si="75"/>
        <v>13.17829457</v>
      </c>
      <c r="H64" s="89">
        <v>10854.0</v>
      </c>
      <c r="I64" s="137">
        <v>11363.0</v>
      </c>
      <c r="J64" s="89">
        <f t="shared" si="76"/>
        <v>509</v>
      </c>
      <c r="K64" s="89">
        <f t="shared" si="77"/>
        <v>68</v>
      </c>
      <c r="L64" s="152">
        <f t="shared" si="78"/>
        <v>13.35952849</v>
      </c>
      <c r="M64" s="126">
        <v>18500.0</v>
      </c>
      <c r="N64" s="372">
        <f t="shared" si="79"/>
        <v>1258000</v>
      </c>
    </row>
    <row r="65">
      <c r="A65" s="154">
        <v>45626.0</v>
      </c>
      <c r="B65" s="156" t="s">
        <v>100</v>
      </c>
      <c r="C65" s="89">
        <v>181750.0</v>
      </c>
      <c r="D65" s="89">
        <v>182379.0</v>
      </c>
      <c r="E65" s="12">
        <f t="shared" si="74"/>
        <v>629</v>
      </c>
      <c r="F65" s="157">
        <v>77.0</v>
      </c>
      <c r="G65" s="14">
        <f t="shared" si="75"/>
        <v>12.24165342</v>
      </c>
      <c r="H65" s="89">
        <v>11363.0</v>
      </c>
      <c r="I65" s="137">
        <v>11996.0</v>
      </c>
      <c r="J65" s="89">
        <f t="shared" si="76"/>
        <v>633</v>
      </c>
      <c r="K65" s="89">
        <f t="shared" si="77"/>
        <v>77</v>
      </c>
      <c r="L65" s="152">
        <f t="shared" si="78"/>
        <v>12.164297</v>
      </c>
      <c r="M65" s="126">
        <v>18770.0</v>
      </c>
      <c r="N65" s="372">
        <f t="shared" si="79"/>
        <v>1445290</v>
      </c>
    </row>
    <row r="66">
      <c r="A66" s="320"/>
      <c r="B66" s="156" t="s">
        <v>100</v>
      </c>
      <c r="C66" s="89">
        <v>1.0</v>
      </c>
      <c r="D66" s="158"/>
      <c r="E66" s="12">
        <f t="shared" si="74"/>
        <v>-1</v>
      </c>
      <c r="F66" s="321"/>
      <c r="G66" s="14">
        <f t="shared" si="75"/>
        <v>0</v>
      </c>
      <c r="H66" s="89"/>
      <c r="I66" s="159"/>
      <c r="J66" s="89">
        <f t="shared" si="76"/>
        <v>0</v>
      </c>
      <c r="K66" s="89" t="str">
        <f t="shared" si="77"/>
        <v/>
      </c>
      <c r="L66" s="152" t="str">
        <f t="shared" si="78"/>
        <v>#DIV/0!</v>
      </c>
      <c r="M66" s="322"/>
      <c r="N66" s="367">
        <f t="shared" si="79"/>
        <v>0</v>
      </c>
    </row>
    <row r="67">
      <c r="A67" s="305"/>
      <c r="B67" s="306"/>
      <c r="C67" s="149">
        <v>1.0</v>
      </c>
      <c r="D67" s="150"/>
      <c r="E67" s="25">
        <f t="shared" si="74"/>
        <v>-1</v>
      </c>
      <c r="F67" s="307"/>
      <c r="G67" s="56">
        <f t="shared" si="75"/>
        <v>0</v>
      </c>
      <c r="H67" s="149">
        <v>1.0</v>
      </c>
      <c r="I67" s="151"/>
      <c r="J67" s="149">
        <f t="shared" si="76"/>
        <v>-1</v>
      </c>
      <c r="K67" s="149" t="str">
        <f t="shared" si="77"/>
        <v/>
      </c>
      <c r="L67" s="152">
        <f t="shared" si="78"/>
        <v>0</v>
      </c>
      <c r="M67" s="308"/>
      <c r="N67" s="380">
        <f t="shared" si="79"/>
        <v>0</v>
      </c>
    </row>
    <row r="68">
      <c r="A68" s="62"/>
      <c r="B68" s="63"/>
      <c r="C68" s="62"/>
      <c r="D68" s="64" t="s">
        <v>19</v>
      </c>
      <c r="E68" s="64">
        <f t="shared" ref="E68:F68" si="80">sum(E61:E67)</f>
        <v>2694</v>
      </c>
      <c r="F68" s="64">
        <f t="shared" si="80"/>
        <v>333</v>
      </c>
      <c r="G68" s="65">
        <f>average(G61:G67)</f>
        <v>8.826304603</v>
      </c>
      <c r="H68" s="62"/>
      <c r="I68" s="66"/>
      <c r="J68" s="64">
        <f t="shared" ref="J68:K68" si="81">sum(J61:J67)</f>
        <v>2861</v>
      </c>
      <c r="K68" s="64">
        <f t="shared" si="81"/>
        <v>333</v>
      </c>
      <c r="L68" s="65" t="str">
        <f>average(L61:L67)</f>
        <v>#DIV/0!</v>
      </c>
      <c r="M68" s="68"/>
      <c r="N68" s="389">
        <f>sum(N61:N67)</f>
        <v>6190750</v>
      </c>
    </row>
    <row r="69">
      <c r="A69" s="70">
        <v>45600.0</v>
      </c>
      <c r="B69" s="302" t="s">
        <v>116</v>
      </c>
      <c r="C69" s="41">
        <v>133835.0</v>
      </c>
      <c r="D69" s="41">
        <v>134435.0</v>
      </c>
      <c r="E69" s="38">
        <f t="shared" ref="E69:E75" si="82">D69-C69</f>
        <v>600</v>
      </c>
      <c r="F69" s="39">
        <v>72.0</v>
      </c>
      <c r="G69" s="14">
        <f t="shared" ref="G69:G75" si="83">(F69/E69)*100</f>
        <v>12</v>
      </c>
      <c r="H69" s="41">
        <v>7758.0</v>
      </c>
      <c r="I69" s="138">
        <v>8342.0</v>
      </c>
      <c r="J69" s="41">
        <f t="shared" ref="J69:J75" si="84">I69-H69</f>
        <v>584</v>
      </c>
      <c r="K69" s="41">
        <f t="shared" ref="K69:K75" si="85">F69</f>
        <v>72</v>
      </c>
      <c r="L69" s="152">
        <f t="shared" ref="L69:L75" si="86">(K69/J69)*100</f>
        <v>12.32876712</v>
      </c>
      <c r="M69" s="72">
        <v>18140.0</v>
      </c>
      <c r="N69" s="366">
        <f t="shared" ref="N69:N72" si="87">F69*M69</f>
        <v>1306080</v>
      </c>
    </row>
    <row r="70">
      <c r="A70" s="154">
        <v>45605.0</v>
      </c>
      <c r="B70" s="302" t="s">
        <v>116</v>
      </c>
      <c r="C70" s="89"/>
      <c r="D70" s="89"/>
      <c r="E70" s="12">
        <f t="shared" si="82"/>
        <v>0</v>
      </c>
      <c r="F70" s="157">
        <v>70.0</v>
      </c>
      <c r="G70" s="14" t="str">
        <f t="shared" si="83"/>
        <v>#DIV/0!</v>
      </c>
      <c r="H70" s="89"/>
      <c r="I70" s="137"/>
      <c r="J70" s="89">
        <f t="shared" si="84"/>
        <v>0</v>
      </c>
      <c r="K70" s="89">
        <f t="shared" si="85"/>
        <v>70</v>
      </c>
      <c r="L70" s="152" t="str">
        <f t="shared" si="86"/>
        <v>#DIV/0!</v>
      </c>
      <c r="M70" s="393">
        <v>18910.0</v>
      </c>
      <c r="N70" s="339">
        <f t="shared" si="87"/>
        <v>1323700</v>
      </c>
    </row>
    <row r="71">
      <c r="A71" s="154"/>
      <c r="B71" s="156"/>
      <c r="C71" s="89"/>
      <c r="D71" s="89"/>
      <c r="E71" s="12">
        <f t="shared" si="82"/>
        <v>0</v>
      </c>
      <c r="F71" s="157"/>
      <c r="G71" s="14" t="str">
        <f t="shared" si="83"/>
        <v>#DIV/0!</v>
      </c>
      <c r="H71" s="89"/>
      <c r="I71" s="137"/>
      <c r="J71" s="89">
        <f t="shared" si="84"/>
        <v>0</v>
      </c>
      <c r="K71" s="89" t="str">
        <f t="shared" si="85"/>
        <v/>
      </c>
      <c r="L71" s="152" t="str">
        <f t="shared" si="86"/>
        <v>#DIV/0!</v>
      </c>
      <c r="M71" s="126"/>
      <c r="N71" s="367">
        <f t="shared" si="87"/>
        <v>0</v>
      </c>
    </row>
    <row r="72">
      <c r="A72" s="154"/>
      <c r="B72" s="156"/>
      <c r="C72" s="89"/>
      <c r="D72" s="89"/>
      <c r="E72" s="12">
        <f t="shared" si="82"/>
        <v>0</v>
      </c>
      <c r="F72" s="157"/>
      <c r="G72" s="14" t="str">
        <f t="shared" si="83"/>
        <v>#DIV/0!</v>
      </c>
      <c r="H72" s="89"/>
      <c r="I72" s="137"/>
      <c r="J72" s="89">
        <f t="shared" si="84"/>
        <v>0</v>
      </c>
      <c r="K72" s="89" t="str">
        <f t="shared" si="85"/>
        <v/>
      </c>
      <c r="L72" s="152" t="str">
        <f t="shared" si="86"/>
        <v>#DIV/0!</v>
      </c>
      <c r="M72" s="126"/>
      <c r="N72" s="367">
        <f t="shared" si="87"/>
        <v>0</v>
      </c>
    </row>
    <row r="73">
      <c r="A73" s="154"/>
      <c r="B73" s="156"/>
      <c r="C73" s="89"/>
      <c r="D73" s="89"/>
      <c r="E73" s="12">
        <f t="shared" si="82"/>
        <v>0</v>
      </c>
      <c r="F73" s="157">
        <v>47.0</v>
      </c>
      <c r="G73" s="14" t="str">
        <f t="shared" si="83"/>
        <v>#DIV/0!</v>
      </c>
      <c r="H73" s="89"/>
      <c r="I73" s="137"/>
      <c r="J73" s="89">
        <f t="shared" si="84"/>
        <v>0</v>
      </c>
      <c r="K73" s="89">
        <f t="shared" si="85"/>
        <v>47</v>
      </c>
      <c r="L73" s="152" t="str">
        <f t="shared" si="86"/>
        <v>#DIV/0!</v>
      </c>
      <c r="M73" s="126">
        <v>18570.0</v>
      </c>
      <c r="N73" s="367"/>
    </row>
    <row r="74">
      <c r="A74" s="272"/>
      <c r="B74" s="99"/>
      <c r="C74" s="89"/>
      <c r="D74" s="158"/>
      <c r="E74" s="12">
        <f t="shared" si="82"/>
        <v>0</v>
      </c>
      <c r="F74" s="157">
        <v>45.0</v>
      </c>
      <c r="G74" s="14" t="str">
        <f t="shared" si="83"/>
        <v>#DIV/0!</v>
      </c>
      <c r="H74" s="89"/>
      <c r="I74" s="159"/>
      <c r="J74" s="89">
        <f t="shared" si="84"/>
        <v>0</v>
      </c>
      <c r="K74" s="89">
        <f t="shared" si="85"/>
        <v>45</v>
      </c>
      <c r="L74" s="152" t="str">
        <f t="shared" si="86"/>
        <v>#DIV/0!</v>
      </c>
      <c r="M74" s="126">
        <v>18500.0</v>
      </c>
      <c r="N74" s="367"/>
    </row>
    <row r="75">
      <c r="A75" s="316"/>
      <c r="B75" s="323"/>
      <c r="C75" s="149"/>
      <c r="D75" s="150"/>
      <c r="E75" s="25">
        <f t="shared" si="82"/>
        <v>0</v>
      </c>
      <c r="F75" s="161">
        <v>43.0</v>
      </c>
      <c r="G75" s="56" t="str">
        <f t="shared" si="83"/>
        <v>#DIV/0!</v>
      </c>
      <c r="H75" s="149">
        <v>1.0</v>
      </c>
      <c r="I75" s="151"/>
      <c r="J75" s="149">
        <f t="shared" si="84"/>
        <v>-1</v>
      </c>
      <c r="K75" s="149">
        <f t="shared" si="85"/>
        <v>43</v>
      </c>
      <c r="L75" s="152">
        <f t="shared" si="86"/>
        <v>-4300</v>
      </c>
      <c r="M75" s="153">
        <v>18500.0</v>
      </c>
      <c r="N75" s="380"/>
    </row>
    <row r="76">
      <c r="A76" s="62"/>
      <c r="B76" s="63"/>
      <c r="C76" s="62"/>
      <c r="D76" s="64" t="s">
        <v>19</v>
      </c>
      <c r="E76" s="64">
        <f t="shared" ref="E76:F76" si="88">sum(E69:E75)</f>
        <v>600</v>
      </c>
      <c r="F76" s="64">
        <f t="shared" si="88"/>
        <v>277</v>
      </c>
      <c r="G76" s="65" t="str">
        <f>average(G69:G75)</f>
        <v>#DIV/0!</v>
      </c>
      <c r="H76" s="62"/>
      <c r="I76" s="66"/>
      <c r="J76" s="64">
        <f t="shared" ref="J76:K76" si="89">sum(J69:J75)</f>
        <v>583</v>
      </c>
      <c r="K76" s="64">
        <f t="shared" si="89"/>
        <v>277</v>
      </c>
      <c r="L76" s="65" t="str">
        <f>average(L69:L75)</f>
        <v>#DIV/0!</v>
      </c>
      <c r="M76" s="68"/>
      <c r="N76" s="389">
        <f>sum(N69:N75)</f>
        <v>2629780</v>
      </c>
    </row>
    <row r="77">
      <c r="A77" s="394">
        <v>45598.0</v>
      </c>
      <c r="B77" s="391" t="s">
        <v>115</v>
      </c>
      <c r="C77" s="41">
        <v>77250.0</v>
      </c>
      <c r="D77" s="13">
        <v>77940.0</v>
      </c>
      <c r="E77" s="38">
        <f t="shared" ref="E77:E83" si="90">D77-C77</f>
        <v>690</v>
      </c>
      <c r="F77" s="39">
        <v>75.0</v>
      </c>
      <c r="G77" s="14">
        <f t="shared" ref="G77:G83" si="91">(F77/E77)*100</f>
        <v>10.86956522</v>
      </c>
      <c r="H77" s="41">
        <v>77398.0</v>
      </c>
      <c r="I77" s="138">
        <v>78093.0</v>
      </c>
      <c r="J77" s="41">
        <f t="shared" ref="J77:J83" si="92">I77-H77</f>
        <v>695</v>
      </c>
      <c r="K77" s="41">
        <f t="shared" ref="K77:K83" si="93">F77</f>
        <v>75</v>
      </c>
      <c r="L77" s="152">
        <f t="shared" ref="L77:L83" si="94">(K77/J77)*100</f>
        <v>10.79136691</v>
      </c>
      <c r="M77" s="72">
        <v>18140.0</v>
      </c>
      <c r="N77" s="366">
        <f t="shared" ref="N77:N83" si="95">F77*M77</f>
        <v>1360500</v>
      </c>
    </row>
    <row r="78">
      <c r="A78" s="154">
        <v>45575.0</v>
      </c>
      <c r="B78" s="156" t="s">
        <v>115</v>
      </c>
      <c r="C78" s="89">
        <v>77940.0</v>
      </c>
      <c r="D78" s="89">
        <v>78533.0</v>
      </c>
      <c r="E78" s="12">
        <f t="shared" si="90"/>
        <v>593</v>
      </c>
      <c r="F78" s="157">
        <v>68.0</v>
      </c>
      <c r="G78" s="14">
        <f t="shared" si="91"/>
        <v>11.46711636</v>
      </c>
      <c r="H78" s="89">
        <v>78093.0</v>
      </c>
      <c r="I78" s="137">
        <v>78719.0</v>
      </c>
      <c r="J78" s="89">
        <f t="shared" si="92"/>
        <v>626</v>
      </c>
      <c r="K78" s="89">
        <f t="shared" si="93"/>
        <v>68</v>
      </c>
      <c r="L78" s="152">
        <f t="shared" si="94"/>
        <v>10.86261981</v>
      </c>
      <c r="M78" s="126">
        <v>18910.0</v>
      </c>
      <c r="N78" s="372">
        <f t="shared" si="95"/>
        <v>1285880</v>
      </c>
    </row>
    <row r="79">
      <c r="A79" s="154">
        <v>45611.0</v>
      </c>
      <c r="B79" s="156" t="s">
        <v>115</v>
      </c>
      <c r="C79" s="89">
        <v>78533.0</v>
      </c>
      <c r="D79" s="89">
        <v>79191.0</v>
      </c>
      <c r="E79" s="12">
        <f t="shared" si="90"/>
        <v>658</v>
      </c>
      <c r="F79" s="157">
        <v>73.0</v>
      </c>
      <c r="G79" s="14">
        <f t="shared" si="91"/>
        <v>11.09422492</v>
      </c>
      <c r="H79" s="89">
        <v>78719.0</v>
      </c>
      <c r="I79" s="137">
        <v>79280.0</v>
      </c>
      <c r="J79" s="89">
        <f t="shared" si="92"/>
        <v>561</v>
      </c>
      <c r="K79" s="89">
        <f t="shared" si="93"/>
        <v>73</v>
      </c>
      <c r="L79" s="152">
        <f t="shared" si="94"/>
        <v>13.01247772</v>
      </c>
      <c r="M79" s="126">
        <v>18570.0</v>
      </c>
      <c r="N79" s="372">
        <f t="shared" si="95"/>
        <v>1355610</v>
      </c>
    </row>
    <row r="80">
      <c r="A80" s="154">
        <v>45620.0</v>
      </c>
      <c r="B80" s="156" t="s">
        <v>115</v>
      </c>
      <c r="C80" s="89">
        <v>79191.0</v>
      </c>
      <c r="D80" s="89">
        <v>79866.0</v>
      </c>
      <c r="E80" s="12">
        <f t="shared" si="90"/>
        <v>675</v>
      </c>
      <c r="F80" s="157">
        <v>76.0</v>
      </c>
      <c r="G80" s="14">
        <f t="shared" si="91"/>
        <v>11.25925926</v>
      </c>
      <c r="H80" s="89">
        <v>79280.0</v>
      </c>
      <c r="I80" s="137">
        <v>79934.0</v>
      </c>
      <c r="J80" s="89">
        <f t="shared" si="92"/>
        <v>654</v>
      </c>
      <c r="K80" s="89">
        <f t="shared" si="93"/>
        <v>76</v>
      </c>
      <c r="L80" s="152">
        <f t="shared" si="94"/>
        <v>11.62079511</v>
      </c>
      <c r="M80" s="126">
        <v>18500.0</v>
      </c>
      <c r="N80" s="372">
        <f t="shared" si="95"/>
        <v>1406000</v>
      </c>
    </row>
    <row r="81">
      <c r="A81" s="154"/>
      <c r="B81" s="99" t="s">
        <v>115</v>
      </c>
      <c r="C81" s="89"/>
      <c r="D81" s="89"/>
      <c r="E81" s="12">
        <f t="shared" si="90"/>
        <v>0</v>
      </c>
      <c r="F81" s="157"/>
      <c r="G81" s="14" t="str">
        <f t="shared" si="91"/>
        <v>#DIV/0!</v>
      </c>
      <c r="H81" s="89"/>
      <c r="I81" s="137"/>
      <c r="J81" s="89">
        <f t="shared" si="92"/>
        <v>0</v>
      </c>
      <c r="K81" s="89" t="str">
        <f t="shared" si="93"/>
        <v/>
      </c>
      <c r="L81" s="152" t="str">
        <f t="shared" si="94"/>
        <v>#DIV/0!</v>
      </c>
      <c r="M81" s="126"/>
      <c r="N81" s="367">
        <f t="shared" si="95"/>
        <v>0</v>
      </c>
    </row>
    <row r="82">
      <c r="A82" s="320"/>
      <c r="B82" s="123"/>
      <c r="C82" s="89">
        <v>1.0</v>
      </c>
      <c r="D82" s="158"/>
      <c r="E82" s="12">
        <f t="shared" si="90"/>
        <v>-1</v>
      </c>
      <c r="F82" s="321"/>
      <c r="G82" s="14">
        <f t="shared" si="91"/>
        <v>0</v>
      </c>
      <c r="H82" s="89"/>
      <c r="I82" s="159"/>
      <c r="J82" s="89">
        <f t="shared" si="92"/>
        <v>0</v>
      </c>
      <c r="K82" s="89" t="str">
        <f t="shared" si="93"/>
        <v/>
      </c>
      <c r="L82" s="152" t="str">
        <f t="shared" si="94"/>
        <v>#DIV/0!</v>
      </c>
      <c r="M82" s="322"/>
      <c r="N82" s="367">
        <f t="shared" si="95"/>
        <v>0</v>
      </c>
    </row>
    <row r="83">
      <c r="A83" s="305"/>
      <c r="B83" s="323"/>
      <c r="C83" s="149">
        <v>1.0</v>
      </c>
      <c r="D83" s="150"/>
      <c r="E83" s="25">
        <f t="shared" si="90"/>
        <v>-1</v>
      </c>
      <c r="F83" s="307"/>
      <c r="G83" s="56">
        <f t="shared" si="91"/>
        <v>0</v>
      </c>
      <c r="H83" s="149">
        <v>1.0</v>
      </c>
      <c r="I83" s="151"/>
      <c r="J83" s="149">
        <f t="shared" si="92"/>
        <v>-1</v>
      </c>
      <c r="K83" s="149" t="str">
        <f t="shared" si="93"/>
        <v/>
      </c>
      <c r="L83" s="152">
        <f t="shared" si="94"/>
        <v>0</v>
      </c>
      <c r="M83" s="308"/>
      <c r="N83" s="380">
        <f t="shared" si="95"/>
        <v>0</v>
      </c>
    </row>
    <row r="84">
      <c r="A84" s="62"/>
      <c r="B84" s="63"/>
      <c r="C84" s="62"/>
      <c r="D84" s="64" t="s">
        <v>19</v>
      </c>
      <c r="E84" s="64">
        <f t="shared" ref="E84:F84" si="96">sum(E77:E83)</f>
        <v>2614</v>
      </c>
      <c r="F84" s="64">
        <f t="shared" si="96"/>
        <v>292</v>
      </c>
      <c r="G84" s="65" t="str">
        <f>average(G77:G83)</f>
        <v>#DIV/0!</v>
      </c>
      <c r="H84" s="62"/>
      <c r="I84" s="66"/>
      <c r="J84" s="64">
        <f t="shared" ref="J84:K84" si="97">sum(J77:J83)</f>
        <v>2535</v>
      </c>
      <c r="K84" s="64">
        <f t="shared" si="97"/>
        <v>292</v>
      </c>
      <c r="L84" s="65" t="str">
        <f>average(L77:L83)</f>
        <v>#DIV/0!</v>
      </c>
      <c r="M84" s="68"/>
      <c r="N84" s="389">
        <f>sum(N77:N83)</f>
        <v>5407990</v>
      </c>
    </row>
    <row r="85">
      <c r="A85" s="198" t="s">
        <v>64</v>
      </c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334"/>
      <c r="N85" s="384">
        <f>N10+N15+N22+N30+N37+N45+N50+N54+N60+N68+N76+N84</f>
        <v>55275390</v>
      </c>
    </row>
    <row r="86">
      <c r="G86" s="168"/>
      <c r="L86" s="168"/>
    </row>
    <row r="87">
      <c r="G87" s="168"/>
      <c r="L87" s="168"/>
    </row>
    <row r="88">
      <c r="G88" s="168"/>
      <c r="L88" s="168"/>
    </row>
    <row r="89">
      <c r="G89" s="168"/>
      <c r="L89" s="168"/>
    </row>
    <row r="90">
      <c r="G90" s="168"/>
      <c r="L90" s="168"/>
    </row>
    <row r="91">
      <c r="G91" s="168"/>
      <c r="L91" s="168"/>
    </row>
    <row r="92">
      <c r="G92" s="168"/>
      <c r="L92" s="168"/>
    </row>
    <row r="93">
      <c r="G93" s="168"/>
      <c r="L93" s="168"/>
    </row>
    <row r="94">
      <c r="G94" s="168"/>
      <c r="L94" s="168"/>
    </row>
    <row r="95">
      <c r="G95" s="168"/>
      <c r="L95" s="168"/>
    </row>
    <row r="96">
      <c r="G96" s="168"/>
      <c r="L96" s="168"/>
    </row>
    <row r="97">
      <c r="G97" s="168"/>
      <c r="L97" s="168"/>
    </row>
    <row r="98">
      <c r="G98" s="168"/>
      <c r="L98" s="168"/>
    </row>
    <row r="99">
      <c r="G99" s="168"/>
      <c r="L99" s="168"/>
    </row>
    <row r="100">
      <c r="G100" s="168"/>
      <c r="L100" s="168"/>
    </row>
    <row r="101">
      <c r="G101" s="168"/>
      <c r="L101" s="168"/>
    </row>
    <row r="102">
      <c r="G102" s="168"/>
      <c r="L102" s="168"/>
    </row>
    <row r="103">
      <c r="G103" s="168"/>
      <c r="L103" s="168"/>
    </row>
    <row r="104">
      <c r="G104" s="168"/>
      <c r="L104" s="168"/>
    </row>
    <row r="105">
      <c r="G105" s="168"/>
      <c r="L105" s="168"/>
    </row>
    <row r="106">
      <c r="G106" s="168"/>
      <c r="L106" s="168"/>
    </row>
    <row r="107">
      <c r="G107" s="168"/>
      <c r="L107" s="168"/>
    </row>
    <row r="108">
      <c r="G108" s="168"/>
      <c r="L108" s="168"/>
    </row>
    <row r="109">
      <c r="G109" s="168"/>
      <c r="L109" s="168"/>
    </row>
    <row r="110">
      <c r="G110" s="168"/>
      <c r="L110" s="168"/>
    </row>
    <row r="111">
      <c r="G111" s="168"/>
      <c r="L111" s="168"/>
    </row>
    <row r="112">
      <c r="G112" s="168"/>
      <c r="L112" s="168"/>
    </row>
    <row r="113">
      <c r="G113" s="168"/>
      <c r="L113" s="168"/>
    </row>
    <row r="114">
      <c r="G114" s="168"/>
      <c r="L114" s="168"/>
    </row>
    <row r="115">
      <c r="G115" s="168"/>
      <c r="L115" s="168"/>
    </row>
    <row r="116">
      <c r="G116" s="168"/>
      <c r="L116" s="168"/>
    </row>
    <row r="117">
      <c r="G117" s="168"/>
      <c r="L117" s="168"/>
    </row>
    <row r="118">
      <c r="G118" s="168"/>
      <c r="L118" s="168"/>
    </row>
    <row r="119">
      <c r="G119" s="168"/>
      <c r="L119" s="168"/>
    </row>
    <row r="120">
      <c r="G120" s="168"/>
      <c r="L120" s="168"/>
    </row>
    <row r="121">
      <c r="G121" s="168"/>
      <c r="L121" s="168"/>
    </row>
    <row r="122">
      <c r="G122" s="168"/>
      <c r="L122" s="168"/>
    </row>
    <row r="123">
      <c r="G123" s="168"/>
      <c r="L123" s="168"/>
    </row>
    <row r="124">
      <c r="G124" s="168"/>
      <c r="L124" s="168"/>
    </row>
    <row r="125">
      <c r="G125" s="168"/>
      <c r="L125" s="168"/>
    </row>
    <row r="126">
      <c r="G126" s="168"/>
      <c r="L126" s="168"/>
    </row>
    <row r="127">
      <c r="G127" s="168"/>
      <c r="L127" s="168"/>
    </row>
    <row r="128">
      <c r="G128" s="168"/>
      <c r="L128" s="168"/>
    </row>
    <row r="129">
      <c r="G129" s="168"/>
      <c r="L129" s="168"/>
    </row>
    <row r="130">
      <c r="G130" s="168"/>
      <c r="L130" s="168"/>
    </row>
    <row r="131">
      <c r="G131" s="168"/>
      <c r="L131" s="168"/>
    </row>
    <row r="132">
      <c r="G132" s="168"/>
      <c r="L132" s="168"/>
    </row>
    <row r="133">
      <c r="G133" s="168"/>
      <c r="L133" s="168"/>
    </row>
    <row r="134">
      <c r="G134" s="168"/>
      <c r="L134" s="168"/>
    </row>
    <row r="135">
      <c r="G135" s="168"/>
      <c r="L135" s="168"/>
    </row>
    <row r="136">
      <c r="G136" s="168"/>
      <c r="L136" s="168"/>
    </row>
    <row r="137">
      <c r="G137" s="168"/>
      <c r="L137" s="168"/>
    </row>
    <row r="138">
      <c r="G138" s="168"/>
      <c r="L138" s="168"/>
    </row>
    <row r="139">
      <c r="G139" s="168"/>
      <c r="L139" s="168"/>
    </row>
    <row r="140">
      <c r="G140" s="168"/>
      <c r="L140" s="168"/>
    </row>
    <row r="141">
      <c r="G141" s="168"/>
      <c r="L141" s="168"/>
    </row>
    <row r="142">
      <c r="G142" s="168"/>
      <c r="L142" s="168"/>
    </row>
    <row r="143">
      <c r="G143" s="168"/>
      <c r="L143" s="168"/>
    </row>
    <row r="144">
      <c r="G144" s="168"/>
      <c r="L144" s="168"/>
    </row>
    <row r="145">
      <c r="G145" s="168"/>
      <c r="L145" s="168"/>
    </row>
    <row r="146">
      <c r="G146" s="168"/>
      <c r="L146" s="168"/>
    </row>
    <row r="147">
      <c r="G147" s="168"/>
      <c r="L147" s="168"/>
    </row>
    <row r="148">
      <c r="G148" s="168"/>
      <c r="L148" s="168"/>
    </row>
    <row r="149">
      <c r="G149" s="168"/>
      <c r="L149" s="168"/>
    </row>
    <row r="150">
      <c r="G150" s="168"/>
      <c r="L150" s="168"/>
    </row>
    <row r="151">
      <c r="G151" s="168"/>
      <c r="L151" s="168"/>
    </row>
    <row r="152">
      <c r="G152" s="168"/>
      <c r="L152" s="168"/>
    </row>
    <row r="153">
      <c r="G153" s="168"/>
      <c r="L153" s="168"/>
    </row>
    <row r="154">
      <c r="G154" s="168"/>
      <c r="L154" s="168"/>
    </row>
    <row r="155">
      <c r="G155" s="168"/>
      <c r="L155" s="168"/>
    </row>
    <row r="156">
      <c r="G156" s="168"/>
      <c r="L156" s="168"/>
    </row>
    <row r="157">
      <c r="G157" s="168"/>
      <c r="L157" s="168"/>
    </row>
    <row r="158">
      <c r="G158" s="168"/>
      <c r="L158" s="168"/>
    </row>
    <row r="159">
      <c r="G159" s="168"/>
      <c r="L159" s="168"/>
    </row>
    <row r="160">
      <c r="G160" s="168"/>
      <c r="L160" s="168"/>
    </row>
    <row r="161">
      <c r="G161" s="168"/>
      <c r="L161" s="168"/>
    </row>
    <row r="162">
      <c r="G162" s="168"/>
      <c r="L162" s="168"/>
    </row>
    <row r="163">
      <c r="G163" s="168"/>
      <c r="L163" s="168"/>
    </row>
    <row r="164">
      <c r="G164" s="168"/>
      <c r="L164" s="168"/>
    </row>
    <row r="165">
      <c r="G165" s="168"/>
      <c r="L165" s="168"/>
    </row>
    <row r="166">
      <c r="G166" s="168"/>
      <c r="L166" s="168"/>
    </row>
    <row r="167">
      <c r="G167" s="168"/>
      <c r="L167" s="168"/>
    </row>
    <row r="168">
      <c r="G168" s="168"/>
      <c r="L168" s="168"/>
    </row>
    <row r="169">
      <c r="G169" s="168"/>
      <c r="L169" s="168"/>
    </row>
    <row r="170">
      <c r="G170" s="168"/>
      <c r="L170" s="168"/>
    </row>
    <row r="171">
      <c r="G171" s="168"/>
      <c r="L171" s="168"/>
    </row>
    <row r="172">
      <c r="G172" s="168"/>
      <c r="L172" s="168"/>
    </row>
    <row r="173">
      <c r="G173" s="168"/>
      <c r="L173" s="168"/>
    </row>
    <row r="174">
      <c r="G174" s="168"/>
      <c r="L174" s="168"/>
    </row>
    <row r="175">
      <c r="G175" s="168"/>
      <c r="L175" s="168"/>
    </row>
    <row r="176">
      <c r="G176" s="168"/>
      <c r="L176" s="168"/>
    </row>
    <row r="177">
      <c r="G177" s="168"/>
      <c r="L177" s="168"/>
    </row>
    <row r="178">
      <c r="G178" s="168"/>
      <c r="L178" s="168"/>
    </row>
    <row r="179">
      <c r="G179" s="168"/>
      <c r="L179" s="168"/>
    </row>
    <row r="180">
      <c r="G180" s="168"/>
      <c r="L180" s="168"/>
    </row>
    <row r="181">
      <c r="G181" s="168"/>
      <c r="L181" s="168"/>
    </row>
    <row r="182">
      <c r="G182" s="168"/>
      <c r="L182" s="168"/>
    </row>
    <row r="183">
      <c r="G183" s="168"/>
      <c r="L183" s="168"/>
    </row>
    <row r="184">
      <c r="G184" s="168"/>
      <c r="L184" s="168"/>
    </row>
    <row r="185">
      <c r="G185" s="168"/>
      <c r="L185" s="168"/>
    </row>
    <row r="186">
      <c r="G186" s="168"/>
      <c r="L186" s="168"/>
    </row>
    <row r="187">
      <c r="G187" s="168"/>
      <c r="L187" s="168"/>
    </row>
    <row r="188">
      <c r="G188" s="168"/>
      <c r="L188" s="168"/>
    </row>
    <row r="189">
      <c r="G189" s="168"/>
      <c r="L189" s="168"/>
    </row>
    <row r="190">
      <c r="G190" s="168"/>
      <c r="L190" s="168"/>
    </row>
    <row r="191">
      <c r="G191" s="168"/>
      <c r="L191" s="168"/>
    </row>
    <row r="192">
      <c r="G192" s="168"/>
      <c r="L192" s="168"/>
    </row>
    <row r="193">
      <c r="G193" s="168"/>
      <c r="L193" s="168"/>
    </row>
    <row r="194">
      <c r="G194" s="168"/>
      <c r="L194" s="168"/>
    </row>
    <row r="195">
      <c r="G195" s="168"/>
      <c r="L195" s="168"/>
    </row>
    <row r="196">
      <c r="G196" s="168"/>
      <c r="L196" s="168"/>
    </row>
    <row r="197">
      <c r="G197" s="168"/>
      <c r="L197" s="168"/>
    </row>
    <row r="198">
      <c r="G198" s="168"/>
      <c r="L198" s="168"/>
    </row>
    <row r="199">
      <c r="G199" s="168"/>
      <c r="L199" s="168"/>
    </row>
    <row r="200">
      <c r="G200" s="168"/>
      <c r="L200" s="168"/>
    </row>
    <row r="201">
      <c r="G201" s="168"/>
      <c r="L201" s="168"/>
    </row>
    <row r="202">
      <c r="G202" s="168"/>
      <c r="L202" s="168"/>
    </row>
    <row r="203">
      <c r="G203" s="168"/>
      <c r="L203" s="168"/>
    </row>
    <row r="204">
      <c r="G204" s="168"/>
      <c r="L204" s="168"/>
    </row>
    <row r="205">
      <c r="G205" s="168"/>
      <c r="L205" s="168"/>
    </row>
    <row r="206">
      <c r="G206" s="168"/>
      <c r="L206" s="168"/>
    </row>
    <row r="207">
      <c r="G207" s="168"/>
      <c r="L207" s="168"/>
    </row>
    <row r="208">
      <c r="G208" s="168"/>
      <c r="L208" s="168"/>
    </row>
    <row r="209">
      <c r="G209" s="168"/>
      <c r="L209" s="168"/>
    </row>
    <row r="210">
      <c r="G210" s="168"/>
      <c r="L210" s="168"/>
    </row>
    <row r="211">
      <c r="G211" s="168"/>
      <c r="L211" s="168"/>
    </row>
    <row r="212">
      <c r="G212" s="168"/>
      <c r="L212" s="168"/>
    </row>
    <row r="213">
      <c r="G213" s="168"/>
      <c r="L213" s="168"/>
    </row>
    <row r="214">
      <c r="G214" s="168"/>
      <c r="L214" s="168"/>
    </row>
    <row r="215">
      <c r="G215" s="168"/>
      <c r="L215" s="168"/>
    </row>
    <row r="216">
      <c r="G216" s="168"/>
      <c r="L216" s="168"/>
    </row>
    <row r="217">
      <c r="G217" s="168"/>
      <c r="L217" s="168"/>
    </row>
    <row r="218">
      <c r="G218" s="168"/>
      <c r="L218" s="168"/>
    </row>
    <row r="219">
      <c r="G219" s="168"/>
      <c r="L219" s="168"/>
    </row>
    <row r="220">
      <c r="G220" s="168"/>
      <c r="L220" s="168"/>
    </row>
    <row r="221">
      <c r="G221" s="168"/>
      <c r="L221" s="168"/>
    </row>
    <row r="222">
      <c r="G222" s="168"/>
      <c r="L222" s="168"/>
    </row>
    <row r="223">
      <c r="G223" s="168"/>
      <c r="L223" s="168"/>
    </row>
    <row r="224">
      <c r="G224" s="168"/>
      <c r="L224" s="168"/>
    </row>
    <row r="225">
      <c r="G225" s="168"/>
      <c r="L225" s="168"/>
    </row>
    <row r="226">
      <c r="G226" s="168"/>
      <c r="L226" s="168"/>
    </row>
    <row r="227">
      <c r="G227" s="168"/>
      <c r="L227" s="168"/>
    </row>
    <row r="228">
      <c r="G228" s="168"/>
      <c r="L228" s="168"/>
    </row>
    <row r="229">
      <c r="G229" s="168"/>
      <c r="L229" s="168"/>
    </row>
    <row r="230">
      <c r="G230" s="168"/>
      <c r="L230" s="168"/>
    </row>
    <row r="231">
      <c r="G231" s="168"/>
      <c r="L231" s="168"/>
    </row>
    <row r="232">
      <c r="G232" s="168"/>
      <c r="L232" s="168"/>
    </row>
    <row r="233">
      <c r="G233" s="168"/>
      <c r="L233" s="168"/>
    </row>
    <row r="234">
      <c r="G234" s="168"/>
      <c r="L234" s="168"/>
    </row>
    <row r="235">
      <c r="G235" s="168"/>
      <c r="L235" s="168"/>
    </row>
    <row r="236">
      <c r="G236" s="168"/>
      <c r="L236" s="168"/>
    </row>
    <row r="237">
      <c r="G237" s="168"/>
      <c r="L237" s="168"/>
    </row>
    <row r="238">
      <c r="G238" s="168"/>
      <c r="L238" s="168"/>
    </row>
    <row r="239">
      <c r="G239" s="168"/>
      <c r="L239" s="168"/>
    </row>
    <row r="240">
      <c r="G240" s="168"/>
      <c r="L240" s="168"/>
    </row>
    <row r="241">
      <c r="G241" s="168"/>
      <c r="L241" s="168"/>
    </row>
    <row r="242">
      <c r="G242" s="168"/>
      <c r="L242" s="168"/>
    </row>
    <row r="243">
      <c r="G243" s="168"/>
      <c r="L243" s="168"/>
    </row>
    <row r="244">
      <c r="G244" s="168"/>
      <c r="L244" s="168"/>
    </row>
    <row r="245">
      <c r="G245" s="168"/>
      <c r="L245" s="168"/>
    </row>
    <row r="246">
      <c r="G246" s="168"/>
      <c r="L246" s="168"/>
    </row>
    <row r="247">
      <c r="G247" s="168"/>
      <c r="L247" s="168"/>
    </row>
    <row r="248">
      <c r="G248" s="168"/>
      <c r="L248" s="168"/>
    </row>
    <row r="249">
      <c r="G249" s="168"/>
      <c r="L249" s="168"/>
    </row>
    <row r="250">
      <c r="G250" s="168"/>
      <c r="L250" s="168"/>
    </row>
    <row r="251">
      <c r="G251" s="168"/>
      <c r="L251" s="168"/>
    </row>
    <row r="252">
      <c r="G252" s="168"/>
      <c r="L252" s="168"/>
    </row>
    <row r="253">
      <c r="G253" s="168"/>
      <c r="L253" s="168"/>
    </row>
    <row r="254">
      <c r="G254" s="168"/>
      <c r="L254" s="168"/>
    </row>
    <row r="255">
      <c r="G255" s="168"/>
      <c r="L255" s="168"/>
    </row>
    <row r="256">
      <c r="G256" s="168"/>
      <c r="L256" s="168"/>
    </row>
    <row r="257">
      <c r="G257" s="168"/>
      <c r="L257" s="168"/>
    </row>
    <row r="258">
      <c r="G258" s="168"/>
      <c r="L258" s="168"/>
    </row>
    <row r="259">
      <c r="G259" s="168"/>
      <c r="L259" s="168"/>
    </row>
    <row r="260">
      <c r="G260" s="168"/>
      <c r="L260" s="168"/>
    </row>
    <row r="261">
      <c r="G261" s="168"/>
      <c r="L261" s="168"/>
    </row>
    <row r="262">
      <c r="G262" s="168"/>
      <c r="L262" s="168"/>
    </row>
    <row r="263">
      <c r="G263" s="168"/>
      <c r="L263" s="168"/>
    </row>
    <row r="264">
      <c r="G264" s="168"/>
      <c r="L264" s="168"/>
    </row>
    <row r="265">
      <c r="G265" s="168"/>
      <c r="L265" s="168"/>
    </row>
    <row r="266">
      <c r="G266" s="168"/>
      <c r="L266" s="168"/>
    </row>
    <row r="267">
      <c r="G267" s="168"/>
      <c r="L267" s="168"/>
    </row>
    <row r="268">
      <c r="G268" s="168"/>
      <c r="L268" s="168"/>
    </row>
    <row r="269">
      <c r="G269" s="168"/>
      <c r="L269" s="168"/>
    </row>
    <row r="270">
      <c r="G270" s="168"/>
      <c r="L270" s="168"/>
    </row>
    <row r="271">
      <c r="G271" s="168"/>
      <c r="L271" s="168"/>
    </row>
    <row r="272">
      <c r="G272" s="168"/>
      <c r="L272" s="168"/>
    </row>
    <row r="273">
      <c r="G273" s="168"/>
      <c r="L273" s="168"/>
    </row>
    <row r="274">
      <c r="G274" s="168"/>
      <c r="L274" s="168"/>
    </row>
    <row r="275">
      <c r="G275" s="168"/>
      <c r="L275" s="168"/>
    </row>
    <row r="276">
      <c r="G276" s="168"/>
      <c r="L276" s="168"/>
    </row>
    <row r="277">
      <c r="G277" s="168"/>
      <c r="L277" s="168"/>
    </row>
    <row r="278">
      <c r="G278" s="168"/>
      <c r="L278" s="168"/>
    </row>
    <row r="279">
      <c r="G279" s="168"/>
      <c r="L279" s="168"/>
    </row>
    <row r="280">
      <c r="G280" s="168"/>
      <c r="L280" s="168"/>
    </row>
    <row r="281">
      <c r="G281" s="168"/>
      <c r="L281" s="168"/>
    </row>
    <row r="282">
      <c r="G282" s="168"/>
      <c r="L282" s="168"/>
    </row>
    <row r="283">
      <c r="G283" s="168"/>
      <c r="L283" s="168"/>
    </row>
    <row r="284">
      <c r="G284" s="168"/>
      <c r="L284" s="168"/>
    </row>
    <row r="285">
      <c r="G285" s="168"/>
      <c r="L285" s="168"/>
    </row>
    <row r="286">
      <c r="G286" s="168"/>
      <c r="L286" s="168"/>
    </row>
    <row r="287">
      <c r="G287" s="168"/>
      <c r="L287" s="168"/>
    </row>
    <row r="288">
      <c r="G288" s="168"/>
      <c r="L288" s="168"/>
    </row>
    <row r="289">
      <c r="G289" s="168"/>
      <c r="L289" s="168"/>
    </row>
    <row r="290">
      <c r="G290" s="168"/>
      <c r="L290" s="168"/>
    </row>
    <row r="291">
      <c r="G291" s="168"/>
      <c r="L291" s="168"/>
    </row>
    <row r="292">
      <c r="G292" s="168"/>
      <c r="L292" s="168"/>
    </row>
    <row r="293">
      <c r="G293" s="168"/>
      <c r="L293" s="168"/>
    </row>
    <row r="294">
      <c r="G294" s="168"/>
      <c r="L294" s="168"/>
    </row>
    <row r="295">
      <c r="G295" s="168"/>
      <c r="L295" s="168"/>
    </row>
    <row r="296">
      <c r="G296" s="168"/>
      <c r="L296" s="168"/>
    </row>
    <row r="297">
      <c r="G297" s="168"/>
      <c r="L297" s="168"/>
    </row>
    <row r="298">
      <c r="G298" s="168"/>
      <c r="L298" s="168"/>
    </row>
    <row r="299">
      <c r="G299" s="168"/>
      <c r="L299" s="168"/>
    </row>
    <row r="300">
      <c r="G300" s="168"/>
      <c r="L300" s="168"/>
    </row>
    <row r="301">
      <c r="G301" s="168"/>
      <c r="L301" s="168"/>
    </row>
    <row r="302">
      <c r="G302" s="168"/>
      <c r="L302" s="168"/>
    </row>
    <row r="303">
      <c r="G303" s="168"/>
      <c r="L303" s="168"/>
    </row>
    <row r="304">
      <c r="G304" s="168"/>
      <c r="L304" s="168"/>
    </row>
    <row r="305">
      <c r="G305" s="168"/>
      <c r="L305" s="168"/>
    </row>
    <row r="306">
      <c r="G306" s="168"/>
      <c r="L306" s="168"/>
    </row>
    <row r="307">
      <c r="G307" s="168"/>
      <c r="L307" s="168"/>
    </row>
    <row r="308">
      <c r="G308" s="168"/>
      <c r="L308" s="168"/>
    </row>
    <row r="309">
      <c r="G309" s="168"/>
      <c r="L309" s="168"/>
    </row>
    <row r="310">
      <c r="G310" s="168"/>
      <c r="L310" s="168"/>
    </row>
    <row r="311">
      <c r="G311" s="168"/>
      <c r="L311" s="168"/>
    </row>
    <row r="312">
      <c r="G312" s="168"/>
      <c r="L312" s="168"/>
    </row>
    <row r="313">
      <c r="G313" s="168"/>
      <c r="L313" s="168"/>
    </row>
    <row r="314">
      <c r="G314" s="168"/>
      <c r="L314" s="168"/>
    </row>
    <row r="315">
      <c r="G315" s="168"/>
      <c r="L315" s="168"/>
    </row>
    <row r="316">
      <c r="G316" s="168"/>
      <c r="L316" s="168"/>
    </row>
    <row r="317">
      <c r="G317" s="168"/>
      <c r="L317" s="168"/>
    </row>
    <row r="318">
      <c r="G318" s="168"/>
      <c r="L318" s="168"/>
    </row>
    <row r="319">
      <c r="G319" s="168"/>
      <c r="L319" s="168"/>
    </row>
    <row r="320">
      <c r="G320" s="168"/>
      <c r="L320" s="168"/>
    </row>
    <row r="321">
      <c r="G321" s="168"/>
      <c r="L321" s="168"/>
    </row>
    <row r="322">
      <c r="G322" s="168"/>
      <c r="L322" s="168"/>
    </row>
    <row r="323">
      <c r="G323" s="168"/>
      <c r="L323" s="168"/>
    </row>
    <row r="324">
      <c r="G324" s="168"/>
      <c r="L324" s="168"/>
    </row>
    <row r="325">
      <c r="G325" s="168"/>
      <c r="L325" s="168"/>
    </row>
    <row r="326">
      <c r="G326" s="168"/>
      <c r="L326" s="168"/>
    </row>
    <row r="327">
      <c r="G327" s="168"/>
      <c r="L327" s="168"/>
    </row>
    <row r="328">
      <c r="G328" s="168"/>
      <c r="L328" s="168"/>
    </row>
    <row r="329">
      <c r="G329" s="168"/>
      <c r="L329" s="168"/>
    </row>
    <row r="330">
      <c r="G330" s="168"/>
      <c r="L330" s="168"/>
    </row>
    <row r="331">
      <c r="G331" s="168"/>
      <c r="L331" s="168"/>
    </row>
    <row r="332">
      <c r="G332" s="168"/>
      <c r="L332" s="168"/>
    </row>
    <row r="333">
      <c r="G333" s="168"/>
      <c r="L333" s="168"/>
    </row>
    <row r="334">
      <c r="G334" s="168"/>
      <c r="L334" s="168"/>
    </row>
    <row r="335">
      <c r="G335" s="168"/>
      <c r="L335" s="168"/>
    </row>
    <row r="336">
      <c r="G336" s="168"/>
      <c r="L336" s="168"/>
    </row>
    <row r="337">
      <c r="G337" s="168"/>
      <c r="L337" s="168"/>
    </row>
    <row r="338">
      <c r="G338" s="168"/>
      <c r="L338" s="168"/>
    </row>
    <row r="339">
      <c r="G339" s="168"/>
      <c r="L339" s="168"/>
    </row>
    <row r="340">
      <c r="G340" s="168"/>
      <c r="L340" s="168"/>
    </row>
    <row r="341">
      <c r="G341" s="168"/>
      <c r="L341" s="168"/>
    </row>
    <row r="342">
      <c r="G342" s="168"/>
      <c r="L342" s="168"/>
    </row>
    <row r="343">
      <c r="G343" s="168"/>
      <c r="L343" s="168"/>
    </row>
    <row r="344">
      <c r="G344" s="168"/>
      <c r="L344" s="168"/>
    </row>
    <row r="345">
      <c r="G345" s="168"/>
      <c r="L345" s="168"/>
    </row>
    <row r="346">
      <c r="G346" s="168"/>
      <c r="L346" s="168"/>
    </row>
    <row r="347">
      <c r="G347" s="168"/>
      <c r="L347" s="168"/>
    </row>
    <row r="348">
      <c r="G348" s="168"/>
      <c r="L348" s="168"/>
    </row>
    <row r="349">
      <c r="G349" s="168"/>
      <c r="L349" s="168"/>
    </row>
    <row r="350">
      <c r="G350" s="168"/>
      <c r="L350" s="168"/>
    </row>
    <row r="351">
      <c r="G351" s="168"/>
      <c r="L351" s="168"/>
    </row>
    <row r="352">
      <c r="G352" s="168"/>
      <c r="L352" s="168"/>
    </row>
    <row r="353">
      <c r="G353" s="168"/>
      <c r="L353" s="168"/>
    </row>
    <row r="354">
      <c r="G354" s="168"/>
      <c r="L354" s="168"/>
    </row>
    <row r="355">
      <c r="G355" s="168"/>
      <c r="L355" s="168"/>
    </row>
    <row r="356">
      <c r="G356" s="168"/>
      <c r="L356" s="168"/>
    </row>
    <row r="357">
      <c r="G357" s="168"/>
      <c r="L357" s="168"/>
    </row>
    <row r="358">
      <c r="G358" s="168"/>
      <c r="L358" s="168"/>
    </row>
    <row r="359">
      <c r="G359" s="168"/>
      <c r="L359" s="168"/>
    </row>
    <row r="360">
      <c r="G360" s="168"/>
      <c r="L360" s="168"/>
    </row>
    <row r="361">
      <c r="G361" s="168"/>
      <c r="L361" s="168"/>
    </row>
    <row r="362">
      <c r="G362" s="168"/>
      <c r="L362" s="168"/>
    </row>
    <row r="363">
      <c r="G363" s="168"/>
      <c r="L363" s="168"/>
    </row>
    <row r="364">
      <c r="G364" s="168"/>
      <c r="L364" s="168"/>
    </row>
    <row r="365">
      <c r="G365" s="168"/>
      <c r="L365" s="168"/>
    </row>
    <row r="366">
      <c r="G366" s="168"/>
      <c r="L366" s="168"/>
    </row>
    <row r="367">
      <c r="G367" s="168"/>
      <c r="L367" s="168"/>
    </row>
    <row r="368">
      <c r="G368" s="168"/>
      <c r="L368" s="168"/>
    </row>
    <row r="369">
      <c r="G369" s="168"/>
      <c r="L369" s="168"/>
    </row>
    <row r="370">
      <c r="G370" s="168"/>
      <c r="L370" s="168"/>
    </row>
    <row r="371">
      <c r="G371" s="168"/>
      <c r="L371" s="168"/>
    </row>
    <row r="372">
      <c r="G372" s="168"/>
      <c r="L372" s="168"/>
    </row>
    <row r="373">
      <c r="G373" s="168"/>
      <c r="L373" s="168"/>
    </row>
    <row r="374">
      <c r="G374" s="168"/>
      <c r="L374" s="168"/>
    </row>
    <row r="375">
      <c r="G375" s="168"/>
      <c r="L375" s="168"/>
    </row>
    <row r="376">
      <c r="G376" s="168"/>
      <c r="L376" s="168"/>
    </row>
    <row r="377">
      <c r="G377" s="168"/>
      <c r="L377" s="168"/>
    </row>
    <row r="378">
      <c r="G378" s="168"/>
      <c r="L378" s="168"/>
    </row>
    <row r="379">
      <c r="G379" s="168"/>
      <c r="L379" s="168"/>
    </row>
    <row r="380">
      <c r="G380" s="168"/>
      <c r="L380" s="168"/>
    </row>
    <row r="381">
      <c r="G381" s="168"/>
      <c r="L381" s="168"/>
    </row>
    <row r="382">
      <c r="G382" s="168"/>
      <c r="L382" s="168"/>
    </row>
    <row r="383">
      <c r="G383" s="168"/>
      <c r="L383" s="168"/>
    </row>
    <row r="384">
      <c r="G384" s="168"/>
      <c r="L384" s="168"/>
    </row>
    <row r="385">
      <c r="G385" s="168"/>
      <c r="L385" s="168"/>
    </row>
    <row r="386">
      <c r="G386" s="168"/>
      <c r="L386" s="168"/>
    </row>
    <row r="387">
      <c r="G387" s="168"/>
      <c r="L387" s="168"/>
    </row>
    <row r="388">
      <c r="G388" s="168"/>
      <c r="L388" s="168"/>
    </row>
    <row r="389">
      <c r="G389" s="168"/>
      <c r="L389" s="168"/>
    </row>
    <row r="390">
      <c r="G390" s="168"/>
      <c r="L390" s="168"/>
    </row>
    <row r="391">
      <c r="G391" s="168"/>
      <c r="L391" s="168"/>
    </row>
    <row r="392">
      <c r="G392" s="168"/>
      <c r="L392" s="168"/>
    </row>
    <row r="393">
      <c r="G393" s="168"/>
      <c r="L393" s="168"/>
    </row>
    <row r="394">
      <c r="G394" s="168"/>
      <c r="L394" s="168"/>
    </row>
    <row r="395">
      <c r="G395" s="168"/>
      <c r="L395" s="168"/>
    </row>
    <row r="396">
      <c r="G396" s="168"/>
      <c r="L396" s="168"/>
    </row>
    <row r="397">
      <c r="G397" s="168"/>
      <c r="L397" s="168"/>
    </row>
    <row r="398">
      <c r="G398" s="168"/>
      <c r="L398" s="168"/>
    </row>
    <row r="399">
      <c r="G399" s="168"/>
      <c r="L399" s="168"/>
    </row>
    <row r="400">
      <c r="G400" s="168"/>
      <c r="L400" s="168"/>
    </row>
    <row r="401">
      <c r="G401" s="168"/>
      <c r="L401" s="168"/>
    </row>
    <row r="402">
      <c r="G402" s="168"/>
      <c r="L402" s="168"/>
    </row>
    <row r="403">
      <c r="G403" s="168"/>
      <c r="L403" s="168"/>
    </row>
    <row r="404">
      <c r="G404" s="168"/>
      <c r="L404" s="168"/>
    </row>
    <row r="405">
      <c r="G405" s="168"/>
      <c r="L405" s="168"/>
    </row>
    <row r="406">
      <c r="G406" s="168"/>
      <c r="L406" s="168"/>
    </row>
    <row r="407">
      <c r="G407" s="168"/>
      <c r="L407" s="168"/>
    </row>
    <row r="408">
      <c r="G408" s="168"/>
      <c r="L408" s="168"/>
    </row>
    <row r="409">
      <c r="G409" s="168"/>
      <c r="L409" s="168"/>
    </row>
    <row r="410">
      <c r="G410" s="168"/>
      <c r="L410" s="168"/>
    </row>
    <row r="411">
      <c r="G411" s="168"/>
      <c r="L411" s="168"/>
    </row>
    <row r="412">
      <c r="G412" s="168"/>
      <c r="L412" s="168"/>
    </row>
    <row r="413">
      <c r="G413" s="168"/>
      <c r="L413" s="168"/>
    </row>
    <row r="414">
      <c r="G414" s="168"/>
      <c r="L414" s="168"/>
    </row>
    <row r="415">
      <c r="G415" s="168"/>
      <c r="L415" s="168"/>
    </row>
    <row r="416">
      <c r="G416" s="168"/>
      <c r="L416" s="168"/>
    </row>
    <row r="417">
      <c r="G417" s="168"/>
      <c r="L417" s="168"/>
    </row>
    <row r="418">
      <c r="G418" s="168"/>
      <c r="L418" s="168"/>
    </row>
    <row r="419">
      <c r="G419" s="168"/>
      <c r="L419" s="168"/>
    </row>
    <row r="420">
      <c r="G420" s="168"/>
      <c r="L420" s="168"/>
    </row>
    <row r="421">
      <c r="G421" s="168"/>
      <c r="L421" s="168"/>
    </row>
    <row r="422">
      <c r="G422" s="168"/>
      <c r="L422" s="168"/>
    </row>
    <row r="423">
      <c r="G423" s="168"/>
      <c r="L423" s="168"/>
    </row>
    <row r="424">
      <c r="G424" s="168"/>
      <c r="L424" s="168"/>
    </row>
    <row r="425">
      <c r="G425" s="168"/>
      <c r="L425" s="168"/>
    </row>
    <row r="426">
      <c r="G426" s="168"/>
      <c r="L426" s="168"/>
    </row>
    <row r="427">
      <c r="G427" s="168"/>
      <c r="L427" s="168"/>
    </row>
    <row r="428">
      <c r="G428" s="168"/>
      <c r="L428" s="168"/>
    </row>
    <row r="429">
      <c r="G429" s="168"/>
      <c r="L429" s="168"/>
    </row>
    <row r="430">
      <c r="G430" s="168"/>
      <c r="L430" s="168"/>
    </row>
    <row r="431">
      <c r="G431" s="168"/>
      <c r="L431" s="168"/>
    </row>
    <row r="432">
      <c r="G432" s="168"/>
      <c r="L432" s="168"/>
    </row>
    <row r="433">
      <c r="G433" s="168"/>
      <c r="L433" s="168"/>
    </row>
    <row r="434">
      <c r="G434" s="168"/>
      <c r="L434" s="168"/>
    </row>
    <row r="435">
      <c r="G435" s="168"/>
      <c r="L435" s="168"/>
    </row>
    <row r="436">
      <c r="G436" s="168"/>
      <c r="L436" s="168"/>
    </row>
    <row r="437">
      <c r="G437" s="168"/>
      <c r="L437" s="168"/>
    </row>
    <row r="438">
      <c r="G438" s="168"/>
      <c r="L438" s="168"/>
    </row>
    <row r="439">
      <c r="G439" s="168"/>
      <c r="L439" s="168"/>
    </row>
    <row r="440">
      <c r="G440" s="168"/>
      <c r="L440" s="168"/>
    </row>
    <row r="441">
      <c r="G441" s="168"/>
      <c r="L441" s="168"/>
    </row>
    <row r="442">
      <c r="G442" s="168"/>
      <c r="L442" s="168"/>
    </row>
    <row r="443">
      <c r="G443" s="168"/>
      <c r="L443" s="168"/>
    </row>
    <row r="444">
      <c r="G444" s="168"/>
      <c r="L444" s="168"/>
    </row>
    <row r="445">
      <c r="G445" s="168"/>
      <c r="L445" s="168"/>
    </row>
    <row r="446">
      <c r="G446" s="168"/>
      <c r="L446" s="168"/>
    </row>
    <row r="447">
      <c r="G447" s="168"/>
      <c r="L447" s="168"/>
    </row>
    <row r="448">
      <c r="G448" s="168"/>
      <c r="L448" s="168"/>
    </row>
    <row r="449">
      <c r="G449" s="168"/>
      <c r="L449" s="168"/>
    </row>
    <row r="450">
      <c r="G450" s="168"/>
      <c r="L450" s="168"/>
    </row>
    <row r="451">
      <c r="G451" s="168"/>
      <c r="L451" s="168"/>
    </row>
    <row r="452">
      <c r="G452" s="168"/>
      <c r="L452" s="168"/>
    </row>
    <row r="453">
      <c r="G453" s="168"/>
      <c r="L453" s="168"/>
    </row>
    <row r="454">
      <c r="G454" s="168"/>
      <c r="L454" s="168"/>
    </row>
    <row r="455">
      <c r="G455" s="168"/>
      <c r="L455" s="168"/>
    </row>
    <row r="456">
      <c r="G456" s="168"/>
      <c r="L456" s="168"/>
    </row>
    <row r="457">
      <c r="G457" s="168"/>
      <c r="L457" s="168"/>
    </row>
    <row r="458">
      <c r="G458" s="168"/>
      <c r="L458" s="168"/>
    </row>
    <row r="459">
      <c r="G459" s="168"/>
      <c r="L459" s="168"/>
    </row>
    <row r="460">
      <c r="G460" s="168"/>
      <c r="L460" s="168"/>
    </row>
    <row r="461">
      <c r="G461" s="168"/>
      <c r="L461" s="168"/>
    </row>
    <row r="462">
      <c r="G462" s="168"/>
      <c r="L462" s="168"/>
    </row>
    <row r="463">
      <c r="G463" s="168"/>
      <c r="L463" s="168"/>
    </row>
    <row r="464">
      <c r="G464" s="168"/>
      <c r="L464" s="168"/>
    </row>
    <row r="465">
      <c r="G465" s="168"/>
      <c r="L465" s="168"/>
    </row>
    <row r="466">
      <c r="G466" s="168"/>
      <c r="L466" s="168"/>
    </row>
    <row r="467">
      <c r="G467" s="168"/>
      <c r="L467" s="168"/>
    </row>
    <row r="468">
      <c r="G468" s="168"/>
      <c r="L468" s="168"/>
    </row>
    <row r="469">
      <c r="G469" s="168"/>
      <c r="L469" s="168"/>
    </row>
    <row r="470">
      <c r="G470" s="168"/>
      <c r="L470" s="168"/>
    </row>
    <row r="471">
      <c r="G471" s="168"/>
      <c r="L471" s="168"/>
    </row>
    <row r="472">
      <c r="G472" s="168"/>
      <c r="L472" s="168"/>
    </row>
    <row r="473">
      <c r="G473" s="168"/>
      <c r="L473" s="168"/>
    </row>
    <row r="474">
      <c r="G474" s="168"/>
      <c r="L474" s="168"/>
    </row>
    <row r="475">
      <c r="G475" s="168"/>
      <c r="L475" s="168"/>
    </row>
    <row r="476">
      <c r="G476" s="168"/>
      <c r="L476" s="168"/>
    </row>
    <row r="477">
      <c r="G477" s="168"/>
      <c r="L477" s="168"/>
    </row>
    <row r="478">
      <c r="G478" s="168"/>
      <c r="L478" s="168"/>
    </row>
    <row r="479">
      <c r="G479" s="168"/>
      <c r="L479" s="168"/>
    </row>
    <row r="480">
      <c r="G480" s="168"/>
      <c r="L480" s="168"/>
    </row>
    <row r="481">
      <c r="G481" s="168"/>
      <c r="L481" s="168"/>
    </row>
    <row r="482">
      <c r="G482" s="168"/>
      <c r="L482" s="168"/>
    </row>
    <row r="483">
      <c r="G483" s="168"/>
      <c r="L483" s="168"/>
    </row>
    <row r="484">
      <c r="G484" s="168"/>
      <c r="L484" s="168"/>
    </row>
    <row r="485">
      <c r="G485" s="168"/>
      <c r="L485" s="168"/>
    </row>
    <row r="486">
      <c r="G486" s="168"/>
      <c r="L486" s="168"/>
    </row>
    <row r="487">
      <c r="G487" s="168"/>
      <c r="L487" s="168"/>
    </row>
    <row r="488">
      <c r="G488" s="168"/>
      <c r="L488" s="168"/>
    </row>
    <row r="489">
      <c r="G489" s="168"/>
      <c r="L489" s="168"/>
    </row>
    <row r="490">
      <c r="G490" s="168"/>
      <c r="L490" s="168"/>
    </row>
    <row r="491">
      <c r="G491" s="168"/>
      <c r="L491" s="168"/>
    </row>
    <row r="492">
      <c r="G492" s="168"/>
      <c r="L492" s="168"/>
    </row>
    <row r="493">
      <c r="G493" s="168"/>
      <c r="L493" s="168"/>
    </row>
    <row r="494">
      <c r="G494" s="168"/>
      <c r="L494" s="168"/>
    </row>
    <row r="495">
      <c r="G495" s="168"/>
      <c r="L495" s="168"/>
    </row>
    <row r="496">
      <c r="G496" s="168"/>
      <c r="L496" s="168"/>
    </row>
    <row r="497">
      <c r="G497" s="168"/>
      <c r="L497" s="168"/>
    </row>
    <row r="498">
      <c r="G498" s="168"/>
      <c r="L498" s="168"/>
    </row>
    <row r="499">
      <c r="G499" s="168"/>
      <c r="L499" s="168"/>
    </row>
    <row r="500">
      <c r="G500" s="168"/>
      <c r="L500" s="168"/>
    </row>
    <row r="501">
      <c r="G501" s="168"/>
      <c r="L501" s="168"/>
    </row>
    <row r="502">
      <c r="G502" s="168"/>
      <c r="L502" s="168"/>
    </row>
    <row r="503">
      <c r="G503" s="168"/>
      <c r="L503" s="168"/>
    </row>
    <row r="504">
      <c r="G504" s="168"/>
      <c r="L504" s="168"/>
    </row>
    <row r="505">
      <c r="G505" s="168"/>
      <c r="L505" s="168"/>
    </row>
    <row r="506">
      <c r="G506" s="168"/>
      <c r="L506" s="168"/>
    </row>
    <row r="507">
      <c r="G507" s="168"/>
      <c r="L507" s="168"/>
    </row>
    <row r="508">
      <c r="G508" s="168"/>
      <c r="L508" s="168"/>
    </row>
    <row r="509">
      <c r="G509" s="168"/>
      <c r="L509" s="168"/>
    </row>
    <row r="510">
      <c r="G510" s="168"/>
      <c r="L510" s="168"/>
    </row>
    <row r="511">
      <c r="G511" s="168"/>
      <c r="L511" s="168"/>
    </row>
    <row r="512">
      <c r="G512" s="168"/>
      <c r="L512" s="168"/>
    </row>
    <row r="513">
      <c r="G513" s="168"/>
      <c r="L513" s="168"/>
    </row>
    <row r="514">
      <c r="G514" s="168"/>
      <c r="L514" s="168"/>
    </row>
    <row r="515">
      <c r="G515" s="168"/>
      <c r="L515" s="168"/>
    </row>
    <row r="516">
      <c r="G516" s="168"/>
      <c r="L516" s="168"/>
    </row>
    <row r="517">
      <c r="G517" s="168"/>
      <c r="L517" s="168"/>
    </row>
    <row r="518">
      <c r="G518" s="168"/>
      <c r="L518" s="168"/>
    </row>
    <row r="519">
      <c r="G519" s="168"/>
      <c r="L519" s="168"/>
    </row>
    <row r="520">
      <c r="G520" s="168"/>
      <c r="L520" s="168"/>
    </row>
    <row r="521">
      <c r="G521" s="168"/>
      <c r="L521" s="168"/>
    </row>
    <row r="522">
      <c r="G522" s="168"/>
      <c r="L522" s="168"/>
    </row>
    <row r="523">
      <c r="G523" s="168"/>
      <c r="L523" s="168"/>
    </row>
    <row r="524">
      <c r="G524" s="168"/>
      <c r="L524" s="168"/>
    </row>
    <row r="525">
      <c r="G525" s="168"/>
      <c r="L525" s="168"/>
    </row>
    <row r="526">
      <c r="G526" s="168"/>
      <c r="L526" s="168"/>
    </row>
    <row r="527">
      <c r="G527" s="168"/>
      <c r="L527" s="168"/>
    </row>
    <row r="528">
      <c r="G528" s="168"/>
      <c r="L528" s="168"/>
    </row>
    <row r="529">
      <c r="G529" s="168"/>
      <c r="L529" s="168"/>
    </row>
    <row r="530">
      <c r="G530" s="168"/>
      <c r="L530" s="168"/>
    </row>
    <row r="531">
      <c r="G531" s="168"/>
      <c r="L531" s="168"/>
    </row>
    <row r="532">
      <c r="G532" s="168"/>
      <c r="L532" s="168"/>
    </row>
    <row r="533">
      <c r="G533" s="168"/>
      <c r="L533" s="168"/>
    </row>
    <row r="534">
      <c r="G534" s="168"/>
      <c r="L534" s="168"/>
    </row>
    <row r="535">
      <c r="G535" s="168"/>
      <c r="L535" s="168"/>
    </row>
    <row r="536">
      <c r="G536" s="168"/>
      <c r="L536" s="168"/>
    </row>
    <row r="537">
      <c r="G537" s="168"/>
      <c r="L537" s="168"/>
    </row>
    <row r="538">
      <c r="G538" s="168"/>
      <c r="L538" s="168"/>
    </row>
    <row r="539">
      <c r="G539" s="168"/>
      <c r="L539" s="168"/>
    </row>
    <row r="540">
      <c r="G540" s="168"/>
      <c r="L540" s="168"/>
    </row>
    <row r="541">
      <c r="G541" s="168"/>
      <c r="L541" s="168"/>
    </row>
    <row r="542">
      <c r="G542" s="168"/>
      <c r="L542" s="168"/>
    </row>
    <row r="543">
      <c r="G543" s="168"/>
      <c r="L543" s="168"/>
    </row>
    <row r="544">
      <c r="G544" s="168"/>
      <c r="L544" s="168"/>
    </row>
    <row r="545">
      <c r="G545" s="168"/>
      <c r="L545" s="168"/>
    </row>
    <row r="546">
      <c r="G546" s="168"/>
      <c r="L546" s="168"/>
    </row>
    <row r="547">
      <c r="G547" s="168"/>
      <c r="L547" s="168"/>
    </row>
    <row r="548">
      <c r="G548" s="168"/>
      <c r="L548" s="168"/>
    </row>
    <row r="549">
      <c r="G549" s="168"/>
      <c r="L549" s="168"/>
    </row>
    <row r="550">
      <c r="G550" s="168"/>
      <c r="L550" s="168"/>
    </row>
    <row r="551">
      <c r="G551" s="168"/>
      <c r="L551" s="168"/>
    </row>
    <row r="552">
      <c r="G552" s="168"/>
      <c r="L552" s="168"/>
    </row>
    <row r="553">
      <c r="G553" s="168"/>
      <c r="L553" s="168"/>
    </row>
    <row r="554">
      <c r="G554" s="168"/>
      <c r="L554" s="168"/>
    </row>
    <row r="555">
      <c r="G555" s="168"/>
      <c r="L555" s="168"/>
    </row>
    <row r="556">
      <c r="G556" s="168"/>
      <c r="L556" s="168"/>
    </row>
    <row r="557">
      <c r="G557" s="168"/>
      <c r="L557" s="168"/>
    </row>
    <row r="558">
      <c r="G558" s="168"/>
      <c r="L558" s="168"/>
    </row>
    <row r="559">
      <c r="G559" s="168"/>
      <c r="L559" s="168"/>
    </row>
    <row r="560">
      <c r="G560" s="168"/>
      <c r="L560" s="168"/>
    </row>
    <row r="561">
      <c r="G561" s="168"/>
      <c r="L561" s="168"/>
    </row>
    <row r="562">
      <c r="G562" s="168"/>
      <c r="L562" s="168"/>
    </row>
    <row r="563">
      <c r="G563" s="168"/>
      <c r="L563" s="168"/>
    </row>
    <row r="564">
      <c r="G564" s="168"/>
      <c r="L564" s="168"/>
    </row>
    <row r="565">
      <c r="G565" s="168"/>
      <c r="L565" s="168"/>
    </row>
    <row r="566">
      <c r="G566" s="168"/>
      <c r="L566" s="168"/>
    </row>
    <row r="567">
      <c r="G567" s="168"/>
      <c r="L567" s="168"/>
    </row>
    <row r="568">
      <c r="G568" s="168"/>
      <c r="L568" s="168"/>
    </row>
    <row r="569">
      <c r="G569" s="168"/>
      <c r="L569" s="168"/>
    </row>
    <row r="570">
      <c r="G570" s="168"/>
      <c r="L570" s="168"/>
    </row>
    <row r="571">
      <c r="G571" s="168"/>
      <c r="L571" s="168"/>
    </row>
    <row r="572">
      <c r="G572" s="168"/>
      <c r="L572" s="168"/>
    </row>
    <row r="573">
      <c r="G573" s="168"/>
      <c r="L573" s="168"/>
    </row>
    <row r="574">
      <c r="G574" s="168"/>
      <c r="L574" s="168"/>
    </row>
    <row r="575">
      <c r="G575" s="168"/>
      <c r="L575" s="168"/>
    </row>
    <row r="576">
      <c r="G576" s="168"/>
      <c r="L576" s="168"/>
    </row>
    <row r="577">
      <c r="G577" s="168"/>
      <c r="L577" s="168"/>
    </row>
    <row r="578">
      <c r="G578" s="168"/>
      <c r="L578" s="168"/>
    </row>
    <row r="579">
      <c r="G579" s="168"/>
      <c r="L579" s="168"/>
    </row>
    <row r="580">
      <c r="G580" s="168"/>
      <c r="L580" s="168"/>
    </row>
    <row r="581">
      <c r="G581" s="168"/>
      <c r="L581" s="168"/>
    </row>
    <row r="582">
      <c r="G582" s="168"/>
      <c r="L582" s="168"/>
    </row>
    <row r="583">
      <c r="G583" s="168"/>
      <c r="L583" s="168"/>
    </row>
    <row r="584">
      <c r="G584" s="168"/>
      <c r="L584" s="168"/>
    </row>
    <row r="585">
      <c r="G585" s="168"/>
      <c r="L585" s="168"/>
    </row>
    <row r="586">
      <c r="G586" s="168"/>
      <c r="L586" s="168"/>
    </row>
    <row r="587">
      <c r="G587" s="168"/>
      <c r="L587" s="168"/>
    </row>
    <row r="588">
      <c r="G588" s="168"/>
      <c r="L588" s="168"/>
    </row>
    <row r="589">
      <c r="G589" s="168"/>
      <c r="L589" s="168"/>
    </row>
    <row r="590">
      <c r="G590" s="168"/>
      <c r="L590" s="168"/>
    </row>
    <row r="591">
      <c r="G591" s="168"/>
      <c r="L591" s="168"/>
    </row>
    <row r="592">
      <c r="G592" s="168"/>
      <c r="L592" s="168"/>
    </row>
    <row r="593">
      <c r="G593" s="168"/>
      <c r="L593" s="168"/>
    </row>
    <row r="594">
      <c r="G594" s="168"/>
      <c r="L594" s="168"/>
    </row>
    <row r="595">
      <c r="G595" s="168"/>
      <c r="L595" s="168"/>
    </row>
    <row r="596">
      <c r="G596" s="168"/>
      <c r="L596" s="168"/>
    </row>
    <row r="597">
      <c r="G597" s="168"/>
      <c r="L597" s="168"/>
    </row>
    <row r="598">
      <c r="G598" s="168"/>
      <c r="L598" s="168"/>
    </row>
    <row r="599">
      <c r="G599" s="168"/>
      <c r="L599" s="168"/>
    </row>
    <row r="600">
      <c r="G600" s="168"/>
      <c r="L600" s="168"/>
    </row>
    <row r="601">
      <c r="G601" s="168"/>
      <c r="L601" s="168"/>
    </row>
    <row r="602">
      <c r="G602" s="168"/>
      <c r="L602" s="168"/>
    </row>
    <row r="603">
      <c r="G603" s="168"/>
      <c r="L603" s="168"/>
    </row>
    <row r="604">
      <c r="G604" s="168"/>
      <c r="L604" s="168"/>
    </row>
    <row r="605">
      <c r="G605" s="168"/>
      <c r="L605" s="168"/>
    </row>
    <row r="606">
      <c r="G606" s="168"/>
      <c r="L606" s="168"/>
    </row>
    <row r="607">
      <c r="G607" s="168"/>
      <c r="L607" s="168"/>
    </row>
    <row r="608">
      <c r="G608" s="168"/>
      <c r="L608" s="168"/>
    </row>
    <row r="609">
      <c r="G609" s="168"/>
      <c r="L609" s="168"/>
    </row>
    <row r="610">
      <c r="G610" s="168"/>
      <c r="L610" s="168"/>
    </row>
    <row r="611">
      <c r="G611" s="168"/>
      <c r="L611" s="168"/>
    </row>
    <row r="612">
      <c r="G612" s="168"/>
      <c r="L612" s="168"/>
    </row>
    <row r="613">
      <c r="G613" s="168"/>
      <c r="L613" s="168"/>
    </row>
    <row r="614">
      <c r="G614" s="168"/>
      <c r="L614" s="168"/>
    </row>
    <row r="615">
      <c r="G615" s="168"/>
      <c r="L615" s="168"/>
    </row>
    <row r="616">
      <c r="G616" s="168"/>
      <c r="L616" s="168"/>
    </row>
    <row r="617">
      <c r="G617" s="168"/>
      <c r="L617" s="168"/>
    </row>
    <row r="618">
      <c r="G618" s="168"/>
      <c r="L618" s="168"/>
    </row>
    <row r="619">
      <c r="G619" s="168"/>
      <c r="L619" s="168"/>
    </row>
    <row r="620">
      <c r="G620" s="168"/>
      <c r="L620" s="168"/>
    </row>
    <row r="621">
      <c r="G621" s="168"/>
      <c r="L621" s="168"/>
    </row>
    <row r="622">
      <c r="G622" s="168"/>
      <c r="L622" s="168"/>
    </row>
    <row r="623">
      <c r="G623" s="168"/>
      <c r="L623" s="168"/>
    </row>
    <row r="624">
      <c r="G624" s="168"/>
      <c r="L624" s="168"/>
    </row>
    <row r="625">
      <c r="G625" s="168"/>
      <c r="L625" s="168"/>
    </row>
    <row r="626">
      <c r="G626" s="168"/>
      <c r="L626" s="168"/>
    </row>
    <row r="627">
      <c r="G627" s="168"/>
      <c r="L627" s="168"/>
    </row>
    <row r="628">
      <c r="G628" s="168"/>
      <c r="L628" s="168"/>
    </row>
    <row r="629">
      <c r="G629" s="168"/>
      <c r="L629" s="168"/>
    </row>
    <row r="630">
      <c r="G630" s="168"/>
      <c r="L630" s="168"/>
    </row>
    <row r="631">
      <c r="G631" s="168"/>
      <c r="L631" s="168"/>
    </row>
    <row r="632">
      <c r="G632" s="168"/>
      <c r="L632" s="168"/>
    </row>
    <row r="633">
      <c r="G633" s="168"/>
      <c r="L633" s="168"/>
    </row>
    <row r="634">
      <c r="G634" s="168"/>
      <c r="L634" s="168"/>
    </row>
    <row r="635">
      <c r="G635" s="168"/>
      <c r="L635" s="168"/>
    </row>
    <row r="636">
      <c r="G636" s="168"/>
      <c r="L636" s="168"/>
    </row>
    <row r="637">
      <c r="G637" s="168"/>
      <c r="L637" s="168"/>
    </row>
    <row r="638">
      <c r="G638" s="168"/>
      <c r="L638" s="168"/>
    </row>
    <row r="639">
      <c r="G639" s="168"/>
      <c r="L639" s="168"/>
    </row>
    <row r="640">
      <c r="G640" s="168"/>
      <c r="L640" s="168"/>
    </row>
    <row r="641">
      <c r="G641" s="168"/>
      <c r="L641" s="168"/>
    </row>
    <row r="642">
      <c r="G642" s="168"/>
      <c r="L642" s="168"/>
    </row>
    <row r="643">
      <c r="G643" s="168"/>
      <c r="L643" s="168"/>
    </row>
    <row r="644">
      <c r="G644" s="168"/>
      <c r="L644" s="168"/>
    </row>
    <row r="645">
      <c r="G645" s="168"/>
      <c r="L645" s="168"/>
    </row>
    <row r="646">
      <c r="G646" s="168"/>
      <c r="L646" s="168"/>
    </row>
    <row r="647">
      <c r="G647" s="168"/>
      <c r="L647" s="168"/>
    </row>
    <row r="648">
      <c r="G648" s="168"/>
      <c r="L648" s="168"/>
    </row>
    <row r="649">
      <c r="G649" s="168"/>
      <c r="L649" s="168"/>
    </row>
    <row r="650">
      <c r="G650" s="168"/>
      <c r="L650" s="168"/>
    </row>
    <row r="651">
      <c r="G651" s="168"/>
      <c r="L651" s="168"/>
    </row>
    <row r="652">
      <c r="G652" s="168"/>
      <c r="L652" s="168"/>
    </row>
    <row r="653">
      <c r="G653" s="168"/>
      <c r="L653" s="168"/>
    </row>
    <row r="654">
      <c r="G654" s="168"/>
      <c r="L654" s="168"/>
    </row>
    <row r="655">
      <c r="G655" s="168"/>
      <c r="L655" s="168"/>
    </row>
    <row r="656">
      <c r="G656" s="168"/>
      <c r="L656" s="168"/>
    </row>
    <row r="657">
      <c r="G657" s="168"/>
      <c r="L657" s="168"/>
    </row>
    <row r="658">
      <c r="G658" s="168"/>
      <c r="L658" s="168"/>
    </row>
    <row r="659">
      <c r="G659" s="168"/>
      <c r="L659" s="168"/>
    </row>
    <row r="660">
      <c r="G660" s="168"/>
      <c r="L660" s="168"/>
    </row>
    <row r="661">
      <c r="G661" s="168"/>
      <c r="L661" s="168"/>
    </row>
    <row r="662">
      <c r="G662" s="168"/>
      <c r="L662" s="168"/>
    </row>
    <row r="663">
      <c r="G663" s="168"/>
      <c r="L663" s="168"/>
    </row>
    <row r="664">
      <c r="G664" s="168"/>
      <c r="L664" s="168"/>
    </row>
    <row r="665">
      <c r="G665" s="168"/>
      <c r="L665" s="168"/>
    </row>
    <row r="666">
      <c r="G666" s="168"/>
      <c r="L666" s="168"/>
    </row>
    <row r="667">
      <c r="G667" s="168"/>
      <c r="L667" s="168"/>
    </row>
    <row r="668">
      <c r="G668" s="168"/>
      <c r="L668" s="168"/>
    </row>
    <row r="669">
      <c r="G669" s="168"/>
      <c r="L669" s="168"/>
    </row>
    <row r="670">
      <c r="G670" s="168"/>
      <c r="L670" s="168"/>
    </row>
    <row r="671">
      <c r="G671" s="168"/>
      <c r="L671" s="168"/>
    </row>
    <row r="672">
      <c r="G672" s="168"/>
      <c r="L672" s="168"/>
    </row>
    <row r="673">
      <c r="G673" s="168"/>
      <c r="L673" s="168"/>
    </row>
    <row r="674">
      <c r="G674" s="168"/>
      <c r="L674" s="168"/>
    </row>
    <row r="675">
      <c r="G675" s="168"/>
      <c r="L675" s="168"/>
    </row>
    <row r="676">
      <c r="G676" s="168"/>
      <c r="L676" s="168"/>
    </row>
    <row r="677">
      <c r="G677" s="168"/>
      <c r="L677" s="168"/>
    </row>
    <row r="678">
      <c r="G678" s="168"/>
      <c r="L678" s="168"/>
    </row>
    <row r="679">
      <c r="G679" s="168"/>
      <c r="L679" s="168"/>
    </row>
    <row r="680">
      <c r="G680" s="168"/>
      <c r="L680" s="168"/>
    </row>
    <row r="681">
      <c r="G681" s="168"/>
      <c r="L681" s="168"/>
    </row>
    <row r="682">
      <c r="G682" s="168"/>
      <c r="L682" s="168"/>
    </row>
    <row r="683">
      <c r="G683" s="168"/>
      <c r="L683" s="168"/>
    </row>
    <row r="684">
      <c r="G684" s="168"/>
      <c r="L684" s="168"/>
    </row>
    <row r="685">
      <c r="G685" s="168"/>
      <c r="L685" s="168"/>
    </row>
    <row r="686">
      <c r="G686" s="168"/>
      <c r="L686" s="168"/>
    </row>
    <row r="687">
      <c r="G687" s="168"/>
      <c r="L687" s="168"/>
    </row>
    <row r="688">
      <c r="G688" s="168"/>
      <c r="L688" s="168"/>
    </row>
    <row r="689">
      <c r="G689" s="168"/>
      <c r="L689" s="168"/>
    </row>
    <row r="690">
      <c r="G690" s="168"/>
      <c r="L690" s="168"/>
    </row>
    <row r="691">
      <c r="G691" s="168"/>
      <c r="L691" s="168"/>
    </row>
    <row r="692">
      <c r="G692" s="168"/>
      <c r="L692" s="168"/>
    </row>
    <row r="693">
      <c r="G693" s="168"/>
      <c r="L693" s="168"/>
    </row>
    <row r="694">
      <c r="G694" s="168"/>
      <c r="L694" s="168"/>
    </row>
    <row r="695">
      <c r="G695" s="168"/>
      <c r="L695" s="168"/>
    </row>
    <row r="696">
      <c r="G696" s="168"/>
      <c r="L696" s="168"/>
    </row>
    <row r="697">
      <c r="G697" s="168"/>
      <c r="L697" s="168"/>
    </row>
    <row r="698">
      <c r="G698" s="168"/>
      <c r="L698" s="168"/>
    </row>
    <row r="699">
      <c r="G699" s="168"/>
      <c r="L699" s="168"/>
    </row>
    <row r="700">
      <c r="G700" s="168"/>
      <c r="L700" s="168"/>
    </row>
    <row r="701">
      <c r="G701" s="168"/>
      <c r="L701" s="168"/>
    </row>
    <row r="702">
      <c r="G702" s="168"/>
      <c r="L702" s="168"/>
    </row>
    <row r="703">
      <c r="G703" s="168"/>
      <c r="L703" s="168"/>
    </row>
    <row r="704">
      <c r="G704" s="168"/>
      <c r="L704" s="168"/>
    </row>
    <row r="705">
      <c r="G705" s="168"/>
      <c r="L705" s="168"/>
    </row>
    <row r="706">
      <c r="G706" s="168"/>
      <c r="L706" s="168"/>
    </row>
    <row r="707">
      <c r="G707" s="168"/>
      <c r="L707" s="168"/>
    </row>
    <row r="708">
      <c r="G708" s="168"/>
      <c r="L708" s="168"/>
    </row>
    <row r="709">
      <c r="G709" s="168"/>
      <c r="L709" s="168"/>
    </row>
    <row r="710">
      <c r="G710" s="168"/>
      <c r="L710" s="168"/>
    </row>
    <row r="711">
      <c r="G711" s="168"/>
      <c r="L711" s="168"/>
    </row>
    <row r="712">
      <c r="G712" s="168"/>
      <c r="L712" s="168"/>
    </row>
    <row r="713">
      <c r="G713" s="168"/>
      <c r="L713" s="168"/>
    </row>
    <row r="714">
      <c r="G714" s="168"/>
      <c r="L714" s="168"/>
    </row>
    <row r="715">
      <c r="G715" s="168"/>
      <c r="L715" s="168"/>
    </row>
    <row r="716">
      <c r="G716" s="168"/>
      <c r="L716" s="168"/>
    </row>
    <row r="717">
      <c r="G717" s="168"/>
      <c r="L717" s="168"/>
    </row>
    <row r="718">
      <c r="G718" s="168"/>
      <c r="L718" s="168"/>
    </row>
    <row r="719">
      <c r="G719" s="168"/>
      <c r="L719" s="168"/>
    </row>
    <row r="720">
      <c r="G720" s="168"/>
      <c r="L720" s="168"/>
    </row>
    <row r="721">
      <c r="G721" s="168"/>
      <c r="L721" s="168"/>
    </row>
    <row r="722">
      <c r="G722" s="168"/>
      <c r="L722" s="168"/>
    </row>
    <row r="723">
      <c r="G723" s="168"/>
      <c r="L723" s="168"/>
    </row>
    <row r="724">
      <c r="G724" s="168"/>
      <c r="L724" s="168"/>
    </row>
    <row r="725">
      <c r="G725" s="168"/>
      <c r="L725" s="168"/>
    </row>
    <row r="726">
      <c r="G726" s="168"/>
      <c r="L726" s="168"/>
    </row>
    <row r="727">
      <c r="G727" s="168"/>
      <c r="L727" s="168"/>
    </row>
    <row r="728">
      <c r="G728" s="168"/>
      <c r="L728" s="168"/>
    </row>
    <row r="729">
      <c r="G729" s="168"/>
      <c r="L729" s="168"/>
    </row>
    <row r="730">
      <c r="G730" s="168"/>
      <c r="L730" s="168"/>
    </row>
    <row r="731">
      <c r="G731" s="168"/>
      <c r="L731" s="168"/>
    </row>
    <row r="732">
      <c r="G732" s="168"/>
      <c r="L732" s="168"/>
    </row>
    <row r="733">
      <c r="G733" s="168"/>
      <c r="L733" s="168"/>
    </row>
    <row r="734">
      <c r="G734" s="168"/>
      <c r="L734" s="168"/>
    </row>
    <row r="735">
      <c r="G735" s="168"/>
      <c r="L735" s="168"/>
    </row>
    <row r="736">
      <c r="G736" s="168"/>
      <c r="L736" s="168"/>
    </row>
    <row r="737">
      <c r="G737" s="168"/>
      <c r="L737" s="168"/>
    </row>
    <row r="738">
      <c r="G738" s="168"/>
      <c r="L738" s="168"/>
    </row>
    <row r="739">
      <c r="G739" s="168"/>
      <c r="L739" s="168"/>
    </row>
    <row r="740">
      <c r="G740" s="168"/>
      <c r="L740" s="168"/>
    </row>
    <row r="741">
      <c r="G741" s="168"/>
      <c r="L741" s="168"/>
    </row>
    <row r="742">
      <c r="G742" s="168"/>
      <c r="L742" s="168"/>
    </row>
    <row r="743">
      <c r="G743" s="168"/>
      <c r="L743" s="168"/>
    </row>
    <row r="744">
      <c r="G744" s="168"/>
      <c r="L744" s="168"/>
    </row>
    <row r="745">
      <c r="G745" s="168"/>
      <c r="L745" s="168"/>
    </row>
    <row r="746">
      <c r="G746" s="168"/>
      <c r="L746" s="168"/>
    </row>
    <row r="747">
      <c r="G747" s="168"/>
      <c r="L747" s="168"/>
    </row>
    <row r="748">
      <c r="G748" s="168"/>
      <c r="L748" s="168"/>
    </row>
    <row r="749">
      <c r="G749" s="168"/>
      <c r="L749" s="168"/>
    </row>
    <row r="750">
      <c r="G750" s="168"/>
      <c r="L750" s="168"/>
    </row>
    <row r="751">
      <c r="G751" s="168"/>
      <c r="L751" s="168"/>
    </row>
    <row r="752">
      <c r="G752" s="168"/>
      <c r="L752" s="168"/>
    </row>
    <row r="753">
      <c r="G753" s="168"/>
      <c r="L753" s="168"/>
    </row>
    <row r="754">
      <c r="G754" s="168"/>
      <c r="L754" s="168"/>
    </row>
    <row r="755">
      <c r="G755" s="168"/>
      <c r="L755" s="168"/>
    </row>
    <row r="756">
      <c r="G756" s="168"/>
      <c r="L756" s="168"/>
    </row>
    <row r="757">
      <c r="G757" s="168"/>
      <c r="L757" s="168"/>
    </row>
    <row r="758">
      <c r="G758" s="168"/>
      <c r="L758" s="168"/>
    </row>
    <row r="759">
      <c r="G759" s="168"/>
      <c r="L759" s="168"/>
    </row>
    <row r="760">
      <c r="G760" s="168"/>
      <c r="L760" s="168"/>
    </row>
    <row r="761">
      <c r="G761" s="168"/>
      <c r="L761" s="168"/>
    </row>
    <row r="762">
      <c r="G762" s="168"/>
      <c r="L762" s="168"/>
    </row>
    <row r="763">
      <c r="G763" s="168"/>
      <c r="L763" s="168"/>
    </row>
    <row r="764">
      <c r="G764" s="168"/>
      <c r="L764" s="168"/>
    </row>
    <row r="765">
      <c r="G765" s="168"/>
      <c r="L765" s="168"/>
    </row>
    <row r="766">
      <c r="G766" s="168"/>
      <c r="L766" s="168"/>
    </row>
    <row r="767">
      <c r="G767" s="168"/>
      <c r="L767" s="168"/>
    </row>
    <row r="768">
      <c r="G768" s="168"/>
      <c r="L768" s="168"/>
    </row>
    <row r="769">
      <c r="G769" s="168"/>
      <c r="L769" s="168"/>
    </row>
    <row r="770">
      <c r="G770" s="168"/>
      <c r="L770" s="168"/>
    </row>
    <row r="771">
      <c r="G771" s="168"/>
      <c r="L771" s="168"/>
    </row>
    <row r="772">
      <c r="G772" s="168"/>
      <c r="L772" s="168"/>
    </row>
    <row r="773">
      <c r="G773" s="168"/>
      <c r="L773" s="168"/>
    </row>
    <row r="774">
      <c r="G774" s="168"/>
      <c r="L774" s="168"/>
    </row>
    <row r="775">
      <c r="G775" s="168"/>
      <c r="L775" s="168"/>
    </row>
    <row r="776">
      <c r="G776" s="168"/>
      <c r="L776" s="168"/>
    </row>
    <row r="777">
      <c r="G777" s="168"/>
      <c r="L777" s="168"/>
    </row>
    <row r="778">
      <c r="G778" s="168"/>
      <c r="L778" s="168"/>
    </row>
    <row r="779">
      <c r="G779" s="168"/>
      <c r="L779" s="168"/>
    </row>
    <row r="780">
      <c r="G780" s="168"/>
      <c r="L780" s="168"/>
    </row>
    <row r="781">
      <c r="G781" s="168"/>
      <c r="L781" s="168"/>
    </row>
    <row r="782">
      <c r="G782" s="168"/>
      <c r="L782" s="168"/>
    </row>
    <row r="783">
      <c r="G783" s="168"/>
      <c r="L783" s="168"/>
    </row>
    <row r="784">
      <c r="G784" s="168"/>
      <c r="L784" s="168"/>
    </row>
    <row r="785">
      <c r="G785" s="168"/>
      <c r="L785" s="168"/>
    </row>
    <row r="786">
      <c r="G786" s="168"/>
      <c r="L786" s="168"/>
    </row>
    <row r="787">
      <c r="G787" s="168"/>
      <c r="L787" s="168"/>
    </row>
    <row r="788">
      <c r="G788" s="168"/>
      <c r="L788" s="168"/>
    </row>
    <row r="789">
      <c r="G789" s="168"/>
      <c r="L789" s="168"/>
    </row>
    <row r="790">
      <c r="G790" s="168"/>
      <c r="L790" s="168"/>
    </row>
    <row r="791">
      <c r="G791" s="168"/>
      <c r="L791" s="168"/>
    </row>
    <row r="792">
      <c r="G792" s="168"/>
      <c r="L792" s="168"/>
    </row>
    <row r="793">
      <c r="G793" s="168"/>
      <c r="L793" s="168"/>
    </row>
    <row r="794">
      <c r="G794" s="168"/>
      <c r="L794" s="168"/>
    </row>
    <row r="795">
      <c r="G795" s="168"/>
      <c r="L795" s="168"/>
    </row>
    <row r="796">
      <c r="G796" s="168"/>
      <c r="L796" s="168"/>
    </row>
    <row r="797">
      <c r="G797" s="168"/>
      <c r="L797" s="168"/>
    </row>
    <row r="798">
      <c r="G798" s="168"/>
      <c r="L798" s="168"/>
    </row>
    <row r="799">
      <c r="G799" s="168"/>
      <c r="L799" s="168"/>
    </row>
    <row r="800">
      <c r="G800" s="168"/>
      <c r="L800" s="168"/>
    </row>
    <row r="801">
      <c r="G801" s="168"/>
      <c r="L801" s="168"/>
    </row>
    <row r="802">
      <c r="G802" s="168"/>
      <c r="L802" s="168"/>
    </row>
    <row r="803">
      <c r="G803" s="168"/>
      <c r="L803" s="168"/>
    </row>
    <row r="804">
      <c r="G804" s="168"/>
      <c r="L804" s="168"/>
    </row>
    <row r="805">
      <c r="G805" s="168"/>
      <c r="L805" s="168"/>
    </row>
    <row r="806">
      <c r="G806" s="168"/>
      <c r="L806" s="168"/>
    </row>
    <row r="807">
      <c r="G807" s="168"/>
      <c r="L807" s="168"/>
    </row>
    <row r="808">
      <c r="G808" s="168"/>
      <c r="L808" s="168"/>
    </row>
    <row r="809">
      <c r="G809" s="168"/>
      <c r="L809" s="168"/>
    </row>
    <row r="810">
      <c r="G810" s="168"/>
      <c r="L810" s="168"/>
    </row>
    <row r="811">
      <c r="G811" s="168"/>
      <c r="L811" s="168"/>
    </row>
    <row r="812">
      <c r="G812" s="168"/>
      <c r="L812" s="168"/>
    </row>
    <row r="813">
      <c r="G813" s="168"/>
      <c r="L813" s="168"/>
    </row>
    <row r="814">
      <c r="G814" s="168"/>
      <c r="L814" s="168"/>
    </row>
    <row r="815">
      <c r="G815" s="168"/>
      <c r="L815" s="168"/>
    </row>
    <row r="816">
      <c r="G816" s="168"/>
      <c r="L816" s="168"/>
    </row>
    <row r="817">
      <c r="G817" s="168"/>
      <c r="L817" s="168"/>
    </row>
    <row r="818">
      <c r="G818" s="168"/>
      <c r="L818" s="168"/>
    </row>
    <row r="819">
      <c r="G819" s="168"/>
      <c r="L819" s="168"/>
    </row>
    <row r="820">
      <c r="G820" s="168"/>
      <c r="L820" s="168"/>
    </row>
    <row r="821">
      <c r="G821" s="168"/>
      <c r="L821" s="168"/>
    </row>
    <row r="822">
      <c r="G822" s="168"/>
      <c r="L822" s="168"/>
    </row>
    <row r="823">
      <c r="G823" s="168"/>
      <c r="L823" s="168"/>
    </row>
    <row r="824">
      <c r="G824" s="168"/>
      <c r="L824" s="168"/>
    </row>
    <row r="825">
      <c r="G825" s="168"/>
      <c r="L825" s="168"/>
    </row>
    <row r="826">
      <c r="G826" s="168"/>
      <c r="L826" s="168"/>
    </row>
    <row r="827">
      <c r="G827" s="168"/>
      <c r="L827" s="168"/>
    </row>
    <row r="828">
      <c r="G828" s="168"/>
      <c r="L828" s="168"/>
    </row>
    <row r="829">
      <c r="G829" s="168"/>
      <c r="L829" s="168"/>
    </row>
    <row r="830">
      <c r="G830" s="168"/>
      <c r="L830" s="168"/>
    </row>
    <row r="831">
      <c r="G831" s="168"/>
      <c r="L831" s="168"/>
    </row>
    <row r="832">
      <c r="G832" s="168"/>
      <c r="L832" s="168"/>
    </row>
    <row r="833">
      <c r="G833" s="168"/>
      <c r="L833" s="168"/>
    </row>
    <row r="834">
      <c r="G834" s="168"/>
      <c r="L834" s="168"/>
    </row>
    <row r="835">
      <c r="G835" s="168"/>
      <c r="L835" s="168"/>
    </row>
    <row r="836">
      <c r="G836" s="168"/>
      <c r="L836" s="168"/>
    </row>
    <row r="837">
      <c r="G837" s="168"/>
      <c r="L837" s="168"/>
    </row>
    <row r="838">
      <c r="G838" s="168"/>
      <c r="L838" s="168"/>
    </row>
    <row r="839">
      <c r="G839" s="168"/>
      <c r="L839" s="168"/>
    </row>
    <row r="840">
      <c r="G840" s="168"/>
      <c r="L840" s="168"/>
    </row>
    <row r="841">
      <c r="G841" s="168"/>
      <c r="L841" s="168"/>
    </row>
    <row r="842">
      <c r="G842" s="168"/>
      <c r="L842" s="168"/>
    </row>
    <row r="843">
      <c r="G843" s="168"/>
      <c r="L843" s="168"/>
    </row>
    <row r="844">
      <c r="G844" s="168"/>
      <c r="L844" s="168"/>
    </row>
    <row r="845">
      <c r="G845" s="168"/>
      <c r="L845" s="168"/>
    </row>
    <row r="846">
      <c r="G846" s="168"/>
      <c r="L846" s="168"/>
    </row>
    <row r="847">
      <c r="G847" s="168"/>
      <c r="L847" s="168"/>
    </row>
    <row r="848">
      <c r="G848" s="168"/>
      <c r="L848" s="168"/>
    </row>
    <row r="849">
      <c r="G849" s="168"/>
      <c r="L849" s="168"/>
    </row>
    <row r="850">
      <c r="G850" s="168"/>
      <c r="L850" s="168"/>
    </row>
    <row r="851">
      <c r="G851" s="168"/>
      <c r="L851" s="168"/>
    </row>
    <row r="852">
      <c r="G852" s="168"/>
      <c r="L852" s="168"/>
    </row>
    <row r="853">
      <c r="G853" s="168"/>
      <c r="L853" s="168"/>
    </row>
    <row r="854">
      <c r="G854" s="168"/>
      <c r="L854" s="168"/>
    </row>
    <row r="855">
      <c r="G855" s="168"/>
      <c r="L855" s="168"/>
    </row>
    <row r="856">
      <c r="G856" s="168"/>
      <c r="L856" s="168"/>
    </row>
    <row r="857">
      <c r="G857" s="168"/>
      <c r="L857" s="168"/>
    </row>
    <row r="858">
      <c r="G858" s="168"/>
      <c r="L858" s="168"/>
    </row>
    <row r="859">
      <c r="G859" s="168"/>
      <c r="L859" s="168"/>
    </row>
    <row r="860">
      <c r="G860" s="168"/>
      <c r="L860" s="168"/>
    </row>
    <row r="861">
      <c r="G861" s="168"/>
      <c r="L861" s="168"/>
    </row>
    <row r="862">
      <c r="G862" s="168"/>
      <c r="L862" s="168"/>
    </row>
    <row r="863">
      <c r="G863" s="168"/>
      <c r="L863" s="168"/>
    </row>
    <row r="864">
      <c r="G864" s="168"/>
      <c r="L864" s="168"/>
    </row>
    <row r="865">
      <c r="G865" s="168"/>
      <c r="L865" s="168"/>
    </row>
    <row r="866">
      <c r="G866" s="168"/>
      <c r="L866" s="168"/>
    </row>
    <row r="867">
      <c r="G867" s="168"/>
      <c r="L867" s="168"/>
    </row>
    <row r="868">
      <c r="G868" s="168"/>
      <c r="L868" s="168"/>
    </row>
    <row r="869">
      <c r="G869" s="168"/>
      <c r="L869" s="168"/>
    </row>
    <row r="870">
      <c r="G870" s="168"/>
      <c r="L870" s="168"/>
    </row>
    <row r="871">
      <c r="G871" s="168"/>
      <c r="L871" s="168"/>
    </row>
    <row r="872">
      <c r="G872" s="168"/>
      <c r="L872" s="168"/>
    </row>
    <row r="873">
      <c r="G873" s="168"/>
      <c r="L873" s="168"/>
    </row>
    <row r="874">
      <c r="G874" s="168"/>
      <c r="L874" s="168"/>
    </row>
    <row r="875">
      <c r="G875" s="168"/>
      <c r="L875" s="168"/>
    </row>
    <row r="876">
      <c r="G876" s="168"/>
      <c r="L876" s="168"/>
    </row>
    <row r="877">
      <c r="G877" s="168"/>
      <c r="L877" s="168"/>
    </row>
    <row r="878">
      <c r="G878" s="168"/>
      <c r="L878" s="168"/>
    </row>
    <row r="879">
      <c r="G879" s="168"/>
      <c r="L879" s="168"/>
    </row>
    <row r="880">
      <c r="G880" s="168"/>
      <c r="L880" s="168"/>
    </row>
    <row r="881">
      <c r="G881" s="168"/>
      <c r="L881" s="168"/>
    </row>
    <row r="882">
      <c r="G882" s="168"/>
      <c r="L882" s="168"/>
    </row>
    <row r="883">
      <c r="G883" s="168"/>
      <c r="L883" s="168"/>
    </row>
    <row r="884">
      <c r="G884" s="168"/>
      <c r="L884" s="168"/>
    </row>
    <row r="885">
      <c r="G885" s="168"/>
      <c r="L885" s="168"/>
    </row>
    <row r="886">
      <c r="G886" s="168"/>
      <c r="L886" s="168"/>
    </row>
    <row r="887">
      <c r="G887" s="168"/>
      <c r="L887" s="168"/>
    </row>
    <row r="888">
      <c r="G888" s="168"/>
      <c r="L888" s="168"/>
    </row>
    <row r="889">
      <c r="G889" s="168"/>
      <c r="L889" s="168"/>
    </row>
    <row r="890">
      <c r="G890" s="168"/>
      <c r="L890" s="168"/>
    </row>
    <row r="891">
      <c r="G891" s="168"/>
      <c r="L891" s="168"/>
    </row>
    <row r="892">
      <c r="G892" s="168"/>
      <c r="L892" s="168"/>
    </row>
    <row r="893">
      <c r="G893" s="168"/>
      <c r="L893" s="168"/>
    </row>
    <row r="894">
      <c r="G894" s="168"/>
      <c r="L894" s="168"/>
    </row>
    <row r="895">
      <c r="G895" s="168"/>
      <c r="L895" s="168"/>
    </row>
    <row r="896">
      <c r="G896" s="168"/>
      <c r="L896" s="168"/>
    </row>
    <row r="897">
      <c r="G897" s="168"/>
      <c r="L897" s="168"/>
    </row>
    <row r="898">
      <c r="G898" s="168"/>
      <c r="L898" s="168"/>
    </row>
    <row r="899">
      <c r="G899" s="168"/>
      <c r="L899" s="168"/>
    </row>
    <row r="900">
      <c r="G900" s="168"/>
      <c r="L900" s="168"/>
    </row>
    <row r="901">
      <c r="G901" s="168"/>
      <c r="L901" s="168"/>
    </row>
    <row r="902">
      <c r="G902" s="168"/>
      <c r="L902" s="168"/>
    </row>
    <row r="903">
      <c r="G903" s="168"/>
      <c r="L903" s="168"/>
    </row>
    <row r="904">
      <c r="G904" s="168"/>
      <c r="L904" s="168"/>
    </row>
    <row r="905">
      <c r="G905" s="168"/>
      <c r="L905" s="168"/>
    </row>
    <row r="906">
      <c r="G906" s="168"/>
      <c r="L906" s="168"/>
    </row>
    <row r="907">
      <c r="G907" s="168"/>
      <c r="L907" s="168"/>
    </row>
    <row r="908">
      <c r="G908" s="168"/>
      <c r="L908" s="168"/>
    </row>
    <row r="909">
      <c r="G909" s="168"/>
      <c r="L909" s="168"/>
    </row>
    <row r="910">
      <c r="G910" s="168"/>
      <c r="L910" s="168"/>
    </row>
    <row r="911">
      <c r="G911" s="168"/>
      <c r="L911" s="168"/>
    </row>
    <row r="912">
      <c r="G912" s="168"/>
      <c r="L912" s="168"/>
    </row>
    <row r="913">
      <c r="G913" s="168"/>
      <c r="L913" s="168"/>
    </row>
    <row r="914">
      <c r="G914" s="168"/>
      <c r="L914" s="168"/>
    </row>
    <row r="915">
      <c r="G915" s="168"/>
      <c r="L915" s="168"/>
    </row>
    <row r="916">
      <c r="G916" s="168"/>
      <c r="L916" s="168"/>
    </row>
    <row r="917">
      <c r="G917" s="168"/>
      <c r="L917" s="168"/>
    </row>
    <row r="918">
      <c r="G918" s="168"/>
      <c r="L918" s="168"/>
    </row>
    <row r="919">
      <c r="G919" s="168"/>
      <c r="L919" s="168"/>
    </row>
    <row r="920">
      <c r="G920" s="168"/>
      <c r="L920" s="168"/>
    </row>
    <row r="921">
      <c r="G921" s="168"/>
      <c r="L921" s="168"/>
    </row>
    <row r="922">
      <c r="G922" s="168"/>
      <c r="L922" s="168"/>
    </row>
    <row r="923">
      <c r="G923" s="168"/>
      <c r="L923" s="168"/>
    </row>
    <row r="924">
      <c r="G924" s="168"/>
      <c r="L924" s="168"/>
    </row>
    <row r="925">
      <c r="G925" s="168"/>
      <c r="L925" s="168"/>
    </row>
    <row r="926">
      <c r="G926" s="168"/>
      <c r="L926" s="168"/>
    </row>
    <row r="927">
      <c r="G927" s="168"/>
      <c r="L927" s="168"/>
    </row>
    <row r="928">
      <c r="G928" s="168"/>
      <c r="L928" s="168"/>
    </row>
    <row r="929">
      <c r="G929" s="168"/>
      <c r="L929" s="168"/>
    </row>
    <row r="930">
      <c r="G930" s="168"/>
      <c r="L930" s="168"/>
    </row>
    <row r="931">
      <c r="G931" s="168"/>
      <c r="L931" s="168"/>
    </row>
    <row r="932">
      <c r="G932" s="168"/>
      <c r="L932" s="168"/>
    </row>
    <row r="933">
      <c r="G933" s="168"/>
      <c r="L933" s="168"/>
    </row>
    <row r="934">
      <c r="G934" s="168"/>
      <c r="L934" s="168"/>
    </row>
    <row r="935">
      <c r="G935" s="168"/>
      <c r="L935" s="168"/>
    </row>
    <row r="936">
      <c r="G936" s="168"/>
      <c r="L936" s="168"/>
    </row>
    <row r="937">
      <c r="G937" s="168"/>
      <c r="L937" s="168"/>
    </row>
    <row r="938">
      <c r="G938" s="168"/>
      <c r="L938" s="168"/>
    </row>
    <row r="939">
      <c r="G939" s="168"/>
      <c r="L939" s="168"/>
    </row>
    <row r="940">
      <c r="G940" s="168"/>
      <c r="L940" s="168"/>
    </row>
    <row r="941">
      <c r="G941" s="168"/>
      <c r="L941" s="168"/>
    </row>
    <row r="942">
      <c r="G942" s="168"/>
      <c r="L942" s="168"/>
    </row>
    <row r="943">
      <c r="G943" s="168"/>
      <c r="L943" s="168"/>
    </row>
    <row r="944">
      <c r="G944" s="168"/>
      <c r="L944" s="168"/>
    </row>
    <row r="945">
      <c r="G945" s="168"/>
      <c r="L945" s="168"/>
    </row>
    <row r="946">
      <c r="G946" s="168"/>
      <c r="L946" s="168"/>
    </row>
    <row r="947">
      <c r="G947" s="168"/>
      <c r="L947" s="168"/>
    </row>
    <row r="948">
      <c r="G948" s="168"/>
      <c r="L948" s="168"/>
    </row>
    <row r="949">
      <c r="G949" s="168"/>
      <c r="L949" s="168"/>
    </row>
    <row r="950">
      <c r="G950" s="168"/>
      <c r="L950" s="168"/>
    </row>
    <row r="951">
      <c r="G951" s="168"/>
      <c r="L951" s="168"/>
    </row>
    <row r="952">
      <c r="G952" s="168"/>
      <c r="L952" s="168"/>
    </row>
    <row r="953">
      <c r="G953" s="168"/>
      <c r="L953" s="168"/>
    </row>
    <row r="954">
      <c r="G954" s="168"/>
      <c r="L954" s="168"/>
    </row>
    <row r="955">
      <c r="G955" s="168"/>
      <c r="L955" s="168"/>
    </row>
    <row r="956">
      <c r="G956" s="168"/>
      <c r="L956" s="168"/>
    </row>
    <row r="957">
      <c r="G957" s="168"/>
      <c r="L957" s="168"/>
    </row>
    <row r="958">
      <c r="G958" s="168"/>
      <c r="L958" s="168"/>
    </row>
    <row r="959">
      <c r="G959" s="168"/>
      <c r="L959" s="168"/>
    </row>
    <row r="960">
      <c r="G960" s="168"/>
      <c r="L960" s="168"/>
    </row>
    <row r="961">
      <c r="G961" s="168"/>
      <c r="L961" s="168"/>
    </row>
    <row r="962">
      <c r="G962" s="168"/>
      <c r="L962" s="168"/>
    </row>
    <row r="963">
      <c r="G963" s="168"/>
      <c r="L963" s="168"/>
    </row>
    <row r="964">
      <c r="G964" s="168"/>
      <c r="L964" s="168"/>
    </row>
    <row r="965">
      <c r="G965" s="168"/>
      <c r="L965" s="168"/>
    </row>
    <row r="966">
      <c r="G966" s="168"/>
      <c r="L966" s="168"/>
    </row>
    <row r="967">
      <c r="G967" s="168"/>
      <c r="L967" s="168"/>
    </row>
    <row r="968">
      <c r="G968" s="168"/>
      <c r="L968" s="168"/>
    </row>
    <row r="969">
      <c r="G969" s="168"/>
      <c r="L969" s="168"/>
    </row>
    <row r="970">
      <c r="G970" s="168"/>
      <c r="L970" s="168"/>
    </row>
    <row r="971">
      <c r="G971" s="168"/>
      <c r="L971" s="168"/>
    </row>
    <row r="972">
      <c r="G972" s="168"/>
      <c r="L972" s="168"/>
    </row>
    <row r="973">
      <c r="G973" s="168"/>
      <c r="L973" s="168"/>
    </row>
    <row r="974">
      <c r="G974" s="168"/>
      <c r="L974" s="168"/>
    </row>
    <row r="975">
      <c r="G975" s="168"/>
      <c r="L975" s="168"/>
    </row>
    <row r="976">
      <c r="G976" s="168"/>
      <c r="L976" s="168"/>
    </row>
    <row r="977">
      <c r="G977" s="168"/>
      <c r="L977" s="168"/>
    </row>
    <row r="978">
      <c r="G978" s="168"/>
      <c r="L978" s="168"/>
    </row>
    <row r="979">
      <c r="G979" s="168"/>
      <c r="L979" s="168"/>
    </row>
    <row r="980">
      <c r="G980" s="168"/>
      <c r="L980" s="168"/>
    </row>
    <row r="981">
      <c r="G981" s="168"/>
      <c r="L981" s="168"/>
    </row>
    <row r="982">
      <c r="G982" s="168"/>
      <c r="L982" s="168"/>
    </row>
    <row r="983">
      <c r="G983" s="168"/>
      <c r="L983" s="168"/>
    </row>
    <row r="984">
      <c r="G984" s="168"/>
      <c r="L984" s="168"/>
    </row>
    <row r="985">
      <c r="G985" s="168"/>
      <c r="L985" s="168"/>
    </row>
    <row r="986">
      <c r="G986" s="168"/>
      <c r="L986" s="168"/>
    </row>
    <row r="987">
      <c r="G987" s="168"/>
      <c r="L987" s="168"/>
    </row>
    <row r="988">
      <c r="G988" s="168"/>
      <c r="L988" s="168"/>
    </row>
    <row r="989">
      <c r="G989" s="168"/>
      <c r="L989" s="168"/>
    </row>
  </sheetData>
  <mergeCells count="2">
    <mergeCell ref="A1:N1"/>
    <mergeCell ref="A85:M85"/>
  </mergeCells>
  <drawing r:id="rId1"/>
</worksheet>
</file>